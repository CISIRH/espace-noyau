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Position\"/>
    </mc:Choice>
  </mc:AlternateContent>
  <xr:revisionPtr revIDLastSave="0" documentId="13_ncr:1_{CA31761A-B69F-488F-95E8-E0BEAE4BF6C0}" xr6:coauthVersionLast="47" xr6:coauthVersionMax="47" xr10:uidLastSave="{00000000-0000-0000-0000-000000000000}"/>
  <bookViews>
    <workbookView xWindow="-120" yWindow="-120" windowWidth="25440" windowHeight="15270" xr2:uid="{E990E666-5375-41C9-8054-0299A6459C4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402" i="4" l="1"/>
  <c r="AK387" i="4"/>
  <c r="AK373" i="4"/>
  <c r="AK372" i="4"/>
  <c r="AK371" i="4"/>
  <c r="AK370" i="4"/>
  <c r="AK356" i="4"/>
  <c r="AK355" i="4"/>
  <c r="AK354" i="4"/>
  <c r="AK353" i="4"/>
  <c r="AK330" i="4"/>
  <c r="AK322" i="4"/>
  <c r="AK320" i="4"/>
  <c r="AK319" i="4"/>
  <c r="AK317" i="4"/>
  <c r="AK316" i="4"/>
  <c r="AK288" i="4"/>
  <c r="AK280" i="4"/>
  <c r="AK272" i="4"/>
  <c r="AK268" i="4"/>
  <c r="AK267" i="4"/>
  <c r="AK259" i="4"/>
  <c r="AK255" i="4"/>
  <c r="AK254" i="4"/>
  <c r="AK205" i="4"/>
  <c r="AK204" i="4"/>
  <c r="AK203" i="4"/>
  <c r="AK186" i="4"/>
  <c r="AK185" i="4"/>
  <c r="AK184" i="4"/>
  <c r="AK167" i="4"/>
  <c r="AK166" i="4"/>
  <c r="AK165" i="4"/>
  <c r="AK148" i="4"/>
  <c r="AK147" i="4"/>
  <c r="AK146" i="4"/>
  <c r="AK108" i="4"/>
  <c r="AK107" i="4"/>
  <c r="AK106" i="4"/>
  <c r="AK94" i="4"/>
  <c r="AK93" i="4"/>
  <c r="AK92" i="4"/>
  <c r="AK26" i="4"/>
  <c r="AK25" i="4"/>
  <c r="AK24" i="4"/>
  <c r="AK4" i="4"/>
  <c r="AK3" i="4"/>
  <c r="AK2" i="4"/>
  <c r="AI402" i="4"/>
  <c r="AI387" i="4"/>
  <c r="AI373" i="4"/>
  <c r="AI372" i="4"/>
  <c r="AI371" i="4"/>
  <c r="AI370" i="4"/>
  <c r="AI356" i="4"/>
  <c r="AI355" i="4"/>
  <c r="AI354" i="4"/>
  <c r="AI353" i="4"/>
  <c r="AI330" i="4"/>
  <c r="AI322" i="4"/>
  <c r="AI320" i="4"/>
  <c r="AI319" i="4"/>
  <c r="AI317" i="4"/>
  <c r="AI316" i="4"/>
  <c r="AI288" i="4"/>
  <c r="AI280" i="4"/>
  <c r="AI272" i="4"/>
  <c r="AI268" i="4"/>
  <c r="AI267" i="4"/>
  <c r="AI259" i="4"/>
  <c r="AI255" i="4"/>
  <c r="AI254" i="4"/>
  <c r="AI205" i="4"/>
  <c r="AI204" i="4"/>
  <c r="AI203" i="4"/>
  <c r="AI186" i="4"/>
  <c r="AI185" i="4"/>
  <c r="AI184" i="4"/>
  <c r="AI167" i="4"/>
  <c r="AI166" i="4"/>
  <c r="AI165" i="4"/>
  <c r="AI148" i="4"/>
  <c r="AI147" i="4"/>
  <c r="AI146" i="4"/>
  <c r="AI108" i="4"/>
  <c r="AI107" i="4"/>
  <c r="AI106" i="4"/>
  <c r="AI94" i="4"/>
  <c r="AI93" i="4"/>
  <c r="AI92" i="4"/>
  <c r="AI26" i="4"/>
  <c r="AI25" i="4"/>
  <c r="AI24" i="4"/>
  <c r="AI4" i="4"/>
  <c r="AI3" i="4"/>
  <c r="AI2" i="4"/>
  <c r="AG402" i="4"/>
  <c r="AG387" i="4"/>
  <c r="AG373" i="4"/>
  <c r="AG372" i="4"/>
  <c r="AG371" i="4"/>
  <c r="AG370" i="4"/>
  <c r="AG356" i="4"/>
  <c r="AG355" i="4"/>
  <c r="AG354" i="4"/>
  <c r="AG353" i="4"/>
  <c r="AG330" i="4"/>
  <c r="AG322" i="4"/>
  <c r="AG320" i="4"/>
  <c r="AG319" i="4"/>
  <c r="AG317" i="4"/>
  <c r="AG316" i="4"/>
  <c r="AG288" i="4"/>
  <c r="AG280" i="4"/>
  <c r="AG272" i="4"/>
  <c r="AG268" i="4"/>
  <c r="AG267" i="4"/>
  <c r="AG259" i="4"/>
  <c r="AG255" i="4"/>
  <c r="AG254" i="4"/>
  <c r="AG205" i="4"/>
  <c r="AG204" i="4"/>
  <c r="AG203" i="4"/>
  <c r="AG186" i="4"/>
  <c r="AG185" i="4"/>
  <c r="AG184" i="4"/>
  <c r="AG167" i="4"/>
  <c r="AG166" i="4"/>
  <c r="AG165" i="4"/>
  <c r="AG148" i="4"/>
  <c r="AG147" i="4"/>
  <c r="AG146" i="4"/>
  <c r="AG108" i="4"/>
  <c r="AG107" i="4"/>
  <c r="AG106" i="4"/>
  <c r="AG94" i="4"/>
  <c r="AG93" i="4"/>
  <c r="AG92" i="4"/>
  <c r="AG69" i="4"/>
  <c r="AG68" i="4"/>
  <c r="AG67" i="4"/>
  <c r="AG47" i="4"/>
  <c r="AG46" i="4"/>
  <c r="AG45" i="4"/>
  <c r="AG26" i="4"/>
  <c r="AG25" i="4"/>
  <c r="AG24" i="4"/>
  <c r="AG4" i="4"/>
  <c r="AG3" i="4"/>
  <c r="AG2" i="4"/>
  <c r="AE402" i="4"/>
  <c r="AE387" i="4"/>
  <c r="AE373" i="4"/>
  <c r="AE372" i="4"/>
  <c r="AE371" i="4"/>
  <c r="AE370" i="4"/>
  <c r="AE356" i="4"/>
  <c r="AE355" i="4"/>
  <c r="AE354" i="4"/>
  <c r="AE353" i="4"/>
  <c r="AE330" i="4"/>
  <c r="AE322" i="4"/>
  <c r="AE320" i="4"/>
  <c r="AE319" i="4"/>
  <c r="AE317" i="4"/>
  <c r="AE316" i="4"/>
  <c r="AE288" i="4"/>
  <c r="AE280" i="4"/>
  <c r="AE272" i="4"/>
  <c r="AE268" i="4"/>
  <c r="AE267" i="4"/>
  <c r="AE259" i="4"/>
  <c r="AE255" i="4"/>
  <c r="AE254" i="4"/>
  <c r="AE205" i="4"/>
  <c r="AE204" i="4"/>
  <c r="AE203" i="4"/>
  <c r="AE186" i="4"/>
  <c r="AE185" i="4"/>
  <c r="AE184" i="4"/>
  <c r="AE167" i="4"/>
  <c r="AE166" i="4"/>
  <c r="AE165" i="4"/>
  <c r="AE148" i="4"/>
  <c r="AE147" i="4"/>
  <c r="AE146" i="4"/>
  <c r="AE108" i="4"/>
  <c r="AE107" i="4"/>
  <c r="AE106" i="4"/>
  <c r="AE94" i="4"/>
  <c r="AE93" i="4"/>
  <c r="AE92" i="4"/>
  <c r="AE69" i="4"/>
  <c r="AE68" i="4"/>
  <c r="AE67" i="4"/>
  <c r="AE47" i="4"/>
  <c r="AE46" i="4"/>
  <c r="AE45" i="4"/>
  <c r="AE26" i="4"/>
  <c r="AE25" i="4"/>
  <c r="AE24" i="4"/>
  <c r="AE4" i="4"/>
  <c r="AE3" i="4"/>
  <c r="AE2" i="4"/>
  <c r="AC402" i="4"/>
  <c r="AC387" i="4"/>
  <c r="AC373" i="4"/>
  <c r="AC372" i="4"/>
  <c r="AC371" i="4"/>
  <c r="AC370" i="4"/>
  <c r="AC356" i="4"/>
  <c r="AC355" i="4"/>
  <c r="AC354" i="4"/>
  <c r="AC353" i="4"/>
  <c r="AC330" i="4"/>
  <c r="AC322" i="4"/>
  <c r="AC320" i="4"/>
  <c r="AC319" i="4"/>
  <c r="AC317" i="4"/>
  <c r="AC316" i="4"/>
  <c r="AC288" i="4"/>
  <c r="AC280" i="4"/>
  <c r="AC272" i="4"/>
  <c r="AC268" i="4"/>
  <c r="AC267" i="4"/>
  <c r="AC259" i="4"/>
  <c r="AC255" i="4"/>
  <c r="AC254" i="4"/>
  <c r="AC205" i="4"/>
  <c r="AC204" i="4"/>
  <c r="AC203" i="4"/>
  <c r="AC186" i="4"/>
  <c r="AC185" i="4"/>
  <c r="AC184" i="4"/>
  <c r="AC167" i="4"/>
  <c r="AC166" i="4"/>
  <c r="AC165" i="4"/>
  <c r="AC148" i="4"/>
  <c r="AC147" i="4"/>
  <c r="AC146" i="4"/>
  <c r="AC108" i="4"/>
  <c r="AC107" i="4"/>
  <c r="AC106" i="4"/>
  <c r="AC94" i="4"/>
  <c r="AC93" i="4"/>
  <c r="AC92" i="4"/>
  <c r="AC69" i="4"/>
  <c r="AC68" i="4"/>
  <c r="AC67" i="4"/>
  <c r="AC47" i="4"/>
  <c r="AC46" i="4"/>
  <c r="AC45" i="4"/>
  <c r="AC26" i="4"/>
  <c r="AC25" i="4"/>
  <c r="AC24" i="4"/>
  <c r="AC4" i="4"/>
  <c r="AC3" i="4"/>
  <c r="AC2" i="4"/>
  <c r="AA402" i="4"/>
  <c r="AA387" i="4"/>
  <c r="AA373" i="4"/>
  <c r="AA372" i="4"/>
  <c r="AA371" i="4"/>
  <c r="AA370" i="4"/>
  <c r="AA356" i="4"/>
  <c r="AA355" i="4"/>
  <c r="AA354" i="4"/>
  <c r="AA353" i="4"/>
  <c r="AA330" i="4"/>
  <c r="AA322" i="4"/>
  <c r="AA320" i="4"/>
  <c r="AA319" i="4"/>
  <c r="AA317" i="4"/>
  <c r="AA316" i="4"/>
  <c r="AA288" i="4"/>
  <c r="AA280" i="4"/>
  <c r="AA272" i="4"/>
  <c r="AA268" i="4"/>
  <c r="AA267" i="4"/>
  <c r="AA259" i="4"/>
  <c r="AA255" i="4"/>
  <c r="AA254" i="4"/>
  <c r="AA205" i="4"/>
  <c r="AA204" i="4"/>
  <c r="AA203" i="4"/>
  <c r="AA186" i="4"/>
  <c r="AA185" i="4"/>
  <c r="AA184" i="4"/>
  <c r="AA167" i="4"/>
  <c r="AA166" i="4"/>
  <c r="AA165" i="4"/>
  <c r="AA148" i="4"/>
  <c r="AA147" i="4"/>
  <c r="AA146" i="4"/>
  <c r="AA108" i="4"/>
  <c r="AA107" i="4"/>
  <c r="AA106" i="4"/>
  <c r="AA94" i="4"/>
  <c r="AA93" i="4"/>
  <c r="AA92" i="4"/>
  <c r="AA69" i="4"/>
  <c r="AA68" i="4"/>
  <c r="AA67" i="4"/>
  <c r="AA47" i="4"/>
  <c r="AA46" i="4"/>
  <c r="AA45" i="4"/>
  <c r="AA26" i="4"/>
  <c r="AA25" i="4"/>
  <c r="AA24" i="4"/>
  <c r="AA4" i="4"/>
  <c r="AA3" i="4"/>
  <c r="AA2" i="4"/>
  <c r="Y402" i="4"/>
  <c r="Y387" i="4"/>
  <c r="Y373" i="4"/>
  <c r="Y372" i="4"/>
  <c r="Y371" i="4"/>
  <c r="Y370" i="4"/>
  <c r="Y356" i="4"/>
  <c r="Y355" i="4"/>
  <c r="Y354" i="4"/>
  <c r="Y353" i="4"/>
  <c r="Y330" i="4"/>
  <c r="Y322" i="4"/>
  <c r="Y320" i="4"/>
  <c r="Y319" i="4"/>
  <c r="Y317" i="4"/>
  <c r="Y316" i="4"/>
  <c r="Y288" i="4"/>
  <c r="Y280" i="4"/>
  <c r="Y272" i="4"/>
  <c r="Y268" i="4"/>
  <c r="Y267" i="4"/>
  <c r="Y259" i="4"/>
  <c r="Y255" i="4"/>
  <c r="Y254" i="4"/>
  <c r="Y205" i="4"/>
  <c r="Y204" i="4"/>
  <c r="Y203" i="4"/>
  <c r="Y186" i="4"/>
  <c r="Y185" i="4"/>
  <c r="Y184" i="4"/>
  <c r="Y167" i="4"/>
  <c r="Y166" i="4"/>
  <c r="Y165" i="4"/>
  <c r="Y148" i="4"/>
  <c r="Y147" i="4"/>
  <c r="Y146" i="4"/>
  <c r="Y108" i="4"/>
  <c r="Y107" i="4"/>
  <c r="Y106" i="4"/>
  <c r="Y94" i="4"/>
  <c r="Y93" i="4"/>
  <c r="Y92" i="4"/>
  <c r="Y69" i="4"/>
  <c r="Y68" i="4"/>
  <c r="Y67" i="4"/>
  <c r="Y47" i="4"/>
  <c r="Y46" i="4"/>
  <c r="Y45" i="4"/>
  <c r="Y26" i="4"/>
  <c r="Y25" i="4"/>
  <c r="Y24" i="4"/>
  <c r="Y4" i="4"/>
  <c r="Y3" i="4"/>
  <c r="Y2" i="4"/>
  <c r="CE373" i="5"/>
  <c r="CE372" i="5"/>
  <c r="CE371" i="5"/>
  <c r="CE370" i="5"/>
  <c r="CE356" i="5"/>
  <c r="CE355" i="5"/>
  <c r="CE354" i="5"/>
  <c r="CE353" i="5"/>
  <c r="CE318" i="5"/>
  <c r="CE144" i="5"/>
  <c r="CE143" i="5"/>
  <c r="CE142" i="5"/>
  <c r="CE128" i="5"/>
  <c r="CE127" i="5"/>
  <c r="CE126" i="5"/>
  <c r="CE81" i="5"/>
  <c r="CE80" i="5"/>
  <c r="CE69" i="5"/>
  <c r="CE68" i="5"/>
  <c r="CE67" i="5"/>
  <c r="CE59" i="5"/>
  <c r="CE58" i="5"/>
  <c r="CE47" i="5"/>
  <c r="CE46" i="5"/>
  <c r="CE45" i="5"/>
  <c r="CC373" i="5"/>
  <c r="CC372" i="5"/>
  <c r="CC371" i="5"/>
  <c r="CC370" i="5"/>
  <c r="CC356" i="5"/>
  <c r="CC355" i="5"/>
  <c r="CC354" i="5"/>
  <c r="CC353" i="5"/>
  <c r="CC318" i="5"/>
  <c r="CC252" i="5"/>
  <c r="CC251" i="5"/>
  <c r="CC250" i="5"/>
  <c r="CC236" i="5"/>
  <c r="CC235" i="5"/>
  <c r="CC234" i="5"/>
  <c r="CC144" i="5"/>
  <c r="CC143" i="5"/>
  <c r="CC142" i="5"/>
  <c r="CC128" i="5"/>
  <c r="CC127" i="5"/>
  <c r="CC126" i="5"/>
  <c r="CC81" i="5"/>
  <c r="CC80" i="5"/>
  <c r="CC69" i="5"/>
  <c r="CC68" i="5"/>
  <c r="CC67" i="5"/>
  <c r="CC59" i="5"/>
  <c r="CC58" i="5"/>
  <c r="CC47" i="5"/>
  <c r="CC46" i="5"/>
  <c r="CC45" i="5"/>
  <c r="CA418" i="5"/>
  <c r="CA417" i="5"/>
  <c r="CA402" i="5"/>
  <c r="CA387" i="5"/>
  <c r="CA373" i="5"/>
  <c r="CA372" i="5"/>
  <c r="CA371" i="5"/>
  <c r="CA370" i="5"/>
  <c r="CA356" i="5"/>
  <c r="CA355" i="5"/>
  <c r="CA354" i="5"/>
  <c r="CA353" i="5"/>
  <c r="CA351" i="5"/>
  <c r="CA350" i="5"/>
  <c r="CA320" i="5"/>
  <c r="CA319" i="5"/>
  <c r="CA318" i="5"/>
  <c r="CA317" i="5"/>
  <c r="CA316" i="5"/>
  <c r="CA314" i="5"/>
  <c r="CA304" i="5"/>
  <c r="CA288" i="5"/>
  <c r="CA280" i="5"/>
  <c r="CA272" i="5"/>
  <c r="CA268" i="5"/>
  <c r="CA267" i="5"/>
  <c r="CA259" i="5"/>
  <c r="CA255" i="5"/>
  <c r="CA254" i="5"/>
  <c r="CA252" i="5"/>
  <c r="CA251" i="5"/>
  <c r="CA250" i="5"/>
  <c r="CA236" i="5"/>
  <c r="CA235" i="5"/>
  <c r="CA234" i="5"/>
  <c r="CA205" i="5"/>
  <c r="CA204" i="5"/>
  <c r="CA203" i="5"/>
  <c r="CA186" i="5"/>
  <c r="CA185" i="5"/>
  <c r="CA184" i="5"/>
  <c r="CA167" i="5"/>
  <c r="CA166" i="5"/>
  <c r="CA165" i="5"/>
  <c r="CA148" i="5"/>
  <c r="CA147" i="5"/>
  <c r="CA146" i="5"/>
  <c r="CA144" i="5"/>
  <c r="CA143" i="5"/>
  <c r="CA142" i="5"/>
  <c r="CA128" i="5"/>
  <c r="CA127" i="5"/>
  <c r="CA126" i="5"/>
  <c r="CA108" i="5"/>
  <c r="CA107" i="5"/>
  <c r="CA106" i="5"/>
  <c r="CA93" i="5"/>
  <c r="CA92" i="5"/>
  <c r="CA81" i="5"/>
  <c r="CA80" i="5"/>
  <c r="CA69" i="5"/>
  <c r="CA68" i="5"/>
  <c r="CA67" i="5"/>
  <c r="CA59" i="5"/>
  <c r="CA58" i="5"/>
  <c r="CA47" i="5"/>
  <c r="CA46" i="5"/>
  <c r="CA45" i="5"/>
  <c r="CA40" i="5"/>
  <c r="CA39" i="5"/>
  <c r="CA38" i="5"/>
  <c r="CA27" i="5"/>
  <c r="CA26" i="5"/>
  <c r="CA25" i="5"/>
  <c r="CA24" i="5"/>
  <c r="CA22" i="5"/>
  <c r="CA21" i="5"/>
  <c r="CA20" i="5"/>
  <c r="CA18" i="5"/>
  <c r="CA17" i="5"/>
  <c r="CA16" i="5"/>
  <c r="CA5" i="5"/>
  <c r="CA4" i="5"/>
  <c r="CA3" i="5"/>
  <c r="CA2" i="5"/>
  <c r="BY418" i="5"/>
  <c r="BY417" i="5"/>
  <c r="BY403" i="5"/>
  <c r="BY402" i="5"/>
  <c r="BY388" i="5"/>
  <c r="BY387" i="5"/>
  <c r="BY374" i="5"/>
  <c r="BY373" i="5"/>
  <c r="BY372" i="5"/>
  <c r="BY371" i="5"/>
  <c r="BY370" i="5"/>
  <c r="BY357" i="5"/>
  <c r="BY356" i="5"/>
  <c r="BY355" i="5"/>
  <c r="BY354" i="5"/>
  <c r="BY353" i="5"/>
  <c r="BY351" i="5"/>
  <c r="BY350" i="5"/>
  <c r="BY330" i="5"/>
  <c r="BY322" i="5"/>
  <c r="BY320" i="5"/>
  <c r="BY319" i="5"/>
  <c r="BY318" i="5"/>
  <c r="BY317" i="5"/>
  <c r="BY316" i="5"/>
  <c r="BY314" i="5"/>
  <c r="BY304" i="5"/>
  <c r="BY288" i="5"/>
  <c r="BY280" i="5"/>
  <c r="BY272" i="5"/>
  <c r="BY268" i="5"/>
  <c r="BY267" i="5"/>
  <c r="BY259" i="5"/>
  <c r="BY255" i="5"/>
  <c r="BY254" i="5"/>
  <c r="BY252" i="5"/>
  <c r="BY251" i="5"/>
  <c r="BY250" i="5"/>
  <c r="BY236" i="5"/>
  <c r="BY235" i="5"/>
  <c r="BY234" i="5"/>
  <c r="BY205" i="5"/>
  <c r="BY204" i="5"/>
  <c r="BY203" i="5"/>
  <c r="BY186" i="5"/>
  <c r="BY185" i="5"/>
  <c r="BY184" i="5"/>
  <c r="BY167" i="5"/>
  <c r="BY166" i="5"/>
  <c r="BY165" i="5"/>
  <c r="BY148" i="5"/>
  <c r="BY147" i="5"/>
  <c r="BY146" i="5"/>
  <c r="BY145" i="5"/>
  <c r="BY144" i="5"/>
  <c r="BY143" i="5"/>
  <c r="BY142" i="5"/>
  <c r="BY129" i="5"/>
  <c r="BY128" i="5"/>
  <c r="BY127" i="5"/>
  <c r="BY126" i="5"/>
  <c r="BY108" i="5"/>
  <c r="BY107" i="5"/>
  <c r="BY106" i="5"/>
  <c r="BY94" i="5"/>
  <c r="BY93" i="5"/>
  <c r="BY92" i="5"/>
  <c r="BY82" i="5"/>
  <c r="BY81" i="5"/>
  <c r="BY80" i="5"/>
  <c r="BY70" i="5"/>
  <c r="BY69" i="5"/>
  <c r="BY68" i="5"/>
  <c r="BY67" i="5"/>
  <c r="BY60" i="5"/>
  <c r="BY59" i="5"/>
  <c r="BY58" i="5"/>
  <c r="BY48" i="5"/>
  <c r="BY47" i="5"/>
  <c r="BY46" i="5"/>
  <c r="BY45" i="5"/>
  <c r="BY40" i="5"/>
  <c r="BY39" i="5"/>
  <c r="BY38" i="5"/>
  <c r="BY27" i="5"/>
  <c r="BY26" i="5"/>
  <c r="BY25" i="5"/>
  <c r="BY24" i="5"/>
  <c r="BY22" i="5"/>
  <c r="BY21" i="5"/>
  <c r="BY20" i="5"/>
  <c r="BY18" i="5"/>
  <c r="BY17" i="5"/>
  <c r="BY16" i="5"/>
  <c r="BY5" i="5"/>
  <c r="BY4" i="5"/>
  <c r="BY3" i="5"/>
  <c r="BY2" i="5"/>
  <c r="BW418" i="5"/>
  <c r="BW417" i="5"/>
  <c r="BW403" i="5"/>
  <c r="BW402" i="5"/>
  <c r="BW388" i="5"/>
  <c r="BW387" i="5"/>
  <c r="BW374" i="5"/>
  <c r="BW373" i="5"/>
  <c r="BW372" i="5"/>
  <c r="BW371" i="5"/>
  <c r="BW370" i="5"/>
  <c r="BW357" i="5"/>
  <c r="BW356" i="5"/>
  <c r="BW355" i="5"/>
  <c r="BW354" i="5"/>
  <c r="BW353" i="5"/>
  <c r="BW351" i="5"/>
  <c r="BW350" i="5"/>
  <c r="BW330" i="5"/>
  <c r="BW322" i="5"/>
  <c r="BW320" i="5"/>
  <c r="BW319" i="5"/>
  <c r="BW318" i="5"/>
  <c r="BW317" i="5"/>
  <c r="BW316" i="5"/>
  <c r="BW314" i="5"/>
  <c r="BW304" i="5"/>
  <c r="BW288" i="5"/>
  <c r="BW280" i="5"/>
  <c r="BW272" i="5"/>
  <c r="BW268" i="5"/>
  <c r="BW267" i="5"/>
  <c r="BW259" i="5"/>
  <c r="BW255" i="5"/>
  <c r="BW254" i="5"/>
  <c r="BW253" i="5"/>
  <c r="BW252" i="5"/>
  <c r="BW251" i="5"/>
  <c r="BW250" i="5"/>
  <c r="BW237" i="5"/>
  <c r="BW236" i="5"/>
  <c r="BW235" i="5"/>
  <c r="BW234" i="5"/>
  <c r="BW205" i="5"/>
  <c r="BW204" i="5"/>
  <c r="BW203" i="5"/>
  <c r="BW186" i="5"/>
  <c r="BW185" i="5"/>
  <c r="BW184" i="5"/>
  <c r="BW167" i="5"/>
  <c r="BW166" i="5"/>
  <c r="BW165" i="5"/>
  <c r="BW148" i="5"/>
  <c r="BW147" i="5"/>
  <c r="BW146" i="5"/>
  <c r="BW145" i="5"/>
  <c r="BW144" i="5"/>
  <c r="BW143" i="5"/>
  <c r="BW142" i="5"/>
  <c r="BW129" i="5"/>
  <c r="BW128" i="5"/>
  <c r="BW127" i="5"/>
  <c r="BW126" i="5"/>
  <c r="BW108" i="5"/>
  <c r="BW107" i="5"/>
  <c r="BW106" i="5"/>
  <c r="BW94" i="5"/>
  <c r="BW93" i="5"/>
  <c r="BW92" i="5"/>
  <c r="BW82" i="5"/>
  <c r="BW81" i="5"/>
  <c r="BW80" i="5"/>
  <c r="BW70" i="5"/>
  <c r="BW69" i="5"/>
  <c r="BW68" i="5"/>
  <c r="BW67" i="5"/>
  <c r="BW60" i="5"/>
  <c r="BW59" i="5"/>
  <c r="BW58" i="5"/>
  <c r="BW48" i="5"/>
  <c r="BW47" i="5"/>
  <c r="BW46" i="5"/>
  <c r="BW45" i="5"/>
  <c r="BW40" i="5"/>
  <c r="BW39" i="5"/>
  <c r="BW38" i="5"/>
  <c r="BW27" i="5"/>
  <c r="BW26" i="5"/>
  <c r="BW25" i="5"/>
  <c r="BW24" i="5"/>
  <c r="BW22" i="5"/>
  <c r="BW21" i="5"/>
  <c r="BW20" i="5"/>
  <c r="BW18" i="5"/>
  <c r="BW17" i="5"/>
  <c r="BW16" i="5"/>
  <c r="BW5" i="5"/>
  <c r="BW4" i="5"/>
  <c r="BW3" i="5"/>
  <c r="BW2" i="5"/>
  <c r="BU419" i="5"/>
  <c r="BU418" i="5"/>
  <c r="BU417" i="5"/>
  <c r="BU404" i="5"/>
  <c r="BU403" i="5"/>
  <c r="BU402" i="5"/>
  <c r="BU389" i="5"/>
  <c r="BU388" i="5"/>
  <c r="BU387" i="5"/>
  <c r="BU374" i="5"/>
  <c r="BU373" i="5"/>
  <c r="BU372" i="5"/>
  <c r="BU371" i="5"/>
  <c r="BU370" i="5"/>
  <c r="BU357" i="5"/>
  <c r="BU356" i="5"/>
  <c r="BU355" i="5"/>
  <c r="BU354" i="5"/>
  <c r="BU353" i="5"/>
  <c r="BU352" i="5"/>
  <c r="BU351" i="5"/>
  <c r="BU350" i="5"/>
  <c r="BU330" i="5"/>
  <c r="BU322" i="5"/>
  <c r="BU320" i="5"/>
  <c r="BU319" i="5"/>
  <c r="BU318" i="5"/>
  <c r="BU317" i="5"/>
  <c r="BU316" i="5"/>
  <c r="BU315" i="5"/>
  <c r="BU314" i="5"/>
  <c r="BU305" i="5"/>
  <c r="BU304" i="5"/>
  <c r="BU289" i="5"/>
  <c r="BU288" i="5"/>
  <c r="BU281" i="5"/>
  <c r="BU280" i="5"/>
  <c r="BU273" i="5"/>
  <c r="BU272" i="5"/>
  <c r="BU269" i="5"/>
  <c r="BU268" i="5"/>
  <c r="BU267" i="5"/>
  <c r="BU260" i="5"/>
  <c r="BU259" i="5"/>
  <c r="BU256" i="5"/>
  <c r="BU255" i="5"/>
  <c r="BU254" i="5"/>
  <c r="BU253" i="5"/>
  <c r="BU252" i="5"/>
  <c r="BU251" i="5"/>
  <c r="BU250" i="5"/>
  <c r="BU237" i="5"/>
  <c r="BU236" i="5"/>
  <c r="BU235" i="5"/>
  <c r="BU234" i="5"/>
  <c r="BU206" i="5"/>
  <c r="BU205" i="5"/>
  <c r="BU204" i="5"/>
  <c r="BU203" i="5"/>
  <c r="BU187" i="5"/>
  <c r="BU186" i="5"/>
  <c r="BU185" i="5"/>
  <c r="BU184" i="5"/>
  <c r="BU168" i="5"/>
  <c r="BU167" i="5"/>
  <c r="BU166" i="5"/>
  <c r="BU165" i="5"/>
  <c r="BU149" i="5"/>
  <c r="BU148" i="5"/>
  <c r="BU147" i="5"/>
  <c r="BU146" i="5"/>
  <c r="BU145" i="5"/>
  <c r="BU144" i="5"/>
  <c r="BU143" i="5"/>
  <c r="BU142" i="5"/>
  <c r="BU129" i="5"/>
  <c r="BU128" i="5"/>
  <c r="BU127" i="5"/>
  <c r="BU126" i="5"/>
  <c r="BU110" i="5"/>
  <c r="BU109" i="5"/>
  <c r="BU108" i="5"/>
  <c r="BU107" i="5"/>
  <c r="BU106" i="5"/>
  <c r="BU96" i="5"/>
  <c r="BU95" i="5"/>
  <c r="BU94" i="5"/>
  <c r="BU93" i="5"/>
  <c r="BU92" i="5"/>
  <c r="BU82" i="5"/>
  <c r="BU81" i="5"/>
  <c r="BU80" i="5"/>
  <c r="BU70" i="5"/>
  <c r="BU69" i="5"/>
  <c r="BU68" i="5"/>
  <c r="BU67" i="5"/>
  <c r="BU60" i="5"/>
  <c r="BU59" i="5"/>
  <c r="BU58" i="5"/>
  <c r="BU48" i="5"/>
  <c r="BU47" i="5"/>
  <c r="BU46" i="5"/>
  <c r="BU45" i="5"/>
  <c r="BU41" i="5"/>
  <c r="BU40" i="5"/>
  <c r="BU39" i="5"/>
  <c r="BU38" i="5"/>
  <c r="BU28" i="5"/>
  <c r="BU27" i="5"/>
  <c r="BU26" i="5"/>
  <c r="BU25" i="5"/>
  <c r="BU24" i="5"/>
  <c r="BU23" i="5"/>
  <c r="BU22" i="5"/>
  <c r="BU21" i="5"/>
  <c r="BU20" i="5"/>
  <c r="BU19" i="5"/>
  <c r="BU18" i="5"/>
  <c r="BU17" i="5"/>
  <c r="BU16" i="5"/>
  <c r="BU6" i="5"/>
  <c r="BU5" i="5"/>
  <c r="BU4" i="5"/>
  <c r="BU3" i="5"/>
  <c r="BU2" i="5"/>
  <c r="BS419" i="5"/>
  <c r="BS418" i="5"/>
  <c r="BS417" i="5"/>
  <c r="BS404" i="5"/>
  <c r="BS403" i="5"/>
  <c r="BS402" i="5"/>
  <c r="BS389" i="5"/>
  <c r="BS388" i="5"/>
  <c r="BS387" i="5"/>
  <c r="BS374" i="5"/>
  <c r="BS373" i="5"/>
  <c r="BS372" i="5"/>
  <c r="BS371" i="5"/>
  <c r="BS370" i="5"/>
  <c r="BS357" i="5"/>
  <c r="BS356" i="5"/>
  <c r="BS355" i="5"/>
  <c r="BS354" i="5"/>
  <c r="BS353" i="5"/>
  <c r="BS352" i="5"/>
  <c r="BS351" i="5"/>
  <c r="BS350" i="5"/>
  <c r="BS331" i="5"/>
  <c r="BS330" i="5"/>
  <c r="BS323" i="5"/>
  <c r="BS322" i="5"/>
  <c r="BS320" i="5"/>
  <c r="BS319" i="5"/>
  <c r="BS318" i="5"/>
  <c r="BS317" i="5"/>
  <c r="BS316" i="5"/>
  <c r="BS315" i="5"/>
  <c r="BS314" i="5"/>
  <c r="BS305" i="5"/>
  <c r="BS304" i="5"/>
  <c r="BS289" i="5"/>
  <c r="BS288" i="5"/>
  <c r="BS281" i="5"/>
  <c r="BS280" i="5"/>
  <c r="BS273" i="5"/>
  <c r="BS272" i="5"/>
  <c r="BS269" i="5"/>
  <c r="BS268" i="5"/>
  <c r="BS267" i="5"/>
  <c r="BS260" i="5"/>
  <c r="BS259" i="5"/>
  <c r="BS256" i="5"/>
  <c r="BS255" i="5"/>
  <c r="BS254" i="5"/>
  <c r="BS253" i="5"/>
  <c r="BS252" i="5"/>
  <c r="BS251" i="5"/>
  <c r="BS250" i="5"/>
  <c r="BS237" i="5"/>
  <c r="BS236" i="5"/>
  <c r="BS235" i="5"/>
  <c r="BS234" i="5"/>
  <c r="BS206" i="5"/>
  <c r="BS205" i="5"/>
  <c r="BS204" i="5"/>
  <c r="BS203" i="5"/>
  <c r="BS187" i="5"/>
  <c r="BS186" i="5"/>
  <c r="BS185" i="5"/>
  <c r="BS184" i="5"/>
  <c r="BS168" i="5"/>
  <c r="BS167" i="5"/>
  <c r="BS166" i="5"/>
  <c r="BS165" i="5"/>
  <c r="BS149" i="5"/>
  <c r="BS148" i="5"/>
  <c r="BS147" i="5"/>
  <c r="BS146" i="5"/>
  <c r="BS145" i="5"/>
  <c r="BS144" i="5"/>
  <c r="BS143" i="5"/>
  <c r="BS142" i="5"/>
  <c r="BS129" i="5"/>
  <c r="BS128" i="5"/>
  <c r="BS127" i="5"/>
  <c r="BS126" i="5"/>
  <c r="BS110" i="5"/>
  <c r="BS109" i="5"/>
  <c r="BS108" i="5"/>
  <c r="BS107" i="5"/>
  <c r="BS106" i="5"/>
  <c r="BS96" i="5"/>
  <c r="BS95" i="5"/>
  <c r="BS94" i="5"/>
  <c r="BS93" i="5"/>
  <c r="BS92" i="5"/>
  <c r="BS82" i="5"/>
  <c r="BS81" i="5"/>
  <c r="BS80" i="5"/>
  <c r="BS70" i="5"/>
  <c r="BS69" i="5"/>
  <c r="BS68" i="5"/>
  <c r="BS67" i="5"/>
  <c r="BS60" i="5"/>
  <c r="BS59" i="5"/>
  <c r="BS58" i="5"/>
  <c r="BS48" i="5"/>
  <c r="BS47" i="5"/>
  <c r="BS46" i="5"/>
  <c r="BS45" i="5"/>
  <c r="BS41" i="5"/>
  <c r="BS40" i="5"/>
  <c r="BS39" i="5"/>
  <c r="BS38" i="5"/>
  <c r="BS28" i="5"/>
  <c r="BS27" i="5"/>
  <c r="BS26" i="5"/>
  <c r="BS25" i="5"/>
  <c r="BS24" i="5"/>
  <c r="BS23" i="5"/>
  <c r="BS22" i="5"/>
  <c r="BS21" i="5"/>
  <c r="BS20" i="5"/>
  <c r="BS19" i="5"/>
  <c r="BS18" i="5"/>
  <c r="BS17" i="5"/>
  <c r="BS16" i="5"/>
  <c r="BS6" i="5"/>
  <c r="BS5" i="5"/>
  <c r="BS4" i="5"/>
  <c r="BS3" i="5"/>
  <c r="BS2" i="5"/>
  <c r="BQ419" i="5"/>
  <c r="BQ418" i="5"/>
  <c r="BQ417" i="5"/>
  <c r="BQ404" i="5"/>
  <c r="BQ403" i="5"/>
  <c r="BQ402" i="5"/>
  <c r="BQ389" i="5"/>
  <c r="BQ388" i="5"/>
  <c r="BQ387" i="5"/>
  <c r="BQ374" i="5"/>
  <c r="BQ373" i="5"/>
  <c r="BQ372" i="5"/>
  <c r="BQ371" i="5"/>
  <c r="BQ370" i="5"/>
  <c r="BQ357" i="5"/>
  <c r="BQ356" i="5"/>
  <c r="BQ355" i="5"/>
  <c r="BQ354" i="5"/>
  <c r="BQ353" i="5"/>
  <c r="BQ352" i="5"/>
  <c r="BQ351" i="5"/>
  <c r="BQ350" i="5"/>
  <c r="BQ331" i="5"/>
  <c r="BQ330" i="5"/>
  <c r="BQ323" i="5"/>
  <c r="BQ322" i="5"/>
  <c r="BQ320" i="5"/>
  <c r="BQ319" i="5"/>
  <c r="BQ318" i="5"/>
  <c r="BQ317" i="5"/>
  <c r="BQ316" i="5"/>
  <c r="BQ315" i="5"/>
  <c r="BQ314" i="5"/>
  <c r="BQ305" i="5"/>
  <c r="BQ304" i="5"/>
  <c r="BQ289" i="5"/>
  <c r="BQ288" i="5"/>
  <c r="BQ281" i="5"/>
  <c r="BQ280" i="5"/>
  <c r="BQ273" i="5"/>
  <c r="BQ272" i="5"/>
  <c r="BQ269" i="5"/>
  <c r="BQ268" i="5"/>
  <c r="BQ267" i="5"/>
  <c r="BQ260" i="5"/>
  <c r="BQ259" i="5"/>
  <c r="BQ256" i="5"/>
  <c r="BQ255" i="5"/>
  <c r="BQ254" i="5"/>
  <c r="BQ253" i="5"/>
  <c r="BQ252" i="5"/>
  <c r="BQ251" i="5"/>
  <c r="BQ250" i="5"/>
  <c r="BQ237" i="5"/>
  <c r="BQ236" i="5"/>
  <c r="BQ235" i="5"/>
  <c r="BQ234" i="5"/>
  <c r="BQ206" i="5"/>
  <c r="BQ205" i="5"/>
  <c r="BQ204" i="5"/>
  <c r="BQ203" i="5"/>
  <c r="BQ187" i="5"/>
  <c r="BQ186" i="5"/>
  <c r="BQ185" i="5"/>
  <c r="BQ184" i="5"/>
  <c r="BQ168" i="5"/>
  <c r="BQ167" i="5"/>
  <c r="BQ166" i="5"/>
  <c r="BQ165" i="5"/>
  <c r="BQ149" i="5"/>
  <c r="BQ148" i="5"/>
  <c r="BQ147" i="5"/>
  <c r="BQ146" i="5"/>
  <c r="BQ145" i="5"/>
  <c r="BQ144" i="5"/>
  <c r="BQ143" i="5"/>
  <c r="BQ142" i="5"/>
  <c r="BQ129" i="5"/>
  <c r="BQ128" i="5"/>
  <c r="BQ127" i="5"/>
  <c r="BQ126" i="5"/>
  <c r="BQ110" i="5"/>
  <c r="BQ109" i="5"/>
  <c r="BQ108" i="5"/>
  <c r="BQ107" i="5"/>
  <c r="BQ106" i="5"/>
  <c r="BQ96" i="5"/>
  <c r="BQ95" i="5"/>
  <c r="BQ94" i="5"/>
  <c r="BQ93" i="5"/>
  <c r="BQ92" i="5"/>
  <c r="BQ82" i="5"/>
  <c r="BQ81" i="5"/>
  <c r="BQ80" i="5"/>
  <c r="BQ70" i="5"/>
  <c r="BQ69" i="5"/>
  <c r="BQ68" i="5"/>
  <c r="BQ67" i="5"/>
  <c r="BQ60" i="5"/>
  <c r="BQ59" i="5"/>
  <c r="BQ58" i="5"/>
  <c r="BQ48" i="5"/>
  <c r="BQ47" i="5"/>
  <c r="BQ46" i="5"/>
  <c r="BQ45" i="5"/>
  <c r="BQ41" i="5"/>
  <c r="BQ40" i="5"/>
  <c r="BQ39" i="5"/>
  <c r="BQ38" i="5"/>
  <c r="BQ28" i="5"/>
  <c r="BQ27" i="5"/>
  <c r="BQ26" i="5"/>
  <c r="BQ25" i="5"/>
  <c r="BQ24" i="5"/>
  <c r="BQ23" i="5"/>
  <c r="BQ22" i="5"/>
  <c r="BQ21" i="5"/>
  <c r="BQ20" i="5"/>
  <c r="BQ19" i="5"/>
  <c r="BQ18" i="5"/>
  <c r="BQ17" i="5"/>
  <c r="BQ16" i="5"/>
  <c r="BQ6" i="5"/>
  <c r="BQ5" i="5"/>
  <c r="BQ4" i="5"/>
  <c r="BQ3" i="5"/>
  <c r="BQ2" i="5"/>
  <c r="BO419" i="5"/>
  <c r="BO418" i="5"/>
  <c r="BO417" i="5"/>
  <c r="BO404" i="5"/>
  <c r="BO403" i="5"/>
  <c r="BO402" i="5"/>
  <c r="BO389" i="5"/>
  <c r="BO388" i="5"/>
  <c r="BO387" i="5"/>
  <c r="BO374" i="5"/>
  <c r="BO373" i="5"/>
  <c r="BO372" i="5"/>
  <c r="BO371" i="5"/>
  <c r="BO370" i="5"/>
  <c r="BO357" i="5"/>
  <c r="BO356" i="5"/>
  <c r="BO355" i="5"/>
  <c r="BO354" i="5"/>
  <c r="BO353" i="5"/>
  <c r="BO352" i="5"/>
  <c r="BO351" i="5"/>
  <c r="BO350" i="5"/>
  <c r="BO331" i="5"/>
  <c r="BO330" i="5"/>
  <c r="BO323" i="5"/>
  <c r="BO322" i="5"/>
  <c r="BO320" i="5"/>
  <c r="BO319" i="5"/>
  <c r="BO318" i="5"/>
  <c r="BO317" i="5"/>
  <c r="BO316" i="5"/>
  <c r="BO315" i="5"/>
  <c r="BO314" i="5"/>
  <c r="BO305" i="5"/>
  <c r="BO304" i="5"/>
  <c r="BO289" i="5"/>
  <c r="BO288" i="5"/>
  <c r="BO281" i="5"/>
  <c r="BO280" i="5"/>
  <c r="BO273" i="5"/>
  <c r="BO272" i="5"/>
  <c r="BO269" i="5"/>
  <c r="BO268" i="5"/>
  <c r="BO267" i="5"/>
  <c r="BO260" i="5"/>
  <c r="BO259" i="5"/>
  <c r="BO256" i="5"/>
  <c r="BO255" i="5"/>
  <c r="BO254" i="5"/>
  <c r="BO253" i="5"/>
  <c r="BO252" i="5"/>
  <c r="BO251" i="5"/>
  <c r="BO250" i="5"/>
  <c r="BO237" i="5"/>
  <c r="BO236" i="5"/>
  <c r="BO235" i="5"/>
  <c r="BO234" i="5"/>
  <c r="BO206" i="5"/>
  <c r="BO205" i="5"/>
  <c r="BO204" i="5"/>
  <c r="BO203" i="5"/>
  <c r="BO187" i="5"/>
  <c r="BO186" i="5"/>
  <c r="BO185" i="5"/>
  <c r="BO184" i="5"/>
  <c r="BO168" i="5"/>
  <c r="BO167" i="5"/>
  <c r="BO166" i="5"/>
  <c r="BO165" i="5"/>
  <c r="BO149" i="5"/>
  <c r="BO148" i="5"/>
  <c r="BO147" i="5"/>
  <c r="BO146" i="5"/>
  <c r="BO145" i="5"/>
  <c r="BO144" i="5"/>
  <c r="BO143" i="5"/>
  <c r="BO142" i="5"/>
  <c r="BO129" i="5"/>
  <c r="BO128" i="5"/>
  <c r="BO127" i="5"/>
  <c r="BO126" i="5"/>
  <c r="BO110" i="5"/>
  <c r="BO109" i="5"/>
  <c r="BO108" i="5"/>
  <c r="BO107" i="5"/>
  <c r="BO106" i="5"/>
  <c r="BO96" i="5"/>
  <c r="BO95" i="5"/>
  <c r="BO94" i="5"/>
  <c r="BO93" i="5"/>
  <c r="BO92" i="5"/>
  <c r="BO82" i="5"/>
  <c r="BO81" i="5"/>
  <c r="BO80" i="5"/>
  <c r="BO70" i="5"/>
  <c r="BO69" i="5"/>
  <c r="BO68" i="5"/>
  <c r="BO67" i="5"/>
  <c r="BO60" i="5"/>
  <c r="BO59" i="5"/>
  <c r="BO58" i="5"/>
  <c r="BO48" i="5"/>
  <c r="BO47" i="5"/>
  <c r="BO46" i="5"/>
  <c r="BO45" i="5"/>
  <c r="BO41" i="5"/>
  <c r="BO40" i="5"/>
  <c r="BO39" i="5"/>
  <c r="BO38" i="5"/>
  <c r="BO28" i="5"/>
  <c r="BO27" i="5"/>
  <c r="BO26" i="5"/>
  <c r="BO25" i="5"/>
  <c r="BO24" i="5"/>
  <c r="BO23" i="5"/>
  <c r="BO22" i="5"/>
  <c r="BO21" i="5"/>
  <c r="BO20" i="5"/>
  <c r="BO19" i="5"/>
  <c r="BO18" i="5"/>
  <c r="BO17" i="5"/>
  <c r="BO16" i="5"/>
  <c r="BO6" i="5"/>
  <c r="BO5" i="5"/>
  <c r="BO4" i="5"/>
  <c r="BO3" i="5"/>
  <c r="BO2" i="5"/>
  <c r="BM419" i="5"/>
  <c r="BM418" i="5"/>
  <c r="BM417" i="5"/>
  <c r="BM404" i="5"/>
  <c r="BM403" i="5"/>
  <c r="BM402" i="5"/>
  <c r="BM389" i="5"/>
  <c r="BM388" i="5"/>
  <c r="BM387" i="5"/>
  <c r="BM374" i="5"/>
  <c r="BM373" i="5"/>
  <c r="BM372" i="5"/>
  <c r="BM371" i="5"/>
  <c r="BM370" i="5"/>
  <c r="BM357" i="5"/>
  <c r="BM356" i="5"/>
  <c r="BM355" i="5"/>
  <c r="BM354" i="5"/>
  <c r="BM353" i="5"/>
  <c r="BM352" i="5"/>
  <c r="BM351" i="5"/>
  <c r="BM350" i="5"/>
  <c r="BM331" i="5"/>
  <c r="BM330" i="5"/>
  <c r="BM323" i="5"/>
  <c r="BM322" i="5"/>
  <c r="BM320" i="5"/>
  <c r="BM319" i="5"/>
  <c r="BM318" i="5"/>
  <c r="BM317" i="5"/>
  <c r="BM316" i="5"/>
  <c r="BM315" i="5"/>
  <c r="BM314" i="5"/>
  <c r="BM305" i="5"/>
  <c r="BM304" i="5"/>
  <c r="BM289" i="5"/>
  <c r="BM288" i="5"/>
  <c r="BM281" i="5"/>
  <c r="BM280" i="5"/>
  <c r="BM273" i="5"/>
  <c r="BM272" i="5"/>
  <c r="BM269" i="5"/>
  <c r="BM268" i="5"/>
  <c r="BM267" i="5"/>
  <c r="BM260" i="5"/>
  <c r="BM259" i="5"/>
  <c r="BM256" i="5"/>
  <c r="BM255" i="5"/>
  <c r="BM254" i="5"/>
  <c r="BM253" i="5"/>
  <c r="BM252" i="5"/>
  <c r="BM251" i="5"/>
  <c r="BM250" i="5"/>
  <c r="BM237" i="5"/>
  <c r="BM236" i="5"/>
  <c r="BM235" i="5"/>
  <c r="BM234" i="5"/>
  <c r="BM206" i="5"/>
  <c r="BM205" i="5"/>
  <c r="BM204" i="5"/>
  <c r="BM203" i="5"/>
  <c r="BM187" i="5"/>
  <c r="BM186" i="5"/>
  <c r="BM185" i="5"/>
  <c r="BM184" i="5"/>
  <c r="BM168" i="5"/>
  <c r="BM167" i="5"/>
  <c r="BM166" i="5"/>
  <c r="BM165" i="5"/>
  <c r="BM149" i="5"/>
  <c r="BM148" i="5"/>
  <c r="BM147" i="5"/>
  <c r="BM146" i="5"/>
  <c r="BM145" i="5"/>
  <c r="BM144" i="5"/>
  <c r="BM143" i="5"/>
  <c r="BM142" i="5"/>
  <c r="BM129" i="5"/>
  <c r="BM128" i="5"/>
  <c r="BM127" i="5"/>
  <c r="BM126" i="5"/>
  <c r="BM110" i="5"/>
  <c r="BM109" i="5"/>
  <c r="BM108" i="5"/>
  <c r="BM107" i="5"/>
  <c r="BM106" i="5"/>
  <c r="BM96" i="5"/>
  <c r="BM95" i="5"/>
  <c r="BM94" i="5"/>
  <c r="BM93" i="5"/>
  <c r="BM92" i="5"/>
  <c r="BM82" i="5"/>
  <c r="BM81" i="5"/>
  <c r="BM80" i="5"/>
  <c r="BM70" i="5"/>
  <c r="BM69" i="5"/>
  <c r="BM68" i="5"/>
  <c r="BM67" i="5"/>
  <c r="BM60" i="5"/>
  <c r="BM59" i="5"/>
  <c r="BM58" i="5"/>
  <c r="BM48" i="5"/>
  <c r="BM47" i="5"/>
  <c r="BM46" i="5"/>
  <c r="BM45" i="5"/>
  <c r="BM41" i="5"/>
  <c r="BM40" i="5"/>
  <c r="BM39" i="5"/>
  <c r="BM38" i="5"/>
  <c r="BM28" i="5"/>
  <c r="BM27" i="5"/>
  <c r="BM26" i="5"/>
  <c r="BM25" i="5"/>
  <c r="BM24" i="5"/>
  <c r="BM23" i="5"/>
  <c r="BM22" i="5"/>
  <c r="BM21" i="5"/>
  <c r="BM20" i="5"/>
  <c r="BM19" i="5"/>
  <c r="BM18" i="5"/>
  <c r="BM17" i="5"/>
  <c r="BM16" i="5"/>
  <c r="BM6" i="5"/>
  <c r="BM5" i="5"/>
  <c r="BM4" i="5"/>
  <c r="BM3" i="5"/>
  <c r="BM2" i="5"/>
  <c r="BK419" i="5"/>
  <c r="BK418" i="5"/>
  <c r="BK417" i="5"/>
  <c r="BK404" i="5"/>
  <c r="BK403" i="5"/>
  <c r="BK402" i="5"/>
  <c r="BK389" i="5"/>
  <c r="BK388" i="5"/>
  <c r="BK387" i="5"/>
  <c r="BK374" i="5"/>
  <c r="BK373" i="5"/>
  <c r="BK372" i="5"/>
  <c r="BK371" i="5"/>
  <c r="BK370" i="5"/>
  <c r="BK357" i="5"/>
  <c r="BK356" i="5"/>
  <c r="BK355" i="5"/>
  <c r="BK354" i="5"/>
  <c r="BK353" i="5"/>
  <c r="BK352" i="5"/>
  <c r="BK351" i="5"/>
  <c r="BK350" i="5"/>
  <c r="BK331" i="5"/>
  <c r="BK330" i="5"/>
  <c r="BK323" i="5"/>
  <c r="BK322" i="5"/>
  <c r="BK320" i="5"/>
  <c r="BK319" i="5"/>
  <c r="BK318" i="5"/>
  <c r="BK317" i="5"/>
  <c r="BK316" i="5"/>
  <c r="BK315" i="5"/>
  <c r="BK314" i="5"/>
  <c r="BK305" i="5"/>
  <c r="BK304" i="5"/>
  <c r="BK289" i="5"/>
  <c r="BK288" i="5"/>
  <c r="BK281" i="5"/>
  <c r="BK280" i="5"/>
  <c r="BK273" i="5"/>
  <c r="BK272" i="5"/>
  <c r="BK269" i="5"/>
  <c r="BK268" i="5"/>
  <c r="BK267" i="5"/>
  <c r="BK260" i="5"/>
  <c r="BK259" i="5"/>
  <c r="BK256" i="5"/>
  <c r="BK255" i="5"/>
  <c r="BK254" i="5"/>
  <c r="BK253" i="5"/>
  <c r="BK252" i="5"/>
  <c r="BK251" i="5"/>
  <c r="BK250" i="5"/>
  <c r="BK237" i="5"/>
  <c r="BK236" i="5"/>
  <c r="BK235" i="5"/>
  <c r="BK234" i="5"/>
  <c r="BK206" i="5"/>
  <c r="BK205" i="5"/>
  <c r="BK204" i="5"/>
  <c r="BK203" i="5"/>
  <c r="BK187" i="5"/>
  <c r="BK186" i="5"/>
  <c r="BK185" i="5"/>
  <c r="BK184" i="5"/>
  <c r="BK168" i="5"/>
  <c r="BK167" i="5"/>
  <c r="BK166" i="5"/>
  <c r="BK165" i="5"/>
  <c r="BK149" i="5"/>
  <c r="BK148" i="5"/>
  <c r="BK147" i="5"/>
  <c r="BK146" i="5"/>
  <c r="BK145" i="5"/>
  <c r="BK144" i="5"/>
  <c r="BK143" i="5"/>
  <c r="BK142" i="5"/>
  <c r="BK129" i="5"/>
  <c r="BK128" i="5"/>
  <c r="BK127" i="5"/>
  <c r="BK126" i="5"/>
  <c r="BK110" i="5"/>
  <c r="BK109" i="5"/>
  <c r="BK108" i="5"/>
  <c r="BK107" i="5"/>
  <c r="BK106" i="5"/>
  <c r="BK96" i="5"/>
  <c r="BK95" i="5"/>
  <c r="BK94" i="5"/>
  <c r="BK93" i="5"/>
  <c r="BK92" i="5"/>
  <c r="BK82" i="5"/>
  <c r="BK81" i="5"/>
  <c r="BK80" i="5"/>
  <c r="BK70" i="5"/>
  <c r="BK69" i="5"/>
  <c r="BK68" i="5"/>
  <c r="BK67" i="5"/>
  <c r="BK60" i="5"/>
  <c r="BK59" i="5"/>
  <c r="BK58" i="5"/>
  <c r="BK48" i="5"/>
  <c r="BK47" i="5"/>
  <c r="BK46" i="5"/>
  <c r="BK45" i="5"/>
  <c r="BK41" i="5"/>
  <c r="BK40" i="5"/>
  <c r="BK39" i="5"/>
  <c r="BK38" i="5"/>
  <c r="BK28" i="5"/>
  <c r="BK27" i="5"/>
  <c r="BK26" i="5"/>
  <c r="BK25" i="5"/>
  <c r="BK24" i="5"/>
  <c r="BK23" i="5"/>
  <c r="BK22" i="5"/>
  <c r="BK21" i="5"/>
  <c r="BK20" i="5"/>
  <c r="BK19" i="5"/>
  <c r="BK18" i="5"/>
  <c r="BK17" i="5"/>
  <c r="BK16" i="5"/>
  <c r="BK6" i="5"/>
  <c r="BK5" i="5"/>
  <c r="BK4" i="5"/>
  <c r="BK3" i="5"/>
  <c r="BK2" i="5"/>
  <c r="BI419" i="5"/>
  <c r="BI418" i="5"/>
  <c r="BI417" i="5"/>
  <c r="BI404" i="5"/>
  <c r="BI403" i="5"/>
  <c r="BI402" i="5"/>
  <c r="BI389" i="5"/>
  <c r="BI388" i="5"/>
  <c r="BI387" i="5"/>
  <c r="BI374" i="5"/>
  <c r="BI373" i="5"/>
  <c r="BI372" i="5"/>
  <c r="BI371" i="5"/>
  <c r="BI370" i="5"/>
  <c r="BI357" i="5"/>
  <c r="BI356" i="5"/>
  <c r="BI355" i="5"/>
  <c r="BI354" i="5"/>
  <c r="BI353" i="5"/>
  <c r="BI352" i="5"/>
  <c r="BI351" i="5"/>
  <c r="BI350" i="5"/>
  <c r="BI331" i="5"/>
  <c r="BI330" i="5"/>
  <c r="BI323" i="5"/>
  <c r="BI322" i="5"/>
  <c r="BI320" i="5"/>
  <c r="BI319" i="5"/>
  <c r="BI318" i="5"/>
  <c r="BI317" i="5"/>
  <c r="BI316" i="5"/>
  <c r="BI315" i="5"/>
  <c r="BI314" i="5"/>
  <c r="BI305" i="5"/>
  <c r="BI304" i="5"/>
  <c r="BI289" i="5"/>
  <c r="BI288" i="5"/>
  <c r="BI281" i="5"/>
  <c r="BI280" i="5"/>
  <c r="BI273" i="5"/>
  <c r="BI272" i="5"/>
  <c r="BI269" i="5"/>
  <c r="BI268" i="5"/>
  <c r="BI267" i="5"/>
  <c r="BI260" i="5"/>
  <c r="BI259" i="5"/>
  <c r="BI256" i="5"/>
  <c r="BI255" i="5"/>
  <c r="BI254" i="5"/>
  <c r="BI253" i="5"/>
  <c r="BI252" i="5"/>
  <c r="BI251" i="5"/>
  <c r="BI250" i="5"/>
  <c r="BI237" i="5"/>
  <c r="BI236" i="5"/>
  <c r="BI235" i="5"/>
  <c r="BI234" i="5"/>
  <c r="BI206" i="5"/>
  <c r="BI205" i="5"/>
  <c r="BI204" i="5"/>
  <c r="BI203" i="5"/>
  <c r="BI187" i="5"/>
  <c r="BI186" i="5"/>
  <c r="BI185" i="5"/>
  <c r="BI184" i="5"/>
  <c r="BI168" i="5"/>
  <c r="BI167" i="5"/>
  <c r="BI166" i="5"/>
  <c r="BI165" i="5"/>
  <c r="BI149" i="5"/>
  <c r="BI148" i="5"/>
  <c r="BI147" i="5"/>
  <c r="BI146" i="5"/>
  <c r="BI145" i="5"/>
  <c r="BI144" i="5"/>
  <c r="BI143" i="5"/>
  <c r="BI142" i="5"/>
  <c r="BI129" i="5"/>
  <c r="BI128" i="5"/>
  <c r="BI127" i="5"/>
  <c r="BI126" i="5"/>
  <c r="BI110" i="5"/>
  <c r="BI109" i="5"/>
  <c r="BI108" i="5"/>
  <c r="BI107" i="5"/>
  <c r="BI106" i="5"/>
  <c r="BI96" i="5"/>
  <c r="BI95" i="5"/>
  <c r="BI94" i="5"/>
  <c r="BI93" i="5"/>
  <c r="BI92" i="5"/>
  <c r="BI82" i="5"/>
  <c r="BI81" i="5"/>
  <c r="BI80" i="5"/>
  <c r="BI70" i="5"/>
  <c r="BI69" i="5"/>
  <c r="BI68" i="5"/>
  <c r="BI67" i="5"/>
  <c r="BI60" i="5"/>
  <c r="BI59" i="5"/>
  <c r="BI58" i="5"/>
  <c r="BI48" i="5"/>
  <c r="BI47" i="5"/>
  <c r="BI46" i="5"/>
  <c r="BI45" i="5"/>
  <c r="BI41" i="5"/>
  <c r="BI40" i="5"/>
  <c r="BI39" i="5"/>
  <c r="BI38" i="5"/>
  <c r="BI28" i="5"/>
  <c r="BI27" i="5"/>
  <c r="BI26" i="5"/>
  <c r="BI25" i="5"/>
  <c r="BI24" i="5"/>
  <c r="BI23" i="5"/>
  <c r="BI22" i="5"/>
  <c r="BI21" i="5"/>
  <c r="BI20" i="5"/>
  <c r="BI19" i="5"/>
  <c r="BI18" i="5"/>
  <c r="BI17" i="5"/>
  <c r="BI16" i="5"/>
  <c r="BI6" i="5"/>
  <c r="BI5" i="5"/>
  <c r="BI4" i="5"/>
  <c r="BI3" i="5"/>
  <c r="BI2" i="5"/>
  <c r="BG419" i="5"/>
  <c r="BG418" i="5"/>
  <c r="BG417" i="5"/>
  <c r="BG404" i="5"/>
  <c r="BG403" i="5"/>
  <c r="BG402" i="5"/>
  <c r="BG389" i="5"/>
  <c r="BG388" i="5"/>
  <c r="BG387" i="5"/>
  <c r="BG374" i="5"/>
  <c r="BG373" i="5"/>
  <c r="BG372" i="5"/>
  <c r="BG371" i="5"/>
  <c r="BG370" i="5"/>
  <c r="BG357" i="5"/>
  <c r="BG356" i="5"/>
  <c r="BG355" i="5"/>
  <c r="BG354" i="5"/>
  <c r="BG353" i="5"/>
  <c r="BG352" i="5"/>
  <c r="BG351" i="5"/>
  <c r="BG350" i="5"/>
  <c r="BG331" i="5"/>
  <c r="BG330" i="5"/>
  <c r="BG323" i="5"/>
  <c r="BG322" i="5"/>
  <c r="BG320" i="5"/>
  <c r="BG319" i="5"/>
  <c r="BG318" i="5"/>
  <c r="BG317" i="5"/>
  <c r="BG316" i="5"/>
  <c r="BG315" i="5"/>
  <c r="BG314" i="5"/>
  <c r="BG305" i="5"/>
  <c r="BG304" i="5"/>
  <c r="BG289" i="5"/>
  <c r="BG288" i="5"/>
  <c r="BG281" i="5"/>
  <c r="BG280" i="5"/>
  <c r="BG273" i="5"/>
  <c r="BG272" i="5"/>
  <c r="BG269" i="5"/>
  <c r="BG268" i="5"/>
  <c r="BG267" i="5"/>
  <c r="BG260" i="5"/>
  <c r="BG259" i="5"/>
  <c r="BG256" i="5"/>
  <c r="BG255" i="5"/>
  <c r="BG254" i="5"/>
  <c r="BG253" i="5"/>
  <c r="BG252" i="5"/>
  <c r="BG251" i="5"/>
  <c r="BG250" i="5"/>
  <c r="BG237" i="5"/>
  <c r="BG236" i="5"/>
  <c r="BG235" i="5"/>
  <c r="BG234" i="5"/>
  <c r="BG206" i="5"/>
  <c r="BG205" i="5"/>
  <c r="BG204" i="5"/>
  <c r="BG203" i="5"/>
  <c r="BG187" i="5"/>
  <c r="BG186" i="5"/>
  <c r="BG185" i="5"/>
  <c r="BG184" i="5"/>
  <c r="BG168" i="5"/>
  <c r="BG167" i="5"/>
  <c r="BG166" i="5"/>
  <c r="BG165" i="5"/>
  <c r="BG149" i="5"/>
  <c r="BG148" i="5"/>
  <c r="BG147" i="5"/>
  <c r="BG146" i="5"/>
  <c r="BG145" i="5"/>
  <c r="BG144" i="5"/>
  <c r="BG143" i="5"/>
  <c r="BG142" i="5"/>
  <c r="BG129" i="5"/>
  <c r="BG128" i="5"/>
  <c r="BG127" i="5"/>
  <c r="BG126" i="5"/>
  <c r="BG110" i="5"/>
  <c r="BG109" i="5"/>
  <c r="BG108" i="5"/>
  <c r="BG107" i="5"/>
  <c r="BG106" i="5"/>
  <c r="BG96" i="5"/>
  <c r="BG95" i="5"/>
  <c r="BG94" i="5"/>
  <c r="BG93" i="5"/>
  <c r="BG92" i="5"/>
  <c r="BG82" i="5"/>
  <c r="BG81" i="5"/>
  <c r="BG80" i="5"/>
  <c r="BG70" i="5"/>
  <c r="BG69" i="5"/>
  <c r="BG68" i="5"/>
  <c r="BG67" i="5"/>
  <c r="BG60" i="5"/>
  <c r="BG59" i="5"/>
  <c r="BG58" i="5"/>
  <c r="BG48" i="5"/>
  <c r="BG47" i="5"/>
  <c r="BG46" i="5"/>
  <c r="BG45" i="5"/>
  <c r="BG41" i="5"/>
  <c r="BG40" i="5"/>
  <c r="BG39" i="5"/>
  <c r="BG38" i="5"/>
  <c r="BG28" i="5"/>
  <c r="BG27" i="5"/>
  <c r="BG26" i="5"/>
  <c r="BG25" i="5"/>
  <c r="BG24" i="5"/>
  <c r="BG23" i="5"/>
  <c r="BG22" i="5"/>
  <c r="BG21" i="5"/>
  <c r="BG20" i="5"/>
  <c r="BG19" i="5"/>
  <c r="BG18" i="5"/>
  <c r="BG17" i="5"/>
  <c r="BG16" i="5"/>
  <c r="BG6" i="5"/>
  <c r="BG5" i="5"/>
  <c r="BG4" i="5"/>
  <c r="BG3" i="5"/>
  <c r="BG2" i="5"/>
  <c r="BE419" i="5"/>
  <c r="BE418" i="5"/>
  <c r="BE417" i="5"/>
  <c r="BE404" i="5"/>
  <c r="BE403" i="5"/>
  <c r="BE402" i="5"/>
  <c r="BE389" i="5"/>
  <c r="BE388" i="5"/>
  <c r="BE387" i="5"/>
  <c r="BE374" i="5"/>
  <c r="BE373" i="5"/>
  <c r="BE372" i="5"/>
  <c r="BE371" i="5"/>
  <c r="BE370" i="5"/>
  <c r="BE357" i="5"/>
  <c r="BE356" i="5"/>
  <c r="BE355" i="5"/>
  <c r="BE354" i="5"/>
  <c r="BE353" i="5"/>
  <c r="BE352" i="5"/>
  <c r="BE351" i="5"/>
  <c r="BE350" i="5"/>
  <c r="BE331" i="5"/>
  <c r="BE330" i="5"/>
  <c r="BE323" i="5"/>
  <c r="BE322" i="5"/>
  <c r="BE320" i="5"/>
  <c r="BE319" i="5"/>
  <c r="BE318" i="5"/>
  <c r="BE317" i="5"/>
  <c r="BE316" i="5"/>
  <c r="BE315" i="5"/>
  <c r="BE314" i="5"/>
  <c r="BE305" i="5"/>
  <c r="BE304" i="5"/>
  <c r="BE289" i="5"/>
  <c r="BE288" i="5"/>
  <c r="BE281" i="5"/>
  <c r="BE280" i="5"/>
  <c r="BE273" i="5"/>
  <c r="BE272" i="5"/>
  <c r="BE269" i="5"/>
  <c r="BE268" i="5"/>
  <c r="BE267" i="5"/>
  <c r="BE260" i="5"/>
  <c r="BE259" i="5"/>
  <c r="BE256" i="5"/>
  <c r="BE255" i="5"/>
  <c r="BE254" i="5"/>
  <c r="BE253" i="5"/>
  <c r="BE252" i="5"/>
  <c r="BE251" i="5"/>
  <c r="BE250" i="5"/>
  <c r="BE237" i="5"/>
  <c r="BE236" i="5"/>
  <c r="BE235" i="5"/>
  <c r="BE234" i="5"/>
  <c r="BE206" i="5"/>
  <c r="BE205" i="5"/>
  <c r="BE204" i="5"/>
  <c r="BE203" i="5"/>
  <c r="BE187" i="5"/>
  <c r="BE186" i="5"/>
  <c r="BE185" i="5"/>
  <c r="BE184" i="5"/>
  <c r="BE168" i="5"/>
  <c r="BE167" i="5"/>
  <c r="BE166" i="5"/>
  <c r="BE165" i="5"/>
  <c r="BE149" i="5"/>
  <c r="BE148" i="5"/>
  <c r="BE147" i="5"/>
  <c r="BE146" i="5"/>
  <c r="BE145" i="5"/>
  <c r="BE144" i="5"/>
  <c r="BE143" i="5"/>
  <c r="BE142" i="5"/>
  <c r="BE129" i="5"/>
  <c r="BE128" i="5"/>
  <c r="BE127" i="5"/>
  <c r="BE126" i="5"/>
  <c r="BE110" i="5"/>
  <c r="BE109" i="5"/>
  <c r="BE108" i="5"/>
  <c r="BE107" i="5"/>
  <c r="BE106" i="5"/>
  <c r="BE96" i="5"/>
  <c r="BE95" i="5"/>
  <c r="BE94" i="5"/>
  <c r="BE93" i="5"/>
  <c r="BE92" i="5"/>
  <c r="BE82" i="5"/>
  <c r="BE81" i="5"/>
  <c r="BE80" i="5"/>
  <c r="BE70" i="5"/>
  <c r="BE69" i="5"/>
  <c r="BE68" i="5"/>
  <c r="BE67" i="5"/>
  <c r="BE60" i="5"/>
  <c r="BE59" i="5"/>
  <c r="BE58" i="5"/>
  <c r="BE48" i="5"/>
  <c r="BE47" i="5"/>
  <c r="BE46" i="5"/>
  <c r="BE45" i="5"/>
  <c r="BE41" i="5"/>
  <c r="BE40" i="5"/>
  <c r="BE39" i="5"/>
  <c r="BE38" i="5"/>
  <c r="BE28" i="5"/>
  <c r="BE27" i="5"/>
  <c r="BE26" i="5"/>
  <c r="BE25" i="5"/>
  <c r="BE24" i="5"/>
  <c r="BE23" i="5"/>
  <c r="BE22" i="5"/>
  <c r="BE21" i="5"/>
  <c r="BE20" i="5"/>
  <c r="BE19" i="5"/>
  <c r="BE18" i="5"/>
  <c r="BE17" i="5"/>
  <c r="BE16" i="5"/>
  <c r="BE6" i="5"/>
  <c r="BE5" i="5"/>
  <c r="BE4" i="5"/>
  <c r="BE3" i="5"/>
  <c r="BE2" i="5"/>
  <c r="BC419" i="5"/>
  <c r="BC418" i="5"/>
  <c r="BC417" i="5"/>
  <c r="BC404" i="5"/>
  <c r="BC403" i="5"/>
  <c r="BC402" i="5"/>
  <c r="BC389" i="5"/>
  <c r="BC388" i="5"/>
  <c r="BC387" i="5"/>
  <c r="BC374" i="5"/>
  <c r="BC373" i="5"/>
  <c r="BC372" i="5"/>
  <c r="BC371" i="5"/>
  <c r="BC370" i="5"/>
  <c r="BC357" i="5"/>
  <c r="BC356" i="5"/>
  <c r="BC355" i="5"/>
  <c r="BC354" i="5"/>
  <c r="BC353" i="5"/>
  <c r="BC352" i="5"/>
  <c r="BC351" i="5"/>
  <c r="BC350" i="5"/>
  <c r="BC331" i="5"/>
  <c r="BC330" i="5"/>
  <c r="BC323" i="5"/>
  <c r="BC322" i="5"/>
  <c r="BC320" i="5"/>
  <c r="BC319" i="5"/>
  <c r="BC318" i="5"/>
  <c r="BC317" i="5"/>
  <c r="BC316" i="5"/>
  <c r="BC315" i="5"/>
  <c r="BC314" i="5"/>
  <c r="BC305" i="5"/>
  <c r="BC304" i="5"/>
  <c r="BC289" i="5"/>
  <c r="BC288" i="5"/>
  <c r="BC281" i="5"/>
  <c r="BC280" i="5"/>
  <c r="BC273" i="5"/>
  <c r="BC272" i="5"/>
  <c r="BC269" i="5"/>
  <c r="BC268" i="5"/>
  <c r="BC267" i="5"/>
  <c r="BC260" i="5"/>
  <c r="BC259" i="5"/>
  <c r="BC256" i="5"/>
  <c r="BC255" i="5"/>
  <c r="BC254" i="5"/>
  <c r="BC253" i="5"/>
  <c r="BC252" i="5"/>
  <c r="BC251" i="5"/>
  <c r="BC250" i="5"/>
  <c r="BC237" i="5"/>
  <c r="BC236" i="5"/>
  <c r="BC235" i="5"/>
  <c r="BC234" i="5"/>
  <c r="BC206" i="5"/>
  <c r="BC205" i="5"/>
  <c r="BC204" i="5"/>
  <c r="BC203" i="5"/>
  <c r="BC187" i="5"/>
  <c r="BC186" i="5"/>
  <c r="BC185" i="5"/>
  <c r="BC184" i="5"/>
  <c r="BC168" i="5"/>
  <c r="BC167" i="5"/>
  <c r="BC166" i="5"/>
  <c r="BC165" i="5"/>
  <c r="BC149" i="5"/>
  <c r="BC148" i="5"/>
  <c r="BC147" i="5"/>
  <c r="BC146" i="5"/>
  <c r="BC145" i="5"/>
  <c r="BC144" i="5"/>
  <c r="BC143" i="5"/>
  <c r="BC142" i="5"/>
  <c r="BC129" i="5"/>
  <c r="BC128" i="5"/>
  <c r="BC127" i="5"/>
  <c r="BC126" i="5"/>
  <c r="BC110" i="5"/>
  <c r="BC109" i="5"/>
  <c r="BC108" i="5"/>
  <c r="BC107" i="5"/>
  <c r="BC106" i="5"/>
  <c r="BC96" i="5"/>
  <c r="BC95" i="5"/>
  <c r="BC94" i="5"/>
  <c r="BC93" i="5"/>
  <c r="BC92" i="5"/>
  <c r="BC82" i="5"/>
  <c r="BC81" i="5"/>
  <c r="BC80" i="5"/>
  <c r="BC70" i="5"/>
  <c r="BC69" i="5"/>
  <c r="BC68" i="5"/>
  <c r="BC67" i="5"/>
  <c r="BC60" i="5"/>
  <c r="BC59" i="5"/>
  <c r="BC58" i="5"/>
  <c r="BC48" i="5"/>
  <c r="BC47" i="5"/>
  <c r="BC46" i="5"/>
  <c r="BC45" i="5"/>
  <c r="BC41" i="5"/>
  <c r="BC40" i="5"/>
  <c r="BC39" i="5"/>
  <c r="BC38" i="5"/>
  <c r="BC28" i="5"/>
  <c r="BC27" i="5"/>
  <c r="BC26" i="5"/>
  <c r="BC25" i="5"/>
  <c r="BC24" i="5"/>
  <c r="BC23" i="5"/>
  <c r="BC22" i="5"/>
  <c r="BC21" i="5"/>
  <c r="BC20" i="5"/>
  <c r="BC19" i="5"/>
  <c r="BC18" i="5"/>
  <c r="BC17" i="5"/>
  <c r="BC16" i="5"/>
  <c r="BC6" i="5"/>
  <c r="BC5" i="5"/>
  <c r="BC4" i="5"/>
  <c r="BC3" i="5"/>
  <c r="BC2" i="5"/>
  <c r="BA419" i="5"/>
  <c r="BA417" i="5"/>
  <c r="BA374" i="5"/>
  <c r="BA371" i="5"/>
  <c r="BA370" i="5"/>
  <c r="BA357" i="5"/>
  <c r="BA354" i="5"/>
  <c r="BA353" i="5"/>
  <c r="BA269" i="5"/>
  <c r="BA268" i="5"/>
  <c r="BA267" i="5"/>
  <c r="BA256" i="5"/>
  <c r="BA255" i="5"/>
  <c r="BA254" i="5"/>
  <c r="BA206" i="5"/>
  <c r="BA204" i="5"/>
  <c r="BA203" i="5"/>
  <c r="BA187" i="5"/>
  <c r="BA185" i="5"/>
  <c r="BA184" i="5"/>
  <c r="BA168" i="5"/>
  <c r="BA166" i="5"/>
  <c r="BA165" i="5"/>
  <c r="BA149" i="5"/>
  <c r="BA147" i="5"/>
  <c r="BA146" i="5"/>
  <c r="BA145" i="5"/>
  <c r="BA143" i="5"/>
  <c r="BA142" i="5"/>
  <c r="BA129" i="5"/>
  <c r="BA127" i="5"/>
  <c r="BA126" i="5"/>
  <c r="BA110" i="5"/>
  <c r="BA109" i="5"/>
  <c r="BA107" i="5"/>
  <c r="BA106" i="5"/>
  <c r="BA96" i="5"/>
  <c r="BA95" i="5"/>
  <c r="BA93" i="5"/>
  <c r="BA92" i="5"/>
  <c r="BA70" i="5"/>
  <c r="BA68" i="5"/>
  <c r="BA67" i="5"/>
  <c r="BA48" i="5"/>
  <c r="BA46" i="5"/>
  <c r="BA45" i="5"/>
  <c r="BA28" i="5"/>
  <c r="BA25" i="5"/>
  <c r="BA24" i="5"/>
  <c r="BA6" i="5"/>
  <c r="BA3" i="5"/>
  <c r="BA2" i="5"/>
  <c r="AY419" i="5"/>
  <c r="AY417" i="5"/>
  <c r="AY374" i="5"/>
  <c r="AY371" i="5"/>
  <c r="AY370" i="5"/>
  <c r="AY357" i="5"/>
  <c r="AY354" i="5"/>
  <c r="AY353" i="5"/>
  <c r="AY352" i="5"/>
  <c r="AY350" i="5"/>
  <c r="AY269" i="5"/>
  <c r="AY268" i="5"/>
  <c r="AY267" i="5"/>
  <c r="AY256" i="5"/>
  <c r="AY255" i="5"/>
  <c r="AY254" i="5"/>
  <c r="AY206" i="5"/>
  <c r="AY204" i="5"/>
  <c r="AY203" i="5"/>
  <c r="AY187" i="5"/>
  <c r="AY185" i="5"/>
  <c r="AY184" i="5"/>
  <c r="AY168" i="5"/>
  <c r="AY166" i="5"/>
  <c r="AY165" i="5"/>
  <c r="AY149" i="5"/>
  <c r="AY147" i="5"/>
  <c r="AY146" i="5"/>
  <c r="AY145" i="5"/>
  <c r="AY143" i="5"/>
  <c r="AY142" i="5"/>
  <c r="AY129" i="5"/>
  <c r="AY127" i="5"/>
  <c r="AY126" i="5"/>
  <c r="AY110" i="5"/>
  <c r="AY109" i="5"/>
  <c r="AY107" i="5"/>
  <c r="AY106" i="5"/>
  <c r="AY96" i="5"/>
  <c r="AY95" i="5"/>
  <c r="AY93" i="5"/>
  <c r="AY92" i="5"/>
  <c r="AY70" i="5"/>
  <c r="AY68" i="5"/>
  <c r="AY67" i="5"/>
  <c r="AY48" i="5"/>
  <c r="AY46" i="5"/>
  <c r="AY45" i="5"/>
  <c r="AY28" i="5"/>
  <c r="AY25" i="5"/>
  <c r="AY24" i="5"/>
  <c r="AY6" i="5"/>
  <c r="AY3" i="5"/>
  <c r="AY2" i="5"/>
  <c r="AW419" i="5"/>
  <c r="AW417" i="5"/>
  <c r="AW404" i="5"/>
  <c r="AW403" i="5"/>
  <c r="AW402" i="5"/>
  <c r="AW389" i="5"/>
  <c r="AW388" i="5"/>
  <c r="AW387" i="5"/>
  <c r="AW374" i="5"/>
  <c r="AW371" i="5"/>
  <c r="AW370" i="5"/>
  <c r="AW357" i="5"/>
  <c r="AW354" i="5"/>
  <c r="AW353" i="5"/>
  <c r="AW352" i="5"/>
  <c r="AW351" i="5"/>
  <c r="AW350" i="5"/>
  <c r="AW269" i="5"/>
  <c r="AW268" i="5"/>
  <c r="AW267" i="5"/>
  <c r="AW256" i="5"/>
  <c r="AW255" i="5"/>
  <c r="AW254" i="5"/>
  <c r="AW206" i="5"/>
  <c r="AW204" i="5"/>
  <c r="AW203" i="5"/>
  <c r="AW187" i="5"/>
  <c r="AW185" i="5"/>
  <c r="AW184" i="5"/>
  <c r="AW168" i="5"/>
  <c r="AW166" i="5"/>
  <c r="AW165" i="5"/>
  <c r="AW149" i="5"/>
  <c r="AW147" i="5"/>
  <c r="AW146" i="5"/>
  <c r="AW145" i="5"/>
  <c r="AW143" i="5"/>
  <c r="AW142" i="5"/>
  <c r="AW129" i="5"/>
  <c r="AW127" i="5"/>
  <c r="AW126" i="5"/>
  <c r="AW110" i="5"/>
  <c r="AW109" i="5"/>
  <c r="AW107" i="5"/>
  <c r="AW106" i="5"/>
  <c r="AW96" i="5"/>
  <c r="AW95" i="5"/>
  <c r="AW93" i="5"/>
  <c r="AW92" i="5"/>
  <c r="AW70" i="5"/>
  <c r="AW68" i="5"/>
  <c r="AW67" i="5"/>
  <c r="AW48" i="5"/>
  <c r="AW46" i="5"/>
  <c r="AW45" i="5"/>
  <c r="AW28" i="5"/>
  <c r="AW25" i="5"/>
  <c r="AW24" i="5"/>
  <c r="AW6" i="5"/>
  <c r="AW3" i="5"/>
  <c r="AW2" i="5"/>
  <c r="AU419" i="5"/>
  <c r="AU418" i="5"/>
  <c r="AU417" i="5"/>
  <c r="AU404" i="5"/>
  <c r="AU403" i="5"/>
  <c r="AU402" i="5"/>
  <c r="AU389" i="5"/>
  <c r="AU388" i="5"/>
  <c r="AU387" i="5"/>
  <c r="AU374" i="5"/>
  <c r="AU373" i="5"/>
  <c r="AU372" i="5"/>
  <c r="AU371" i="5"/>
  <c r="AU370" i="5"/>
  <c r="AU357" i="5"/>
  <c r="AU356" i="5"/>
  <c r="AU355" i="5"/>
  <c r="AU354" i="5"/>
  <c r="AU353" i="5"/>
  <c r="AU352" i="5"/>
  <c r="AU351" i="5"/>
  <c r="AU350" i="5"/>
  <c r="AU315" i="5"/>
  <c r="AU314" i="5"/>
  <c r="AU305" i="5"/>
  <c r="AU304" i="5"/>
  <c r="AU269" i="5"/>
  <c r="AU268" i="5"/>
  <c r="AU267" i="5"/>
  <c r="AU256" i="5"/>
  <c r="AU255" i="5"/>
  <c r="AU254" i="5"/>
  <c r="AU206" i="5"/>
  <c r="AU205" i="5"/>
  <c r="AU204" i="5"/>
  <c r="AU203" i="5"/>
  <c r="AU187" i="5"/>
  <c r="AU186" i="5"/>
  <c r="AU185" i="5"/>
  <c r="AU184" i="5"/>
  <c r="AU168" i="5"/>
  <c r="AU167" i="5"/>
  <c r="AU166" i="5"/>
  <c r="AU165" i="5"/>
  <c r="AU149" i="5"/>
  <c r="AU148" i="5"/>
  <c r="AU147" i="5"/>
  <c r="AU146" i="5"/>
  <c r="AU145" i="5"/>
  <c r="AU144" i="5"/>
  <c r="AU143" i="5"/>
  <c r="AU142" i="5"/>
  <c r="AU129" i="5"/>
  <c r="AU128" i="5"/>
  <c r="AU127" i="5"/>
  <c r="AU126" i="5"/>
  <c r="AU110" i="5"/>
  <c r="AU109" i="5"/>
  <c r="AU108" i="5"/>
  <c r="AU107" i="5"/>
  <c r="AU106" i="5"/>
  <c r="AU96" i="5"/>
  <c r="AU95" i="5"/>
  <c r="AU94" i="5"/>
  <c r="AU93" i="5"/>
  <c r="AU92" i="5"/>
  <c r="AU82" i="5"/>
  <c r="AU80" i="5"/>
  <c r="AU70" i="5"/>
  <c r="AU69" i="5"/>
  <c r="AU68" i="5"/>
  <c r="AU67" i="5"/>
  <c r="AU60" i="5"/>
  <c r="AU58" i="5"/>
  <c r="AU48" i="5"/>
  <c r="AU47" i="5"/>
  <c r="AU46" i="5"/>
  <c r="AU45" i="5"/>
  <c r="AU41" i="5"/>
  <c r="AU39" i="5"/>
  <c r="AU38" i="5"/>
  <c r="AU28" i="5"/>
  <c r="AU27" i="5"/>
  <c r="AU26" i="5"/>
  <c r="AU25" i="5"/>
  <c r="AU24" i="5"/>
  <c r="AU23" i="5"/>
  <c r="AU21" i="5"/>
  <c r="AU20" i="5"/>
  <c r="AU19" i="5"/>
  <c r="AU17" i="5"/>
  <c r="AU16" i="5"/>
  <c r="AU6" i="5"/>
  <c r="AU5" i="5"/>
  <c r="AU4" i="5"/>
  <c r="AU3" i="5"/>
  <c r="AU2" i="5"/>
  <c r="AS419" i="5"/>
  <c r="AS418" i="5"/>
  <c r="AS417" i="5"/>
  <c r="AS404" i="5"/>
  <c r="AS403" i="5"/>
  <c r="AS402" i="5"/>
  <c r="AS389" i="5"/>
  <c r="AS388" i="5"/>
  <c r="AS387" i="5"/>
  <c r="AS374" i="5"/>
  <c r="AS373" i="5"/>
  <c r="AS372" i="5"/>
  <c r="AS371" i="5"/>
  <c r="AS370" i="5"/>
  <c r="AS357" i="5"/>
  <c r="AS356" i="5"/>
  <c r="AS355" i="5"/>
  <c r="AS354" i="5"/>
  <c r="AS353" i="5"/>
  <c r="AS352" i="5"/>
  <c r="AS351" i="5"/>
  <c r="AS350" i="5"/>
  <c r="AS320" i="5"/>
  <c r="AS317" i="5"/>
  <c r="AS315" i="5"/>
  <c r="AS314" i="5"/>
  <c r="AS305" i="5"/>
  <c r="AS304" i="5"/>
  <c r="AS269" i="5"/>
  <c r="AS268" i="5"/>
  <c r="AS267" i="5"/>
  <c r="AS256" i="5"/>
  <c r="AS255" i="5"/>
  <c r="AS254" i="5"/>
  <c r="AS206" i="5"/>
  <c r="AS205" i="5"/>
  <c r="AS204" i="5"/>
  <c r="AS203" i="5"/>
  <c r="AS187" i="5"/>
  <c r="AS186" i="5"/>
  <c r="AS185" i="5"/>
  <c r="AS184" i="5"/>
  <c r="AS168" i="5"/>
  <c r="AS167" i="5"/>
  <c r="AS166" i="5"/>
  <c r="AS165" i="5"/>
  <c r="AS149" i="5"/>
  <c r="AS148" i="5"/>
  <c r="AS147" i="5"/>
  <c r="AS146" i="5"/>
  <c r="AS145" i="5"/>
  <c r="AS144" i="5"/>
  <c r="AS143" i="5"/>
  <c r="AS142" i="5"/>
  <c r="AS129" i="5"/>
  <c r="AS128" i="5"/>
  <c r="AS127" i="5"/>
  <c r="AS126" i="5"/>
  <c r="AS110" i="5"/>
  <c r="AS109" i="5"/>
  <c r="AS108" i="5"/>
  <c r="AS107" i="5"/>
  <c r="AS106" i="5"/>
  <c r="AS96" i="5"/>
  <c r="AS95" i="5"/>
  <c r="AS94" i="5"/>
  <c r="AS93" i="5"/>
  <c r="AS92" i="5"/>
  <c r="AS82" i="5"/>
  <c r="AS81" i="5"/>
  <c r="AS80" i="5"/>
  <c r="AS70" i="5"/>
  <c r="AS69" i="5"/>
  <c r="AS68" i="5"/>
  <c r="AS67" i="5"/>
  <c r="AS60" i="5"/>
  <c r="AS59" i="5"/>
  <c r="AS58" i="5"/>
  <c r="AS48" i="5"/>
  <c r="AS47" i="5"/>
  <c r="AS46" i="5"/>
  <c r="AS45" i="5"/>
  <c r="AS41" i="5"/>
  <c r="AS40" i="5"/>
  <c r="AS39" i="5"/>
  <c r="AS38" i="5"/>
  <c r="AS28" i="5"/>
  <c r="AS27" i="5"/>
  <c r="AS26" i="5"/>
  <c r="AS25" i="5"/>
  <c r="AS24" i="5"/>
  <c r="AS23" i="5"/>
  <c r="AS22" i="5"/>
  <c r="AS21" i="5"/>
  <c r="AS20" i="5"/>
  <c r="AS19" i="5"/>
  <c r="AS18" i="5"/>
  <c r="AS17" i="5"/>
  <c r="AS16" i="5"/>
  <c r="AS6" i="5"/>
  <c r="AS5" i="5"/>
  <c r="AS4" i="5"/>
  <c r="AS3" i="5"/>
  <c r="AS2" i="5"/>
  <c r="AQ419" i="5"/>
  <c r="AQ418" i="5"/>
  <c r="AQ417" i="5"/>
  <c r="AQ404" i="5"/>
  <c r="AQ403" i="5"/>
  <c r="AQ402" i="5"/>
  <c r="AQ389" i="5"/>
  <c r="AQ388" i="5"/>
  <c r="AQ387" i="5"/>
  <c r="AQ374" i="5"/>
  <c r="AQ373" i="5"/>
  <c r="AQ372" i="5"/>
  <c r="AQ371" i="5"/>
  <c r="AQ370" i="5"/>
  <c r="AQ357" i="5"/>
  <c r="AQ356" i="5"/>
  <c r="AQ355" i="5"/>
  <c r="AQ354" i="5"/>
  <c r="AQ353" i="5"/>
  <c r="AQ352" i="5"/>
  <c r="AQ351" i="5"/>
  <c r="AQ350" i="5"/>
  <c r="AQ320" i="5"/>
  <c r="AQ317" i="5"/>
  <c r="AQ315" i="5"/>
  <c r="AQ314" i="5"/>
  <c r="AQ305" i="5"/>
  <c r="AQ304" i="5"/>
  <c r="AQ269" i="5"/>
  <c r="AQ268" i="5"/>
  <c r="AQ267" i="5"/>
  <c r="AQ256" i="5"/>
  <c r="AQ255" i="5"/>
  <c r="AQ254" i="5"/>
  <c r="AQ206" i="5"/>
  <c r="AQ205" i="5"/>
  <c r="AQ204" i="5"/>
  <c r="AQ203" i="5"/>
  <c r="AQ187" i="5"/>
  <c r="AQ186" i="5"/>
  <c r="AQ185" i="5"/>
  <c r="AQ184" i="5"/>
  <c r="AQ168" i="5"/>
  <c r="AQ167" i="5"/>
  <c r="AQ166" i="5"/>
  <c r="AQ165" i="5"/>
  <c r="AQ149" i="5"/>
  <c r="AQ148" i="5"/>
  <c r="AQ147" i="5"/>
  <c r="AQ146" i="5"/>
  <c r="AQ145" i="5"/>
  <c r="AQ144" i="5"/>
  <c r="AQ143" i="5"/>
  <c r="AQ142" i="5"/>
  <c r="AQ129" i="5"/>
  <c r="AQ128" i="5"/>
  <c r="AQ127" i="5"/>
  <c r="AQ126" i="5"/>
  <c r="AQ110" i="5"/>
  <c r="AQ109" i="5"/>
  <c r="AQ108" i="5"/>
  <c r="AQ107" i="5"/>
  <c r="AQ106" i="5"/>
  <c r="AQ96" i="5"/>
  <c r="AQ95" i="5"/>
  <c r="AQ94" i="5"/>
  <c r="AQ93" i="5"/>
  <c r="AQ92" i="5"/>
  <c r="AQ82" i="5"/>
  <c r="AQ81" i="5"/>
  <c r="AQ80" i="5"/>
  <c r="AQ70" i="5"/>
  <c r="AQ69" i="5"/>
  <c r="AQ68" i="5"/>
  <c r="AQ67" i="5"/>
  <c r="AQ60" i="5"/>
  <c r="AQ59" i="5"/>
  <c r="AQ58" i="5"/>
  <c r="AQ48" i="5"/>
  <c r="AQ47" i="5"/>
  <c r="AQ46" i="5"/>
  <c r="AQ45" i="5"/>
  <c r="AQ41" i="5"/>
  <c r="AQ40" i="5"/>
  <c r="AQ39" i="5"/>
  <c r="AQ38" i="5"/>
  <c r="AQ28" i="5"/>
  <c r="AQ27" i="5"/>
  <c r="AQ26" i="5"/>
  <c r="AQ25" i="5"/>
  <c r="AQ24" i="5"/>
  <c r="AQ23" i="5"/>
  <c r="AQ22" i="5"/>
  <c r="AQ21" i="5"/>
  <c r="AQ20" i="5"/>
  <c r="AQ19" i="5"/>
  <c r="AQ18" i="5"/>
  <c r="AQ17" i="5"/>
  <c r="AQ16" i="5"/>
  <c r="AQ6" i="5"/>
  <c r="AQ5" i="5"/>
  <c r="AQ4" i="5"/>
  <c r="AQ3" i="5"/>
  <c r="AQ2" i="5"/>
  <c r="AO110" i="5"/>
  <c r="AO109" i="5"/>
  <c r="AO96" i="5"/>
  <c r="AO95" i="5"/>
  <c r="AO25" i="5"/>
  <c r="AO3" i="5"/>
  <c r="AM110" i="5"/>
  <c r="AM109" i="5"/>
  <c r="AM96" i="5"/>
  <c r="AM95" i="5"/>
  <c r="AM25" i="5"/>
  <c r="AM3" i="5"/>
  <c r="AK314" i="5"/>
  <c r="AK304" i="5"/>
  <c r="AK142" i="5"/>
  <c r="AK126" i="5"/>
  <c r="AK110" i="5"/>
  <c r="AK109" i="5"/>
  <c r="AK96" i="5"/>
  <c r="AK95" i="5"/>
  <c r="AK25" i="5"/>
  <c r="AK3" i="5"/>
  <c r="AI402" i="5"/>
  <c r="AI387" i="5"/>
  <c r="AI374" i="5"/>
  <c r="AI357" i="5"/>
  <c r="AI314" i="5"/>
  <c r="AI304" i="5"/>
  <c r="AI269" i="5"/>
  <c r="AI256" i="5"/>
  <c r="AI253" i="5"/>
  <c r="AI237" i="5"/>
  <c r="AI206" i="5"/>
  <c r="AI204" i="5"/>
  <c r="AI187" i="5"/>
  <c r="AI185" i="5"/>
  <c r="AI168" i="5"/>
  <c r="AI166" i="5"/>
  <c r="AI149" i="5"/>
  <c r="AI147" i="5"/>
  <c r="AI145" i="5"/>
  <c r="AI143" i="5"/>
  <c r="AI142" i="5"/>
  <c r="AI129" i="5"/>
  <c r="AI127" i="5"/>
  <c r="AI126" i="5"/>
  <c r="AI110" i="5"/>
  <c r="AI109" i="5"/>
  <c r="AI96" i="5"/>
  <c r="AI95" i="5"/>
  <c r="AI70" i="5"/>
  <c r="AI48" i="5"/>
  <c r="AI28" i="5"/>
  <c r="AI25" i="5"/>
  <c r="AI19" i="5"/>
  <c r="AI6" i="5"/>
  <c r="AI3" i="5"/>
  <c r="AG402" i="5"/>
  <c r="AG387" i="5"/>
  <c r="AG374" i="5"/>
  <c r="AG357" i="5"/>
  <c r="AG314" i="5"/>
  <c r="AG304" i="5"/>
  <c r="AG269" i="5"/>
  <c r="AG256" i="5"/>
  <c r="AG253" i="5"/>
  <c r="AG237" i="5"/>
  <c r="AG206" i="5"/>
  <c r="AG204" i="5"/>
  <c r="AG187" i="5"/>
  <c r="AG185" i="5"/>
  <c r="AG168" i="5"/>
  <c r="AG166" i="5"/>
  <c r="AG149" i="5"/>
  <c r="AG147" i="5"/>
  <c r="AG145" i="5"/>
  <c r="AG143" i="5"/>
  <c r="AG142" i="5"/>
  <c r="AG129" i="5"/>
  <c r="AG127" i="5"/>
  <c r="AG126" i="5"/>
  <c r="AG110" i="5"/>
  <c r="AG109" i="5"/>
  <c r="AG96" i="5"/>
  <c r="AG95" i="5"/>
  <c r="AG70" i="5"/>
  <c r="AG48" i="5"/>
  <c r="AG41" i="5"/>
  <c r="AG28" i="5"/>
  <c r="AG27" i="5"/>
  <c r="AG25" i="5"/>
  <c r="AG23" i="5"/>
  <c r="AG19" i="5"/>
  <c r="AG6" i="5"/>
  <c r="AG5" i="5"/>
  <c r="AG3" i="5"/>
  <c r="AE402" i="5"/>
  <c r="AE387" i="5"/>
  <c r="AE374" i="5"/>
  <c r="AE357" i="5"/>
  <c r="AE314" i="5"/>
  <c r="AE304" i="5"/>
  <c r="AE269" i="5"/>
  <c r="AE256" i="5"/>
  <c r="AE253" i="5"/>
  <c r="AE250" i="5"/>
  <c r="AE237" i="5"/>
  <c r="AE234" i="5"/>
  <c r="AE206" i="5"/>
  <c r="AE204" i="5"/>
  <c r="AE203" i="5"/>
  <c r="AE187" i="5"/>
  <c r="AE185" i="5"/>
  <c r="AE184" i="5"/>
  <c r="AE168" i="5"/>
  <c r="AE166" i="5"/>
  <c r="AE165" i="5"/>
  <c r="AE149" i="5"/>
  <c r="AE147" i="5"/>
  <c r="AE146" i="5"/>
  <c r="AE145" i="5"/>
  <c r="AE143" i="5"/>
  <c r="AE142" i="5"/>
  <c r="AE129" i="5"/>
  <c r="AE127" i="5"/>
  <c r="AE126" i="5"/>
  <c r="AE110" i="5"/>
  <c r="AE109" i="5"/>
  <c r="AE106" i="5"/>
  <c r="AE96" i="5"/>
  <c r="AE95" i="5"/>
  <c r="AE92" i="5"/>
  <c r="AE70" i="5"/>
  <c r="AE67" i="5"/>
  <c r="AE48" i="5"/>
  <c r="AE45" i="5"/>
  <c r="AE41" i="5"/>
  <c r="AE38" i="5"/>
  <c r="AE28" i="5"/>
  <c r="AE27" i="5"/>
  <c r="AE25" i="5"/>
  <c r="AE24" i="5"/>
  <c r="AE23" i="5"/>
  <c r="AE20" i="5"/>
  <c r="AE19" i="5"/>
  <c r="AE16" i="5"/>
  <c r="AE6" i="5"/>
  <c r="AE5" i="5"/>
  <c r="AE3" i="5"/>
  <c r="AE2" i="5"/>
  <c r="AC402" i="5"/>
  <c r="AC387" i="5"/>
  <c r="AC374" i="5"/>
  <c r="AC371" i="5"/>
  <c r="AC370" i="5"/>
  <c r="AC357" i="5"/>
  <c r="AC354" i="5"/>
  <c r="AC353" i="5"/>
  <c r="AC350" i="5"/>
  <c r="AC314" i="5"/>
  <c r="AC304" i="5"/>
  <c r="AC269" i="5"/>
  <c r="AC256" i="5"/>
  <c r="AC253" i="5"/>
  <c r="AC251" i="5"/>
  <c r="AC250" i="5"/>
  <c r="AC237" i="5"/>
  <c r="AC235" i="5"/>
  <c r="AC234" i="5"/>
  <c r="AC206" i="5"/>
  <c r="AC204" i="5"/>
  <c r="AC203" i="5"/>
  <c r="AC187" i="5"/>
  <c r="AC185" i="5"/>
  <c r="AC184" i="5"/>
  <c r="AC168" i="5"/>
  <c r="AC166" i="5"/>
  <c r="AC165" i="5"/>
  <c r="AC149" i="5"/>
  <c r="AC147" i="5"/>
  <c r="AC146" i="5"/>
  <c r="AC145" i="5"/>
  <c r="AC144" i="5"/>
  <c r="AC143" i="5"/>
  <c r="AC142" i="5"/>
  <c r="AC129" i="5"/>
  <c r="AC128" i="5"/>
  <c r="AC127" i="5"/>
  <c r="AC126" i="5"/>
  <c r="AC110" i="5"/>
  <c r="AC109" i="5"/>
  <c r="AC107" i="5"/>
  <c r="AC106" i="5"/>
  <c r="AC96" i="5"/>
  <c r="AC95" i="5"/>
  <c r="AC93" i="5"/>
  <c r="AC92" i="5"/>
  <c r="AC70" i="5"/>
  <c r="AC68" i="5"/>
  <c r="AC67" i="5"/>
  <c r="AC48" i="5"/>
  <c r="AC46" i="5"/>
  <c r="AC45" i="5"/>
  <c r="AC41" i="5"/>
  <c r="AC39" i="5"/>
  <c r="AC38" i="5"/>
  <c r="AC28" i="5"/>
  <c r="AC27" i="5"/>
  <c r="AC25" i="5"/>
  <c r="AC24" i="5"/>
  <c r="AC23" i="5"/>
  <c r="AC21" i="5"/>
  <c r="AC20" i="5"/>
  <c r="AC19" i="5"/>
  <c r="AC17" i="5"/>
  <c r="AC16" i="5"/>
  <c r="AC6" i="5"/>
  <c r="AC5" i="5"/>
  <c r="AC3" i="5"/>
  <c r="AC2" i="5"/>
  <c r="AA402" i="5"/>
  <c r="AA387" i="5"/>
  <c r="AA374" i="5"/>
  <c r="AA373" i="5"/>
  <c r="AA372" i="5"/>
  <c r="AA371" i="5"/>
  <c r="AA370" i="5"/>
  <c r="AA357" i="5"/>
  <c r="AA356" i="5"/>
  <c r="AA355" i="5"/>
  <c r="AA354" i="5"/>
  <c r="AA353" i="5"/>
  <c r="AA352" i="5"/>
  <c r="AA350" i="5"/>
  <c r="AA317" i="5"/>
  <c r="AA316" i="5"/>
  <c r="AA315" i="5"/>
  <c r="AA314" i="5"/>
  <c r="AA305" i="5"/>
  <c r="AA304" i="5"/>
  <c r="AA289" i="5"/>
  <c r="AA281" i="5"/>
  <c r="AA269" i="5"/>
  <c r="AA256" i="5"/>
  <c r="AA253" i="5"/>
  <c r="AA252" i="5"/>
  <c r="AA251" i="5"/>
  <c r="AA250" i="5"/>
  <c r="AA237" i="5"/>
  <c r="AA236" i="5"/>
  <c r="AA235" i="5"/>
  <c r="AA234" i="5"/>
  <c r="AA206" i="5"/>
  <c r="AA205" i="5"/>
  <c r="AA204" i="5"/>
  <c r="AA203" i="5"/>
  <c r="AA187" i="5"/>
  <c r="AA186" i="5"/>
  <c r="AA185" i="5"/>
  <c r="AA184" i="5"/>
  <c r="AA168" i="5"/>
  <c r="AA167" i="5"/>
  <c r="AA166" i="5"/>
  <c r="AA165" i="5"/>
  <c r="AA149" i="5"/>
  <c r="AA148" i="5"/>
  <c r="AA147" i="5"/>
  <c r="AA146" i="5"/>
  <c r="AA145" i="5"/>
  <c r="AA144" i="5"/>
  <c r="AA143" i="5"/>
  <c r="AA142" i="5"/>
  <c r="AA129" i="5"/>
  <c r="AA128" i="5"/>
  <c r="AA127" i="5"/>
  <c r="AA126" i="5"/>
  <c r="AA110" i="5"/>
  <c r="AA109" i="5"/>
  <c r="AA108" i="5"/>
  <c r="AA107" i="5"/>
  <c r="AA106" i="5"/>
  <c r="AA96" i="5"/>
  <c r="AA95" i="5"/>
  <c r="AA94" i="5"/>
  <c r="AA93" i="5"/>
  <c r="AA92" i="5"/>
  <c r="AA82" i="5"/>
  <c r="AA70" i="5"/>
  <c r="AA69" i="5"/>
  <c r="AA68" i="5"/>
  <c r="AA67" i="5"/>
  <c r="AA60" i="5"/>
  <c r="AA48" i="5"/>
  <c r="AA47" i="5"/>
  <c r="AA46" i="5"/>
  <c r="AA45" i="5"/>
  <c r="AA41" i="5"/>
  <c r="AA40" i="5"/>
  <c r="AA39" i="5"/>
  <c r="AA38" i="5"/>
  <c r="AA28" i="5"/>
  <c r="AA27" i="5"/>
  <c r="AA26" i="5"/>
  <c r="AA25" i="5"/>
  <c r="AA24" i="5"/>
  <c r="AA23" i="5"/>
  <c r="AA22" i="5"/>
  <c r="AA21" i="5"/>
  <c r="AA20" i="5"/>
  <c r="AA19" i="5"/>
  <c r="AA18" i="5"/>
  <c r="AA17" i="5"/>
  <c r="AA16" i="5"/>
  <c r="AA6" i="5"/>
  <c r="AA5" i="5"/>
  <c r="AA4" i="5"/>
  <c r="AA3" i="5"/>
  <c r="AA2" i="5"/>
  <c r="Y404" i="5"/>
  <c r="Y402" i="5"/>
  <c r="Y389" i="5"/>
  <c r="Y387" i="5"/>
  <c r="Y374" i="5"/>
  <c r="Y373" i="5"/>
  <c r="Y372" i="5"/>
  <c r="Y371" i="5"/>
  <c r="Y370" i="5"/>
  <c r="Y357" i="5"/>
  <c r="Y356" i="5"/>
  <c r="Y355" i="5"/>
  <c r="Y354" i="5"/>
  <c r="Y353" i="5"/>
  <c r="Y352" i="5"/>
  <c r="Y350" i="5"/>
  <c r="Y330" i="5"/>
  <c r="Y322" i="5"/>
  <c r="Y320" i="5"/>
  <c r="Y319" i="5"/>
  <c r="Y318" i="5"/>
  <c r="Y317" i="5"/>
  <c r="Y316" i="5"/>
  <c r="Y315" i="5"/>
  <c r="Y314" i="5"/>
  <c r="Y305" i="5"/>
  <c r="Y304" i="5"/>
  <c r="Y289" i="5"/>
  <c r="Y288" i="5"/>
  <c r="Y281" i="5"/>
  <c r="Y280" i="5"/>
  <c r="Y273" i="5"/>
  <c r="Y272" i="5"/>
  <c r="Y269" i="5"/>
  <c r="Y267" i="5"/>
  <c r="Y260" i="5"/>
  <c r="Y259" i="5"/>
  <c r="Y256" i="5"/>
  <c r="Y254" i="5"/>
  <c r="Y253" i="5"/>
  <c r="Y252" i="5"/>
  <c r="Y251" i="5"/>
  <c r="Y250" i="5"/>
  <c r="Y237" i="5"/>
  <c r="Y236" i="5"/>
  <c r="Y235" i="5"/>
  <c r="Y234" i="5"/>
  <c r="Y206" i="5"/>
  <c r="Y205" i="5"/>
  <c r="Y204" i="5"/>
  <c r="Y203" i="5"/>
  <c r="Y187" i="5"/>
  <c r="Y186" i="5"/>
  <c r="Y185" i="5"/>
  <c r="Y184" i="5"/>
  <c r="Y168" i="5"/>
  <c r="Y167" i="5"/>
  <c r="Y166" i="5"/>
  <c r="Y165" i="5"/>
  <c r="Y149" i="5"/>
  <c r="Y148" i="5"/>
  <c r="Y147" i="5"/>
  <c r="Y146" i="5"/>
  <c r="Y145" i="5"/>
  <c r="Y144" i="5"/>
  <c r="Y143" i="5"/>
  <c r="Y142" i="5"/>
  <c r="Y129" i="5"/>
  <c r="Y128" i="5"/>
  <c r="Y127" i="5"/>
  <c r="Y126" i="5"/>
  <c r="Y110" i="5"/>
  <c r="Y109" i="5"/>
  <c r="Y108" i="5"/>
  <c r="Y107" i="5"/>
  <c r="Y106" i="5"/>
  <c r="Y96" i="5"/>
  <c r="Y95" i="5"/>
  <c r="Y94" i="5"/>
  <c r="Y93" i="5"/>
  <c r="Y92" i="5"/>
  <c r="Y82" i="5"/>
  <c r="Y80" i="5"/>
  <c r="Y70" i="5"/>
  <c r="Y69" i="5"/>
  <c r="Y68" i="5"/>
  <c r="Y67" i="5"/>
  <c r="Y60" i="5"/>
  <c r="Y58" i="5"/>
  <c r="Y48" i="5"/>
  <c r="Y47" i="5"/>
  <c r="Y46" i="5"/>
  <c r="Y45" i="5"/>
  <c r="Y41" i="5"/>
  <c r="Y40" i="5"/>
  <c r="Y39" i="5"/>
  <c r="Y38" i="5"/>
  <c r="Y28" i="5"/>
  <c r="Y27" i="5"/>
  <c r="Y26" i="5"/>
  <c r="Y25" i="5"/>
  <c r="Y24" i="5"/>
  <c r="Y23" i="5"/>
  <c r="Y22" i="5"/>
  <c r="Y21" i="5"/>
  <c r="Y20" i="5"/>
  <c r="Y19" i="5"/>
  <c r="Y18" i="5"/>
  <c r="Y17" i="5"/>
  <c r="Y16" i="5"/>
  <c r="Y6" i="5"/>
  <c r="Y5" i="5"/>
  <c r="Y4" i="5"/>
  <c r="Y3" i="5"/>
  <c r="Y2" i="5"/>
</calcChain>
</file>

<file path=xl/sharedStrings.xml><?xml version="1.0" encoding="utf-8"?>
<sst xmlns="http://schemas.openxmlformats.org/spreadsheetml/2006/main" count="28780" uniqueCount="938">
  <si>
    <t>MODE OPERATOIRE</t>
  </si>
  <si>
    <t>La description d'une position entrante dans un dossier agent, nécessite la MAJ des données portées par les 2 sous-rubriques suivantes : Position statutaire/situation administrative et Détachement, affectation ou MAD entrant.
La spécification métier regroupe au sein d'un évènement unique l'articulation des RG mobilisant des données appartenant à ces deux sous-rubriques. Ainsi, le métier considère que les données associées à ces deux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</si>
  <si>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</si>
  <si>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</si>
  <si>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</si>
  <si>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</si>
  <si>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</si>
  <si>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</si>
  <si>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</si>
  <si>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</si>
  <si>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</si>
  <si>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</si>
  <si>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</si>
  <si>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</si>
  <si>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</si>
  <si>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</si>
  <si>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</si>
  <si>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</si>
  <si>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</si>
  <si>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</si>
  <si>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</si>
  <si>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</si>
  <si>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</si>
  <si>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</si>
  <si>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</si>
  <si>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</si>
  <si>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</si>
  <si>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</si>
  <si>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</si>
  <si>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</si>
  <si>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</si>
  <si>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</si>
  <si>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</si>
  <si>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</si>
  <si>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</si>
  <si>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</si>
  <si>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</si>
  <si>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</si>
  <si>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</si>
  <si>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</si>
  <si>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</si>
  <si>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</si>
  <si>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</si>
  <si>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</si>
  <si>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</si>
  <si>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</si>
  <si>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</si>
  <si>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</si>
  <si>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</si>
  <si>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</si>
  <si>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</si>
  <si>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</si>
  <si>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</si>
  <si>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</si>
  <si>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</si>
  <si>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</si>
  <si>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</si>
  <si>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</si>
  <si>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</si>
  <si>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</si>
  <si>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</si>
  <si>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</si>
  <si>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</si>
  <si>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</si>
  <si>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</si>
  <si>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</si>
  <si>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</si>
  <si>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</si>
  <si>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</si>
  <si>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</si>
  <si>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</si>
  <si>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</si>
  <si>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</si>
  <si>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</si>
  <si>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</si>
  <si>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</si>
  <si>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</si>
  <si>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</si>
  <si>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</si>
  <si>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</si>
  <si>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</si>
  <si>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</si>
  <si>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</si>
  <si>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</si>
  <si>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</si>
  <si>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</si>
  <si>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20.00.00</t>
  </si>
  <si>
    <t>M</t>
  </si>
  <si>
    <t>D0004</t>
  </si>
  <si>
    <t>Position</t>
  </si>
  <si>
    <t>S0009</t>
  </si>
  <si>
    <t>Détachement entrant/sortant</t>
  </si>
  <si>
    <t>E0136</t>
  </si>
  <si>
    <t>Détachement entrant sur demande auprès d'une administration, d'un office ou d'un EP de l'Etat conduisant à pension</t>
  </si>
  <si>
    <t>Position administrative Saisie égale à 'Détachement entrant sur demande auprès d'une administration ou d'un EP de l'Etat conduisant à pension' ET Indicateur de maintien saisi = Non</t>
  </si>
  <si>
    <t>A_POS_POSIAD [Saisi] = 'DEE01' ET
A_POS_SITPAR [Saisi] = Vide ET A_POS_INDMAI [Saisi] = '0'</t>
  </si>
  <si>
    <t>T0390</t>
  </si>
  <si>
    <t>Détachement entrant sur demande auprès d'une administration, d'un office ou d'un EP de l'Etat conduisant à pension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</si>
  <si>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</si>
  <si>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</si>
  <si>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</si>
  <si>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</si>
  <si>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</si>
  <si>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Général</t>
  </si>
  <si>
    <t>Passant</t>
  </si>
  <si>
    <t>DEE_I_002 ET DEE_I_003 ET DEE_I_006 ET DEE_I_004 ET DEE_D_010 ET DEE_D_410 ET DEE_D_520 ET DEE_D_920 ET DEE_D_011 ET DEE_D_411 ET POS_C_004 ET POS_C_005 ET POS_C_007 ET POS_C_010 ET POS_C_012 ET POS_C_013 ET POS_C_022 ET POS_C_030 ET POS_C_031 ET POS_C_034 ET POS_C_035 ET POS_C_036 ET POS_C_111</t>
  </si>
  <si>
    <t>DEE_I_002</t>
  </si>
  <si>
    <t>L'agent doit détenir le titre ou le diplôme requis pour l'exercice des fonctions du corps d'accueil.</t>
  </si>
  <si>
    <t>DEE_I_003</t>
  </si>
  <si>
    <t>L'agent doit formuler une demande.</t>
  </si>
  <si>
    <t>DEE_I_006</t>
  </si>
  <si>
    <t>Le détachement est accordé après avis des commissions administratives paritaires compétentes.</t>
  </si>
  <si>
    <t>DEE_I_004</t>
  </si>
  <si>
    <t>L'accord de l'administration d'origine est nécessaire.</t>
  </si>
  <si>
    <t>DEE_D_010</t>
  </si>
  <si>
    <t>Un détachement de courte durée à l'étranger ou dans les TOM ne peut excéder 1 an entre la date de début et la date de fin prévisionnelle.</t>
  </si>
  <si>
    <t>DEE_D_410</t>
  </si>
  <si>
    <t>Un détachement de courte durée à l'étranger ou dans les TOM ne peut excéder 1 an entre la date de début et la date de fin réelle.</t>
  </si>
  <si>
    <t>DEE_D_520</t>
  </si>
  <si>
    <t>Un détachement de courte durée n'ayant pas lieu à l'étranger ou dans les TOM ne peut excéder six mois entre la date de début et la date de fin prévisionnelle.</t>
  </si>
  <si>
    <t>DEE_D_920</t>
  </si>
  <si>
    <t>Un détachement de courte durée n'ayant pas lieu à l'étranger ou dans les TOM ne peut excéder six mois entre la date de début et la date de fin réelle.</t>
  </si>
  <si>
    <t>DEE_D_011</t>
  </si>
  <si>
    <t>Un détachement de longue durée ne peut excéder 5 ans entre la date de début et la date de fin prévisionnelle.</t>
  </si>
  <si>
    <t>DEE_D_411</t>
  </si>
  <si>
    <t>Un détachement de longue durée ne peut excéder 5 ans entre la date de début et la date de fin réelle.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</si>
  <si>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</si>
  <si>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</si>
  <si>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</si>
  <si>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</si>
  <si>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</si>
  <si>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</si>
  <si>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</si>
  <si>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</si>
  <si>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</si>
  <si>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</si>
  <si>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POS_C_013</t>
  </si>
  <si>
    <t>L'indicateur de carrière est sur la valeur "Accueil".</t>
  </si>
  <si>
    <t>POS_C_022</t>
  </si>
  <si>
    <t>La date de début de position est à J+1 de la date de fin de position de l'occurrence précédente.</t>
  </si>
  <si>
    <t>POS_C_030</t>
  </si>
  <si>
    <t>Les champs "Type d'organisme d'origine", "Catégorie statutaire d'origine" et "Pays" de l'organisme d'origine doivent être renseignés.</t>
  </si>
  <si>
    <t>POS_C_031</t>
  </si>
  <si>
    <t>Les champs "Ministère (ou institution de la République) d'origine", "Corps d'origine", "Grade d'origine", "Echelon d'origine" sont renseignés si le "Type d'organisme d'origine" est valorisé à FPE.</t>
  </si>
  <si>
    <t>POS_C_034</t>
  </si>
  <si>
    <t>Le champ "Organisme d'origine" doit être alimenté si le type d'organisme d'origine est égal à 'Autre organisme', 'Fonction publique d'un état de l'Union Européenne' ou 'Fonction publique Européenne'.</t>
  </si>
  <si>
    <t>POS_C_035</t>
  </si>
  <si>
    <t>Le champ "Code emploi statutaire FPT (NET)" est renseigné si le "Type d'organisme d'origine" est valorisé à FPT.</t>
  </si>
  <si>
    <t>POS_C_036</t>
  </si>
  <si>
    <t>Le champ "Code emploi statutaire FPH (NEH)" est renseigné si le "Type d'organisme d'origine" est valorisé à FPH.</t>
  </si>
  <si>
    <t>POS_C_111</t>
  </si>
  <si>
    <t>La date de fin ou la date de fin prévisionnelle doit être saisie.</t>
  </si>
  <si>
    <t>25.00.00</t>
  </si>
  <si>
    <t>A</t>
  </si>
  <si>
    <t>DEE_I_002 ET DEE_I_003 ET DEE_I_004 ET DEE_I_046 ET DEE_I_047 ET DEE_I_048 ET DEE_I_100 ET DEE_I_101 ET DEE_I_102 ET DEE_D_010 ET DEE_D_410 ET DEE_D_520 ET DEE_D_920 ET DEE_D_011 ET DEE_D_411 ET POS_C_004 ET POS_C_005 ET POS_C_007 ET POS_C_010 ET POS_C_012 ET POS_C_013 ET POS_C_022 ET POS_C_030 ET POS_C_031 ET POS_C_034 ET POS_C_035 ET POS_C_036 ET POS_C_111</t>
  </si>
  <si>
    <t>DEE_I_046</t>
  </si>
  <si>
    <t>Le détachement sur un emploi de direction comporte une période probatoire d'une durée maximale de 6 mois.</t>
  </si>
  <si>
    <t>DEE_I_047</t>
  </si>
  <si>
    <t>Au cours de la période probatoire, l'autorité de recrutement, sur proposition de l'autorité dont relève l'emploi de direction, peut mettre fin au détachement pour tout motif et à tout moment, sans préavis ni indemnité.</t>
  </si>
  <si>
    <t>DEE_I_048</t>
  </si>
  <si>
    <t>Cette décision de fin du détachement pendant la période probatoire ne peut intervenir qu'à l'issue d'un entretien préalable et doit être notifiée à l'agent sur emploi de direction.</t>
  </si>
  <si>
    <t>DEE_I_100</t>
  </si>
  <si>
    <t>L'agent peut être détaché dans un corps ou un cadre d'emplois de même catégorie et de niveau comparable à celui de son corps ou cadre d'emplois d'origine.</t>
  </si>
  <si>
    <t>DEE_I_101</t>
  </si>
  <si>
    <t>Toutefois, l'agent dont au moins l'un des grades d'avancement de son corps ou cadre d'emplois est accessible par la voie d'un concours de recrutement peut être détaché dans un corps ou cadre d'emplois de niveau différent.</t>
  </si>
  <si>
    <t>DEE_I_102</t>
  </si>
  <si>
    <t>Lorsque le corps ou cadre d'emplois d'origine ou le corps ou cadre d'emplois d'accueil ne relève pas d'une catégorie, le détachement s'effectue entre corps et cadres d'emplois de niveau comparable.</t>
  </si>
  <si>
    <t>20.10.00</t>
  </si>
  <si>
    <t>T0391</t>
  </si>
  <si>
    <t>Détachement entrant sur demande auprès d'une administration, d'un office ou d'un EP de l'Etat conduisant à pension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</si>
  <si>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</si>
  <si>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</si>
  <si>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DEE_I_011 ET DEE_I_012 ET DEE_D_011 ET DEE_D_411 ET DEE_D_030 ET POS_C_004 ET POS_C_005 ET POS_C_007 ET POS_C_010 ET POS_C_012 ET POS_C_013 ET POS_C_022 ET POS_C_030 ET POS_C_031 ET POS_C_034 ET POS_C_035 ET POS_C_036 ET POS_C_111</t>
  </si>
  <si>
    <t>DEE_I_011</t>
  </si>
  <si>
    <t>L'agent doit formuler une demande de renouvellement à son administration d'origine 3 mois au moins avant l'expiration de la période de détachement de longue durée.</t>
  </si>
  <si>
    <t>DEE_I_012</t>
  </si>
  <si>
    <t>L'organisme d'accueil adresse sa décision à l'agent et à l'administration d'origine 2 mois au moins avant l'expiration de la période de détachement.</t>
  </si>
  <si>
    <t>DEE_D_030</t>
  </si>
  <si>
    <t>Le renouvellement d'un détachement de courte durée est interdit.</t>
  </si>
  <si>
    <t>DEE_I_011 ET DEE_I_012 ET DEE_I_044 ET DEE_I_045 ET DEE_I_049 ET DEE_D_011 ET DEE_D_411 ET DEE_D_030 ET POS_C_004 ET POS_C_005 ET POS_C_007 ET POS_C_010 ET POS_C_012 ET POS_C_013 ET POS_C_022 ET POS_C_030 ET POS_C_031 ET POS_C_034 ET POS_C_035 ET POS_C_036 ET POS_C_111</t>
  </si>
  <si>
    <t>DEE_I_044</t>
  </si>
  <si>
    <t>L'agent peut demander à être reconduit dans ses fonctions 3 mois au moins avant le terme de son détachement sur un emploi de direction.</t>
  </si>
  <si>
    <t>DEE_I_045</t>
  </si>
  <si>
    <t>Au moins 2 mois avant le terme de son détachement, l'autorité dont relève l'emploi de direction notifie la décision à l'agent.</t>
  </si>
  <si>
    <t>DEE_I_049</t>
  </si>
  <si>
    <t>La période probatoire ne s'applique pas en cas de reconduction de l'agent dans le même emploi de direction.</t>
  </si>
  <si>
    <t>T0392</t>
  </si>
  <si>
    <t>Détachement entrant sur demande auprès d'une administration, d'un office ou d'un EP de l'Etat conduisant à pension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</si>
  <si>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</si>
  <si>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</si>
  <si>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</si>
  <si>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DEE_I_018 ET DEE_I_026 ET DEE_I_016 ET DEE_I_012 ET DEE_I_017 ET DEE_I_037 ET DEE_D_010 ET DEE_D_410 ET DEE_D_520 ET DEE_D_920 ET DEE_D_011 ET DEE_D_411 ET POS_C_004 ET POS_C_007 ET POS_C_010 ET POS_C_012 ET POS_C_030 ET POS_C_031 ET POS_C_034 ET POS_C_035 ET POS_C_036 ET POS_C_111</t>
  </si>
  <si>
    <t>DEE_I_018</t>
  </si>
  <si>
    <t>Le détachement peut prendre fin de manière anticipée à l'initiative de l'administration d'accueil, de l'administration d'origine ou de l'agent.</t>
  </si>
  <si>
    <t>DEE_I_026</t>
  </si>
  <si>
    <t>En cas de réintégration anticipée à l'initiative de l'organisme d'accueil, si l'administration d'origine ne peut pas réintégrer l'agent immédiatement, il reste en détachement jusqu'à ce qu'il soit réintégré à la première vacance.</t>
  </si>
  <si>
    <t>DEE_I_016</t>
  </si>
  <si>
    <t>L'agent doit adresser une demande de réintégration à l'administration d'origine 3 mois au moins avant l'expiration de la période de détachement de longue durée.</t>
  </si>
  <si>
    <t>DEE_I_017</t>
  </si>
  <si>
    <t>Si l'agent n'adresse pas sa demande dans les délais, il est obligatoirement réintégré à la première vacance dans son corps d'origine et affecté à un emploi correspondant à son grade.</t>
  </si>
  <si>
    <t>DEE_I_037</t>
  </si>
  <si>
    <t>Les dispositions relatives à la réintégration au terme d'un détachement de longue durée ne sont pas applicables aux préfets et sous-préfets.</t>
  </si>
  <si>
    <t>17.10.00</t>
  </si>
  <si>
    <t>Contractuel</t>
  </si>
  <si>
    <t>P0003</t>
  </si>
  <si>
    <t>Exclu</t>
  </si>
  <si>
    <t>Stagiaire ou auditeur ou élève</t>
  </si>
  <si>
    <t>P0004</t>
  </si>
  <si>
    <t>Ouvrier d'état</t>
  </si>
  <si>
    <t>P0005</t>
  </si>
  <si>
    <t>Préfet ou sous-préfet</t>
  </si>
  <si>
    <t>P0016</t>
  </si>
  <si>
    <t>Particulier</t>
  </si>
  <si>
    <t>DEE_I_002 ET DEE_I_003 ET DEE_I_006 ET DEE_I_004 ET DEE_D_505 ET DEE_D_011 ET DEE_D_411 ET POS_C_004 ET POS_C_005 ET POS_C_007 ET POS_C_010 ET POS_C_012 ET POS_C_013 ET POS_C_022 ET POS_C_030 ET POS_C_031 ET POS_C_034 ET POS_C_035 ET POS_C_036 ET POS_C_111</t>
  </si>
  <si>
    <t>DEE_D_505</t>
  </si>
  <si>
    <t>Le détachement de courte durée est interdit.</t>
  </si>
  <si>
    <t>DEE_I_002 ET DEE_I_003 ET DEE_I_004 ET DEE_D_505 ET DEE_D_011 ET DEE_D_411 ET POS_C_004 ET POS_C_005 ET POS_C_007 ET POS_C_010 ET POS_C_012 ET POS_C_013 ET POS_C_022 ET POS_C_030 ET POS_C_031 ET POS_C_034 ET POS_C_035 ET POS_C_036 ET POS_C_111</t>
  </si>
  <si>
    <t>DEE_I_011 ET DEE_I_012 ET DEE_D_011 ET DEE_D_411 ET POS_C_004 ET POS_C_005 ET POS_C_007 ET POS_C_010 ET POS_C_012 ET POS_C_013 ET POS_C_022 ET POS_C_030 ET POS_C_031 ET POS_C_034 ET POS_C_035 ET POS_C_036 ET POS_C_111</t>
  </si>
  <si>
    <t>DEE_I_018 ET DEE_I_026 ET DEE_I_016 ET DEE_I_012 ET DEE_I_017 ET DEE_I_037 ET DEE_D_505 ET DEE_D_011 ET DEE_D_411 ET POS_C_004 ET POS_C_007 ET POS_C_010 ET POS_C_012 ET POS_C_030 ET POS_C_031 ET POS_C_034 ET POS_C_035 ET POS_C_036 ET POS_C_111</t>
  </si>
  <si>
    <t>Inspecteur général de l'administration - Intérieur</t>
  </si>
  <si>
    <t>P0019</t>
  </si>
  <si>
    <t>DEE_I_002 ET DEE_I_003 ET DEE_I_006 ET DEE_I_004 ET DEE_D_074 ET DEE_D_474 ET DEE_D_505 ET POS_C_004 ET POS_C_005 ET POS_C_007 ET POS_C_010 ET POS_C_012 ET POS_C_013 ET POS_C_022 ET POS_C_030 ET POS_C_031 ET POS_C_034 ET POS_C_035 ET POS_C_036 ET POS_C_111</t>
  </si>
  <si>
    <t>DEE_D_074</t>
  </si>
  <si>
    <t>La durée de détachement ne peut pas excéder 6 ans entre la date de début et la date de fin prévisionnelle.</t>
  </si>
  <si>
    <t>DEE_D_474</t>
  </si>
  <si>
    <t>La durée de détachement ne peut pas excéder 6 ans entre la date de début et la date de fin réelle.</t>
  </si>
  <si>
    <t>DEE_I_002 ET DEE_I_003 ET DEE_I_004 ET DEE_D_074 ET DEE_D_474 ET DEE_D_505 ET POS_C_004 ET POS_C_005 ET POS_C_007 ET POS_C_010 ET POS_C_012 ET POS_C_013 ET POS_C_022 ET POS_C_030 ET POS_C_031 ET POS_C_034 ET POS_C_035 ET POS_C_036 ET POS_C_111</t>
  </si>
  <si>
    <t>DEE_I_011 ET DEE_I_012 ET DEE_D_074 ET DEE_D_474 ET POS_C_004 ET POS_C_005 ET POS_C_007 ET POS_C_010 ET POS_C_012 ET POS_C_013 ET POS_C_022 ET POS_C_030 ET POS_C_031 ET POS_C_034 ET POS_C_035 ET POS_C_036 ET POS_C_111</t>
  </si>
  <si>
    <t>DEE_I_018 ET DEE_I_026 ET DEE_I_016 ET DEE_I_012 ET DEE_I_017 ET DEE_D_074 ET DEE_D_474 ET DEE_D_505 ET POS_C_004 ET POS_C_007 ET POS_C_010 ET POS_C_012 ET POS_C_030 ET POS_C_031 ET POS_C_034 ET POS_C_035 ET POS_C_036 ET POS_C_111</t>
  </si>
  <si>
    <t>E0137</t>
  </si>
  <si>
    <t>Détachement entrant/sortant sur demande auprès d'une administration, d'un office ou d'un EP de l'Etat conduisant à pension</t>
  </si>
  <si>
    <t>Position administrative Saisie égale à 'Détachement entrant/sortant sur demande auprès d'une administration ou d'un EP de l'Etat conduisant à pension' ET Indicateur de maintien saisi = Non</t>
  </si>
  <si>
    <t>A_POS_POSIAD [Saisi] = 'DES01' ET
A_POS_SITPAR [Saisi] = Vide ET A_POS_INDMAI [Saisi] = '0'</t>
  </si>
  <si>
    <t>T0394</t>
  </si>
  <si>
    <t>Détachement entrant/sortant sur demande auprès d'une administration, d'un office ou d'un EP de l'Etat conduisant à pension - Demande</t>
  </si>
  <si>
    <t>T0395</t>
  </si>
  <si>
    <t>Détachement entrant/sortant sur demande auprès d'une administration, d'un office ou d'un EP de l'Etat conduisant à pension - Renouvellement</t>
  </si>
  <si>
    <t>T0396</t>
  </si>
  <si>
    <t>Détachement entrant/sortant sur demande auprès d'une administration, d'un office ou d'un EP de l'Etat conduisant à pension - Réintégration</t>
  </si>
  <si>
    <t>E0138</t>
  </si>
  <si>
    <t>Détachement entrant auprès d'une administration de l'Etat ou dans un EP de l'Etat dans un emploi ne conduisant pas à pension</t>
  </si>
  <si>
    <t>Position administrative Saisie égale à 'Détachement entrant auprès d'une administration de l'Etat ou dans un EP de l'Etat dans un emploi ne conduisant pas à pension' ET Indicateur de maintien saisi = Non</t>
  </si>
  <si>
    <t>A_POS_POSIAD [Saisi] = 'DEE04' ET A_POS_INDMAI [Saisi] = '0'</t>
  </si>
  <si>
    <t>T0398</t>
  </si>
  <si>
    <t>Détachement entrant auprès d'une administration de l'Etat ou dans un EP de l'Etat dans un emploi ne conduisant pas à pension - Demande</t>
  </si>
  <si>
    <t>T0399</t>
  </si>
  <si>
    <t>Détachement entrant auprès d'une administration de l'Etat ou dans un EP de l'Etat dans un emploi ne conduisant pas à pension - Renouvellement</t>
  </si>
  <si>
    <t>T0400</t>
  </si>
  <si>
    <t>Détachement entrant auprès d'une administration de l'Etat ou dans un EP de l'Etat dans un emploi ne conduisant pas à pension - Réintégration</t>
  </si>
  <si>
    <t>DEE_I_002 ET DEE_I_003 ET DEE_I_006 ET DEE_I_004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</si>
  <si>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</si>
  <si>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</si>
  <si>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</si>
  <si>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</si>
  <si>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</si>
  <si>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</si>
  <si>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DEE_I_002 ET DEE_I_003 ET DEE_I_004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</si>
  <si>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DEE_I_011 ET DEE_I_012 ET DEE_D_011 ET DEE_D_411 ET DEE_D_030 ET POS_C_004 ET POS_C_006 ET POS_C_007 ET POS_C_009 ET POS_C_010 ET POS_C_012 ET POS_C_013 ET POS_C_022 ET POS_C_030 ET POS_C_031 ET POS_C_034 ET POS_C_035 ET POS_C_036 ET POS_C_106 ET POS_C_111</t>
  </si>
  <si>
    <t>DEE_I_018 ET DEE_I_026 ET DEE_I_016 ET DEE_I_012 ET DEE_I_017 ET DEE_I_037 ET DEE_D_010 ET DEE_D_410 ET DEE_D_520 ET DEE_D_920 ET DEE_D_011 ET DEE_D_411 ET POS_C_004 ET POS_C_006 ET POS_C_007 ET POS_C_010 ET POS_C_012 ET POS_C_030 ET POS_C_031 ET POS_C_034 ET POS_C_035 ET POS_C_036 ET POS_C_106 ET POS_C_111</t>
  </si>
  <si>
    <t>Contractuel membre du gouvernement</t>
  </si>
  <si>
    <t>P0045</t>
  </si>
  <si>
    <t>Conseiller ou avocat général à la Cour de cassation en service extraordinaire</t>
  </si>
  <si>
    <t>P0046</t>
  </si>
  <si>
    <t>DEE_I_003 ET DEE_D_505 ET DEE_D_166 ET DEE_D_466 ET POS_C_004 ET POS_C_006 ET POS_C_007 ET POS_C_009 ET POS_C_010 ET POS_C_012 ET POS_C_013 ET POS_C_022 ET POS_C_030 ET POS_C_031 ET POS_C_034 ET POS_C_035 ET POS_C_036 ET POS_C_106 ET POS_C_111</t>
  </si>
  <si>
    <t>DEE_D_166</t>
  </si>
  <si>
    <t>La durée du détachement ne peut excéder 8 années successives entre la date de début et la date de fin prévisionnelle.</t>
  </si>
  <si>
    <t>DEE_D_466</t>
  </si>
  <si>
    <t>La durée du détachement ne peut excéder 8 années successives entre la date de début et la date de fin réelle.</t>
  </si>
  <si>
    <t>DEE_D_166 ET DEE_D_466 ET POS_C_004 ET POS_C_006 ET POS_C_007 ET POS_C_009 ET POS_C_010 ET POS_C_012 ET POS_C_013 ET POS_C_022 ET POS_C_030 ET POS_C_031 ET POS_C_034 ET POS_C_035 ET POS_C_036 ET POS_C_106 ET POS_C_111</t>
  </si>
  <si>
    <t>DEE_I_023 ET DEE_I_024 ET DEE_D_505 ET DEE_D_166 ET DEE_D_466 ET POS_C_004 ET POS_C_006 ET POS_C_007 ET POS_C_010 ET POS_C_012 ET POS_C_030 ET POS_C_031 ET POS_C_034 ET POS_C_035 ET POS_C_036 ET POS_C_106 ET POS_C_111</t>
  </si>
  <si>
    <t>DEE_I_023</t>
  </si>
  <si>
    <t>Il peut être mis à fin au détachement de manière anticipée sur demande de l'agent.</t>
  </si>
  <si>
    <t>DEE_I_024</t>
  </si>
  <si>
    <t>Il peut être mis à fin au détachement de manière anticipée s'il a été prononcé à l'encontre de l'agent : la mise à la retraite d'office, l'admission à cesser les fonctions, la révocation ou la fin des fonctions.</t>
  </si>
  <si>
    <t>Personnel civil payé à l'acte ou à la tâche</t>
  </si>
  <si>
    <t>P0054</t>
  </si>
  <si>
    <t>E0139</t>
  </si>
  <si>
    <t>Détachement entrant/sortant auprès d'une administration de l'Etat ou dans un EP de l'Etat dans un emploi ne conduisant pas à pension</t>
  </si>
  <si>
    <t>Position administrative Saisie égale à 'Détachement entrant/sortant auprès d'une administration de l'Etat ou dans un EP de l'Etat dans un emploi ne conduisant pas à pension' ET Indicateur de maintien saisi = Non</t>
  </si>
  <si>
    <t>A_POS_POSIAD [Saisi] = 'DES04' ET A_POS_INDMAI [Saisi] = '0'</t>
  </si>
  <si>
    <t>T0401</t>
  </si>
  <si>
    <t>Détachement entrant/sortant auprès d'une administration de l'Etat ou dans un EP de l'Etat dans un emploi ne conduisant pas à pension - Demande</t>
  </si>
  <si>
    <t>T0402</t>
  </si>
  <si>
    <t>Détachement entrant/sortant auprès d'une administration de l'Etat ou dans un EP de l'Etat dans un emploi ne conduisant pas à pension - Renouvellement</t>
  </si>
  <si>
    <t>T0403</t>
  </si>
  <si>
    <t>Détachement entrant/sortant auprès d'une administration de l'Etat ou dans un EP de l'Etat dans un emploi ne conduisant pas à pension - Réintégration</t>
  </si>
  <si>
    <t>E0140</t>
  </si>
  <si>
    <t>Détachement entrant pour stage ou scolarité avant titularisation emploi de l'État, d'une collect territ ou d'un EPA, ou prépa à un concours</t>
  </si>
  <si>
    <t>Position administrative Saisie égale à 'Détachement entrant pour stage ou scolarité avant titularisation emploi de l'État, d'une collect territ ou d'un EPA, ou prépa à un concours' ET Indicateur de maintien saisi = Non</t>
  </si>
  <si>
    <t>A_POS_POSIAD [Saisi] = 'DEE06' ET A_POS_INDMAI [Saisi] = '0'</t>
  </si>
  <si>
    <t>T0404</t>
  </si>
  <si>
    <t>Détachement entrant pour stage ou scolarité avant titularisation emploi de l'État, d'une collect territ ou d'un EPA, ou prépa à un concours - Demande</t>
  </si>
  <si>
    <t>T0405</t>
  </si>
  <si>
    <t>Détachement entrant pour stage ou scolarité avant titularisation dans un emploi de l'État ou d'un EPA ou pour préparation à un concours-Renouvellement</t>
  </si>
  <si>
    <t>T0406</t>
  </si>
  <si>
    <t>Dét. entrant pour stage ou scolarité avant titularisation emploi de l'État, d'une collect territ ou d'un EPA, ou prépa à un concours - Réintégration</t>
  </si>
  <si>
    <t>DEE_I_003 ET DEE_I_006 ET DEE_I_004 ET DEE_I_007 ET DEE_D_010 ET DEE_D_410 ET DEE_D_520 ET DEE_D_920 ET DEE_D_011 ET DEE_D_411 ET POS_C_004 ET POS_C_005 ET POS_C_007 ET POS_C_010 ET POS_C_012 ET POS_C_013 ET POS_C_022 ET POS_C_030 ET POS_C_031 ET POS_C_034 ET POS_C_035 ET POS_C_036 ET POS_C_111</t>
  </si>
  <si>
    <t>DEE_I_007</t>
  </si>
  <si>
    <t>La durée du détachement correspond à la durée du stage ou de la période de scolarité.</t>
  </si>
  <si>
    <t>DEE_I_003 ET DEE_I_004 ET DEE_I_007 ET DEE_D_010 ET DEE_D_410 ET DEE_D_520 ET DEE_D_920 ET DEE_D_011 ET DEE_D_411 ET POS_C_004 ET POS_C_005 ET POS_C_007 ET POS_C_010 ET POS_C_012 ET POS_C_013 ET POS_C_022 ET POS_C_030 ET POS_C_031 ET POS_C_034 ET POS_C_035 ET POS_C_036 ET POS_C_111</t>
  </si>
  <si>
    <t>DEE_I_011 ET DEE_I_012 ET DEE_D_011 ET DEE_D_411 ET DEE_D_030 ET POS_C_004 ET POS_C_005 ET POS_C_007 ET POS_C_010 ET POS_C_012 ET POS_C_022 ET POS_C_030 ET POS_C_031 ET POS_C_034 ET POS_C_035 ET POS_C_036 ET POS_C_111</t>
  </si>
  <si>
    <t>22.00.00</t>
  </si>
  <si>
    <t>DEE_I_018 ET DEE_I_020 ET DEE_I_021 ET DEE_I_022 ET DEE_I_026 ET DEE_I_016 ET DEE_I_012 ET DEE_I_017 ET DEE_I_037 ET DEE_D_010 ET DEE_D_410 ET DEE_D_520 ET DEE_D_920 ET DEE_D_011 ET DEE_D_411 ET POS_C_004 ET POS_C_007 ET POS_C_010 ET POS_C_012 ET POS_C_030 ET POS_C_031 ET POS_C_034 ET POS_C_035 ET POS_C_036 ET POS_C_111</t>
  </si>
  <si>
    <t>DEE_I_020</t>
  </si>
  <si>
    <t>Il peut être mis fin au détachement de manière anticipée en cas d'insuffisance professionnelle de l'agent.</t>
  </si>
  <si>
    <t>DEE_I_021</t>
  </si>
  <si>
    <t>Il peut être mis fin au détachement de manière anticipée en cas d'exclusion définitive de l'agent.</t>
  </si>
  <si>
    <t>DEE_I_022</t>
  </si>
  <si>
    <t>Il est mis au fin au détachement de manière anticipée si l'agent est déclaré inapte définitivement suite à congés pour raison de santé après avis de la commission de réforme.</t>
  </si>
  <si>
    <t>DEE_I_018 ET DEE_I_020 ET DEE_I_021 ET DEE_I_051 ET DEE_I_026 ET DEE_I_016 ET DEE_I_012 ET DEE_I_017 ET DEE_I_037 ET DEE_D_010 ET DEE_D_410 ET DEE_D_520 ET DEE_D_920 ET DEE_D_011 ET DEE_D_411 ET POS_C_004 ET POS_C_007 ET POS_C_010 ET POS_C_012 ET POS_C_030 ET POS_C_031 ET POS_C_034 ET POS_C_035 ET POS_C_036 ET POS_C_111</t>
  </si>
  <si>
    <t>DEE_I_051</t>
  </si>
  <si>
    <t>Il est mis fin au détachement de manière anticipée si l'agent est déclaré inapte définitivement suite à congés pour raison de santé après avis du conseil médical.</t>
  </si>
  <si>
    <t>E0141</t>
  </si>
  <si>
    <t>Détachement entrant/sortant pour stage ou scolarité avant titularisation emploi de l'État, d'une collect territ ou d'un EPA, ou prépa à un concours</t>
  </si>
  <si>
    <t>Position administrative Saisie égale à 'Détachement entrant/sortant pour stage ou scolarité avant titularisation emploi de l'État, d'une collect territ ou d'un EPA, ou prépa à un concours' ET Indicateur de maintien saisi = Non</t>
  </si>
  <si>
    <t>A_POS_POSIAD [Saisi] = 'DES06' ET A_POS_INDMAI [Saisi] = '0'</t>
  </si>
  <si>
    <t>T0408</t>
  </si>
  <si>
    <t>Dét. entrant/sortant pour stage ou scolarité avant titularisation emploi de l'État, d'une collect territ ou d'un EPA, ou prépa à un concours - Demande</t>
  </si>
  <si>
    <t>T0409</t>
  </si>
  <si>
    <t>Dét. entrant/sortant pour stage ou scolarité avant titul emploi de l'État, d'une collect territ ou d'un EPA, ou prépa à un concours - Renouvellement</t>
  </si>
  <si>
    <t>T0410</t>
  </si>
  <si>
    <t>Dét.entrant/sortant pour stage ou scolarité avant titul emploi de l'État, d'une collect territ ou d'un EPA, ou prépa à un concours - Réintégration</t>
  </si>
  <si>
    <t>E0142</t>
  </si>
  <si>
    <t>Détachement entrant pour mission de coopération loi 72-659 personnels civils auprès d'Etats étrangers</t>
  </si>
  <si>
    <t>Position administrative Saisie égale à 'Détachement entrant pour mission de coopération loi 72-659 personnels civils auprès d'Etats étrangers' ET Indicateur de maintien saisi = Non</t>
  </si>
  <si>
    <t>A_POS_POSIAD [Saisi] = 'DEE03' ET A_POS_INDMAI [Saisi] = '0'</t>
  </si>
  <si>
    <t>T0412</t>
  </si>
  <si>
    <t>Détachement entrant pour mission de coopération loi 72-659 personnels civils auprès d'Etats étrangers - Demande</t>
  </si>
  <si>
    <t>T0413</t>
  </si>
  <si>
    <t>Détachement entrant pour mission de coopération loi 72-659 personnels civils auprès d'Etats étrangers - Renouvellement</t>
  </si>
  <si>
    <t>T0414</t>
  </si>
  <si>
    <t>Détachement entrant pour mission de coopération loi 72-659 personnels civils auprès d'Etats étrangers - Réintégration</t>
  </si>
  <si>
    <t>Expert technique international</t>
  </si>
  <si>
    <t>P0018</t>
  </si>
  <si>
    <t>DEE_I_002 ET DEE_I_008 ET DEE_I_003 ET DEE_I_009 ET DEE_I_006 ET DEE_I_004 ET DEE_I_010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</si>
  <si>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DEE_I_008</t>
  </si>
  <si>
    <t>La mission doit excéder 6 mois.</t>
  </si>
  <si>
    <t>DEE_I_009</t>
  </si>
  <si>
    <t>La demande doit être adressé au ministre responsable de la coopération.</t>
  </si>
  <si>
    <t>DEE_I_010</t>
  </si>
  <si>
    <t>L'agent souscrit un contrat à durée déterminée avec le ministère des affaires étrangères.</t>
  </si>
  <si>
    <t>DEE_I_002 ET DEE_I_008 ET DEE_I_003 ET DEE_I_009 ET DEE_I_004 ET DEE_I_010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</si>
  <si>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DEE_I_013 ET DEE_I_011 ET DEE_I_012 ET DEE_D_011 ET DEE_D_411 ET DEE_D_030 ET POS_C_004 ET POS_C_006 ET POS_C_007 ET POS_C_009 ET POS_C_010 ET POS_C_012 ET POS_C_013 ET POS_C_022 ET POS_C_030 ET POS_C_031 ET POS_C_034 ET POS_C_035 ET POS_C_036 ET POS_C_106 ET POS_C_111</t>
  </si>
  <si>
    <t>DEE_I_013</t>
  </si>
  <si>
    <t>Le détachement est renouvelé si le contrat est reconduit.</t>
  </si>
  <si>
    <t>E0143</t>
  </si>
  <si>
    <t>Détachement entrant/sortant pour mission de coopération loi 72-659 personnels civils auprès d'Etats étrangers</t>
  </si>
  <si>
    <t>Position administrative Saisie égale à 'Détachement entrant/sortant pour mission de coopération loi 72-659 personnels civils auprès d'Etats étrangers' ET Indicateur de maintien saisi = Non</t>
  </si>
  <si>
    <t>A_POS_POSIAD [Saisi] = 'DES03' ET A_POS_INDMAI [Saisi] = '0'</t>
  </si>
  <si>
    <t>T0416</t>
  </si>
  <si>
    <t>Détachement entrant/sortant pour mission de coopération loi 72-659 personnels civils auprès d'Etats étrangers - Demande</t>
  </si>
  <si>
    <t>T0417</t>
  </si>
  <si>
    <t>Détachement entrant/sortant pour mission de coopération loi 72-659 personnels civils auprès d'Etats étrangers - Renouvellement</t>
  </si>
  <si>
    <t>T0418</t>
  </si>
  <si>
    <t>Détachement entrant/sortant pour mission de coopération loi 72-659 personnels civils auprès d'Etats étrangers - Réintégration</t>
  </si>
  <si>
    <t>E0144</t>
  </si>
  <si>
    <t>Détachement entrant pour enseignement à l'étranger</t>
  </si>
  <si>
    <t>Position administrative Saisie égale à 'Détachement entrant pour enseignement à l'étranger' ET Indicateur de maintien saisi = Non</t>
  </si>
  <si>
    <t>A_POS_POSIAD [Saisi] = 'DEE05' ET A_POS_INDMAI [Saisi] = '0'</t>
  </si>
  <si>
    <t>T0420</t>
  </si>
  <si>
    <t>Détachement entrant pour enseignement à l'étranger - Demande</t>
  </si>
  <si>
    <t>DEE_I_002 ET DEE_I_003 ET DEE_I_004 ET DEE_I_100 ET DEE_I_101 ET DEE_I_102 ET DEE_D_010 ET DEE_D_410 ET DEE_D_520 ET DEE_D_920 ET DEE_D_011 ET DEE_D_411 ET POS_C_004 ET POS_C_005 ET POS_C_007 ET POS_C_010 ET POS_C_012 ET POS_C_013 ET POS_C_022 ET POS_C_030 ET POS_C_031 ET POS_C_034 ET POS_C_035 ET POS_C_036 ET POS_C_111</t>
  </si>
  <si>
    <t>T0421</t>
  </si>
  <si>
    <t>Détachement entrant pour enseignement à l'étranger - Renouvellement</t>
  </si>
  <si>
    <t>T0422</t>
  </si>
  <si>
    <t>Détachement entrant pour enseignement à l'étranger - Réintégration</t>
  </si>
  <si>
    <t>Magistrat de l'ordre judiciaire</t>
  </si>
  <si>
    <t>P0007</t>
  </si>
  <si>
    <t>E0145</t>
  </si>
  <si>
    <t>Détachement entrant/sortant pour enseignement à l'étranger</t>
  </si>
  <si>
    <t>Position administrative Saisie égale à 'Détachement entrant/sortant pour enseignement à l'étranger' ET Indicateur de maintien saisi = Non</t>
  </si>
  <si>
    <t>A_POS_POSIAD [Saisi] = 'DES05' ET A_POS_INDMAI [Saisi] = '0'</t>
  </si>
  <si>
    <t>T0424</t>
  </si>
  <si>
    <t>Détachement entrant/sortant pour enseignement à l'étranger - Demande</t>
  </si>
  <si>
    <t>T0425</t>
  </si>
  <si>
    <t>Détachement entrant/sortant pour enseignement à l'étranger - Renouvellement</t>
  </si>
  <si>
    <t>T0426</t>
  </si>
  <si>
    <t>Détachement entrant/sortant pour enseignement à l'étranger - Réintégration</t>
  </si>
  <si>
    <t>E0146</t>
  </si>
  <si>
    <t>Détachement entrant pour engagement dans l'armée française ou pour exercer une activité dans la réserve opérationnelle</t>
  </si>
  <si>
    <t>Position administrative Saisie égale à 'Détachement entrant pour engagement dans l'armée française ou pour exercer une activité dans la réserve opérationnelle' ET Indicateur de maintien saisi = Non</t>
  </si>
  <si>
    <t>A_POS_POSIAD [Saisi] = 'DEE07' ET A_POS_INDMAI [Saisi] = '0'</t>
  </si>
  <si>
    <t>T0427</t>
  </si>
  <si>
    <t>Détachement entrant pour engagement dans l'armée française ou pour exercer une activité dans la réserve opérationnelle - Demande</t>
  </si>
  <si>
    <t>T0428</t>
  </si>
  <si>
    <t>Détachement entrant pour engagement dans l'armée française ou pour exercer une activité dans la réserve opérationnelle - Renouvellement</t>
  </si>
  <si>
    <t>T0429</t>
  </si>
  <si>
    <t>Détachement entrant pour engagement dans l'armée française ou pour exercer une activité dans la réserve opérationnelle - Réintégration</t>
  </si>
  <si>
    <t>E0147</t>
  </si>
  <si>
    <t>Détachement entrant/sortant pour engagement dans l'armée française ou pour exercer une activité dans la réserve opérationnelle</t>
  </si>
  <si>
    <t>Position administrative Saisie égale à 'Détachement entrant/sortant pour engagement dans l'armée française ou pour exercer une activité dans la réserve opérationnelle' ET Indicateur de maintien saisi = Non</t>
  </si>
  <si>
    <t>A_POS_POSIAD [Saisi] = 'DES07' ET A_POS_INDMAI [Saisi] = '0'</t>
  </si>
  <si>
    <t>T0431</t>
  </si>
  <si>
    <t>Détachement entrant/sortant pour engagement dans l'armée française ou pour exercer une activité dans la réserve opérationnelle - Demande</t>
  </si>
  <si>
    <t>T0432</t>
  </si>
  <si>
    <t>Détachement entrant/sortant pour engagement dans l'armée française ou pour exercer une activité dans la réserve opérationnelle - Renouvellement</t>
  </si>
  <si>
    <t>T0433</t>
  </si>
  <si>
    <t>Détachement entrant/sortant pour engagement dans l'armée française ou pour exercer une activité dans la réserve opérationnelle - Réintégration</t>
  </si>
  <si>
    <t>E0148</t>
  </si>
  <si>
    <t>Détachement entrant pour exercer les fonctions de membre du gouvernement</t>
  </si>
  <si>
    <t>Position administrative Saisie égale à 'Détachement entrant pour exercer les fonctions de membre du gouvernement' ET Indicateur de maintien saisi = Non</t>
  </si>
  <si>
    <t>A_POS_POSIAD [Saisi] = 'DEE08' ET A_POS_INDMAI [Saisi] = '0'</t>
  </si>
  <si>
    <t>T0435</t>
  </si>
  <si>
    <t>Détachement entrant pour exercer les fonctions de membre du gouvernement - Demande</t>
  </si>
  <si>
    <t>T0436</t>
  </si>
  <si>
    <t>Détachement entrant pour exercer les fonctions de membre du gouvernement - Renouvellement</t>
  </si>
  <si>
    <t>T0437</t>
  </si>
  <si>
    <t>Détachement entrant pour exercer les fonctions de membre du gouvernement - Réintégration</t>
  </si>
  <si>
    <t>DEE_I_002 ET DEE_I_003 ET DEE_I_006 ET DEE_I_004 ET POS_C_004 ET POS_C_006 ET POS_C_007 ET POS_C_009 ET POS_C_010 ET POS_C_012 ET POS_C_013 ET POS_C_022 ET POS_C_030 ET POS_C_031 ET POS_C_034 ET POS_C_035 ET POS_C_036 ET POS_C_106</t>
  </si>
  <si>
    <t>DEE_I_002 ET DEE_I_003 ET DEE_I_004 ET POS_C_004 ET POS_C_006 ET POS_C_007 ET POS_C_009 ET POS_C_010 ET POS_C_012 ET POS_C_013 ET POS_C_022 ET POS_C_030 ET POS_C_031 ET POS_C_034 ET POS_C_035 ET POS_C_036 ET POS_C_106</t>
  </si>
  <si>
    <t>DEE_I_011 ET DEE_I_012 ET POS_C_004 ET POS_C_006 ET POS_C_007 ET POS_C_009 ET POS_C_010 ET POS_C_012 ET POS_C_013 ET POS_C_022 ET POS_C_030 ET POS_C_031 ET POS_C_034 ET POS_C_035 ET POS_C_036 ET POS_C_106</t>
  </si>
  <si>
    <t>DEE_I_018 ET DEE_I_026 ET DEE_I_016 ET DEE_I_012 ET DEE_I_017 ET DEE_I_037 ET POS_C_004 ET POS_C_006 ET POS_C_007 ET POS_C_010 ET POS_C_012 ET POS_C_030 ET POS_C_031 ET POS_C_034 ET POS_C_035 ET POS_C_036 ET POS_C_106</t>
  </si>
  <si>
    <t>E0149</t>
  </si>
  <si>
    <t>Détachement entrant/sortant pour exercer les fonctions de membre du gouvernement</t>
  </si>
  <si>
    <t>Position administrative Saisie égale à 'Détachement entrant/sortant pour exercer les fonctions de membre du gouvernement' ET Indicateur de maintien saisi = Non</t>
  </si>
  <si>
    <t>A_POS_POSIAD [Saisi] = 'DES08' ET A_POS_INDMAI [Saisi] = '0'</t>
  </si>
  <si>
    <t>T0439</t>
  </si>
  <si>
    <t>Détachement entrant/sortant pour exercer les fonctions de membre du gouvernement - Demande</t>
  </si>
  <si>
    <t>T0440</t>
  </si>
  <si>
    <t>Détachement entrant/sortant pour exercer les fonctions de membre du gouvernement - Renouvellement</t>
  </si>
  <si>
    <t>T0441</t>
  </si>
  <si>
    <t>Détachement entrant/sortant pour exercer les fonctions de membre du gouvernement - Réintégration</t>
  </si>
  <si>
    <t>E0150</t>
  </si>
  <si>
    <t>Détachement entrant d'office auprès d'une administration, d'un office ou d'un EP de l'Etat conduisant à pension</t>
  </si>
  <si>
    <t>Position administrative Saisie égale à 'Détachement entrant d'office auprès d'une administration ou d'un EP de l'Etat conduisant à pension' ET Indicateur de maintien saisi = Non</t>
  </si>
  <si>
    <t>A_POS_POSIAD [Saisi] = 'DEE02' ET A_POS_INDMAI [Saisi] = '0'</t>
  </si>
  <si>
    <t>T0443</t>
  </si>
  <si>
    <t>Détachement entrant d'office auprès d'une administration, d'un office ou d'un EP de l'Etat conduisant à pension - Placement</t>
  </si>
  <si>
    <t>Indicateur de maintien saisi différent de Indicateur de maintien avant saisi</t>
  </si>
  <si>
    <t>A_POS_INDMAI [Saisi] &lt;&gt; A_POS_INDMAI [Valeur avant saisie]</t>
  </si>
  <si>
    <t>DEE_I_005 ET DEE_D_010 ET DEE_D_410 ET DEE_D_520 ET DEE_D_920 ET DEE_D_011 ET DEE_D_411 ET POS_C_004 ET POS_C_005 ET POS_C_007 ET POS_C_010 ET POS_C_012 ET POS_C_013 ET POS_C_022 ET POS_C_030 ET POS_C_031 ET POS_C_034 ET POS_C_035 ET POS_C_036 ET POS_C_111</t>
  </si>
  <si>
    <t>DEE_I_005</t>
  </si>
  <si>
    <t>Le détachement peut être prononcé d'office après avis des commissions administratives paritaires et à condition que le nouvel emploi soit équivalent à l'ancien.</t>
  </si>
  <si>
    <t>DEE_D_010 ET DEE_D_410 ET DEE_D_520 ET DEE_D_920 ET DEE_D_011 ET DEE_D_411 ET POS_C_004 ET POS_C_005 ET POS_C_007 ET POS_C_010 ET POS_C_012 ET POS_C_013 ET POS_C_022 ET POS_C_030 ET POS_C_031 ET POS_C_034 ET POS_C_035 ET POS_C_036 ET POS_C_111</t>
  </si>
  <si>
    <t>T0444</t>
  </si>
  <si>
    <t>Détachement entrant d'office auprès d'une administration, d'un office ou d'un EP de l'Etat conduisant à pension - Réintégration</t>
  </si>
  <si>
    <t>Indicateur de maintien saisi identique à Indicateur de maintien avant saisi</t>
  </si>
  <si>
    <t>A_POS_INDMAI [Saisi] = A_POS_INDMAI [Valeur avant saisie]</t>
  </si>
  <si>
    <t>21.00.00</t>
  </si>
  <si>
    <t>DEE_I_050 ET POS_C_004 ET POS_C_005 ET POS_C_007 ET POS_C_010 ET POS_C_012 ET POS_C_013 ET POS_C_022 ET POS_C_030 ET POS_C_031 ET POS_C_034 ET POS_C_035 ET POS_C_036 ET POS_C_111</t>
  </si>
  <si>
    <t>DEE_I_050</t>
  </si>
  <si>
    <t>L'agent ne peut être détaché que par nécessité de service et seulement dans un emploi qui n'est pas, par la nature et les conditions d'exercice des fonctions qu'il comporte, incompatible avec sa situation de stagiaire.</t>
  </si>
  <si>
    <t>DEE_I_050 ET POS_C_004 ET POS_C_007 ET POS_C_010 ET POS_C_012 ET POS_C_030 ET POS_C_031 ET POS_C_034 ET POS_C_035 ET POS_C_036 ET POS_C_111</t>
  </si>
  <si>
    <t>E0151</t>
  </si>
  <si>
    <t>Détachement entrant/sortant d'office auprès d'une administration, d'un office ou d'un EP de l'Etat conduisant à pension</t>
  </si>
  <si>
    <t>Position administrative Saisie égale à 'Détachement entrant/sortant d'office auprès d'une administration ou d'un EP de l'Etat conduisant à pension' ET Indicateur de maintien saisi = Non</t>
  </si>
  <si>
    <t>A_POS_POSIAD [Saisi] = 'DES02' ET A_POS_INDMAI [Saisi] = '0'</t>
  </si>
  <si>
    <t>T0446</t>
  </si>
  <si>
    <t>Détachement entrant/sortant d'office auprès d'une administration, d'un office ou d'un EP de l'Etat conduisant à pension - Placement</t>
  </si>
  <si>
    <t>T0447</t>
  </si>
  <si>
    <t>Détachement entrant/sortant d'office auprès d'une administration, d'un office ou d'un EP de l'Etat conduisant à pension - Réintégration</t>
  </si>
  <si>
    <t>E0152</t>
  </si>
  <si>
    <t>Détachement d'office dans les corps du ministère de l'intérieur sans limitation de durée entrant</t>
  </si>
  <si>
    <t>Position administrative Saisie égale à 'Détachement d'office dans les corps du ministère de l'intérieur sans limitation de durée entrant' ET Indicateur de maintien saisi = Non</t>
  </si>
  <si>
    <t>A_POS_POSIAD [Saisi] = 'DEE09' ET A_POS_INDMAI [Saisi] = '0'</t>
  </si>
  <si>
    <t>T0449</t>
  </si>
  <si>
    <t>Détachement d'office dans les corps du ministère de l'intérieur sans limitation de durée entrant - Placement</t>
  </si>
  <si>
    <t>DEE_I_014 ET POS_C_004 ET POS_C_005 ET POS_C_007 ET POS_C_010 ET POS_C_012 ET POS_C_013 ET POS_C_022 ET POS_C_030 ET POS_C_031 ET POS_C_034 ET POS_C_035 ET POS_C_036 ET POS_C_401</t>
  </si>
  <si>
    <t>DEE_I_014</t>
  </si>
  <si>
    <t>L'agent est fonctionnaire affecté en position d'activité dans les services de la gendarmerie nationale. Cela n'est pas possible s'il appartient à un corps dont l'indice terminal est égal à l'indice brut 638.</t>
  </si>
  <si>
    <t>POS_C_401</t>
  </si>
  <si>
    <t>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t>
  </si>
  <si>
    <t>T0450</t>
  </si>
  <si>
    <t>Détachement d'office dans les corps du ministère de l'intérieur sans limitation de durée entrant - Réintégration</t>
  </si>
  <si>
    <t>Indicateur de maintien saisi égal à l'Indicateur de maintien avant saisi</t>
  </si>
  <si>
    <t>DEE_I_019 ET DEE_I_037 ET POS_C_004 ET POS_C_007 ET POS_C_010 ET POS_C_012 ET POS_C_030 ET POS_C_031 ET POS_C_034 ET POS_C_035 ET POS_C_036 ET POS_C_401</t>
  </si>
  <si>
    <t>DEE_I_019</t>
  </si>
  <si>
    <t>E0153</t>
  </si>
  <si>
    <t>Détachement d'office dans les corps du ministère de l'intérieur sans limitation de durée entrant/sortant</t>
  </si>
  <si>
    <t>Position administrative Saisie égale à 'Détachement d'office dans les corps du ministère de l'intérieur sans limitation de durée entrant/sortant' ET Indicateur de maintien saisi = Non</t>
  </si>
  <si>
    <t>A_POS_POSIAD [Saisi] = 'DES09' ET A_POS_INDMAI [Saisi] = '0'</t>
  </si>
  <si>
    <t>T0452</t>
  </si>
  <si>
    <t>Détachement d'office dans les corps du ministère de l'intérieur sans limitation de durée entrant/sortant - Placement</t>
  </si>
  <si>
    <t>T0453</t>
  </si>
  <si>
    <t>Détachement d'office dans les corps du ministère de l'intérieur sans limitation de durée entrant/sortant - Réintégration</t>
  </si>
  <si>
    <t>E0154</t>
  </si>
  <si>
    <t>Détachement judiciaire entrant conduisant à pension</t>
  </si>
  <si>
    <t>Position administrative Saisie égale à 'Détachement judiciaire entrant conduisant à pension' ET Indicateur de maintien saisi = Non</t>
  </si>
  <si>
    <t>A_POS_POSIAD [Saisi] = 'DEE10' ET A_POS_INDMAI [Saisi] = '0'</t>
  </si>
  <si>
    <t>T0455</t>
  </si>
  <si>
    <t>Détachement judiciaire entrant conduisant à pension - Demande</t>
  </si>
  <si>
    <t>T0456</t>
  </si>
  <si>
    <t>Détachement judiciaire entrant conduisant à pension - Réintégration</t>
  </si>
  <si>
    <t>DEE_I_002 ET DEE_I_027 ET DEE_I_028 ET DEE_I_029 ET DEE_I_031 ET DEE_I_003 ET DEE_I_030 ET DEE_D_151 ET DEE_D_451 ET DEE_D_505 ET POS_C_004 ET POS_C_005 ET POS_C_007 ET POS_C_010 ET POS_C_012 ET POS_C_013 ET POS_C_022 ET POS_C_030 ET POS_C_031 ET POS_C_034 ET POS_C_035 ET POS_C_036 ET POS_C_111</t>
  </si>
  <si>
    <t>DEE_I_027</t>
  </si>
  <si>
    <t>L'agent est membre d'un corps recruté par la voie de l'Ecole nationale d'administration, professeur ou maître de conférences des universités.</t>
  </si>
  <si>
    <t>DEE_I_028</t>
  </si>
  <si>
    <t>L'agent appartient à un corps ou un grade d'emploi de même niveau de recrutement.</t>
  </si>
  <si>
    <t>DEE_I_029</t>
  </si>
  <si>
    <t>Le détachement est possible dans les fonctions des premier et second grades au sein du corps judiciaire.</t>
  </si>
  <si>
    <t>DEE_I_031</t>
  </si>
  <si>
    <t>Un stage d'une durée de 6 mois doit avoir été accompli par l'agent préalablement à l'exercice de fonctions judiciaires.</t>
  </si>
  <si>
    <t>DEE_I_030</t>
  </si>
  <si>
    <t>Le détachement est prononcé après avis conforme de la commission d'avancement.</t>
  </si>
  <si>
    <t>DEE_D_151</t>
  </si>
  <si>
    <t>Le détachement judiciaire ne peut pas excéder cinq ans entre la date de début et la date de fin prévisionnelle.</t>
  </si>
  <si>
    <t>DEE_D_451</t>
  </si>
  <si>
    <t>Le détachement judiciaire ne peut pas excéder cinq ans entre la date de début et la date de fin réelle.</t>
  </si>
  <si>
    <t>DEE_I_032 ET DEE_I_033 ET DEE_D_151 ET DEE_D_451 ET DEE_D_505 ET POS_C_004 ET POS_C_007 ET POS_C_010 ET POS_C_012 ET POS_C_030 ET POS_C_031 ET POS_C_034 ET POS_C_035 ET POS_C_036 ET POS_C_111</t>
  </si>
  <si>
    <t>DEE_I_032</t>
  </si>
  <si>
    <t>Il peut être mis fin au détachement sur demande de l'agent.</t>
  </si>
  <si>
    <t>DEE_I_033</t>
  </si>
  <si>
    <t>L'autorité judiciaire peut mettre fin au détachement avant terme s'il a été prononcé à l'encontre de l'agent une des sanctions suivantes : la mise à la retraite d'office, la révocation ou la fin du détachement judiciaire.</t>
  </si>
  <si>
    <t>E0155</t>
  </si>
  <si>
    <t>Détachement judiciaire entrant/sortant conduisant à pension</t>
  </si>
  <si>
    <t>Position administrative Saisie égale à 'Détachement judiciaire entrant/sortant conduisant à pension' ET Indicateur de maintien saisi = Non</t>
  </si>
  <si>
    <t>A_POS_POSIAD [Saisi] = 'DES10' ET A_POS_INDMAI [Saisi] = '0'</t>
  </si>
  <si>
    <t>T0458</t>
  </si>
  <si>
    <t>Détachement judiciaire entrant/sortant conduisant à pension - Demande</t>
  </si>
  <si>
    <t>T0459</t>
  </si>
  <si>
    <t>Détachement judiciaire entrant/sortant conduisant à pension - Réintégration</t>
  </si>
  <si>
    <t>E0646</t>
  </si>
  <si>
    <t>Maintien en détachement entrant/sortant</t>
  </si>
  <si>
    <t>Position saisie égale à 'Maintien en détachement entrant/sortant' ET Indicateur de maintien saisi = Oui</t>
  </si>
  <si>
    <t>A_POS_POSIAD [Saisi] = POSITION_SITUATION.R_FOR_IDEN05 ET POSITION_SITUATION.R_REL_PSSAG1 DANS ('DES00','DEE00') ET A_POS_INDMAI [Saisi] = '1'</t>
  </si>
  <si>
    <t>T1585</t>
  </si>
  <si>
    <t>DEE_I_025 ET DEE_I_037 ET POS_C_004 ET POS_C_005 ET POS_C_007 ET POS_C_010 ET POS_C_012 ET POS_C_022 ET POS_C_030 ET POS_C_031 ET POS_C_034 ET POS_C_035 ET POS_C_036 ET POS_C_053 ET POS_C_110</t>
  </si>
  <si>
    <t>DEE_I_025</t>
  </si>
  <si>
    <t>Si l'agent a demandé le renouvellement de son détachement dans le délai mais que l'organisme d'accueil a fait connaître son refus hors délai, il est maintenu en détachement jusqu'à ce qu'il soit réintégré à la première vacance dans son corps d'origine.</t>
  </si>
  <si>
    <t>POS_C_053</t>
  </si>
  <si>
    <t>L'indicateur de renouvellement ne doit pas être positionné à Oui.</t>
  </si>
  <si>
    <t>POS_C_110</t>
  </si>
  <si>
    <t>En cas de maintien, la position saisie doit être identique à la position de l'occurrence précédente.</t>
  </si>
  <si>
    <t>DEE_I_025 ET DEE_I_037 ET DEE_D_921 ET DEE_D_922 ET POS_C_004 ET POS_C_005 ET POS_C_007 ET POS_C_010 ET POS_C_012 ET POS_C_022 ET POS_C_030 ET POS_C_031 ET POS_C_034 ET POS_C_035 ET POS_C_036 ET POS_C_053 ET POS_C_110</t>
  </si>
  <si>
    <t>DEE_D_921</t>
  </si>
  <si>
    <t>La durée du maintien en détachement d'un agent détaché sur un emploi fonctionnel ne peut excéder 3 ans entre la date de début et la date de fin prévisionnelle.</t>
  </si>
  <si>
    <t>DEE_D_922</t>
  </si>
  <si>
    <t>La durée du maintien en détachement d'un agent détaché sur un emploi fonctionnel ne peut excéder 3 ans entre la date de début et la date de fin réelle.</t>
  </si>
  <si>
    <t>DEE_I_025 ET POS_C_004 ET POS_C_006 ET POS_C_007 ET POS_C_009 ET POS_C_010 ET POS_C_012 ET POS_C_022 ET POS_C_030 ET POS_C_031 ET POS_C_034 ET POS_C_035 ET POS_C_036 ET POS_C_106 ET POS_C_053 ET POS_C_110</t>
  </si>
  <si>
    <t>DEE_I_025 ET POS_C_004 ET POS_C_005 ET POS_C_007 ET POS_C_010 ET POS_C_012 ET POS_C_022 ET POS_C_030 ET POS_C_031 ET POS_C_034 ET POS_C_035 ET POS_C_036 ET POS_C_053 ET POS_C_110</t>
  </si>
  <si>
    <t>DEE_I_025 ET DEE_D_921 ET DEE_D_922 ET POS_C_004 ET POS_C_005 ET POS_C_007 ET POS_C_010 ET POS_C_012 ET POS_C_022 ET POS_C_030 ET POS_C_031 ET POS_C_034 ET POS_C_035 ET POS_C_036 ET POS_C_053 ET POS_C_110</t>
  </si>
  <si>
    <t>E0730</t>
  </si>
  <si>
    <t>Détachement entrant d'office conduisant à pension suite à suspension de fonctions en attente de décision</t>
  </si>
  <si>
    <t>Position administrative Saisie égale à 'Détachement entrant d'office conduisant à pension suite à suspension de fonctions en attente de décision' ET Indicateur de maintien saisi = Non</t>
  </si>
  <si>
    <t>A_POS_POSIAD [Saisi] = 'DEE11' ET A_POS_INDMAI [Saisi] = '0'</t>
  </si>
  <si>
    <t>T1773</t>
  </si>
  <si>
    <t>Détachement entrant d'office conduisant à pension suite à suspension de fonctions en attente de décision - Placement</t>
  </si>
  <si>
    <t>Indicateur de maintien saisi différent de Indicateur de maintien avant saisi)</t>
  </si>
  <si>
    <t>DEE_I_015 ET POS_C_004 ET POS_C_005 ET POS_C_007 ET POS_C_010 ET POS_C_012 ET POS_C_013 ET POS_C_022 ET POS_C_030 ET POS_C_031 ET POS_C_034 ET POS_C_035 ET POS_C_036</t>
  </si>
  <si>
    <t>DEE_I_015</t>
  </si>
  <si>
    <t>L'agent faisant l'objet de poursuites pénales non rétabli dans ses fonctions dans un délai de 4 mois peut être placé provisoirement en détachement dans un autre corps ou cadre d'emplois pour occuper un emploi compatible avec les obligations judiciaires.</t>
  </si>
  <si>
    <t>T1774</t>
  </si>
  <si>
    <t>Détachement entrant d'office conduisant à pension suite à suspension de fonctions en attente de décision - Réintégration</t>
  </si>
  <si>
    <t>POS_C_004 ET POS_C_007 ET POS_C_010 ET POS_C_012 ET POS_C_030 ET POS_C_031 ET POS_C_034 ET POS_C_035 ET POS_C_036</t>
  </si>
  <si>
    <t>E0731</t>
  </si>
  <si>
    <t>Détachement entrant/sortant d'office conduisant à pension suite à suspension de fonctions en attente de décision</t>
  </si>
  <si>
    <t>Position administrative Saisie égale à 'Détachement entrant/sortant d'office conduisant à pension suite à suspension de fonctions en attente de décision' ET Indicateur de maintien saisi = Non</t>
  </si>
  <si>
    <t>A_POS_POSIAD [Saisi] = 'DES11' ET A_POS_INDMAI [Saisi] = '0'</t>
  </si>
  <si>
    <t>T1775</t>
  </si>
  <si>
    <t>Détachement entrant/sortant d'office conduisant à pension suite à suspension de fonctions en attente de décision - Placement</t>
  </si>
  <si>
    <t>T1776</t>
  </si>
  <si>
    <t>Détachement entrant/sortant d'office conduisant à pension suite à suspension de fonctions en attente de décision - Réintégration</t>
  </si>
  <si>
    <t>E0770</t>
  </si>
  <si>
    <t>Détachement entrant conduisant à pension auprès de la Défense pour exercer des fonctions judiciaires</t>
  </si>
  <si>
    <t>Position administrative Saisie égale à 'Détachement entrant conduisant à pension auprès de la Défense pour exercer des fonctions judiciaires' ET Indicateur de maintien saisi = Non</t>
  </si>
  <si>
    <t>A_POS_POSIAD [Saisi] = 'DEE12' ET A_POS_INDMAI [Saisi] = '0'</t>
  </si>
  <si>
    <t>T1901</t>
  </si>
  <si>
    <t>Détachement entrant conduisant à pension auprès de la Défense pour exercer des fonctions judiciaires - Demande</t>
  </si>
  <si>
    <t>T1902</t>
  </si>
  <si>
    <t>Détachement entrant conduisant à pension auprès de la Défense pour exercer des fonctions judiciaires - Renouvellement</t>
  </si>
  <si>
    <t>T1903</t>
  </si>
  <si>
    <t>Détachement entrant conduisant à pension auprès de la Défense pour exercer des fonctions judiciaires - Réintégration</t>
  </si>
  <si>
    <t>DEE_I_002 ET DEE_I_034 ET DEE_I_003 ET DEE_D_180 ET DEE_D_480 ET DEE_D_505 ET DEE_D_177 ET DEE_D_200 ET POS_C_004 ET POS_C_005 ET POS_C_007 ET POS_C_010 ET POS_C_012 ET POS_C_013 ET POS_C_022 ET POS_C_030 ET POS_C_031 ET POS_C_034 ET POS_C_035 ET POS_C_036 ET POS_C_111</t>
  </si>
  <si>
    <t>DEE_I_034</t>
  </si>
  <si>
    <t>L'agent doit avoir accompli 4 années de services effectifs dans le corps judiciaire depuis son entrée dans la magistrature.</t>
  </si>
  <si>
    <t>DEE_D_180</t>
  </si>
  <si>
    <t>La durée du détachement ne peut excéder 5 ans entre la date de début et la date de fin prévisionnelle.</t>
  </si>
  <si>
    <t>DEE_D_480</t>
  </si>
  <si>
    <t>La durée du détachement ne peut excéder 5 ans entre la date de début et la date de fin réelle.</t>
  </si>
  <si>
    <t>DEE_D_177</t>
  </si>
  <si>
    <t>Le ministère d'origine saisi est celui de la Justice.</t>
  </si>
  <si>
    <t>DEE_D_200</t>
  </si>
  <si>
    <t>Le nouveau ministère est celui de la Défense.</t>
  </si>
  <si>
    <t>DEE_D_180 ET DEE_D_480 ET DEE_D_177 ET DEE_D_200 ET POS_C_004 ET POS_C_005 ET POS_C_007 ET POS_C_010 ET POS_C_012 ET POS_C_013 ET POS_C_022 ET POS_C_030 ET POS_C_031 ET POS_C_034 ET POS_C_035 ET POS_C_036 ET POS_C_111</t>
  </si>
  <si>
    <t>DEE_I_035 ET DEE_I_036 ET DEE_D_180 ET DEE_D_480 ET DEE_D_505 ET DEE_D_177 ET DEE_D_200 ET POS_C_004 ET POS_C_007 ET POS_C_010 ET POS_C_012 ET POS_C_030 ET POS_C_031 ET POS_C_034 ET POS_C_035 ET POS_C_036 ET POS_C_111</t>
  </si>
  <si>
    <t>DEE_I_035</t>
  </si>
  <si>
    <t>Le détachement peut prendre fin de manière anticipée à l'initiative du ministre de la défense après accord du ministre de la justice.</t>
  </si>
  <si>
    <t>DEE_I_036</t>
  </si>
  <si>
    <t>Le détachement peut prendre fin de manière anticipée à l'initiative de l'agent lorsqu'il est nommé hors hiérarchie ou promu au premier grade du corps judiciaire.</t>
  </si>
  <si>
    <t>E0799</t>
  </si>
  <si>
    <t>Détachement E/S sur demande auprès d'une administration, d'un office ou d'un EP de l'Etat conduisant à pension pour reclassement pour inaptitude</t>
  </si>
  <si>
    <t>Position administrative Saisie égale à 'Détachement entrant/sortant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</si>
  <si>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'DES01' ET
A_POS_SITPAR [Saisi] = 'SIP01' ET A_POS_INDMAI [Saisi] = '0'</t>
  </si>
  <si>
    <t>T1981</t>
  </si>
  <si>
    <t>Détachement E/S sur demande auprès d'une administration ou d'un EP de l'Etat conduisant à pension pour reclassement pour inaptitude - Demande</t>
  </si>
  <si>
    <t>DEE_I_038 ET DEE_I_039 ET DEE_I_040 ET DEE_D_010 ET DEE_D_410 ET DEE_D_520 ET DEE_D_920 ET DEE_D_011 ET DEE_D_411 ET POS_C_004 ET POS_C_005 ET POS_C_007 ET POS_C_010 ET POS_C_012 ET POS_C_013 ET POS_C_022 ET POS_C_030 ET POS_C_031 ET POS_C_034 ET POS_C_035 ET POS_C_036 ET POS_C_111 ET POS_C_402 ET POS_C_403</t>
  </si>
  <si>
    <t>DEE_I_038</t>
  </si>
  <si>
    <t>L'administration propose à l'agent plusieurs emplois pouvant être pourvus par la voie du détachement.</t>
  </si>
  <si>
    <t>DEE_I_039</t>
  </si>
  <si>
    <t>L'impossibilité pour l'administration de proposer de tels emplois doit faire l'objet d'une décision motivée.</t>
  </si>
  <si>
    <t>DEE_I_040</t>
  </si>
  <si>
    <t>L'agent présente une demande de reclassement dans un autre corps par la voie du détachement.</t>
  </si>
  <si>
    <t>POS_C_402</t>
  </si>
  <si>
    <t>Si la date de début de la situation particulière est renseignée pour la valeur 'Période de préparation au reclassement" alors la date de début de la situation particulière est égale à la date de début de la position saisie.</t>
  </si>
  <si>
    <t>POS_C_403</t>
  </si>
  <si>
    <t>Si la date de fin de la situation particulière est renseignée pour la valeur 'Période de préparation au reclassement" alors la date de fin de la situation particulière est égale à la date de fin réelle de la position saisie.</t>
  </si>
  <si>
    <t>DEE_I_038 ET DEE_I_039 ET DEE_I_052 ET DEE_D_010 ET DEE_D_410 ET DEE_D_520 ET DEE_D_920 ET DEE_D_011 ET DEE_D_411 ET POS_C_004 ET POS_C_005 ET POS_C_007 ET POS_C_010 ET POS_C_012 ET POS_C_013 ET POS_C_022 ET POS_C_030 ET POS_C_031 ET POS_C_034 ET POS_C_035 ET POS_C_036 ET POS_C_111 ET POS_C_402 ET POS_C_403</t>
  </si>
  <si>
    <t>DEE_I_052</t>
  </si>
  <si>
    <t>L'agent présente une demande de reclassement dans un autre corps ou cadre d'emplois par la voie du détachement.</t>
  </si>
  <si>
    <t>T1982</t>
  </si>
  <si>
    <t>Détachement E/S sur demande auprès d'une administration ou d'un EP de l'Etat conduisant à pension pour reclassement pour inaptit. - Renouvellement</t>
  </si>
  <si>
    <t>DEE_I_041 ET DEE_I_042 ET DEE_D_011 ET DEE_D_411 ET DEE_D_030 ET POS_C_004 ET POS_C_005 ET POS_C_007 ET POS_C_010 ET POS_C_012 ET POS_C_013 ET POS_C_022 ET POS_C_030 ET POS_C_031 ET POS_C_034 ET POS_C_035 ET POS_C_036 ET POS_C_111 ET POS_C_402 ET POS_C_403</t>
  </si>
  <si>
    <t>DEE_I_041</t>
  </si>
  <si>
    <t>Le comité médical se prononce, à l'issue de chaque période de détachement, sur l'aptitude de l'intéressé à reprendre ses fonctions initiales dans son corps d'origine.</t>
  </si>
  <si>
    <t>DEE_I_042</t>
  </si>
  <si>
    <t>Si l'inaptitude antérieurement constatée demeure sans que son caractère définitif puisse être affirmé, le comité médical propose le maintien en détachement de l'agent.</t>
  </si>
  <si>
    <t>DEE_I_053 ET DEE_I_054 ET DEE_D_011 ET DEE_D_411 ET DEE_D_030 ET POS_C_004 ET POS_C_005 ET POS_C_007 ET POS_C_010 ET POS_C_012 ET POS_C_013 ET POS_C_022 ET POS_C_030 ET POS_C_031 ET POS_C_034 ET POS_C_035 ET POS_C_036 ET POS_C_111 ET POS_C_402 ET POS_C_403</t>
  </si>
  <si>
    <t>DEE_I_053</t>
  </si>
  <si>
    <t>Le conseil médical se prononce, à l'issue de chaque période de détachement, sur l'aptitude de l'agent à reprendre ses fonctions initiales dans son corps d'origine.</t>
  </si>
  <si>
    <t>DEE_I_054</t>
  </si>
  <si>
    <t>Si l'inaptitude antérieurement constatée demeure sans que son caractère définitif puisse être affirmé, le conseil médical propose le maintien en détachement de l'agent.</t>
  </si>
  <si>
    <t>T1983</t>
  </si>
  <si>
    <t>Détachement E/S sur demande auprès d'une administration ou d'un EP de l'Etat conduisant à pension pour reclassement pour inaptit. - Réintégration</t>
  </si>
  <si>
    <t>DEE_I_018 ET DEE_I_026 ET DEE_I_016 ET DEE_I_012 ET DEE_I_017 ET DEE_I_037 ET DEE_D_010 ET DEE_D_410 ET DEE_D_520 ET DEE_D_920 ET DEE_D_011 ET DEE_D_411 ET POS_C_004 ET POS_C_007 ET POS_C_010 ET POS_C_012 ET POS_C_030 ET POS_C_031 ET POS_C_034 ET POS_C_035 ET POS_C_036 ET POS_C_111 ET POS_C_402 ET POS_C_403</t>
  </si>
  <si>
    <t>19.00.00</t>
  </si>
  <si>
    <t>Militaire</t>
  </si>
  <si>
    <t>P0002</t>
  </si>
  <si>
    <t>E0800</t>
  </si>
  <si>
    <t>Détachement entrant sur demande auprès d'une administration, d'un office ou d'un EP de l'Etat conduisant à pension pour reclassement pour inaptitude</t>
  </si>
  <si>
    <t>Position administrative Saisie égale à 'Détachement entrant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</si>
  <si>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'DEE01' ET A_POS_SITPAR [Saisi] = 'SIP01' ET A_POS_INDMAI [Saisi] = '0'</t>
  </si>
  <si>
    <t>T1984</t>
  </si>
  <si>
    <t>Détachement entrant sur demande auprès d'une administration ou d'un EP de l'Etat conduisant à pension pour reclassement pour inaptitude - Demande</t>
  </si>
  <si>
    <t>T1985</t>
  </si>
  <si>
    <t>Détachement entrant sur demande auprès d'une administration ou d'un EP de l'Etat conduisant à pension pour reclassement pour inaptit. - Renouvellement</t>
  </si>
  <si>
    <t>T1986</t>
  </si>
  <si>
    <t>Détachement entrant sur demande auprès d'une administration ou d'un EP de l'Etat conduisant à pension pour reclassement pour inaptit. - Réintégration</t>
  </si>
  <si>
    <t>23.00.00</t>
  </si>
  <si>
    <t>E0931</t>
  </si>
  <si>
    <t>Détachement entrant conduisant à pension suite à stage probatoire militaire</t>
  </si>
  <si>
    <t>Position administrative Saisie égale à 'Détachement entrant conduisant à pension suite à stage probatoire militaire' ET Indicateur de maintien saisi = Non</t>
  </si>
  <si>
    <t>A_POS_POSIAD [Saisi] = 'DEE13' ET A_POS_INDMAI [Saisi] = '0'</t>
  </si>
  <si>
    <t>T2271</t>
  </si>
  <si>
    <t>Détachement entrant conduisant à pension suite à stage probatoire militaire - Demande</t>
  </si>
  <si>
    <t>DEE_I_070 ET DEE_I_071 ET DEE_I_072 ET DEE_I_073 ET DEE_I_074 ET DEE_I_075 ET DEE_D_704 ET DEE_D_705 ET DEE_D_706 ET DEE_D_707 ET POS_C_004 ET POS_C_005 ET POS_C_007 ET POS_C_010 ET POS_C_012 ET POS_C_013 ET POS_C_022 ET POS_C_030 ET POS_C_031 ET POS_C_034 ET POS_C_035 ET POS_C_036 ET POS_C_111</t>
  </si>
  <si>
    <t>DEE_I_070</t>
  </si>
  <si>
    <t>L'agent doit remplir les conditions de grade et d'ancienneté du corps ou un cadre d'emplois de fonctionnaire civil relevant d'une administration de l'Etat, d'une collectivité territoriale ou d'un établissement public dans lequel il est détaché.</t>
  </si>
  <si>
    <t>DEE_I_071</t>
  </si>
  <si>
    <t>L'agent doit avoir effectué une demande.</t>
  </si>
  <si>
    <t>DEE_I_072</t>
  </si>
  <si>
    <t>La demande doit avoir été agréée par l'autorité compétente.</t>
  </si>
  <si>
    <t>DEE_I_073</t>
  </si>
  <si>
    <t>S'il a donné satisfaction, l'agent est placé à la suite du stage probatoire en position de détachement, par décision conjointe de l'autorité compétence et de l'autorité chargée de la gestion du corps d'accueil.</t>
  </si>
  <si>
    <t>DEE_I_074</t>
  </si>
  <si>
    <t>La condition de nationalité n'est pas opposable à l'agent ayant servi à titre étranger pendant une durée fixée.</t>
  </si>
  <si>
    <t>DEE_I_075</t>
  </si>
  <si>
    <t>L'agent ayant servi à titre étranger n'a pas accès aux emplois dont les attributions ne sont pas séparables de l'exercice de la souveraineté ou comportent une participation directe ou indirecte à l'exercice de prérogatives de puissance publique.</t>
  </si>
  <si>
    <t>DEE_D_704</t>
  </si>
  <si>
    <t>La durée du détachement est égale à 1 an entre la date de début et la date de fin prévisionnelle. Elle peut éventuellement être prolongée pour finaliser la procédure d'intégration de l'agent.</t>
  </si>
  <si>
    <t>DEE_D_705</t>
  </si>
  <si>
    <t>La durée du détachement est égale à 1 an entre la date de début et la date de fin réelle. Elle peut éventuellement être prolongée pour finaliser la procédure d'intégration de l'agent.</t>
  </si>
  <si>
    <t>DEE_D_706</t>
  </si>
  <si>
    <t>La durée du détachement dans un corps enseignant est égale à 2 ans entre la date de début et la date de fin prévisionnelle. Elle peut éventuellement être prolongée pour finaliser la procédure d'intégration de l'agent.</t>
  </si>
  <si>
    <t>DEE_D_707</t>
  </si>
  <si>
    <t>La durée du détachement dans un corps enseignant est égale à 2 ans entre la date de début et la date de fin réelle. Elle peut éventuellement être prolongée pour finaliser la procédure d'intégration de l'agent.</t>
  </si>
  <si>
    <t>T2272</t>
  </si>
  <si>
    <t>Détachement entrant conduisant à pension suite à stage probatoire militaire - Renouvellement</t>
  </si>
  <si>
    <t>DEE_D_704 ET DEE_D_705 ET DEE_D_706 ET DEE_D_707 ET POS_C_005 ET POS_C_007 ET POS_C_010 ET POS_C_012 ET POS_C_013 ET POS_C_022 ET POS_C_030 ET POS_C_031 ET POS_C_034 ET POS_C_035 ET POS_C_036 ET POS_C_111</t>
  </si>
  <si>
    <t>T2273</t>
  </si>
  <si>
    <t>Détachement entrant conduisant à pension suite à stage probatoire militaire - Fin</t>
  </si>
  <si>
    <t>DEE_I_076 ET DEE_D_704 ET DEE_D_705 ET DEE_D_706 ET DEE_D_707 ET POS_C_004 ET POS_C_007 ET POS_C_010 ET POS_C_012 ET POS_C_030 ET POS_C_031 ET POS_C_034 ET POS_C_035 ET POS_C_036 ET POS_C_111</t>
  </si>
  <si>
    <t>DEE_I_076</t>
  </si>
  <si>
    <t>A la fin de la période de détachement, l'agent peut être intégré dans le corps ou le cadre d'emplois d'accueil.</t>
  </si>
  <si>
    <t>E0932</t>
  </si>
  <si>
    <t>Détachement entrant/sortant conduisant à pension suite à stage probatoire militaire</t>
  </si>
  <si>
    <t>Position administrative Saisie égale à 'Détachement entrant/sortant conduisant à pension suite à stage probatoire militaire' ET Indicateur de maintien saisi = Non</t>
  </si>
  <si>
    <t>A_POS_POSIAD [Saisi] = 'DES13' ET A_POS_INDMAI [Saisi] = '0'</t>
  </si>
  <si>
    <t>T2274</t>
  </si>
  <si>
    <t>Détachement entrant/sortant conduisant à pension suite à stage probatoire militaire - Demande</t>
  </si>
  <si>
    <t>T2275</t>
  </si>
  <si>
    <t>Détachement entrant/sortant conduisant à pension suite à stage probatoire militaire - Renouvellement</t>
  </si>
  <si>
    <t>T2276</t>
  </si>
  <si>
    <t>Détachement entrant/sortant conduisant à pension suite à stage probatoire militaire - Fin</t>
  </si>
  <si>
    <t>E0998</t>
  </si>
  <si>
    <t>Détachement entrant/sortant non payé avec délégation de la paie</t>
  </si>
  <si>
    <t>La position/situation administrative saisie est égale à "Détachement entrant/sortant non payé avec délégation de la paie"</t>
  </si>
  <si>
    <t>A_POS_POSIAD [Saisi] = 'DEG01' ET A_POS_SITPAR [Saisi] = Vide ET A_POS_INDMAI [Saisi] = '0'</t>
  </si>
  <si>
    <t>T2406</t>
  </si>
  <si>
    <t>Détachement entrant/sortant non payé avec délégation de la paie - Demande</t>
  </si>
  <si>
    <t>T2407</t>
  </si>
  <si>
    <t>Détachement entrant/sortant non payé avec délégation de la paie - Renouvellement</t>
  </si>
  <si>
    <t>DEE_D_011 ET DEE_D_411 ET DEE_D_030 ET POS_C_004 ET POS_C_005 ET POS_C_007 ET POS_C_010 ET POS_C_012 ET POS_C_013 ET POS_C_022 ET POS_C_030 ET POS_C_031 ET POS_C_034 ET POS_C_035 ET POS_C_036 ET POS_C_111</t>
  </si>
  <si>
    <t>T2408</t>
  </si>
  <si>
    <t>Détachement entrant/sortant non payé avec délégation de la paie - Réintégration</t>
  </si>
  <si>
    <t>DEE_D_010 ET DEE_D_410 ET DEE_D_520 ET DEE_D_920 ET DEE_D_011 ET DEE_D_411 ET POS_C_004 ET POS_C_007 ET POS_C_010 ET POS_C_012 ET POS_C_030 ET POS_C_031 ET POS_C_034 ET POS_C_035 ET POS_C_036 ET POS_C_111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</si>
  <si>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</si>
  <si>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</si>
  <si>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</si>
  <si>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</si>
  <si>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</si>
  <si>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</si>
  <si>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</si>
  <si>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</si>
  <si>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</si>
  <si>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</si>
  <si>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</si>
  <si>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</si>
  <si>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</si>
  <si>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</si>
  <si>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</si>
  <si>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DEE_P_001 ET DEE_P_005 ET DEE_P_007 ET DEE_P_009 ET DEE_P_010 ET DEE_P_011 ET DEE_P_013</t>
  </si>
  <si>
    <t>DEE_P_001</t>
  </si>
  <si>
    <t>Rémunération : L'agent perçoit une rémunération statutaire et bénéficie du régime indemnitaire de son emploi d'accueil.</t>
  </si>
  <si>
    <t>DEE_P_005</t>
  </si>
  <si>
    <t>Classement : Hors détachement sur emploi fonctionnel, l'agent est classé dans son corps d'accueil à un grade équivalent et à un échelon comportant un indice égal sinon immédiatement supérieur à ceux d'origine. Il peut conserver de l'ancienneté.</t>
  </si>
  <si>
    <t>DEE_P_007</t>
  </si>
  <si>
    <t>Carrière : L'agent bénéficie du droit à avancement de son corps d'accueil. Un comparatif de carrières est réalisé à chaque avancement de grade dans le corps ou cadre d'emplois d'origine et à chaque renouvellement du détachement.</t>
  </si>
  <si>
    <t>DEE_P_009</t>
  </si>
  <si>
    <t>Evaluation professionnelle : L'agent est évalué par l'administration d'accueil sauf en cas de détachement de courte durée où c'est à l'administration d'origine d'évaluer l'agent au regard du rapport établi par l'administration d'accueil.</t>
  </si>
  <si>
    <t>DEE_P_010</t>
  </si>
  <si>
    <t>Congés annuels : L'agent cumule des droits à congé.</t>
  </si>
  <si>
    <t>DEE_P_011</t>
  </si>
  <si>
    <t>Retraite : L'agent cumule de l'ancienneté. Sauf exception prévue expressément par le statut d'emploi d'accueil, la mise à la retraite de l'agent intervient normalement lorsque celui-ci atteint la limite d'âge prévue par le statut de son corps d'origine.</t>
  </si>
  <si>
    <t>DEE_P_013</t>
  </si>
  <si>
    <t>Acte : Un acte administratif doit être produit.</t>
  </si>
  <si>
    <t>DEE_P_004 ET DEE_P_009 ET DEE_P_010 ET DEE_P_012 ET DEE_P_013</t>
  </si>
  <si>
    <t>DEE_P_004</t>
  </si>
  <si>
    <t>Rémunération : L'agent perçoit la rémunération de son emploi d'accueil.</t>
  </si>
  <si>
    <t>DEE_P_012</t>
  </si>
  <si>
    <t>Retraite : L'agent cumule de l'ancienneté. La mise à la retraite de l'agent intervient normalement lorsque celui-ci a atteint la limite d'âge prévue par les statuts de son corps d'origine. La cotisation est versée par l'organisme d'accueil.</t>
  </si>
  <si>
    <t>DEE_P_002 ET DEE_P_006 ET DEE_P_008 ET DEE_P_009 ET DEE_P_010 ET DEE_P_011 ET DEE_P_013</t>
  </si>
  <si>
    <t>DEE_P_002</t>
  </si>
  <si>
    <t>Rémunération : L'agent perçoit la rémunération et bénéficie du régime indemnitaire de son corps ou cadre d'emplois.</t>
  </si>
  <si>
    <t>DEE_P_006</t>
  </si>
  <si>
    <t>Classement : L'agent est classé dans son corps d'accueil.</t>
  </si>
  <si>
    <t>DEE_P_008</t>
  </si>
  <si>
    <t>Carrière : L'agent bénéficie du droit à avancement de son corps d'accueil.</t>
  </si>
  <si>
    <t>DEE_P_003 ET DEE_P_005 ET DEE_P_007 ET DEE_P_009 ET DEE_P_010 ET DEE_P_011 ET DEE_P_013</t>
  </si>
  <si>
    <t>DEE_P_003</t>
  </si>
  <si>
    <t>Rémunération : L'agent perçoit la rémunération et bénéficie du régime indemnitaire de son emploi d'accueil. Cependant si sa rémunération d'origine est plus élevée, il la conserve.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</si>
  <si>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</si>
  <si>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</si>
  <si>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</si>
  <si>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</si>
  <si>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</si>
  <si>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</si>
  <si>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</si>
  <si>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</si>
  <si>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</si>
  <si>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</si>
  <si>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</si>
  <si>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</si>
  <si>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</si>
  <si>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</si>
  <si>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</si>
  <si>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</si>
  <si>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</si>
  <si>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</si>
  <si>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</si>
  <si>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</si>
  <si>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</si>
  <si>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</si>
  <si>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</si>
  <si>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</si>
  <si>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</si>
  <si>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</si>
  <si>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</si>
  <si>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</si>
  <si>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</si>
  <si>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</si>
  <si>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2010-311 A7 / Décret 85-986 A20</t>
  </si>
  <si>
    <t>SI A_POS_INDDUR [Saisi] = '1' ET A_POS_DEETTO [Saisi] = '1' ET A_POS_DAFPRE [Saisi] &lt;&gt; Vide ET A_POS_DAFIPS [Saisi] = Vide</t>
  </si>
  <si>
    <t>A_POS_DAFPRE [Saisi] - A_POS_DADEPS [Saisi] &lt;= 1 AN</t>
  </si>
  <si>
    <t>Non Bloquant</t>
  </si>
  <si>
    <t>Le contrôle est de type non bloquant pour prendre en considération la prolongation exceptionnelle avant jouissance des droits à la retraite de certains statuts particuliers.</t>
  </si>
  <si>
    <t>x</t>
  </si>
  <si>
    <t>Un détachement de courte durée dans les collectivités d'outre-mer, la Nouvelle-Calédonie ou à l'étranger ne peut pas excéder 1 an au total.</t>
  </si>
  <si>
    <t>SI A_POS_INDDUR [Saisi] = '0' ET A_POS_DAFPRE [Saisi] &lt;&gt; Vide ET A_POS_DAFIPS [Saisi] = Vide</t>
  </si>
  <si>
    <t>A_POS_DAFPRE [Saisi] - A_POS_DADEPS [Saisi] &lt;= 5 AN</t>
  </si>
  <si>
    <t>Un détachement de longue durée ne peut pas excéder 5 ans par période.</t>
  </si>
  <si>
    <t>A_POS_INDDUR [Occurrence précédente] = '0'</t>
  </si>
  <si>
    <t>Bloquant</t>
  </si>
  <si>
    <t>Le détachement de courte durée (moins de 6 mois sauf dans les collectivités d'outre-mer, la Nouvelle-Calédonie et à l'étranger où ce délai est porté à 1 an) ne peut pas être renouvelé.</t>
  </si>
  <si>
    <t>Décret 81-241 A18</t>
  </si>
  <si>
    <t>SI A_POS_DAFPRE [Saisi] &lt;&gt; Vide ET A_POS_DAFIPS [Saisi] = Vide</t>
  </si>
  <si>
    <t>A_POS_DAFPRE [Saisi] - A_POS_DADEPS [Saisi] &lt;= 6 AN</t>
  </si>
  <si>
    <t>La durée totale du détachement ne peut pas excéder 6 ans.</t>
  </si>
  <si>
    <t>Ordonnance 58-1270 A41-5</t>
  </si>
  <si>
    <t>La durée totale du détachement ne peut pas excéder 5 ans.</t>
  </si>
  <si>
    <t>Ordonnance 58-1270 A40-2 | A40-5</t>
  </si>
  <si>
    <t># La somme des durées des occurrences de position du dossier dont le code position est égal à celui de l'occurence de position en cours plus la durée prévisionnelle de l'occurrence de position en cours doit être inférieure ou égale à 8 ans. Les occurrences doivent être successives.#</t>
  </si>
  <si>
    <t>Le détachement ne peut pas excéder 8 années successives.</t>
  </si>
  <si>
    <t>Loi 66-1037 A1 / Décret 67-926 A1</t>
  </si>
  <si>
    <t>A_POS_MINREO [Saisi] = 'MI220'</t>
  </si>
  <si>
    <t>Le ministère d'origine de l'agent est le ministère de la Justice.</t>
  </si>
  <si>
    <t>Loi 66-1037 A2</t>
  </si>
  <si>
    <t>Le détachement ne peut pas excéder 5 ans par période.</t>
  </si>
  <si>
    <t>O_UST_IDENTI1 [Dossier] = ORGANISATION.O_UST_IDENTI ET ORGANISATION.O_UST_MINIST = 'MI150'</t>
  </si>
  <si>
    <t>Le nouveau ministère de l'agent est le minsitère de la Défense.</t>
  </si>
  <si>
    <t>SI A_POS_INDDUR [Saisi] = '1' ET A_POS_DEETTO [Saisi] = '1' ET A_POS_DAFIPS [Saisi] &lt;&gt; Vide</t>
  </si>
  <si>
    <t>A_POS_DAFIPS [Saisi] - A_POS_DADEPS [Saisi] &lt;= 1 AN</t>
  </si>
  <si>
    <t>SI A_POS_INDDUR [Saisi] = '0' ET A_POS_DAFIPS [Saisi] &lt;&gt; Vide</t>
  </si>
  <si>
    <t>A_POS_DAFIPS [Saisi] - A_POS_DADEPS [Saisi] &lt;= 5 AN</t>
  </si>
  <si>
    <t>SI A_POS_DAFIPS [Saisi] &lt;&gt; Vide</t>
  </si>
  <si>
    <t>Ordonnance 58-1270 A40-2 |  A40-5</t>
  </si>
  <si>
    <t># La somme des durées des occurrences de position du dossier dont le code position est égal à celui de l'occurence de position en cours plus la durée réelle de l'occurrence de position en cours doit être inférieure ou égale à 8 ans. Les occurrences doivent être successives.#</t>
  </si>
  <si>
    <t>A_POS_DAFIPS [Saisi] - A_POS_DADEPS [Saisi] &lt;= 6 AN</t>
  </si>
  <si>
    <t>Décret 85-986 A20</t>
  </si>
  <si>
    <t>A_POS_INDDUR [Saisi] = '0'</t>
  </si>
  <si>
    <t>Le détachement de courte durée (moins de 6 mois sauf dans les collectivités d'outre-mer, la Nouvelle-Calédonie et à l'étranger où ce délai est porté à 1 an) est interdit.</t>
  </si>
  <si>
    <t>SI A_POS_INDDUR [Saisi] = '1' ET A_POS_DEETTO [Saisi] = '0' ET A_POS_DAFPRE [Saisi] &lt;&gt; Vide ET A_POS_DAFIPS [Saisi] = Vide</t>
  </si>
  <si>
    <t>A_POS_DAFPRE [Saisi] - A_POS_DADEPS [Saisi] &lt;= 6 MOIS</t>
  </si>
  <si>
    <t>Un détachement de courte durée ne peut pas excéder 6 mois au total.</t>
  </si>
  <si>
    <t>Code de la défense R4139-16 I R4139-19</t>
  </si>
  <si>
    <t>A_POS_DAFPRE [Saisi] - A_POS_DADEPS [Saisi] = 1 AN</t>
  </si>
  <si>
    <t>Pour permettre la prolongation éventuelle de la période de détachement pour finaliser la procédure d'intégration.</t>
  </si>
  <si>
    <t>P0001 - E0931 / E0932</t>
  </si>
  <si>
    <t>A_POS_DAFIPS [Saisi] - A_POS_DADEPS [Saisi] = 1 AN</t>
  </si>
  <si>
    <t>La durée du détachement est égale à 1 an. Elle peut éventuellement être prolongée pour finaliser la procédure d'intégration de l'agent.</t>
  </si>
  <si>
    <t>A_POS_DAFPRE [Saisi] - A_POS_DADEPS [Saisi] = 2 AN</t>
  </si>
  <si>
    <t>A_POS_DAFIPS [Saisi] - A_POS_DADEPS [Saisi] = 2 AN</t>
  </si>
  <si>
    <t>La durée du détachement dans un corps enseignant est égale à 2 ans. Elle peut éventuellement être prolongée pour finaliser la procédure d'intégration de l'agent.</t>
  </si>
  <si>
    <t>SI A_POS_INDDUR [Saisi] = '1' ET A_POS_DEETTO [Saisi] = '0' ET A_POS_DAFIPS [Saisi] &lt;&gt; Vide</t>
  </si>
  <si>
    <t>A_POS_DAFIPS [Saisi] - A_POS_DADEPS [Saisi] &lt;= 6 MOIS</t>
  </si>
  <si>
    <t>Décret 2019-1442 A2</t>
  </si>
  <si>
    <t>SI A_CAR_EMPFON [Dossier] &lt;&gt; Vide ET A_CAR_CARRPR [Dossier]= 'A' ET A_POS_CATORI [Dossier]= '1'</t>
  </si>
  <si>
    <t>A_POS_DAFPRE [Saisi] - A_POS_DADEPS [Saisi] &lt;= 3 AN</t>
  </si>
  <si>
    <t>Uniquement en cas de réorganisation d'un service de l'Etat.</t>
  </si>
  <si>
    <t>Un agent détaché sur un emploi fonctionnel de catégorie A concerné par un réorganisation d'un service de l'Etat peut bénéficier d'une prolongation de la durée de son détachement jusqu'à la suppression de ses fonctions pour une durée maximale de 3 ans.</t>
  </si>
  <si>
    <t>A_POS_DAFIPS [Saisi] - A_POS_DADEPS [Saisi] &lt;= 3 AN</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</si>
  <si>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</si>
  <si>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</si>
  <si>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</si>
  <si>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</si>
  <si>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E0874 / E0873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</si>
  <si>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</si>
  <si>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</si>
  <si>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</si>
  <si>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</si>
  <si>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</si>
  <si>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P0007 / P0264 - P0001 / P0003 / P0004 / P0005 - E0987 / E0976 / E0873 / E1052 / E0874 / E0977 / E0978 / E0979 / E0980 / E0981 / E0982 / E0983 / E0984 / E0985 / E0986</t>
  </si>
  <si>
    <t>A_POS_DADEPS [Saisi] &gt;= A_CAR_DDLIJU [Dossier]</t>
  </si>
  <si>
    <t>P0003 / P0005 - E0976 / E0873 / E0977 / E0978 / E0979 / E0983</t>
  </si>
  <si>
    <t>A_POS_DADEPS [Saisi] &lt;= A_POS_DAFIPS [Saisi]</t>
  </si>
  <si>
    <t>A_POS_DAFPRE [Saisi] &lt; A_SAP_DLDPRE [Dossier]</t>
  </si>
  <si>
    <t>P0007 / P0264 - P0001 / P0003 / P0004 / P0005 - E0874 / E0873 / E1052 / E0976 / E0977 / E0978 / E0979 / E0980 / E0981 / E0982 / E0983 / E0984 / E0985 / E0986 / E0987</t>
  </si>
  <si>
    <t>A_CAR_CARRPR [Dossier] = 'A'</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</si>
  <si>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</si>
  <si>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</si>
  <si>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</si>
  <si>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E0873 / E0874 / E0976 / E0977 / E0978 / E0979 / E0980 / E0981 / E0982 / E0983 / E0984 / E0985 / E0986 / E0987 / E1052</t>
  </si>
  <si>
    <t>A_POS_TYOROR [Saisi] &lt;&gt; Vide ET A_POS_CATORI [Saisi] &lt;&gt; Vide ET A_POS_PAYSDEN [Saisi] &lt;&gt; Vide</t>
  </si>
  <si>
    <t>SI A_POS_TYOROR [Saisi] = 'FPE'</t>
  </si>
  <si>
    <t>A_POS_MINREO [Saisi] &lt;&gt; Vide ET A_POS_COORIG [Saisi] &lt;&gt; Vide ET A_POS_GRORIG [Saisi] &lt;&gt; Vide ET A_POS_ECHORIG [Saisi] &lt;&gt; Vide</t>
  </si>
  <si>
    <t>SI A_POS_TYOROR [Saisi] DANS ('ORG', 'FEU', 'EUR')</t>
  </si>
  <si>
    <t>A_POS_ORGORI [Saisi] &lt;&gt; Vide</t>
  </si>
  <si>
    <t>SI A_POS_TYOROR [Saisi] = 'FPT'</t>
  </si>
  <si>
    <t>A_POS_CODNET [Saisi] &lt;&gt; Vide</t>
  </si>
  <si>
    <t>SI A_POS_TYOROR [Saisi] = 'FPH'</t>
  </si>
  <si>
    <t>A_POS_CODNEH [Saisi] &lt;&gt; Vide</t>
  </si>
  <si>
    <t>A_POS_INDREN [Saisi] = '0'</t>
  </si>
  <si>
    <t>Le renouvellement est interdit.</t>
  </si>
  <si>
    <t>SI A_POS_DAFPRE [Saisi] &lt;&gt; Vide
ET A_POS_DAFIPS [Saisi] = Vide
ET A_CAR_TYPCOT [Dossier] = 'TC01'</t>
  </si>
  <si>
    <t>A_POS_DAFPRE [Saisi] &lt;= [Date limite de fin réelle ou prévisionnelle du lien juridique]</t>
  </si>
  <si>
    <t>P0003 / P0005 - E0976 / E0977 / E0978 / E0979 / E0983</t>
  </si>
  <si>
    <t>A_POS_POSIAD [Saisi] = A_POS_POSIAD [Occurrence précédente]</t>
  </si>
  <si>
    <t>A_POS_DAFIPS [Saisi] &lt;&gt; Vide OU A_POS_DAFPRE [Saisi] &lt;&gt; Vide</t>
  </si>
  <si>
    <t>P0007 / P0264 - P0001 / P0003 / P0005 - E0873 / E0874 / E0976 / E0977 / E0978 / E0979 / E0980 / E0981 / E0982 / E0983 / E0984 / E0985 / E0986 / E0987</t>
  </si>
  <si>
    <t>21.10.00</t>
  </si>
  <si>
    <t>A_POS_POSIAD [Existe dans le dossier] DANS ('DEE09', 'DES09')</t>
  </si>
  <si>
    <t>La demande initiale d'avoir un contrôle bloquant sur la présence des codes DEE09 et DES09 dans les dossiers agents n'est plus nécessaire. Le type de contrôle passe à "Non bloquant".</t>
  </si>
  <si>
    <t>SI A_POS_DDSIPA [Saisi] &lt;&gt; Vide ET A_POS_SITPAR [Saisi] = 'SIP01'</t>
  </si>
  <si>
    <t>A_POS_DDSIPA [Saisi] = A_POS_DADEPS [Saisi]</t>
  </si>
  <si>
    <t>P0001 - E0799 / E0800</t>
  </si>
  <si>
    <t>SI A_POS_DFSIPA [Saisi] &lt;&gt; Vide ET A_POS_SITPAR [Saisi] = 'SIP01'</t>
  </si>
  <si>
    <t>A_POS_DFSIPA [Saisi] = A_POS_DAFIPS [Saisi]</t>
  </si>
  <si>
    <t>E0799 / E0800</t>
  </si>
  <si>
    <t>Intellectuel</t>
  </si>
  <si>
    <t>Code général de la fonction publique L513-8</t>
  </si>
  <si>
    <t>Code général de la fonction publique L513-1</t>
  </si>
  <si>
    <t>Décret 85-986 A15 | A50</t>
  </si>
  <si>
    <t>Décret 85-986 A14-1° | A18</t>
  </si>
  <si>
    <t>Décret 85-986 A50</t>
  </si>
  <si>
    <t>Décret 85-986 A14 / Décret 72-355 A29 | A55</t>
  </si>
  <si>
    <t>25.10.00</t>
  </si>
  <si>
    <t>Code général de la fonction publique R360-1</t>
  </si>
  <si>
    <t>2025-107</t>
  </si>
  <si>
    <t>Code général de la fonction publique R360-4</t>
  </si>
  <si>
    <t>Arrêté du 18 février 2002 A4</t>
  </si>
  <si>
    <t>Décret 85-986 A22</t>
  </si>
  <si>
    <t>Décret 85-986 A14-3° / Arrêté du 18 février 2002 A4</t>
  </si>
  <si>
    <t>Loi 2009-971 A19-V</t>
  </si>
  <si>
    <t>Code général de la fonction publique L531-3</t>
  </si>
  <si>
    <t>Décret 85-986 A22 | A23</t>
  </si>
  <si>
    <t>Décret 85-986 A24</t>
  </si>
  <si>
    <t>Loi 2009-971 A19-I</t>
  </si>
  <si>
    <t>Code général de la fonction publique R327-68</t>
  </si>
  <si>
    <t>2025-118</t>
  </si>
  <si>
    <t>Code général de la fonction publique R327-25</t>
  </si>
  <si>
    <t>Décret 94-874 A24-3° / Décret 72-355 A53</t>
  </si>
  <si>
    <t>Ordonnance 58-1270 A40-2</t>
  </si>
  <si>
    <t>Ordonnance 58-1270 A40-2 | A40-3 | A45</t>
  </si>
  <si>
    <t>Ordonnance 58-1270 A41</t>
  </si>
  <si>
    <t>Ordonnance 58-1270 A34 | A41-2</t>
  </si>
  <si>
    <t>Ordonnance 58-1270 A41-3</t>
  </si>
  <si>
    <t>Ordonnance 58-1270 A41-5 | A41-6 | A45</t>
  </si>
  <si>
    <t>Ordonnance 58-1270 A12</t>
  </si>
  <si>
    <t>Décret 67-926 A4</t>
  </si>
  <si>
    <t>Décret 85-986 A22 | A23 / Décret 64-805 A15 / Décret 64-260 A18</t>
  </si>
  <si>
    <t>Décret 84-1051 A3</t>
  </si>
  <si>
    <t>P0001 - E0800 / E0799</t>
  </si>
  <si>
    <t>Décret 84-1051 A4</t>
  </si>
  <si>
    <t>Décret 2019-1594 A12</t>
  </si>
  <si>
    <t>P0001 - E0136 / E0137</t>
  </si>
  <si>
    <t>Décret 2019-1594 A13</t>
  </si>
  <si>
    <t>Code général de la fonction publique R327-15</t>
  </si>
  <si>
    <t>P0004 - E0150 / E0151</t>
  </si>
  <si>
    <t>Code général de la fonction publique R327-39 / Décret 72-355 A53</t>
  </si>
  <si>
    <t>P0004 - E0140 / E0141</t>
  </si>
  <si>
    <t>P0001 - E0799 / E0800 - Demande</t>
  </si>
  <si>
    <t>P0001 - E0799 / E0800 - Renouvellement</t>
  </si>
  <si>
    <t>Code de la défense L4139-2</t>
  </si>
  <si>
    <t>Code de la défense R4139-16</t>
  </si>
  <si>
    <t>P0001 - E0136 / E0147 / E0137 / E0144 / E0145 / E0146 - Demande</t>
  </si>
  <si>
    <t>P0001 - E0136 / E0137 / E0144 / E0145 / E0146 / E0147 - Demande</t>
  </si>
  <si>
    <t>Impact</t>
  </si>
  <si>
    <t>P0001 - E0136 / E0137 / E0140 / E0141 / E0142 / E0143 / E0144 / E0145 / E0146 / E0147 / E0148 / E0149 / E0154 / E0155 / E0646 / E0770 / E0799 / E0800 / E0931 / E0932 - Rémunération</t>
  </si>
  <si>
    <t>Rémunération : L'agent perçoit une rémunération statutaire et bénéficie du régime indemnitaire de son emploi d'accueil.</t>
  </si>
  <si>
    <t>P0004 - E0141 / E0136 / E0137 / E0140 / E0142 / E0143 / E0144 / E0145 / E0146 / E0147 / E0148 / E0149 / E0150 / E0151 / E0154 / E0155 / E0646 / E0770 / E0799 / E0800 - Rémunération</t>
  </si>
  <si>
    <t>Rémunération : L'agent perçoit la rémunération et bénéficie du régime indemnitaire de son corps ou cadre d'emplois.</t>
  </si>
  <si>
    <t>P0001 - E0151 / E0153 / E0731 / E0150 / E0152 / E0730 / E0799 / E0800 - Rémunération</t>
  </si>
  <si>
    <t>Rémunération : L'agent perçoit la rémunération et bénéficie du régime indemnitaire de son emploi d'accueil. Cependant si sa rémunération d'origine est plus élevée, il la conserve.</t>
  </si>
  <si>
    <t>P0003 - E0138 / E0139 / E0799 / E0800 - Rémunération</t>
  </si>
  <si>
    <t>Rémunération : L'agent perçoit la rémunération de son emploi d'accueil.</t>
  </si>
  <si>
    <t>P0001 - E0931 / E0932 / E0136 / E0140 / E0142 / E0137 / E0141 / E0143 / E0144 / E0145 / E0146 / E0147 / E0148 / E0149 / E0150 / E0151 / E0152 / E0153 / E0154 / E0155 / E0646 / E0730 / E0731 / E0770 / E0799 / E0800 - Classement</t>
  </si>
  <si>
    <t>P0004 - E0136 / E0140 / E0142 / E0144 / E0154 / E0646 / E0137 / E0141 / E0143 / E0145 / E0146 / E0147 / E0148 / E0149 / E0150 / E0151 / E0155 / E0770 / E0799 / E0800 - Classement</t>
  </si>
  <si>
    <t>P0001 - E0136 / E0137 / E0140 / E0141 / E0142 / E0143 / E0144 / E0145 / E0146 / E0147 / E0148 / E0149 / E0150 / E0151 / E0152 / E0153 / E0154 / E0155 / E0646 / E0730 / E0731 / E0770 / E0799 / E0800 / E0931 / E0932 - Carrière</t>
  </si>
  <si>
    <t>Carrière : L'agent bénéficie du droit à avancement de son corps d'accueil. Un comparatif de carrières est réalisé à chaque avancement de grade dans le corps ou cadre d'emplois d'origine et à chaque renouvellement du détachement.</t>
  </si>
  <si>
    <t>P0004 - E0136 / E0137 / E0140 / E0141 / E0142 / E0143 / E0144 / E0145 / E0146 / E0147 / E0148 / E0149 / E0150 / E0151 / E0154 / E0155 / E0646 / E0770 / E0799 / E0800 - Carrière</t>
  </si>
  <si>
    <t>Carrière : L'agent bénéficie du droit à avancement de son corps d'accueil.</t>
  </si>
  <si>
    <t>P0001 / P0003 / P0004 - E0136 / E0137 / E0138 / E0139 / E0140 / E0141 / E0142 / E0143 / E0144 / E0145 / E0146 / E0147 / E0148 / E0149 / E0150 / E0151 / E0152 / E0153 / E0154 / E0155 / E0646 / E0730 / E0731 / E0770 / E0799 / E0800 / E0931 / E0932 - Evaluation</t>
  </si>
  <si>
    <t>P0001 / P0003 / P0004 - E0140 / E0146 / E0153 / E0136 / E0137 / E0138 / E0139 / E0141 / E0142 / E0143 / E0144 / E0145 / E0147 / E0148 / E0149 / E0150 / E0151 / E0152 / E0154 / E0155 / E0646 / E0730 / E0731 / E0770 / E0799 / E0800 / E0931 / E0932 - Congés annuels</t>
  </si>
  <si>
    <t>Congés annuels : L'agent cumule des droits à congé.</t>
  </si>
  <si>
    <t>P0001 / P0004 - E0136 / E0137 / E0140 / E0141 / E0142 / E0143 / E0144 / E0145 / E0146 / E0147 / E0148 / E0149 / E0150 / E0151 / E0152 / E0153 / E0154 / E0155 / E0646 / E0730 / E0731 / E0770 / E0799 / E0800 / E0931 / E0932 - Retraite</t>
  </si>
  <si>
    <t>Retraite : L'agent cumule de l'ancienneté. Sauf exception prévue expressément par le statut d'emploi d'accueil, la mise à la retraite de l'agent intervient normalement lorsque celui-ci atteint la limite d'âge prévue par le statut de son corps d'origine.</t>
  </si>
  <si>
    <t>P0003 - E0138 / E0139 / E0799 / E0800 - Retraite</t>
  </si>
  <si>
    <t>Retraite : L'agent cumule de l'ancienneté. La mise à la retraite de l'agent intervient normalement lorsque celui-ci a atteint la limite d'âge prévue par les statuts de son corps d'origine. La cotisation est versée par l'organisme d'accueil.</t>
  </si>
  <si>
    <t>P0001 / P0003 / P0004 - E0143 / E0145 / E0147 / E0149 / E0151 / E0136 / E0137 / E0138 / E0139 / E0140 / E0141 / E0142 / E0144 / E0146 / E0148 / E0150 / E0152 / E0153 / E0154 / E0155 / E0646 / E0730 / E0731 / E0770 / E0799 / E0800 / E0931 / E0932 -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</si>
</sst>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ADFE-8EED-42E5-84D3-D86CF205BD29}">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7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AC21-BE88-4509-A476-96372D74C36E}">
  <dimension ref="A1:CG1029"/>
  <sheetViews>
    <sheetView workbookViewId="0">
      <pane ySplit="1" topLeftCell="A2" activePane="bottomLeft" state="frozenSplit"/>
      <selection pane="bottomLeft" activeCell="E3" sqref="E3"/>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15.7109375" style="18" customWidth="1"/>
    <col min="39" max="39" width="25.7109375" style="17" customWidth="1"/>
    <col min="40" max="40" width="15.7109375" style="18" customWidth="1"/>
    <col min="41" max="41" width="25.7109375" style="17" customWidth="1"/>
    <col min="42" max="42" width="15.7109375" style="18" customWidth="1"/>
    <col min="43" max="43" width="25.7109375" style="17" customWidth="1"/>
    <col min="44" max="44" width="15.7109375" style="18" customWidth="1"/>
    <col min="45" max="45" width="25.7109375" style="17" customWidth="1"/>
    <col min="46" max="46" width="15.7109375" style="18" customWidth="1"/>
    <col min="47" max="47" width="25.7109375" style="17" customWidth="1"/>
    <col min="48" max="48" width="15.7109375" style="18" customWidth="1"/>
    <col min="49" max="49" width="25.7109375" style="17" customWidth="1"/>
    <col min="50" max="50" width="15.7109375" style="18" customWidth="1"/>
    <col min="51" max="51" width="25.7109375" style="17" customWidth="1"/>
    <col min="52" max="52" width="15.7109375" style="18" customWidth="1"/>
    <col min="53" max="53" width="25.7109375" style="17" customWidth="1"/>
    <col min="54" max="54" width="15.7109375" style="18" customWidth="1"/>
    <col min="55" max="55" width="25.7109375" style="17" customWidth="1"/>
    <col min="56" max="56" width="15.7109375" style="18" customWidth="1"/>
    <col min="57" max="57" width="25.7109375" style="17" customWidth="1"/>
    <col min="58" max="58" width="15.7109375" style="18" customWidth="1"/>
    <col min="59" max="59" width="25.7109375" style="17" customWidth="1"/>
    <col min="60" max="60" width="15.7109375" style="18" customWidth="1"/>
    <col min="61" max="61" width="25.7109375" style="17" customWidth="1"/>
    <col min="62" max="62" width="15.7109375" style="18" customWidth="1"/>
    <col min="63" max="63" width="25.7109375" style="17" customWidth="1"/>
    <col min="64" max="64" width="15.7109375" style="18" customWidth="1"/>
    <col min="65" max="65" width="25.7109375" style="17" customWidth="1"/>
    <col min="66" max="66" width="15.7109375" style="18" customWidth="1"/>
    <col min="67" max="67" width="25.7109375" style="17" customWidth="1"/>
    <col min="68" max="68" width="15.7109375" style="18" customWidth="1"/>
    <col min="69" max="69" width="25.7109375" style="17" customWidth="1"/>
    <col min="70" max="70" width="15.7109375" style="18" customWidth="1"/>
    <col min="71" max="71" width="25.7109375" style="17" customWidth="1"/>
    <col min="72" max="72" width="15.7109375" style="18" customWidth="1"/>
    <col min="73" max="73" width="25.7109375" style="17" customWidth="1"/>
    <col min="74" max="74" width="15.7109375" style="18" customWidth="1"/>
    <col min="75" max="75" width="25.7109375" style="17" customWidth="1"/>
    <col min="76" max="76" width="15.7109375" style="18" customWidth="1"/>
    <col min="77" max="77" width="25.7109375" style="17" customWidth="1"/>
    <col min="78" max="78" width="15.7109375" style="18" customWidth="1"/>
    <col min="79" max="79" width="25.7109375" style="17" customWidth="1"/>
    <col min="80" max="80" width="15.7109375" style="18" customWidth="1"/>
    <col min="81" max="81" width="25.7109375" style="17" customWidth="1"/>
    <col min="82" max="82" width="15.7109375" style="18" customWidth="1"/>
    <col min="83" max="83" width="25.7109375" style="17" customWidth="1"/>
    <col min="84" max="84" width="9.7109375" style="18" customWidth="1"/>
    <col min="85" max="85" width="15.7109375" style="12" customWidth="1"/>
    <col min="86" max="16384" width="11.42578125" style="12"/>
  </cols>
  <sheetData>
    <row r="1" spans="1:85"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row>
    <row r="2" spans="1:85" ht="135" x14ac:dyDescent="0.25">
      <c r="A2" s="13" t="s">
        <v>86</v>
      </c>
      <c r="B2" s="13" t="s">
        <v>87</v>
      </c>
      <c r="C2" s="14">
        <v>43850.552083333336</v>
      </c>
      <c r="D2" s="13" t="s">
        <v>88</v>
      </c>
      <c r="E2" s="15" t="s">
        <v>89</v>
      </c>
      <c r="F2" s="13" t="s">
        <v>90</v>
      </c>
      <c r="G2" s="15" t="s">
        <v>91</v>
      </c>
      <c r="H2" s="13" t="s">
        <v>92</v>
      </c>
      <c r="I2" s="15" t="s">
        <v>93</v>
      </c>
      <c r="J2" s="15" t="s">
        <v>94</v>
      </c>
      <c r="K2" s="15" t="s">
        <v>95</v>
      </c>
      <c r="L2" s="13" t="s">
        <v>96</v>
      </c>
      <c r="M2" s="15" t="s">
        <v>97</v>
      </c>
      <c r="N2" s="13" t="s">
        <v>98</v>
      </c>
      <c r="O2" s="15" t="s">
        <v>99</v>
      </c>
      <c r="P2" s="15" t="s">
        <v>100</v>
      </c>
      <c r="Q2" s="15" t="s">
        <v>101</v>
      </c>
      <c r="R2" s="13" t="s">
        <v>102</v>
      </c>
      <c r="S2" s="13" t="s">
        <v>103</v>
      </c>
      <c r="T2" s="13" t="s">
        <v>104</v>
      </c>
      <c r="U2" s="14">
        <v>40725</v>
      </c>
      <c r="V2" s="14">
        <v>43830</v>
      </c>
      <c r="W2" s="15" t="s">
        <v>105</v>
      </c>
      <c r="X2" s="13" t="s">
        <v>106</v>
      </c>
      <c r="Y2" s="15" t="str">
        <f>VLOOKUP(X2,'Axe 2 Règles de gestion'!$D$2:$F$121,3, FALSE)</f>
        <v>L'agent doit détenir le titre ou le diplôme requis pour l'exercice des fonctions du corps d'accueil.</v>
      </c>
      <c r="Z2" s="13" t="s">
        <v>108</v>
      </c>
      <c r="AA2" s="15" t="str">
        <f>VLOOKUP(Z2,'Axe 2 Règles de gestion'!$D$2:$F$121,3, FALSE)</f>
        <v>L'agent doit formuler une demande.</v>
      </c>
      <c r="AB2" s="13" t="s">
        <v>110</v>
      </c>
      <c r="AC2" s="15" t="str">
        <f>VLOOKUP(AB2,'Axe 2 Règles de gestion'!$D$2:$F$121,3, FALSE)</f>
        <v>Le détachement est accordé après avis des commissions administratives paritaires compétentes.</v>
      </c>
      <c r="AD2" s="13" t="s">
        <v>112</v>
      </c>
      <c r="AE2" s="15" t="str">
        <f>VLOOKUP(AD2,'Axe 2 Règles de gestion'!$D$2:$F$121,3, FALSE)</f>
        <v>L'accord de l'administration d'origine est nécessaire.</v>
      </c>
      <c r="AF2" s="13"/>
      <c r="AG2" s="15"/>
      <c r="AH2" s="13"/>
      <c r="AI2" s="15"/>
      <c r="AJ2" s="13"/>
      <c r="AK2" s="15"/>
      <c r="AL2" s="13"/>
      <c r="AM2" s="15"/>
      <c r="AN2" s="13"/>
      <c r="AO2" s="15"/>
      <c r="AP2" s="13" t="s">
        <v>114</v>
      </c>
      <c r="AQ2" s="15" t="str">
        <f>VLOOKUP(AP2,'Axe 2 Règles de gestion'!$D$2:$F$121,3, FALSE)</f>
        <v>Un détachement de courte durée à l'étranger ou dans les TOM ne peut excéder 1 an entre la date de début et la date de fin prévisionnelle.</v>
      </c>
      <c r="AR2" s="13" t="s">
        <v>116</v>
      </c>
      <c r="AS2" s="15" t="str">
        <f>VLOOKUP(AR2,'Axe 2 Règles de gestion'!$D$2:$F$121,3, FALSE)</f>
        <v>Un détachement de courte durée à l'étranger ou dans les TOM ne peut excéder 1 an entre la date de début et la date de fin réelle.</v>
      </c>
      <c r="AT2" s="13" t="s">
        <v>118</v>
      </c>
      <c r="AU2" s="15" t="str">
        <f>VLOOKUP(AT2,'Axe 2 Règles de gestion'!$D$2:$F$121,3, FALSE)</f>
        <v>Un détachement de courte durée n'ayant pas lieu à l'étranger ou dans les TOM ne peut excéder six mois entre la date de début et la date de fin prévisionnelle.</v>
      </c>
      <c r="AV2" s="13" t="s">
        <v>120</v>
      </c>
      <c r="AW2" s="15" t="str">
        <f>VLOOKUP(AV2,'Axe 2 Règles de gestion'!$D$2:$F$121,3, FALSE)</f>
        <v>Un détachement de courte durée n'ayant pas lieu à l'étranger ou dans les TOM ne peut excéder six mois entre la date de début et la date de fin réelle.</v>
      </c>
      <c r="AX2" s="13" t="s">
        <v>122</v>
      </c>
      <c r="AY2" s="15" t="str">
        <f>VLOOKUP(AX2,'Axe 2 Règles de gestion'!$D$2:$F$121,3, FALSE)</f>
        <v>Un détachement de longue durée ne peut excéder 5 ans entre la date de début et la date de fin prévisionnelle.</v>
      </c>
      <c r="AZ2" s="13" t="s">
        <v>124</v>
      </c>
      <c r="BA2" s="15" t="str">
        <f>VLOOKUP(AZ2,'Axe 2 Règles de gestion'!$D$2:$F$121,3, FALSE)</f>
        <v>Un détachement de longue durée ne peut excéder 5 ans entre la date de début et la date de fin réelle.</v>
      </c>
      <c r="BB2" s="13" t="s">
        <v>126</v>
      </c>
      <c r="BC2" s="15" t="str">
        <f>VLOOKUP(BB2,'Axe 2 Règles de gestion'!$D$2:$F$121,3, FALSE)</f>
        <v>La date de début de position doit être antérieure ou égale à la date de fin prévisionnelle de position.</v>
      </c>
      <c r="BD2" s="13" t="s">
        <v>128</v>
      </c>
      <c r="BE2" s="15" t="str">
        <f>VLOOKUP(BD2,'Axe 2 Règles de gestion'!$D$2:$F$121,3, FALSE)</f>
        <v>La date de début de la position doit être postérieure ou égale à la date d'entrée dans la FPE ou dans la carrière militaire.</v>
      </c>
      <c r="BF2" s="13" t="s">
        <v>130</v>
      </c>
      <c r="BG2" s="15" t="str">
        <f>VLOOKUP(BF2,'Axe 2 Règles de gestion'!$D$2:$F$121,3, FALSE)</f>
        <v>La date de fin réelle de la position doit être antérieure à la date limite de départ à la retraite.</v>
      </c>
      <c r="BH2" s="13" t="s">
        <v>132</v>
      </c>
      <c r="BI2" s="15" t="str">
        <f>VLOOKUP(BH2,'Axe 2 Règles de gestion'!$D$2:$F$121,3, FALSE)</f>
        <v>La date de début de position doit être antérieure ou égale à la date de fin réelle de position.</v>
      </c>
      <c r="BJ2" s="13" t="s">
        <v>134</v>
      </c>
      <c r="BK2" s="15" t="str">
        <f>VLOOKUP(BJ2,'Axe 2 Règles de gestion'!$D$2:$F$121,3, FALSE)</f>
        <v>La date de fin prévisionnelle de la position doit être antérieure à la date limite de départ à la retraite.</v>
      </c>
      <c r="BL2" s="13" t="s">
        <v>136</v>
      </c>
      <c r="BM2" s="15" t="str">
        <f>VLOOKUP(BL2,'Axe 2 Règles de gestion'!$D$2:$F$121,3, FALSE)</f>
        <v>L'indicateur de carrière est sur la valeur "Accueil".</v>
      </c>
      <c r="BN2" s="13" t="s">
        <v>138</v>
      </c>
      <c r="BO2" s="15" t="str">
        <f>VLOOKUP(BN2,'Axe 2 Règles de gestion'!$D$2:$F$121,3, FALSE)</f>
        <v>La date de début de position est à J+1 de la date de fin de position de l'occurrence précédente.</v>
      </c>
      <c r="BP2" s="13" t="s">
        <v>140</v>
      </c>
      <c r="BQ2" s="15" t="str">
        <f>VLOOKUP(BP2,'Axe 2 Règles de gestion'!$D$2:$F$121,3, FALSE)</f>
        <v>Les champs "Type d'organisme d'origine", "Catégorie statutaire d'origine" et "Pays" de l'organisme d'origine doivent être renseignés.</v>
      </c>
      <c r="BR2" s="13" t="s">
        <v>142</v>
      </c>
      <c r="BS2" s="15" t="str">
        <f>VLOOKUP(BR2,'Axe 2 Règles de gestion'!$D$2:$F$121,3, FALSE)</f>
        <v>Les champs "Ministère (ou institution de la République) d'origine", "Corps d'origine", "Grade d'origine", "Echelon d'origine" sont renseignés si le "Type d'organisme d'origine" est valorisé à FPE.</v>
      </c>
      <c r="BT2" s="13" t="s">
        <v>144</v>
      </c>
      <c r="BU2" s="15" t="str">
        <f>VLOOKUP(BT2,'Axe 2 Règles de gestion'!$D$2:$F$121,3, FALSE)</f>
        <v>Le champ "Organisme d'origine" doit être alimenté si le type d'organisme d'origine est égal à 'Autre organisme', 'Fonction publique d'un état de l'Union Européenne' ou 'Fonction publique Européenne'.</v>
      </c>
      <c r="BV2" s="13" t="s">
        <v>146</v>
      </c>
      <c r="BW2" s="15" t="str">
        <f>VLOOKUP(BV2,'Axe 2 Règles de gestion'!$D$2:$F$121,3, FALSE)</f>
        <v>Le champ "Code emploi statutaire FPT (NET)" est renseigné si le "Type d'organisme d'origine" est valorisé à FPT.</v>
      </c>
      <c r="BX2" s="13" t="s">
        <v>148</v>
      </c>
      <c r="BY2" s="15" t="str">
        <f>VLOOKUP(BX2,'Axe 2 Règles de gestion'!$D$2:$F$121,3, FALSE)</f>
        <v>Le champ "Code emploi statutaire FPH (NEH)" est renseigné si le "Type d'organisme d'origine" est valorisé à FPH.</v>
      </c>
      <c r="BZ2" s="13" t="s">
        <v>150</v>
      </c>
      <c r="CA2" s="15" t="str">
        <f>VLOOKUP(BZ2,'Axe 2 Règles de gestion'!$D$2:$F$121,3, FALSE)</f>
        <v>La date de fin ou la date de fin prévisionnelle doit être saisie.</v>
      </c>
      <c r="CB2" s="13"/>
      <c r="CC2" s="15"/>
      <c r="CD2" s="13"/>
      <c r="CE2" s="15"/>
      <c r="CF2" s="13"/>
      <c r="CG2" s="13"/>
    </row>
    <row r="3" spans="1:85" ht="150" x14ac:dyDescent="0.25">
      <c r="A3" s="13" t="s">
        <v>152</v>
      </c>
      <c r="B3" s="13" t="s">
        <v>153</v>
      </c>
      <c r="C3" s="14">
        <v>45807.448611111111</v>
      </c>
      <c r="D3" s="13" t="s">
        <v>88</v>
      </c>
      <c r="E3" s="15" t="s">
        <v>89</v>
      </c>
      <c r="F3" s="13" t="s">
        <v>90</v>
      </c>
      <c r="G3" s="15" t="s">
        <v>91</v>
      </c>
      <c r="H3" s="13" t="s">
        <v>92</v>
      </c>
      <c r="I3" s="15" t="s">
        <v>93</v>
      </c>
      <c r="J3" s="15" t="s">
        <v>94</v>
      </c>
      <c r="K3" s="15" t="s">
        <v>95</v>
      </c>
      <c r="L3" s="13" t="s">
        <v>96</v>
      </c>
      <c r="M3" s="15" t="s">
        <v>97</v>
      </c>
      <c r="N3" s="13" t="s">
        <v>98</v>
      </c>
      <c r="O3" s="15" t="s">
        <v>99</v>
      </c>
      <c r="P3" s="15" t="s">
        <v>100</v>
      </c>
      <c r="Q3" s="15" t="s">
        <v>101</v>
      </c>
      <c r="R3" s="13" t="s">
        <v>102</v>
      </c>
      <c r="S3" s="13" t="s">
        <v>103</v>
      </c>
      <c r="T3" s="13" t="s">
        <v>104</v>
      </c>
      <c r="U3" s="14">
        <v>43831</v>
      </c>
      <c r="V3" s="14"/>
      <c r="W3" s="15" t="s">
        <v>154</v>
      </c>
      <c r="X3" s="13" t="s">
        <v>106</v>
      </c>
      <c r="Y3" s="15" t="str">
        <f>VLOOKUP(X3,'Axe 2 Règles de gestion'!$D$2:$F$121,3, FALSE)</f>
        <v>L'agent doit détenir le titre ou le diplôme requis pour l'exercice des fonctions du corps d'accueil.</v>
      </c>
      <c r="Z3" s="13" t="s">
        <v>108</v>
      </c>
      <c r="AA3" s="15" t="str">
        <f>VLOOKUP(Z3,'Axe 2 Règles de gestion'!$D$2:$F$121,3, FALSE)</f>
        <v>L'agent doit formuler une demande.</v>
      </c>
      <c r="AB3" s="13" t="s">
        <v>112</v>
      </c>
      <c r="AC3" s="15" t="str">
        <f>VLOOKUP(AB3,'Axe 2 Règles de gestion'!$D$2:$F$121,3, FALSE)</f>
        <v>L'accord de l'administration d'origine est nécessaire.</v>
      </c>
      <c r="AD3" s="13" t="s">
        <v>155</v>
      </c>
      <c r="AE3" s="15" t="str">
        <f>VLOOKUP(AD3,'Axe 2 Règles de gestion'!$D$2:$F$121,3, FALSE)</f>
        <v>Le détachement sur un emploi de direction comporte une période probatoire d'une durée maximale de 6 mois.</v>
      </c>
      <c r="AF3" s="13" t="s">
        <v>157</v>
      </c>
      <c r="AG3" s="15" t="str">
        <f>VLOOKUP(AF3,'Axe 2 Règles de gestion'!$D$2:$F$121,3, FALSE)</f>
        <v>Au cours de la période probatoire, l'autorité de recrutement, sur proposition de l'autorité dont relève l'emploi de direction, peut mettre fin au détachement pour tout motif et à tout moment, sans préavis ni indemnité.</v>
      </c>
      <c r="AH3" s="13" t="s">
        <v>159</v>
      </c>
      <c r="AI3" s="15" t="str">
        <f>VLOOKUP(AH3,'Axe 2 Règles de gestion'!$D$2:$F$121,3, FALSE)</f>
        <v>Cette décision de fin du détachement pendant la période probatoire ne peut intervenir qu'à l'issue d'un entretien préalable et doit être notifiée à l'agent sur emploi de direction.</v>
      </c>
      <c r="AJ3" s="13" t="s">
        <v>161</v>
      </c>
      <c r="AK3" s="15" t="str">
        <f>VLOOKUP(AJ3,'Axe 2 Règles de gestion'!$D$2:$F$121,3, FALSE)</f>
        <v>L'agent peut être détaché dans un corps ou un cadre d'emplois de même catégorie et de niveau comparable à celui de son corps ou cadre d'emplois d'origine.</v>
      </c>
      <c r="AL3" s="13" t="s">
        <v>163</v>
      </c>
      <c r="AM3" s="15" t="str">
        <f>VLOOKUP(AL3,'Axe 2 Règles de gestion'!$D$2:$F$121,3, FALSE)</f>
        <v>Toutefois, l'agent dont au moins l'un des grades d'avancement de son corps ou cadre d'emplois est accessible par la voie d'un concours de recrutement peut être détaché dans un corps ou cadre d'emplois de niveau différent.</v>
      </c>
      <c r="AN3" s="13" t="s">
        <v>165</v>
      </c>
      <c r="AO3" s="15" t="str">
        <f>VLOOKUP(AN3,'Axe 2 Règles de gestion'!$D$2:$F$121,3, FALSE)</f>
        <v>Lorsque le corps ou cadre d'emplois d'origine ou le corps ou cadre d'emplois d'accueil ne relève pas d'une catégorie, le détachement s'effectue entre corps et cadres d'emplois de niveau comparable.</v>
      </c>
      <c r="AP3" s="13" t="s">
        <v>114</v>
      </c>
      <c r="AQ3" s="15" t="str">
        <f>VLOOKUP(AP3,'Axe 2 Règles de gestion'!$D$2:$F$121,3, FALSE)</f>
        <v>Un détachement de courte durée à l'étranger ou dans les TOM ne peut excéder 1 an entre la date de début et la date de fin prévisionnelle.</v>
      </c>
      <c r="AR3" s="13" t="s">
        <v>116</v>
      </c>
      <c r="AS3" s="15" t="str">
        <f>VLOOKUP(AR3,'Axe 2 Règles de gestion'!$D$2:$F$121,3, FALSE)</f>
        <v>Un détachement de courte durée à l'étranger ou dans les TOM ne peut excéder 1 an entre la date de début et la date de fin réelle.</v>
      </c>
      <c r="AT3" s="13" t="s">
        <v>118</v>
      </c>
      <c r="AU3" s="15" t="str">
        <f>VLOOKUP(AT3,'Axe 2 Règles de gestion'!$D$2:$F$121,3, FALSE)</f>
        <v>Un détachement de courte durée n'ayant pas lieu à l'étranger ou dans les TOM ne peut excéder six mois entre la date de début et la date de fin prévisionnelle.</v>
      </c>
      <c r="AV3" s="13" t="s">
        <v>120</v>
      </c>
      <c r="AW3" s="15" t="str">
        <f>VLOOKUP(AV3,'Axe 2 Règles de gestion'!$D$2:$F$121,3, FALSE)</f>
        <v>Un détachement de courte durée n'ayant pas lieu à l'étranger ou dans les TOM ne peut excéder six mois entre la date de début et la date de fin réelle.</v>
      </c>
      <c r="AX3" s="13" t="s">
        <v>122</v>
      </c>
      <c r="AY3" s="15" t="str">
        <f>VLOOKUP(AX3,'Axe 2 Règles de gestion'!$D$2:$F$121,3, FALSE)</f>
        <v>Un détachement de longue durée ne peut excéder 5 ans entre la date de début et la date de fin prévisionnelle.</v>
      </c>
      <c r="AZ3" s="13" t="s">
        <v>124</v>
      </c>
      <c r="BA3" s="15" t="str">
        <f>VLOOKUP(AZ3,'Axe 2 Règles de gestion'!$D$2:$F$121,3, FALSE)</f>
        <v>Un détachement de longue durée ne peut excéder 5 ans entre la date de début et la date de fin réelle.</v>
      </c>
      <c r="BB3" s="13" t="s">
        <v>126</v>
      </c>
      <c r="BC3" s="15" t="str">
        <f>VLOOKUP(BB3,'Axe 2 Règles de gestion'!$D$2:$F$121,3, FALSE)</f>
        <v>La date de début de position doit être antérieure ou égale à la date de fin prévisionnelle de position.</v>
      </c>
      <c r="BD3" s="13" t="s">
        <v>128</v>
      </c>
      <c r="BE3" s="15" t="str">
        <f>VLOOKUP(BD3,'Axe 2 Règles de gestion'!$D$2:$F$121,3, FALSE)</f>
        <v>La date de début de la position doit être postérieure ou égale à la date d'entrée dans la FPE ou dans la carrière militaire.</v>
      </c>
      <c r="BF3" s="13" t="s">
        <v>130</v>
      </c>
      <c r="BG3" s="15" t="str">
        <f>VLOOKUP(BF3,'Axe 2 Règles de gestion'!$D$2:$F$121,3, FALSE)</f>
        <v>La date de fin réelle de la position doit être antérieure à la date limite de départ à la retraite.</v>
      </c>
      <c r="BH3" s="13" t="s">
        <v>132</v>
      </c>
      <c r="BI3" s="15" t="str">
        <f>VLOOKUP(BH3,'Axe 2 Règles de gestion'!$D$2:$F$121,3, FALSE)</f>
        <v>La date de début de position doit être antérieure ou égale à la date de fin réelle de position.</v>
      </c>
      <c r="BJ3" s="13" t="s">
        <v>134</v>
      </c>
      <c r="BK3" s="15" t="str">
        <f>VLOOKUP(BJ3,'Axe 2 Règles de gestion'!$D$2:$F$121,3, FALSE)</f>
        <v>La date de fin prévisionnelle de la position doit être antérieure à la date limite de départ à la retraite.</v>
      </c>
      <c r="BL3" s="13" t="s">
        <v>136</v>
      </c>
      <c r="BM3" s="15" t="str">
        <f>VLOOKUP(BL3,'Axe 2 Règles de gestion'!$D$2:$F$121,3, FALSE)</f>
        <v>L'indicateur de carrière est sur la valeur "Accueil".</v>
      </c>
      <c r="BN3" s="13" t="s">
        <v>138</v>
      </c>
      <c r="BO3" s="15" t="str">
        <f>VLOOKUP(BN3,'Axe 2 Règles de gestion'!$D$2:$F$121,3, FALSE)</f>
        <v>La date de début de position est à J+1 de la date de fin de position de l'occurrence précédente.</v>
      </c>
      <c r="BP3" s="13" t="s">
        <v>140</v>
      </c>
      <c r="BQ3" s="15" t="str">
        <f>VLOOKUP(BP3,'Axe 2 Règles de gestion'!$D$2:$F$121,3, FALSE)</f>
        <v>Les champs "Type d'organisme d'origine", "Catégorie statutaire d'origine" et "Pays" de l'organisme d'origine doivent être renseignés.</v>
      </c>
      <c r="BR3" s="13" t="s">
        <v>142</v>
      </c>
      <c r="BS3" s="15" t="str">
        <f>VLOOKUP(BR3,'Axe 2 Règles de gestion'!$D$2:$F$121,3, FALSE)</f>
        <v>Les champs "Ministère (ou institution de la République) d'origine", "Corps d'origine", "Grade d'origine", "Echelon d'origine" sont renseignés si le "Type d'organisme d'origine" est valorisé à FPE.</v>
      </c>
      <c r="BT3" s="13" t="s">
        <v>144</v>
      </c>
      <c r="BU3" s="15" t="str">
        <f>VLOOKUP(BT3,'Axe 2 Règles de gestion'!$D$2:$F$121,3, FALSE)</f>
        <v>Le champ "Organisme d'origine" doit être alimenté si le type d'organisme d'origine est égal à 'Autre organisme', 'Fonction publique d'un état de l'Union Européenne' ou 'Fonction publique Européenne'.</v>
      </c>
      <c r="BV3" s="13" t="s">
        <v>146</v>
      </c>
      <c r="BW3" s="15" t="str">
        <f>VLOOKUP(BV3,'Axe 2 Règles de gestion'!$D$2:$F$121,3, FALSE)</f>
        <v>Le champ "Code emploi statutaire FPT (NET)" est renseigné si le "Type d'organisme d'origine" est valorisé à FPT.</v>
      </c>
      <c r="BX3" s="13" t="s">
        <v>148</v>
      </c>
      <c r="BY3" s="15" t="str">
        <f>VLOOKUP(BX3,'Axe 2 Règles de gestion'!$D$2:$F$121,3, FALSE)</f>
        <v>Le champ "Code emploi statutaire FPH (NEH)" est renseigné si le "Type d'organisme d'origine" est valorisé à FPH.</v>
      </c>
      <c r="BZ3" s="13" t="s">
        <v>150</v>
      </c>
      <c r="CA3" s="15" t="str">
        <f>VLOOKUP(BZ3,'Axe 2 Règles de gestion'!$D$2:$F$121,3, FALSE)</f>
        <v>La date de fin ou la date de fin prévisionnelle doit être saisie.</v>
      </c>
      <c r="CB3" s="13"/>
      <c r="CC3" s="15"/>
      <c r="CD3" s="13"/>
      <c r="CE3" s="15"/>
      <c r="CF3" s="13"/>
      <c r="CG3" s="13"/>
    </row>
    <row r="4" spans="1:85" ht="135" x14ac:dyDescent="0.25">
      <c r="A4" s="13" t="s">
        <v>167</v>
      </c>
      <c r="B4" s="13" t="s">
        <v>87</v>
      </c>
      <c r="C4" s="14">
        <v>44071.418055555558</v>
      </c>
      <c r="D4" s="13" t="s">
        <v>88</v>
      </c>
      <c r="E4" s="15" t="s">
        <v>89</v>
      </c>
      <c r="F4" s="13" t="s">
        <v>90</v>
      </c>
      <c r="G4" s="15" t="s">
        <v>91</v>
      </c>
      <c r="H4" s="13" t="s">
        <v>92</v>
      </c>
      <c r="I4" s="15" t="s">
        <v>93</v>
      </c>
      <c r="J4" s="15" t="s">
        <v>94</v>
      </c>
      <c r="K4" s="15" t="s">
        <v>95</v>
      </c>
      <c r="L4" s="13" t="s">
        <v>168</v>
      </c>
      <c r="M4" s="15" t="s">
        <v>169</v>
      </c>
      <c r="N4" s="13" t="s">
        <v>98</v>
      </c>
      <c r="O4" s="15" t="s">
        <v>170</v>
      </c>
      <c r="P4" s="15" t="s">
        <v>171</v>
      </c>
      <c r="Q4" s="15" t="s">
        <v>101</v>
      </c>
      <c r="R4" s="13" t="s">
        <v>102</v>
      </c>
      <c r="S4" s="13" t="s">
        <v>103</v>
      </c>
      <c r="T4" s="13" t="s">
        <v>104</v>
      </c>
      <c r="U4" s="14">
        <v>40725</v>
      </c>
      <c r="V4" s="14">
        <v>43830</v>
      </c>
      <c r="W4" s="15" t="s">
        <v>172</v>
      </c>
      <c r="X4" s="13" t="s">
        <v>173</v>
      </c>
      <c r="Y4" s="15" t="str">
        <f>VLOOKUP(X4,'Axe 2 Règles de gestion'!$D$2:$F$121,3, FALSE)</f>
        <v>L'agent doit formuler une demande de renouvellement à son administration d'origine 3 mois au moins avant l'expiration de la période de détachement de longue durée.</v>
      </c>
      <c r="Z4" s="13" t="s">
        <v>175</v>
      </c>
      <c r="AA4" s="15" t="str">
        <f>VLOOKUP(Z4,'Axe 2 Règles de gestion'!$D$2:$F$121,3, FALSE)</f>
        <v>L'organisme d'accueil adresse sa décision à l'agent et à l'administration d'origine 2 mois au moins avant l'expiration de la période de détachement.</v>
      </c>
      <c r="AB4" s="13"/>
      <c r="AC4" s="15"/>
      <c r="AD4" s="13"/>
      <c r="AE4" s="15"/>
      <c r="AF4" s="13"/>
      <c r="AG4" s="15"/>
      <c r="AH4" s="13"/>
      <c r="AI4" s="15"/>
      <c r="AJ4" s="13"/>
      <c r="AK4" s="15"/>
      <c r="AL4" s="13"/>
      <c r="AM4" s="15"/>
      <c r="AN4" s="13"/>
      <c r="AO4" s="15"/>
      <c r="AP4" s="13" t="s">
        <v>122</v>
      </c>
      <c r="AQ4" s="15" t="str">
        <f>VLOOKUP(AP4,'Axe 2 Règles de gestion'!$D$2:$F$121,3, FALSE)</f>
        <v>Un détachement de longue durée ne peut excéder 5 ans entre la date de début et la date de fin prévisionnelle.</v>
      </c>
      <c r="AR4" s="13" t="s">
        <v>124</v>
      </c>
      <c r="AS4" s="15" t="str">
        <f>VLOOKUP(AR4,'Axe 2 Règles de gestion'!$D$2:$F$121,3, FALSE)</f>
        <v>Un détachement de longue durée ne peut excéder 5 ans entre la date de début et la date de fin réelle.</v>
      </c>
      <c r="AT4" s="13" t="s">
        <v>177</v>
      </c>
      <c r="AU4" s="15" t="str">
        <f>VLOOKUP(AT4,'Axe 2 Règles de gestion'!$D$2:$F$121,3, FALSE)</f>
        <v>Le renouvellement d'un détachement de courte durée est interdit.</v>
      </c>
      <c r="AV4" s="13"/>
      <c r="AW4" s="15"/>
      <c r="AX4" s="13"/>
      <c r="AY4" s="15"/>
      <c r="AZ4" s="13"/>
      <c r="BA4" s="15"/>
      <c r="BB4" s="13" t="s">
        <v>126</v>
      </c>
      <c r="BC4" s="15" t="str">
        <f>VLOOKUP(BB4,'Axe 2 Règles de gestion'!$D$2:$F$121,3, FALSE)</f>
        <v>La date de début de position doit être antérieure ou égale à la date de fin prévisionnelle de position.</v>
      </c>
      <c r="BD4" s="13" t="s">
        <v>128</v>
      </c>
      <c r="BE4" s="15" t="str">
        <f>VLOOKUP(BD4,'Axe 2 Règles de gestion'!$D$2:$F$121,3, FALSE)</f>
        <v>La date de début de la position doit être postérieure ou égale à la date d'entrée dans la FPE ou dans la carrière militaire.</v>
      </c>
      <c r="BF4" s="13" t="s">
        <v>130</v>
      </c>
      <c r="BG4" s="15" t="str">
        <f>VLOOKUP(BF4,'Axe 2 Règles de gestion'!$D$2:$F$121,3, FALSE)</f>
        <v>La date de fin réelle de la position doit être antérieure à la date limite de départ à la retraite.</v>
      </c>
      <c r="BH4" s="13" t="s">
        <v>132</v>
      </c>
      <c r="BI4" s="15" t="str">
        <f>VLOOKUP(BH4,'Axe 2 Règles de gestion'!$D$2:$F$121,3, FALSE)</f>
        <v>La date de début de position doit être antérieure ou égale à la date de fin réelle de position.</v>
      </c>
      <c r="BJ4" s="13" t="s">
        <v>134</v>
      </c>
      <c r="BK4" s="15" t="str">
        <f>VLOOKUP(BJ4,'Axe 2 Règles de gestion'!$D$2:$F$121,3, FALSE)</f>
        <v>La date de fin prévisionnelle de la position doit être antérieure à la date limite de départ à la retraite.</v>
      </c>
      <c r="BL4" s="13" t="s">
        <v>136</v>
      </c>
      <c r="BM4" s="15" t="str">
        <f>VLOOKUP(BL4,'Axe 2 Règles de gestion'!$D$2:$F$121,3, FALSE)</f>
        <v>L'indicateur de carrière est sur la valeur "Accueil".</v>
      </c>
      <c r="BN4" s="13" t="s">
        <v>138</v>
      </c>
      <c r="BO4" s="15" t="str">
        <f>VLOOKUP(BN4,'Axe 2 Règles de gestion'!$D$2:$F$121,3, FALSE)</f>
        <v>La date de début de position est à J+1 de la date de fin de position de l'occurrence précédente.</v>
      </c>
      <c r="BP4" s="13" t="s">
        <v>140</v>
      </c>
      <c r="BQ4" s="15" t="str">
        <f>VLOOKUP(BP4,'Axe 2 Règles de gestion'!$D$2:$F$121,3, FALSE)</f>
        <v>Les champs "Type d'organisme d'origine", "Catégorie statutaire d'origine" et "Pays" de l'organisme d'origine doivent être renseignés.</v>
      </c>
      <c r="BR4" s="13" t="s">
        <v>142</v>
      </c>
      <c r="BS4" s="15" t="str">
        <f>VLOOKUP(BR4,'Axe 2 Règles de gestion'!$D$2:$F$121,3, FALSE)</f>
        <v>Les champs "Ministère (ou institution de la République) d'origine", "Corps d'origine", "Grade d'origine", "Echelon d'origine" sont renseignés si le "Type d'organisme d'origine" est valorisé à FPE.</v>
      </c>
      <c r="BT4" s="13" t="s">
        <v>144</v>
      </c>
      <c r="BU4" s="15" t="str">
        <f>VLOOKUP(BT4,'Axe 2 Règles de gestion'!$D$2:$F$121,3, FALSE)</f>
        <v>Le champ "Organisme d'origine" doit être alimenté si le type d'organisme d'origine est égal à 'Autre organisme', 'Fonction publique d'un état de l'Union Européenne' ou 'Fonction publique Européenne'.</v>
      </c>
      <c r="BV4" s="13" t="s">
        <v>146</v>
      </c>
      <c r="BW4" s="15" t="str">
        <f>VLOOKUP(BV4,'Axe 2 Règles de gestion'!$D$2:$F$121,3, FALSE)</f>
        <v>Le champ "Code emploi statutaire FPT (NET)" est renseigné si le "Type d'organisme d'origine" est valorisé à FPT.</v>
      </c>
      <c r="BX4" s="13" t="s">
        <v>148</v>
      </c>
      <c r="BY4" s="15" t="str">
        <f>VLOOKUP(BX4,'Axe 2 Règles de gestion'!$D$2:$F$121,3, FALSE)</f>
        <v>Le champ "Code emploi statutaire FPH (NEH)" est renseigné si le "Type d'organisme d'origine" est valorisé à FPH.</v>
      </c>
      <c r="BZ4" s="13" t="s">
        <v>150</v>
      </c>
      <c r="CA4" s="15" t="str">
        <f>VLOOKUP(BZ4,'Axe 2 Règles de gestion'!$D$2:$F$121,3, FALSE)</f>
        <v>La date de fin ou la date de fin prévisionnelle doit être saisie.</v>
      </c>
      <c r="CB4" s="13"/>
      <c r="CC4" s="15"/>
      <c r="CD4" s="13"/>
      <c r="CE4" s="15"/>
      <c r="CF4" s="13"/>
      <c r="CG4" s="13"/>
    </row>
    <row r="5" spans="1:85" ht="135" x14ac:dyDescent="0.25">
      <c r="A5" s="13" t="s">
        <v>167</v>
      </c>
      <c r="B5" s="13" t="s">
        <v>153</v>
      </c>
      <c r="C5" s="14">
        <v>44071.421527777777</v>
      </c>
      <c r="D5" s="13" t="s">
        <v>88</v>
      </c>
      <c r="E5" s="15" t="s">
        <v>89</v>
      </c>
      <c r="F5" s="13" t="s">
        <v>90</v>
      </c>
      <c r="G5" s="15" t="s">
        <v>91</v>
      </c>
      <c r="H5" s="13" t="s">
        <v>92</v>
      </c>
      <c r="I5" s="15" t="s">
        <v>93</v>
      </c>
      <c r="J5" s="15" t="s">
        <v>94</v>
      </c>
      <c r="K5" s="15" t="s">
        <v>95</v>
      </c>
      <c r="L5" s="13" t="s">
        <v>168</v>
      </c>
      <c r="M5" s="15" t="s">
        <v>169</v>
      </c>
      <c r="N5" s="13" t="s">
        <v>98</v>
      </c>
      <c r="O5" s="15" t="s">
        <v>170</v>
      </c>
      <c r="P5" s="15" t="s">
        <v>171</v>
      </c>
      <c r="Q5" s="15" t="s">
        <v>101</v>
      </c>
      <c r="R5" s="13" t="s">
        <v>102</v>
      </c>
      <c r="S5" s="13" t="s">
        <v>103</v>
      </c>
      <c r="T5" s="13" t="s">
        <v>104</v>
      </c>
      <c r="U5" s="14">
        <v>43831</v>
      </c>
      <c r="V5" s="14"/>
      <c r="W5" s="15" t="s">
        <v>179</v>
      </c>
      <c r="X5" s="13" t="s">
        <v>173</v>
      </c>
      <c r="Y5" s="15" t="str">
        <f>VLOOKUP(X5,'Axe 2 Règles de gestion'!$D$2:$F$121,3, FALSE)</f>
        <v>L'agent doit formuler une demande de renouvellement à son administration d'origine 3 mois au moins avant l'expiration de la période de détachement de longue durée.</v>
      </c>
      <c r="Z5" s="13" t="s">
        <v>175</v>
      </c>
      <c r="AA5" s="15" t="str">
        <f>VLOOKUP(Z5,'Axe 2 Règles de gestion'!$D$2:$F$121,3, FALSE)</f>
        <v>L'organisme d'accueil adresse sa décision à l'agent et à l'administration d'origine 2 mois au moins avant l'expiration de la période de détachement.</v>
      </c>
      <c r="AB5" s="13" t="s">
        <v>180</v>
      </c>
      <c r="AC5" s="15" t="str">
        <f>VLOOKUP(AB5,'Axe 2 Règles de gestion'!$D$2:$F$121,3, FALSE)</f>
        <v>L'agent peut demander à être reconduit dans ses fonctions 3 mois au moins avant le terme de son détachement sur un emploi de direction.</v>
      </c>
      <c r="AD5" s="13" t="s">
        <v>182</v>
      </c>
      <c r="AE5" s="15" t="str">
        <f>VLOOKUP(AD5,'Axe 2 Règles de gestion'!$D$2:$F$121,3, FALSE)</f>
        <v>Au moins 2 mois avant le terme de son détachement, l'autorité dont relève l'emploi de direction notifie la décision à l'agent.</v>
      </c>
      <c r="AF5" s="13" t="s">
        <v>184</v>
      </c>
      <c r="AG5" s="15" t="str">
        <f>VLOOKUP(AF5,'Axe 2 Règles de gestion'!$D$2:$F$121,3, FALSE)</f>
        <v>La période probatoire ne s'applique pas en cas de reconduction de l'agent dans le même emploi de direction.</v>
      </c>
      <c r="AH5" s="13"/>
      <c r="AI5" s="15"/>
      <c r="AJ5" s="13"/>
      <c r="AK5" s="15"/>
      <c r="AL5" s="13"/>
      <c r="AM5" s="15"/>
      <c r="AN5" s="13"/>
      <c r="AO5" s="15"/>
      <c r="AP5" s="13" t="s">
        <v>122</v>
      </c>
      <c r="AQ5" s="15" t="str">
        <f>VLOOKUP(AP5,'Axe 2 Règles de gestion'!$D$2:$F$121,3, FALSE)</f>
        <v>Un détachement de longue durée ne peut excéder 5 ans entre la date de début et la date de fin prévisionnelle.</v>
      </c>
      <c r="AR5" s="13" t="s">
        <v>124</v>
      </c>
      <c r="AS5" s="15" t="str">
        <f>VLOOKUP(AR5,'Axe 2 Règles de gestion'!$D$2:$F$121,3, FALSE)</f>
        <v>Un détachement de longue durée ne peut excéder 5 ans entre la date de début et la date de fin réelle.</v>
      </c>
      <c r="AT5" s="13" t="s">
        <v>177</v>
      </c>
      <c r="AU5" s="15" t="str">
        <f>VLOOKUP(AT5,'Axe 2 Règles de gestion'!$D$2:$F$121,3, FALSE)</f>
        <v>Le renouvellement d'un détachement de courte durée est interdit.</v>
      </c>
      <c r="AV5" s="13"/>
      <c r="AW5" s="15"/>
      <c r="AX5" s="13"/>
      <c r="AY5" s="15"/>
      <c r="AZ5" s="13"/>
      <c r="BA5" s="15"/>
      <c r="BB5" s="13" t="s">
        <v>126</v>
      </c>
      <c r="BC5" s="15" t="str">
        <f>VLOOKUP(BB5,'Axe 2 Règles de gestion'!$D$2:$F$121,3, FALSE)</f>
        <v>La date de début de position doit être antérieure ou égale à la date de fin prévisionnelle de position.</v>
      </c>
      <c r="BD5" s="13" t="s">
        <v>128</v>
      </c>
      <c r="BE5" s="15" t="str">
        <f>VLOOKUP(BD5,'Axe 2 Règles de gestion'!$D$2:$F$121,3, FALSE)</f>
        <v>La date de début de la position doit être postérieure ou égale à la date d'entrée dans la FPE ou dans la carrière militaire.</v>
      </c>
      <c r="BF5" s="13" t="s">
        <v>130</v>
      </c>
      <c r="BG5" s="15" t="str">
        <f>VLOOKUP(BF5,'Axe 2 Règles de gestion'!$D$2:$F$121,3, FALSE)</f>
        <v>La date de fin réelle de la position doit être antérieure à la date limite de départ à la retraite.</v>
      </c>
      <c r="BH5" s="13" t="s">
        <v>132</v>
      </c>
      <c r="BI5" s="15" t="str">
        <f>VLOOKUP(BH5,'Axe 2 Règles de gestion'!$D$2:$F$121,3, FALSE)</f>
        <v>La date de début de position doit être antérieure ou égale à la date de fin réelle de position.</v>
      </c>
      <c r="BJ5" s="13" t="s">
        <v>134</v>
      </c>
      <c r="BK5" s="15" t="str">
        <f>VLOOKUP(BJ5,'Axe 2 Règles de gestion'!$D$2:$F$121,3, FALSE)</f>
        <v>La date de fin prévisionnelle de la position doit être antérieure à la date limite de départ à la retraite.</v>
      </c>
      <c r="BL5" s="13" t="s">
        <v>136</v>
      </c>
      <c r="BM5" s="15" t="str">
        <f>VLOOKUP(BL5,'Axe 2 Règles de gestion'!$D$2:$F$121,3, FALSE)</f>
        <v>L'indicateur de carrière est sur la valeur "Accueil".</v>
      </c>
      <c r="BN5" s="13" t="s">
        <v>138</v>
      </c>
      <c r="BO5" s="15" t="str">
        <f>VLOOKUP(BN5,'Axe 2 Règles de gestion'!$D$2:$F$121,3, FALSE)</f>
        <v>La date de début de position est à J+1 de la date de fin de position de l'occurrence précédente.</v>
      </c>
      <c r="BP5" s="13" t="s">
        <v>140</v>
      </c>
      <c r="BQ5" s="15" t="str">
        <f>VLOOKUP(BP5,'Axe 2 Règles de gestion'!$D$2:$F$121,3, FALSE)</f>
        <v>Les champs "Type d'organisme d'origine", "Catégorie statutaire d'origine" et "Pays" de l'organisme d'origine doivent être renseignés.</v>
      </c>
      <c r="BR5" s="13" t="s">
        <v>142</v>
      </c>
      <c r="BS5" s="15" t="str">
        <f>VLOOKUP(BR5,'Axe 2 Règles de gestion'!$D$2:$F$121,3, FALSE)</f>
        <v>Les champs "Ministère (ou institution de la République) d'origine", "Corps d'origine", "Grade d'origine", "Echelon d'origine" sont renseignés si le "Type d'organisme d'origine" est valorisé à FPE.</v>
      </c>
      <c r="BT5" s="13" t="s">
        <v>144</v>
      </c>
      <c r="BU5" s="15" t="str">
        <f>VLOOKUP(BT5,'Axe 2 Règles de gestion'!$D$2:$F$121,3, FALSE)</f>
        <v>Le champ "Organisme d'origine" doit être alimenté si le type d'organisme d'origine est égal à 'Autre organisme', 'Fonction publique d'un état de l'Union Européenne' ou 'Fonction publique Européenne'.</v>
      </c>
      <c r="BV5" s="13" t="s">
        <v>146</v>
      </c>
      <c r="BW5" s="15" t="str">
        <f>VLOOKUP(BV5,'Axe 2 Règles de gestion'!$D$2:$F$121,3, FALSE)</f>
        <v>Le champ "Code emploi statutaire FPT (NET)" est renseigné si le "Type d'organisme d'origine" est valorisé à FPT.</v>
      </c>
      <c r="BX5" s="13" t="s">
        <v>148</v>
      </c>
      <c r="BY5" s="15" t="str">
        <f>VLOOKUP(BX5,'Axe 2 Règles de gestion'!$D$2:$F$121,3, FALSE)</f>
        <v>Le champ "Code emploi statutaire FPH (NEH)" est renseigné si le "Type d'organisme d'origine" est valorisé à FPH.</v>
      </c>
      <c r="BZ5" s="13" t="s">
        <v>150</v>
      </c>
      <c r="CA5" s="15" t="str">
        <f>VLOOKUP(BZ5,'Axe 2 Règles de gestion'!$D$2:$F$121,3, FALSE)</f>
        <v>La date de fin ou la date de fin prévisionnelle doit être saisie.</v>
      </c>
      <c r="CB5" s="13"/>
      <c r="CC5" s="15"/>
      <c r="CD5" s="13"/>
      <c r="CE5" s="15"/>
      <c r="CF5" s="13"/>
      <c r="CG5" s="13"/>
    </row>
    <row r="6" spans="1:85" ht="150" x14ac:dyDescent="0.25">
      <c r="A6" s="13" t="s">
        <v>86</v>
      </c>
      <c r="B6" s="13" t="s">
        <v>87</v>
      </c>
      <c r="C6" s="14">
        <v>43850.552083333336</v>
      </c>
      <c r="D6" s="13" t="s">
        <v>88</v>
      </c>
      <c r="E6" s="15" t="s">
        <v>89</v>
      </c>
      <c r="F6" s="13" t="s">
        <v>90</v>
      </c>
      <c r="G6" s="15" t="s">
        <v>91</v>
      </c>
      <c r="H6" s="13" t="s">
        <v>92</v>
      </c>
      <c r="I6" s="15" t="s">
        <v>93</v>
      </c>
      <c r="J6" s="15" t="s">
        <v>94</v>
      </c>
      <c r="K6" s="15" t="s">
        <v>95</v>
      </c>
      <c r="L6" s="13" t="s">
        <v>186</v>
      </c>
      <c r="M6" s="15" t="s">
        <v>187</v>
      </c>
      <c r="N6" s="13" t="s">
        <v>188</v>
      </c>
      <c r="O6" s="15" t="s">
        <v>189</v>
      </c>
      <c r="P6" s="15" t="s">
        <v>190</v>
      </c>
      <c r="Q6" s="15" t="s">
        <v>101</v>
      </c>
      <c r="R6" s="13" t="s">
        <v>102</v>
      </c>
      <c r="S6" s="13" t="s">
        <v>103</v>
      </c>
      <c r="T6" s="13" t="s">
        <v>104</v>
      </c>
      <c r="U6" s="14">
        <v>40725</v>
      </c>
      <c r="V6" s="14"/>
      <c r="W6" s="15" t="s">
        <v>191</v>
      </c>
      <c r="X6" s="13" t="s">
        <v>192</v>
      </c>
      <c r="Y6" s="15" t="str">
        <f>VLOOKUP(X6,'Axe 2 Règles de gestion'!$D$2:$F$121,3, FALSE)</f>
        <v>Le détachement peut prendre fin de manière anticipée à l'initiative de l'administration d'accueil, de l'administration d'origine ou de l'agent.</v>
      </c>
      <c r="Z6" s="13" t="s">
        <v>194</v>
      </c>
      <c r="AA6" s="15" t="str">
        <f>VLOOKUP(Z6,'Axe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6" s="13" t="s">
        <v>196</v>
      </c>
      <c r="AC6" s="15" t="str">
        <f>VLOOKUP(AB6,'Axe 2 Règles de gestion'!$D$2:$F$121,3, FALSE)</f>
        <v>L'agent doit adresser une demande de réintégration à l'administration d'origine 3 mois au moins avant l'expiration de la période de détachement de longue durée.</v>
      </c>
      <c r="AD6" s="13" t="s">
        <v>175</v>
      </c>
      <c r="AE6" s="15" t="str">
        <f>VLOOKUP(AD6,'Axe 2 Règles de gestion'!$D$2:$F$121,3, FALSE)</f>
        <v>L'organisme d'accueil adresse sa décision à l'agent et à l'administration d'origine 2 mois au moins avant l'expiration de la période de détachement.</v>
      </c>
      <c r="AF6" s="13" t="s">
        <v>198</v>
      </c>
      <c r="AG6" s="15" t="str">
        <f>VLOOKUP(AF6,'Axe 2 Règles de gestion'!$D$2:$F$121,3, FALSE)</f>
        <v>Si l'agent n'adresse pas sa demande dans les délais, il est obligatoirement réintégré à la première vacance dans son corps d'origine et affecté à un emploi correspondant à son grade.</v>
      </c>
      <c r="AH6" s="13" t="s">
        <v>200</v>
      </c>
      <c r="AI6" s="15" t="str">
        <f>VLOOKUP(AH6,'Axe 2 Règles de gestion'!$D$2:$F$121,3, FALSE)</f>
        <v>Les dispositions relatives à la réintégration au terme d'un détachement de longue durée ne sont pas applicables aux préfets et sous-préfets.</v>
      </c>
      <c r="AJ6" s="13"/>
      <c r="AK6" s="15"/>
      <c r="AL6" s="13"/>
      <c r="AM6" s="15"/>
      <c r="AN6" s="13"/>
      <c r="AO6" s="15"/>
      <c r="AP6" s="13" t="s">
        <v>114</v>
      </c>
      <c r="AQ6" s="15" t="str">
        <f>VLOOKUP(AP6,'Axe 2 Règles de gestion'!$D$2:$F$121,3, FALSE)</f>
        <v>Un détachement de courte durée à l'étranger ou dans les TOM ne peut excéder 1 an entre la date de début et la date de fin prévisionnelle.</v>
      </c>
      <c r="AR6" s="13" t="s">
        <v>116</v>
      </c>
      <c r="AS6" s="15" t="str">
        <f>VLOOKUP(AR6,'Axe 2 Règles de gestion'!$D$2:$F$121,3, FALSE)</f>
        <v>Un détachement de courte durée à l'étranger ou dans les TOM ne peut excéder 1 an entre la date de début et la date de fin réelle.</v>
      </c>
      <c r="AT6" s="13" t="s">
        <v>118</v>
      </c>
      <c r="AU6" s="15" t="str">
        <f>VLOOKUP(AT6,'Axe 2 Règles de gestion'!$D$2:$F$121,3, FALSE)</f>
        <v>Un détachement de courte durée n'ayant pas lieu à l'étranger ou dans les TOM ne peut excéder six mois entre la date de début et la date de fin prévisionnelle.</v>
      </c>
      <c r="AV6" s="13" t="s">
        <v>120</v>
      </c>
      <c r="AW6" s="15" t="str">
        <f>VLOOKUP(AV6,'Axe 2 Règles de gestion'!$D$2:$F$121,3, FALSE)</f>
        <v>Un détachement de courte durée n'ayant pas lieu à l'étranger ou dans les TOM ne peut excéder six mois entre la date de début et la date de fin réelle.</v>
      </c>
      <c r="AX6" s="13" t="s">
        <v>122</v>
      </c>
      <c r="AY6" s="15" t="str">
        <f>VLOOKUP(AX6,'Axe 2 Règles de gestion'!$D$2:$F$121,3, FALSE)</f>
        <v>Un détachement de longue durée ne peut excéder 5 ans entre la date de début et la date de fin prévisionnelle.</v>
      </c>
      <c r="AZ6" s="13" t="s">
        <v>124</v>
      </c>
      <c r="BA6" s="15" t="str">
        <f>VLOOKUP(AZ6,'Axe 2 Règles de gestion'!$D$2:$F$121,3, FALSE)</f>
        <v>Un détachement de longue durée ne peut excéder 5 ans entre la date de début et la date de fin réelle.</v>
      </c>
      <c r="BB6" s="13" t="s">
        <v>126</v>
      </c>
      <c r="BC6" s="15" t="str">
        <f>VLOOKUP(BB6,'Axe 2 Règles de gestion'!$D$2:$F$121,3, FALSE)</f>
        <v>La date de début de position doit être antérieure ou égale à la date de fin prévisionnelle de position.</v>
      </c>
      <c r="BD6" s="13" t="s">
        <v>130</v>
      </c>
      <c r="BE6" s="15" t="str">
        <f>VLOOKUP(BD6,'Axe 2 Règles de gestion'!$D$2:$F$121,3, FALSE)</f>
        <v>La date de fin réelle de la position doit être antérieure à la date limite de départ à la retraite.</v>
      </c>
      <c r="BF6" s="13" t="s">
        <v>132</v>
      </c>
      <c r="BG6" s="15" t="str">
        <f>VLOOKUP(BF6,'Axe 2 Règles de gestion'!$D$2:$F$121,3, FALSE)</f>
        <v>La date de début de position doit être antérieure ou égale à la date de fin réelle de position.</v>
      </c>
      <c r="BH6" s="13" t="s">
        <v>134</v>
      </c>
      <c r="BI6" s="15" t="str">
        <f>VLOOKUP(BH6,'Axe 2 Règles de gestion'!$D$2:$F$121,3, FALSE)</f>
        <v>La date de fin prévisionnelle de la position doit être antérieure à la date limite de départ à la retraite.</v>
      </c>
      <c r="BJ6" s="13" t="s">
        <v>140</v>
      </c>
      <c r="BK6" s="15" t="str">
        <f>VLOOKUP(BJ6,'Axe 2 Règles de gestion'!$D$2:$F$121,3, FALSE)</f>
        <v>Les champs "Type d'organisme d'origine", "Catégorie statutaire d'origine" et "Pays" de l'organisme d'origine doivent être renseignés.</v>
      </c>
      <c r="BL6" s="13" t="s">
        <v>142</v>
      </c>
      <c r="BM6" s="15" t="str">
        <f>VLOOKUP(BL6,'Axe 2 Règles de gestion'!$D$2:$F$121,3, FALSE)</f>
        <v>Les champs "Ministère (ou institution de la République) d'origine", "Corps d'origine", "Grade d'origine", "Echelon d'origine" sont renseignés si le "Type d'organisme d'origine" est valorisé à FPE.</v>
      </c>
      <c r="BN6" s="13" t="s">
        <v>144</v>
      </c>
      <c r="BO6" s="15" t="str">
        <f>VLOOKUP(BN6,'Axe 2 Règles de gestion'!$D$2:$F$121,3, FALSE)</f>
        <v>Le champ "Organisme d'origine" doit être alimenté si le type d'organisme d'origine est égal à 'Autre organisme', 'Fonction publique d'un état de l'Union Européenne' ou 'Fonction publique Européenne'.</v>
      </c>
      <c r="BP6" s="13" t="s">
        <v>146</v>
      </c>
      <c r="BQ6" s="15" t="str">
        <f>VLOOKUP(BP6,'Axe 2 Règles de gestion'!$D$2:$F$121,3, FALSE)</f>
        <v>Le champ "Code emploi statutaire FPT (NET)" est renseigné si le "Type d'organisme d'origine" est valorisé à FPT.</v>
      </c>
      <c r="BR6" s="13" t="s">
        <v>148</v>
      </c>
      <c r="BS6" s="15" t="str">
        <f>VLOOKUP(BR6,'Axe 2 Règles de gestion'!$D$2:$F$121,3, FALSE)</f>
        <v>Le champ "Code emploi statutaire FPH (NEH)" est renseigné si le "Type d'organisme d'origine" est valorisé à FPH.</v>
      </c>
      <c r="BT6" s="13" t="s">
        <v>150</v>
      </c>
      <c r="BU6" s="15" t="str">
        <f>VLOOKUP(BT6,'Axe 2 Règles de gestion'!$D$2:$F$121,3, FALSE)</f>
        <v>La date de fin ou la date de fin prévisionnelle doit être saisie.</v>
      </c>
      <c r="BV6" s="13"/>
      <c r="BW6" s="15"/>
      <c r="BX6" s="13"/>
      <c r="BY6" s="15"/>
      <c r="BZ6" s="13"/>
      <c r="CA6" s="15"/>
      <c r="CB6" s="13"/>
      <c r="CC6" s="15"/>
      <c r="CD6" s="13"/>
      <c r="CE6" s="15"/>
      <c r="CF6" s="13"/>
      <c r="CG6" s="13"/>
    </row>
    <row r="7" spans="1:85" ht="120" x14ac:dyDescent="0.25">
      <c r="A7" s="13" t="s">
        <v>202</v>
      </c>
      <c r="B7" s="13" t="s">
        <v>153</v>
      </c>
      <c r="C7" s="14">
        <v>43152.5</v>
      </c>
      <c r="D7" s="13" t="s">
        <v>88</v>
      </c>
      <c r="E7" s="15" t="s">
        <v>89</v>
      </c>
      <c r="F7" s="13" t="s">
        <v>90</v>
      </c>
      <c r="G7" s="15" t="s">
        <v>91</v>
      </c>
      <c r="H7" s="13" t="s">
        <v>92</v>
      </c>
      <c r="I7" s="15" t="s">
        <v>93</v>
      </c>
      <c r="J7" s="15" t="s">
        <v>94</v>
      </c>
      <c r="K7" s="15" t="s">
        <v>95</v>
      </c>
      <c r="L7" s="13" t="s">
        <v>96</v>
      </c>
      <c r="M7" s="15" t="s">
        <v>97</v>
      </c>
      <c r="N7" s="13" t="s">
        <v>98</v>
      </c>
      <c r="O7" s="15" t="s">
        <v>99</v>
      </c>
      <c r="P7" s="15" t="s">
        <v>100</v>
      </c>
      <c r="Q7" s="15" t="s">
        <v>203</v>
      </c>
      <c r="R7" s="13" t="s">
        <v>204</v>
      </c>
      <c r="S7" s="13" t="s">
        <v>103</v>
      </c>
      <c r="T7" s="13" t="s">
        <v>205</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3"/>
    </row>
    <row r="8" spans="1:85" ht="120" x14ac:dyDescent="0.25">
      <c r="A8" s="13" t="s">
        <v>202</v>
      </c>
      <c r="B8" s="13" t="s">
        <v>153</v>
      </c>
      <c r="C8" s="14">
        <v>43152.5</v>
      </c>
      <c r="D8" s="13" t="s">
        <v>88</v>
      </c>
      <c r="E8" s="15" t="s">
        <v>89</v>
      </c>
      <c r="F8" s="13" t="s">
        <v>90</v>
      </c>
      <c r="G8" s="15" t="s">
        <v>91</v>
      </c>
      <c r="H8" s="13" t="s">
        <v>92</v>
      </c>
      <c r="I8" s="15" t="s">
        <v>93</v>
      </c>
      <c r="J8" s="15" t="s">
        <v>94</v>
      </c>
      <c r="K8" s="15" t="s">
        <v>95</v>
      </c>
      <c r="L8" s="13" t="s">
        <v>168</v>
      </c>
      <c r="M8" s="15" t="s">
        <v>169</v>
      </c>
      <c r="N8" s="13" t="s">
        <v>98</v>
      </c>
      <c r="O8" s="15" t="s">
        <v>170</v>
      </c>
      <c r="P8" s="15" t="s">
        <v>171</v>
      </c>
      <c r="Q8" s="15" t="s">
        <v>203</v>
      </c>
      <c r="R8" s="13" t="s">
        <v>204</v>
      </c>
      <c r="S8" s="13" t="s">
        <v>103</v>
      </c>
      <c r="T8" s="13" t="s">
        <v>205</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3"/>
    </row>
    <row r="9" spans="1:85" ht="120" x14ac:dyDescent="0.25">
      <c r="A9" s="13" t="s">
        <v>202</v>
      </c>
      <c r="B9" s="13" t="s">
        <v>153</v>
      </c>
      <c r="C9" s="14">
        <v>43152.5</v>
      </c>
      <c r="D9" s="13" t="s">
        <v>88</v>
      </c>
      <c r="E9" s="15" t="s">
        <v>89</v>
      </c>
      <c r="F9" s="13" t="s">
        <v>90</v>
      </c>
      <c r="G9" s="15" t="s">
        <v>91</v>
      </c>
      <c r="H9" s="13" t="s">
        <v>92</v>
      </c>
      <c r="I9" s="15" t="s">
        <v>93</v>
      </c>
      <c r="J9" s="15" t="s">
        <v>94</v>
      </c>
      <c r="K9" s="15" t="s">
        <v>95</v>
      </c>
      <c r="L9" s="13" t="s">
        <v>186</v>
      </c>
      <c r="M9" s="15" t="s">
        <v>187</v>
      </c>
      <c r="N9" s="13" t="s">
        <v>188</v>
      </c>
      <c r="O9" s="15" t="s">
        <v>189</v>
      </c>
      <c r="P9" s="15" t="s">
        <v>190</v>
      </c>
      <c r="Q9" s="15" t="s">
        <v>203</v>
      </c>
      <c r="R9" s="13" t="s">
        <v>204</v>
      </c>
      <c r="S9" s="13" t="s">
        <v>103</v>
      </c>
      <c r="T9" s="13" t="s">
        <v>205</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3"/>
    </row>
    <row r="10" spans="1:85" ht="120" x14ac:dyDescent="0.25">
      <c r="A10" s="13" t="s">
        <v>202</v>
      </c>
      <c r="B10" s="13" t="s">
        <v>153</v>
      </c>
      <c r="C10" s="14">
        <v>43152.5</v>
      </c>
      <c r="D10" s="13" t="s">
        <v>88</v>
      </c>
      <c r="E10" s="15" t="s">
        <v>89</v>
      </c>
      <c r="F10" s="13" t="s">
        <v>90</v>
      </c>
      <c r="G10" s="15" t="s">
        <v>91</v>
      </c>
      <c r="H10" s="13" t="s">
        <v>92</v>
      </c>
      <c r="I10" s="15" t="s">
        <v>93</v>
      </c>
      <c r="J10" s="15" t="s">
        <v>94</v>
      </c>
      <c r="K10" s="15" t="s">
        <v>95</v>
      </c>
      <c r="L10" s="13" t="s">
        <v>96</v>
      </c>
      <c r="M10" s="15" t="s">
        <v>97</v>
      </c>
      <c r="N10" s="13" t="s">
        <v>98</v>
      </c>
      <c r="O10" s="15" t="s">
        <v>99</v>
      </c>
      <c r="P10" s="15" t="s">
        <v>100</v>
      </c>
      <c r="Q10" s="15" t="s">
        <v>206</v>
      </c>
      <c r="R10" s="13" t="s">
        <v>207</v>
      </c>
      <c r="S10" s="13" t="s">
        <v>103</v>
      </c>
      <c r="T10" s="13" t="s">
        <v>205</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3"/>
    </row>
    <row r="11" spans="1:85" ht="120" x14ac:dyDescent="0.25">
      <c r="A11" s="13" t="s">
        <v>202</v>
      </c>
      <c r="B11" s="13" t="s">
        <v>153</v>
      </c>
      <c r="C11" s="14">
        <v>43152.5</v>
      </c>
      <c r="D11" s="13" t="s">
        <v>88</v>
      </c>
      <c r="E11" s="15" t="s">
        <v>89</v>
      </c>
      <c r="F11" s="13" t="s">
        <v>90</v>
      </c>
      <c r="G11" s="15" t="s">
        <v>91</v>
      </c>
      <c r="H11" s="13" t="s">
        <v>92</v>
      </c>
      <c r="I11" s="15" t="s">
        <v>93</v>
      </c>
      <c r="J11" s="15" t="s">
        <v>94</v>
      </c>
      <c r="K11" s="15" t="s">
        <v>95</v>
      </c>
      <c r="L11" s="13" t="s">
        <v>168</v>
      </c>
      <c r="M11" s="15" t="s">
        <v>169</v>
      </c>
      <c r="N11" s="13" t="s">
        <v>98</v>
      </c>
      <c r="O11" s="15" t="s">
        <v>170</v>
      </c>
      <c r="P11" s="15" t="s">
        <v>171</v>
      </c>
      <c r="Q11" s="15" t="s">
        <v>206</v>
      </c>
      <c r="R11" s="13" t="s">
        <v>207</v>
      </c>
      <c r="S11" s="13" t="s">
        <v>103</v>
      </c>
      <c r="T11" s="13" t="s">
        <v>205</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3"/>
    </row>
    <row r="12" spans="1:85" ht="120" x14ac:dyDescent="0.25">
      <c r="A12" s="13" t="s">
        <v>202</v>
      </c>
      <c r="B12" s="13" t="s">
        <v>153</v>
      </c>
      <c r="C12" s="14">
        <v>43152.5</v>
      </c>
      <c r="D12" s="13" t="s">
        <v>88</v>
      </c>
      <c r="E12" s="15" t="s">
        <v>89</v>
      </c>
      <c r="F12" s="13" t="s">
        <v>90</v>
      </c>
      <c r="G12" s="15" t="s">
        <v>91</v>
      </c>
      <c r="H12" s="13" t="s">
        <v>92</v>
      </c>
      <c r="I12" s="15" t="s">
        <v>93</v>
      </c>
      <c r="J12" s="15" t="s">
        <v>94</v>
      </c>
      <c r="K12" s="15" t="s">
        <v>95</v>
      </c>
      <c r="L12" s="13" t="s">
        <v>186</v>
      </c>
      <c r="M12" s="15" t="s">
        <v>187</v>
      </c>
      <c r="N12" s="13" t="s">
        <v>188</v>
      </c>
      <c r="O12" s="15" t="s">
        <v>189</v>
      </c>
      <c r="P12" s="15" t="s">
        <v>190</v>
      </c>
      <c r="Q12" s="15" t="s">
        <v>206</v>
      </c>
      <c r="R12" s="13" t="s">
        <v>207</v>
      </c>
      <c r="S12" s="13" t="s">
        <v>103</v>
      </c>
      <c r="T12" s="13" t="s">
        <v>205</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3"/>
    </row>
    <row r="13" spans="1:85" ht="120" x14ac:dyDescent="0.25">
      <c r="A13" s="13" t="s">
        <v>202</v>
      </c>
      <c r="B13" s="13" t="s">
        <v>153</v>
      </c>
      <c r="C13" s="14">
        <v>43152.5</v>
      </c>
      <c r="D13" s="13" t="s">
        <v>88</v>
      </c>
      <c r="E13" s="15" t="s">
        <v>89</v>
      </c>
      <c r="F13" s="13" t="s">
        <v>90</v>
      </c>
      <c r="G13" s="15" t="s">
        <v>91</v>
      </c>
      <c r="H13" s="13" t="s">
        <v>92</v>
      </c>
      <c r="I13" s="15" t="s">
        <v>93</v>
      </c>
      <c r="J13" s="15" t="s">
        <v>94</v>
      </c>
      <c r="K13" s="15" t="s">
        <v>95</v>
      </c>
      <c r="L13" s="13" t="s">
        <v>96</v>
      </c>
      <c r="M13" s="15" t="s">
        <v>97</v>
      </c>
      <c r="N13" s="13" t="s">
        <v>98</v>
      </c>
      <c r="O13" s="15" t="s">
        <v>99</v>
      </c>
      <c r="P13" s="15" t="s">
        <v>100</v>
      </c>
      <c r="Q13" s="15" t="s">
        <v>208</v>
      </c>
      <c r="R13" s="13" t="s">
        <v>209</v>
      </c>
      <c r="S13" s="13" t="s">
        <v>103</v>
      </c>
      <c r="T13" s="13" t="s">
        <v>205</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3"/>
    </row>
    <row r="14" spans="1:85" ht="120" x14ac:dyDescent="0.25">
      <c r="A14" s="13" t="s">
        <v>202</v>
      </c>
      <c r="B14" s="13" t="s">
        <v>153</v>
      </c>
      <c r="C14" s="14">
        <v>43152.5</v>
      </c>
      <c r="D14" s="13" t="s">
        <v>88</v>
      </c>
      <c r="E14" s="15" t="s">
        <v>89</v>
      </c>
      <c r="F14" s="13" t="s">
        <v>90</v>
      </c>
      <c r="G14" s="15" t="s">
        <v>91</v>
      </c>
      <c r="H14" s="13" t="s">
        <v>92</v>
      </c>
      <c r="I14" s="15" t="s">
        <v>93</v>
      </c>
      <c r="J14" s="15" t="s">
        <v>94</v>
      </c>
      <c r="K14" s="15" t="s">
        <v>95</v>
      </c>
      <c r="L14" s="13" t="s">
        <v>168</v>
      </c>
      <c r="M14" s="15" t="s">
        <v>169</v>
      </c>
      <c r="N14" s="13" t="s">
        <v>98</v>
      </c>
      <c r="O14" s="15" t="s">
        <v>170</v>
      </c>
      <c r="P14" s="15" t="s">
        <v>171</v>
      </c>
      <c r="Q14" s="15" t="s">
        <v>208</v>
      </c>
      <c r="R14" s="13" t="s">
        <v>209</v>
      </c>
      <c r="S14" s="13" t="s">
        <v>103</v>
      </c>
      <c r="T14" s="13" t="s">
        <v>205</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3"/>
    </row>
    <row r="15" spans="1:85" ht="120" x14ac:dyDescent="0.25">
      <c r="A15" s="13" t="s">
        <v>202</v>
      </c>
      <c r="B15" s="13" t="s">
        <v>153</v>
      </c>
      <c r="C15" s="14">
        <v>43152.5</v>
      </c>
      <c r="D15" s="13" t="s">
        <v>88</v>
      </c>
      <c r="E15" s="15" t="s">
        <v>89</v>
      </c>
      <c r="F15" s="13" t="s">
        <v>90</v>
      </c>
      <c r="G15" s="15" t="s">
        <v>91</v>
      </c>
      <c r="H15" s="13" t="s">
        <v>92</v>
      </c>
      <c r="I15" s="15" t="s">
        <v>93</v>
      </c>
      <c r="J15" s="15" t="s">
        <v>94</v>
      </c>
      <c r="K15" s="15" t="s">
        <v>95</v>
      </c>
      <c r="L15" s="13" t="s">
        <v>186</v>
      </c>
      <c r="M15" s="15" t="s">
        <v>187</v>
      </c>
      <c r="N15" s="13" t="s">
        <v>188</v>
      </c>
      <c r="O15" s="15" t="s">
        <v>189</v>
      </c>
      <c r="P15" s="15" t="s">
        <v>190</v>
      </c>
      <c r="Q15" s="15" t="s">
        <v>208</v>
      </c>
      <c r="R15" s="13" t="s">
        <v>209</v>
      </c>
      <c r="S15" s="13" t="s">
        <v>103</v>
      </c>
      <c r="T15" s="13" t="s">
        <v>205</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3"/>
    </row>
    <row r="16" spans="1:85" ht="135" x14ac:dyDescent="0.25">
      <c r="A16" s="13" t="s">
        <v>86</v>
      </c>
      <c r="B16" s="13" t="s">
        <v>87</v>
      </c>
      <c r="C16" s="14">
        <v>43850.552083333336</v>
      </c>
      <c r="D16" s="13" t="s">
        <v>88</v>
      </c>
      <c r="E16" s="15" t="s">
        <v>89</v>
      </c>
      <c r="F16" s="13" t="s">
        <v>90</v>
      </c>
      <c r="G16" s="15" t="s">
        <v>91</v>
      </c>
      <c r="H16" s="13" t="s">
        <v>92</v>
      </c>
      <c r="I16" s="15" t="s">
        <v>93</v>
      </c>
      <c r="J16" s="15" t="s">
        <v>94</v>
      </c>
      <c r="K16" s="15" t="s">
        <v>95</v>
      </c>
      <c r="L16" s="13" t="s">
        <v>96</v>
      </c>
      <c r="M16" s="15" t="s">
        <v>97</v>
      </c>
      <c r="N16" s="13" t="s">
        <v>98</v>
      </c>
      <c r="O16" s="15" t="s">
        <v>99</v>
      </c>
      <c r="P16" s="15" t="s">
        <v>100</v>
      </c>
      <c r="Q16" s="15" t="s">
        <v>210</v>
      </c>
      <c r="R16" s="13" t="s">
        <v>211</v>
      </c>
      <c r="S16" s="13" t="s">
        <v>212</v>
      </c>
      <c r="T16" s="13" t="s">
        <v>104</v>
      </c>
      <c r="U16" s="14">
        <v>40725</v>
      </c>
      <c r="V16" s="14">
        <v>43830</v>
      </c>
      <c r="W16" s="15" t="s">
        <v>213</v>
      </c>
      <c r="X16" s="13" t="s">
        <v>106</v>
      </c>
      <c r="Y16" s="15" t="str">
        <f>VLOOKUP(X16,'Axe 2 Règles de gestion'!$D$2:$F$121,3, FALSE)</f>
        <v>L'agent doit détenir le titre ou le diplôme requis pour l'exercice des fonctions du corps d'accueil.</v>
      </c>
      <c r="Z16" s="13" t="s">
        <v>108</v>
      </c>
      <c r="AA16" s="15" t="str">
        <f>VLOOKUP(Z16,'Axe 2 Règles de gestion'!$D$2:$F$121,3, FALSE)</f>
        <v>L'agent doit formuler une demande.</v>
      </c>
      <c r="AB16" s="13" t="s">
        <v>110</v>
      </c>
      <c r="AC16" s="15" t="str">
        <f>VLOOKUP(AB16,'Axe 2 Règles de gestion'!$D$2:$F$121,3, FALSE)</f>
        <v>Le détachement est accordé après avis des commissions administratives paritaires compétentes.</v>
      </c>
      <c r="AD16" s="13" t="s">
        <v>112</v>
      </c>
      <c r="AE16" s="15" t="str">
        <f>VLOOKUP(AD16,'Axe 2 Règles de gestion'!$D$2:$F$121,3, FALSE)</f>
        <v>L'accord de l'administration d'origine est nécessaire.</v>
      </c>
      <c r="AF16" s="13"/>
      <c r="AG16" s="15"/>
      <c r="AH16" s="13"/>
      <c r="AI16" s="15"/>
      <c r="AJ16" s="13"/>
      <c r="AK16" s="15"/>
      <c r="AL16" s="13"/>
      <c r="AM16" s="15"/>
      <c r="AN16" s="13"/>
      <c r="AO16" s="15"/>
      <c r="AP16" s="13" t="s">
        <v>214</v>
      </c>
      <c r="AQ16" s="15" t="str">
        <f>VLOOKUP(AP16,'Axe 2 Règles de gestion'!$D$2:$F$121,3, FALSE)</f>
        <v>Le détachement de courte durée est interdit.</v>
      </c>
      <c r="AR16" s="13" t="s">
        <v>122</v>
      </c>
      <c r="AS16" s="15" t="str">
        <f>VLOOKUP(AR16,'Axe 2 Règles de gestion'!$D$2:$F$121,3, FALSE)</f>
        <v>Un détachement de longue durée ne peut excéder 5 ans entre la date de début et la date de fin prévisionnelle.</v>
      </c>
      <c r="AT16" s="13" t="s">
        <v>124</v>
      </c>
      <c r="AU16" s="15" t="str">
        <f>VLOOKUP(AT16,'Axe 2 Règles de gestion'!$D$2:$F$121,3, FALSE)</f>
        <v>Un détachement de longue durée ne peut excéder 5 ans entre la date de début et la date de fin réelle.</v>
      </c>
      <c r="AV16" s="13"/>
      <c r="AW16" s="15"/>
      <c r="AX16" s="13"/>
      <c r="AY16" s="15"/>
      <c r="AZ16" s="13"/>
      <c r="BA16" s="15"/>
      <c r="BB16" s="13" t="s">
        <v>126</v>
      </c>
      <c r="BC16" s="15" t="str">
        <f>VLOOKUP(BB16,'Axe 2 Règles de gestion'!$D$2:$F$121,3, FALSE)</f>
        <v>La date de début de position doit être antérieure ou égale à la date de fin prévisionnelle de position.</v>
      </c>
      <c r="BD16" s="13" t="s">
        <v>128</v>
      </c>
      <c r="BE16" s="15" t="str">
        <f>VLOOKUP(BD16,'Axe 2 Règles de gestion'!$D$2:$F$121,3, FALSE)</f>
        <v>La date de début de la position doit être postérieure ou égale à la date d'entrée dans la FPE ou dans la carrière militaire.</v>
      </c>
      <c r="BF16" s="13" t="s">
        <v>130</v>
      </c>
      <c r="BG16" s="15" t="str">
        <f>VLOOKUP(BF16,'Axe 2 Règles de gestion'!$D$2:$F$121,3, FALSE)</f>
        <v>La date de fin réelle de la position doit être antérieure à la date limite de départ à la retraite.</v>
      </c>
      <c r="BH16" s="13" t="s">
        <v>132</v>
      </c>
      <c r="BI16" s="15" t="str">
        <f>VLOOKUP(BH16,'Axe 2 Règles de gestion'!$D$2:$F$121,3, FALSE)</f>
        <v>La date de début de position doit être antérieure ou égale à la date de fin réelle de position.</v>
      </c>
      <c r="BJ16" s="13" t="s">
        <v>134</v>
      </c>
      <c r="BK16" s="15" t="str">
        <f>VLOOKUP(BJ16,'Axe 2 Règles de gestion'!$D$2:$F$121,3, FALSE)</f>
        <v>La date de fin prévisionnelle de la position doit être antérieure à la date limite de départ à la retraite.</v>
      </c>
      <c r="BL16" s="13" t="s">
        <v>136</v>
      </c>
      <c r="BM16" s="15" t="str">
        <f>VLOOKUP(BL16,'Axe 2 Règles de gestion'!$D$2:$F$121,3, FALSE)</f>
        <v>L'indicateur de carrière est sur la valeur "Accueil".</v>
      </c>
      <c r="BN16" s="13" t="s">
        <v>138</v>
      </c>
      <c r="BO16" s="15" t="str">
        <f>VLOOKUP(BN16,'Axe 2 Règles de gestion'!$D$2:$F$121,3, FALSE)</f>
        <v>La date de début de position est à J+1 de la date de fin de position de l'occurrence précédente.</v>
      </c>
      <c r="BP16" s="13" t="s">
        <v>140</v>
      </c>
      <c r="BQ16" s="15" t="str">
        <f>VLOOKUP(BP16,'Axe 2 Règles de gestion'!$D$2:$F$121,3, FALSE)</f>
        <v>Les champs "Type d'organisme d'origine", "Catégorie statutaire d'origine" et "Pays" de l'organisme d'origine doivent être renseignés.</v>
      </c>
      <c r="BR16" s="13" t="s">
        <v>142</v>
      </c>
      <c r="BS16" s="15" t="str">
        <f>VLOOKUP(BR16,'Axe 2 Règles de gestion'!$D$2:$F$121,3, FALSE)</f>
        <v>Les champs "Ministère (ou institution de la République) d'origine", "Corps d'origine", "Grade d'origine", "Echelon d'origine" sont renseignés si le "Type d'organisme d'origine" est valorisé à FPE.</v>
      </c>
      <c r="BT16" s="13" t="s">
        <v>144</v>
      </c>
      <c r="BU16" s="15" t="str">
        <f>VLOOKUP(BT16,'Axe 2 Règles de gestion'!$D$2:$F$121,3, FALSE)</f>
        <v>Le champ "Organisme d'origine" doit être alimenté si le type d'organisme d'origine est égal à 'Autre organisme', 'Fonction publique d'un état de l'Union Européenne' ou 'Fonction publique Européenne'.</v>
      </c>
      <c r="BV16" s="13" t="s">
        <v>146</v>
      </c>
      <c r="BW16" s="15" t="str">
        <f>VLOOKUP(BV16,'Axe 2 Règles de gestion'!$D$2:$F$121,3, FALSE)</f>
        <v>Le champ "Code emploi statutaire FPT (NET)" est renseigné si le "Type d'organisme d'origine" est valorisé à FPT.</v>
      </c>
      <c r="BX16" s="13" t="s">
        <v>148</v>
      </c>
      <c r="BY16" s="15" t="str">
        <f>VLOOKUP(BX16,'Axe 2 Règles de gestion'!$D$2:$F$121,3, FALSE)</f>
        <v>Le champ "Code emploi statutaire FPH (NEH)" est renseigné si le "Type d'organisme d'origine" est valorisé à FPH.</v>
      </c>
      <c r="BZ16" s="13" t="s">
        <v>150</v>
      </c>
      <c r="CA16" s="15" t="str">
        <f>VLOOKUP(BZ16,'Axe 2 Règles de gestion'!$D$2:$F$121,3, FALSE)</f>
        <v>La date de fin ou la date de fin prévisionnelle doit être saisie.</v>
      </c>
      <c r="CB16" s="13"/>
      <c r="CC16" s="15"/>
      <c r="CD16" s="13"/>
      <c r="CE16" s="15"/>
      <c r="CF16" s="13"/>
      <c r="CG16" s="13"/>
    </row>
    <row r="17" spans="1:85" ht="135" x14ac:dyDescent="0.25">
      <c r="A17" s="13" t="s">
        <v>86</v>
      </c>
      <c r="B17" s="13" t="s">
        <v>153</v>
      </c>
      <c r="C17" s="14">
        <v>44012.454861111109</v>
      </c>
      <c r="D17" s="13" t="s">
        <v>88</v>
      </c>
      <c r="E17" s="15" t="s">
        <v>89</v>
      </c>
      <c r="F17" s="13" t="s">
        <v>90</v>
      </c>
      <c r="G17" s="15" t="s">
        <v>91</v>
      </c>
      <c r="H17" s="13" t="s">
        <v>92</v>
      </c>
      <c r="I17" s="15" t="s">
        <v>93</v>
      </c>
      <c r="J17" s="15" t="s">
        <v>94</v>
      </c>
      <c r="K17" s="15" t="s">
        <v>95</v>
      </c>
      <c r="L17" s="13" t="s">
        <v>96</v>
      </c>
      <c r="M17" s="15" t="s">
        <v>97</v>
      </c>
      <c r="N17" s="13" t="s">
        <v>98</v>
      </c>
      <c r="O17" s="15" t="s">
        <v>99</v>
      </c>
      <c r="P17" s="15" t="s">
        <v>100</v>
      </c>
      <c r="Q17" s="15" t="s">
        <v>210</v>
      </c>
      <c r="R17" s="13" t="s">
        <v>211</v>
      </c>
      <c r="S17" s="13" t="s">
        <v>212</v>
      </c>
      <c r="T17" s="13" t="s">
        <v>104</v>
      </c>
      <c r="U17" s="14">
        <v>43831</v>
      </c>
      <c r="V17" s="14"/>
      <c r="W17" s="15" t="s">
        <v>216</v>
      </c>
      <c r="X17" s="13" t="s">
        <v>106</v>
      </c>
      <c r="Y17" s="15" t="str">
        <f>VLOOKUP(X17,'Axe 2 Règles de gestion'!$D$2:$F$121,3, FALSE)</f>
        <v>L'agent doit détenir le titre ou le diplôme requis pour l'exercice des fonctions du corps d'accueil.</v>
      </c>
      <c r="Z17" s="13" t="s">
        <v>108</v>
      </c>
      <c r="AA17" s="15" t="str">
        <f>VLOOKUP(Z17,'Axe 2 Règles de gestion'!$D$2:$F$121,3, FALSE)</f>
        <v>L'agent doit formuler une demande.</v>
      </c>
      <c r="AB17" s="13" t="s">
        <v>112</v>
      </c>
      <c r="AC17" s="15" t="str">
        <f>VLOOKUP(AB17,'Axe 2 Règles de gestion'!$D$2:$F$121,3, FALSE)</f>
        <v>L'accord de l'administration d'origine est nécessaire.</v>
      </c>
      <c r="AD17" s="13"/>
      <c r="AE17" s="15"/>
      <c r="AF17" s="13"/>
      <c r="AG17" s="15"/>
      <c r="AH17" s="13"/>
      <c r="AI17" s="15"/>
      <c r="AJ17" s="13"/>
      <c r="AK17" s="15"/>
      <c r="AL17" s="13"/>
      <c r="AM17" s="15"/>
      <c r="AN17" s="13"/>
      <c r="AO17" s="15"/>
      <c r="AP17" s="13" t="s">
        <v>214</v>
      </c>
      <c r="AQ17" s="15" t="str">
        <f>VLOOKUP(AP17,'Axe 2 Règles de gestion'!$D$2:$F$121,3, FALSE)</f>
        <v>Le détachement de courte durée est interdit.</v>
      </c>
      <c r="AR17" s="13" t="s">
        <v>122</v>
      </c>
      <c r="AS17" s="15" t="str">
        <f>VLOOKUP(AR17,'Axe 2 Règles de gestion'!$D$2:$F$121,3, FALSE)</f>
        <v>Un détachement de longue durée ne peut excéder 5 ans entre la date de début et la date de fin prévisionnelle.</v>
      </c>
      <c r="AT17" s="13" t="s">
        <v>124</v>
      </c>
      <c r="AU17" s="15" t="str">
        <f>VLOOKUP(AT17,'Axe 2 Règles de gestion'!$D$2:$F$121,3, FALSE)</f>
        <v>Un détachement de longue durée ne peut excéder 5 ans entre la date de début et la date de fin réelle.</v>
      </c>
      <c r="AV17" s="13"/>
      <c r="AW17" s="15"/>
      <c r="AX17" s="13"/>
      <c r="AY17" s="15"/>
      <c r="AZ17" s="13"/>
      <c r="BA17" s="15"/>
      <c r="BB17" s="13" t="s">
        <v>126</v>
      </c>
      <c r="BC17" s="15" t="str">
        <f>VLOOKUP(BB17,'Axe 2 Règles de gestion'!$D$2:$F$121,3, FALSE)</f>
        <v>La date de début de position doit être antérieure ou égale à la date de fin prévisionnelle de position.</v>
      </c>
      <c r="BD17" s="13" t="s">
        <v>128</v>
      </c>
      <c r="BE17" s="15" t="str">
        <f>VLOOKUP(BD17,'Axe 2 Règles de gestion'!$D$2:$F$121,3, FALSE)</f>
        <v>La date de début de la position doit être postérieure ou égale à la date d'entrée dans la FPE ou dans la carrière militaire.</v>
      </c>
      <c r="BF17" s="13" t="s">
        <v>130</v>
      </c>
      <c r="BG17" s="15" t="str">
        <f>VLOOKUP(BF17,'Axe 2 Règles de gestion'!$D$2:$F$121,3, FALSE)</f>
        <v>La date de fin réelle de la position doit être antérieure à la date limite de départ à la retraite.</v>
      </c>
      <c r="BH17" s="13" t="s">
        <v>132</v>
      </c>
      <c r="BI17" s="15" t="str">
        <f>VLOOKUP(BH17,'Axe 2 Règles de gestion'!$D$2:$F$121,3, FALSE)</f>
        <v>La date de début de position doit être antérieure ou égale à la date de fin réelle de position.</v>
      </c>
      <c r="BJ17" s="13" t="s">
        <v>134</v>
      </c>
      <c r="BK17" s="15" t="str">
        <f>VLOOKUP(BJ17,'Axe 2 Règles de gestion'!$D$2:$F$121,3, FALSE)</f>
        <v>La date de fin prévisionnelle de la position doit être antérieure à la date limite de départ à la retraite.</v>
      </c>
      <c r="BL17" s="13" t="s">
        <v>136</v>
      </c>
      <c r="BM17" s="15" t="str">
        <f>VLOOKUP(BL17,'Axe 2 Règles de gestion'!$D$2:$F$121,3, FALSE)</f>
        <v>L'indicateur de carrière est sur la valeur "Accueil".</v>
      </c>
      <c r="BN17" s="13" t="s">
        <v>138</v>
      </c>
      <c r="BO17" s="15" t="str">
        <f>VLOOKUP(BN17,'Axe 2 Règles de gestion'!$D$2:$F$121,3, FALSE)</f>
        <v>La date de début de position est à J+1 de la date de fin de position de l'occurrence précédente.</v>
      </c>
      <c r="BP17" s="13" t="s">
        <v>140</v>
      </c>
      <c r="BQ17" s="15" t="str">
        <f>VLOOKUP(BP17,'Axe 2 Règles de gestion'!$D$2:$F$121,3, FALSE)</f>
        <v>Les champs "Type d'organisme d'origine", "Catégorie statutaire d'origine" et "Pays" de l'organisme d'origine doivent être renseignés.</v>
      </c>
      <c r="BR17" s="13" t="s">
        <v>142</v>
      </c>
      <c r="BS17" s="15" t="str">
        <f>VLOOKUP(BR17,'Axe 2 Règles de gestion'!$D$2:$F$121,3, FALSE)</f>
        <v>Les champs "Ministère (ou institution de la République) d'origine", "Corps d'origine", "Grade d'origine", "Echelon d'origine" sont renseignés si le "Type d'organisme d'origine" est valorisé à FPE.</v>
      </c>
      <c r="BT17" s="13" t="s">
        <v>144</v>
      </c>
      <c r="BU17" s="15" t="str">
        <f>VLOOKUP(BT17,'Axe 2 Règles de gestion'!$D$2:$F$121,3, FALSE)</f>
        <v>Le champ "Organisme d'origine" doit être alimenté si le type d'organisme d'origine est égal à 'Autre organisme', 'Fonction publique d'un état de l'Union Européenne' ou 'Fonction publique Européenne'.</v>
      </c>
      <c r="BV17" s="13" t="s">
        <v>146</v>
      </c>
      <c r="BW17" s="15" t="str">
        <f>VLOOKUP(BV17,'Axe 2 Règles de gestion'!$D$2:$F$121,3, FALSE)</f>
        <v>Le champ "Code emploi statutaire FPT (NET)" est renseigné si le "Type d'organisme d'origine" est valorisé à FPT.</v>
      </c>
      <c r="BX17" s="13" t="s">
        <v>148</v>
      </c>
      <c r="BY17" s="15" t="str">
        <f>VLOOKUP(BX17,'Axe 2 Règles de gestion'!$D$2:$F$121,3, FALSE)</f>
        <v>Le champ "Code emploi statutaire FPH (NEH)" est renseigné si le "Type d'organisme d'origine" est valorisé à FPH.</v>
      </c>
      <c r="BZ17" s="13" t="s">
        <v>150</v>
      </c>
      <c r="CA17" s="15" t="str">
        <f>VLOOKUP(BZ17,'Axe 2 Règles de gestion'!$D$2:$F$121,3, FALSE)</f>
        <v>La date de fin ou la date de fin prévisionnelle doit être saisie.</v>
      </c>
      <c r="CB17" s="13"/>
      <c r="CC17" s="15"/>
      <c r="CD17" s="13"/>
      <c r="CE17" s="15"/>
      <c r="CF17" s="13"/>
      <c r="CG17" s="13"/>
    </row>
    <row r="18" spans="1:85" ht="135" x14ac:dyDescent="0.25">
      <c r="A18" s="13" t="s">
        <v>86</v>
      </c>
      <c r="B18" s="13" t="s">
        <v>87</v>
      </c>
      <c r="C18" s="14">
        <v>43850.552083333336</v>
      </c>
      <c r="D18" s="13" t="s">
        <v>88</v>
      </c>
      <c r="E18" s="15" t="s">
        <v>89</v>
      </c>
      <c r="F18" s="13" t="s">
        <v>90</v>
      </c>
      <c r="G18" s="15" t="s">
        <v>91</v>
      </c>
      <c r="H18" s="13" t="s">
        <v>92</v>
      </c>
      <c r="I18" s="15" t="s">
        <v>93</v>
      </c>
      <c r="J18" s="15" t="s">
        <v>94</v>
      </c>
      <c r="K18" s="15" t="s">
        <v>95</v>
      </c>
      <c r="L18" s="13" t="s">
        <v>168</v>
      </c>
      <c r="M18" s="15" t="s">
        <v>169</v>
      </c>
      <c r="N18" s="13" t="s">
        <v>98</v>
      </c>
      <c r="O18" s="15" t="s">
        <v>170</v>
      </c>
      <c r="P18" s="15" t="s">
        <v>171</v>
      </c>
      <c r="Q18" s="15" t="s">
        <v>210</v>
      </c>
      <c r="R18" s="13" t="s">
        <v>211</v>
      </c>
      <c r="S18" s="13" t="s">
        <v>212</v>
      </c>
      <c r="T18" s="13" t="s">
        <v>104</v>
      </c>
      <c r="U18" s="14">
        <v>40725</v>
      </c>
      <c r="V18" s="14"/>
      <c r="W18" s="15" t="s">
        <v>217</v>
      </c>
      <c r="X18" s="13" t="s">
        <v>173</v>
      </c>
      <c r="Y18" s="15" t="str">
        <f>VLOOKUP(X18,'Axe 2 Règles de gestion'!$D$2:$F$121,3, FALSE)</f>
        <v>L'agent doit formuler une demande de renouvellement à son administration d'origine 3 mois au moins avant l'expiration de la période de détachement de longue durée.</v>
      </c>
      <c r="Z18" s="13" t="s">
        <v>175</v>
      </c>
      <c r="AA18" s="15" t="str">
        <f>VLOOKUP(Z18,'Axe 2 Règles de gestion'!$D$2:$F$121,3, FALSE)</f>
        <v>L'organisme d'accueil adresse sa décision à l'agent et à l'administration d'origine 2 mois au moins avant l'expiration de la période de détachement.</v>
      </c>
      <c r="AB18" s="13"/>
      <c r="AC18" s="15"/>
      <c r="AD18" s="13"/>
      <c r="AE18" s="15"/>
      <c r="AF18" s="13"/>
      <c r="AG18" s="15"/>
      <c r="AH18" s="13"/>
      <c r="AI18" s="15"/>
      <c r="AJ18" s="13"/>
      <c r="AK18" s="15"/>
      <c r="AL18" s="13"/>
      <c r="AM18" s="15"/>
      <c r="AN18" s="13"/>
      <c r="AO18" s="15"/>
      <c r="AP18" s="13" t="s">
        <v>122</v>
      </c>
      <c r="AQ18" s="15" t="str">
        <f>VLOOKUP(AP18,'Axe 2 Règles de gestion'!$D$2:$F$121,3, FALSE)</f>
        <v>Un détachement de longue durée ne peut excéder 5 ans entre la date de début et la date de fin prévisionnelle.</v>
      </c>
      <c r="AR18" s="13" t="s">
        <v>124</v>
      </c>
      <c r="AS18" s="15" t="str">
        <f>VLOOKUP(AR18,'Axe 2 Règles de gestion'!$D$2:$F$121,3, FALSE)</f>
        <v>Un détachement de longue durée ne peut excéder 5 ans entre la date de début et la date de fin réelle.</v>
      </c>
      <c r="AT18" s="13"/>
      <c r="AU18" s="15"/>
      <c r="AV18" s="13"/>
      <c r="AW18" s="15"/>
      <c r="AX18" s="13"/>
      <c r="AY18" s="15"/>
      <c r="AZ18" s="13"/>
      <c r="BA18" s="15"/>
      <c r="BB18" s="13" t="s">
        <v>126</v>
      </c>
      <c r="BC18" s="15" t="str">
        <f>VLOOKUP(BB18,'Axe 2 Règles de gestion'!$D$2:$F$121,3, FALSE)</f>
        <v>La date de début de position doit être antérieure ou égale à la date de fin prévisionnelle de position.</v>
      </c>
      <c r="BD18" s="13" t="s">
        <v>128</v>
      </c>
      <c r="BE18" s="15" t="str">
        <f>VLOOKUP(BD18,'Axe 2 Règles de gestion'!$D$2:$F$121,3, FALSE)</f>
        <v>La date de début de la position doit être postérieure ou égale à la date d'entrée dans la FPE ou dans la carrière militaire.</v>
      </c>
      <c r="BF18" s="13" t="s">
        <v>130</v>
      </c>
      <c r="BG18" s="15" t="str">
        <f>VLOOKUP(BF18,'Axe 2 Règles de gestion'!$D$2:$F$121,3, FALSE)</f>
        <v>La date de fin réelle de la position doit être antérieure à la date limite de départ à la retraite.</v>
      </c>
      <c r="BH18" s="13" t="s">
        <v>132</v>
      </c>
      <c r="BI18" s="15" t="str">
        <f>VLOOKUP(BH18,'Axe 2 Règles de gestion'!$D$2:$F$121,3, FALSE)</f>
        <v>La date de début de position doit être antérieure ou égale à la date de fin réelle de position.</v>
      </c>
      <c r="BJ18" s="13" t="s">
        <v>134</v>
      </c>
      <c r="BK18" s="15" t="str">
        <f>VLOOKUP(BJ18,'Axe 2 Règles de gestion'!$D$2:$F$121,3, FALSE)</f>
        <v>La date de fin prévisionnelle de la position doit être antérieure à la date limite de départ à la retraite.</v>
      </c>
      <c r="BL18" s="13" t="s">
        <v>136</v>
      </c>
      <c r="BM18" s="15" t="str">
        <f>VLOOKUP(BL18,'Axe 2 Règles de gestion'!$D$2:$F$121,3, FALSE)</f>
        <v>L'indicateur de carrière est sur la valeur "Accueil".</v>
      </c>
      <c r="BN18" s="13" t="s">
        <v>138</v>
      </c>
      <c r="BO18" s="15" t="str">
        <f>VLOOKUP(BN18,'Axe 2 Règles de gestion'!$D$2:$F$121,3, FALSE)</f>
        <v>La date de début de position est à J+1 de la date de fin de position de l'occurrence précédente.</v>
      </c>
      <c r="BP18" s="13" t="s">
        <v>140</v>
      </c>
      <c r="BQ18" s="15" t="str">
        <f>VLOOKUP(BP18,'Axe 2 Règles de gestion'!$D$2:$F$121,3, FALSE)</f>
        <v>Les champs "Type d'organisme d'origine", "Catégorie statutaire d'origine" et "Pays" de l'organisme d'origine doivent être renseignés.</v>
      </c>
      <c r="BR18" s="13" t="s">
        <v>142</v>
      </c>
      <c r="BS18" s="15" t="str">
        <f>VLOOKUP(BR18,'Axe 2 Règles de gestion'!$D$2:$F$121,3, FALSE)</f>
        <v>Les champs "Ministère (ou institution de la République) d'origine", "Corps d'origine", "Grade d'origine", "Echelon d'origine" sont renseignés si le "Type d'organisme d'origine" est valorisé à FPE.</v>
      </c>
      <c r="BT18" s="13" t="s">
        <v>144</v>
      </c>
      <c r="BU18" s="15" t="str">
        <f>VLOOKUP(BT18,'Axe 2 Règles de gestion'!$D$2:$F$121,3, FALSE)</f>
        <v>Le champ "Organisme d'origine" doit être alimenté si le type d'organisme d'origine est égal à 'Autre organisme', 'Fonction publique d'un état de l'Union Européenne' ou 'Fonction publique Européenne'.</v>
      </c>
      <c r="BV18" s="13" t="s">
        <v>146</v>
      </c>
      <c r="BW18" s="15" t="str">
        <f>VLOOKUP(BV18,'Axe 2 Règles de gestion'!$D$2:$F$121,3, FALSE)</f>
        <v>Le champ "Code emploi statutaire FPT (NET)" est renseigné si le "Type d'organisme d'origine" est valorisé à FPT.</v>
      </c>
      <c r="BX18" s="13" t="s">
        <v>148</v>
      </c>
      <c r="BY18" s="15" t="str">
        <f>VLOOKUP(BX18,'Axe 2 Règles de gestion'!$D$2:$F$121,3, FALSE)</f>
        <v>Le champ "Code emploi statutaire FPH (NEH)" est renseigné si le "Type d'organisme d'origine" est valorisé à FPH.</v>
      </c>
      <c r="BZ18" s="13" t="s">
        <v>150</v>
      </c>
      <c r="CA18" s="15" t="str">
        <f>VLOOKUP(BZ18,'Axe 2 Règles de gestion'!$D$2:$F$121,3, FALSE)</f>
        <v>La date de fin ou la date de fin prévisionnelle doit être saisie.</v>
      </c>
      <c r="CB18" s="13"/>
      <c r="CC18" s="15"/>
      <c r="CD18" s="13"/>
      <c r="CE18" s="15"/>
      <c r="CF18" s="13"/>
      <c r="CG18" s="13"/>
    </row>
    <row r="19" spans="1:85" ht="150" x14ac:dyDescent="0.25">
      <c r="A19" s="13" t="s">
        <v>86</v>
      </c>
      <c r="B19" s="13" t="s">
        <v>87</v>
      </c>
      <c r="C19" s="14">
        <v>43850.552083333336</v>
      </c>
      <c r="D19" s="13" t="s">
        <v>88</v>
      </c>
      <c r="E19" s="15" t="s">
        <v>89</v>
      </c>
      <c r="F19" s="13" t="s">
        <v>90</v>
      </c>
      <c r="G19" s="15" t="s">
        <v>91</v>
      </c>
      <c r="H19" s="13" t="s">
        <v>92</v>
      </c>
      <c r="I19" s="15" t="s">
        <v>93</v>
      </c>
      <c r="J19" s="15" t="s">
        <v>94</v>
      </c>
      <c r="K19" s="15" t="s">
        <v>95</v>
      </c>
      <c r="L19" s="13" t="s">
        <v>186</v>
      </c>
      <c r="M19" s="15" t="s">
        <v>187</v>
      </c>
      <c r="N19" s="13" t="s">
        <v>188</v>
      </c>
      <c r="O19" s="15" t="s">
        <v>189</v>
      </c>
      <c r="P19" s="15" t="s">
        <v>190</v>
      </c>
      <c r="Q19" s="15" t="s">
        <v>210</v>
      </c>
      <c r="R19" s="13" t="s">
        <v>211</v>
      </c>
      <c r="S19" s="13" t="s">
        <v>212</v>
      </c>
      <c r="T19" s="13" t="s">
        <v>104</v>
      </c>
      <c r="U19" s="14">
        <v>40725</v>
      </c>
      <c r="V19" s="14"/>
      <c r="W19" s="15" t="s">
        <v>218</v>
      </c>
      <c r="X19" s="13" t="s">
        <v>192</v>
      </c>
      <c r="Y19" s="15" t="str">
        <f>VLOOKUP(X19,'Axe 2 Règles de gestion'!$D$2:$F$121,3, FALSE)</f>
        <v>Le détachement peut prendre fin de manière anticipée à l'initiative de l'administration d'accueil, de l'administration d'origine ou de l'agent.</v>
      </c>
      <c r="Z19" s="13" t="s">
        <v>194</v>
      </c>
      <c r="AA19" s="15" t="str">
        <f>VLOOKUP(Z19,'Axe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19" s="13" t="s">
        <v>196</v>
      </c>
      <c r="AC19" s="15" t="str">
        <f>VLOOKUP(AB19,'Axe 2 Règles de gestion'!$D$2:$F$121,3, FALSE)</f>
        <v>L'agent doit adresser une demande de réintégration à l'administration d'origine 3 mois au moins avant l'expiration de la période de détachement de longue durée.</v>
      </c>
      <c r="AD19" s="13" t="s">
        <v>175</v>
      </c>
      <c r="AE19" s="15" t="str">
        <f>VLOOKUP(AD19,'Axe 2 Règles de gestion'!$D$2:$F$121,3, FALSE)</f>
        <v>L'organisme d'accueil adresse sa décision à l'agent et à l'administration d'origine 2 mois au moins avant l'expiration de la période de détachement.</v>
      </c>
      <c r="AF19" s="13" t="s">
        <v>198</v>
      </c>
      <c r="AG19" s="15" t="str">
        <f>VLOOKUP(AF19,'Axe 2 Règles de gestion'!$D$2:$F$121,3, FALSE)</f>
        <v>Si l'agent n'adresse pas sa demande dans les délais, il est obligatoirement réintégré à la première vacance dans son corps d'origine et affecté à un emploi correspondant à son grade.</v>
      </c>
      <c r="AH19" s="13" t="s">
        <v>200</v>
      </c>
      <c r="AI19" s="15" t="str">
        <f>VLOOKUP(AH19,'Axe 2 Règles de gestion'!$D$2:$F$121,3, FALSE)</f>
        <v>Les dispositions relatives à la réintégration au terme d'un détachement de longue durée ne sont pas applicables aux préfets et sous-préfets.</v>
      </c>
      <c r="AJ19" s="13"/>
      <c r="AK19" s="15"/>
      <c r="AL19" s="13"/>
      <c r="AM19" s="15"/>
      <c r="AN19" s="13"/>
      <c r="AO19" s="15"/>
      <c r="AP19" s="13" t="s">
        <v>214</v>
      </c>
      <c r="AQ19" s="15" t="str">
        <f>VLOOKUP(AP19,'Axe 2 Règles de gestion'!$D$2:$F$121,3, FALSE)</f>
        <v>Le détachement de courte durée est interdit.</v>
      </c>
      <c r="AR19" s="13" t="s">
        <v>122</v>
      </c>
      <c r="AS19" s="15" t="str">
        <f>VLOOKUP(AR19,'Axe 2 Règles de gestion'!$D$2:$F$121,3, FALSE)</f>
        <v>Un détachement de longue durée ne peut excéder 5 ans entre la date de début et la date de fin prévisionnelle.</v>
      </c>
      <c r="AT19" s="13" t="s">
        <v>124</v>
      </c>
      <c r="AU19" s="15" t="str">
        <f>VLOOKUP(AT19,'Axe 2 Règles de gestion'!$D$2:$F$121,3, FALSE)</f>
        <v>Un détachement de longue durée ne peut excéder 5 ans entre la date de début et la date de fin réelle.</v>
      </c>
      <c r="AV19" s="13"/>
      <c r="AW19" s="15"/>
      <c r="AX19" s="13"/>
      <c r="AY19" s="15"/>
      <c r="AZ19" s="13"/>
      <c r="BA19" s="15"/>
      <c r="BB19" s="13" t="s">
        <v>126</v>
      </c>
      <c r="BC19" s="15" t="str">
        <f>VLOOKUP(BB19,'Axe 2 Règles de gestion'!$D$2:$F$121,3, FALSE)</f>
        <v>La date de début de position doit être antérieure ou égale à la date de fin prévisionnelle de position.</v>
      </c>
      <c r="BD19" s="13" t="s">
        <v>130</v>
      </c>
      <c r="BE19" s="15" t="str">
        <f>VLOOKUP(BD19,'Axe 2 Règles de gestion'!$D$2:$F$121,3, FALSE)</f>
        <v>La date de fin réelle de la position doit être antérieure à la date limite de départ à la retraite.</v>
      </c>
      <c r="BF19" s="13" t="s">
        <v>132</v>
      </c>
      <c r="BG19" s="15" t="str">
        <f>VLOOKUP(BF19,'Axe 2 Règles de gestion'!$D$2:$F$121,3, FALSE)</f>
        <v>La date de début de position doit être antérieure ou égale à la date de fin réelle de position.</v>
      </c>
      <c r="BH19" s="13" t="s">
        <v>134</v>
      </c>
      <c r="BI19" s="15" t="str">
        <f>VLOOKUP(BH19,'Axe 2 Règles de gestion'!$D$2:$F$121,3, FALSE)</f>
        <v>La date de fin prévisionnelle de la position doit être antérieure à la date limite de départ à la retraite.</v>
      </c>
      <c r="BJ19" s="13" t="s">
        <v>140</v>
      </c>
      <c r="BK19" s="15" t="str">
        <f>VLOOKUP(BJ19,'Axe 2 Règles de gestion'!$D$2:$F$121,3, FALSE)</f>
        <v>Les champs "Type d'organisme d'origine", "Catégorie statutaire d'origine" et "Pays" de l'organisme d'origine doivent être renseignés.</v>
      </c>
      <c r="BL19" s="13" t="s">
        <v>142</v>
      </c>
      <c r="BM19" s="15" t="str">
        <f>VLOOKUP(BL19,'Axe 2 Règles de gestion'!$D$2:$F$121,3, FALSE)</f>
        <v>Les champs "Ministère (ou institution de la République) d'origine", "Corps d'origine", "Grade d'origine", "Echelon d'origine" sont renseignés si le "Type d'organisme d'origine" est valorisé à FPE.</v>
      </c>
      <c r="BN19" s="13" t="s">
        <v>144</v>
      </c>
      <c r="BO19" s="15" t="str">
        <f>VLOOKUP(BN19,'Axe 2 Règles de gestion'!$D$2:$F$121,3, FALSE)</f>
        <v>Le champ "Organisme d'origine" doit être alimenté si le type d'organisme d'origine est égal à 'Autre organisme', 'Fonction publique d'un état de l'Union Européenne' ou 'Fonction publique Européenne'.</v>
      </c>
      <c r="BP19" s="13" t="s">
        <v>146</v>
      </c>
      <c r="BQ19" s="15" t="str">
        <f>VLOOKUP(BP19,'Axe 2 Règles de gestion'!$D$2:$F$121,3, FALSE)</f>
        <v>Le champ "Code emploi statutaire FPT (NET)" est renseigné si le "Type d'organisme d'origine" est valorisé à FPT.</v>
      </c>
      <c r="BR19" s="13" t="s">
        <v>148</v>
      </c>
      <c r="BS19" s="15" t="str">
        <f>VLOOKUP(BR19,'Axe 2 Règles de gestion'!$D$2:$F$121,3, FALSE)</f>
        <v>Le champ "Code emploi statutaire FPH (NEH)" est renseigné si le "Type d'organisme d'origine" est valorisé à FPH.</v>
      </c>
      <c r="BT19" s="13" t="s">
        <v>150</v>
      </c>
      <c r="BU19" s="15" t="str">
        <f>VLOOKUP(BT19,'Axe 2 Règles de gestion'!$D$2:$F$121,3, FALSE)</f>
        <v>La date de fin ou la date de fin prévisionnelle doit être saisie.</v>
      </c>
      <c r="BV19" s="13"/>
      <c r="BW19" s="15"/>
      <c r="BX19" s="13"/>
      <c r="BY19" s="15"/>
      <c r="BZ19" s="13"/>
      <c r="CA19" s="15"/>
      <c r="CB19" s="13"/>
      <c r="CC19" s="15"/>
      <c r="CD19" s="13"/>
      <c r="CE19" s="15"/>
      <c r="CF19" s="13"/>
      <c r="CG19" s="13"/>
    </row>
    <row r="20" spans="1:85" ht="135" x14ac:dyDescent="0.25">
      <c r="A20" s="13" t="s">
        <v>86</v>
      </c>
      <c r="B20" s="13" t="s">
        <v>87</v>
      </c>
      <c r="C20" s="14">
        <v>43850.552083333336</v>
      </c>
      <c r="D20" s="13" t="s">
        <v>88</v>
      </c>
      <c r="E20" s="15" t="s">
        <v>89</v>
      </c>
      <c r="F20" s="13" t="s">
        <v>90</v>
      </c>
      <c r="G20" s="15" t="s">
        <v>91</v>
      </c>
      <c r="H20" s="13" t="s">
        <v>92</v>
      </c>
      <c r="I20" s="15" t="s">
        <v>93</v>
      </c>
      <c r="J20" s="15" t="s">
        <v>94</v>
      </c>
      <c r="K20" s="15" t="s">
        <v>95</v>
      </c>
      <c r="L20" s="13" t="s">
        <v>96</v>
      </c>
      <c r="M20" s="15" t="s">
        <v>97</v>
      </c>
      <c r="N20" s="13" t="s">
        <v>98</v>
      </c>
      <c r="O20" s="15" t="s">
        <v>99</v>
      </c>
      <c r="P20" s="15" t="s">
        <v>100</v>
      </c>
      <c r="Q20" s="15" t="s">
        <v>219</v>
      </c>
      <c r="R20" s="13" t="s">
        <v>220</v>
      </c>
      <c r="S20" s="13" t="s">
        <v>212</v>
      </c>
      <c r="T20" s="13" t="s">
        <v>104</v>
      </c>
      <c r="U20" s="14">
        <v>40725</v>
      </c>
      <c r="V20" s="14">
        <v>43830</v>
      </c>
      <c r="W20" s="15" t="s">
        <v>221</v>
      </c>
      <c r="X20" s="13" t="s">
        <v>106</v>
      </c>
      <c r="Y20" s="15" t="str">
        <f>VLOOKUP(X20,'Axe 2 Règles de gestion'!$D$2:$F$121,3, FALSE)</f>
        <v>L'agent doit détenir le titre ou le diplôme requis pour l'exercice des fonctions du corps d'accueil.</v>
      </c>
      <c r="Z20" s="13" t="s">
        <v>108</v>
      </c>
      <c r="AA20" s="15" t="str">
        <f>VLOOKUP(Z20,'Axe 2 Règles de gestion'!$D$2:$F$121,3, FALSE)</f>
        <v>L'agent doit formuler une demande.</v>
      </c>
      <c r="AB20" s="13" t="s">
        <v>110</v>
      </c>
      <c r="AC20" s="15" t="str">
        <f>VLOOKUP(AB20,'Axe 2 Règles de gestion'!$D$2:$F$121,3, FALSE)</f>
        <v>Le détachement est accordé après avis des commissions administratives paritaires compétentes.</v>
      </c>
      <c r="AD20" s="13" t="s">
        <v>112</v>
      </c>
      <c r="AE20" s="15" t="str">
        <f>VLOOKUP(AD20,'Axe 2 Règles de gestion'!$D$2:$F$121,3, FALSE)</f>
        <v>L'accord de l'administration d'origine est nécessaire.</v>
      </c>
      <c r="AF20" s="13"/>
      <c r="AG20" s="15"/>
      <c r="AH20" s="13"/>
      <c r="AI20" s="15"/>
      <c r="AJ20" s="13"/>
      <c r="AK20" s="15"/>
      <c r="AL20" s="13"/>
      <c r="AM20" s="15"/>
      <c r="AN20" s="13"/>
      <c r="AO20" s="15"/>
      <c r="AP20" s="13" t="s">
        <v>222</v>
      </c>
      <c r="AQ20" s="15" t="str">
        <f>VLOOKUP(AP20,'Axe 2 Règles de gestion'!$D$2:$F$121,3, FALSE)</f>
        <v>La durée de détachement ne peut pas excéder 6 ans entre la date de début et la date de fin prévisionnelle.</v>
      </c>
      <c r="AR20" s="13" t="s">
        <v>224</v>
      </c>
      <c r="AS20" s="15" t="str">
        <f>VLOOKUP(AR20,'Axe 2 Règles de gestion'!$D$2:$F$121,3, FALSE)</f>
        <v>La durée de détachement ne peut pas excéder 6 ans entre la date de début et la date de fin réelle.</v>
      </c>
      <c r="AT20" s="13" t="s">
        <v>214</v>
      </c>
      <c r="AU20" s="15" t="str">
        <f>VLOOKUP(AT20,'Axe 2 Règles de gestion'!$D$2:$F$121,3, FALSE)</f>
        <v>Le détachement de courte durée est interdit.</v>
      </c>
      <c r="AV20" s="13"/>
      <c r="AW20" s="15"/>
      <c r="AX20" s="13"/>
      <c r="AY20" s="15"/>
      <c r="AZ20" s="13"/>
      <c r="BA20" s="15"/>
      <c r="BB20" s="13" t="s">
        <v>126</v>
      </c>
      <c r="BC20" s="15" t="str">
        <f>VLOOKUP(BB20,'Axe 2 Règles de gestion'!$D$2:$F$121,3, FALSE)</f>
        <v>La date de début de position doit être antérieure ou égale à la date de fin prévisionnelle de position.</v>
      </c>
      <c r="BD20" s="13" t="s">
        <v>128</v>
      </c>
      <c r="BE20" s="15" t="str">
        <f>VLOOKUP(BD20,'Axe 2 Règles de gestion'!$D$2:$F$121,3, FALSE)</f>
        <v>La date de début de la position doit être postérieure ou égale à la date d'entrée dans la FPE ou dans la carrière militaire.</v>
      </c>
      <c r="BF20" s="13" t="s">
        <v>130</v>
      </c>
      <c r="BG20" s="15" t="str">
        <f>VLOOKUP(BF20,'Axe 2 Règles de gestion'!$D$2:$F$121,3, FALSE)</f>
        <v>La date de fin réelle de la position doit être antérieure à la date limite de départ à la retraite.</v>
      </c>
      <c r="BH20" s="13" t="s">
        <v>132</v>
      </c>
      <c r="BI20" s="15" t="str">
        <f>VLOOKUP(BH20,'Axe 2 Règles de gestion'!$D$2:$F$121,3, FALSE)</f>
        <v>La date de début de position doit être antérieure ou égale à la date de fin réelle de position.</v>
      </c>
      <c r="BJ20" s="13" t="s">
        <v>134</v>
      </c>
      <c r="BK20" s="15" t="str">
        <f>VLOOKUP(BJ20,'Axe 2 Règles de gestion'!$D$2:$F$121,3, FALSE)</f>
        <v>La date de fin prévisionnelle de la position doit être antérieure à la date limite de départ à la retraite.</v>
      </c>
      <c r="BL20" s="13" t="s">
        <v>136</v>
      </c>
      <c r="BM20" s="15" t="str">
        <f>VLOOKUP(BL20,'Axe 2 Règles de gestion'!$D$2:$F$121,3, FALSE)</f>
        <v>L'indicateur de carrière est sur la valeur "Accueil".</v>
      </c>
      <c r="BN20" s="13" t="s">
        <v>138</v>
      </c>
      <c r="BO20" s="15" t="str">
        <f>VLOOKUP(BN20,'Axe 2 Règles de gestion'!$D$2:$F$121,3, FALSE)</f>
        <v>La date de début de position est à J+1 de la date de fin de position de l'occurrence précédente.</v>
      </c>
      <c r="BP20" s="13" t="s">
        <v>140</v>
      </c>
      <c r="BQ20" s="15" t="str">
        <f>VLOOKUP(BP20,'Axe 2 Règles de gestion'!$D$2:$F$121,3, FALSE)</f>
        <v>Les champs "Type d'organisme d'origine", "Catégorie statutaire d'origine" et "Pays" de l'organisme d'origine doivent être renseignés.</v>
      </c>
      <c r="BR20" s="13" t="s">
        <v>142</v>
      </c>
      <c r="BS20" s="15" t="str">
        <f>VLOOKUP(BR20,'Axe 2 Règles de gestion'!$D$2:$F$121,3, FALSE)</f>
        <v>Les champs "Ministère (ou institution de la République) d'origine", "Corps d'origine", "Grade d'origine", "Echelon d'origine" sont renseignés si le "Type d'organisme d'origine" est valorisé à FPE.</v>
      </c>
      <c r="BT20" s="13" t="s">
        <v>144</v>
      </c>
      <c r="BU20" s="15" t="str">
        <f>VLOOKUP(BT20,'Axe 2 Règles de gestion'!$D$2:$F$121,3, FALSE)</f>
        <v>Le champ "Organisme d'origine" doit être alimenté si le type d'organisme d'origine est égal à 'Autre organisme', 'Fonction publique d'un état de l'Union Européenne' ou 'Fonction publique Européenne'.</v>
      </c>
      <c r="BV20" s="13" t="s">
        <v>146</v>
      </c>
      <c r="BW20" s="15" t="str">
        <f>VLOOKUP(BV20,'Axe 2 Règles de gestion'!$D$2:$F$121,3, FALSE)</f>
        <v>Le champ "Code emploi statutaire FPT (NET)" est renseigné si le "Type d'organisme d'origine" est valorisé à FPT.</v>
      </c>
      <c r="BX20" s="13" t="s">
        <v>148</v>
      </c>
      <c r="BY20" s="15" t="str">
        <f>VLOOKUP(BX20,'Axe 2 Règles de gestion'!$D$2:$F$121,3, FALSE)</f>
        <v>Le champ "Code emploi statutaire FPH (NEH)" est renseigné si le "Type d'organisme d'origine" est valorisé à FPH.</v>
      </c>
      <c r="BZ20" s="13" t="s">
        <v>150</v>
      </c>
      <c r="CA20" s="15" t="str">
        <f>VLOOKUP(BZ20,'Axe 2 Règles de gestion'!$D$2:$F$121,3, FALSE)</f>
        <v>La date de fin ou la date de fin prévisionnelle doit être saisie.</v>
      </c>
      <c r="CB20" s="13"/>
      <c r="CC20" s="15"/>
      <c r="CD20" s="13"/>
      <c r="CE20" s="15"/>
      <c r="CF20" s="13"/>
      <c r="CG20" s="13"/>
    </row>
    <row r="21" spans="1:85" ht="135" x14ac:dyDescent="0.25">
      <c r="A21" s="13" t="s">
        <v>86</v>
      </c>
      <c r="B21" s="13" t="s">
        <v>153</v>
      </c>
      <c r="C21" s="14">
        <v>44012.455555555556</v>
      </c>
      <c r="D21" s="13" t="s">
        <v>88</v>
      </c>
      <c r="E21" s="15" t="s">
        <v>89</v>
      </c>
      <c r="F21" s="13" t="s">
        <v>90</v>
      </c>
      <c r="G21" s="15" t="s">
        <v>91</v>
      </c>
      <c r="H21" s="13" t="s">
        <v>92</v>
      </c>
      <c r="I21" s="15" t="s">
        <v>93</v>
      </c>
      <c r="J21" s="15" t="s">
        <v>94</v>
      </c>
      <c r="K21" s="15" t="s">
        <v>95</v>
      </c>
      <c r="L21" s="13" t="s">
        <v>96</v>
      </c>
      <c r="M21" s="15" t="s">
        <v>97</v>
      </c>
      <c r="N21" s="13" t="s">
        <v>98</v>
      </c>
      <c r="O21" s="15" t="s">
        <v>99</v>
      </c>
      <c r="P21" s="15" t="s">
        <v>100</v>
      </c>
      <c r="Q21" s="15" t="s">
        <v>219</v>
      </c>
      <c r="R21" s="13" t="s">
        <v>220</v>
      </c>
      <c r="S21" s="13" t="s">
        <v>212</v>
      </c>
      <c r="T21" s="13" t="s">
        <v>104</v>
      </c>
      <c r="U21" s="14">
        <v>43831</v>
      </c>
      <c r="V21" s="14"/>
      <c r="W21" s="15" t="s">
        <v>226</v>
      </c>
      <c r="X21" s="13" t="s">
        <v>106</v>
      </c>
      <c r="Y21" s="15" t="str">
        <f>VLOOKUP(X21,'Axe 2 Règles de gestion'!$D$2:$F$121,3, FALSE)</f>
        <v>L'agent doit détenir le titre ou le diplôme requis pour l'exercice des fonctions du corps d'accueil.</v>
      </c>
      <c r="Z21" s="13" t="s">
        <v>108</v>
      </c>
      <c r="AA21" s="15" t="str">
        <f>VLOOKUP(Z21,'Axe 2 Règles de gestion'!$D$2:$F$121,3, FALSE)</f>
        <v>L'agent doit formuler une demande.</v>
      </c>
      <c r="AB21" s="13" t="s">
        <v>112</v>
      </c>
      <c r="AC21" s="15" t="str">
        <f>VLOOKUP(AB21,'Axe 2 Règles de gestion'!$D$2:$F$121,3, FALSE)</f>
        <v>L'accord de l'administration d'origine est nécessaire.</v>
      </c>
      <c r="AD21" s="13"/>
      <c r="AE21" s="15"/>
      <c r="AF21" s="13"/>
      <c r="AG21" s="15"/>
      <c r="AH21" s="13"/>
      <c r="AI21" s="15"/>
      <c r="AJ21" s="13"/>
      <c r="AK21" s="15"/>
      <c r="AL21" s="13"/>
      <c r="AM21" s="15"/>
      <c r="AN21" s="13"/>
      <c r="AO21" s="15"/>
      <c r="AP21" s="13" t="s">
        <v>222</v>
      </c>
      <c r="AQ21" s="15" t="str">
        <f>VLOOKUP(AP21,'Axe 2 Règles de gestion'!$D$2:$F$121,3, FALSE)</f>
        <v>La durée de détachement ne peut pas excéder 6 ans entre la date de début et la date de fin prévisionnelle.</v>
      </c>
      <c r="AR21" s="13" t="s">
        <v>224</v>
      </c>
      <c r="AS21" s="15" t="str">
        <f>VLOOKUP(AR21,'Axe 2 Règles de gestion'!$D$2:$F$121,3, FALSE)</f>
        <v>La durée de détachement ne peut pas excéder 6 ans entre la date de début et la date de fin réelle.</v>
      </c>
      <c r="AT21" s="13" t="s">
        <v>214</v>
      </c>
      <c r="AU21" s="15" t="str">
        <f>VLOOKUP(AT21,'Axe 2 Règles de gestion'!$D$2:$F$121,3, FALSE)</f>
        <v>Le détachement de courte durée est interdit.</v>
      </c>
      <c r="AV21" s="13"/>
      <c r="AW21" s="15"/>
      <c r="AX21" s="13"/>
      <c r="AY21" s="15"/>
      <c r="AZ21" s="13"/>
      <c r="BA21" s="15"/>
      <c r="BB21" s="13" t="s">
        <v>126</v>
      </c>
      <c r="BC21" s="15" t="str">
        <f>VLOOKUP(BB21,'Axe 2 Règles de gestion'!$D$2:$F$121,3, FALSE)</f>
        <v>La date de début de position doit être antérieure ou égale à la date de fin prévisionnelle de position.</v>
      </c>
      <c r="BD21" s="13" t="s">
        <v>128</v>
      </c>
      <c r="BE21" s="15" t="str">
        <f>VLOOKUP(BD21,'Axe 2 Règles de gestion'!$D$2:$F$121,3, FALSE)</f>
        <v>La date de début de la position doit être postérieure ou égale à la date d'entrée dans la FPE ou dans la carrière militaire.</v>
      </c>
      <c r="BF21" s="13" t="s">
        <v>130</v>
      </c>
      <c r="BG21" s="15" t="str">
        <f>VLOOKUP(BF21,'Axe 2 Règles de gestion'!$D$2:$F$121,3, FALSE)</f>
        <v>La date de fin réelle de la position doit être antérieure à la date limite de départ à la retraite.</v>
      </c>
      <c r="BH21" s="13" t="s">
        <v>132</v>
      </c>
      <c r="BI21" s="15" t="str">
        <f>VLOOKUP(BH21,'Axe 2 Règles de gestion'!$D$2:$F$121,3, FALSE)</f>
        <v>La date de début de position doit être antérieure ou égale à la date de fin réelle de position.</v>
      </c>
      <c r="BJ21" s="13" t="s">
        <v>134</v>
      </c>
      <c r="BK21" s="15" t="str">
        <f>VLOOKUP(BJ21,'Axe 2 Règles de gestion'!$D$2:$F$121,3, FALSE)</f>
        <v>La date de fin prévisionnelle de la position doit être antérieure à la date limite de départ à la retraite.</v>
      </c>
      <c r="BL21" s="13" t="s">
        <v>136</v>
      </c>
      <c r="BM21" s="15" t="str">
        <f>VLOOKUP(BL21,'Axe 2 Règles de gestion'!$D$2:$F$121,3, FALSE)</f>
        <v>L'indicateur de carrière est sur la valeur "Accueil".</v>
      </c>
      <c r="BN21" s="13" t="s">
        <v>138</v>
      </c>
      <c r="BO21" s="15" t="str">
        <f>VLOOKUP(BN21,'Axe 2 Règles de gestion'!$D$2:$F$121,3, FALSE)</f>
        <v>La date de début de position est à J+1 de la date de fin de position de l'occurrence précédente.</v>
      </c>
      <c r="BP21" s="13" t="s">
        <v>140</v>
      </c>
      <c r="BQ21" s="15" t="str">
        <f>VLOOKUP(BP21,'Axe 2 Règles de gestion'!$D$2:$F$121,3, FALSE)</f>
        <v>Les champs "Type d'organisme d'origine", "Catégorie statutaire d'origine" et "Pays" de l'organisme d'origine doivent être renseignés.</v>
      </c>
      <c r="BR21" s="13" t="s">
        <v>142</v>
      </c>
      <c r="BS21" s="15" t="str">
        <f>VLOOKUP(BR21,'Axe 2 Règles de gestion'!$D$2:$F$121,3, FALSE)</f>
        <v>Les champs "Ministère (ou institution de la République) d'origine", "Corps d'origine", "Grade d'origine", "Echelon d'origine" sont renseignés si le "Type d'organisme d'origine" est valorisé à FPE.</v>
      </c>
      <c r="BT21" s="13" t="s">
        <v>144</v>
      </c>
      <c r="BU21" s="15" t="str">
        <f>VLOOKUP(BT21,'Axe 2 Règles de gestion'!$D$2:$F$121,3, FALSE)</f>
        <v>Le champ "Organisme d'origine" doit être alimenté si le type d'organisme d'origine est égal à 'Autre organisme', 'Fonction publique d'un état de l'Union Européenne' ou 'Fonction publique Européenne'.</v>
      </c>
      <c r="BV21" s="13" t="s">
        <v>146</v>
      </c>
      <c r="BW21" s="15" t="str">
        <f>VLOOKUP(BV21,'Axe 2 Règles de gestion'!$D$2:$F$121,3, FALSE)</f>
        <v>Le champ "Code emploi statutaire FPT (NET)" est renseigné si le "Type d'organisme d'origine" est valorisé à FPT.</v>
      </c>
      <c r="BX21" s="13" t="s">
        <v>148</v>
      </c>
      <c r="BY21" s="15" t="str">
        <f>VLOOKUP(BX21,'Axe 2 Règles de gestion'!$D$2:$F$121,3, FALSE)</f>
        <v>Le champ "Code emploi statutaire FPH (NEH)" est renseigné si le "Type d'organisme d'origine" est valorisé à FPH.</v>
      </c>
      <c r="BZ21" s="13" t="s">
        <v>150</v>
      </c>
      <c r="CA21" s="15" t="str">
        <f>VLOOKUP(BZ21,'Axe 2 Règles de gestion'!$D$2:$F$121,3, FALSE)</f>
        <v>La date de fin ou la date de fin prévisionnelle doit être saisie.</v>
      </c>
      <c r="CB21" s="13"/>
      <c r="CC21" s="15"/>
      <c r="CD21" s="13"/>
      <c r="CE21" s="15"/>
      <c r="CF21" s="13"/>
      <c r="CG21" s="13"/>
    </row>
    <row r="22" spans="1:85" ht="135" x14ac:dyDescent="0.25">
      <c r="A22" s="13" t="s">
        <v>86</v>
      </c>
      <c r="B22" s="13" t="s">
        <v>87</v>
      </c>
      <c r="C22" s="14">
        <v>43850.552083333336</v>
      </c>
      <c r="D22" s="13" t="s">
        <v>88</v>
      </c>
      <c r="E22" s="15" t="s">
        <v>89</v>
      </c>
      <c r="F22" s="13" t="s">
        <v>90</v>
      </c>
      <c r="G22" s="15" t="s">
        <v>91</v>
      </c>
      <c r="H22" s="13" t="s">
        <v>92</v>
      </c>
      <c r="I22" s="15" t="s">
        <v>93</v>
      </c>
      <c r="J22" s="15" t="s">
        <v>94</v>
      </c>
      <c r="K22" s="15" t="s">
        <v>95</v>
      </c>
      <c r="L22" s="13" t="s">
        <v>168</v>
      </c>
      <c r="M22" s="15" t="s">
        <v>169</v>
      </c>
      <c r="N22" s="13" t="s">
        <v>98</v>
      </c>
      <c r="O22" s="15" t="s">
        <v>170</v>
      </c>
      <c r="P22" s="15" t="s">
        <v>171</v>
      </c>
      <c r="Q22" s="15" t="s">
        <v>219</v>
      </c>
      <c r="R22" s="13" t="s">
        <v>220</v>
      </c>
      <c r="S22" s="13" t="s">
        <v>212</v>
      </c>
      <c r="T22" s="13" t="s">
        <v>104</v>
      </c>
      <c r="U22" s="14">
        <v>40725</v>
      </c>
      <c r="V22" s="14"/>
      <c r="W22" s="15" t="s">
        <v>227</v>
      </c>
      <c r="X22" s="13" t="s">
        <v>173</v>
      </c>
      <c r="Y22" s="15" t="str">
        <f>VLOOKUP(X22,'Axe 2 Règles de gestion'!$D$2:$F$121,3, FALSE)</f>
        <v>L'agent doit formuler une demande de renouvellement à son administration d'origine 3 mois au moins avant l'expiration de la période de détachement de longue durée.</v>
      </c>
      <c r="Z22" s="13" t="s">
        <v>175</v>
      </c>
      <c r="AA22" s="15" t="str">
        <f>VLOOKUP(Z22,'Axe 2 Règles de gestion'!$D$2:$F$121,3, FALSE)</f>
        <v>L'organisme d'accueil adresse sa décision à l'agent et à l'administration d'origine 2 mois au moins avant l'expiration de la période de détachement.</v>
      </c>
      <c r="AB22" s="13"/>
      <c r="AC22" s="15"/>
      <c r="AD22" s="13"/>
      <c r="AE22" s="15"/>
      <c r="AF22" s="13"/>
      <c r="AG22" s="15"/>
      <c r="AH22" s="13"/>
      <c r="AI22" s="15"/>
      <c r="AJ22" s="13"/>
      <c r="AK22" s="15"/>
      <c r="AL22" s="13"/>
      <c r="AM22" s="15"/>
      <c r="AN22" s="13"/>
      <c r="AO22" s="15"/>
      <c r="AP22" s="13" t="s">
        <v>222</v>
      </c>
      <c r="AQ22" s="15" t="str">
        <f>VLOOKUP(AP22,'Axe 2 Règles de gestion'!$D$2:$F$121,3, FALSE)</f>
        <v>La durée de détachement ne peut pas excéder 6 ans entre la date de début et la date de fin prévisionnelle.</v>
      </c>
      <c r="AR22" s="13" t="s">
        <v>224</v>
      </c>
      <c r="AS22" s="15" t="str">
        <f>VLOOKUP(AR22,'Axe 2 Règles de gestion'!$D$2:$F$121,3, FALSE)</f>
        <v>La durée de détachement ne peut pas excéder 6 ans entre la date de début et la date de fin réelle.</v>
      </c>
      <c r="AT22" s="13"/>
      <c r="AU22" s="15"/>
      <c r="AV22" s="13"/>
      <c r="AW22" s="15"/>
      <c r="AX22" s="13"/>
      <c r="AY22" s="15"/>
      <c r="AZ22" s="13"/>
      <c r="BA22" s="15"/>
      <c r="BB22" s="13" t="s">
        <v>126</v>
      </c>
      <c r="BC22" s="15" t="str">
        <f>VLOOKUP(BB22,'Axe 2 Règles de gestion'!$D$2:$F$121,3, FALSE)</f>
        <v>La date de début de position doit être antérieure ou égale à la date de fin prévisionnelle de position.</v>
      </c>
      <c r="BD22" s="13" t="s">
        <v>128</v>
      </c>
      <c r="BE22" s="15" t="str">
        <f>VLOOKUP(BD22,'Axe 2 Règles de gestion'!$D$2:$F$121,3, FALSE)</f>
        <v>La date de début de la position doit être postérieure ou égale à la date d'entrée dans la FPE ou dans la carrière militaire.</v>
      </c>
      <c r="BF22" s="13" t="s">
        <v>130</v>
      </c>
      <c r="BG22" s="15" t="str">
        <f>VLOOKUP(BF22,'Axe 2 Règles de gestion'!$D$2:$F$121,3, FALSE)</f>
        <v>La date de fin réelle de la position doit être antérieure à la date limite de départ à la retraite.</v>
      </c>
      <c r="BH22" s="13" t="s">
        <v>132</v>
      </c>
      <c r="BI22" s="15" t="str">
        <f>VLOOKUP(BH22,'Axe 2 Règles de gestion'!$D$2:$F$121,3, FALSE)</f>
        <v>La date de début de position doit être antérieure ou égale à la date de fin réelle de position.</v>
      </c>
      <c r="BJ22" s="13" t="s">
        <v>134</v>
      </c>
      <c r="BK22" s="15" t="str">
        <f>VLOOKUP(BJ22,'Axe 2 Règles de gestion'!$D$2:$F$121,3, FALSE)</f>
        <v>La date de fin prévisionnelle de la position doit être antérieure à la date limite de départ à la retraite.</v>
      </c>
      <c r="BL22" s="13" t="s">
        <v>136</v>
      </c>
      <c r="BM22" s="15" t="str">
        <f>VLOOKUP(BL22,'Axe 2 Règles de gestion'!$D$2:$F$121,3, FALSE)</f>
        <v>L'indicateur de carrière est sur la valeur "Accueil".</v>
      </c>
      <c r="BN22" s="13" t="s">
        <v>138</v>
      </c>
      <c r="BO22" s="15" t="str">
        <f>VLOOKUP(BN22,'Axe 2 Règles de gestion'!$D$2:$F$121,3, FALSE)</f>
        <v>La date de début de position est à J+1 de la date de fin de position de l'occurrence précédente.</v>
      </c>
      <c r="BP22" s="13" t="s">
        <v>140</v>
      </c>
      <c r="BQ22" s="15" t="str">
        <f>VLOOKUP(BP22,'Axe 2 Règles de gestion'!$D$2:$F$121,3, FALSE)</f>
        <v>Les champs "Type d'organisme d'origine", "Catégorie statutaire d'origine" et "Pays" de l'organisme d'origine doivent être renseignés.</v>
      </c>
      <c r="BR22" s="13" t="s">
        <v>142</v>
      </c>
      <c r="BS22" s="15" t="str">
        <f>VLOOKUP(BR22,'Axe 2 Règles de gestion'!$D$2:$F$121,3, FALSE)</f>
        <v>Les champs "Ministère (ou institution de la République) d'origine", "Corps d'origine", "Grade d'origine", "Echelon d'origine" sont renseignés si le "Type d'organisme d'origine" est valorisé à FPE.</v>
      </c>
      <c r="BT22" s="13" t="s">
        <v>144</v>
      </c>
      <c r="BU22" s="15" t="str">
        <f>VLOOKUP(BT22,'Axe 2 Règles de gestion'!$D$2:$F$121,3, FALSE)</f>
        <v>Le champ "Organisme d'origine" doit être alimenté si le type d'organisme d'origine est égal à 'Autre organisme', 'Fonction publique d'un état de l'Union Européenne' ou 'Fonction publique Européenne'.</v>
      </c>
      <c r="BV22" s="13" t="s">
        <v>146</v>
      </c>
      <c r="BW22" s="15" t="str">
        <f>VLOOKUP(BV22,'Axe 2 Règles de gestion'!$D$2:$F$121,3, FALSE)</f>
        <v>Le champ "Code emploi statutaire FPT (NET)" est renseigné si le "Type d'organisme d'origine" est valorisé à FPT.</v>
      </c>
      <c r="BX22" s="13" t="s">
        <v>148</v>
      </c>
      <c r="BY22" s="15" t="str">
        <f>VLOOKUP(BX22,'Axe 2 Règles de gestion'!$D$2:$F$121,3, FALSE)</f>
        <v>Le champ "Code emploi statutaire FPH (NEH)" est renseigné si le "Type d'organisme d'origine" est valorisé à FPH.</v>
      </c>
      <c r="BZ22" s="13" t="s">
        <v>150</v>
      </c>
      <c r="CA22" s="15" t="str">
        <f>VLOOKUP(BZ22,'Axe 2 Règles de gestion'!$D$2:$F$121,3, FALSE)</f>
        <v>La date de fin ou la date de fin prévisionnelle doit être saisie.</v>
      </c>
      <c r="CB22" s="13"/>
      <c r="CC22" s="15"/>
      <c r="CD22" s="13"/>
      <c r="CE22" s="15"/>
      <c r="CF22" s="13"/>
      <c r="CG22" s="13"/>
    </row>
    <row r="23" spans="1:85" ht="150" x14ac:dyDescent="0.25">
      <c r="A23" s="13" t="s">
        <v>86</v>
      </c>
      <c r="B23" s="13" t="s">
        <v>87</v>
      </c>
      <c r="C23" s="14">
        <v>43850.552083333336</v>
      </c>
      <c r="D23" s="13" t="s">
        <v>88</v>
      </c>
      <c r="E23" s="15" t="s">
        <v>89</v>
      </c>
      <c r="F23" s="13" t="s">
        <v>90</v>
      </c>
      <c r="G23" s="15" t="s">
        <v>91</v>
      </c>
      <c r="H23" s="13" t="s">
        <v>92</v>
      </c>
      <c r="I23" s="15" t="s">
        <v>93</v>
      </c>
      <c r="J23" s="15" t="s">
        <v>94</v>
      </c>
      <c r="K23" s="15" t="s">
        <v>95</v>
      </c>
      <c r="L23" s="13" t="s">
        <v>186</v>
      </c>
      <c r="M23" s="15" t="s">
        <v>187</v>
      </c>
      <c r="N23" s="13" t="s">
        <v>188</v>
      </c>
      <c r="O23" s="15" t="s">
        <v>189</v>
      </c>
      <c r="P23" s="15" t="s">
        <v>190</v>
      </c>
      <c r="Q23" s="15" t="s">
        <v>219</v>
      </c>
      <c r="R23" s="13" t="s">
        <v>220</v>
      </c>
      <c r="S23" s="13" t="s">
        <v>212</v>
      </c>
      <c r="T23" s="13" t="s">
        <v>104</v>
      </c>
      <c r="U23" s="14">
        <v>40725</v>
      </c>
      <c r="V23" s="14"/>
      <c r="W23" s="15" t="s">
        <v>228</v>
      </c>
      <c r="X23" s="13" t="s">
        <v>192</v>
      </c>
      <c r="Y23" s="15" t="str">
        <f>VLOOKUP(X23,'Axe 2 Règles de gestion'!$D$2:$F$121,3, FALSE)</f>
        <v>Le détachement peut prendre fin de manière anticipée à l'initiative de l'administration d'accueil, de l'administration d'origine ou de l'agent.</v>
      </c>
      <c r="Z23" s="13" t="s">
        <v>194</v>
      </c>
      <c r="AA23" s="15" t="str">
        <f>VLOOKUP(Z23,'Axe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3" s="13" t="s">
        <v>196</v>
      </c>
      <c r="AC23" s="15" t="str">
        <f>VLOOKUP(AB23,'Axe 2 Règles de gestion'!$D$2:$F$121,3, FALSE)</f>
        <v>L'agent doit adresser une demande de réintégration à l'administration d'origine 3 mois au moins avant l'expiration de la période de détachement de longue durée.</v>
      </c>
      <c r="AD23" s="13" t="s">
        <v>175</v>
      </c>
      <c r="AE23" s="15" t="str">
        <f>VLOOKUP(AD23,'Axe 2 Règles de gestion'!$D$2:$F$121,3, FALSE)</f>
        <v>L'organisme d'accueil adresse sa décision à l'agent et à l'administration d'origine 2 mois au moins avant l'expiration de la période de détachement.</v>
      </c>
      <c r="AF23" s="13" t="s">
        <v>198</v>
      </c>
      <c r="AG23" s="15" t="str">
        <f>VLOOKUP(AF23,'Axe 2 Règles de gestion'!$D$2:$F$121,3, FALSE)</f>
        <v>Si l'agent n'adresse pas sa demande dans les délais, il est obligatoirement réintégré à la première vacance dans son corps d'origine et affecté à un emploi correspondant à son grade.</v>
      </c>
      <c r="AH23" s="13"/>
      <c r="AI23" s="15"/>
      <c r="AJ23" s="13"/>
      <c r="AK23" s="15"/>
      <c r="AL23" s="13"/>
      <c r="AM23" s="15"/>
      <c r="AN23" s="13"/>
      <c r="AO23" s="15"/>
      <c r="AP23" s="13" t="s">
        <v>222</v>
      </c>
      <c r="AQ23" s="15" t="str">
        <f>VLOOKUP(AP23,'Axe 2 Règles de gestion'!$D$2:$F$121,3, FALSE)</f>
        <v>La durée de détachement ne peut pas excéder 6 ans entre la date de début et la date de fin prévisionnelle.</v>
      </c>
      <c r="AR23" s="13" t="s">
        <v>224</v>
      </c>
      <c r="AS23" s="15" t="str">
        <f>VLOOKUP(AR23,'Axe 2 Règles de gestion'!$D$2:$F$121,3, FALSE)</f>
        <v>La durée de détachement ne peut pas excéder 6 ans entre la date de début et la date de fin réelle.</v>
      </c>
      <c r="AT23" s="13" t="s">
        <v>214</v>
      </c>
      <c r="AU23" s="15" t="str">
        <f>VLOOKUP(AT23,'Axe 2 Règles de gestion'!$D$2:$F$121,3, FALSE)</f>
        <v>Le détachement de courte durée est interdit.</v>
      </c>
      <c r="AV23" s="13"/>
      <c r="AW23" s="15"/>
      <c r="AX23" s="13"/>
      <c r="AY23" s="15"/>
      <c r="AZ23" s="13"/>
      <c r="BA23" s="15"/>
      <c r="BB23" s="13" t="s">
        <v>126</v>
      </c>
      <c r="BC23" s="15" t="str">
        <f>VLOOKUP(BB23,'Axe 2 Règles de gestion'!$D$2:$F$121,3, FALSE)</f>
        <v>La date de début de position doit être antérieure ou égale à la date de fin prévisionnelle de position.</v>
      </c>
      <c r="BD23" s="13" t="s">
        <v>130</v>
      </c>
      <c r="BE23" s="15" t="str">
        <f>VLOOKUP(BD23,'Axe 2 Règles de gestion'!$D$2:$F$121,3, FALSE)</f>
        <v>La date de fin réelle de la position doit être antérieure à la date limite de départ à la retraite.</v>
      </c>
      <c r="BF23" s="13" t="s">
        <v>132</v>
      </c>
      <c r="BG23" s="15" t="str">
        <f>VLOOKUP(BF23,'Axe 2 Règles de gestion'!$D$2:$F$121,3, FALSE)</f>
        <v>La date de début de position doit être antérieure ou égale à la date de fin réelle de position.</v>
      </c>
      <c r="BH23" s="13" t="s">
        <v>134</v>
      </c>
      <c r="BI23" s="15" t="str">
        <f>VLOOKUP(BH23,'Axe 2 Règles de gestion'!$D$2:$F$121,3, FALSE)</f>
        <v>La date de fin prévisionnelle de la position doit être antérieure à la date limite de départ à la retraite.</v>
      </c>
      <c r="BJ23" s="13" t="s">
        <v>140</v>
      </c>
      <c r="BK23" s="15" t="str">
        <f>VLOOKUP(BJ23,'Axe 2 Règles de gestion'!$D$2:$F$121,3, FALSE)</f>
        <v>Les champs "Type d'organisme d'origine", "Catégorie statutaire d'origine" et "Pays" de l'organisme d'origine doivent être renseignés.</v>
      </c>
      <c r="BL23" s="13" t="s">
        <v>142</v>
      </c>
      <c r="BM23" s="15" t="str">
        <f>VLOOKUP(BL23,'Axe 2 Règles de gestion'!$D$2:$F$121,3, FALSE)</f>
        <v>Les champs "Ministère (ou institution de la République) d'origine", "Corps d'origine", "Grade d'origine", "Echelon d'origine" sont renseignés si le "Type d'organisme d'origine" est valorisé à FPE.</v>
      </c>
      <c r="BN23" s="13" t="s">
        <v>144</v>
      </c>
      <c r="BO23" s="15" t="str">
        <f>VLOOKUP(BN23,'Axe 2 Règles de gestion'!$D$2:$F$121,3, FALSE)</f>
        <v>Le champ "Organisme d'origine" doit être alimenté si le type d'organisme d'origine est égal à 'Autre organisme', 'Fonction publique d'un état de l'Union Européenne' ou 'Fonction publique Européenne'.</v>
      </c>
      <c r="BP23" s="13" t="s">
        <v>146</v>
      </c>
      <c r="BQ23" s="15" t="str">
        <f>VLOOKUP(BP23,'Axe 2 Règles de gestion'!$D$2:$F$121,3, FALSE)</f>
        <v>Le champ "Code emploi statutaire FPT (NET)" est renseigné si le "Type d'organisme d'origine" est valorisé à FPT.</v>
      </c>
      <c r="BR23" s="13" t="s">
        <v>148</v>
      </c>
      <c r="BS23" s="15" t="str">
        <f>VLOOKUP(BR23,'Axe 2 Règles de gestion'!$D$2:$F$121,3, FALSE)</f>
        <v>Le champ "Code emploi statutaire FPH (NEH)" est renseigné si le "Type d'organisme d'origine" est valorisé à FPH.</v>
      </c>
      <c r="BT23" s="13" t="s">
        <v>150</v>
      </c>
      <c r="BU23" s="15" t="str">
        <f>VLOOKUP(BT23,'Axe 2 Règles de gestion'!$D$2:$F$121,3, FALSE)</f>
        <v>La date de fin ou la date de fin prévisionnelle doit être saisie.</v>
      </c>
      <c r="BV23" s="13"/>
      <c r="BW23" s="15"/>
      <c r="BX23" s="13"/>
      <c r="BY23" s="15"/>
      <c r="BZ23" s="13"/>
      <c r="CA23" s="15"/>
      <c r="CB23" s="13"/>
      <c r="CC23" s="15"/>
      <c r="CD23" s="13"/>
      <c r="CE23" s="15"/>
      <c r="CF23" s="13"/>
      <c r="CG23" s="13"/>
    </row>
    <row r="24" spans="1:85" ht="135" x14ac:dyDescent="0.25">
      <c r="A24" s="13" t="s">
        <v>86</v>
      </c>
      <c r="B24" s="13" t="s">
        <v>87</v>
      </c>
      <c r="C24" s="14">
        <v>43850.552083333336</v>
      </c>
      <c r="D24" s="13" t="s">
        <v>88</v>
      </c>
      <c r="E24" s="15" t="s">
        <v>89</v>
      </c>
      <c r="F24" s="13" t="s">
        <v>90</v>
      </c>
      <c r="G24" s="15" t="s">
        <v>91</v>
      </c>
      <c r="H24" s="13" t="s">
        <v>229</v>
      </c>
      <c r="I24" s="15" t="s">
        <v>230</v>
      </c>
      <c r="J24" s="15" t="s">
        <v>231</v>
      </c>
      <c r="K24" s="15" t="s">
        <v>232</v>
      </c>
      <c r="L24" s="13" t="s">
        <v>233</v>
      </c>
      <c r="M24" s="15" t="s">
        <v>234</v>
      </c>
      <c r="N24" s="13" t="s">
        <v>98</v>
      </c>
      <c r="O24" s="15" t="s">
        <v>99</v>
      </c>
      <c r="P24" s="15" t="s">
        <v>100</v>
      </c>
      <c r="Q24" s="15" t="s">
        <v>101</v>
      </c>
      <c r="R24" s="13" t="s">
        <v>102</v>
      </c>
      <c r="S24" s="13" t="s">
        <v>103</v>
      </c>
      <c r="T24" s="13" t="s">
        <v>104</v>
      </c>
      <c r="U24" s="14">
        <v>40725</v>
      </c>
      <c r="V24" s="14">
        <v>43830</v>
      </c>
      <c r="W24" s="15" t="s">
        <v>105</v>
      </c>
      <c r="X24" s="13" t="s">
        <v>106</v>
      </c>
      <c r="Y24" s="15" t="str">
        <f>VLOOKUP(X24,'Axe 2 Règles de gestion'!$D$2:$F$121,3, FALSE)</f>
        <v>L'agent doit détenir le titre ou le diplôme requis pour l'exercice des fonctions du corps d'accueil.</v>
      </c>
      <c r="Z24" s="13" t="s">
        <v>108</v>
      </c>
      <c r="AA24" s="15" t="str">
        <f>VLOOKUP(Z24,'Axe 2 Règles de gestion'!$D$2:$F$121,3, FALSE)</f>
        <v>L'agent doit formuler une demande.</v>
      </c>
      <c r="AB24" s="13" t="s">
        <v>110</v>
      </c>
      <c r="AC24" s="15" t="str">
        <f>VLOOKUP(AB24,'Axe 2 Règles de gestion'!$D$2:$F$121,3, FALSE)</f>
        <v>Le détachement est accordé après avis des commissions administratives paritaires compétentes.</v>
      </c>
      <c r="AD24" s="13" t="s">
        <v>112</v>
      </c>
      <c r="AE24" s="15" t="str">
        <f>VLOOKUP(AD24,'Axe 2 Règles de gestion'!$D$2:$F$121,3, FALSE)</f>
        <v>L'accord de l'administration d'origine est nécessaire.</v>
      </c>
      <c r="AF24" s="13"/>
      <c r="AG24" s="15"/>
      <c r="AH24" s="13"/>
      <c r="AI24" s="15"/>
      <c r="AJ24" s="13"/>
      <c r="AK24" s="15"/>
      <c r="AL24" s="13"/>
      <c r="AM24" s="15"/>
      <c r="AN24" s="13"/>
      <c r="AO24" s="15"/>
      <c r="AP24" s="13" t="s">
        <v>114</v>
      </c>
      <c r="AQ24" s="15" t="str">
        <f>VLOOKUP(AP24,'Axe 2 Règles de gestion'!$D$2:$F$121,3, FALSE)</f>
        <v>Un détachement de courte durée à l'étranger ou dans les TOM ne peut excéder 1 an entre la date de début et la date de fin prévisionnelle.</v>
      </c>
      <c r="AR24" s="13" t="s">
        <v>116</v>
      </c>
      <c r="AS24" s="15" t="str">
        <f>VLOOKUP(AR24,'Axe 2 Règles de gestion'!$D$2:$F$121,3, FALSE)</f>
        <v>Un détachement de courte durée à l'étranger ou dans les TOM ne peut excéder 1 an entre la date de début et la date de fin réelle.</v>
      </c>
      <c r="AT24" s="13" t="s">
        <v>118</v>
      </c>
      <c r="AU24" s="15" t="str">
        <f>VLOOKUP(AT24,'Axe 2 Règles de gestion'!$D$2:$F$121,3, FALSE)</f>
        <v>Un détachement de courte durée n'ayant pas lieu à l'étranger ou dans les TOM ne peut excéder six mois entre la date de début et la date de fin prévisionnelle.</v>
      </c>
      <c r="AV24" s="13" t="s">
        <v>120</v>
      </c>
      <c r="AW24" s="15" t="str">
        <f>VLOOKUP(AV24,'Axe 2 Règles de gestion'!$D$2:$F$121,3, FALSE)</f>
        <v>Un détachement de courte durée n'ayant pas lieu à l'étranger ou dans les TOM ne peut excéder six mois entre la date de début et la date de fin réelle.</v>
      </c>
      <c r="AX24" s="13" t="s">
        <v>122</v>
      </c>
      <c r="AY24" s="15" t="str">
        <f>VLOOKUP(AX24,'Axe 2 Règles de gestion'!$D$2:$F$121,3, FALSE)</f>
        <v>Un détachement de longue durée ne peut excéder 5 ans entre la date de début et la date de fin prévisionnelle.</v>
      </c>
      <c r="AZ24" s="13" t="s">
        <v>124</v>
      </c>
      <c r="BA24" s="15" t="str">
        <f>VLOOKUP(AZ24,'Axe 2 Règles de gestion'!$D$2:$F$121,3, FALSE)</f>
        <v>Un détachement de longue durée ne peut excéder 5 ans entre la date de début et la date de fin réelle.</v>
      </c>
      <c r="BB24" s="13" t="s">
        <v>126</v>
      </c>
      <c r="BC24" s="15" t="str">
        <f>VLOOKUP(BB24,'Axe 2 Règles de gestion'!$D$2:$F$121,3, FALSE)</f>
        <v>La date de début de position doit être antérieure ou égale à la date de fin prévisionnelle de position.</v>
      </c>
      <c r="BD24" s="13" t="s">
        <v>128</v>
      </c>
      <c r="BE24" s="15" t="str">
        <f>VLOOKUP(BD24,'Axe 2 Règles de gestion'!$D$2:$F$121,3, FALSE)</f>
        <v>La date de début de la position doit être postérieure ou égale à la date d'entrée dans la FPE ou dans la carrière militaire.</v>
      </c>
      <c r="BF24" s="13" t="s">
        <v>130</v>
      </c>
      <c r="BG24" s="15" t="str">
        <f>VLOOKUP(BF24,'Axe 2 Règles de gestion'!$D$2:$F$121,3, FALSE)</f>
        <v>La date de fin réelle de la position doit être antérieure à la date limite de départ à la retraite.</v>
      </c>
      <c r="BH24" s="13" t="s">
        <v>132</v>
      </c>
      <c r="BI24" s="15" t="str">
        <f>VLOOKUP(BH24,'Axe 2 Règles de gestion'!$D$2:$F$121,3, FALSE)</f>
        <v>La date de début de position doit être antérieure ou égale à la date de fin réelle de position.</v>
      </c>
      <c r="BJ24" s="13" t="s">
        <v>134</v>
      </c>
      <c r="BK24" s="15" t="str">
        <f>VLOOKUP(BJ24,'Axe 2 Règles de gestion'!$D$2:$F$121,3, FALSE)</f>
        <v>La date de fin prévisionnelle de la position doit être antérieure à la date limite de départ à la retraite.</v>
      </c>
      <c r="BL24" s="13" t="s">
        <v>136</v>
      </c>
      <c r="BM24" s="15" t="str">
        <f>VLOOKUP(BL24,'Axe 2 Règles de gestion'!$D$2:$F$121,3, FALSE)</f>
        <v>L'indicateur de carrière est sur la valeur "Accueil".</v>
      </c>
      <c r="BN24" s="13" t="s">
        <v>138</v>
      </c>
      <c r="BO24" s="15" t="str">
        <f>VLOOKUP(BN24,'Axe 2 Règles de gestion'!$D$2:$F$121,3, FALSE)</f>
        <v>La date de début de position est à J+1 de la date de fin de position de l'occurrence précédente.</v>
      </c>
      <c r="BP24" s="13" t="s">
        <v>140</v>
      </c>
      <c r="BQ24" s="15" t="str">
        <f>VLOOKUP(BP24,'Axe 2 Règles de gestion'!$D$2:$F$121,3, FALSE)</f>
        <v>Les champs "Type d'organisme d'origine", "Catégorie statutaire d'origine" et "Pays" de l'organisme d'origine doivent être renseignés.</v>
      </c>
      <c r="BR24" s="13" t="s">
        <v>142</v>
      </c>
      <c r="BS24" s="15" t="str">
        <f>VLOOKUP(BR24,'Axe 2 Règles de gestion'!$D$2:$F$121,3, FALSE)</f>
        <v>Les champs "Ministère (ou institution de la République) d'origine", "Corps d'origine", "Grade d'origine", "Echelon d'origine" sont renseignés si le "Type d'organisme d'origine" est valorisé à FPE.</v>
      </c>
      <c r="BT24" s="13" t="s">
        <v>144</v>
      </c>
      <c r="BU24" s="15" t="str">
        <f>VLOOKUP(BT24,'Axe 2 Règles de gestion'!$D$2:$F$121,3, FALSE)</f>
        <v>Le champ "Organisme d'origine" doit être alimenté si le type d'organisme d'origine est égal à 'Autre organisme', 'Fonction publique d'un état de l'Union Européenne' ou 'Fonction publique Européenne'.</v>
      </c>
      <c r="BV24" s="13" t="s">
        <v>146</v>
      </c>
      <c r="BW24" s="15" t="str">
        <f>VLOOKUP(BV24,'Axe 2 Règles de gestion'!$D$2:$F$121,3, FALSE)</f>
        <v>Le champ "Code emploi statutaire FPT (NET)" est renseigné si le "Type d'organisme d'origine" est valorisé à FPT.</v>
      </c>
      <c r="BX24" s="13" t="s">
        <v>148</v>
      </c>
      <c r="BY24" s="15" t="str">
        <f>VLOOKUP(BX24,'Axe 2 Règles de gestion'!$D$2:$F$121,3, FALSE)</f>
        <v>Le champ "Code emploi statutaire FPH (NEH)" est renseigné si le "Type d'organisme d'origine" est valorisé à FPH.</v>
      </c>
      <c r="BZ24" s="13" t="s">
        <v>150</v>
      </c>
      <c r="CA24" s="15" t="str">
        <f>VLOOKUP(BZ24,'Axe 2 Règles de gestion'!$D$2:$F$121,3, FALSE)</f>
        <v>La date de fin ou la date de fin prévisionnelle doit être saisie.</v>
      </c>
      <c r="CB24" s="13"/>
      <c r="CC24" s="15"/>
      <c r="CD24" s="13"/>
      <c r="CE24" s="15"/>
      <c r="CF24" s="13"/>
      <c r="CG24" s="13"/>
    </row>
    <row r="25" spans="1:85" ht="150" x14ac:dyDescent="0.25">
      <c r="A25" s="13" t="s">
        <v>152</v>
      </c>
      <c r="B25" s="13" t="s">
        <v>153</v>
      </c>
      <c r="C25" s="14">
        <v>45807.451388888891</v>
      </c>
      <c r="D25" s="13" t="s">
        <v>88</v>
      </c>
      <c r="E25" s="15" t="s">
        <v>89</v>
      </c>
      <c r="F25" s="13" t="s">
        <v>90</v>
      </c>
      <c r="G25" s="15" t="s">
        <v>91</v>
      </c>
      <c r="H25" s="13" t="s">
        <v>229</v>
      </c>
      <c r="I25" s="15" t="s">
        <v>230</v>
      </c>
      <c r="J25" s="15" t="s">
        <v>231</v>
      </c>
      <c r="K25" s="15" t="s">
        <v>232</v>
      </c>
      <c r="L25" s="13" t="s">
        <v>233</v>
      </c>
      <c r="M25" s="15" t="s">
        <v>234</v>
      </c>
      <c r="N25" s="13" t="s">
        <v>98</v>
      </c>
      <c r="O25" s="15" t="s">
        <v>99</v>
      </c>
      <c r="P25" s="15" t="s">
        <v>100</v>
      </c>
      <c r="Q25" s="15" t="s">
        <v>101</v>
      </c>
      <c r="R25" s="13" t="s">
        <v>102</v>
      </c>
      <c r="S25" s="13" t="s">
        <v>103</v>
      </c>
      <c r="T25" s="13" t="s">
        <v>104</v>
      </c>
      <c r="U25" s="14">
        <v>43831</v>
      </c>
      <c r="V25" s="14"/>
      <c r="W25" s="15" t="s">
        <v>154</v>
      </c>
      <c r="X25" s="13" t="s">
        <v>106</v>
      </c>
      <c r="Y25" s="15" t="str">
        <f>VLOOKUP(X25,'Axe 2 Règles de gestion'!$D$2:$F$121,3, FALSE)</f>
        <v>L'agent doit détenir le titre ou le diplôme requis pour l'exercice des fonctions du corps d'accueil.</v>
      </c>
      <c r="Z25" s="13" t="s">
        <v>108</v>
      </c>
      <c r="AA25" s="15" t="str">
        <f>VLOOKUP(Z25,'Axe 2 Règles de gestion'!$D$2:$F$121,3, FALSE)</f>
        <v>L'agent doit formuler une demande.</v>
      </c>
      <c r="AB25" s="13" t="s">
        <v>112</v>
      </c>
      <c r="AC25" s="15" t="str">
        <f>VLOOKUP(AB25,'Axe 2 Règles de gestion'!$D$2:$F$121,3, FALSE)</f>
        <v>L'accord de l'administration d'origine est nécessaire.</v>
      </c>
      <c r="AD25" s="13" t="s">
        <v>155</v>
      </c>
      <c r="AE25" s="15" t="str">
        <f>VLOOKUP(AD25,'Axe 2 Règles de gestion'!$D$2:$F$121,3, FALSE)</f>
        <v>Le détachement sur un emploi de direction comporte une période probatoire d'une durée maximale de 6 mois.</v>
      </c>
      <c r="AF25" s="13" t="s">
        <v>157</v>
      </c>
      <c r="AG25" s="15" t="str">
        <f>VLOOKUP(AF25,'Axe 2 Règles de gestion'!$D$2:$F$121,3, FALSE)</f>
        <v>Au cours de la période probatoire, l'autorité de recrutement, sur proposition de l'autorité dont relève l'emploi de direction, peut mettre fin au détachement pour tout motif et à tout moment, sans préavis ni indemnité.</v>
      </c>
      <c r="AH25" s="13" t="s">
        <v>159</v>
      </c>
      <c r="AI25" s="15" t="str">
        <f>VLOOKUP(AH25,'Axe 2 Règles de gestion'!$D$2:$F$121,3, FALSE)</f>
        <v>Cette décision de fin du détachement pendant la période probatoire ne peut intervenir qu'à l'issue d'un entretien préalable et doit être notifiée à l'agent sur emploi de direction.</v>
      </c>
      <c r="AJ25" s="13" t="s">
        <v>161</v>
      </c>
      <c r="AK25" s="15" t="str">
        <f>VLOOKUP(AJ25,'Axe 2 Règles de gestion'!$D$2:$F$121,3, FALSE)</f>
        <v>L'agent peut être détaché dans un corps ou un cadre d'emplois de même catégorie et de niveau comparable à celui de son corps ou cadre d'emplois d'origine.</v>
      </c>
      <c r="AL25" s="13" t="s">
        <v>163</v>
      </c>
      <c r="AM25" s="15" t="str">
        <f>VLOOKUP(AL25,'Axe 2 Règles de gestion'!$D$2:$F$121,3, FALSE)</f>
        <v>Toutefois, l'agent dont au moins l'un des grades d'avancement de son corps ou cadre d'emplois est accessible par la voie d'un concours de recrutement peut être détaché dans un corps ou cadre d'emplois de niveau différent.</v>
      </c>
      <c r="AN25" s="13" t="s">
        <v>165</v>
      </c>
      <c r="AO25" s="15" t="str">
        <f>VLOOKUP(AN25,'Axe 2 Règles de gestion'!$D$2:$F$121,3, FALSE)</f>
        <v>Lorsque le corps ou cadre d'emplois d'origine ou le corps ou cadre d'emplois d'accueil ne relève pas d'une catégorie, le détachement s'effectue entre corps et cadres d'emplois de niveau comparable.</v>
      </c>
      <c r="AP25" s="13" t="s">
        <v>114</v>
      </c>
      <c r="AQ25" s="15" t="str">
        <f>VLOOKUP(AP25,'Axe 2 Règles de gestion'!$D$2:$F$121,3, FALSE)</f>
        <v>Un détachement de courte durée à l'étranger ou dans les TOM ne peut excéder 1 an entre la date de début et la date de fin prévisionnelle.</v>
      </c>
      <c r="AR25" s="13" t="s">
        <v>116</v>
      </c>
      <c r="AS25" s="15" t="str">
        <f>VLOOKUP(AR25,'Axe 2 Règles de gestion'!$D$2:$F$121,3, FALSE)</f>
        <v>Un détachement de courte durée à l'étranger ou dans les TOM ne peut excéder 1 an entre la date de début et la date de fin réelle.</v>
      </c>
      <c r="AT25" s="13" t="s">
        <v>118</v>
      </c>
      <c r="AU25" s="15" t="str">
        <f>VLOOKUP(AT25,'Axe 2 Règles de gestion'!$D$2:$F$121,3, FALSE)</f>
        <v>Un détachement de courte durée n'ayant pas lieu à l'étranger ou dans les TOM ne peut excéder six mois entre la date de début et la date de fin prévisionnelle.</v>
      </c>
      <c r="AV25" s="13" t="s">
        <v>120</v>
      </c>
      <c r="AW25" s="15" t="str">
        <f>VLOOKUP(AV25,'Axe 2 Règles de gestion'!$D$2:$F$121,3, FALSE)</f>
        <v>Un détachement de courte durée n'ayant pas lieu à l'étranger ou dans les TOM ne peut excéder six mois entre la date de début et la date de fin réelle.</v>
      </c>
      <c r="AX25" s="13" t="s">
        <v>122</v>
      </c>
      <c r="AY25" s="15" t="str">
        <f>VLOOKUP(AX25,'Axe 2 Règles de gestion'!$D$2:$F$121,3, FALSE)</f>
        <v>Un détachement de longue durée ne peut excéder 5 ans entre la date de début et la date de fin prévisionnelle.</v>
      </c>
      <c r="AZ25" s="13" t="s">
        <v>124</v>
      </c>
      <c r="BA25" s="15" t="str">
        <f>VLOOKUP(AZ25,'Axe 2 Règles de gestion'!$D$2:$F$121,3, FALSE)</f>
        <v>Un détachement de longue durée ne peut excéder 5 ans entre la date de début et la date de fin réelle.</v>
      </c>
      <c r="BB25" s="13" t="s">
        <v>126</v>
      </c>
      <c r="BC25" s="15" t="str">
        <f>VLOOKUP(BB25,'Axe 2 Règles de gestion'!$D$2:$F$121,3, FALSE)</f>
        <v>La date de début de position doit être antérieure ou égale à la date de fin prévisionnelle de position.</v>
      </c>
      <c r="BD25" s="13" t="s">
        <v>128</v>
      </c>
      <c r="BE25" s="15" t="str">
        <f>VLOOKUP(BD25,'Axe 2 Règles de gestion'!$D$2:$F$121,3, FALSE)</f>
        <v>La date de début de la position doit être postérieure ou égale à la date d'entrée dans la FPE ou dans la carrière militaire.</v>
      </c>
      <c r="BF25" s="13" t="s">
        <v>130</v>
      </c>
      <c r="BG25" s="15" t="str">
        <f>VLOOKUP(BF25,'Axe 2 Règles de gestion'!$D$2:$F$121,3, FALSE)</f>
        <v>La date de fin réelle de la position doit être antérieure à la date limite de départ à la retraite.</v>
      </c>
      <c r="BH25" s="13" t="s">
        <v>132</v>
      </c>
      <c r="BI25" s="15" t="str">
        <f>VLOOKUP(BH25,'Axe 2 Règles de gestion'!$D$2:$F$121,3, FALSE)</f>
        <v>La date de début de position doit être antérieure ou égale à la date de fin réelle de position.</v>
      </c>
      <c r="BJ25" s="13" t="s">
        <v>134</v>
      </c>
      <c r="BK25" s="15" t="str">
        <f>VLOOKUP(BJ25,'Axe 2 Règles de gestion'!$D$2:$F$121,3, FALSE)</f>
        <v>La date de fin prévisionnelle de la position doit être antérieure à la date limite de départ à la retraite.</v>
      </c>
      <c r="BL25" s="13" t="s">
        <v>136</v>
      </c>
      <c r="BM25" s="15" t="str">
        <f>VLOOKUP(BL25,'Axe 2 Règles de gestion'!$D$2:$F$121,3, FALSE)</f>
        <v>L'indicateur de carrière est sur la valeur "Accueil".</v>
      </c>
      <c r="BN25" s="13" t="s">
        <v>138</v>
      </c>
      <c r="BO25" s="15" t="str">
        <f>VLOOKUP(BN25,'Axe 2 Règles de gestion'!$D$2:$F$121,3, FALSE)</f>
        <v>La date de début de position est à J+1 de la date de fin de position de l'occurrence précédente.</v>
      </c>
      <c r="BP25" s="13" t="s">
        <v>140</v>
      </c>
      <c r="BQ25" s="15" t="str">
        <f>VLOOKUP(BP25,'Axe 2 Règles de gestion'!$D$2:$F$121,3, FALSE)</f>
        <v>Les champs "Type d'organisme d'origine", "Catégorie statutaire d'origine" et "Pays" de l'organisme d'origine doivent être renseignés.</v>
      </c>
      <c r="BR25" s="13" t="s">
        <v>142</v>
      </c>
      <c r="BS25" s="15" t="str">
        <f>VLOOKUP(BR25,'Axe 2 Règles de gestion'!$D$2:$F$121,3, FALSE)</f>
        <v>Les champs "Ministère (ou institution de la République) d'origine", "Corps d'origine", "Grade d'origine", "Echelon d'origine" sont renseignés si le "Type d'organisme d'origine" est valorisé à FPE.</v>
      </c>
      <c r="BT25" s="13" t="s">
        <v>144</v>
      </c>
      <c r="BU25" s="15" t="str">
        <f>VLOOKUP(BT25,'Axe 2 Règles de gestion'!$D$2:$F$121,3, FALSE)</f>
        <v>Le champ "Organisme d'origine" doit être alimenté si le type d'organisme d'origine est égal à 'Autre organisme', 'Fonction publique d'un état de l'Union Européenne' ou 'Fonction publique Européenne'.</v>
      </c>
      <c r="BV25" s="13" t="s">
        <v>146</v>
      </c>
      <c r="BW25" s="15" t="str">
        <f>VLOOKUP(BV25,'Axe 2 Règles de gestion'!$D$2:$F$121,3, FALSE)</f>
        <v>Le champ "Code emploi statutaire FPT (NET)" est renseigné si le "Type d'organisme d'origine" est valorisé à FPT.</v>
      </c>
      <c r="BX25" s="13" t="s">
        <v>148</v>
      </c>
      <c r="BY25" s="15" t="str">
        <f>VLOOKUP(BX25,'Axe 2 Règles de gestion'!$D$2:$F$121,3, FALSE)</f>
        <v>Le champ "Code emploi statutaire FPH (NEH)" est renseigné si le "Type d'organisme d'origine" est valorisé à FPH.</v>
      </c>
      <c r="BZ25" s="13" t="s">
        <v>150</v>
      </c>
      <c r="CA25" s="15" t="str">
        <f>VLOOKUP(BZ25,'Axe 2 Règles de gestion'!$D$2:$F$121,3, FALSE)</f>
        <v>La date de fin ou la date de fin prévisionnelle doit être saisie.</v>
      </c>
      <c r="CB25" s="13"/>
      <c r="CC25" s="15"/>
      <c r="CD25" s="13"/>
      <c r="CE25" s="15"/>
      <c r="CF25" s="13"/>
      <c r="CG25" s="13"/>
    </row>
    <row r="26" spans="1:85" ht="135" x14ac:dyDescent="0.25">
      <c r="A26" s="13" t="s">
        <v>167</v>
      </c>
      <c r="B26" s="13" t="s">
        <v>87</v>
      </c>
      <c r="C26" s="14">
        <v>43850.552083333336</v>
      </c>
      <c r="D26" s="13" t="s">
        <v>88</v>
      </c>
      <c r="E26" s="15" t="s">
        <v>89</v>
      </c>
      <c r="F26" s="13" t="s">
        <v>90</v>
      </c>
      <c r="G26" s="15" t="s">
        <v>91</v>
      </c>
      <c r="H26" s="13" t="s">
        <v>229</v>
      </c>
      <c r="I26" s="15" t="s">
        <v>230</v>
      </c>
      <c r="J26" s="15" t="s">
        <v>231</v>
      </c>
      <c r="K26" s="15" t="s">
        <v>232</v>
      </c>
      <c r="L26" s="13" t="s">
        <v>235</v>
      </c>
      <c r="M26" s="15" t="s">
        <v>236</v>
      </c>
      <c r="N26" s="13" t="s">
        <v>98</v>
      </c>
      <c r="O26" s="15" t="s">
        <v>170</v>
      </c>
      <c r="P26" s="15" t="s">
        <v>171</v>
      </c>
      <c r="Q26" s="15" t="s">
        <v>101</v>
      </c>
      <c r="R26" s="13" t="s">
        <v>102</v>
      </c>
      <c r="S26" s="13" t="s">
        <v>103</v>
      </c>
      <c r="T26" s="13" t="s">
        <v>104</v>
      </c>
      <c r="U26" s="14">
        <v>40725</v>
      </c>
      <c r="V26" s="14">
        <v>43830</v>
      </c>
      <c r="W26" s="15" t="s">
        <v>172</v>
      </c>
      <c r="X26" s="13" t="s">
        <v>173</v>
      </c>
      <c r="Y26" s="15" t="str">
        <f>VLOOKUP(X26,'Axe 2 Règles de gestion'!$D$2:$F$121,3, FALSE)</f>
        <v>L'agent doit formuler une demande de renouvellement à son administration d'origine 3 mois au moins avant l'expiration de la période de détachement de longue durée.</v>
      </c>
      <c r="Z26" s="13" t="s">
        <v>175</v>
      </c>
      <c r="AA26" s="15" t="str">
        <f>VLOOKUP(Z26,'Axe 2 Règles de gestion'!$D$2:$F$121,3, FALSE)</f>
        <v>L'organisme d'accueil adresse sa décision à l'agent et à l'administration d'origine 2 mois au moins avant l'expiration de la période de détachement.</v>
      </c>
      <c r="AB26" s="13"/>
      <c r="AC26" s="15"/>
      <c r="AD26" s="13"/>
      <c r="AE26" s="15"/>
      <c r="AF26" s="13"/>
      <c r="AG26" s="15"/>
      <c r="AH26" s="13"/>
      <c r="AI26" s="15"/>
      <c r="AJ26" s="13"/>
      <c r="AK26" s="15"/>
      <c r="AL26" s="13"/>
      <c r="AM26" s="15"/>
      <c r="AN26" s="13"/>
      <c r="AO26" s="15"/>
      <c r="AP26" s="13" t="s">
        <v>122</v>
      </c>
      <c r="AQ26" s="15" t="str">
        <f>VLOOKUP(AP26,'Axe 2 Règles de gestion'!$D$2:$F$121,3, FALSE)</f>
        <v>Un détachement de longue durée ne peut excéder 5 ans entre la date de début et la date de fin prévisionnelle.</v>
      </c>
      <c r="AR26" s="13" t="s">
        <v>124</v>
      </c>
      <c r="AS26" s="15" t="str">
        <f>VLOOKUP(AR26,'Axe 2 Règles de gestion'!$D$2:$F$121,3, FALSE)</f>
        <v>Un détachement de longue durée ne peut excéder 5 ans entre la date de début et la date de fin réelle.</v>
      </c>
      <c r="AT26" s="13" t="s">
        <v>177</v>
      </c>
      <c r="AU26" s="15" t="str">
        <f>VLOOKUP(AT26,'Axe 2 Règles de gestion'!$D$2:$F$121,3, FALSE)</f>
        <v>Le renouvellement d'un détachement de courte durée est interdit.</v>
      </c>
      <c r="AV26" s="13"/>
      <c r="AW26" s="15"/>
      <c r="AX26" s="13"/>
      <c r="AY26" s="15"/>
      <c r="AZ26" s="13"/>
      <c r="BA26" s="15"/>
      <c r="BB26" s="13" t="s">
        <v>126</v>
      </c>
      <c r="BC26" s="15" t="str">
        <f>VLOOKUP(BB26,'Axe 2 Règles de gestion'!$D$2:$F$121,3, FALSE)</f>
        <v>La date de début de position doit être antérieure ou égale à la date de fin prévisionnelle de position.</v>
      </c>
      <c r="BD26" s="13" t="s">
        <v>128</v>
      </c>
      <c r="BE26" s="15" t="str">
        <f>VLOOKUP(BD26,'Axe 2 Règles de gestion'!$D$2:$F$121,3, FALSE)</f>
        <v>La date de début de la position doit être postérieure ou égale à la date d'entrée dans la FPE ou dans la carrière militaire.</v>
      </c>
      <c r="BF26" s="13" t="s">
        <v>130</v>
      </c>
      <c r="BG26" s="15" t="str">
        <f>VLOOKUP(BF26,'Axe 2 Règles de gestion'!$D$2:$F$121,3, FALSE)</f>
        <v>La date de fin réelle de la position doit être antérieure à la date limite de départ à la retraite.</v>
      </c>
      <c r="BH26" s="13" t="s">
        <v>132</v>
      </c>
      <c r="BI26" s="15" t="str">
        <f>VLOOKUP(BH26,'Axe 2 Règles de gestion'!$D$2:$F$121,3, FALSE)</f>
        <v>La date de début de position doit être antérieure ou égale à la date de fin réelle de position.</v>
      </c>
      <c r="BJ26" s="13" t="s">
        <v>134</v>
      </c>
      <c r="BK26" s="15" t="str">
        <f>VLOOKUP(BJ26,'Axe 2 Règles de gestion'!$D$2:$F$121,3, FALSE)</f>
        <v>La date de fin prévisionnelle de la position doit être antérieure à la date limite de départ à la retraite.</v>
      </c>
      <c r="BL26" s="13" t="s">
        <v>136</v>
      </c>
      <c r="BM26" s="15" t="str">
        <f>VLOOKUP(BL26,'Axe 2 Règles de gestion'!$D$2:$F$121,3, FALSE)</f>
        <v>L'indicateur de carrière est sur la valeur "Accueil".</v>
      </c>
      <c r="BN26" s="13" t="s">
        <v>138</v>
      </c>
      <c r="BO26" s="15" t="str">
        <f>VLOOKUP(BN26,'Axe 2 Règles de gestion'!$D$2:$F$121,3, FALSE)</f>
        <v>La date de début de position est à J+1 de la date de fin de position de l'occurrence précédente.</v>
      </c>
      <c r="BP26" s="13" t="s">
        <v>140</v>
      </c>
      <c r="BQ26" s="15" t="str">
        <f>VLOOKUP(BP26,'Axe 2 Règles de gestion'!$D$2:$F$121,3, FALSE)</f>
        <v>Les champs "Type d'organisme d'origine", "Catégorie statutaire d'origine" et "Pays" de l'organisme d'origine doivent être renseignés.</v>
      </c>
      <c r="BR26" s="13" t="s">
        <v>142</v>
      </c>
      <c r="BS26" s="15" t="str">
        <f>VLOOKUP(BR26,'Axe 2 Règles de gestion'!$D$2:$F$121,3, FALSE)</f>
        <v>Les champs "Ministère (ou institution de la République) d'origine", "Corps d'origine", "Grade d'origine", "Echelon d'origine" sont renseignés si le "Type d'organisme d'origine" est valorisé à FPE.</v>
      </c>
      <c r="BT26" s="13" t="s">
        <v>144</v>
      </c>
      <c r="BU26" s="15" t="str">
        <f>VLOOKUP(BT26,'Axe 2 Règles de gestion'!$D$2:$F$121,3, FALSE)</f>
        <v>Le champ "Organisme d'origine" doit être alimenté si le type d'organisme d'origine est égal à 'Autre organisme', 'Fonction publique d'un état de l'Union Européenne' ou 'Fonction publique Européenne'.</v>
      </c>
      <c r="BV26" s="13" t="s">
        <v>146</v>
      </c>
      <c r="BW26" s="15" t="str">
        <f>VLOOKUP(BV26,'Axe 2 Règles de gestion'!$D$2:$F$121,3, FALSE)</f>
        <v>Le champ "Code emploi statutaire FPT (NET)" est renseigné si le "Type d'organisme d'origine" est valorisé à FPT.</v>
      </c>
      <c r="BX26" s="13" t="s">
        <v>148</v>
      </c>
      <c r="BY26" s="15" t="str">
        <f>VLOOKUP(BX26,'Axe 2 Règles de gestion'!$D$2:$F$121,3, FALSE)</f>
        <v>Le champ "Code emploi statutaire FPH (NEH)" est renseigné si le "Type d'organisme d'origine" est valorisé à FPH.</v>
      </c>
      <c r="BZ26" s="13" t="s">
        <v>150</v>
      </c>
      <c r="CA26" s="15" t="str">
        <f>VLOOKUP(BZ26,'Axe 2 Règles de gestion'!$D$2:$F$121,3, FALSE)</f>
        <v>La date de fin ou la date de fin prévisionnelle doit être saisie.</v>
      </c>
      <c r="CB26" s="13"/>
      <c r="CC26" s="15"/>
      <c r="CD26" s="13"/>
      <c r="CE26" s="15"/>
      <c r="CF26" s="13"/>
      <c r="CG26" s="13"/>
    </row>
    <row r="27" spans="1:85" ht="135" x14ac:dyDescent="0.25">
      <c r="A27" s="13" t="s">
        <v>167</v>
      </c>
      <c r="B27" s="13" t="s">
        <v>153</v>
      </c>
      <c r="C27" s="14">
        <v>44071.427083333336</v>
      </c>
      <c r="D27" s="13" t="s">
        <v>88</v>
      </c>
      <c r="E27" s="15" t="s">
        <v>89</v>
      </c>
      <c r="F27" s="13" t="s">
        <v>90</v>
      </c>
      <c r="G27" s="15" t="s">
        <v>91</v>
      </c>
      <c r="H27" s="13" t="s">
        <v>229</v>
      </c>
      <c r="I27" s="15" t="s">
        <v>230</v>
      </c>
      <c r="J27" s="15" t="s">
        <v>231</v>
      </c>
      <c r="K27" s="15" t="s">
        <v>232</v>
      </c>
      <c r="L27" s="13" t="s">
        <v>235</v>
      </c>
      <c r="M27" s="15" t="s">
        <v>236</v>
      </c>
      <c r="N27" s="13" t="s">
        <v>98</v>
      </c>
      <c r="O27" s="15" t="s">
        <v>170</v>
      </c>
      <c r="P27" s="15" t="s">
        <v>171</v>
      </c>
      <c r="Q27" s="15" t="s">
        <v>101</v>
      </c>
      <c r="R27" s="13" t="s">
        <v>102</v>
      </c>
      <c r="S27" s="13" t="s">
        <v>103</v>
      </c>
      <c r="T27" s="13" t="s">
        <v>104</v>
      </c>
      <c r="U27" s="14">
        <v>43831</v>
      </c>
      <c r="V27" s="14"/>
      <c r="W27" s="15" t="s">
        <v>179</v>
      </c>
      <c r="X27" s="13" t="s">
        <v>173</v>
      </c>
      <c r="Y27" s="15" t="str">
        <f>VLOOKUP(X27,'Axe 2 Règles de gestion'!$D$2:$F$121,3, FALSE)</f>
        <v>L'agent doit formuler une demande de renouvellement à son administration d'origine 3 mois au moins avant l'expiration de la période de détachement de longue durée.</v>
      </c>
      <c r="Z27" s="13" t="s">
        <v>175</v>
      </c>
      <c r="AA27" s="15" t="str">
        <f>VLOOKUP(Z27,'Axe 2 Règles de gestion'!$D$2:$F$121,3, FALSE)</f>
        <v>L'organisme d'accueil adresse sa décision à l'agent et à l'administration d'origine 2 mois au moins avant l'expiration de la période de détachement.</v>
      </c>
      <c r="AB27" s="13" t="s">
        <v>180</v>
      </c>
      <c r="AC27" s="15" t="str">
        <f>VLOOKUP(AB27,'Axe 2 Règles de gestion'!$D$2:$F$121,3, FALSE)</f>
        <v>L'agent peut demander à être reconduit dans ses fonctions 3 mois au moins avant le terme de son détachement sur un emploi de direction.</v>
      </c>
      <c r="AD27" s="13" t="s">
        <v>182</v>
      </c>
      <c r="AE27" s="15" t="str">
        <f>VLOOKUP(AD27,'Axe 2 Règles de gestion'!$D$2:$F$121,3, FALSE)</f>
        <v>Au moins 2 mois avant le terme de son détachement, l'autorité dont relève l'emploi de direction notifie la décision à l'agent.</v>
      </c>
      <c r="AF27" s="13" t="s">
        <v>184</v>
      </c>
      <c r="AG27" s="15" t="str">
        <f>VLOOKUP(AF27,'Axe 2 Règles de gestion'!$D$2:$F$121,3, FALSE)</f>
        <v>La période probatoire ne s'applique pas en cas de reconduction de l'agent dans le même emploi de direction.</v>
      </c>
      <c r="AH27" s="13"/>
      <c r="AI27" s="15"/>
      <c r="AJ27" s="13"/>
      <c r="AK27" s="15"/>
      <c r="AL27" s="13"/>
      <c r="AM27" s="15"/>
      <c r="AN27" s="13"/>
      <c r="AO27" s="15"/>
      <c r="AP27" s="13" t="s">
        <v>122</v>
      </c>
      <c r="AQ27" s="15" t="str">
        <f>VLOOKUP(AP27,'Axe 2 Règles de gestion'!$D$2:$F$121,3, FALSE)</f>
        <v>Un détachement de longue durée ne peut excéder 5 ans entre la date de début et la date de fin prévisionnelle.</v>
      </c>
      <c r="AR27" s="13" t="s">
        <v>124</v>
      </c>
      <c r="AS27" s="15" t="str">
        <f>VLOOKUP(AR27,'Axe 2 Règles de gestion'!$D$2:$F$121,3, FALSE)</f>
        <v>Un détachement de longue durée ne peut excéder 5 ans entre la date de début et la date de fin réelle.</v>
      </c>
      <c r="AT27" s="13" t="s">
        <v>177</v>
      </c>
      <c r="AU27" s="15" t="str">
        <f>VLOOKUP(AT27,'Axe 2 Règles de gestion'!$D$2:$F$121,3, FALSE)</f>
        <v>Le renouvellement d'un détachement de courte durée est interdit.</v>
      </c>
      <c r="AV27" s="13"/>
      <c r="AW27" s="15"/>
      <c r="AX27" s="13"/>
      <c r="AY27" s="15"/>
      <c r="AZ27" s="13"/>
      <c r="BA27" s="15"/>
      <c r="BB27" s="13" t="s">
        <v>126</v>
      </c>
      <c r="BC27" s="15" t="str">
        <f>VLOOKUP(BB27,'Axe 2 Règles de gestion'!$D$2:$F$121,3, FALSE)</f>
        <v>La date de début de position doit être antérieure ou égale à la date de fin prévisionnelle de position.</v>
      </c>
      <c r="BD27" s="13" t="s">
        <v>128</v>
      </c>
      <c r="BE27" s="15" t="str">
        <f>VLOOKUP(BD27,'Axe 2 Règles de gestion'!$D$2:$F$121,3, FALSE)</f>
        <v>La date de début de la position doit être postérieure ou égale à la date d'entrée dans la FPE ou dans la carrière militaire.</v>
      </c>
      <c r="BF27" s="13" t="s">
        <v>130</v>
      </c>
      <c r="BG27" s="15" t="str">
        <f>VLOOKUP(BF27,'Axe 2 Règles de gestion'!$D$2:$F$121,3, FALSE)</f>
        <v>La date de fin réelle de la position doit être antérieure à la date limite de départ à la retraite.</v>
      </c>
      <c r="BH27" s="13" t="s">
        <v>132</v>
      </c>
      <c r="BI27" s="15" t="str">
        <f>VLOOKUP(BH27,'Axe 2 Règles de gestion'!$D$2:$F$121,3, FALSE)</f>
        <v>La date de début de position doit être antérieure ou égale à la date de fin réelle de position.</v>
      </c>
      <c r="BJ27" s="13" t="s">
        <v>134</v>
      </c>
      <c r="BK27" s="15" t="str">
        <f>VLOOKUP(BJ27,'Axe 2 Règles de gestion'!$D$2:$F$121,3, FALSE)</f>
        <v>La date de fin prévisionnelle de la position doit être antérieure à la date limite de départ à la retraite.</v>
      </c>
      <c r="BL27" s="13" t="s">
        <v>136</v>
      </c>
      <c r="BM27" s="15" t="str">
        <f>VLOOKUP(BL27,'Axe 2 Règles de gestion'!$D$2:$F$121,3, FALSE)</f>
        <v>L'indicateur de carrière est sur la valeur "Accueil".</v>
      </c>
      <c r="BN27" s="13" t="s">
        <v>138</v>
      </c>
      <c r="BO27" s="15" t="str">
        <f>VLOOKUP(BN27,'Axe 2 Règles de gestion'!$D$2:$F$121,3, FALSE)</f>
        <v>La date de début de position est à J+1 de la date de fin de position de l'occurrence précédente.</v>
      </c>
      <c r="BP27" s="13" t="s">
        <v>140</v>
      </c>
      <c r="BQ27" s="15" t="str">
        <f>VLOOKUP(BP27,'Axe 2 Règles de gestion'!$D$2:$F$121,3, FALSE)</f>
        <v>Les champs "Type d'organisme d'origine", "Catégorie statutaire d'origine" et "Pays" de l'organisme d'origine doivent être renseignés.</v>
      </c>
      <c r="BR27" s="13" t="s">
        <v>142</v>
      </c>
      <c r="BS27" s="15" t="str">
        <f>VLOOKUP(BR27,'Axe 2 Règles de gestion'!$D$2:$F$121,3, FALSE)</f>
        <v>Les champs "Ministère (ou institution de la République) d'origine", "Corps d'origine", "Grade d'origine", "Echelon d'origine" sont renseignés si le "Type d'organisme d'origine" est valorisé à FPE.</v>
      </c>
      <c r="BT27" s="13" t="s">
        <v>144</v>
      </c>
      <c r="BU27" s="15" t="str">
        <f>VLOOKUP(BT27,'Axe 2 Règles de gestion'!$D$2:$F$121,3, FALSE)</f>
        <v>Le champ "Organisme d'origine" doit être alimenté si le type d'organisme d'origine est égal à 'Autre organisme', 'Fonction publique d'un état de l'Union Européenne' ou 'Fonction publique Européenne'.</v>
      </c>
      <c r="BV27" s="13" t="s">
        <v>146</v>
      </c>
      <c r="BW27" s="15" t="str">
        <f>VLOOKUP(BV27,'Axe 2 Règles de gestion'!$D$2:$F$121,3, FALSE)</f>
        <v>Le champ "Code emploi statutaire FPT (NET)" est renseigné si le "Type d'organisme d'origine" est valorisé à FPT.</v>
      </c>
      <c r="BX27" s="13" t="s">
        <v>148</v>
      </c>
      <c r="BY27" s="15" t="str">
        <f>VLOOKUP(BX27,'Axe 2 Règles de gestion'!$D$2:$F$121,3, FALSE)</f>
        <v>Le champ "Code emploi statutaire FPH (NEH)" est renseigné si le "Type d'organisme d'origine" est valorisé à FPH.</v>
      </c>
      <c r="BZ27" s="13" t="s">
        <v>150</v>
      </c>
      <c r="CA27" s="15" t="str">
        <f>VLOOKUP(BZ27,'Axe 2 Règles de gestion'!$D$2:$F$121,3, FALSE)</f>
        <v>La date de fin ou la date de fin prévisionnelle doit être saisie.</v>
      </c>
      <c r="CB27" s="13"/>
      <c r="CC27" s="15"/>
      <c r="CD27" s="13"/>
      <c r="CE27" s="15"/>
      <c r="CF27" s="13"/>
      <c r="CG27" s="13"/>
    </row>
    <row r="28" spans="1:85" ht="150" x14ac:dyDescent="0.25">
      <c r="A28" s="13" t="s">
        <v>86</v>
      </c>
      <c r="B28" s="13" t="s">
        <v>87</v>
      </c>
      <c r="C28" s="14">
        <v>43850.552083333336</v>
      </c>
      <c r="D28" s="13" t="s">
        <v>88</v>
      </c>
      <c r="E28" s="15" t="s">
        <v>89</v>
      </c>
      <c r="F28" s="13" t="s">
        <v>90</v>
      </c>
      <c r="G28" s="15" t="s">
        <v>91</v>
      </c>
      <c r="H28" s="13" t="s">
        <v>229</v>
      </c>
      <c r="I28" s="15" t="s">
        <v>230</v>
      </c>
      <c r="J28" s="15" t="s">
        <v>231</v>
      </c>
      <c r="K28" s="15" t="s">
        <v>232</v>
      </c>
      <c r="L28" s="13" t="s">
        <v>237</v>
      </c>
      <c r="M28" s="15" t="s">
        <v>238</v>
      </c>
      <c r="N28" s="13" t="s">
        <v>188</v>
      </c>
      <c r="O28" s="15" t="s">
        <v>189</v>
      </c>
      <c r="P28" s="15" t="s">
        <v>190</v>
      </c>
      <c r="Q28" s="15" t="s">
        <v>101</v>
      </c>
      <c r="R28" s="13" t="s">
        <v>102</v>
      </c>
      <c r="S28" s="13" t="s">
        <v>103</v>
      </c>
      <c r="T28" s="13" t="s">
        <v>104</v>
      </c>
      <c r="U28" s="14">
        <v>40725</v>
      </c>
      <c r="V28" s="14"/>
      <c r="W28" s="15" t="s">
        <v>191</v>
      </c>
      <c r="X28" s="13" t="s">
        <v>192</v>
      </c>
      <c r="Y28" s="15" t="str">
        <f>VLOOKUP(X28,'Axe 2 Règles de gestion'!$D$2:$F$121,3, FALSE)</f>
        <v>Le détachement peut prendre fin de manière anticipée à l'initiative de l'administration d'accueil, de l'administration d'origine ou de l'agent.</v>
      </c>
      <c r="Z28" s="13" t="s">
        <v>194</v>
      </c>
      <c r="AA28" s="15" t="str">
        <f>VLOOKUP(Z28,'Axe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8" s="13" t="s">
        <v>196</v>
      </c>
      <c r="AC28" s="15" t="str">
        <f>VLOOKUP(AB28,'Axe 2 Règles de gestion'!$D$2:$F$121,3, FALSE)</f>
        <v>L'agent doit adresser une demande de réintégration à l'administration d'origine 3 mois au moins avant l'expiration de la période de détachement de longue durée.</v>
      </c>
      <c r="AD28" s="13" t="s">
        <v>175</v>
      </c>
      <c r="AE28" s="15" t="str">
        <f>VLOOKUP(AD28,'Axe 2 Règles de gestion'!$D$2:$F$121,3, FALSE)</f>
        <v>L'organisme d'accueil adresse sa décision à l'agent et à l'administration d'origine 2 mois au moins avant l'expiration de la période de détachement.</v>
      </c>
      <c r="AF28" s="13" t="s">
        <v>198</v>
      </c>
      <c r="AG28" s="15" t="str">
        <f>VLOOKUP(AF28,'Axe 2 Règles de gestion'!$D$2:$F$121,3, FALSE)</f>
        <v>Si l'agent n'adresse pas sa demande dans les délais, il est obligatoirement réintégré à la première vacance dans son corps d'origine et affecté à un emploi correspondant à son grade.</v>
      </c>
      <c r="AH28" s="13" t="s">
        <v>200</v>
      </c>
      <c r="AI28" s="15" t="str">
        <f>VLOOKUP(AH28,'Axe 2 Règles de gestion'!$D$2:$F$121,3, FALSE)</f>
        <v>Les dispositions relatives à la réintégration au terme d'un détachement de longue durée ne sont pas applicables aux préfets et sous-préfets.</v>
      </c>
      <c r="AJ28" s="13"/>
      <c r="AK28" s="15"/>
      <c r="AL28" s="13"/>
      <c r="AM28" s="15"/>
      <c r="AN28" s="13"/>
      <c r="AO28" s="15"/>
      <c r="AP28" s="13" t="s">
        <v>114</v>
      </c>
      <c r="AQ28" s="15" t="str">
        <f>VLOOKUP(AP28,'Axe 2 Règles de gestion'!$D$2:$F$121,3, FALSE)</f>
        <v>Un détachement de courte durée à l'étranger ou dans les TOM ne peut excéder 1 an entre la date de début et la date de fin prévisionnelle.</v>
      </c>
      <c r="AR28" s="13" t="s">
        <v>116</v>
      </c>
      <c r="AS28" s="15" t="str">
        <f>VLOOKUP(AR28,'Axe 2 Règles de gestion'!$D$2:$F$121,3, FALSE)</f>
        <v>Un détachement de courte durée à l'étranger ou dans les TOM ne peut excéder 1 an entre la date de début et la date de fin réelle.</v>
      </c>
      <c r="AT28" s="13" t="s">
        <v>118</v>
      </c>
      <c r="AU28" s="15" t="str">
        <f>VLOOKUP(AT28,'Axe 2 Règles de gestion'!$D$2:$F$121,3, FALSE)</f>
        <v>Un détachement de courte durée n'ayant pas lieu à l'étranger ou dans les TOM ne peut excéder six mois entre la date de début et la date de fin prévisionnelle.</v>
      </c>
      <c r="AV28" s="13" t="s">
        <v>120</v>
      </c>
      <c r="AW28" s="15" t="str">
        <f>VLOOKUP(AV28,'Axe 2 Règles de gestion'!$D$2:$F$121,3, FALSE)</f>
        <v>Un détachement de courte durée n'ayant pas lieu à l'étranger ou dans les TOM ne peut excéder six mois entre la date de début et la date de fin réelle.</v>
      </c>
      <c r="AX28" s="13" t="s">
        <v>122</v>
      </c>
      <c r="AY28" s="15" t="str">
        <f>VLOOKUP(AX28,'Axe 2 Règles de gestion'!$D$2:$F$121,3, FALSE)</f>
        <v>Un détachement de longue durée ne peut excéder 5 ans entre la date de début et la date de fin prévisionnelle.</v>
      </c>
      <c r="AZ28" s="13" t="s">
        <v>124</v>
      </c>
      <c r="BA28" s="15" t="str">
        <f>VLOOKUP(AZ28,'Axe 2 Règles de gestion'!$D$2:$F$121,3, FALSE)</f>
        <v>Un détachement de longue durée ne peut excéder 5 ans entre la date de début et la date de fin réelle.</v>
      </c>
      <c r="BB28" s="13" t="s">
        <v>126</v>
      </c>
      <c r="BC28" s="15" t="str">
        <f>VLOOKUP(BB28,'Axe 2 Règles de gestion'!$D$2:$F$121,3, FALSE)</f>
        <v>La date de début de position doit être antérieure ou égale à la date de fin prévisionnelle de position.</v>
      </c>
      <c r="BD28" s="13" t="s">
        <v>130</v>
      </c>
      <c r="BE28" s="15" t="str">
        <f>VLOOKUP(BD28,'Axe 2 Règles de gestion'!$D$2:$F$121,3, FALSE)</f>
        <v>La date de fin réelle de la position doit être antérieure à la date limite de départ à la retraite.</v>
      </c>
      <c r="BF28" s="13" t="s">
        <v>132</v>
      </c>
      <c r="BG28" s="15" t="str">
        <f>VLOOKUP(BF28,'Axe 2 Règles de gestion'!$D$2:$F$121,3, FALSE)</f>
        <v>La date de début de position doit être antérieure ou égale à la date de fin réelle de position.</v>
      </c>
      <c r="BH28" s="13" t="s">
        <v>134</v>
      </c>
      <c r="BI28" s="15" t="str">
        <f>VLOOKUP(BH28,'Axe 2 Règles de gestion'!$D$2:$F$121,3, FALSE)</f>
        <v>La date de fin prévisionnelle de la position doit être antérieure à la date limite de départ à la retraite.</v>
      </c>
      <c r="BJ28" s="13" t="s">
        <v>140</v>
      </c>
      <c r="BK28" s="15" t="str">
        <f>VLOOKUP(BJ28,'Axe 2 Règles de gestion'!$D$2:$F$121,3, FALSE)</f>
        <v>Les champs "Type d'organisme d'origine", "Catégorie statutaire d'origine" et "Pays" de l'organisme d'origine doivent être renseignés.</v>
      </c>
      <c r="BL28" s="13" t="s">
        <v>142</v>
      </c>
      <c r="BM28" s="15" t="str">
        <f>VLOOKUP(BL28,'Axe 2 Règles de gestion'!$D$2:$F$121,3, FALSE)</f>
        <v>Les champs "Ministère (ou institution de la République) d'origine", "Corps d'origine", "Grade d'origine", "Echelon d'origine" sont renseignés si le "Type d'organisme d'origine" est valorisé à FPE.</v>
      </c>
      <c r="BN28" s="13" t="s">
        <v>144</v>
      </c>
      <c r="BO28" s="15" t="str">
        <f>VLOOKUP(BN28,'Axe 2 Règles de gestion'!$D$2:$F$121,3, FALSE)</f>
        <v>Le champ "Organisme d'origine" doit être alimenté si le type d'organisme d'origine est égal à 'Autre organisme', 'Fonction publique d'un état de l'Union Européenne' ou 'Fonction publique Européenne'.</v>
      </c>
      <c r="BP28" s="13" t="s">
        <v>146</v>
      </c>
      <c r="BQ28" s="15" t="str">
        <f>VLOOKUP(BP28,'Axe 2 Règles de gestion'!$D$2:$F$121,3, FALSE)</f>
        <v>Le champ "Code emploi statutaire FPT (NET)" est renseigné si le "Type d'organisme d'origine" est valorisé à FPT.</v>
      </c>
      <c r="BR28" s="13" t="s">
        <v>148</v>
      </c>
      <c r="BS28" s="15" t="str">
        <f>VLOOKUP(BR28,'Axe 2 Règles de gestion'!$D$2:$F$121,3, FALSE)</f>
        <v>Le champ "Code emploi statutaire FPH (NEH)" est renseigné si le "Type d'organisme d'origine" est valorisé à FPH.</v>
      </c>
      <c r="BT28" s="13" t="s">
        <v>150</v>
      </c>
      <c r="BU28" s="15" t="str">
        <f>VLOOKUP(BT28,'Axe 2 Règles de gestion'!$D$2:$F$121,3, FALSE)</f>
        <v>La date de fin ou la date de fin prévisionnelle doit être saisie.</v>
      </c>
      <c r="BV28" s="13"/>
      <c r="BW28" s="15"/>
      <c r="BX28" s="13"/>
      <c r="BY28" s="15"/>
      <c r="BZ28" s="13"/>
      <c r="CA28" s="15"/>
      <c r="CB28" s="13"/>
      <c r="CC28" s="15"/>
      <c r="CD28" s="13"/>
      <c r="CE28" s="15"/>
      <c r="CF28" s="13"/>
      <c r="CG28" s="13"/>
    </row>
    <row r="29" spans="1:85" ht="135" x14ac:dyDescent="0.25">
      <c r="A29" s="13" t="s">
        <v>202</v>
      </c>
      <c r="B29" s="13" t="s">
        <v>153</v>
      </c>
      <c r="C29" s="14">
        <v>43152.5</v>
      </c>
      <c r="D29" s="13" t="s">
        <v>88</v>
      </c>
      <c r="E29" s="15" t="s">
        <v>89</v>
      </c>
      <c r="F29" s="13" t="s">
        <v>90</v>
      </c>
      <c r="G29" s="15" t="s">
        <v>91</v>
      </c>
      <c r="H29" s="13" t="s">
        <v>229</v>
      </c>
      <c r="I29" s="15" t="s">
        <v>230</v>
      </c>
      <c r="J29" s="15" t="s">
        <v>231</v>
      </c>
      <c r="K29" s="15" t="s">
        <v>232</v>
      </c>
      <c r="L29" s="13" t="s">
        <v>233</v>
      </c>
      <c r="M29" s="15" t="s">
        <v>234</v>
      </c>
      <c r="N29" s="13" t="s">
        <v>98</v>
      </c>
      <c r="O29" s="15" t="s">
        <v>99</v>
      </c>
      <c r="P29" s="15" t="s">
        <v>100</v>
      </c>
      <c r="Q29" s="15" t="s">
        <v>203</v>
      </c>
      <c r="R29" s="13" t="s">
        <v>204</v>
      </c>
      <c r="S29" s="13" t="s">
        <v>103</v>
      </c>
      <c r="T29" s="13" t="s">
        <v>205</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3"/>
    </row>
    <row r="30" spans="1:85" ht="135" x14ac:dyDescent="0.25">
      <c r="A30" s="13" t="s">
        <v>202</v>
      </c>
      <c r="B30" s="13" t="s">
        <v>153</v>
      </c>
      <c r="C30" s="14">
        <v>43152.5</v>
      </c>
      <c r="D30" s="13" t="s">
        <v>88</v>
      </c>
      <c r="E30" s="15" t="s">
        <v>89</v>
      </c>
      <c r="F30" s="13" t="s">
        <v>90</v>
      </c>
      <c r="G30" s="15" t="s">
        <v>91</v>
      </c>
      <c r="H30" s="13" t="s">
        <v>229</v>
      </c>
      <c r="I30" s="15" t="s">
        <v>230</v>
      </c>
      <c r="J30" s="15" t="s">
        <v>231</v>
      </c>
      <c r="K30" s="15" t="s">
        <v>232</v>
      </c>
      <c r="L30" s="13" t="s">
        <v>235</v>
      </c>
      <c r="M30" s="15" t="s">
        <v>236</v>
      </c>
      <c r="N30" s="13" t="s">
        <v>98</v>
      </c>
      <c r="O30" s="15" t="s">
        <v>170</v>
      </c>
      <c r="P30" s="15" t="s">
        <v>171</v>
      </c>
      <c r="Q30" s="15" t="s">
        <v>203</v>
      </c>
      <c r="R30" s="13" t="s">
        <v>204</v>
      </c>
      <c r="S30" s="13" t="s">
        <v>103</v>
      </c>
      <c r="T30" s="13" t="s">
        <v>205</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3"/>
    </row>
    <row r="31" spans="1:85" ht="135" x14ac:dyDescent="0.25">
      <c r="A31" s="13" t="s">
        <v>202</v>
      </c>
      <c r="B31" s="13" t="s">
        <v>153</v>
      </c>
      <c r="C31" s="14">
        <v>43152.5</v>
      </c>
      <c r="D31" s="13" t="s">
        <v>88</v>
      </c>
      <c r="E31" s="15" t="s">
        <v>89</v>
      </c>
      <c r="F31" s="13" t="s">
        <v>90</v>
      </c>
      <c r="G31" s="15" t="s">
        <v>91</v>
      </c>
      <c r="H31" s="13" t="s">
        <v>229</v>
      </c>
      <c r="I31" s="15" t="s">
        <v>230</v>
      </c>
      <c r="J31" s="15" t="s">
        <v>231</v>
      </c>
      <c r="K31" s="15" t="s">
        <v>232</v>
      </c>
      <c r="L31" s="13" t="s">
        <v>237</v>
      </c>
      <c r="M31" s="15" t="s">
        <v>238</v>
      </c>
      <c r="N31" s="13" t="s">
        <v>188</v>
      </c>
      <c r="O31" s="15" t="s">
        <v>189</v>
      </c>
      <c r="P31" s="15" t="s">
        <v>190</v>
      </c>
      <c r="Q31" s="15" t="s">
        <v>203</v>
      </c>
      <c r="R31" s="13" t="s">
        <v>204</v>
      </c>
      <c r="S31" s="13" t="s">
        <v>103</v>
      </c>
      <c r="T31" s="13" t="s">
        <v>205</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3"/>
    </row>
    <row r="32" spans="1:85" ht="135" x14ac:dyDescent="0.25">
      <c r="A32" s="13" t="s">
        <v>202</v>
      </c>
      <c r="B32" s="13" t="s">
        <v>153</v>
      </c>
      <c r="C32" s="14">
        <v>43152.5</v>
      </c>
      <c r="D32" s="13" t="s">
        <v>88</v>
      </c>
      <c r="E32" s="15" t="s">
        <v>89</v>
      </c>
      <c r="F32" s="13" t="s">
        <v>90</v>
      </c>
      <c r="G32" s="15" t="s">
        <v>91</v>
      </c>
      <c r="H32" s="13" t="s">
        <v>229</v>
      </c>
      <c r="I32" s="15" t="s">
        <v>230</v>
      </c>
      <c r="J32" s="15" t="s">
        <v>231</v>
      </c>
      <c r="K32" s="15" t="s">
        <v>232</v>
      </c>
      <c r="L32" s="13" t="s">
        <v>233</v>
      </c>
      <c r="M32" s="15" t="s">
        <v>234</v>
      </c>
      <c r="N32" s="13" t="s">
        <v>98</v>
      </c>
      <c r="O32" s="15" t="s">
        <v>99</v>
      </c>
      <c r="P32" s="15" t="s">
        <v>100</v>
      </c>
      <c r="Q32" s="15" t="s">
        <v>206</v>
      </c>
      <c r="R32" s="13" t="s">
        <v>207</v>
      </c>
      <c r="S32" s="13" t="s">
        <v>103</v>
      </c>
      <c r="T32" s="13" t="s">
        <v>205</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3"/>
    </row>
    <row r="33" spans="1:85" ht="135" x14ac:dyDescent="0.25">
      <c r="A33" s="13" t="s">
        <v>202</v>
      </c>
      <c r="B33" s="13" t="s">
        <v>153</v>
      </c>
      <c r="C33" s="14">
        <v>43152.5</v>
      </c>
      <c r="D33" s="13" t="s">
        <v>88</v>
      </c>
      <c r="E33" s="15" t="s">
        <v>89</v>
      </c>
      <c r="F33" s="13" t="s">
        <v>90</v>
      </c>
      <c r="G33" s="15" t="s">
        <v>91</v>
      </c>
      <c r="H33" s="13" t="s">
        <v>229</v>
      </c>
      <c r="I33" s="15" t="s">
        <v>230</v>
      </c>
      <c r="J33" s="15" t="s">
        <v>231</v>
      </c>
      <c r="K33" s="15" t="s">
        <v>232</v>
      </c>
      <c r="L33" s="13" t="s">
        <v>235</v>
      </c>
      <c r="M33" s="15" t="s">
        <v>236</v>
      </c>
      <c r="N33" s="13" t="s">
        <v>98</v>
      </c>
      <c r="O33" s="15" t="s">
        <v>170</v>
      </c>
      <c r="P33" s="15" t="s">
        <v>171</v>
      </c>
      <c r="Q33" s="15" t="s">
        <v>206</v>
      </c>
      <c r="R33" s="13" t="s">
        <v>207</v>
      </c>
      <c r="S33" s="13" t="s">
        <v>103</v>
      </c>
      <c r="T33" s="13" t="s">
        <v>205</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3"/>
    </row>
    <row r="34" spans="1:85" ht="135" x14ac:dyDescent="0.25">
      <c r="A34" s="13" t="s">
        <v>202</v>
      </c>
      <c r="B34" s="13" t="s">
        <v>153</v>
      </c>
      <c r="C34" s="14">
        <v>43152.5</v>
      </c>
      <c r="D34" s="13" t="s">
        <v>88</v>
      </c>
      <c r="E34" s="15" t="s">
        <v>89</v>
      </c>
      <c r="F34" s="13" t="s">
        <v>90</v>
      </c>
      <c r="G34" s="15" t="s">
        <v>91</v>
      </c>
      <c r="H34" s="13" t="s">
        <v>229</v>
      </c>
      <c r="I34" s="15" t="s">
        <v>230</v>
      </c>
      <c r="J34" s="15" t="s">
        <v>231</v>
      </c>
      <c r="K34" s="15" t="s">
        <v>232</v>
      </c>
      <c r="L34" s="13" t="s">
        <v>237</v>
      </c>
      <c r="M34" s="15" t="s">
        <v>238</v>
      </c>
      <c r="N34" s="13" t="s">
        <v>188</v>
      </c>
      <c r="O34" s="15" t="s">
        <v>189</v>
      </c>
      <c r="P34" s="15" t="s">
        <v>190</v>
      </c>
      <c r="Q34" s="15" t="s">
        <v>206</v>
      </c>
      <c r="R34" s="13" t="s">
        <v>207</v>
      </c>
      <c r="S34" s="13" t="s">
        <v>103</v>
      </c>
      <c r="T34" s="13" t="s">
        <v>205</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3"/>
    </row>
    <row r="35" spans="1:85" ht="135" x14ac:dyDescent="0.25">
      <c r="A35" s="13" t="s">
        <v>202</v>
      </c>
      <c r="B35" s="13" t="s">
        <v>153</v>
      </c>
      <c r="C35" s="14">
        <v>43152.5</v>
      </c>
      <c r="D35" s="13" t="s">
        <v>88</v>
      </c>
      <c r="E35" s="15" t="s">
        <v>89</v>
      </c>
      <c r="F35" s="13" t="s">
        <v>90</v>
      </c>
      <c r="G35" s="15" t="s">
        <v>91</v>
      </c>
      <c r="H35" s="13" t="s">
        <v>229</v>
      </c>
      <c r="I35" s="15" t="s">
        <v>230</v>
      </c>
      <c r="J35" s="15" t="s">
        <v>231</v>
      </c>
      <c r="K35" s="15" t="s">
        <v>232</v>
      </c>
      <c r="L35" s="13" t="s">
        <v>233</v>
      </c>
      <c r="M35" s="15" t="s">
        <v>234</v>
      </c>
      <c r="N35" s="13" t="s">
        <v>98</v>
      </c>
      <c r="O35" s="15" t="s">
        <v>99</v>
      </c>
      <c r="P35" s="15" t="s">
        <v>100</v>
      </c>
      <c r="Q35" s="15" t="s">
        <v>208</v>
      </c>
      <c r="R35" s="13" t="s">
        <v>209</v>
      </c>
      <c r="S35" s="13" t="s">
        <v>103</v>
      </c>
      <c r="T35" s="13" t="s">
        <v>205</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3"/>
    </row>
    <row r="36" spans="1:85" ht="135" x14ac:dyDescent="0.25">
      <c r="A36" s="13" t="s">
        <v>202</v>
      </c>
      <c r="B36" s="13" t="s">
        <v>153</v>
      </c>
      <c r="C36" s="14">
        <v>43152.5</v>
      </c>
      <c r="D36" s="13" t="s">
        <v>88</v>
      </c>
      <c r="E36" s="15" t="s">
        <v>89</v>
      </c>
      <c r="F36" s="13" t="s">
        <v>90</v>
      </c>
      <c r="G36" s="15" t="s">
        <v>91</v>
      </c>
      <c r="H36" s="13" t="s">
        <v>229</v>
      </c>
      <c r="I36" s="15" t="s">
        <v>230</v>
      </c>
      <c r="J36" s="15" t="s">
        <v>231</v>
      </c>
      <c r="K36" s="15" t="s">
        <v>232</v>
      </c>
      <c r="L36" s="13" t="s">
        <v>235</v>
      </c>
      <c r="M36" s="15" t="s">
        <v>236</v>
      </c>
      <c r="N36" s="13" t="s">
        <v>98</v>
      </c>
      <c r="O36" s="15" t="s">
        <v>170</v>
      </c>
      <c r="P36" s="15" t="s">
        <v>171</v>
      </c>
      <c r="Q36" s="15" t="s">
        <v>208</v>
      </c>
      <c r="R36" s="13" t="s">
        <v>209</v>
      </c>
      <c r="S36" s="13" t="s">
        <v>103</v>
      </c>
      <c r="T36" s="13" t="s">
        <v>205</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3"/>
    </row>
    <row r="37" spans="1:85" ht="135" x14ac:dyDescent="0.25">
      <c r="A37" s="13" t="s">
        <v>202</v>
      </c>
      <c r="B37" s="13" t="s">
        <v>153</v>
      </c>
      <c r="C37" s="14">
        <v>43152.5</v>
      </c>
      <c r="D37" s="13" t="s">
        <v>88</v>
      </c>
      <c r="E37" s="15" t="s">
        <v>89</v>
      </c>
      <c r="F37" s="13" t="s">
        <v>90</v>
      </c>
      <c r="G37" s="15" t="s">
        <v>91</v>
      </c>
      <c r="H37" s="13" t="s">
        <v>229</v>
      </c>
      <c r="I37" s="15" t="s">
        <v>230</v>
      </c>
      <c r="J37" s="15" t="s">
        <v>231</v>
      </c>
      <c r="K37" s="15" t="s">
        <v>232</v>
      </c>
      <c r="L37" s="13" t="s">
        <v>237</v>
      </c>
      <c r="M37" s="15" t="s">
        <v>238</v>
      </c>
      <c r="N37" s="13" t="s">
        <v>188</v>
      </c>
      <c r="O37" s="15" t="s">
        <v>189</v>
      </c>
      <c r="P37" s="15" t="s">
        <v>190</v>
      </c>
      <c r="Q37" s="15" t="s">
        <v>208</v>
      </c>
      <c r="R37" s="13" t="s">
        <v>209</v>
      </c>
      <c r="S37" s="13" t="s">
        <v>103</v>
      </c>
      <c r="T37" s="13" t="s">
        <v>205</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3"/>
    </row>
    <row r="38" spans="1:85" ht="135" x14ac:dyDescent="0.25">
      <c r="A38" s="13" t="s">
        <v>86</v>
      </c>
      <c r="B38" s="13" t="s">
        <v>87</v>
      </c>
      <c r="C38" s="14">
        <v>43850.552083333336</v>
      </c>
      <c r="D38" s="13" t="s">
        <v>88</v>
      </c>
      <c r="E38" s="15" t="s">
        <v>89</v>
      </c>
      <c r="F38" s="13" t="s">
        <v>90</v>
      </c>
      <c r="G38" s="15" t="s">
        <v>91</v>
      </c>
      <c r="H38" s="13" t="s">
        <v>229</v>
      </c>
      <c r="I38" s="15" t="s">
        <v>230</v>
      </c>
      <c r="J38" s="15" t="s">
        <v>231</v>
      </c>
      <c r="K38" s="15" t="s">
        <v>232</v>
      </c>
      <c r="L38" s="13" t="s">
        <v>233</v>
      </c>
      <c r="M38" s="15" t="s">
        <v>234</v>
      </c>
      <c r="N38" s="13" t="s">
        <v>98</v>
      </c>
      <c r="O38" s="15" t="s">
        <v>99</v>
      </c>
      <c r="P38" s="15" t="s">
        <v>100</v>
      </c>
      <c r="Q38" s="15" t="s">
        <v>219</v>
      </c>
      <c r="R38" s="13" t="s">
        <v>220</v>
      </c>
      <c r="S38" s="13" t="s">
        <v>212</v>
      </c>
      <c r="T38" s="13" t="s">
        <v>104</v>
      </c>
      <c r="U38" s="14">
        <v>40725</v>
      </c>
      <c r="V38" s="14">
        <v>43830</v>
      </c>
      <c r="W38" s="15" t="s">
        <v>221</v>
      </c>
      <c r="X38" s="13" t="s">
        <v>106</v>
      </c>
      <c r="Y38" s="15" t="str">
        <f>VLOOKUP(X38,'Axe 2 Règles de gestion'!$D$2:$F$121,3, FALSE)</f>
        <v>L'agent doit détenir le titre ou le diplôme requis pour l'exercice des fonctions du corps d'accueil.</v>
      </c>
      <c r="Z38" s="13" t="s">
        <v>108</v>
      </c>
      <c r="AA38" s="15" t="str">
        <f>VLOOKUP(Z38,'Axe 2 Règles de gestion'!$D$2:$F$121,3, FALSE)</f>
        <v>L'agent doit formuler une demande.</v>
      </c>
      <c r="AB38" s="13" t="s">
        <v>110</v>
      </c>
      <c r="AC38" s="15" t="str">
        <f>VLOOKUP(AB38,'Axe 2 Règles de gestion'!$D$2:$F$121,3, FALSE)</f>
        <v>Le détachement est accordé après avis des commissions administratives paritaires compétentes.</v>
      </c>
      <c r="AD38" s="13" t="s">
        <v>112</v>
      </c>
      <c r="AE38" s="15" t="str">
        <f>VLOOKUP(AD38,'Axe 2 Règles de gestion'!$D$2:$F$121,3, FALSE)</f>
        <v>L'accord de l'administration d'origine est nécessaire.</v>
      </c>
      <c r="AF38" s="13"/>
      <c r="AG38" s="15"/>
      <c r="AH38" s="13"/>
      <c r="AI38" s="15"/>
      <c r="AJ38" s="13"/>
      <c r="AK38" s="15"/>
      <c r="AL38" s="13"/>
      <c r="AM38" s="15"/>
      <c r="AN38" s="13"/>
      <c r="AO38" s="15"/>
      <c r="AP38" s="13" t="s">
        <v>222</v>
      </c>
      <c r="AQ38" s="15" t="str">
        <f>VLOOKUP(AP38,'Axe 2 Règles de gestion'!$D$2:$F$121,3, FALSE)</f>
        <v>La durée de détachement ne peut pas excéder 6 ans entre la date de début et la date de fin prévisionnelle.</v>
      </c>
      <c r="AR38" s="13" t="s">
        <v>224</v>
      </c>
      <c r="AS38" s="15" t="str">
        <f>VLOOKUP(AR38,'Axe 2 Règles de gestion'!$D$2:$F$121,3, FALSE)</f>
        <v>La durée de détachement ne peut pas excéder 6 ans entre la date de début et la date de fin réelle.</v>
      </c>
      <c r="AT38" s="13" t="s">
        <v>214</v>
      </c>
      <c r="AU38" s="15" t="str">
        <f>VLOOKUP(AT38,'Axe 2 Règles de gestion'!$D$2:$F$121,3, FALSE)</f>
        <v>Le détachement de courte durée est interdit.</v>
      </c>
      <c r="AV38" s="13"/>
      <c r="AW38" s="15"/>
      <c r="AX38" s="13"/>
      <c r="AY38" s="15"/>
      <c r="AZ38" s="13"/>
      <c r="BA38" s="15"/>
      <c r="BB38" s="13" t="s">
        <v>126</v>
      </c>
      <c r="BC38" s="15" t="str">
        <f>VLOOKUP(BB38,'Axe 2 Règles de gestion'!$D$2:$F$121,3, FALSE)</f>
        <v>La date de début de position doit être antérieure ou égale à la date de fin prévisionnelle de position.</v>
      </c>
      <c r="BD38" s="13" t="s">
        <v>128</v>
      </c>
      <c r="BE38" s="15" t="str">
        <f>VLOOKUP(BD38,'Axe 2 Règles de gestion'!$D$2:$F$121,3, FALSE)</f>
        <v>La date de début de la position doit être postérieure ou égale à la date d'entrée dans la FPE ou dans la carrière militaire.</v>
      </c>
      <c r="BF38" s="13" t="s">
        <v>130</v>
      </c>
      <c r="BG38" s="15" t="str">
        <f>VLOOKUP(BF38,'Axe 2 Règles de gestion'!$D$2:$F$121,3, FALSE)</f>
        <v>La date de fin réelle de la position doit être antérieure à la date limite de départ à la retraite.</v>
      </c>
      <c r="BH38" s="13" t="s">
        <v>132</v>
      </c>
      <c r="BI38" s="15" t="str">
        <f>VLOOKUP(BH38,'Axe 2 Règles de gestion'!$D$2:$F$121,3, FALSE)</f>
        <v>La date de début de position doit être antérieure ou égale à la date de fin réelle de position.</v>
      </c>
      <c r="BJ38" s="13" t="s">
        <v>134</v>
      </c>
      <c r="BK38" s="15" t="str">
        <f>VLOOKUP(BJ38,'Axe 2 Règles de gestion'!$D$2:$F$121,3, FALSE)</f>
        <v>La date de fin prévisionnelle de la position doit être antérieure à la date limite de départ à la retraite.</v>
      </c>
      <c r="BL38" s="13" t="s">
        <v>136</v>
      </c>
      <c r="BM38" s="15" t="str">
        <f>VLOOKUP(BL38,'Axe 2 Règles de gestion'!$D$2:$F$121,3, FALSE)</f>
        <v>L'indicateur de carrière est sur la valeur "Accueil".</v>
      </c>
      <c r="BN38" s="13" t="s">
        <v>138</v>
      </c>
      <c r="BO38" s="15" t="str">
        <f>VLOOKUP(BN38,'Axe 2 Règles de gestion'!$D$2:$F$121,3, FALSE)</f>
        <v>La date de début de position est à J+1 de la date de fin de position de l'occurrence précédente.</v>
      </c>
      <c r="BP38" s="13" t="s">
        <v>140</v>
      </c>
      <c r="BQ38" s="15" t="str">
        <f>VLOOKUP(BP38,'Axe 2 Règles de gestion'!$D$2:$F$121,3, FALSE)</f>
        <v>Les champs "Type d'organisme d'origine", "Catégorie statutaire d'origine" et "Pays" de l'organisme d'origine doivent être renseignés.</v>
      </c>
      <c r="BR38" s="13" t="s">
        <v>142</v>
      </c>
      <c r="BS38" s="15" t="str">
        <f>VLOOKUP(BR38,'Axe 2 Règles de gestion'!$D$2:$F$121,3, FALSE)</f>
        <v>Les champs "Ministère (ou institution de la République) d'origine", "Corps d'origine", "Grade d'origine", "Echelon d'origine" sont renseignés si le "Type d'organisme d'origine" est valorisé à FPE.</v>
      </c>
      <c r="BT38" s="13" t="s">
        <v>144</v>
      </c>
      <c r="BU38" s="15" t="str">
        <f>VLOOKUP(BT38,'Axe 2 Règles de gestion'!$D$2:$F$121,3, FALSE)</f>
        <v>Le champ "Organisme d'origine" doit être alimenté si le type d'organisme d'origine est égal à 'Autre organisme', 'Fonction publique d'un état de l'Union Européenne' ou 'Fonction publique Européenne'.</v>
      </c>
      <c r="BV38" s="13" t="s">
        <v>146</v>
      </c>
      <c r="BW38" s="15" t="str">
        <f>VLOOKUP(BV38,'Axe 2 Règles de gestion'!$D$2:$F$121,3, FALSE)</f>
        <v>Le champ "Code emploi statutaire FPT (NET)" est renseigné si le "Type d'organisme d'origine" est valorisé à FPT.</v>
      </c>
      <c r="BX38" s="13" t="s">
        <v>148</v>
      </c>
      <c r="BY38" s="15" t="str">
        <f>VLOOKUP(BX38,'Axe 2 Règles de gestion'!$D$2:$F$121,3, FALSE)</f>
        <v>Le champ "Code emploi statutaire FPH (NEH)" est renseigné si le "Type d'organisme d'origine" est valorisé à FPH.</v>
      </c>
      <c r="BZ38" s="13" t="s">
        <v>150</v>
      </c>
      <c r="CA38" s="15" t="str">
        <f>VLOOKUP(BZ38,'Axe 2 Règles de gestion'!$D$2:$F$121,3, FALSE)</f>
        <v>La date de fin ou la date de fin prévisionnelle doit être saisie.</v>
      </c>
      <c r="CB38" s="13"/>
      <c r="CC38" s="15"/>
      <c r="CD38" s="13"/>
      <c r="CE38" s="15"/>
      <c r="CF38" s="13"/>
      <c r="CG38" s="13"/>
    </row>
    <row r="39" spans="1:85" ht="135" x14ac:dyDescent="0.25">
      <c r="A39" s="13" t="s">
        <v>86</v>
      </c>
      <c r="B39" s="13" t="s">
        <v>153</v>
      </c>
      <c r="C39" s="14">
        <v>44012.456944444442</v>
      </c>
      <c r="D39" s="13" t="s">
        <v>88</v>
      </c>
      <c r="E39" s="15" t="s">
        <v>89</v>
      </c>
      <c r="F39" s="13" t="s">
        <v>90</v>
      </c>
      <c r="G39" s="15" t="s">
        <v>91</v>
      </c>
      <c r="H39" s="13" t="s">
        <v>229</v>
      </c>
      <c r="I39" s="15" t="s">
        <v>230</v>
      </c>
      <c r="J39" s="15" t="s">
        <v>231</v>
      </c>
      <c r="K39" s="15" t="s">
        <v>232</v>
      </c>
      <c r="L39" s="13" t="s">
        <v>233</v>
      </c>
      <c r="M39" s="15" t="s">
        <v>234</v>
      </c>
      <c r="N39" s="13" t="s">
        <v>98</v>
      </c>
      <c r="O39" s="15" t="s">
        <v>99</v>
      </c>
      <c r="P39" s="15" t="s">
        <v>100</v>
      </c>
      <c r="Q39" s="15" t="s">
        <v>219</v>
      </c>
      <c r="R39" s="13" t="s">
        <v>220</v>
      </c>
      <c r="S39" s="13" t="s">
        <v>212</v>
      </c>
      <c r="T39" s="13" t="s">
        <v>104</v>
      </c>
      <c r="U39" s="14">
        <v>43831</v>
      </c>
      <c r="V39" s="14"/>
      <c r="W39" s="15" t="s">
        <v>226</v>
      </c>
      <c r="X39" s="13" t="s">
        <v>106</v>
      </c>
      <c r="Y39" s="15" t="str">
        <f>VLOOKUP(X39,'Axe 2 Règles de gestion'!$D$2:$F$121,3, FALSE)</f>
        <v>L'agent doit détenir le titre ou le diplôme requis pour l'exercice des fonctions du corps d'accueil.</v>
      </c>
      <c r="Z39" s="13" t="s">
        <v>108</v>
      </c>
      <c r="AA39" s="15" t="str">
        <f>VLOOKUP(Z39,'Axe 2 Règles de gestion'!$D$2:$F$121,3, FALSE)</f>
        <v>L'agent doit formuler une demande.</v>
      </c>
      <c r="AB39" s="13" t="s">
        <v>112</v>
      </c>
      <c r="AC39" s="15" t="str">
        <f>VLOOKUP(AB39,'Axe 2 Règles de gestion'!$D$2:$F$121,3, FALSE)</f>
        <v>L'accord de l'administration d'origine est nécessaire.</v>
      </c>
      <c r="AD39" s="13"/>
      <c r="AE39" s="15"/>
      <c r="AF39" s="13"/>
      <c r="AG39" s="15"/>
      <c r="AH39" s="13"/>
      <c r="AI39" s="15"/>
      <c r="AJ39" s="13"/>
      <c r="AK39" s="15"/>
      <c r="AL39" s="13"/>
      <c r="AM39" s="15"/>
      <c r="AN39" s="13"/>
      <c r="AO39" s="15"/>
      <c r="AP39" s="13" t="s">
        <v>222</v>
      </c>
      <c r="AQ39" s="15" t="str">
        <f>VLOOKUP(AP39,'Axe 2 Règles de gestion'!$D$2:$F$121,3, FALSE)</f>
        <v>La durée de détachement ne peut pas excéder 6 ans entre la date de début et la date de fin prévisionnelle.</v>
      </c>
      <c r="AR39" s="13" t="s">
        <v>224</v>
      </c>
      <c r="AS39" s="15" t="str">
        <f>VLOOKUP(AR39,'Axe 2 Règles de gestion'!$D$2:$F$121,3, FALSE)</f>
        <v>La durée de détachement ne peut pas excéder 6 ans entre la date de début et la date de fin réelle.</v>
      </c>
      <c r="AT39" s="13" t="s">
        <v>214</v>
      </c>
      <c r="AU39" s="15" t="str">
        <f>VLOOKUP(AT39,'Axe 2 Règles de gestion'!$D$2:$F$121,3, FALSE)</f>
        <v>Le détachement de courte durée est interdit.</v>
      </c>
      <c r="AV39" s="13"/>
      <c r="AW39" s="15"/>
      <c r="AX39" s="13"/>
      <c r="AY39" s="15"/>
      <c r="AZ39" s="13"/>
      <c r="BA39" s="15"/>
      <c r="BB39" s="13" t="s">
        <v>126</v>
      </c>
      <c r="BC39" s="15" t="str">
        <f>VLOOKUP(BB39,'Axe 2 Règles de gestion'!$D$2:$F$121,3, FALSE)</f>
        <v>La date de début de position doit être antérieure ou égale à la date de fin prévisionnelle de position.</v>
      </c>
      <c r="BD39" s="13" t="s">
        <v>128</v>
      </c>
      <c r="BE39" s="15" t="str">
        <f>VLOOKUP(BD39,'Axe 2 Règles de gestion'!$D$2:$F$121,3, FALSE)</f>
        <v>La date de début de la position doit être postérieure ou égale à la date d'entrée dans la FPE ou dans la carrière militaire.</v>
      </c>
      <c r="BF39" s="13" t="s">
        <v>130</v>
      </c>
      <c r="BG39" s="15" t="str">
        <f>VLOOKUP(BF39,'Axe 2 Règles de gestion'!$D$2:$F$121,3, FALSE)</f>
        <v>La date de fin réelle de la position doit être antérieure à la date limite de départ à la retraite.</v>
      </c>
      <c r="BH39" s="13" t="s">
        <v>132</v>
      </c>
      <c r="BI39" s="15" t="str">
        <f>VLOOKUP(BH39,'Axe 2 Règles de gestion'!$D$2:$F$121,3, FALSE)</f>
        <v>La date de début de position doit être antérieure ou égale à la date de fin réelle de position.</v>
      </c>
      <c r="BJ39" s="13" t="s">
        <v>134</v>
      </c>
      <c r="BK39" s="15" t="str">
        <f>VLOOKUP(BJ39,'Axe 2 Règles de gestion'!$D$2:$F$121,3, FALSE)</f>
        <v>La date de fin prévisionnelle de la position doit être antérieure à la date limite de départ à la retraite.</v>
      </c>
      <c r="BL39" s="13" t="s">
        <v>136</v>
      </c>
      <c r="BM39" s="15" t="str">
        <f>VLOOKUP(BL39,'Axe 2 Règles de gestion'!$D$2:$F$121,3, FALSE)</f>
        <v>L'indicateur de carrière est sur la valeur "Accueil".</v>
      </c>
      <c r="BN39" s="13" t="s">
        <v>138</v>
      </c>
      <c r="BO39" s="15" t="str">
        <f>VLOOKUP(BN39,'Axe 2 Règles de gestion'!$D$2:$F$121,3, FALSE)</f>
        <v>La date de début de position est à J+1 de la date de fin de position de l'occurrence précédente.</v>
      </c>
      <c r="BP39" s="13" t="s">
        <v>140</v>
      </c>
      <c r="BQ39" s="15" t="str">
        <f>VLOOKUP(BP39,'Axe 2 Règles de gestion'!$D$2:$F$121,3, FALSE)</f>
        <v>Les champs "Type d'organisme d'origine", "Catégorie statutaire d'origine" et "Pays" de l'organisme d'origine doivent être renseignés.</v>
      </c>
      <c r="BR39" s="13" t="s">
        <v>142</v>
      </c>
      <c r="BS39" s="15" t="str">
        <f>VLOOKUP(BR39,'Axe 2 Règles de gestion'!$D$2:$F$121,3, FALSE)</f>
        <v>Les champs "Ministère (ou institution de la République) d'origine", "Corps d'origine", "Grade d'origine", "Echelon d'origine" sont renseignés si le "Type d'organisme d'origine" est valorisé à FPE.</v>
      </c>
      <c r="BT39" s="13" t="s">
        <v>144</v>
      </c>
      <c r="BU39" s="15" t="str">
        <f>VLOOKUP(BT39,'Axe 2 Règles de gestion'!$D$2:$F$121,3, FALSE)</f>
        <v>Le champ "Organisme d'origine" doit être alimenté si le type d'organisme d'origine est égal à 'Autre organisme', 'Fonction publique d'un état de l'Union Européenne' ou 'Fonction publique Européenne'.</v>
      </c>
      <c r="BV39" s="13" t="s">
        <v>146</v>
      </c>
      <c r="BW39" s="15" t="str">
        <f>VLOOKUP(BV39,'Axe 2 Règles de gestion'!$D$2:$F$121,3, FALSE)</f>
        <v>Le champ "Code emploi statutaire FPT (NET)" est renseigné si le "Type d'organisme d'origine" est valorisé à FPT.</v>
      </c>
      <c r="BX39" s="13" t="s">
        <v>148</v>
      </c>
      <c r="BY39" s="15" t="str">
        <f>VLOOKUP(BX39,'Axe 2 Règles de gestion'!$D$2:$F$121,3, FALSE)</f>
        <v>Le champ "Code emploi statutaire FPH (NEH)" est renseigné si le "Type d'organisme d'origine" est valorisé à FPH.</v>
      </c>
      <c r="BZ39" s="13" t="s">
        <v>150</v>
      </c>
      <c r="CA39" s="15" t="str">
        <f>VLOOKUP(BZ39,'Axe 2 Règles de gestion'!$D$2:$F$121,3, FALSE)</f>
        <v>La date de fin ou la date de fin prévisionnelle doit être saisie.</v>
      </c>
      <c r="CB39" s="13"/>
      <c r="CC39" s="15"/>
      <c r="CD39" s="13"/>
      <c r="CE39" s="15"/>
      <c r="CF39" s="13"/>
      <c r="CG39" s="13"/>
    </row>
    <row r="40" spans="1:85" ht="135" x14ac:dyDescent="0.25">
      <c r="A40" s="13" t="s">
        <v>86</v>
      </c>
      <c r="B40" s="13" t="s">
        <v>87</v>
      </c>
      <c r="C40" s="14">
        <v>43850.552083333336</v>
      </c>
      <c r="D40" s="13" t="s">
        <v>88</v>
      </c>
      <c r="E40" s="15" t="s">
        <v>89</v>
      </c>
      <c r="F40" s="13" t="s">
        <v>90</v>
      </c>
      <c r="G40" s="15" t="s">
        <v>91</v>
      </c>
      <c r="H40" s="13" t="s">
        <v>229</v>
      </c>
      <c r="I40" s="15" t="s">
        <v>230</v>
      </c>
      <c r="J40" s="15" t="s">
        <v>231</v>
      </c>
      <c r="K40" s="15" t="s">
        <v>232</v>
      </c>
      <c r="L40" s="13" t="s">
        <v>235</v>
      </c>
      <c r="M40" s="15" t="s">
        <v>236</v>
      </c>
      <c r="N40" s="13" t="s">
        <v>98</v>
      </c>
      <c r="O40" s="15" t="s">
        <v>170</v>
      </c>
      <c r="P40" s="15" t="s">
        <v>171</v>
      </c>
      <c r="Q40" s="15" t="s">
        <v>219</v>
      </c>
      <c r="R40" s="13" t="s">
        <v>220</v>
      </c>
      <c r="S40" s="13" t="s">
        <v>212</v>
      </c>
      <c r="T40" s="13" t="s">
        <v>104</v>
      </c>
      <c r="U40" s="14">
        <v>40725</v>
      </c>
      <c r="V40" s="14"/>
      <c r="W40" s="15" t="s">
        <v>227</v>
      </c>
      <c r="X40" s="13" t="s">
        <v>173</v>
      </c>
      <c r="Y40" s="15" t="str">
        <f>VLOOKUP(X40,'Axe 2 Règles de gestion'!$D$2:$F$121,3, FALSE)</f>
        <v>L'agent doit formuler une demande de renouvellement à son administration d'origine 3 mois au moins avant l'expiration de la période de détachement de longue durée.</v>
      </c>
      <c r="Z40" s="13" t="s">
        <v>175</v>
      </c>
      <c r="AA40" s="15" t="str">
        <f>VLOOKUP(Z40,'Axe 2 Règles de gestion'!$D$2:$F$121,3, FALSE)</f>
        <v>L'organisme d'accueil adresse sa décision à l'agent et à l'administration d'origine 2 mois au moins avant l'expiration de la période de détachement.</v>
      </c>
      <c r="AB40" s="13"/>
      <c r="AC40" s="15"/>
      <c r="AD40" s="13"/>
      <c r="AE40" s="15"/>
      <c r="AF40" s="13"/>
      <c r="AG40" s="15"/>
      <c r="AH40" s="13"/>
      <c r="AI40" s="15"/>
      <c r="AJ40" s="13"/>
      <c r="AK40" s="15"/>
      <c r="AL40" s="13"/>
      <c r="AM40" s="15"/>
      <c r="AN40" s="13"/>
      <c r="AO40" s="15"/>
      <c r="AP40" s="13" t="s">
        <v>222</v>
      </c>
      <c r="AQ40" s="15" t="str">
        <f>VLOOKUP(AP40,'Axe 2 Règles de gestion'!$D$2:$F$121,3, FALSE)</f>
        <v>La durée de détachement ne peut pas excéder 6 ans entre la date de début et la date de fin prévisionnelle.</v>
      </c>
      <c r="AR40" s="13" t="s">
        <v>224</v>
      </c>
      <c r="AS40" s="15" t="str">
        <f>VLOOKUP(AR40,'Axe 2 Règles de gestion'!$D$2:$F$121,3, FALSE)</f>
        <v>La durée de détachement ne peut pas excéder 6 ans entre la date de début et la date de fin réelle.</v>
      </c>
      <c r="AT40" s="13"/>
      <c r="AU40" s="15"/>
      <c r="AV40" s="13"/>
      <c r="AW40" s="15"/>
      <c r="AX40" s="13"/>
      <c r="AY40" s="15"/>
      <c r="AZ40" s="13"/>
      <c r="BA40" s="15"/>
      <c r="BB40" s="13" t="s">
        <v>126</v>
      </c>
      <c r="BC40" s="15" t="str">
        <f>VLOOKUP(BB40,'Axe 2 Règles de gestion'!$D$2:$F$121,3, FALSE)</f>
        <v>La date de début de position doit être antérieure ou égale à la date de fin prévisionnelle de position.</v>
      </c>
      <c r="BD40" s="13" t="s">
        <v>128</v>
      </c>
      <c r="BE40" s="15" t="str">
        <f>VLOOKUP(BD40,'Axe 2 Règles de gestion'!$D$2:$F$121,3, FALSE)</f>
        <v>La date de début de la position doit être postérieure ou égale à la date d'entrée dans la FPE ou dans la carrière militaire.</v>
      </c>
      <c r="BF40" s="13" t="s">
        <v>130</v>
      </c>
      <c r="BG40" s="15" t="str">
        <f>VLOOKUP(BF40,'Axe 2 Règles de gestion'!$D$2:$F$121,3, FALSE)</f>
        <v>La date de fin réelle de la position doit être antérieure à la date limite de départ à la retraite.</v>
      </c>
      <c r="BH40" s="13" t="s">
        <v>132</v>
      </c>
      <c r="BI40" s="15" t="str">
        <f>VLOOKUP(BH40,'Axe 2 Règles de gestion'!$D$2:$F$121,3, FALSE)</f>
        <v>La date de début de position doit être antérieure ou égale à la date de fin réelle de position.</v>
      </c>
      <c r="BJ40" s="13" t="s">
        <v>134</v>
      </c>
      <c r="BK40" s="15" t="str">
        <f>VLOOKUP(BJ40,'Axe 2 Règles de gestion'!$D$2:$F$121,3, FALSE)</f>
        <v>La date de fin prévisionnelle de la position doit être antérieure à la date limite de départ à la retraite.</v>
      </c>
      <c r="BL40" s="13" t="s">
        <v>136</v>
      </c>
      <c r="BM40" s="15" t="str">
        <f>VLOOKUP(BL40,'Axe 2 Règles de gestion'!$D$2:$F$121,3, FALSE)</f>
        <v>L'indicateur de carrière est sur la valeur "Accueil".</v>
      </c>
      <c r="BN40" s="13" t="s">
        <v>138</v>
      </c>
      <c r="BO40" s="15" t="str">
        <f>VLOOKUP(BN40,'Axe 2 Règles de gestion'!$D$2:$F$121,3, FALSE)</f>
        <v>La date de début de position est à J+1 de la date de fin de position de l'occurrence précédente.</v>
      </c>
      <c r="BP40" s="13" t="s">
        <v>140</v>
      </c>
      <c r="BQ40" s="15" t="str">
        <f>VLOOKUP(BP40,'Axe 2 Règles de gestion'!$D$2:$F$121,3, FALSE)</f>
        <v>Les champs "Type d'organisme d'origine", "Catégorie statutaire d'origine" et "Pays" de l'organisme d'origine doivent être renseignés.</v>
      </c>
      <c r="BR40" s="13" t="s">
        <v>142</v>
      </c>
      <c r="BS40" s="15" t="str">
        <f>VLOOKUP(BR40,'Axe 2 Règles de gestion'!$D$2:$F$121,3, FALSE)</f>
        <v>Les champs "Ministère (ou institution de la République) d'origine", "Corps d'origine", "Grade d'origine", "Echelon d'origine" sont renseignés si le "Type d'organisme d'origine" est valorisé à FPE.</v>
      </c>
      <c r="BT40" s="13" t="s">
        <v>144</v>
      </c>
      <c r="BU40" s="15" t="str">
        <f>VLOOKUP(BT40,'Axe 2 Règles de gestion'!$D$2:$F$121,3, FALSE)</f>
        <v>Le champ "Organisme d'origine" doit être alimenté si le type d'organisme d'origine est égal à 'Autre organisme', 'Fonction publique d'un état de l'Union Européenne' ou 'Fonction publique Européenne'.</v>
      </c>
      <c r="BV40" s="13" t="s">
        <v>146</v>
      </c>
      <c r="BW40" s="15" t="str">
        <f>VLOOKUP(BV40,'Axe 2 Règles de gestion'!$D$2:$F$121,3, FALSE)</f>
        <v>Le champ "Code emploi statutaire FPT (NET)" est renseigné si le "Type d'organisme d'origine" est valorisé à FPT.</v>
      </c>
      <c r="BX40" s="13" t="s">
        <v>148</v>
      </c>
      <c r="BY40" s="15" t="str">
        <f>VLOOKUP(BX40,'Axe 2 Règles de gestion'!$D$2:$F$121,3, FALSE)</f>
        <v>Le champ "Code emploi statutaire FPH (NEH)" est renseigné si le "Type d'organisme d'origine" est valorisé à FPH.</v>
      </c>
      <c r="BZ40" s="13" t="s">
        <v>150</v>
      </c>
      <c r="CA40" s="15" t="str">
        <f>VLOOKUP(BZ40,'Axe 2 Règles de gestion'!$D$2:$F$121,3, FALSE)</f>
        <v>La date de fin ou la date de fin prévisionnelle doit être saisie.</v>
      </c>
      <c r="CB40" s="13"/>
      <c r="CC40" s="15"/>
      <c r="CD40" s="13"/>
      <c r="CE40" s="15"/>
      <c r="CF40" s="13"/>
      <c r="CG40" s="13"/>
    </row>
    <row r="41" spans="1:85" ht="150" x14ac:dyDescent="0.25">
      <c r="A41" s="13" t="s">
        <v>86</v>
      </c>
      <c r="B41" s="13" t="s">
        <v>87</v>
      </c>
      <c r="C41" s="14">
        <v>43850.552083333336</v>
      </c>
      <c r="D41" s="13" t="s">
        <v>88</v>
      </c>
      <c r="E41" s="15" t="s">
        <v>89</v>
      </c>
      <c r="F41" s="13" t="s">
        <v>90</v>
      </c>
      <c r="G41" s="15" t="s">
        <v>91</v>
      </c>
      <c r="H41" s="13" t="s">
        <v>229</v>
      </c>
      <c r="I41" s="15" t="s">
        <v>230</v>
      </c>
      <c r="J41" s="15" t="s">
        <v>231</v>
      </c>
      <c r="K41" s="15" t="s">
        <v>232</v>
      </c>
      <c r="L41" s="13" t="s">
        <v>237</v>
      </c>
      <c r="M41" s="15" t="s">
        <v>238</v>
      </c>
      <c r="N41" s="13" t="s">
        <v>188</v>
      </c>
      <c r="O41" s="15" t="s">
        <v>189</v>
      </c>
      <c r="P41" s="15" t="s">
        <v>190</v>
      </c>
      <c r="Q41" s="15" t="s">
        <v>219</v>
      </c>
      <c r="R41" s="13" t="s">
        <v>220</v>
      </c>
      <c r="S41" s="13" t="s">
        <v>212</v>
      </c>
      <c r="T41" s="13" t="s">
        <v>104</v>
      </c>
      <c r="U41" s="14">
        <v>40725</v>
      </c>
      <c r="V41" s="14"/>
      <c r="W41" s="15" t="s">
        <v>228</v>
      </c>
      <c r="X41" s="13" t="s">
        <v>192</v>
      </c>
      <c r="Y41" s="15" t="str">
        <f>VLOOKUP(X41,'Axe 2 Règles de gestion'!$D$2:$F$121,3, FALSE)</f>
        <v>Le détachement peut prendre fin de manière anticipée à l'initiative de l'administration d'accueil, de l'administration d'origine ou de l'agent.</v>
      </c>
      <c r="Z41" s="13" t="s">
        <v>194</v>
      </c>
      <c r="AA41" s="15" t="str">
        <f>VLOOKUP(Z41,'Axe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41" s="13" t="s">
        <v>196</v>
      </c>
      <c r="AC41" s="15" t="str">
        <f>VLOOKUP(AB41,'Axe 2 Règles de gestion'!$D$2:$F$121,3, FALSE)</f>
        <v>L'agent doit adresser une demande de réintégration à l'administration d'origine 3 mois au moins avant l'expiration de la période de détachement de longue durée.</v>
      </c>
      <c r="AD41" s="13" t="s">
        <v>175</v>
      </c>
      <c r="AE41" s="15" t="str">
        <f>VLOOKUP(AD41,'Axe 2 Règles de gestion'!$D$2:$F$121,3, FALSE)</f>
        <v>L'organisme d'accueil adresse sa décision à l'agent et à l'administration d'origine 2 mois au moins avant l'expiration de la période de détachement.</v>
      </c>
      <c r="AF41" s="13" t="s">
        <v>198</v>
      </c>
      <c r="AG41" s="15" t="str">
        <f>VLOOKUP(AF41,'Axe 2 Règles de gestion'!$D$2:$F$121,3, FALSE)</f>
        <v>Si l'agent n'adresse pas sa demande dans les délais, il est obligatoirement réintégré à la première vacance dans son corps d'origine et affecté à un emploi correspondant à son grade.</v>
      </c>
      <c r="AH41" s="13"/>
      <c r="AI41" s="15"/>
      <c r="AJ41" s="13"/>
      <c r="AK41" s="15"/>
      <c r="AL41" s="13"/>
      <c r="AM41" s="15"/>
      <c r="AN41" s="13"/>
      <c r="AO41" s="15"/>
      <c r="AP41" s="13" t="s">
        <v>222</v>
      </c>
      <c r="AQ41" s="15" t="str">
        <f>VLOOKUP(AP41,'Axe 2 Règles de gestion'!$D$2:$F$121,3, FALSE)</f>
        <v>La durée de détachement ne peut pas excéder 6 ans entre la date de début et la date de fin prévisionnelle.</v>
      </c>
      <c r="AR41" s="13" t="s">
        <v>224</v>
      </c>
      <c r="AS41" s="15" t="str">
        <f>VLOOKUP(AR41,'Axe 2 Règles de gestion'!$D$2:$F$121,3, FALSE)</f>
        <v>La durée de détachement ne peut pas excéder 6 ans entre la date de début et la date de fin réelle.</v>
      </c>
      <c r="AT41" s="13" t="s">
        <v>214</v>
      </c>
      <c r="AU41" s="15" t="str">
        <f>VLOOKUP(AT41,'Axe 2 Règles de gestion'!$D$2:$F$121,3, FALSE)</f>
        <v>Le détachement de courte durée est interdit.</v>
      </c>
      <c r="AV41" s="13"/>
      <c r="AW41" s="15"/>
      <c r="AX41" s="13"/>
      <c r="AY41" s="15"/>
      <c r="AZ41" s="13"/>
      <c r="BA41" s="15"/>
      <c r="BB41" s="13" t="s">
        <v>126</v>
      </c>
      <c r="BC41" s="15" t="str">
        <f>VLOOKUP(BB41,'Axe 2 Règles de gestion'!$D$2:$F$121,3, FALSE)</f>
        <v>La date de début de position doit être antérieure ou égale à la date de fin prévisionnelle de position.</v>
      </c>
      <c r="BD41" s="13" t="s">
        <v>130</v>
      </c>
      <c r="BE41" s="15" t="str">
        <f>VLOOKUP(BD41,'Axe 2 Règles de gestion'!$D$2:$F$121,3, FALSE)</f>
        <v>La date de fin réelle de la position doit être antérieure à la date limite de départ à la retraite.</v>
      </c>
      <c r="BF41" s="13" t="s">
        <v>132</v>
      </c>
      <c r="BG41" s="15" t="str">
        <f>VLOOKUP(BF41,'Axe 2 Règles de gestion'!$D$2:$F$121,3, FALSE)</f>
        <v>La date de début de position doit être antérieure ou égale à la date de fin réelle de position.</v>
      </c>
      <c r="BH41" s="13" t="s">
        <v>134</v>
      </c>
      <c r="BI41" s="15" t="str">
        <f>VLOOKUP(BH41,'Axe 2 Règles de gestion'!$D$2:$F$121,3, FALSE)</f>
        <v>La date de fin prévisionnelle de la position doit être antérieure à la date limite de départ à la retraite.</v>
      </c>
      <c r="BJ41" s="13" t="s">
        <v>140</v>
      </c>
      <c r="BK41" s="15" t="str">
        <f>VLOOKUP(BJ41,'Axe 2 Règles de gestion'!$D$2:$F$121,3, FALSE)</f>
        <v>Les champs "Type d'organisme d'origine", "Catégorie statutaire d'origine" et "Pays" de l'organisme d'origine doivent être renseignés.</v>
      </c>
      <c r="BL41" s="13" t="s">
        <v>142</v>
      </c>
      <c r="BM41" s="15" t="str">
        <f>VLOOKUP(BL41,'Axe 2 Règles de gestion'!$D$2:$F$121,3, FALSE)</f>
        <v>Les champs "Ministère (ou institution de la République) d'origine", "Corps d'origine", "Grade d'origine", "Echelon d'origine" sont renseignés si le "Type d'organisme d'origine" est valorisé à FPE.</v>
      </c>
      <c r="BN41" s="13" t="s">
        <v>144</v>
      </c>
      <c r="BO41" s="15" t="str">
        <f>VLOOKUP(BN41,'Axe 2 Règles de gestion'!$D$2:$F$121,3, FALSE)</f>
        <v>Le champ "Organisme d'origine" doit être alimenté si le type d'organisme d'origine est égal à 'Autre organisme', 'Fonction publique d'un état de l'Union Européenne' ou 'Fonction publique Européenne'.</v>
      </c>
      <c r="BP41" s="13" t="s">
        <v>146</v>
      </c>
      <c r="BQ41" s="15" t="str">
        <f>VLOOKUP(BP41,'Axe 2 Règles de gestion'!$D$2:$F$121,3, FALSE)</f>
        <v>Le champ "Code emploi statutaire FPT (NET)" est renseigné si le "Type d'organisme d'origine" est valorisé à FPT.</v>
      </c>
      <c r="BR41" s="13" t="s">
        <v>148</v>
      </c>
      <c r="BS41" s="15" t="str">
        <f>VLOOKUP(BR41,'Axe 2 Règles de gestion'!$D$2:$F$121,3, FALSE)</f>
        <v>Le champ "Code emploi statutaire FPH (NEH)" est renseigné si le "Type d'organisme d'origine" est valorisé à FPH.</v>
      </c>
      <c r="BT41" s="13" t="s">
        <v>150</v>
      </c>
      <c r="BU41" s="15" t="str">
        <f>VLOOKUP(BT41,'Axe 2 Règles de gestion'!$D$2:$F$121,3, FALSE)</f>
        <v>La date de fin ou la date de fin prévisionnelle doit être saisie.</v>
      </c>
      <c r="BV41" s="13"/>
      <c r="BW41" s="15"/>
      <c r="BX41" s="13"/>
      <c r="BY41" s="15"/>
      <c r="BZ41" s="13"/>
      <c r="CA41" s="15"/>
      <c r="CB41" s="13"/>
      <c r="CC41" s="15"/>
      <c r="CD41" s="13"/>
      <c r="CE41" s="15"/>
      <c r="CF41" s="13"/>
      <c r="CG41" s="13"/>
    </row>
    <row r="42" spans="1:85" ht="135" x14ac:dyDescent="0.25">
      <c r="A42" s="13" t="s">
        <v>202</v>
      </c>
      <c r="B42" s="13" t="s">
        <v>153</v>
      </c>
      <c r="C42" s="14">
        <v>43152.5</v>
      </c>
      <c r="D42" s="13" t="s">
        <v>88</v>
      </c>
      <c r="E42" s="15" t="s">
        <v>89</v>
      </c>
      <c r="F42" s="13" t="s">
        <v>90</v>
      </c>
      <c r="G42" s="15" t="s">
        <v>91</v>
      </c>
      <c r="H42" s="13" t="s">
        <v>239</v>
      </c>
      <c r="I42" s="15" t="s">
        <v>240</v>
      </c>
      <c r="J42" s="15" t="s">
        <v>241</v>
      </c>
      <c r="K42" s="15" t="s">
        <v>242</v>
      </c>
      <c r="L42" s="13" t="s">
        <v>243</v>
      </c>
      <c r="M42" s="15" t="s">
        <v>244</v>
      </c>
      <c r="N42" s="13" t="s">
        <v>98</v>
      </c>
      <c r="O42" s="15" t="s">
        <v>99</v>
      </c>
      <c r="P42" s="15" t="s">
        <v>100</v>
      </c>
      <c r="Q42" s="15" t="s">
        <v>101</v>
      </c>
      <c r="R42" s="13" t="s">
        <v>102</v>
      </c>
      <c r="S42" s="13" t="s">
        <v>103</v>
      </c>
      <c r="T42" s="13" t="s">
        <v>205</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3"/>
    </row>
    <row r="43" spans="1:85" ht="135" x14ac:dyDescent="0.25">
      <c r="A43" s="13" t="s">
        <v>202</v>
      </c>
      <c r="B43" s="13" t="s">
        <v>153</v>
      </c>
      <c r="C43" s="14">
        <v>43152.5</v>
      </c>
      <c r="D43" s="13" t="s">
        <v>88</v>
      </c>
      <c r="E43" s="15" t="s">
        <v>89</v>
      </c>
      <c r="F43" s="13" t="s">
        <v>90</v>
      </c>
      <c r="G43" s="15" t="s">
        <v>91</v>
      </c>
      <c r="H43" s="13" t="s">
        <v>239</v>
      </c>
      <c r="I43" s="15" t="s">
        <v>240</v>
      </c>
      <c r="J43" s="15" t="s">
        <v>241</v>
      </c>
      <c r="K43" s="15" t="s">
        <v>242</v>
      </c>
      <c r="L43" s="13" t="s">
        <v>245</v>
      </c>
      <c r="M43" s="15" t="s">
        <v>246</v>
      </c>
      <c r="N43" s="13" t="s">
        <v>98</v>
      </c>
      <c r="O43" s="15" t="s">
        <v>170</v>
      </c>
      <c r="P43" s="15" t="s">
        <v>171</v>
      </c>
      <c r="Q43" s="15" t="s">
        <v>101</v>
      </c>
      <c r="R43" s="13" t="s">
        <v>102</v>
      </c>
      <c r="S43" s="13" t="s">
        <v>103</v>
      </c>
      <c r="T43" s="13" t="s">
        <v>205</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3"/>
    </row>
    <row r="44" spans="1:85" ht="135" x14ac:dyDescent="0.25">
      <c r="A44" s="13" t="s">
        <v>202</v>
      </c>
      <c r="B44" s="13" t="s">
        <v>153</v>
      </c>
      <c r="C44" s="14">
        <v>43152.5</v>
      </c>
      <c r="D44" s="13" t="s">
        <v>88</v>
      </c>
      <c r="E44" s="15" t="s">
        <v>89</v>
      </c>
      <c r="F44" s="13" t="s">
        <v>90</v>
      </c>
      <c r="G44" s="15" t="s">
        <v>91</v>
      </c>
      <c r="H44" s="13" t="s">
        <v>239</v>
      </c>
      <c r="I44" s="15" t="s">
        <v>240</v>
      </c>
      <c r="J44" s="15" t="s">
        <v>241</v>
      </c>
      <c r="K44" s="15" t="s">
        <v>242</v>
      </c>
      <c r="L44" s="13" t="s">
        <v>247</v>
      </c>
      <c r="M44" s="15" t="s">
        <v>248</v>
      </c>
      <c r="N44" s="13" t="s">
        <v>188</v>
      </c>
      <c r="O44" s="15" t="s">
        <v>189</v>
      </c>
      <c r="P44" s="15" t="s">
        <v>190</v>
      </c>
      <c r="Q44" s="15" t="s">
        <v>101</v>
      </c>
      <c r="R44" s="13" t="s">
        <v>102</v>
      </c>
      <c r="S44" s="13" t="s">
        <v>103</v>
      </c>
      <c r="T44" s="13" t="s">
        <v>205</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3"/>
    </row>
    <row r="45" spans="1:85" ht="135" x14ac:dyDescent="0.25">
      <c r="A45" s="13" t="s">
        <v>86</v>
      </c>
      <c r="B45" s="13" t="s">
        <v>87</v>
      </c>
      <c r="C45" s="14">
        <v>43850.552083333336</v>
      </c>
      <c r="D45" s="13" t="s">
        <v>88</v>
      </c>
      <c r="E45" s="15" t="s">
        <v>89</v>
      </c>
      <c r="F45" s="13" t="s">
        <v>90</v>
      </c>
      <c r="G45" s="15" t="s">
        <v>91</v>
      </c>
      <c r="H45" s="13" t="s">
        <v>239</v>
      </c>
      <c r="I45" s="15" t="s">
        <v>240</v>
      </c>
      <c r="J45" s="15" t="s">
        <v>241</v>
      </c>
      <c r="K45" s="15" t="s">
        <v>242</v>
      </c>
      <c r="L45" s="13" t="s">
        <v>243</v>
      </c>
      <c r="M45" s="15" t="s">
        <v>244</v>
      </c>
      <c r="N45" s="13" t="s">
        <v>98</v>
      </c>
      <c r="O45" s="15" t="s">
        <v>99</v>
      </c>
      <c r="P45" s="15" t="s">
        <v>100</v>
      </c>
      <c r="Q45" s="15" t="s">
        <v>203</v>
      </c>
      <c r="R45" s="13" t="s">
        <v>204</v>
      </c>
      <c r="S45" s="13" t="s">
        <v>103</v>
      </c>
      <c r="T45" s="13" t="s">
        <v>104</v>
      </c>
      <c r="U45" s="14">
        <v>40725</v>
      </c>
      <c r="V45" s="14">
        <v>43830</v>
      </c>
      <c r="W45" s="15" t="s">
        <v>249</v>
      </c>
      <c r="X45" s="13" t="s">
        <v>106</v>
      </c>
      <c r="Y45" s="15" t="str">
        <f>VLOOKUP(X45,'Axe 2 Règles de gestion'!$D$2:$F$121,3, FALSE)</f>
        <v>L'agent doit détenir le titre ou le diplôme requis pour l'exercice des fonctions du corps d'accueil.</v>
      </c>
      <c r="Z45" s="13" t="s">
        <v>108</v>
      </c>
      <c r="AA45" s="15" t="str">
        <f>VLOOKUP(Z45,'Axe 2 Règles de gestion'!$D$2:$F$121,3, FALSE)</f>
        <v>L'agent doit formuler une demande.</v>
      </c>
      <c r="AB45" s="13" t="s">
        <v>110</v>
      </c>
      <c r="AC45" s="15" t="str">
        <f>VLOOKUP(AB45,'Axe 2 Règles de gestion'!$D$2:$F$121,3, FALSE)</f>
        <v>Le détachement est accordé après avis des commissions administratives paritaires compétentes.</v>
      </c>
      <c r="AD45" s="13" t="s">
        <v>112</v>
      </c>
      <c r="AE45" s="15" t="str">
        <f>VLOOKUP(AD45,'Axe 2 Règles de gestion'!$D$2:$F$121,3, FALSE)</f>
        <v>L'accord de l'administration d'origine est nécessaire.</v>
      </c>
      <c r="AF45" s="13"/>
      <c r="AG45" s="15"/>
      <c r="AH45" s="13"/>
      <c r="AI45" s="15"/>
      <c r="AJ45" s="13"/>
      <c r="AK45" s="15"/>
      <c r="AL45" s="13"/>
      <c r="AM45" s="15"/>
      <c r="AN45" s="13"/>
      <c r="AO45" s="15"/>
      <c r="AP45" s="13" t="s">
        <v>114</v>
      </c>
      <c r="AQ45" s="15" t="str">
        <f>VLOOKUP(AP45,'Axe 2 Règles de gestion'!$D$2:$F$121,3, FALSE)</f>
        <v>Un détachement de courte durée à l'étranger ou dans les TOM ne peut excéder 1 an entre la date de début et la date de fin prévisionnelle.</v>
      </c>
      <c r="AR45" s="13" t="s">
        <v>116</v>
      </c>
      <c r="AS45" s="15" t="str">
        <f>VLOOKUP(AR45,'Axe 2 Règles de gestion'!$D$2:$F$121,3, FALSE)</f>
        <v>Un détachement de courte durée à l'étranger ou dans les TOM ne peut excéder 1 an entre la date de début et la date de fin réelle.</v>
      </c>
      <c r="AT45" s="13" t="s">
        <v>118</v>
      </c>
      <c r="AU45" s="15" t="str">
        <f>VLOOKUP(AT45,'Axe 2 Règles de gestion'!$D$2:$F$121,3, FALSE)</f>
        <v>Un détachement de courte durée n'ayant pas lieu à l'étranger ou dans les TOM ne peut excéder six mois entre la date de début et la date de fin prévisionnelle.</v>
      </c>
      <c r="AV45" s="13" t="s">
        <v>120</v>
      </c>
      <c r="AW45" s="15" t="str">
        <f>VLOOKUP(AV45,'Axe 2 Règles de gestion'!$D$2:$F$121,3, FALSE)</f>
        <v>Un détachement de courte durée n'ayant pas lieu à l'étranger ou dans les TOM ne peut excéder six mois entre la date de début et la date de fin réelle.</v>
      </c>
      <c r="AX45" s="13" t="s">
        <v>122</v>
      </c>
      <c r="AY45" s="15" t="str">
        <f>VLOOKUP(AX45,'Axe 2 Règles de gestion'!$D$2:$F$121,3, FALSE)</f>
        <v>Un détachement de longue durée ne peut excéder 5 ans entre la date de début et la date de fin prévisionnelle.</v>
      </c>
      <c r="AZ45" s="13" t="s">
        <v>124</v>
      </c>
      <c r="BA45" s="15" t="str">
        <f>VLOOKUP(AZ45,'Axe 2 Règles de gestion'!$D$2:$F$121,3, FALSE)</f>
        <v>Un détachement de longue durée ne peut excéder 5 ans entre la date de début et la date de fin réelle.</v>
      </c>
      <c r="BB45" s="13" t="s">
        <v>126</v>
      </c>
      <c r="BC45" s="15" t="str">
        <f>VLOOKUP(BB45,'Axe 2 Règles de gestion'!$D$2:$F$121,3, FALSE)</f>
        <v>La date de début de position doit être antérieure ou égale à la date de fin prévisionnelle de position.</v>
      </c>
      <c r="BD45" s="13" t="s">
        <v>250</v>
      </c>
      <c r="BE45" s="15" t="str">
        <f>VLOOKUP(BD45,'Axe 2 Règles de gestion'!$D$2:$F$121,3, FALSE)</f>
        <v>La date de fin réelle de la position doit être antérieure ou égale à la date de fin réelle ou prévisionnelle du lien juridique.</v>
      </c>
      <c r="BF45" s="13" t="s">
        <v>130</v>
      </c>
      <c r="BG45" s="15" t="str">
        <f>VLOOKUP(BF45,'Axe 2 Règles de gestion'!$D$2:$F$121,3, FALSE)</f>
        <v>La date de fin réelle de la position doit être antérieure à la date limite de départ à la retraite.</v>
      </c>
      <c r="BH45" s="13" t="s">
        <v>252</v>
      </c>
      <c r="BI45" s="15" t="str">
        <f>VLOOKUP(BH45,'Axe 2 Règles de gestion'!$D$2:$F$121,3, FALSE)</f>
        <v>La date de début de la position doit être postérieure ou égale à la date de début du lien juridique.</v>
      </c>
      <c r="BJ45" s="13" t="s">
        <v>132</v>
      </c>
      <c r="BK45" s="15" t="str">
        <f>VLOOKUP(BJ45,'Axe 2 Règles de gestion'!$D$2:$F$121,3, FALSE)</f>
        <v>La date de début de position doit être antérieure ou égale à la date de fin réelle de position.</v>
      </c>
      <c r="BL45" s="13" t="s">
        <v>134</v>
      </c>
      <c r="BM45" s="15" t="str">
        <f>VLOOKUP(BL45,'Axe 2 Règles de gestion'!$D$2:$F$121,3, FALSE)</f>
        <v>La date de fin prévisionnelle de la position doit être antérieure à la date limite de départ à la retraite.</v>
      </c>
      <c r="BN45" s="13" t="s">
        <v>136</v>
      </c>
      <c r="BO45" s="15" t="str">
        <f>VLOOKUP(BN45,'Axe 2 Règles de gestion'!$D$2:$F$121,3, FALSE)</f>
        <v>L'indicateur de carrière est sur la valeur "Accueil".</v>
      </c>
      <c r="BP45" s="13" t="s">
        <v>138</v>
      </c>
      <c r="BQ45" s="15" t="str">
        <f>VLOOKUP(BP45,'Axe 2 Règles de gestion'!$D$2:$F$121,3, FALSE)</f>
        <v>La date de début de position est à J+1 de la date de fin de position de l'occurrence précédente.</v>
      </c>
      <c r="BR45" s="13" t="s">
        <v>140</v>
      </c>
      <c r="BS45" s="15" t="str">
        <f>VLOOKUP(BR45,'Axe 2 Règles de gestion'!$D$2:$F$121,3, FALSE)</f>
        <v>Les champs "Type d'organisme d'origine", "Catégorie statutaire d'origine" et "Pays" de l'organisme d'origine doivent être renseignés.</v>
      </c>
      <c r="BT45" s="13" t="s">
        <v>142</v>
      </c>
      <c r="BU45" s="15" t="str">
        <f>VLOOKUP(BT45,'Axe 2 Règles de gestion'!$D$2:$F$121,3, FALSE)</f>
        <v>Les champs "Ministère (ou institution de la République) d'origine", "Corps d'origine", "Grade d'origine", "Echelon d'origine" sont renseignés si le "Type d'organisme d'origine" est valorisé à FPE.</v>
      </c>
      <c r="BV45" s="13" t="s">
        <v>144</v>
      </c>
      <c r="BW45" s="15" t="str">
        <f>VLOOKUP(BV45,'Axe 2 Règles de gestion'!$D$2:$F$121,3, FALSE)</f>
        <v>Le champ "Organisme d'origine" doit être alimenté si le type d'organisme d'origine est égal à 'Autre organisme', 'Fonction publique d'un état de l'Union Européenne' ou 'Fonction publique Européenne'.</v>
      </c>
      <c r="BX45" s="13" t="s">
        <v>146</v>
      </c>
      <c r="BY45" s="15" t="str">
        <f>VLOOKUP(BX45,'Axe 2 Règles de gestion'!$D$2:$F$121,3, FALSE)</f>
        <v>Le champ "Code emploi statutaire FPT (NET)" est renseigné si le "Type d'organisme d'origine" est valorisé à FPT.</v>
      </c>
      <c r="BZ45" s="13" t="s">
        <v>148</v>
      </c>
      <c r="CA45" s="15" t="str">
        <f>VLOOKUP(BZ45,'Axe 2 Règles de gestion'!$D$2:$F$121,3, FALSE)</f>
        <v>Le champ "Code emploi statutaire FPH (NEH)" est renseigné si le "Type d'organisme d'origine" est valorisé à FPH.</v>
      </c>
      <c r="CB45" s="13" t="s">
        <v>254</v>
      </c>
      <c r="CC45" s="15" t="str">
        <f>VLOOKUP(CB45,'Axe 2 Règles de gestion'!$D$2:$F$121,3, FALSE)</f>
        <v>La date de fin prévisionnelle de la position doit être antérieure ou égale à la date de fin réelle ou prévisionnelle du lien juridique.</v>
      </c>
      <c r="CD45" s="13" t="s">
        <v>150</v>
      </c>
      <c r="CE45" s="15" t="str">
        <f>VLOOKUP(CD45,'Axe 2 Règles de gestion'!$D$2:$F$121,3, FALSE)</f>
        <v>La date de fin ou la date de fin prévisionnelle doit être saisie.</v>
      </c>
      <c r="CF45" s="13"/>
      <c r="CG45" s="13"/>
    </row>
    <row r="46" spans="1:85" ht="135" x14ac:dyDescent="0.25">
      <c r="A46" s="13" t="s">
        <v>86</v>
      </c>
      <c r="B46" s="13" t="s">
        <v>153</v>
      </c>
      <c r="C46" s="14">
        <v>44008.569444444445</v>
      </c>
      <c r="D46" s="13" t="s">
        <v>88</v>
      </c>
      <c r="E46" s="15" t="s">
        <v>89</v>
      </c>
      <c r="F46" s="13" t="s">
        <v>90</v>
      </c>
      <c r="G46" s="15" t="s">
        <v>91</v>
      </c>
      <c r="H46" s="13" t="s">
        <v>239</v>
      </c>
      <c r="I46" s="15" t="s">
        <v>240</v>
      </c>
      <c r="J46" s="15" t="s">
        <v>241</v>
      </c>
      <c r="K46" s="15" t="s">
        <v>242</v>
      </c>
      <c r="L46" s="13" t="s">
        <v>243</v>
      </c>
      <c r="M46" s="15" t="s">
        <v>244</v>
      </c>
      <c r="N46" s="13" t="s">
        <v>98</v>
      </c>
      <c r="O46" s="15" t="s">
        <v>99</v>
      </c>
      <c r="P46" s="15" t="s">
        <v>100</v>
      </c>
      <c r="Q46" s="15" t="s">
        <v>203</v>
      </c>
      <c r="R46" s="13" t="s">
        <v>204</v>
      </c>
      <c r="S46" s="13" t="s">
        <v>103</v>
      </c>
      <c r="T46" s="13" t="s">
        <v>104</v>
      </c>
      <c r="U46" s="14">
        <v>43831</v>
      </c>
      <c r="V46" s="14"/>
      <c r="W46" s="15" t="s">
        <v>256</v>
      </c>
      <c r="X46" s="13" t="s">
        <v>106</v>
      </c>
      <c r="Y46" s="15" t="str">
        <f>VLOOKUP(X46,'Axe 2 Règles de gestion'!$D$2:$F$121,3, FALSE)</f>
        <v>L'agent doit détenir le titre ou le diplôme requis pour l'exercice des fonctions du corps d'accueil.</v>
      </c>
      <c r="Z46" s="13" t="s">
        <v>108</v>
      </c>
      <c r="AA46" s="15" t="str">
        <f>VLOOKUP(Z46,'Axe 2 Règles de gestion'!$D$2:$F$121,3, FALSE)</f>
        <v>L'agent doit formuler une demande.</v>
      </c>
      <c r="AB46" s="13" t="s">
        <v>112</v>
      </c>
      <c r="AC46" s="15" t="str">
        <f>VLOOKUP(AB46,'Axe 2 Règles de gestion'!$D$2:$F$121,3, FALSE)</f>
        <v>L'accord de l'administration d'origine est nécessaire.</v>
      </c>
      <c r="AD46" s="13"/>
      <c r="AE46" s="15"/>
      <c r="AF46" s="13"/>
      <c r="AG46" s="15"/>
      <c r="AH46" s="13"/>
      <c r="AI46" s="15"/>
      <c r="AJ46" s="13"/>
      <c r="AK46" s="15"/>
      <c r="AL46" s="13"/>
      <c r="AM46" s="15"/>
      <c r="AN46" s="13"/>
      <c r="AO46" s="15"/>
      <c r="AP46" s="13" t="s">
        <v>114</v>
      </c>
      <c r="AQ46" s="15" t="str">
        <f>VLOOKUP(AP46,'Axe 2 Règles de gestion'!$D$2:$F$121,3, FALSE)</f>
        <v>Un détachement de courte durée à l'étranger ou dans les TOM ne peut excéder 1 an entre la date de début et la date de fin prévisionnelle.</v>
      </c>
      <c r="AR46" s="13" t="s">
        <v>116</v>
      </c>
      <c r="AS46" s="15" t="str">
        <f>VLOOKUP(AR46,'Axe 2 Règles de gestion'!$D$2:$F$121,3, FALSE)</f>
        <v>Un détachement de courte durée à l'étranger ou dans les TOM ne peut excéder 1 an entre la date de début et la date de fin réelle.</v>
      </c>
      <c r="AT46" s="13" t="s">
        <v>118</v>
      </c>
      <c r="AU46" s="15" t="str">
        <f>VLOOKUP(AT46,'Axe 2 Règles de gestion'!$D$2:$F$121,3, FALSE)</f>
        <v>Un détachement de courte durée n'ayant pas lieu à l'étranger ou dans les TOM ne peut excéder six mois entre la date de début et la date de fin prévisionnelle.</v>
      </c>
      <c r="AV46" s="13" t="s">
        <v>120</v>
      </c>
      <c r="AW46" s="15" t="str">
        <f>VLOOKUP(AV46,'Axe 2 Règles de gestion'!$D$2:$F$121,3, FALSE)</f>
        <v>Un détachement de courte durée n'ayant pas lieu à l'étranger ou dans les TOM ne peut excéder six mois entre la date de début et la date de fin réelle.</v>
      </c>
      <c r="AX46" s="13" t="s">
        <v>122</v>
      </c>
      <c r="AY46" s="15" t="str">
        <f>VLOOKUP(AX46,'Axe 2 Règles de gestion'!$D$2:$F$121,3, FALSE)</f>
        <v>Un détachement de longue durée ne peut excéder 5 ans entre la date de début et la date de fin prévisionnelle.</v>
      </c>
      <c r="AZ46" s="13" t="s">
        <v>124</v>
      </c>
      <c r="BA46" s="15" t="str">
        <f>VLOOKUP(AZ46,'Axe 2 Règles de gestion'!$D$2:$F$121,3, FALSE)</f>
        <v>Un détachement de longue durée ne peut excéder 5 ans entre la date de début et la date de fin réelle.</v>
      </c>
      <c r="BB46" s="13" t="s">
        <v>126</v>
      </c>
      <c r="BC46" s="15" t="str">
        <f>VLOOKUP(BB46,'Axe 2 Règles de gestion'!$D$2:$F$121,3, FALSE)</f>
        <v>La date de début de position doit être antérieure ou égale à la date de fin prévisionnelle de position.</v>
      </c>
      <c r="BD46" s="13" t="s">
        <v>250</v>
      </c>
      <c r="BE46" s="15" t="str">
        <f>VLOOKUP(BD46,'Axe 2 Règles de gestion'!$D$2:$F$121,3, FALSE)</f>
        <v>La date de fin réelle de la position doit être antérieure ou égale à la date de fin réelle ou prévisionnelle du lien juridique.</v>
      </c>
      <c r="BF46" s="13" t="s">
        <v>130</v>
      </c>
      <c r="BG46" s="15" t="str">
        <f>VLOOKUP(BF46,'Axe 2 Règles de gestion'!$D$2:$F$121,3, FALSE)</f>
        <v>La date de fin réelle de la position doit être antérieure à la date limite de départ à la retraite.</v>
      </c>
      <c r="BH46" s="13" t="s">
        <v>252</v>
      </c>
      <c r="BI46" s="15" t="str">
        <f>VLOOKUP(BH46,'Axe 2 Règles de gestion'!$D$2:$F$121,3, FALSE)</f>
        <v>La date de début de la position doit être postérieure ou égale à la date de début du lien juridique.</v>
      </c>
      <c r="BJ46" s="13" t="s">
        <v>132</v>
      </c>
      <c r="BK46" s="15" t="str">
        <f>VLOOKUP(BJ46,'Axe 2 Règles de gestion'!$D$2:$F$121,3, FALSE)</f>
        <v>La date de début de position doit être antérieure ou égale à la date de fin réelle de position.</v>
      </c>
      <c r="BL46" s="13" t="s">
        <v>134</v>
      </c>
      <c r="BM46" s="15" t="str">
        <f>VLOOKUP(BL46,'Axe 2 Règles de gestion'!$D$2:$F$121,3, FALSE)</f>
        <v>La date de fin prévisionnelle de la position doit être antérieure à la date limite de départ à la retraite.</v>
      </c>
      <c r="BN46" s="13" t="s">
        <v>136</v>
      </c>
      <c r="BO46" s="15" t="str">
        <f>VLOOKUP(BN46,'Axe 2 Règles de gestion'!$D$2:$F$121,3, FALSE)</f>
        <v>L'indicateur de carrière est sur la valeur "Accueil".</v>
      </c>
      <c r="BP46" s="13" t="s">
        <v>138</v>
      </c>
      <c r="BQ46" s="15" t="str">
        <f>VLOOKUP(BP46,'Axe 2 Règles de gestion'!$D$2:$F$121,3, FALSE)</f>
        <v>La date de début de position est à J+1 de la date de fin de position de l'occurrence précédente.</v>
      </c>
      <c r="BR46" s="13" t="s">
        <v>140</v>
      </c>
      <c r="BS46" s="15" t="str">
        <f>VLOOKUP(BR46,'Axe 2 Règles de gestion'!$D$2:$F$121,3, FALSE)</f>
        <v>Les champs "Type d'organisme d'origine", "Catégorie statutaire d'origine" et "Pays" de l'organisme d'origine doivent être renseignés.</v>
      </c>
      <c r="BT46" s="13" t="s">
        <v>142</v>
      </c>
      <c r="BU46" s="15" t="str">
        <f>VLOOKUP(BT46,'Axe 2 Règles de gestion'!$D$2:$F$121,3, FALSE)</f>
        <v>Les champs "Ministère (ou institution de la République) d'origine", "Corps d'origine", "Grade d'origine", "Echelon d'origine" sont renseignés si le "Type d'organisme d'origine" est valorisé à FPE.</v>
      </c>
      <c r="BV46" s="13" t="s">
        <v>144</v>
      </c>
      <c r="BW46" s="15" t="str">
        <f>VLOOKUP(BV46,'Axe 2 Règles de gestion'!$D$2:$F$121,3, FALSE)</f>
        <v>Le champ "Organisme d'origine" doit être alimenté si le type d'organisme d'origine est égal à 'Autre organisme', 'Fonction publique d'un état de l'Union Européenne' ou 'Fonction publique Européenne'.</v>
      </c>
      <c r="BX46" s="13" t="s">
        <v>146</v>
      </c>
      <c r="BY46" s="15" t="str">
        <f>VLOOKUP(BX46,'Axe 2 Règles de gestion'!$D$2:$F$121,3, FALSE)</f>
        <v>Le champ "Code emploi statutaire FPT (NET)" est renseigné si le "Type d'organisme d'origine" est valorisé à FPT.</v>
      </c>
      <c r="BZ46" s="13" t="s">
        <v>148</v>
      </c>
      <c r="CA46" s="15" t="str">
        <f>VLOOKUP(BZ46,'Axe 2 Règles de gestion'!$D$2:$F$121,3, FALSE)</f>
        <v>Le champ "Code emploi statutaire FPH (NEH)" est renseigné si le "Type d'organisme d'origine" est valorisé à FPH.</v>
      </c>
      <c r="CB46" s="13" t="s">
        <v>254</v>
      </c>
      <c r="CC46" s="15" t="str">
        <f>VLOOKUP(CB46,'Axe 2 Règles de gestion'!$D$2:$F$121,3, FALSE)</f>
        <v>La date de fin prévisionnelle de la position doit être antérieure ou égale à la date de fin réelle ou prévisionnelle du lien juridique.</v>
      </c>
      <c r="CD46" s="13" t="s">
        <v>150</v>
      </c>
      <c r="CE46" s="15" t="str">
        <f>VLOOKUP(CD46,'Axe 2 Règles de gestion'!$D$2:$F$121,3, FALSE)</f>
        <v>La date de fin ou la date de fin prévisionnelle doit être saisie.</v>
      </c>
      <c r="CF46" s="13"/>
      <c r="CG46" s="13"/>
    </row>
    <row r="47" spans="1:85" ht="135" x14ac:dyDescent="0.25">
      <c r="A47" s="13" t="s">
        <v>86</v>
      </c>
      <c r="B47" s="13" t="s">
        <v>87</v>
      </c>
      <c r="C47" s="14">
        <v>43850.552083333336</v>
      </c>
      <c r="D47" s="13" t="s">
        <v>88</v>
      </c>
      <c r="E47" s="15" t="s">
        <v>89</v>
      </c>
      <c r="F47" s="13" t="s">
        <v>90</v>
      </c>
      <c r="G47" s="15" t="s">
        <v>91</v>
      </c>
      <c r="H47" s="13" t="s">
        <v>239</v>
      </c>
      <c r="I47" s="15" t="s">
        <v>240</v>
      </c>
      <c r="J47" s="15" t="s">
        <v>241</v>
      </c>
      <c r="K47" s="15" t="s">
        <v>242</v>
      </c>
      <c r="L47" s="13" t="s">
        <v>245</v>
      </c>
      <c r="M47" s="15" t="s">
        <v>246</v>
      </c>
      <c r="N47" s="13" t="s">
        <v>98</v>
      </c>
      <c r="O47" s="15" t="s">
        <v>170</v>
      </c>
      <c r="P47" s="15" t="s">
        <v>171</v>
      </c>
      <c r="Q47" s="15" t="s">
        <v>203</v>
      </c>
      <c r="R47" s="13" t="s">
        <v>204</v>
      </c>
      <c r="S47" s="13" t="s">
        <v>103</v>
      </c>
      <c r="T47" s="13" t="s">
        <v>104</v>
      </c>
      <c r="U47" s="14">
        <v>40725</v>
      </c>
      <c r="V47" s="14"/>
      <c r="W47" s="15" t="s">
        <v>257</v>
      </c>
      <c r="X47" s="13" t="s">
        <v>173</v>
      </c>
      <c r="Y47" s="15" t="str">
        <f>VLOOKUP(X47,'Axe 2 Règles de gestion'!$D$2:$F$121,3, FALSE)</f>
        <v>L'agent doit formuler une demande de renouvellement à son administration d'origine 3 mois au moins avant l'expiration de la période de détachement de longue durée.</v>
      </c>
      <c r="Z47" s="13" t="s">
        <v>175</v>
      </c>
      <c r="AA47" s="15" t="str">
        <f>VLOOKUP(Z47,'Axe 2 Règles de gestion'!$D$2:$F$121,3, FALSE)</f>
        <v>L'organisme d'accueil adresse sa décision à l'agent et à l'administration d'origine 2 mois au moins avant l'expiration de la période de détachement.</v>
      </c>
      <c r="AB47" s="13"/>
      <c r="AC47" s="15"/>
      <c r="AD47" s="13"/>
      <c r="AE47" s="15"/>
      <c r="AF47" s="13"/>
      <c r="AG47" s="15"/>
      <c r="AH47" s="13"/>
      <c r="AI47" s="15"/>
      <c r="AJ47" s="13"/>
      <c r="AK47" s="15"/>
      <c r="AL47" s="13"/>
      <c r="AM47" s="15"/>
      <c r="AN47" s="13"/>
      <c r="AO47" s="15"/>
      <c r="AP47" s="13" t="s">
        <v>122</v>
      </c>
      <c r="AQ47" s="15" t="str">
        <f>VLOOKUP(AP47,'Axe 2 Règles de gestion'!$D$2:$F$121,3, FALSE)</f>
        <v>Un détachement de longue durée ne peut excéder 5 ans entre la date de début et la date de fin prévisionnelle.</v>
      </c>
      <c r="AR47" s="13" t="s">
        <v>124</v>
      </c>
      <c r="AS47" s="15" t="str">
        <f>VLOOKUP(AR47,'Axe 2 Règles de gestion'!$D$2:$F$121,3, FALSE)</f>
        <v>Un détachement de longue durée ne peut excéder 5 ans entre la date de début et la date de fin réelle.</v>
      </c>
      <c r="AT47" s="13" t="s">
        <v>177</v>
      </c>
      <c r="AU47" s="15" t="str">
        <f>VLOOKUP(AT47,'Axe 2 Règles de gestion'!$D$2:$F$121,3, FALSE)</f>
        <v>Le renouvellement d'un détachement de courte durée est interdit.</v>
      </c>
      <c r="AV47" s="13"/>
      <c r="AW47" s="15"/>
      <c r="AX47" s="13"/>
      <c r="AY47" s="15"/>
      <c r="AZ47" s="13"/>
      <c r="BA47" s="15"/>
      <c r="BB47" s="13" t="s">
        <v>126</v>
      </c>
      <c r="BC47" s="15" t="str">
        <f>VLOOKUP(BB47,'Axe 2 Règles de gestion'!$D$2:$F$121,3, FALSE)</f>
        <v>La date de début de position doit être antérieure ou égale à la date de fin prévisionnelle de position.</v>
      </c>
      <c r="BD47" s="13" t="s">
        <v>250</v>
      </c>
      <c r="BE47" s="15" t="str">
        <f>VLOOKUP(BD47,'Axe 2 Règles de gestion'!$D$2:$F$121,3, FALSE)</f>
        <v>La date de fin réelle de la position doit être antérieure ou égale à la date de fin réelle ou prévisionnelle du lien juridique.</v>
      </c>
      <c r="BF47" s="13" t="s">
        <v>130</v>
      </c>
      <c r="BG47" s="15" t="str">
        <f>VLOOKUP(BF47,'Axe 2 Règles de gestion'!$D$2:$F$121,3, FALSE)</f>
        <v>La date de fin réelle de la position doit être antérieure à la date limite de départ à la retraite.</v>
      </c>
      <c r="BH47" s="13" t="s">
        <v>252</v>
      </c>
      <c r="BI47" s="15" t="str">
        <f>VLOOKUP(BH47,'Axe 2 Règles de gestion'!$D$2:$F$121,3, FALSE)</f>
        <v>La date de début de la position doit être postérieure ou égale à la date de début du lien juridique.</v>
      </c>
      <c r="BJ47" s="13" t="s">
        <v>132</v>
      </c>
      <c r="BK47" s="15" t="str">
        <f>VLOOKUP(BJ47,'Axe 2 Règles de gestion'!$D$2:$F$121,3, FALSE)</f>
        <v>La date de début de position doit être antérieure ou égale à la date de fin réelle de position.</v>
      </c>
      <c r="BL47" s="13" t="s">
        <v>134</v>
      </c>
      <c r="BM47" s="15" t="str">
        <f>VLOOKUP(BL47,'Axe 2 Règles de gestion'!$D$2:$F$121,3, FALSE)</f>
        <v>La date de fin prévisionnelle de la position doit être antérieure à la date limite de départ à la retraite.</v>
      </c>
      <c r="BN47" s="13" t="s">
        <v>136</v>
      </c>
      <c r="BO47" s="15" t="str">
        <f>VLOOKUP(BN47,'Axe 2 Règles de gestion'!$D$2:$F$121,3, FALSE)</f>
        <v>L'indicateur de carrière est sur la valeur "Accueil".</v>
      </c>
      <c r="BP47" s="13" t="s">
        <v>138</v>
      </c>
      <c r="BQ47" s="15" t="str">
        <f>VLOOKUP(BP47,'Axe 2 Règles de gestion'!$D$2:$F$121,3, FALSE)</f>
        <v>La date de début de position est à J+1 de la date de fin de position de l'occurrence précédente.</v>
      </c>
      <c r="BR47" s="13" t="s">
        <v>140</v>
      </c>
      <c r="BS47" s="15" t="str">
        <f>VLOOKUP(BR47,'Axe 2 Règles de gestion'!$D$2:$F$121,3, FALSE)</f>
        <v>Les champs "Type d'organisme d'origine", "Catégorie statutaire d'origine" et "Pays" de l'organisme d'origine doivent être renseignés.</v>
      </c>
      <c r="BT47" s="13" t="s">
        <v>142</v>
      </c>
      <c r="BU47" s="15" t="str">
        <f>VLOOKUP(BT47,'Axe 2 Règles de gestion'!$D$2:$F$121,3, FALSE)</f>
        <v>Les champs "Ministère (ou institution de la République) d'origine", "Corps d'origine", "Grade d'origine", "Echelon d'origine" sont renseignés si le "Type d'organisme d'origine" est valorisé à FPE.</v>
      </c>
      <c r="BV47" s="13" t="s">
        <v>144</v>
      </c>
      <c r="BW47" s="15" t="str">
        <f>VLOOKUP(BV47,'Axe 2 Règles de gestion'!$D$2:$F$121,3, FALSE)</f>
        <v>Le champ "Organisme d'origine" doit être alimenté si le type d'organisme d'origine est égal à 'Autre organisme', 'Fonction publique d'un état de l'Union Européenne' ou 'Fonction publique Européenne'.</v>
      </c>
      <c r="BX47" s="13" t="s">
        <v>146</v>
      </c>
      <c r="BY47" s="15" t="str">
        <f>VLOOKUP(BX47,'Axe 2 Règles de gestion'!$D$2:$F$121,3, FALSE)</f>
        <v>Le champ "Code emploi statutaire FPT (NET)" est renseigné si le "Type d'organisme d'origine" est valorisé à FPT.</v>
      </c>
      <c r="BZ47" s="13" t="s">
        <v>148</v>
      </c>
      <c r="CA47" s="15" t="str">
        <f>VLOOKUP(BZ47,'Axe 2 Règles de gestion'!$D$2:$F$121,3, FALSE)</f>
        <v>Le champ "Code emploi statutaire FPH (NEH)" est renseigné si le "Type d'organisme d'origine" est valorisé à FPH.</v>
      </c>
      <c r="CB47" s="13" t="s">
        <v>254</v>
      </c>
      <c r="CC47" s="15" t="str">
        <f>VLOOKUP(CB47,'Axe 2 Règles de gestion'!$D$2:$F$121,3, FALSE)</f>
        <v>La date de fin prévisionnelle de la position doit être antérieure ou égale à la date de fin réelle ou prévisionnelle du lien juridique.</v>
      </c>
      <c r="CD47" s="13" t="s">
        <v>150</v>
      </c>
      <c r="CE47" s="15" t="str">
        <f>VLOOKUP(CD47,'Axe 2 Règles de gestion'!$D$2:$F$121,3, FALSE)</f>
        <v>La date de fin ou la date de fin prévisionnelle doit être saisie.</v>
      </c>
      <c r="CF47" s="13"/>
      <c r="CG47" s="13"/>
    </row>
    <row r="48" spans="1:85" ht="150" x14ac:dyDescent="0.25">
      <c r="A48" s="13" t="s">
        <v>86</v>
      </c>
      <c r="B48" s="13" t="s">
        <v>87</v>
      </c>
      <c r="C48" s="14">
        <v>43850.552083333336</v>
      </c>
      <c r="D48" s="13" t="s">
        <v>88</v>
      </c>
      <c r="E48" s="15" t="s">
        <v>89</v>
      </c>
      <c r="F48" s="13" t="s">
        <v>90</v>
      </c>
      <c r="G48" s="15" t="s">
        <v>91</v>
      </c>
      <c r="H48" s="13" t="s">
        <v>239</v>
      </c>
      <c r="I48" s="15" t="s">
        <v>240</v>
      </c>
      <c r="J48" s="15" t="s">
        <v>241</v>
      </c>
      <c r="K48" s="15" t="s">
        <v>242</v>
      </c>
      <c r="L48" s="13" t="s">
        <v>247</v>
      </c>
      <c r="M48" s="15" t="s">
        <v>248</v>
      </c>
      <c r="N48" s="13" t="s">
        <v>188</v>
      </c>
      <c r="O48" s="15" t="s">
        <v>189</v>
      </c>
      <c r="P48" s="15" t="s">
        <v>190</v>
      </c>
      <c r="Q48" s="15" t="s">
        <v>203</v>
      </c>
      <c r="R48" s="13" t="s">
        <v>204</v>
      </c>
      <c r="S48" s="13" t="s">
        <v>103</v>
      </c>
      <c r="T48" s="13" t="s">
        <v>104</v>
      </c>
      <c r="U48" s="14">
        <v>40725</v>
      </c>
      <c r="V48" s="14"/>
      <c r="W48" s="15" t="s">
        <v>258</v>
      </c>
      <c r="X48" s="13" t="s">
        <v>192</v>
      </c>
      <c r="Y48" s="15" t="str">
        <f>VLOOKUP(X48,'Axe 2 Règles de gestion'!$D$2:$F$121,3, FALSE)</f>
        <v>Le détachement peut prendre fin de manière anticipée à l'initiative de l'administration d'accueil, de l'administration d'origine ou de l'agent.</v>
      </c>
      <c r="Z48" s="13" t="s">
        <v>194</v>
      </c>
      <c r="AA48" s="15" t="str">
        <f>VLOOKUP(Z48,'Axe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48" s="13" t="s">
        <v>196</v>
      </c>
      <c r="AC48" s="15" t="str">
        <f>VLOOKUP(AB48,'Axe 2 Règles de gestion'!$D$2:$F$121,3, FALSE)</f>
        <v>L'agent doit adresser une demande de réintégration à l'administration d'origine 3 mois au moins avant l'expiration de la période de détachement de longue durée.</v>
      </c>
      <c r="AD48" s="13" t="s">
        <v>175</v>
      </c>
      <c r="AE48" s="15" t="str">
        <f>VLOOKUP(AD48,'Axe 2 Règles de gestion'!$D$2:$F$121,3, FALSE)</f>
        <v>L'organisme d'accueil adresse sa décision à l'agent et à l'administration d'origine 2 mois au moins avant l'expiration de la période de détachement.</v>
      </c>
      <c r="AF48" s="13" t="s">
        <v>198</v>
      </c>
      <c r="AG48" s="15" t="str">
        <f>VLOOKUP(AF48,'Axe 2 Règles de gestion'!$D$2:$F$121,3, FALSE)</f>
        <v>Si l'agent n'adresse pas sa demande dans les délais, il est obligatoirement réintégré à la première vacance dans son corps d'origine et affecté à un emploi correspondant à son grade.</v>
      </c>
      <c r="AH48" s="13" t="s">
        <v>200</v>
      </c>
      <c r="AI48" s="15" t="str">
        <f>VLOOKUP(AH48,'Axe 2 Règles de gestion'!$D$2:$F$121,3, FALSE)</f>
        <v>Les dispositions relatives à la réintégration au terme d'un détachement de longue durée ne sont pas applicables aux préfets et sous-préfets.</v>
      </c>
      <c r="AJ48" s="13"/>
      <c r="AK48" s="15"/>
      <c r="AL48" s="13"/>
      <c r="AM48" s="15"/>
      <c r="AN48" s="13"/>
      <c r="AO48" s="15"/>
      <c r="AP48" s="13" t="s">
        <v>114</v>
      </c>
      <c r="AQ48" s="15" t="str">
        <f>VLOOKUP(AP48,'Axe 2 Règles de gestion'!$D$2:$F$121,3, FALSE)</f>
        <v>Un détachement de courte durée à l'étranger ou dans les TOM ne peut excéder 1 an entre la date de début et la date de fin prévisionnelle.</v>
      </c>
      <c r="AR48" s="13" t="s">
        <v>116</v>
      </c>
      <c r="AS48" s="15" t="str">
        <f>VLOOKUP(AR48,'Axe 2 Règles de gestion'!$D$2:$F$121,3, FALSE)</f>
        <v>Un détachement de courte durée à l'étranger ou dans les TOM ne peut excéder 1 an entre la date de début et la date de fin réelle.</v>
      </c>
      <c r="AT48" s="13" t="s">
        <v>118</v>
      </c>
      <c r="AU48" s="15" t="str">
        <f>VLOOKUP(AT48,'Axe 2 Règles de gestion'!$D$2:$F$121,3, FALSE)</f>
        <v>Un détachement de courte durée n'ayant pas lieu à l'étranger ou dans les TOM ne peut excéder six mois entre la date de début et la date de fin prévisionnelle.</v>
      </c>
      <c r="AV48" s="13" t="s">
        <v>120</v>
      </c>
      <c r="AW48" s="15" t="str">
        <f>VLOOKUP(AV48,'Axe 2 Règles de gestion'!$D$2:$F$121,3, FALSE)</f>
        <v>Un détachement de courte durée n'ayant pas lieu à l'étranger ou dans les TOM ne peut excéder six mois entre la date de début et la date de fin réelle.</v>
      </c>
      <c r="AX48" s="13" t="s">
        <v>122</v>
      </c>
      <c r="AY48" s="15" t="str">
        <f>VLOOKUP(AX48,'Axe 2 Règles de gestion'!$D$2:$F$121,3, FALSE)</f>
        <v>Un détachement de longue durée ne peut excéder 5 ans entre la date de début et la date de fin prévisionnelle.</v>
      </c>
      <c r="AZ48" s="13" t="s">
        <v>124</v>
      </c>
      <c r="BA48" s="15" t="str">
        <f>VLOOKUP(AZ48,'Axe 2 Règles de gestion'!$D$2:$F$121,3, FALSE)</f>
        <v>Un détachement de longue durée ne peut excéder 5 ans entre la date de début et la date de fin réelle.</v>
      </c>
      <c r="BB48" s="13" t="s">
        <v>126</v>
      </c>
      <c r="BC48" s="15" t="str">
        <f>VLOOKUP(BB48,'Axe 2 Règles de gestion'!$D$2:$F$121,3, FALSE)</f>
        <v>La date de début de position doit être antérieure ou égale à la date de fin prévisionnelle de position.</v>
      </c>
      <c r="BD48" s="13" t="s">
        <v>250</v>
      </c>
      <c r="BE48" s="15" t="str">
        <f>VLOOKUP(BD48,'Axe 2 Règles de gestion'!$D$2:$F$121,3, FALSE)</f>
        <v>La date de fin réelle de la position doit être antérieure ou égale à la date de fin réelle ou prévisionnelle du lien juridique.</v>
      </c>
      <c r="BF48" s="13" t="s">
        <v>130</v>
      </c>
      <c r="BG48" s="15" t="str">
        <f>VLOOKUP(BF48,'Axe 2 Règles de gestion'!$D$2:$F$121,3, FALSE)</f>
        <v>La date de fin réelle de la position doit être antérieure à la date limite de départ à la retraite.</v>
      </c>
      <c r="BH48" s="13" t="s">
        <v>132</v>
      </c>
      <c r="BI48" s="15" t="str">
        <f>VLOOKUP(BH48,'Axe 2 Règles de gestion'!$D$2:$F$121,3, FALSE)</f>
        <v>La date de début de position doit être antérieure ou égale à la date de fin réelle de position.</v>
      </c>
      <c r="BJ48" s="13" t="s">
        <v>134</v>
      </c>
      <c r="BK48" s="15" t="str">
        <f>VLOOKUP(BJ48,'Axe 2 Règles de gestion'!$D$2:$F$121,3, FALSE)</f>
        <v>La date de fin prévisionnelle de la position doit être antérieure à la date limite de départ à la retraite.</v>
      </c>
      <c r="BL48" s="13" t="s">
        <v>140</v>
      </c>
      <c r="BM48" s="15" t="str">
        <f>VLOOKUP(BL48,'Axe 2 Règles de gestion'!$D$2:$F$121,3, FALSE)</f>
        <v>Les champs "Type d'organisme d'origine", "Catégorie statutaire d'origine" et "Pays" de l'organisme d'origine doivent être renseignés.</v>
      </c>
      <c r="BN48" s="13" t="s">
        <v>142</v>
      </c>
      <c r="BO48" s="15" t="str">
        <f>VLOOKUP(BN48,'Axe 2 Règles de gestion'!$D$2:$F$121,3, FALSE)</f>
        <v>Les champs "Ministère (ou institution de la République) d'origine", "Corps d'origine", "Grade d'origine", "Echelon d'origine" sont renseignés si le "Type d'organisme d'origine" est valorisé à FPE.</v>
      </c>
      <c r="BP48" s="13" t="s">
        <v>144</v>
      </c>
      <c r="BQ48" s="15" t="str">
        <f>VLOOKUP(BP48,'Axe 2 Règles de gestion'!$D$2:$F$121,3, FALSE)</f>
        <v>Le champ "Organisme d'origine" doit être alimenté si le type d'organisme d'origine est égal à 'Autre organisme', 'Fonction publique d'un état de l'Union Européenne' ou 'Fonction publique Européenne'.</v>
      </c>
      <c r="BR48" s="13" t="s">
        <v>146</v>
      </c>
      <c r="BS48" s="15" t="str">
        <f>VLOOKUP(BR48,'Axe 2 Règles de gestion'!$D$2:$F$121,3, FALSE)</f>
        <v>Le champ "Code emploi statutaire FPT (NET)" est renseigné si le "Type d'organisme d'origine" est valorisé à FPT.</v>
      </c>
      <c r="BT48" s="13" t="s">
        <v>148</v>
      </c>
      <c r="BU48" s="15" t="str">
        <f>VLOOKUP(BT48,'Axe 2 Règles de gestion'!$D$2:$F$121,3, FALSE)</f>
        <v>Le champ "Code emploi statutaire FPH (NEH)" est renseigné si le "Type d'organisme d'origine" est valorisé à FPH.</v>
      </c>
      <c r="BV48" s="13" t="s">
        <v>254</v>
      </c>
      <c r="BW48" s="15" t="str">
        <f>VLOOKUP(BV48,'Axe 2 Règles de gestion'!$D$2:$F$121,3, FALSE)</f>
        <v>La date de fin prévisionnelle de la position doit être antérieure ou égale à la date de fin réelle ou prévisionnelle du lien juridique.</v>
      </c>
      <c r="BX48" s="13" t="s">
        <v>150</v>
      </c>
      <c r="BY48" s="15" t="str">
        <f>VLOOKUP(BX48,'Axe 2 Règles de gestion'!$D$2:$F$121,3, FALSE)</f>
        <v>La date de fin ou la date de fin prévisionnelle doit être saisie.</v>
      </c>
      <c r="BZ48" s="13"/>
      <c r="CA48" s="15"/>
      <c r="CB48" s="13"/>
      <c r="CC48" s="15"/>
      <c r="CD48" s="13"/>
      <c r="CE48" s="15"/>
      <c r="CF48" s="13"/>
      <c r="CG48" s="13"/>
    </row>
    <row r="49" spans="1:85" ht="135" x14ac:dyDescent="0.25">
      <c r="A49" s="13" t="s">
        <v>202</v>
      </c>
      <c r="B49" s="13" t="s">
        <v>153</v>
      </c>
      <c r="C49" s="14">
        <v>43152.5</v>
      </c>
      <c r="D49" s="13" t="s">
        <v>88</v>
      </c>
      <c r="E49" s="15" t="s">
        <v>89</v>
      </c>
      <c r="F49" s="13" t="s">
        <v>90</v>
      </c>
      <c r="G49" s="15" t="s">
        <v>91</v>
      </c>
      <c r="H49" s="13" t="s">
        <v>239</v>
      </c>
      <c r="I49" s="15" t="s">
        <v>240</v>
      </c>
      <c r="J49" s="15" t="s">
        <v>241</v>
      </c>
      <c r="K49" s="15" t="s">
        <v>242</v>
      </c>
      <c r="L49" s="13" t="s">
        <v>243</v>
      </c>
      <c r="M49" s="15" t="s">
        <v>244</v>
      </c>
      <c r="N49" s="13" t="s">
        <v>98</v>
      </c>
      <c r="O49" s="15" t="s">
        <v>99</v>
      </c>
      <c r="P49" s="15" t="s">
        <v>100</v>
      </c>
      <c r="Q49" s="15" t="s">
        <v>206</v>
      </c>
      <c r="R49" s="13" t="s">
        <v>207</v>
      </c>
      <c r="S49" s="13" t="s">
        <v>103</v>
      </c>
      <c r="T49" s="13" t="s">
        <v>205</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3"/>
    </row>
    <row r="50" spans="1:85" ht="135" x14ac:dyDescent="0.25">
      <c r="A50" s="13" t="s">
        <v>202</v>
      </c>
      <c r="B50" s="13" t="s">
        <v>153</v>
      </c>
      <c r="C50" s="14">
        <v>43152.5</v>
      </c>
      <c r="D50" s="13" t="s">
        <v>88</v>
      </c>
      <c r="E50" s="15" t="s">
        <v>89</v>
      </c>
      <c r="F50" s="13" t="s">
        <v>90</v>
      </c>
      <c r="G50" s="15" t="s">
        <v>91</v>
      </c>
      <c r="H50" s="13" t="s">
        <v>239</v>
      </c>
      <c r="I50" s="15" t="s">
        <v>240</v>
      </c>
      <c r="J50" s="15" t="s">
        <v>241</v>
      </c>
      <c r="K50" s="15" t="s">
        <v>242</v>
      </c>
      <c r="L50" s="13" t="s">
        <v>245</v>
      </c>
      <c r="M50" s="15" t="s">
        <v>246</v>
      </c>
      <c r="N50" s="13" t="s">
        <v>98</v>
      </c>
      <c r="O50" s="15" t="s">
        <v>170</v>
      </c>
      <c r="P50" s="15" t="s">
        <v>171</v>
      </c>
      <c r="Q50" s="15" t="s">
        <v>206</v>
      </c>
      <c r="R50" s="13" t="s">
        <v>207</v>
      </c>
      <c r="S50" s="13" t="s">
        <v>103</v>
      </c>
      <c r="T50" s="13" t="s">
        <v>205</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3"/>
    </row>
    <row r="51" spans="1:85" ht="135" x14ac:dyDescent="0.25">
      <c r="A51" s="13" t="s">
        <v>202</v>
      </c>
      <c r="B51" s="13" t="s">
        <v>153</v>
      </c>
      <c r="C51" s="14">
        <v>43152.5</v>
      </c>
      <c r="D51" s="13" t="s">
        <v>88</v>
      </c>
      <c r="E51" s="15" t="s">
        <v>89</v>
      </c>
      <c r="F51" s="13" t="s">
        <v>90</v>
      </c>
      <c r="G51" s="15" t="s">
        <v>91</v>
      </c>
      <c r="H51" s="13" t="s">
        <v>239</v>
      </c>
      <c r="I51" s="15" t="s">
        <v>240</v>
      </c>
      <c r="J51" s="15" t="s">
        <v>241</v>
      </c>
      <c r="K51" s="15" t="s">
        <v>242</v>
      </c>
      <c r="L51" s="13" t="s">
        <v>247</v>
      </c>
      <c r="M51" s="15" t="s">
        <v>248</v>
      </c>
      <c r="N51" s="13" t="s">
        <v>188</v>
      </c>
      <c r="O51" s="15" t="s">
        <v>189</v>
      </c>
      <c r="P51" s="15" t="s">
        <v>190</v>
      </c>
      <c r="Q51" s="15" t="s">
        <v>206</v>
      </c>
      <c r="R51" s="13" t="s">
        <v>207</v>
      </c>
      <c r="S51" s="13" t="s">
        <v>103</v>
      </c>
      <c r="T51" s="13" t="s">
        <v>205</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3"/>
    </row>
    <row r="52" spans="1:85" ht="135" x14ac:dyDescent="0.25">
      <c r="A52" s="13" t="s">
        <v>202</v>
      </c>
      <c r="B52" s="13" t="s">
        <v>153</v>
      </c>
      <c r="C52" s="14">
        <v>43152.5</v>
      </c>
      <c r="D52" s="13" t="s">
        <v>88</v>
      </c>
      <c r="E52" s="15" t="s">
        <v>89</v>
      </c>
      <c r="F52" s="13" t="s">
        <v>90</v>
      </c>
      <c r="G52" s="15" t="s">
        <v>91</v>
      </c>
      <c r="H52" s="13" t="s">
        <v>239</v>
      </c>
      <c r="I52" s="15" t="s">
        <v>240</v>
      </c>
      <c r="J52" s="15" t="s">
        <v>241</v>
      </c>
      <c r="K52" s="15" t="s">
        <v>242</v>
      </c>
      <c r="L52" s="13" t="s">
        <v>243</v>
      </c>
      <c r="M52" s="15" t="s">
        <v>244</v>
      </c>
      <c r="N52" s="13" t="s">
        <v>98</v>
      </c>
      <c r="O52" s="15" t="s">
        <v>99</v>
      </c>
      <c r="P52" s="15" t="s">
        <v>100</v>
      </c>
      <c r="Q52" s="15" t="s">
        <v>208</v>
      </c>
      <c r="R52" s="13" t="s">
        <v>209</v>
      </c>
      <c r="S52" s="13" t="s">
        <v>103</v>
      </c>
      <c r="T52" s="13" t="s">
        <v>205</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3"/>
    </row>
    <row r="53" spans="1:85" ht="135" x14ac:dyDescent="0.25">
      <c r="A53" s="13" t="s">
        <v>202</v>
      </c>
      <c r="B53" s="13" t="s">
        <v>153</v>
      </c>
      <c r="C53" s="14">
        <v>43152.5</v>
      </c>
      <c r="D53" s="13" t="s">
        <v>88</v>
      </c>
      <c r="E53" s="15" t="s">
        <v>89</v>
      </c>
      <c r="F53" s="13" t="s">
        <v>90</v>
      </c>
      <c r="G53" s="15" t="s">
        <v>91</v>
      </c>
      <c r="H53" s="13" t="s">
        <v>239</v>
      </c>
      <c r="I53" s="15" t="s">
        <v>240</v>
      </c>
      <c r="J53" s="15" t="s">
        <v>241</v>
      </c>
      <c r="K53" s="15" t="s">
        <v>242</v>
      </c>
      <c r="L53" s="13" t="s">
        <v>245</v>
      </c>
      <c r="M53" s="15" t="s">
        <v>246</v>
      </c>
      <c r="N53" s="13" t="s">
        <v>98</v>
      </c>
      <c r="O53" s="15" t="s">
        <v>170</v>
      </c>
      <c r="P53" s="15" t="s">
        <v>171</v>
      </c>
      <c r="Q53" s="15" t="s">
        <v>208</v>
      </c>
      <c r="R53" s="13" t="s">
        <v>209</v>
      </c>
      <c r="S53" s="13" t="s">
        <v>103</v>
      </c>
      <c r="T53" s="13" t="s">
        <v>205</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3"/>
    </row>
    <row r="54" spans="1:85" ht="135" x14ac:dyDescent="0.25">
      <c r="A54" s="13" t="s">
        <v>202</v>
      </c>
      <c r="B54" s="13" t="s">
        <v>153</v>
      </c>
      <c r="C54" s="14">
        <v>43152.5</v>
      </c>
      <c r="D54" s="13" t="s">
        <v>88</v>
      </c>
      <c r="E54" s="15" t="s">
        <v>89</v>
      </c>
      <c r="F54" s="13" t="s">
        <v>90</v>
      </c>
      <c r="G54" s="15" t="s">
        <v>91</v>
      </c>
      <c r="H54" s="13" t="s">
        <v>239</v>
      </c>
      <c r="I54" s="15" t="s">
        <v>240</v>
      </c>
      <c r="J54" s="15" t="s">
        <v>241</v>
      </c>
      <c r="K54" s="15" t="s">
        <v>242</v>
      </c>
      <c r="L54" s="13" t="s">
        <v>247</v>
      </c>
      <c r="M54" s="15" t="s">
        <v>248</v>
      </c>
      <c r="N54" s="13" t="s">
        <v>188</v>
      </c>
      <c r="O54" s="15" t="s">
        <v>189</v>
      </c>
      <c r="P54" s="15" t="s">
        <v>190</v>
      </c>
      <c r="Q54" s="15" t="s">
        <v>208</v>
      </c>
      <c r="R54" s="13" t="s">
        <v>209</v>
      </c>
      <c r="S54" s="13" t="s">
        <v>103</v>
      </c>
      <c r="T54" s="13" t="s">
        <v>205</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3"/>
    </row>
    <row r="55" spans="1:85" ht="135" x14ac:dyDescent="0.25">
      <c r="A55" s="13" t="s">
        <v>202</v>
      </c>
      <c r="B55" s="13" t="s">
        <v>153</v>
      </c>
      <c r="C55" s="14">
        <v>43152.5</v>
      </c>
      <c r="D55" s="13" t="s">
        <v>88</v>
      </c>
      <c r="E55" s="15" t="s">
        <v>89</v>
      </c>
      <c r="F55" s="13" t="s">
        <v>90</v>
      </c>
      <c r="G55" s="15" t="s">
        <v>91</v>
      </c>
      <c r="H55" s="13" t="s">
        <v>239</v>
      </c>
      <c r="I55" s="15" t="s">
        <v>240</v>
      </c>
      <c r="J55" s="15" t="s">
        <v>241</v>
      </c>
      <c r="K55" s="15" t="s">
        <v>242</v>
      </c>
      <c r="L55" s="13" t="s">
        <v>243</v>
      </c>
      <c r="M55" s="15" t="s">
        <v>244</v>
      </c>
      <c r="N55" s="13" t="s">
        <v>98</v>
      </c>
      <c r="O55" s="15" t="s">
        <v>99</v>
      </c>
      <c r="P55" s="15" t="s">
        <v>100</v>
      </c>
      <c r="Q55" s="15" t="s">
        <v>259</v>
      </c>
      <c r="R55" s="13" t="s">
        <v>260</v>
      </c>
      <c r="S55" s="13" t="s">
        <v>212</v>
      </c>
      <c r="T55" s="13" t="s">
        <v>205</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3"/>
    </row>
    <row r="56" spans="1:85" ht="135" x14ac:dyDescent="0.25">
      <c r="A56" s="13" t="s">
        <v>202</v>
      </c>
      <c r="B56" s="13" t="s">
        <v>153</v>
      </c>
      <c r="C56" s="14">
        <v>43152.5</v>
      </c>
      <c r="D56" s="13" t="s">
        <v>88</v>
      </c>
      <c r="E56" s="15" t="s">
        <v>89</v>
      </c>
      <c r="F56" s="13" t="s">
        <v>90</v>
      </c>
      <c r="G56" s="15" t="s">
        <v>91</v>
      </c>
      <c r="H56" s="13" t="s">
        <v>239</v>
      </c>
      <c r="I56" s="15" t="s">
        <v>240</v>
      </c>
      <c r="J56" s="15" t="s">
        <v>241</v>
      </c>
      <c r="K56" s="15" t="s">
        <v>242</v>
      </c>
      <c r="L56" s="13" t="s">
        <v>245</v>
      </c>
      <c r="M56" s="15" t="s">
        <v>246</v>
      </c>
      <c r="N56" s="13" t="s">
        <v>98</v>
      </c>
      <c r="O56" s="15" t="s">
        <v>170</v>
      </c>
      <c r="P56" s="15" t="s">
        <v>171</v>
      </c>
      <c r="Q56" s="15" t="s">
        <v>259</v>
      </c>
      <c r="R56" s="13" t="s">
        <v>260</v>
      </c>
      <c r="S56" s="13" t="s">
        <v>212</v>
      </c>
      <c r="T56" s="13" t="s">
        <v>205</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3"/>
    </row>
    <row r="57" spans="1:85" ht="135" x14ac:dyDescent="0.25">
      <c r="A57" s="13" t="s">
        <v>202</v>
      </c>
      <c r="B57" s="13" t="s">
        <v>153</v>
      </c>
      <c r="C57" s="14">
        <v>43152.5</v>
      </c>
      <c r="D57" s="13" t="s">
        <v>88</v>
      </c>
      <c r="E57" s="15" t="s">
        <v>89</v>
      </c>
      <c r="F57" s="13" t="s">
        <v>90</v>
      </c>
      <c r="G57" s="15" t="s">
        <v>91</v>
      </c>
      <c r="H57" s="13" t="s">
        <v>239</v>
      </c>
      <c r="I57" s="15" t="s">
        <v>240</v>
      </c>
      <c r="J57" s="15" t="s">
        <v>241</v>
      </c>
      <c r="K57" s="15" t="s">
        <v>242</v>
      </c>
      <c r="L57" s="13" t="s">
        <v>247</v>
      </c>
      <c r="M57" s="15" t="s">
        <v>248</v>
      </c>
      <c r="N57" s="13" t="s">
        <v>188</v>
      </c>
      <c r="O57" s="15" t="s">
        <v>189</v>
      </c>
      <c r="P57" s="15" t="s">
        <v>190</v>
      </c>
      <c r="Q57" s="15" t="s">
        <v>259</v>
      </c>
      <c r="R57" s="13" t="s">
        <v>260</v>
      </c>
      <c r="S57" s="13" t="s">
        <v>212</v>
      </c>
      <c r="T57" s="13" t="s">
        <v>205</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3"/>
    </row>
    <row r="58" spans="1:85" ht="135" x14ac:dyDescent="0.25">
      <c r="A58" s="13" t="s">
        <v>86</v>
      </c>
      <c r="B58" s="13" t="s">
        <v>87</v>
      </c>
      <c r="C58" s="14">
        <v>43850.552083333336</v>
      </c>
      <c r="D58" s="13" t="s">
        <v>88</v>
      </c>
      <c r="E58" s="15" t="s">
        <v>89</v>
      </c>
      <c r="F58" s="13" t="s">
        <v>90</v>
      </c>
      <c r="G58" s="15" t="s">
        <v>91</v>
      </c>
      <c r="H58" s="13" t="s">
        <v>239</v>
      </c>
      <c r="I58" s="15" t="s">
        <v>240</v>
      </c>
      <c r="J58" s="15" t="s">
        <v>241</v>
      </c>
      <c r="K58" s="15" t="s">
        <v>242</v>
      </c>
      <c r="L58" s="13" t="s">
        <v>243</v>
      </c>
      <c r="M58" s="15" t="s">
        <v>244</v>
      </c>
      <c r="N58" s="13" t="s">
        <v>98</v>
      </c>
      <c r="O58" s="15" t="s">
        <v>99</v>
      </c>
      <c r="P58" s="15" t="s">
        <v>100</v>
      </c>
      <c r="Q58" s="15" t="s">
        <v>261</v>
      </c>
      <c r="R58" s="13" t="s">
        <v>262</v>
      </c>
      <c r="S58" s="13" t="s">
        <v>212</v>
      </c>
      <c r="T58" s="13" t="s">
        <v>104</v>
      </c>
      <c r="U58" s="14">
        <v>40725</v>
      </c>
      <c r="V58" s="14"/>
      <c r="W58" s="15" t="s">
        <v>263</v>
      </c>
      <c r="X58" s="13" t="s">
        <v>108</v>
      </c>
      <c r="Y58" s="15" t="str">
        <f>VLOOKUP(X58,'Axe 2 Règles de gestion'!$D$2:$F$121,3, FALSE)</f>
        <v>L'agent doit formuler une demande.</v>
      </c>
      <c r="Z58" s="13"/>
      <c r="AA58" s="15"/>
      <c r="AB58" s="13"/>
      <c r="AC58" s="15"/>
      <c r="AD58" s="13"/>
      <c r="AE58" s="15"/>
      <c r="AF58" s="13"/>
      <c r="AG58" s="15"/>
      <c r="AH58" s="13"/>
      <c r="AI58" s="15"/>
      <c r="AJ58" s="13"/>
      <c r="AK58" s="15"/>
      <c r="AL58" s="13"/>
      <c r="AM58" s="15"/>
      <c r="AN58" s="13"/>
      <c r="AO58" s="15"/>
      <c r="AP58" s="13" t="s">
        <v>214</v>
      </c>
      <c r="AQ58" s="15" t="str">
        <f>VLOOKUP(AP58,'Axe 2 Règles de gestion'!$D$2:$F$121,3, FALSE)</f>
        <v>Le détachement de courte durée est interdit.</v>
      </c>
      <c r="AR58" s="13" t="s">
        <v>264</v>
      </c>
      <c r="AS58" s="15" t="str">
        <f>VLOOKUP(AR58,'Axe 2 Règles de gestion'!$D$2:$F$121,3, FALSE)</f>
        <v>La durée du détachement ne peut excéder 8 années successives entre la date de début et la date de fin prévisionnelle.</v>
      </c>
      <c r="AT58" s="13" t="s">
        <v>266</v>
      </c>
      <c r="AU58" s="15" t="str">
        <f>VLOOKUP(AT58,'Axe 2 Règles de gestion'!$D$2:$F$121,3, FALSE)</f>
        <v>La durée du détachement ne peut excéder 8 années successives entre la date de début et la date de fin réelle.</v>
      </c>
      <c r="AV58" s="13"/>
      <c r="AW58" s="15"/>
      <c r="AX58" s="13"/>
      <c r="AY58" s="15"/>
      <c r="AZ58" s="13"/>
      <c r="BA58" s="15"/>
      <c r="BB58" s="13" t="s">
        <v>126</v>
      </c>
      <c r="BC58" s="15" t="str">
        <f>VLOOKUP(BB58,'Axe 2 Règles de gestion'!$D$2:$F$121,3, FALSE)</f>
        <v>La date de début de position doit être antérieure ou égale à la date de fin prévisionnelle de position.</v>
      </c>
      <c r="BD58" s="13" t="s">
        <v>250</v>
      </c>
      <c r="BE58" s="15" t="str">
        <f>VLOOKUP(BD58,'Axe 2 Règles de gestion'!$D$2:$F$121,3, FALSE)</f>
        <v>La date de fin réelle de la position doit être antérieure ou égale à la date de fin réelle ou prévisionnelle du lien juridique.</v>
      </c>
      <c r="BF58" s="13" t="s">
        <v>130</v>
      </c>
      <c r="BG58" s="15" t="str">
        <f>VLOOKUP(BF58,'Axe 2 Règles de gestion'!$D$2:$F$121,3, FALSE)</f>
        <v>La date de fin réelle de la position doit être antérieure à la date limite de départ à la retraite.</v>
      </c>
      <c r="BH58" s="13" t="s">
        <v>252</v>
      </c>
      <c r="BI58" s="15" t="str">
        <f>VLOOKUP(BH58,'Axe 2 Règles de gestion'!$D$2:$F$121,3, FALSE)</f>
        <v>La date de début de la position doit être postérieure ou égale à la date de début du lien juridique.</v>
      </c>
      <c r="BJ58" s="13" t="s">
        <v>132</v>
      </c>
      <c r="BK58" s="15" t="str">
        <f>VLOOKUP(BJ58,'Axe 2 Règles de gestion'!$D$2:$F$121,3, FALSE)</f>
        <v>La date de début de position doit être antérieure ou égale à la date de fin réelle de position.</v>
      </c>
      <c r="BL58" s="13" t="s">
        <v>134</v>
      </c>
      <c r="BM58" s="15" t="str">
        <f>VLOOKUP(BL58,'Axe 2 Règles de gestion'!$D$2:$F$121,3, FALSE)</f>
        <v>La date de fin prévisionnelle de la position doit être antérieure à la date limite de départ à la retraite.</v>
      </c>
      <c r="BN58" s="13" t="s">
        <v>136</v>
      </c>
      <c r="BO58" s="15" t="str">
        <f>VLOOKUP(BN58,'Axe 2 Règles de gestion'!$D$2:$F$121,3, FALSE)</f>
        <v>L'indicateur de carrière est sur la valeur "Accueil".</v>
      </c>
      <c r="BP58" s="13" t="s">
        <v>138</v>
      </c>
      <c r="BQ58" s="15" t="str">
        <f>VLOOKUP(BP58,'Axe 2 Règles de gestion'!$D$2:$F$121,3, FALSE)</f>
        <v>La date de début de position est à J+1 de la date de fin de position de l'occurrence précédente.</v>
      </c>
      <c r="BR58" s="13" t="s">
        <v>140</v>
      </c>
      <c r="BS58" s="15" t="str">
        <f>VLOOKUP(BR58,'Axe 2 Règles de gestion'!$D$2:$F$121,3, FALSE)</f>
        <v>Les champs "Type d'organisme d'origine", "Catégorie statutaire d'origine" et "Pays" de l'organisme d'origine doivent être renseignés.</v>
      </c>
      <c r="BT58" s="13" t="s">
        <v>142</v>
      </c>
      <c r="BU58" s="15" t="str">
        <f>VLOOKUP(BT58,'Axe 2 Règles de gestion'!$D$2:$F$121,3, FALSE)</f>
        <v>Les champs "Ministère (ou institution de la République) d'origine", "Corps d'origine", "Grade d'origine", "Echelon d'origine" sont renseignés si le "Type d'organisme d'origine" est valorisé à FPE.</v>
      </c>
      <c r="BV58" s="13" t="s">
        <v>144</v>
      </c>
      <c r="BW58" s="15" t="str">
        <f>VLOOKUP(BV58,'Axe 2 Règles de gestion'!$D$2:$F$121,3, FALSE)</f>
        <v>Le champ "Organisme d'origine" doit être alimenté si le type d'organisme d'origine est égal à 'Autre organisme', 'Fonction publique d'un état de l'Union Européenne' ou 'Fonction publique Européenne'.</v>
      </c>
      <c r="BX58" s="13" t="s">
        <v>146</v>
      </c>
      <c r="BY58" s="15" t="str">
        <f>VLOOKUP(BX58,'Axe 2 Règles de gestion'!$D$2:$F$121,3, FALSE)</f>
        <v>Le champ "Code emploi statutaire FPT (NET)" est renseigné si le "Type d'organisme d'origine" est valorisé à FPT.</v>
      </c>
      <c r="BZ58" s="13" t="s">
        <v>148</v>
      </c>
      <c r="CA58" s="15" t="str">
        <f>VLOOKUP(BZ58,'Axe 2 Règles de gestion'!$D$2:$F$121,3, FALSE)</f>
        <v>Le champ "Code emploi statutaire FPH (NEH)" est renseigné si le "Type d'organisme d'origine" est valorisé à FPH.</v>
      </c>
      <c r="CB58" s="13" t="s">
        <v>254</v>
      </c>
      <c r="CC58" s="15" t="str">
        <f>VLOOKUP(CB58,'Axe 2 Règles de gestion'!$D$2:$F$121,3, FALSE)</f>
        <v>La date de fin prévisionnelle de la position doit être antérieure ou égale à la date de fin réelle ou prévisionnelle du lien juridique.</v>
      </c>
      <c r="CD58" s="13" t="s">
        <v>150</v>
      </c>
      <c r="CE58" s="15" t="str">
        <f>VLOOKUP(CD58,'Axe 2 Règles de gestion'!$D$2:$F$121,3, FALSE)</f>
        <v>La date de fin ou la date de fin prévisionnelle doit être saisie.</v>
      </c>
      <c r="CF58" s="13"/>
      <c r="CG58" s="13"/>
    </row>
    <row r="59" spans="1:85" ht="135" x14ac:dyDescent="0.25">
      <c r="A59" s="13" t="s">
        <v>86</v>
      </c>
      <c r="B59" s="13" t="s">
        <v>87</v>
      </c>
      <c r="C59" s="14">
        <v>43850.552083333336</v>
      </c>
      <c r="D59" s="13" t="s">
        <v>88</v>
      </c>
      <c r="E59" s="15" t="s">
        <v>89</v>
      </c>
      <c r="F59" s="13" t="s">
        <v>90</v>
      </c>
      <c r="G59" s="15" t="s">
        <v>91</v>
      </c>
      <c r="H59" s="13" t="s">
        <v>239</v>
      </c>
      <c r="I59" s="15" t="s">
        <v>240</v>
      </c>
      <c r="J59" s="15" t="s">
        <v>241</v>
      </c>
      <c r="K59" s="15" t="s">
        <v>242</v>
      </c>
      <c r="L59" s="13" t="s">
        <v>245</v>
      </c>
      <c r="M59" s="15" t="s">
        <v>246</v>
      </c>
      <c r="N59" s="13" t="s">
        <v>98</v>
      </c>
      <c r="O59" s="15" t="s">
        <v>170</v>
      </c>
      <c r="P59" s="15" t="s">
        <v>171</v>
      </c>
      <c r="Q59" s="15" t="s">
        <v>261</v>
      </c>
      <c r="R59" s="13" t="s">
        <v>262</v>
      </c>
      <c r="S59" s="13" t="s">
        <v>212</v>
      </c>
      <c r="T59" s="13" t="s">
        <v>104</v>
      </c>
      <c r="U59" s="14">
        <v>40725</v>
      </c>
      <c r="V59" s="14"/>
      <c r="W59" s="15" t="s">
        <v>268</v>
      </c>
      <c r="X59" s="13"/>
      <c r="Y59" s="15"/>
      <c r="Z59" s="13"/>
      <c r="AA59" s="15"/>
      <c r="AB59" s="13"/>
      <c r="AC59" s="15"/>
      <c r="AD59" s="13"/>
      <c r="AE59" s="15"/>
      <c r="AF59" s="13"/>
      <c r="AG59" s="15"/>
      <c r="AH59" s="13"/>
      <c r="AI59" s="15"/>
      <c r="AJ59" s="13"/>
      <c r="AK59" s="15"/>
      <c r="AL59" s="13"/>
      <c r="AM59" s="15"/>
      <c r="AN59" s="13"/>
      <c r="AO59" s="15"/>
      <c r="AP59" s="13" t="s">
        <v>264</v>
      </c>
      <c r="AQ59" s="15" t="str">
        <f>VLOOKUP(AP59,'Axe 2 Règles de gestion'!$D$2:$F$121,3, FALSE)</f>
        <v>La durée du détachement ne peut excéder 8 années successives entre la date de début et la date de fin prévisionnelle.</v>
      </c>
      <c r="AR59" s="13" t="s">
        <v>266</v>
      </c>
      <c r="AS59" s="15" t="str">
        <f>VLOOKUP(AR59,'Axe 2 Règles de gestion'!$D$2:$F$121,3, FALSE)</f>
        <v>La durée du détachement ne peut excéder 8 années successives entre la date de début et la date de fin réelle.</v>
      </c>
      <c r="AT59" s="13"/>
      <c r="AU59" s="15"/>
      <c r="AV59" s="13"/>
      <c r="AW59" s="15"/>
      <c r="AX59" s="13"/>
      <c r="AY59" s="15"/>
      <c r="AZ59" s="13"/>
      <c r="BA59" s="15"/>
      <c r="BB59" s="13" t="s">
        <v>126</v>
      </c>
      <c r="BC59" s="15" t="str">
        <f>VLOOKUP(BB59,'Axe 2 Règles de gestion'!$D$2:$F$121,3, FALSE)</f>
        <v>La date de début de position doit être antérieure ou égale à la date de fin prévisionnelle de position.</v>
      </c>
      <c r="BD59" s="13" t="s">
        <v>250</v>
      </c>
      <c r="BE59" s="15" t="str">
        <f>VLOOKUP(BD59,'Axe 2 Règles de gestion'!$D$2:$F$121,3, FALSE)</f>
        <v>La date de fin réelle de la position doit être antérieure ou égale à la date de fin réelle ou prévisionnelle du lien juridique.</v>
      </c>
      <c r="BF59" s="13" t="s">
        <v>130</v>
      </c>
      <c r="BG59" s="15" t="str">
        <f>VLOOKUP(BF59,'Axe 2 Règles de gestion'!$D$2:$F$121,3, FALSE)</f>
        <v>La date de fin réelle de la position doit être antérieure à la date limite de départ à la retraite.</v>
      </c>
      <c r="BH59" s="13" t="s">
        <v>252</v>
      </c>
      <c r="BI59" s="15" t="str">
        <f>VLOOKUP(BH59,'Axe 2 Règles de gestion'!$D$2:$F$121,3, FALSE)</f>
        <v>La date de début de la position doit être postérieure ou égale à la date de début du lien juridique.</v>
      </c>
      <c r="BJ59" s="13" t="s">
        <v>132</v>
      </c>
      <c r="BK59" s="15" t="str">
        <f>VLOOKUP(BJ59,'Axe 2 Règles de gestion'!$D$2:$F$121,3, FALSE)</f>
        <v>La date de début de position doit être antérieure ou égale à la date de fin réelle de position.</v>
      </c>
      <c r="BL59" s="13" t="s">
        <v>134</v>
      </c>
      <c r="BM59" s="15" t="str">
        <f>VLOOKUP(BL59,'Axe 2 Règles de gestion'!$D$2:$F$121,3, FALSE)</f>
        <v>La date de fin prévisionnelle de la position doit être antérieure à la date limite de départ à la retraite.</v>
      </c>
      <c r="BN59" s="13" t="s">
        <v>136</v>
      </c>
      <c r="BO59" s="15" t="str">
        <f>VLOOKUP(BN59,'Axe 2 Règles de gestion'!$D$2:$F$121,3, FALSE)</f>
        <v>L'indicateur de carrière est sur la valeur "Accueil".</v>
      </c>
      <c r="BP59" s="13" t="s">
        <v>138</v>
      </c>
      <c r="BQ59" s="15" t="str">
        <f>VLOOKUP(BP59,'Axe 2 Règles de gestion'!$D$2:$F$121,3, FALSE)</f>
        <v>La date de début de position est à J+1 de la date de fin de position de l'occurrence précédente.</v>
      </c>
      <c r="BR59" s="13" t="s">
        <v>140</v>
      </c>
      <c r="BS59" s="15" t="str">
        <f>VLOOKUP(BR59,'Axe 2 Règles de gestion'!$D$2:$F$121,3, FALSE)</f>
        <v>Les champs "Type d'organisme d'origine", "Catégorie statutaire d'origine" et "Pays" de l'organisme d'origine doivent être renseignés.</v>
      </c>
      <c r="BT59" s="13" t="s">
        <v>142</v>
      </c>
      <c r="BU59" s="15" t="str">
        <f>VLOOKUP(BT59,'Axe 2 Règles de gestion'!$D$2:$F$121,3, FALSE)</f>
        <v>Les champs "Ministère (ou institution de la République) d'origine", "Corps d'origine", "Grade d'origine", "Echelon d'origine" sont renseignés si le "Type d'organisme d'origine" est valorisé à FPE.</v>
      </c>
      <c r="BV59" s="13" t="s">
        <v>144</v>
      </c>
      <c r="BW59" s="15" t="str">
        <f>VLOOKUP(BV59,'Axe 2 Règles de gestion'!$D$2:$F$121,3, FALSE)</f>
        <v>Le champ "Organisme d'origine" doit être alimenté si le type d'organisme d'origine est égal à 'Autre organisme', 'Fonction publique d'un état de l'Union Européenne' ou 'Fonction publique Européenne'.</v>
      </c>
      <c r="BX59" s="13" t="s">
        <v>146</v>
      </c>
      <c r="BY59" s="15" t="str">
        <f>VLOOKUP(BX59,'Axe 2 Règles de gestion'!$D$2:$F$121,3, FALSE)</f>
        <v>Le champ "Code emploi statutaire FPT (NET)" est renseigné si le "Type d'organisme d'origine" est valorisé à FPT.</v>
      </c>
      <c r="BZ59" s="13" t="s">
        <v>148</v>
      </c>
      <c r="CA59" s="15" t="str">
        <f>VLOOKUP(BZ59,'Axe 2 Règles de gestion'!$D$2:$F$121,3, FALSE)</f>
        <v>Le champ "Code emploi statutaire FPH (NEH)" est renseigné si le "Type d'organisme d'origine" est valorisé à FPH.</v>
      </c>
      <c r="CB59" s="13" t="s">
        <v>254</v>
      </c>
      <c r="CC59" s="15" t="str">
        <f>VLOOKUP(CB59,'Axe 2 Règles de gestion'!$D$2:$F$121,3, FALSE)</f>
        <v>La date de fin prévisionnelle de la position doit être antérieure ou égale à la date de fin réelle ou prévisionnelle du lien juridique.</v>
      </c>
      <c r="CD59" s="13" t="s">
        <v>150</v>
      </c>
      <c r="CE59" s="15" t="str">
        <f>VLOOKUP(CD59,'Axe 2 Règles de gestion'!$D$2:$F$121,3, FALSE)</f>
        <v>La date de fin ou la date de fin prévisionnelle doit être saisie.</v>
      </c>
      <c r="CF59" s="13"/>
      <c r="CG59" s="13"/>
    </row>
    <row r="60" spans="1:85" ht="135" x14ac:dyDescent="0.25">
      <c r="A60" s="13" t="s">
        <v>86</v>
      </c>
      <c r="B60" s="13" t="s">
        <v>87</v>
      </c>
      <c r="C60" s="14">
        <v>43850.552083333336</v>
      </c>
      <c r="D60" s="13" t="s">
        <v>88</v>
      </c>
      <c r="E60" s="15" t="s">
        <v>89</v>
      </c>
      <c r="F60" s="13" t="s">
        <v>90</v>
      </c>
      <c r="G60" s="15" t="s">
        <v>91</v>
      </c>
      <c r="H60" s="13" t="s">
        <v>239</v>
      </c>
      <c r="I60" s="15" t="s">
        <v>240</v>
      </c>
      <c r="J60" s="15" t="s">
        <v>241</v>
      </c>
      <c r="K60" s="15" t="s">
        <v>242</v>
      </c>
      <c r="L60" s="13" t="s">
        <v>247</v>
      </c>
      <c r="M60" s="15" t="s">
        <v>248</v>
      </c>
      <c r="N60" s="13" t="s">
        <v>188</v>
      </c>
      <c r="O60" s="15" t="s">
        <v>189</v>
      </c>
      <c r="P60" s="15" t="s">
        <v>190</v>
      </c>
      <c r="Q60" s="15" t="s">
        <v>261</v>
      </c>
      <c r="R60" s="13" t="s">
        <v>262</v>
      </c>
      <c r="S60" s="13" t="s">
        <v>212</v>
      </c>
      <c r="T60" s="13" t="s">
        <v>104</v>
      </c>
      <c r="U60" s="14">
        <v>40725</v>
      </c>
      <c r="V60" s="14"/>
      <c r="W60" s="15" t="s">
        <v>269</v>
      </c>
      <c r="X60" s="13" t="s">
        <v>270</v>
      </c>
      <c r="Y60" s="15" t="str">
        <f>VLOOKUP(X60,'Axe 2 Règles de gestion'!$D$2:$F$121,3, FALSE)</f>
        <v>Il peut être mis à fin au détachement de manière anticipée sur demande de l'agent.</v>
      </c>
      <c r="Z60" s="13" t="s">
        <v>272</v>
      </c>
      <c r="AA60" s="15" t="str">
        <f>VLOOKUP(Z60,'Axe 2 Règles de gestion'!$D$2:$F$121,3, FALSE)</f>
        <v>Il peut être mis à fin au détachement de manière anticipée s'il a été prononcé à l'encontre de l'agent : la mise à la retraite d'office, l'admission à cesser les fonctions, la révocation ou la fin des fonctions.</v>
      </c>
      <c r="AB60" s="13"/>
      <c r="AC60" s="15"/>
      <c r="AD60" s="13"/>
      <c r="AE60" s="15"/>
      <c r="AF60" s="13"/>
      <c r="AG60" s="15"/>
      <c r="AH60" s="13"/>
      <c r="AI60" s="15"/>
      <c r="AJ60" s="13"/>
      <c r="AK60" s="15"/>
      <c r="AL60" s="13"/>
      <c r="AM60" s="15"/>
      <c r="AN60" s="13"/>
      <c r="AO60" s="15"/>
      <c r="AP60" s="13" t="s">
        <v>214</v>
      </c>
      <c r="AQ60" s="15" t="str">
        <f>VLOOKUP(AP60,'Axe 2 Règles de gestion'!$D$2:$F$121,3, FALSE)</f>
        <v>Le détachement de courte durée est interdit.</v>
      </c>
      <c r="AR60" s="13" t="s">
        <v>264</v>
      </c>
      <c r="AS60" s="15" t="str">
        <f>VLOOKUP(AR60,'Axe 2 Règles de gestion'!$D$2:$F$121,3, FALSE)</f>
        <v>La durée du détachement ne peut excéder 8 années successives entre la date de début et la date de fin prévisionnelle.</v>
      </c>
      <c r="AT60" s="13" t="s">
        <v>266</v>
      </c>
      <c r="AU60" s="15" t="str">
        <f>VLOOKUP(AT60,'Axe 2 Règles de gestion'!$D$2:$F$121,3, FALSE)</f>
        <v>La durée du détachement ne peut excéder 8 années successives entre la date de début et la date de fin réelle.</v>
      </c>
      <c r="AV60" s="13"/>
      <c r="AW60" s="15"/>
      <c r="AX60" s="13"/>
      <c r="AY60" s="15"/>
      <c r="AZ60" s="13"/>
      <c r="BA60" s="15"/>
      <c r="BB60" s="13" t="s">
        <v>126</v>
      </c>
      <c r="BC60" s="15" t="str">
        <f>VLOOKUP(BB60,'Axe 2 Règles de gestion'!$D$2:$F$121,3, FALSE)</f>
        <v>La date de début de position doit être antérieure ou égale à la date de fin prévisionnelle de position.</v>
      </c>
      <c r="BD60" s="13" t="s">
        <v>250</v>
      </c>
      <c r="BE60" s="15" t="str">
        <f>VLOOKUP(BD60,'Axe 2 Règles de gestion'!$D$2:$F$121,3, FALSE)</f>
        <v>La date de fin réelle de la position doit être antérieure ou égale à la date de fin réelle ou prévisionnelle du lien juridique.</v>
      </c>
      <c r="BF60" s="13" t="s">
        <v>130</v>
      </c>
      <c r="BG60" s="15" t="str">
        <f>VLOOKUP(BF60,'Axe 2 Règles de gestion'!$D$2:$F$121,3, FALSE)</f>
        <v>La date de fin réelle de la position doit être antérieure à la date limite de départ à la retraite.</v>
      </c>
      <c r="BH60" s="13" t="s">
        <v>132</v>
      </c>
      <c r="BI60" s="15" t="str">
        <f>VLOOKUP(BH60,'Axe 2 Règles de gestion'!$D$2:$F$121,3, FALSE)</f>
        <v>La date de début de position doit être antérieure ou égale à la date de fin réelle de position.</v>
      </c>
      <c r="BJ60" s="13" t="s">
        <v>134</v>
      </c>
      <c r="BK60" s="15" t="str">
        <f>VLOOKUP(BJ60,'Axe 2 Règles de gestion'!$D$2:$F$121,3, FALSE)</f>
        <v>La date de fin prévisionnelle de la position doit être antérieure à la date limite de départ à la retraite.</v>
      </c>
      <c r="BL60" s="13" t="s">
        <v>140</v>
      </c>
      <c r="BM60" s="15" t="str">
        <f>VLOOKUP(BL60,'Axe 2 Règles de gestion'!$D$2:$F$121,3, FALSE)</f>
        <v>Les champs "Type d'organisme d'origine", "Catégorie statutaire d'origine" et "Pays" de l'organisme d'origine doivent être renseignés.</v>
      </c>
      <c r="BN60" s="13" t="s">
        <v>142</v>
      </c>
      <c r="BO60" s="15" t="str">
        <f>VLOOKUP(BN60,'Axe 2 Règles de gestion'!$D$2:$F$121,3, FALSE)</f>
        <v>Les champs "Ministère (ou institution de la République) d'origine", "Corps d'origine", "Grade d'origine", "Echelon d'origine" sont renseignés si le "Type d'organisme d'origine" est valorisé à FPE.</v>
      </c>
      <c r="BP60" s="13" t="s">
        <v>144</v>
      </c>
      <c r="BQ60" s="15" t="str">
        <f>VLOOKUP(BP60,'Axe 2 Règles de gestion'!$D$2:$F$121,3, FALSE)</f>
        <v>Le champ "Organisme d'origine" doit être alimenté si le type d'organisme d'origine est égal à 'Autre organisme', 'Fonction publique d'un état de l'Union Européenne' ou 'Fonction publique Européenne'.</v>
      </c>
      <c r="BR60" s="13" t="s">
        <v>146</v>
      </c>
      <c r="BS60" s="15" t="str">
        <f>VLOOKUP(BR60,'Axe 2 Règles de gestion'!$D$2:$F$121,3, FALSE)</f>
        <v>Le champ "Code emploi statutaire FPT (NET)" est renseigné si le "Type d'organisme d'origine" est valorisé à FPT.</v>
      </c>
      <c r="BT60" s="13" t="s">
        <v>148</v>
      </c>
      <c r="BU60" s="15" t="str">
        <f>VLOOKUP(BT60,'Axe 2 Règles de gestion'!$D$2:$F$121,3, FALSE)</f>
        <v>Le champ "Code emploi statutaire FPH (NEH)" est renseigné si le "Type d'organisme d'origine" est valorisé à FPH.</v>
      </c>
      <c r="BV60" s="13" t="s">
        <v>254</v>
      </c>
      <c r="BW60" s="15" t="str">
        <f>VLOOKUP(BV60,'Axe 2 Règles de gestion'!$D$2:$F$121,3, FALSE)</f>
        <v>La date de fin prévisionnelle de la position doit être antérieure ou égale à la date de fin réelle ou prévisionnelle du lien juridique.</v>
      </c>
      <c r="BX60" s="13" t="s">
        <v>150</v>
      </c>
      <c r="BY60" s="15" t="str">
        <f>VLOOKUP(BX60,'Axe 2 Règles de gestion'!$D$2:$F$121,3, FALSE)</f>
        <v>La date de fin ou la date de fin prévisionnelle doit être saisie.</v>
      </c>
      <c r="BZ60" s="13"/>
      <c r="CA60" s="15"/>
      <c r="CB60" s="13"/>
      <c r="CC60" s="15"/>
      <c r="CD60" s="13"/>
      <c r="CE60" s="15"/>
      <c r="CF60" s="13"/>
      <c r="CG60" s="13"/>
    </row>
    <row r="61" spans="1:85" ht="135" x14ac:dyDescent="0.25">
      <c r="A61" s="13" t="s">
        <v>202</v>
      </c>
      <c r="B61" s="13" t="s">
        <v>153</v>
      </c>
      <c r="C61" s="14">
        <v>43152.5</v>
      </c>
      <c r="D61" s="13" t="s">
        <v>88</v>
      </c>
      <c r="E61" s="15" t="s">
        <v>89</v>
      </c>
      <c r="F61" s="13" t="s">
        <v>90</v>
      </c>
      <c r="G61" s="15" t="s">
        <v>91</v>
      </c>
      <c r="H61" s="13" t="s">
        <v>239</v>
      </c>
      <c r="I61" s="15" t="s">
        <v>240</v>
      </c>
      <c r="J61" s="15" t="s">
        <v>241</v>
      </c>
      <c r="K61" s="15" t="s">
        <v>242</v>
      </c>
      <c r="L61" s="13" t="s">
        <v>243</v>
      </c>
      <c r="M61" s="15" t="s">
        <v>244</v>
      </c>
      <c r="N61" s="13" t="s">
        <v>98</v>
      </c>
      <c r="O61" s="15" t="s">
        <v>99</v>
      </c>
      <c r="P61" s="15" t="s">
        <v>100</v>
      </c>
      <c r="Q61" s="15" t="s">
        <v>274</v>
      </c>
      <c r="R61" s="13" t="s">
        <v>275</v>
      </c>
      <c r="S61" s="13" t="s">
        <v>212</v>
      </c>
      <c r="T61" s="13" t="s">
        <v>205</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3"/>
    </row>
    <row r="62" spans="1:85" ht="135" x14ac:dyDescent="0.25">
      <c r="A62" s="13" t="s">
        <v>202</v>
      </c>
      <c r="B62" s="13" t="s">
        <v>153</v>
      </c>
      <c r="C62" s="14">
        <v>43152.5</v>
      </c>
      <c r="D62" s="13" t="s">
        <v>88</v>
      </c>
      <c r="E62" s="15" t="s">
        <v>89</v>
      </c>
      <c r="F62" s="13" t="s">
        <v>90</v>
      </c>
      <c r="G62" s="15" t="s">
        <v>91</v>
      </c>
      <c r="H62" s="13" t="s">
        <v>239</v>
      </c>
      <c r="I62" s="15" t="s">
        <v>240</v>
      </c>
      <c r="J62" s="15" t="s">
        <v>241</v>
      </c>
      <c r="K62" s="15" t="s">
        <v>242</v>
      </c>
      <c r="L62" s="13" t="s">
        <v>245</v>
      </c>
      <c r="M62" s="15" t="s">
        <v>246</v>
      </c>
      <c r="N62" s="13" t="s">
        <v>98</v>
      </c>
      <c r="O62" s="15" t="s">
        <v>170</v>
      </c>
      <c r="P62" s="15" t="s">
        <v>171</v>
      </c>
      <c r="Q62" s="15" t="s">
        <v>274</v>
      </c>
      <c r="R62" s="13" t="s">
        <v>275</v>
      </c>
      <c r="S62" s="13" t="s">
        <v>212</v>
      </c>
      <c r="T62" s="13" t="s">
        <v>205</v>
      </c>
      <c r="U62" s="14">
        <v>40725</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3"/>
    </row>
    <row r="63" spans="1:85" ht="135" x14ac:dyDescent="0.25">
      <c r="A63" s="13" t="s">
        <v>202</v>
      </c>
      <c r="B63" s="13" t="s">
        <v>153</v>
      </c>
      <c r="C63" s="14">
        <v>43152.5</v>
      </c>
      <c r="D63" s="13" t="s">
        <v>88</v>
      </c>
      <c r="E63" s="15" t="s">
        <v>89</v>
      </c>
      <c r="F63" s="13" t="s">
        <v>90</v>
      </c>
      <c r="G63" s="15" t="s">
        <v>91</v>
      </c>
      <c r="H63" s="13" t="s">
        <v>239</v>
      </c>
      <c r="I63" s="15" t="s">
        <v>240</v>
      </c>
      <c r="J63" s="15" t="s">
        <v>241</v>
      </c>
      <c r="K63" s="15" t="s">
        <v>242</v>
      </c>
      <c r="L63" s="13" t="s">
        <v>247</v>
      </c>
      <c r="M63" s="15" t="s">
        <v>248</v>
      </c>
      <c r="N63" s="13" t="s">
        <v>188</v>
      </c>
      <c r="O63" s="15" t="s">
        <v>189</v>
      </c>
      <c r="P63" s="15" t="s">
        <v>190</v>
      </c>
      <c r="Q63" s="15" t="s">
        <v>274</v>
      </c>
      <c r="R63" s="13" t="s">
        <v>275</v>
      </c>
      <c r="S63" s="13" t="s">
        <v>212</v>
      </c>
      <c r="T63" s="13" t="s">
        <v>205</v>
      </c>
      <c r="U63" s="14">
        <v>40725</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3"/>
    </row>
    <row r="64" spans="1:85" ht="150" x14ac:dyDescent="0.25">
      <c r="A64" s="13" t="s">
        <v>202</v>
      </c>
      <c r="B64" s="13" t="s">
        <v>153</v>
      </c>
      <c r="C64" s="14">
        <v>43152.5</v>
      </c>
      <c r="D64" s="13" t="s">
        <v>88</v>
      </c>
      <c r="E64" s="15" t="s">
        <v>89</v>
      </c>
      <c r="F64" s="13" t="s">
        <v>90</v>
      </c>
      <c r="G64" s="15" t="s">
        <v>91</v>
      </c>
      <c r="H64" s="13" t="s">
        <v>276</v>
      </c>
      <c r="I64" s="15" t="s">
        <v>277</v>
      </c>
      <c r="J64" s="15" t="s">
        <v>278</v>
      </c>
      <c r="K64" s="15" t="s">
        <v>279</v>
      </c>
      <c r="L64" s="13" t="s">
        <v>280</v>
      </c>
      <c r="M64" s="15" t="s">
        <v>281</v>
      </c>
      <c r="N64" s="13" t="s">
        <v>98</v>
      </c>
      <c r="O64" s="15" t="s">
        <v>99</v>
      </c>
      <c r="P64" s="15" t="s">
        <v>100</v>
      </c>
      <c r="Q64" s="15" t="s">
        <v>101</v>
      </c>
      <c r="R64" s="13" t="s">
        <v>102</v>
      </c>
      <c r="S64" s="13" t="s">
        <v>103</v>
      </c>
      <c r="T64" s="13" t="s">
        <v>205</v>
      </c>
      <c r="U64" s="14">
        <v>40725</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3"/>
    </row>
    <row r="65" spans="1:85" ht="150" x14ac:dyDescent="0.25">
      <c r="A65" s="13" t="s">
        <v>202</v>
      </c>
      <c r="B65" s="13" t="s">
        <v>153</v>
      </c>
      <c r="C65" s="14">
        <v>43152.5</v>
      </c>
      <c r="D65" s="13" t="s">
        <v>88</v>
      </c>
      <c r="E65" s="15" t="s">
        <v>89</v>
      </c>
      <c r="F65" s="13" t="s">
        <v>90</v>
      </c>
      <c r="G65" s="15" t="s">
        <v>91</v>
      </c>
      <c r="H65" s="13" t="s">
        <v>276</v>
      </c>
      <c r="I65" s="15" t="s">
        <v>277</v>
      </c>
      <c r="J65" s="15" t="s">
        <v>278</v>
      </c>
      <c r="K65" s="15" t="s">
        <v>279</v>
      </c>
      <c r="L65" s="13" t="s">
        <v>282</v>
      </c>
      <c r="M65" s="15" t="s">
        <v>283</v>
      </c>
      <c r="N65" s="13" t="s">
        <v>98</v>
      </c>
      <c r="O65" s="15" t="s">
        <v>170</v>
      </c>
      <c r="P65" s="15" t="s">
        <v>171</v>
      </c>
      <c r="Q65" s="15" t="s">
        <v>101</v>
      </c>
      <c r="R65" s="13" t="s">
        <v>102</v>
      </c>
      <c r="S65" s="13" t="s">
        <v>103</v>
      </c>
      <c r="T65" s="13" t="s">
        <v>205</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3"/>
    </row>
    <row r="66" spans="1:85" ht="150" x14ac:dyDescent="0.25">
      <c r="A66" s="13" t="s">
        <v>202</v>
      </c>
      <c r="B66" s="13" t="s">
        <v>153</v>
      </c>
      <c r="C66" s="14">
        <v>43152.5</v>
      </c>
      <c r="D66" s="13" t="s">
        <v>88</v>
      </c>
      <c r="E66" s="15" t="s">
        <v>89</v>
      </c>
      <c r="F66" s="13" t="s">
        <v>90</v>
      </c>
      <c r="G66" s="15" t="s">
        <v>91</v>
      </c>
      <c r="H66" s="13" t="s">
        <v>276</v>
      </c>
      <c r="I66" s="15" t="s">
        <v>277</v>
      </c>
      <c r="J66" s="15" t="s">
        <v>278</v>
      </c>
      <c r="K66" s="15" t="s">
        <v>279</v>
      </c>
      <c r="L66" s="13" t="s">
        <v>284</v>
      </c>
      <c r="M66" s="15" t="s">
        <v>285</v>
      </c>
      <c r="N66" s="13" t="s">
        <v>188</v>
      </c>
      <c r="O66" s="15" t="s">
        <v>189</v>
      </c>
      <c r="P66" s="15" t="s">
        <v>190</v>
      </c>
      <c r="Q66" s="15" t="s">
        <v>101</v>
      </c>
      <c r="R66" s="13" t="s">
        <v>102</v>
      </c>
      <c r="S66" s="13" t="s">
        <v>103</v>
      </c>
      <c r="T66" s="13" t="s">
        <v>205</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3"/>
    </row>
    <row r="67" spans="1:85" ht="150" x14ac:dyDescent="0.25">
      <c r="A67" s="13" t="s">
        <v>86</v>
      </c>
      <c r="B67" s="13" t="s">
        <v>87</v>
      </c>
      <c r="C67" s="14">
        <v>43850.552083333336</v>
      </c>
      <c r="D67" s="13" t="s">
        <v>88</v>
      </c>
      <c r="E67" s="15" t="s">
        <v>89</v>
      </c>
      <c r="F67" s="13" t="s">
        <v>90</v>
      </c>
      <c r="G67" s="15" t="s">
        <v>91</v>
      </c>
      <c r="H67" s="13" t="s">
        <v>276</v>
      </c>
      <c r="I67" s="15" t="s">
        <v>277</v>
      </c>
      <c r="J67" s="15" t="s">
        <v>278</v>
      </c>
      <c r="K67" s="15" t="s">
        <v>279</v>
      </c>
      <c r="L67" s="13" t="s">
        <v>280</v>
      </c>
      <c r="M67" s="15" t="s">
        <v>281</v>
      </c>
      <c r="N67" s="13" t="s">
        <v>98</v>
      </c>
      <c r="O67" s="15" t="s">
        <v>99</v>
      </c>
      <c r="P67" s="15" t="s">
        <v>100</v>
      </c>
      <c r="Q67" s="15" t="s">
        <v>203</v>
      </c>
      <c r="R67" s="13" t="s">
        <v>204</v>
      </c>
      <c r="S67" s="13" t="s">
        <v>103</v>
      </c>
      <c r="T67" s="13" t="s">
        <v>104</v>
      </c>
      <c r="U67" s="14">
        <v>40725</v>
      </c>
      <c r="V67" s="14">
        <v>43830</v>
      </c>
      <c r="W67" s="15" t="s">
        <v>249</v>
      </c>
      <c r="X67" s="13" t="s">
        <v>106</v>
      </c>
      <c r="Y67" s="15" t="str">
        <f>VLOOKUP(X67,'Axe 2 Règles de gestion'!$D$2:$F$121,3, FALSE)</f>
        <v>L'agent doit détenir le titre ou le diplôme requis pour l'exercice des fonctions du corps d'accueil.</v>
      </c>
      <c r="Z67" s="13" t="s">
        <v>108</v>
      </c>
      <c r="AA67" s="15" t="str">
        <f>VLOOKUP(Z67,'Axe 2 Règles de gestion'!$D$2:$F$121,3, FALSE)</f>
        <v>L'agent doit formuler une demande.</v>
      </c>
      <c r="AB67" s="13" t="s">
        <v>110</v>
      </c>
      <c r="AC67" s="15" t="str">
        <f>VLOOKUP(AB67,'Axe 2 Règles de gestion'!$D$2:$F$121,3, FALSE)</f>
        <v>Le détachement est accordé après avis des commissions administratives paritaires compétentes.</v>
      </c>
      <c r="AD67" s="13" t="s">
        <v>112</v>
      </c>
      <c r="AE67" s="15" t="str">
        <f>VLOOKUP(AD67,'Axe 2 Règles de gestion'!$D$2:$F$121,3, FALSE)</f>
        <v>L'accord de l'administration d'origine est nécessaire.</v>
      </c>
      <c r="AF67" s="13"/>
      <c r="AG67" s="15"/>
      <c r="AH67" s="13"/>
      <c r="AI67" s="15"/>
      <c r="AJ67" s="13"/>
      <c r="AK67" s="15"/>
      <c r="AL67" s="13"/>
      <c r="AM67" s="15"/>
      <c r="AN67" s="13"/>
      <c r="AO67" s="15"/>
      <c r="AP67" s="13" t="s">
        <v>114</v>
      </c>
      <c r="AQ67" s="15" t="str">
        <f>VLOOKUP(AP67,'Axe 2 Règles de gestion'!$D$2:$F$121,3, FALSE)</f>
        <v>Un détachement de courte durée à l'étranger ou dans les TOM ne peut excéder 1 an entre la date de début et la date de fin prévisionnelle.</v>
      </c>
      <c r="AR67" s="13" t="s">
        <v>116</v>
      </c>
      <c r="AS67" s="15" t="str">
        <f>VLOOKUP(AR67,'Axe 2 Règles de gestion'!$D$2:$F$121,3, FALSE)</f>
        <v>Un détachement de courte durée à l'étranger ou dans les TOM ne peut excéder 1 an entre la date de début et la date de fin réelle.</v>
      </c>
      <c r="AT67" s="13" t="s">
        <v>118</v>
      </c>
      <c r="AU67" s="15" t="str">
        <f>VLOOKUP(AT67,'Axe 2 Règles de gestion'!$D$2:$F$121,3, FALSE)</f>
        <v>Un détachement de courte durée n'ayant pas lieu à l'étranger ou dans les TOM ne peut excéder six mois entre la date de début et la date de fin prévisionnelle.</v>
      </c>
      <c r="AV67" s="13" t="s">
        <v>120</v>
      </c>
      <c r="AW67" s="15" t="str">
        <f>VLOOKUP(AV67,'Axe 2 Règles de gestion'!$D$2:$F$121,3, FALSE)</f>
        <v>Un détachement de courte durée n'ayant pas lieu à l'étranger ou dans les TOM ne peut excéder six mois entre la date de début et la date de fin réelle.</v>
      </c>
      <c r="AX67" s="13" t="s">
        <v>122</v>
      </c>
      <c r="AY67" s="15" t="str">
        <f>VLOOKUP(AX67,'Axe 2 Règles de gestion'!$D$2:$F$121,3, FALSE)</f>
        <v>Un détachement de longue durée ne peut excéder 5 ans entre la date de début et la date de fin prévisionnelle.</v>
      </c>
      <c r="AZ67" s="13" t="s">
        <v>124</v>
      </c>
      <c r="BA67" s="15" t="str">
        <f>VLOOKUP(AZ67,'Axe 2 Règles de gestion'!$D$2:$F$121,3, FALSE)</f>
        <v>Un détachement de longue durée ne peut excéder 5 ans entre la date de début et la date de fin réelle.</v>
      </c>
      <c r="BB67" s="13" t="s">
        <v>126</v>
      </c>
      <c r="BC67" s="15" t="str">
        <f>VLOOKUP(BB67,'Axe 2 Règles de gestion'!$D$2:$F$121,3, FALSE)</f>
        <v>La date de début de position doit être antérieure ou égale à la date de fin prévisionnelle de position.</v>
      </c>
      <c r="BD67" s="13" t="s">
        <v>250</v>
      </c>
      <c r="BE67" s="15" t="str">
        <f>VLOOKUP(BD67,'Axe 2 Règles de gestion'!$D$2:$F$121,3, FALSE)</f>
        <v>La date de fin réelle de la position doit être antérieure ou égale à la date de fin réelle ou prévisionnelle du lien juridique.</v>
      </c>
      <c r="BF67" s="13" t="s">
        <v>130</v>
      </c>
      <c r="BG67" s="15" t="str">
        <f>VLOOKUP(BF67,'Axe 2 Règles de gestion'!$D$2:$F$121,3, FALSE)</f>
        <v>La date de fin réelle de la position doit être antérieure à la date limite de départ à la retraite.</v>
      </c>
      <c r="BH67" s="13" t="s">
        <v>252</v>
      </c>
      <c r="BI67" s="15" t="str">
        <f>VLOOKUP(BH67,'Axe 2 Règles de gestion'!$D$2:$F$121,3, FALSE)</f>
        <v>La date de début de la position doit être postérieure ou égale à la date de début du lien juridique.</v>
      </c>
      <c r="BJ67" s="13" t="s">
        <v>132</v>
      </c>
      <c r="BK67" s="15" t="str">
        <f>VLOOKUP(BJ67,'Axe 2 Règles de gestion'!$D$2:$F$121,3, FALSE)</f>
        <v>La date de début de position doit être antérieure ou égale à la date de fin réelle de position.</v>
      </c>
      <c r="BL67" s="13" t="s">
        <v>134</v>
      </c>
      <c r="BM67" s="15" t="str">
        <f>VLOOKUP(BL67,'Axe 2 Règles de gestion'!$D$2:$F$121,3, FALSE)</f>
        <v>La date de fin prévisionnelle de la position doit être antérieure à la date limite de départ à la retraite.</v>
      </c>
      <c r="BN67" s="13" t="s">
        <v>136</v>
      </c>
      <c r="BO67" s="15" t="str">
        <f>VLOOKUP(BN67,'Axe 2 Règles de gestion'!$D$2:$F$121,3, FALSE)</f>
        <v>L'indicateur de carrière est sur la valeur "Accueil".</v>
      </c>
      <c r="BP67" s="13" t="s">
        <v>138</v>
      </c>
      <c r="BQ67" s="15" t="str">
        <f>VLOOKUP(BP67,'Axe 2 Règles de gestion'!$D$2:$F$121,3, FALSE)</f>
        <v>La date de début de position est à J+1 de la date de fin de position de l'occurrence précédente.</v>
      </c>
      <c r="BR67" s="13" t="s">
        <v>140</v>
      </c>
      <c r="BS67" s="15" t="str">
        <f>VLOOKUP(BR67,'Axe 2 Règles de gestion'!$D$2:$F$121,3, FALSE)</f>
        <v>Les champs "Type d'organisme d'origine", "Catégorie statutaire d'origine" et "Pays" de l'organisme d'origine doivent être renseignés.</v>
      </c>
      <c r="BT67" s="13" t="s">
        <v>142</v>
      </c>
      <c r="BU67" s="15" t="str">
        <f>VLOOKUP(BT67,'Axe 2 Règles de gestion'!$D$2:$F$121,3, FALSE)</f>
        <v>Les champs "Ministère (ou institution de la République) d'origine", "Corps d'origine", "Grade d'origine", "Echelon d'origine" sont renseignés si le "Type d'organisme d'origine" est valorisé à FPE.</v>
      </c>
      <c r="BV67" s="13" t="s">
        <v>144</v>
      </c>
      <c r="BW67" s="15" t="str">
        <f>VLOOKUP(BV67,'Axe 2 Règles de gestion'!$D$2:$F$121,3, FALSE)</f>
        <v>Le champ "Organisme d'origine" doit être alimenté si le type d'organisme d'origine est égal à 'Autre organisme', 'Fonction publique d'un état de l'Union Européenne' ou 'Fonction publique Européenne'.</v>
      </c>
      <c r="BX67" s="13" t="s">
        <v>146</v>
      </c>
      <c r="BY67" s="15" t="str">
        <f>VLOOKUP(BX67,'Axe 2 Règles de gestion'!$D$2:$F$121,3, FALSE)</f>
        <v>Le champ "Code emploi statutaire FPT (NET)" est renseigné si le "Type d'organisme d'origine" est valorisé à FPT.</v>
      </c>
      <c r="BZ67" s="13" t="s">
        <v>148</v>
      </c>
      <c r="CA67" s="15" t="str">
        <f>VLOOKUP(BZ67,'Axe 2 Règles de gestion'!$D$2:$F$121,3, FALSE)</f>
        <v>Le champ "Code emploi statutaire FPH (NEH)" est renseigné si le "Type d'organisme d'origine" est valorisé à FPH.</v>
      </c>
      <c r="CB67" s="13" t="s">
        <v>254</v>
      </c>
      <c r="CC67" s="15" t="str">
        <f>VLOOKUP(CB67,'Axe 2 Règles de gestion'!$D$2:$F$121,3, FALSE)</f>
        <v>La date de fin prévisionnelle de la position doit être antérieure ou égale à la date de fin réelle ou prévisionnelle du lien juridique.</v>
      </c>
      <c r="CD67" s="13" t="s">
        <v>150</v>
      </c>
      <c r="CE67" s="15" t="str">
        <f>VLOOKUP(CD67,'Axe 2 Règles de gestion'!$D$2:$F$121,3, FALSE)</f>
        <v>La date de fin ou la date de fin prévisionnelle doit être saisie.</v>
      </c>
      <c r="CF67" s="13"/>
      <c r="CG67" s="13"/>
    </row>
    <row r="68" spans="1:85" ht="150" x14ac:dyDescent="0.25">
      <c r="A68" s="13" t="s">
        <v>86</v>
      </c>
      <c r="B68" s="13" t="s">
        <v>153</v>
      </c>
      <c r="C68" s="14">
        <v>44008.572222222225</v>
      </c>
      <c r="D68" s="13" t="s">
        <v>88</v>
      </c>
      <c r="E68" s="15" t="s">
        <v>89</v>
      </c>
      <c r="F68" s="13" t="s">
        <v>90</v>
      </c>
      <c r="G68" s="15" t="s">
        <v>91</v>
      </c>
      <c r="H68" s="13" t="s">
        <v>276</v>
      </c>
      <c r="I68" s="15" t="s">
        <v>277</v>
      </c>
      <c r="J68" s="15" t="s">
        <v>278</v>
      </c>
      <c r="K68" s="15" t="s">
        <v>279</v>
      </c>
      <c r="L68" s="13" t="s">
        <v>280</v>
      </c>
      <c r="M68" s="15" t="s">
        <v>281</v>
      </c>
      <c r="N68" s="13" t="s">
        <v>98</v>
      </c>
      <c r="O68" s="15" t="s">
        <v>99</v>
      </c>
      <c r="P68" s="15" t="s">
        <v>100</v>
      </c>
      <c r="Q68" s="15" t="s">
        <v>203</v>
      </c>
      <c r="R68" s="13" t="s">
        <v>204</v>
      </c>
      <c r="S68" s="13" t="s">
        <v>103</v>
      </c>
      <c r="T68" s="13" t="s">
        <v>104</v>
      </c>
      <c r="U68" s="14">
        <v>43831</v>
      </c>
      <c r="V68" s="14"/>
      <c r="W68" s="15" t="s">
        <v>256</v>
      </c>
      <c r="X68" s="13" t="s">
        <v>106</v>
      </c>
      <c r="Y68" s="15" t="str">
        <f>VLOOKUP(X68,'Axe 2 Règles de gestion'!$D$2:$F$121,3, FALSE)</f>
        <v>L'agent doit détenir le titre ou le diplôme requis pour l'exercice des fonctions du corps d'accueil.</v>
      </c>
      <c r="Z68" s="13" t="s">
        <v>108</v>
      </c>
      <c r="AA68" s="15" t="str">
        <f>VLOOKUP(Z68,'Axe 2 Règles de gestion'!$D$2:$F$121,3, FALSE)</f>
        <v>L'agent doit formuler une demande.</v>
      </c>
      <c r="AB68" s="13" t="s">
        <v>112</v>
      </c>
      <c r="AC68" s="15" t="str">
        <f>VLOOKUP(AB68,'Axe 2 Règles de gestion'!$D$2:$F$121,3, FALSE)</f>
        <v>L'accord de l'administration d'origine est nécessaire.</v>
      </c>
      <c r="AD68" s="13"/>
      <c r="AE68" s="15"/>
      <c r="AF68" s="13"/>
      <c r="AG68" s="15"/>
      <c r="AH68" s="13"/>
      <c r="AI68" s="15"/>
      <c r="AJ68" s="13"/>
      <c r="AK68" s="15"/>
      <c r="AL68" s="13"/>
      <c r="AM68" s="15"/>
      <c r="AN68" s="13"/>
      <c r="AO68" s="15"/>
      <c r="AP68" s="13" t="s">
        <v>114</v>
      </c>
      <c r="AQ68" s="15" t="str">
        <f>VLOOKUP(AP68,'Axe 2 Règles de gestion'!$D$2:$F$121,3, FALSE)</f>
        <v>Un détachement de courte durée à l'étranger ou dans les TOM ne peut excéder 1 an entre la date de début et la date de fin prévisionnelle.</v>
      </c>
      <c r="AR68" s="13" t="s">
        <v>116</v>
      </c>
      <c r="AS68" s="15" t="str">
        <f>VLOOKUP(AR68,'Axe 2 Règles de gestion'!$D$2:$F$121,3, FALSE)</f>
        <v>Un détachement de courte durée à l'étranger ou dans les TOM ne peut excéder 1 an entre la date de début et la date de fin réelle.</v>
      </c>
      <c r="AT68" s="13" t="s">
        <v>118</v>
      </c>
      <c r="AU68" s="15" t="str">
        <f>VLOOKUP(AT68,'Axe 2 Règles de gestion'!$D$2:$F$121,3, FALSE)</f>
        <v>Un détachement de courte durée n'ayant pas lieu à l'étranger ou dans les TOM ne peut excéder six mois entre la date de début et la date de fin prévisionnelle.</v>
      </c>
      <c r="AV68" s="13" t="s">
        <v>120</v>
      </c>
      <c r="AW68" s="15" t="str">
        <f>VLOOKUP(AV68,'Axe 2 Règles de gestion'!$D$2:$F$121,3, FALSE)</f>
        <v>Un détachement de courte durée n'ayant pas lieu à l'étranger ou dans les TOM ne peut excéder six mois entre la date de début et la date de fin réelle.</v>
      </c>
      <c r="AX68" s="13" t="s">
        <v>122</v>
      </c>
      <c r="AY68" s="15" t="str">
        <f>VLOOKUP(AX68,'Axe 2 Règles de gestion'!$D$2:$F$121,3, FALSE)</f>
        <v>Un détachement de longue durée ne peut excéder 5 ans entre la date de début et la date de fin prévisionnelle.</v>
      </c>
      <c r="AZ68" s="13" t="s">
        <v>124</v>
      </c>
      <c r="BA68" s="15" t="str">
        <f>VLOOKUP(AZ68,'Axe 2 Règles de gestion'!$D$2:$F$121,3, FALSE)</f>
        <v>Un détachement de longue durée ne peut excéder 5 ans entre la date de début et la date de fin réelle.</v>
      </c>
      <c r="BB68" s="13" t="s">
        <v>126</v>
      </c>
      <c r="BC68" s="15" t="str">
        <f>VLOOKUP(BB68,'Axe 2 Règles de gestion'!$D$2:$F$121,3, FALSE)</f>
        <v>La date de début de position doit être antérieure ou égale à la date de fin prévisionnelle de position.</v>
      </c>
      <c r="BD68" s="13" t="s">
        <v>250</v>
      </c>
      <c r="BE68" s="15" t="str">
        <f>VLOOKUP(BD68,'Axe 2 Règles de gestion'!$D$2:$F$121,3, FALSE)</f>
        <v>La date de fin réelle de la position doit être antérieure ou égale à la date de fin réelle ou prévisionnelle du lien juridique.</v>
      </c>
      <c r="BF68" s="13" t="s">
        <v>130</v>
      </c>
      <c r="BG68" s="15" t="str">
        <f>VLOOKUP(BF68,'Axe 2 Règles de gestion'!$D$2:$F$121,3, FALSE)</f>
        <v>La date de fin réelle de la position doit être antérieure à la date limite de départ à la retraite.</v>
      </c>
      <c r="BH68" s="13" t="s">
        <v>252</v>
      </c>
      <c r="BI68" s="15" t="str">
        <f>VLOOKUP(BH68,'Axe 2 Règles de gestion'!$D$2:$F$121,3, FALSE)</f>
        <v>La date de début de la position doit être postérieure ou égale à la date de début du lien juridique.</v>
      </c>
      <c r="BJ68" s="13" t="s">
        <v>132</v>
      </c>
      <c r="BK68" s="15" t="str">
        <f>VLOOKUP(BJ68,'Axe 2 Règles de gestion'!$D$2:$F$121,3, FALSE)</f>
        <v>La date de début de position doit être antérieure ou égale à la date de fin réelle de position.</v>
      </c>
      <c r="BL68" s="13" t="s">
        <v>134</v>
      </c>
      <c r="BM68" s="15" t="str">
        <f>VLOOKUP(BL68,'Axe 2 Règles de gestion'!$D$2:$F$121,3, FALSE)</f>
        <v>La date de fin prévisionnelle de la position doit être antérieure à la date limite de départ à la retraite.</v>
      </c>
      <c r="BN68" s="13" t="s">
        <v>136</v>
      </c>
      <c r="BO68" s="15" t="str">
        <f>VLOOKUP(BN68,'Axe 2 Règles de gestion'!$D$2:$F$121,3, FALSE)</f>
        <v>L'indicateur de carrière est sur la valeur "Accueil".</v>
      </c>
      <c r="BP68" s="13" t="s">
        <v>138</v>
      </c>
      <c r="BQ68" s="15" t="str">
        <f>VLOOKUP(BP68,'Axe 2 Règles de gestion'!$D$2:$F$121,3, FALSE)</f>
        <v>La date de début de position est à J+1 de la date de fin de position de l'occurrence précédente.</v>
      </c>
      <c r="BR68" s="13" t="s">
        <v>140</v>
      </c>
      <c r="BS68" s="15" t="str">
        <f>VLOOKUP(BR68,'Axe 2 Règles de gestion'!$D$2:$F$121,3, FALSE)</f>
        <v>Les champs "Type d'organisme d'origine", "Catégorie statutaire d'origine" et "Pays" de l'organisme d'origine doivent être renseignés.</v>
      </c>
      <c r="BT68" s="13" t="s">
        <v>142</v>
      </c>
      <c r="BU68" s="15" t="str">
        <f>VLOOKUP(BT68,'Axe 2 Règles de gestion'!$D$2:$F$121,3, FALSE)</f>
        <v>Les champs "Ministère (ou institution de la République) d'origine", "Corps d'origine", "Grade d'origine", "Echelon d'origine" sont renseignés si le "Type d'organisme d'origine" est valorisé à FPE.</v>
      </c>
      <c r="BV68" s="13" t="s">
        <v>144</v>
      </c>
      <c r="BW68" s="15" t="str">
        <f>VLOOKUP(BV68,'Axe 2 Règles de gestion'!$D$2:$F$121,3, FALSE)</f>
        <v>Le champ "Organisme d'origine" doit être alimenté si le type d'organisme d'origine est égal à 'Autre organisme', 'Fonction publique d'un état de l'Union Européenne' ou 'Fonction publique Européenne'.</v>
      </c>
      <c r="BX68" s="13" t="s">
        <v>146</v>
      </c>
      <c r="BY68" s="15" t="str">
        <f>VLOOKUP(BX68,'Axe 2 Règles de gestion'!$D$2:$F$121,3, FALSE)</f>
        <v>Le champ "Code emploi statutaire FPT (NET)" est renseigné si le "Type d'organisme d'origine" est valorisé à FPT.</v>
      </c>
      <c r="BZ68" s="13" t="s">
        <v>148</v>
      </c>
      <c r="CA68" s="15" t="str">
        <f>VLOOKUP(BZ68,'Axe 2 Règles de gestion'!$D$2:$F$121,3, FALSE)</f>
        <v>Le champ "Code emploi statutaire FPH (NEH)" est renseigné si le "Type d'organisme d'origine" est valorisé à FPH.</v>
      </c>
      <c r="CB68" s="13" t="s">
        <v>254</v>
      </c>
      <c r="CC68" s="15" t="str">
        <f>VLOOKUP(CB68,'Axe 2 Règles de gestion'!$D$2:$F$121,3, FALSE)</f>
        <v>La date de fin prévisionnelle de la position doit être antérieure ou égale à la date de fin réelle ou prévisionnelle du lien juridique.</v>
      </c>
      <c r="CD68" s="13" t="s">
        <v>150</v>
      </c>
      <c r="CE68" s="15" t="str">
        <f>VLOOKUP(CD68,'Axe 2 Règles de gestion'!$D$2:$F$121,3, FALSE)</f>
        <v>La date de fin ou la date de fin prévisionnelle doit être saisie.</v>
      </c>
      <c r="CF68" s="13"/>
      <c r="CG68" s="13"/>
    </row>
    <row r="69" spans="1:85" ht="150" x14ac:dyDescent="0.25">
      <c r="A69" s="13" t="s">
        <v>86</v>
      </c>
      <c r="B69" s="13" t="s">
        <v>87</v>
      </c>
      <c r="C69" s="14">
        <v>43850.552083333336</v>
      </c>
      <c r="D69" s="13" t="s">
        <v>88</v>
      </c>
      <c r="E69" s="15" t="s">
        <v>89</v>
      </c>
      <c r="F69" s="13" t="s">
        <v>90</v>
      </c>
      <c r="G69" s="15" t="s">
        <v>91</v>
      </c>
      <c r="H69" s="13" t="s">
        <v>276</v>
      </c>
      <c r="I69" s="15" t="s">
        <v>277</v>
      </c>
      <c r="J69" s="15" t="s">
        <v>278</v>
      </c>
      <c r="K69" s="15" t="s">
        <v>279</v>
      </c>
      <c r="L69" s="13" t="s">
        <v>282</v>
      </c>
      <c r="M69" s="15" t="s">
        <v>283</v>
      </c>
      <c r="N69" s="13" t="s">
        <v>98</v>
      </c>
      <c r="O69" s="15" t="s">
        <v>170</v>
      </c>
      <c r="P69" s="15" t="s">
        <v>171</v>
      </c>
      <c r="Q69" s="15" t="s">
        <v>203</v>
      </c>
      <c r="R69" s="13" t="s">
        <v>204</v>
      </c>
      <c r="S69" s="13" t="s">
        <v>103</v>
      </c>
      <c r="T69" s="13" t="s">
        <v>104</v>
      </c>
      <c r="U69" s="14">
        <v>40725</v>
      </c>
      <c r="V69" s="14"/>
      <c r="W69" s="15" t="s">
        <v>257</v>
      </c>
      <c r="X69" s="13" t="s">
        <v>173</v>
      </c>
      <c r="Y69" s="15" t="str">
        <f>VLOOKUP(X69,'Axe 2 Règles de gestion'!$D$2:$F$121,3, FALSE)</f>
        <v>L'agent doit formuler une demande de renouvellement à son administration d'origine 3 mois au moins avant l'expiration de la période de détachement de longue durée.</v>
      </c>
      <c r="Z69" s="13" t="s">
        <v>175</v>
      </c>
      <c r="AA69" s="15" t="str">
        <f>VLOOKUP(Z69,'Axe 2 Règles de gestion'!$D$2:$F$121,3, FALSE)</f>
        <v>L'organisme d'accueil adresse sa décision à l'agent et à l'administration d'origine 2 mois au moins avant l'expiration de la période de détachement.</v>
      </c>
      <c r="AB69" s="13"/>
      <c r="AC69" s="15"/>
      <c r="AD69" s="13"/>
      <c r="AE69" s="15"/>
      <c r="AF69" s="13"/>
      <c r="AG69" s="15"/>
      <c r="AH69" s="13"/>
      <c r="AI69" s="15"/>
      <c r="AJ69" s="13"/>
      <c r="AK69" s="15"/>
      <c r="AL69" s="13"/>
      <c r="AM69" s="15"/>
      <c r="AN69" s="13"/>
      <c r="AO69" s="15"/>
      <c r="AP69" s="13" t="s">
        <v>122</v>
      </c>
      <c r="AQ69" s="15" t="str">
        <f>VLOOKUP(AP69,'Axe 2 Règles de gestion'!$D$2:$F$121,3, FALSE)</f>
        <v>Un détachement de longue durée ne peut excéder 5 ans entre la date de début et la date de fin prévisionnelle.</v>
      </c>
      <c r="AR69" s="13" t="s">
        <v>124</v>
      </c>
      <c r="AS69" s="15" t="str">
        <f>VLOOKUP(AR69,'Axe 2 Règles de gestion'!$D$2:$F$121,3, FALSE)</f>
        <v>Un détachement de longue durée ne peut excéder 5 ans entre la date de début et la date de fin réelle.</v>
      </c>
      <c r="AT69" s="13" t="s">
        <v>177</v>
      </c>
      <c r="AU69" s="15" t="str">
        <f>VLOOKUP(AT69,'Axe 2 Règles de gestion'!$D$2:$F$121,3, FALSE)</f>
        <v>Le renouvellement d'un détachement de courte durée est interdit.</v>
      </c>
      <c r="AV69" s="13"/>
      <c r="AW69" s="15"/>
      <c r="AX69" s="13"/>
      <c r="AY69" s="15"/>
      <c r="AZ69" s="13"/>
      <c r="BA69" s="15"/>
      <c r="BB69" s="13" t="s">
        <v>126</v>
      </c>
      <c r="BC69" s="15" t="str">
        <f>VLOOKUP(BB69,'Axe 2 Règles de gestion'!$D$2:$F$121,3, FALSE)</f>
        <v>La date de début de position doit être antérieure ou égale à la date de fin prévisionnelle de position.</v>
      </c>
      <c r="BD69" s="13" t="s">
        <v>250</v>
      </c>
      <c r="BE69" s="15" t="str">
        <f>VLOOKUP(BD69,'Axe 2 Règles de gestion'!$D$2:$F$121,3, FALSE)</f>
        <v>La date de fin réelle de la position doit être antérieure ou égale à la date de fin réelle ou prévisionnelle du lien juridique.</v>
      </c>
      <c r="BF69" s="13" t="s">
        <v>130</v>
      </c>
      <c r="BG69" s="15" t="str">
        <f>VLOOKUP(BF69,'Axe 2 Règles de gestion'!$D$2:$F$121,3, FALSE)</f>
        <v>La date de fin réelle de la position doit être antérieure à la date limite de départ à la retraite.</v>
      </c>
      <c r="BH69" s="13" t="s">
        <v>252</v>
      </c>
      <c r="BI69" s="15" t="str">
        <f>VLOOKUP(BH69,'Axe 2 Règles de gestion'!$D$2:$F$121,3, FALSE)</f>
        <v>La date de début de la position doit être postérieure ou égale à la date de début du lien juridique.</v>
      </c>
      <c r="BJ69" s="13" t="s">
        <v>132</v>
      </c>
      <c r="BK69" s="15" t="str">
        <f>VLOOKUP(BJ69,'Axe 2 Règles de gestion'!$D$2:$F$121,3, FALSE)</f>
        <v>La date de début de position doit être antérieure ou égale à la date de fin réelle de position.</v>
      </c>
      <c r="BL69" s="13" t="s">
        <v>134</v>
      </c>
      <c r="BM69" s="15" t="str">
        <f>VLOOKUP(BL69,'Axe 2 Règles de gestion'!$D$2:$F$121,3, FALSE)</f>
        <v>La date de fin prévisionnelle de la position doit être antérieure à la date limite de départ à la retraite.</v>
      </c>
      <c r="BN69" s="13" t="s">
        <v>136</v>
      </c>
      <c r="BO69" s="15" t="str">
        <f>VLOOKUP(BN69,'Axe 2 Règles de gestion'!$D$2:$F$121,3, FALSE)</f>
        <v>L'indicateur de carrière est sur la valeur "Accueil".</v>
      </c>
      <c r="BP69" s="13" t="s">
        <v>138</v>
      </c>
      <c r="BQ69" s="15" t="str">
        <f>VLOOKUP(BP69,'Axe 2 Règles de gestion'!$D$2:$F$121,3, FALSE)</f>
        <v>La date de début de position est à J+1 de la date de fin de position de l'occurrence précédente.</v>
      </c>
      <c r="BR69" s="13" t="s">
        <v>140</v>
      </c>
      <c r="BS69" s="15" t="str">
        <f>VLOOKUP(BR69,'Axe 2 Règles de gestion'!$D$2:$F$121,3, FALSE)</f>
        <v>Les champs "Type d'organisme d'origine", "Catégorie statutaire d'origine" et "Pays" de l'organisme d'origine doivent être renseignés.</v>
      </c>
      <c r="BT69" s="13" t="s">
        <v>142</v>
      </c>
      <c r="BU69" s="15" t="str">
        <f>VLOOKUP(BT69,'Axe 2 Règles de gestion'!$D$2:$F$121,3, FALSE)</f>
        <v>Les champs "Ministère (ou institution de la République) d'origine", "Corps d'origine", "Grade d'origine", "Echelon d'origine" sont renseignés si le "Type d'organisme d'origine" est valorisé à FPE.</v>
      </c>
      <c r="BV69" s="13" t="s">
        <v>144</v>
      </c>
      <c r="BW69" s="15" t="str">
        <f>VLOOKUP(BV69,'Axe 2 Règles de gestion'!$D$2:$F$121,3, FALSE)</f>
        <v>Le champ "Organisme d'origine" doit être alimenté si le type d'organisme d'origine est égal à 'Autre organisme', 'Fonction publique d'un état de l'Union Européenne' ou 'Fonction publique Européenne'.</v>
      </c>
      <c r="BX69" s="13" t="s">
        <v>146</v>
      </c>
      <c r="BY69" s="15" t="str">
        <f>VLOOKUP(BX69,'Axe 2 Règles de gestion'!$D$2:$F$121,3, FALSE)</f>
        <v>Le champ "Code emploi statutaire FPT (NET)" est renseigné si le "Type d'organisme d'origine" est valorisé à FPT.</v>
      </c>
      <c r="BZ69" s="13" t="s">
        <v>148</v>
      </c>
      <c r="CA69" s="15" t="str">
        <f>VLOOKUP(BZ69,'Axe 2 Règles de gestion'!$D$2:$F$121,3, FALSE)</f>
        <v>Le champ "Code emploi statutaire FPH (NEH)" est renseigné si le "Type d'organisme d'origine" est valorisé à FPH.</v>
      </c>
      <c r="CB69" s="13" t="s">
        <v>254</v>
      </c>
      <c r="CC69" s="15" t="str">
        <f>VLOOKUP(CB69,'Axe 2 Règles de gestion'!$D$2:$F$121,3, FALSE)</f>
        <v>La date de fin prévisionnelle de la position doit être antérieure ou égale à la date de fin réelle ou prévisionnelle du lien juridique.</v>
      </c>
      <c r="CD69" s="13" t="s">
        <v>150</v>
      </c>
      <c r="CE69" s="15" t="str">
        <f>VLOOKUP(CD69,'Axe 2 Règles de gestion'!$D$2:$F$121,3, FALSE)</f>
        <v>La date de fin ou la date de fin prévisionnelle doit être saisie.</v>
      </c>
      <c r="CF69" s="13"/>
      <c r="CG69" s="13"/>
    </row>
    <row r="70" spans="1:85" ht="150" x14ac:dyDescent="0.25">
      <c r="A70" s="13" t="s">
        <v>86</v>
      </c>
      <c r="B70" s="13" t="s">
        <v>87</v>
      </c>
      <c r="C70" s="14">
        <v>43850.552083333336</v>
      </c>
      <c r="D70" s="13" t="s">
        <v>88</v>
      </c>
      <c r="E70" s="15" t="s">
        <v>89</v>
      </c>
      <c r="F70" s="13" t="s">
        <v>90</v>
      </c>
      <c r="G70" s="15" t="s">
        <v>91</v>
      </c>
      <c r="H70" s="13" t="s">
        <v>276</v>
      </c>
      <c r="I70" s="15" t="s">
        <v>277</v>
      </c>
      <c r="J70" s="15" t="s">
        <v>278</v>
      </c>
      <c r="K70" s="15" t="s">
        <v>279</v>
      </c>
      <c r="L70" s="13" t="s">
        <v>284</v>
      </c>
      <c r="M70" s="15" t="s">
        <v>285</v>
      </c>
      <c r="N70" s="13" t="s">
        <v>188</v>
      </c>
      <c r="O70" s="15" t="s">
        <v>189</v>
      </c>
      <c r="P70" s="15" t="s">
        <v>190</v>
      </c>
      <c r="Q70" s="15" t="s">
        <v>203</v>
      </c>
      <c r="R70" s="13" t="s">
        <v>204</v>
      </c>
      <c r="S70" s="13" t="s">
        <v>103</v>
      </c>
      <c r="T70" s="13" t="s">
        <v>104</v>
      </c>
      <c r="U70" s="14">
        <v>40725</v>
      </c>
      <c r="V70" s="14"/>
      <c r="W70" s="15" t="s">
        <v>258</v>
      </c>
      <c r="X70" s="13" t="s">
        <v>192</v>
      </c>
      <c r="Y70" s="15" t="str">
        <f>VLOOKUP(X70,'Axe 2 Règles de gestion'!$D$2:$F$121,3, FALSE)</f>
        <v>Le détachement peut prendre fin de manière anticipée à l'initiative de l'administration d'accueil, de l'administration d'origine ou de l'agent.</v>
      </c>
      <c r="Z70" s="13" t="s">
        <v>194</v>
      </c>
      <c r="AA70" s="15" t="str">
        <f>VLOOKUP(Z70,'Axe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70" s="13" t="s">
        <v>196</v>
      </c>
      <c r="AC70" s="15" t="str">
        <f>VLOOKUP(AB70,'Axe 2 Règles de gestion'!$D$2:$F$121,3, FALSE)</f>
        <v>L'agent doit adresser une demande de réintégration à l'administration d'origine 3 mois au moins avant l'expiration de la période de détachement de longue durée.</v>
      </c>
      <c r="AD70" s="13" t="s">
        <v>175</v>
      </c>
      <c r="AE70" s="15" t="str">
        <f>VLOOKUP(AD70,'Axe 2 Règles de gestion'!$D$2:$F$121,3, FALSE)</f>
        <v>L'organisme d'accueil adresse sa décision à l'agent et à l'administration d'origine 2 mois au moins avant l'expiration de la période de détachement.</v>
      </c>
      <c r="AF70" s="13" t="s">
        <v>198</v>
      </c>
      <c r="AG70" s="15" t="str">
        <f>VLOOKUP(AF70,'Axe 2 Règles de gestion'!$D$2:$F$121,3, FALSE)</f>
        <v>Si l'agent n'adresse pas sa demande dans les délais, il est obligatoirement réintégré à la première vacance dans son corps d'origine et affecté à un emploi correspondant à son grade.</v>
      </c>
      <c r="AH70" s="13" t="s">
        <v>200</v>
      </c>
      <c r="AI70" s="15" t="str">
        <f>VLOOKUP(AH70,'Axe 2 Règles de gestion'!$D$2:$F$121,3, FALSE)</f>
        <v>Les dispositions relatives à la réintégration au terme d'un détachement de longue durée ne sont pas applicables aux préfets et sous-préfets.</v>
      </c>
      <c r="AJ70" s="13"/>
      <c r="AK70" s="15"/>
      <c r="AL70" s="13"/>
      <c r="AM70" s="15"/>
      <c r="AN70" s="13"/>
      <c r="AO70" s="15"/>
      <c r="AP70" s="13" t="s">
        <v>114</v>
      </c>
      <c r="AQ70" s="15" t="str">
        <f>VLOOKUP(AP70,'Axe 2 Règles de gestion'!$D$2:$F$121,3, FALSE)</f>
        <v>Un détachement de courte durée à l'étranger ou dans les TOM ne peut excéder 1 an entre la date de début et la date de fin prévisionnelle.</v>
      </c>
      <c r="AR70" s="13" t="s">
        <v>116</v>
      </c>
      <c r="AS70" s="15" t="str">
        <f>VLOOKUP(AR70,'Axe 2 Règles de gestion'!$D$2:$F$121,3, FALSE)</f>
        <v>Un détachement de courte durée à l'étranger ou dans les TOM ne peut excéder 1 an entre la date de début et la date de fin réelle.</v>
      </c>
      <c r="AT70" s="13" t="s">
        <v>118</v>
      </c>
      <c r="AU70" s="15" t="str">
        <f>VLOOKUP(AT70,'Axe 2 Règles de gestion'!$D$2:$F$121,3, FALSE)</f>
        <v>Un détachement de courte durée n'ayant pas lieu à l'étranger ou dans les TOM ne peut excéder six mois entre la date de début et la date de fin prévisionnelle.</v>
      </c>
      <c r="AV70" s="13" t="s">
        <v>120</v>
      </c>
      <c r="AW70" s="15" t="str">
        <f>VLOOKUP(AV70,'Axe 2 Règles de gestion'!$D$2:$F$121,3, FALSE)</f>
        <v>Un détachement de courte durée n'ayant pas lieu à l'étranger ou dans les TOM ne peut excéder six mois entre la date de début et la date de fin réelle.</v>
      </c>
      <c r="AX70" s="13" t="s">
        <v>122</v>
      </c>
      <c r="AY70" s="15" t="str">
        <f>VLOOKUP(AX70,'Axe 2 Règles de gestion'!$D$2:$F$121,3, FALSE)</f>
        <v>Un détachement de longue durée ne peut excéder 5 ans entre la date de début et la date de fin prévisionnelle.</v>
      </c>
      <c r="AZ70" s="13" t="s">
        <v>124</v>
      </c>
      <c r="BA70" s="15" t="str">
        <f>VLOOKUP(AZ70,'Axe 2 Règles de gestion'!$D$2:$F$121,3, FALSE)</f>
        <v>Un détachement de longue durée ne peut excéder 5 ans entre la date de début et la date de fin réelle.</v>
      </c>
      <c r="BB70" s="13" t="s">
        <v>126</v>
      </c>
      <c r="BC70" s="15" t="str">
        <f>VLOOKUP(BB70,'Axe 2 Règles de gestion'!$D$2:$F$121,3, FALSE)</f>
        <v>La date de début de position doit être antérieure ou égale à la date de fin prévisionnelle de position.</v>
      </c>
      <c r="BD70" s="13" t="s">
        <v>250</v>
      </c>
      <c r="BE70" s="15" t="str">
        <f>VLOOKUP(BD70,'Axe 2 Règles de gestion'!$D$2:$F$121,3, FALSE)</f>
        <v>La date de fin réelle de la position doit être antérieure ou égale à la date de fin réelle ou prévisionnelle du lien juridique.</v>
      </c>
      <c r="BF70" s="13" t="s">
        <v>130</v>
      </c>
      <c r="BG70" s="15" t="str">
        <f>VLOOKUP(BF70,'Axe 2 Règles de gestion'!$D$2:$F$121,3, FALSE)</f>
        <v>La date de fin réelle de la position doit être antérieure à la date limite de départ à la retraite.</v>
      </c>
      <c r="BH70" s="13" t="s">
        <v>132</v>
      </c>
      <c r="BI70" s="15" t="str">
        <f>VLOOKUP(BH70,'Axe 2 Règles de gestion'!$D$2:$F$121,3, FALSE)</f>
        <v>La date de début de position doit être antérieure ou égale à la date de fin réelle de position.</v>
      </c>
      <c r="BJ70" s="13" t="s">
        <v>134</v>
      </c>
      <c r="BK70" s="15" t="str">
        <f>VLOOKUP(BJ70,'Axe 2 Règles de gestion'!$D$2:$F$121,3, FALSE)</f>
        <v>La date de fin prévisionnelle de la position doit être antérieure à la date limite de départ à la retraite.</v>
      </c>
      <c r="BL70" s="13" t="s">
        <v>140</v>
      </c>
      <c r="BM70" s="15" t="str">
        <f>VLOOKUP(BL70,'Axe 2 Règles de gestion'!$D$2:$F$121,3, FALSE)</f>
        <v>Les champs "Type d'organisme d'origine", "Catégorie statutaire d'origine" et "Pays" de l'organisme d'origine doivent être renseignés.</v>
      </c>
      <c r="BN70" s="13" t="s">
        <v>142</v>
      </c>
      <c r="BO70" s="15" t="str">
        <f>VLOOKUP(BN70,'Axe 2 Règles de gestion'!$D$2:$F$121,3, FALSE)</f>
        <v>Les champs "Ministère (ou institution de la République) d'origine", "Corps d'origine", "Grade d'origine", "Echelon d'origine" sont renseignés si le "Type d'organisme d'origine" est valorisé à FPE.</v>
      </c>
      <c r="BP70" s="13" t="s">
        <v>144</v>
      </c>
      <c r="BQ70" s="15" t="str">
        <f>VLOOKUP(BP70,'Axe 2 Règles de gestion'!$D$2:$F$121,3, FALSE)</f>
        <v>Le champ "Organisme d'origine" doit être alimenté si le type d'organisme d'origine est égal à 'Autre organisme', 'Fonction publique d'un état de l'Union Européenne' ou 'Fonction publique Européenne'.</v>
      </c>
      <c r="BR70" s="13" t="s">
        <v>146</v>
      </c>
      <c r="BS70" s="15" t="str">
        <f>VLOOKUP(BR70,'Axe 2 Règles de gestion'!$D$2:$F$121,3, FALSE)</f>
        <v>Le champ "Code emploi statutaire FPT (NET)" est renseigné si le "Type d'organisme d'origine" est valorisé à FPT.</v>
      </c>
      <c r="BT70" s="13" t="s">
        <v>148</v>
      </c>
      <c r="BU70" s="15" t="str">
        <f>VLOOKUP(BT70,'Axe 2 Règles de gestion'!$D$2:$F$121,3, FALSE)</f>
        <v>Le champ "Code emploi statutaire FPH (NEH)" est renseigné si le "Type d'organisme d'origine" est valorisé à FPH.</v>
      </c>
      <c r="BV70" s="13" t="s">
        <v>254</v>
      </c>
      <c r="BW70" s="15" t="str">
        <f>VLOOKUP(BV70,'Axe 2 Règles de gestion'!$D$2:$F$121,3, FALSE)</f>
        <v>La date de fin prévisionnelle de la position doit être antérieure ou égale à la date de fin réelle ou prévisionnelle du lien juridique.</v>
      </c>
      <c r="BX70" s="13" t="s">
        <v>150</v>
      </c>
      <c r="BY70" s="15" t="str">
        <f>VLOOKUP(BX70,'Axe 2 Règles de gestion'!$D$2:$F$121,3, FALSE)</f>
        <v>La date de fin ou la date de fin prévisionnelle doit être saisie.</v>
      </c>
      <c r="BZ70" s="13"/>
      <c r="CA70" s="15"/>
      <c r="CB70" s="13"/>
      <c r="CC70" s="15"/>
      <c r="CD70" s="13"/>
      <c r="CE70" s="15"/>
      <c r="CF70" s="13"/>
      <c r="CG70" s="13"/>
    </row>
    <row r="71" spans="1:85" ht="150" x14ac:dyDescent="0.25">
      <c r="A71" s="13" t="s">
        <v>202</v>
      </c>
      <c r="B71" s="13" t="s">
        <v>153</v>
      </c>
      <c r="C71" s="14">
        <v>43152.5</v>
      </c>
      <c r="D71" s="13" t="s">
        <v>88</v>
      </c>
      <c r="E71" s="15" t="s">
        <v>89</v>
      </c>
      <c r="F71" s="13" t="s">
        <v>90</v>
      </c>
      <c r="G71" s="15" t="s">
        <v>91</v>
      </c>
      <c r="H71" s="13" t="s">
        <v>276</v>
      </c>
      <c r="I71" s="15" t="s">
        <v>277</v>
      </c>
      <c r="J71" s="15" t="s">
        <v>278</v>
      </c>
      <c r="K71" s="15" t="s">
        <v>279</v>
      </c>
      <c r="L71" s="13" t="s">
        <v>280</v>
      </c>
      <c r="M71" s="15" t="s">
        <v>281</v>
      </c>
      <c r="N71" s="13" t="s">
        <v>98</v>
      </c>
      <c r="O71" s="15" t="s">
        <v>99</v>
      </c>
      <c r="P71" s="15" t="s">
        <v>100</v>
      </c>
      <c r="Q71" s="15" t="s">
        <v>206</v>
      </c>
      <c r="R71" s="13" t="s">
        <v>207</v>
      </c>
      <c r="S71" s="13" t="s">
        <v>103</v>
      </c>
      <c r="T71" s="13" t="s">
        <v>205</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3"/>
    </row>
    <row r="72" spans="1:85" ht="150" x14ac:dyDescent="0.25">
      <c r="A72" s="13" t="s">
        <v>202</v>
      </c>
      <c r="B72" s="13" t="s">
        <v>153</v>
      </c>
      <c r="C72" s="14">
        <v>43152.5</v>
      </c>
      <c r="D72" s="13" t="s">
        <v>88</v>
      </c>
      <c r="E72" s="15" t="s">
        <v>89</v>
      </c>
      <c r="F72" s="13" t="s">
        <v>90</v>
      </c>
      <c r="G72" s="15" t="s">
        <v>91</v>
      </c>
      <c r="H72" s="13" t="s">
        <v>276</v>
      </c>
      <c r="I72" s="15" t="s">
        <v>277</v>
      </c>
      <c r="J72" s="15" t="s">
        <v>278</v>
      </c>
      <c r="K72" s="15" t="s">
        <v>279</v>
      </c>
      <c r="L72" s="13" t="s">
        <v>282</v>
      </c>
      <c r="M72" s="15" t="s">
        <v>283</v>
      </c>
      <c r="N72" s="13" t="s">
        <v>98</v>
      </c>
      <c r="O72" s="15" t="s">
        <v>170</v>
      </c>
      <c r="P72" s="15" t="s">
        <v>171</v>
      </c>
      <c r="Q72" s="15" t="s">
        <v>206</v>
      </c>
      <c r="R72" s="13" t="s">
        <v>207</v>
      </c>
      <c r="S72" s="13" t="s">
        <v>103</v>
      </c>
      <c r="T72" s="13" t="s">
        <v>205</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3"/>
    </row>
    <row r="73" spans="1:85" ht="150" x14ac:dyDescent="0.25">
      <c r="A73" s="13" t="s">
        <v>202</v>
      </c>
      <c r="B73" s="13" t="s">
        <v>153</v>
      </c>
      <c r="C73" s="14">
        <v>43152.5</v>
      </c>
      <c r="D73" s="13" t="s">
        <v>88</v>
      </c>
      <c r="E73" s="15" t="s">
        <v>89</v>
      </c>
      <c r="F73" s="13" t="s">
        <v>90</v>
      </c>
      <c r="G73" s="15" t="s">
        <v>91</v>
      </c>
      <c r="H73" s="13" t="s">
        <v>276</v>
      </c>
      <c r="I73" s="15" t="s">
        <v>277</v>
      </c>
      <c r="J73" s="15" t="s">
        <v>278</v>
      </c>
      <c r="K73" s="15" t="s">
        <v>279</v>
      </c>
      <c r="L73" s="13" t="s">
        <v>284</v>
      </c>
      <c r="M73" s="15" t="s">
        <v>285</v>
      </c>
      <c r="N73" s="13" t="s">
        <v>188</v>
      </c>
      <c r="O73" s="15" t="s">
        <v>189</v>
      </c>
      <c r="P73" s="15" t="s">
        <v>190</v>
      </c>
      <c r="Q73" s="15" t="s">
        <v>206</v>
      </c>
      <c r="R73" s="13" t="s">
        <v>207</v>
      </c>
      <c r="S73" s="13" t="s">
        <v>103</v>
      </c>
      <c r="T73" s="13" t="s">
        <v>205</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3"/>
    </row>
    <row r="74" spans="1:85" ht="150" x14ac:dyDescent="0.25">
      <c r="A74" s="13" t="s">
        <v>202</v>
      </c>
      <c r="B74" s="13" t="s">
        <v>153</v>
      </c>
      <c r="C74" s="14">
        <v>43152.5</v>
      </c>
      <c r="D74" s="13" t="s">
        <v>88</v>
      </c>
      <c r="E74" s="15" t="s">
        <v>89</v>
      </c>
      <c r="F74" s="13" t="s">
        <v>90</v>
      </c>
      <c r="G74" s="15" t="s">
        <v>91</v>
      </c>
      <c r="H74" s="13" t="s">
        <v>276</v>
      </c>
      <c r="I74" s="15" t="s">
        <v>277</v>
      </c>
      <c r="J74" s="15" t="s">
        <v>278</v>
      </c>
      <c r="K74" s="15" t="s">
        <v>279</v>
      </c>
      <c r="L74" s="13" t="s">
        <v>280</v>
      </c>
      <c r="M74" s="15" t="s">
        <v>281</v>
      </c>
      <c r="N74" s="13" t="s">
        <v>98</v>
      </c>
      <c r="O74" s="15" t="s">
        <v>99</v>
      </c>
      <c r="P74" s="15" t="s">
        <v>100</v>
      </c>
      <c r="Q74" s="15" t="s">
        <v>208</v>
      </c>
      <c r="R74" s="13" t="s">
        <v>209</v>
      </c>
      <c r="S74" s="13" t="s">
        <v>103</v>
      </c>
      <c r="T74" s="13" t="s">
        <v>205</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3"/>
    </row>
    <row r="75" spans="1:85" ht="150" x14ac:dyDescent="0.25">
      <c r="A75" s="13" t="s">
        <v>202</v>
      </c>
      <c r="B75" s="13" t="s">
        <v>153</v>
      </c>
      <c r="C75" s="14">
        <v>43152.5</v>
      </c>
      <c r="D75" s="13" t="s">
        <v>88</v>
      </c>
      <c r="E75" s="15" t="s">
        <v>89</v>
      </c>
      <c r="F75" s="13" t="s">
        <v>90</v>
      </c>
      <c r="G75" s="15" t="s">
        <v>91</v>
      </c>
      <c r="H75" s="13" t="s">
        <v>276</v>
      </c>
      <c r="I75" s="15" t="s">
        <v>277</v>
      </c>
      <c r="J75" s="15" t="s">
        <v>278</v>
      </c>
      <c r="K75" s="15" t="s">
        <v>279</v>
      </c>
      <c r="L75" s="13" t="s">
        <v>282</v>
      </c>
      <c r="M75" s="15" t="s">
        <v>283</v>
      </c>
      <c r="N75" s="13" t="s">
        <v>98</v>
      </c>
      <c r="O75" s="15" t="s">
        <v>170</v>
      </c>
      <c r="P75" s="15" t="s">
        <v>171</v>
      </c>
      <c r="Q75" s="15" t="s">
        <v>208</v>
      </c>
      <c r="R75" s="13" t="s">
        <v>209</v>
      </c>
      <c r="S75" s="13" t="s">
        <v>103</v>
      </c>
      <c r="T75" s="13" t="s">
        <v>205</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3"/>
    </row>
    <row r="76" spans="1:85" ht="150" x14ac:dyDescent="0.25">
      <c r="A76" s="13" t="s">
        <v>202</v>
      </c>
      <c r="B76" s="13" t="s">
        <v>153</v>
      </c>
      <c r="C76" s="14">
        <v>43152.5</v>
      </c>
      <c r="D76" s="13" t="s">
        <v>88</v>
      </c>
      <c r="E76" s="15" t="s">
        <v>89</v>
      </c>
      <c r="F76" s="13" t="s">
        <v>90</v>
      </c>
      <c r="G76" s="15" t="s">
        <v>91</v>
      </c>
      <c r="H76" s="13" t="s">
        <v>276</v>
      </c>
      <c r="I76" s="15" t="s">
        <v>277</v>
      </c>
      <c r="J76" s="15" t="s">
        <v>278</v>
      </c>
      <c r="K76" s="15" t="s">
        <v>279</v>
      </c>
      <c r="L76" s="13" t="s">
        <v>284</v>
      </c>
      <c r="M76" s="15" t="s">
        <v>285</v>
      </c>
      <c r="N76" s="13" t="s">
        <v>188</v>
      </c>
      <c r="O76" s="15" t="s">
        <v>189</v>
      </c>
      <c r="P76" s="15" t="s">
        <v>190</v>
      </c>
      <c r="Q76" s="15" t="s">
        <v>208</v>
      </c>
      <c r="R76" s="13" t="s">
        <v>209</v>
      </c>
      <c r="S76" s="13" t="s">
        <v>103</v>
      </c>
      <c r="T76" s="13" t="s">
        <v>205</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3"/>
    </row>
    <row r="77" spans="1:85" ht="150" x14ac:dyDescent="0.25">
      <c r="A77" s="13" t="s">
        <v>202</v>
      </c>
      <c r="B77" s="13" t="s">
        <v>153</v>
      </c>
      <c r="C77" s="14">
        <v>43152.5</v>
      </c>
      <c r="D77" s="13" t="s">
        <v>88</v>
      </c>
      <c r="E77" s="15" t="s">
        <v>89</v>
      </c>
      <c r="F77" s="13" t="s">
        <v>90</v>
      </c>
      <c r="G77" s="15" t="s">
        <v>91</v>
      </c>
      <c r="H77" s="13" t="s">
        <v>276</v>
      </c>
      <c r="I77" s="15" t="s">
        <v>277</v>
      </c>
      <c r="J77" s="15" t="s">
        <v>278</v>
      </c>
      <c r="K77" s="15" t="s">
        <v>279</v>
      </c>
      <c r="L77" s="13" t="s">
        <v>280</v>
      </c>
      <c r="M77" s="15" t="s">
        <v>281</v>
      </c>
      <c r="N77" s="13" t="s">
        <v>98</v>
      </c>
      <c r="O77" s="15" t="s">
        <v>99</v>
      </c>
      <c r="P77" s="15" t="s">
        <v>100</v>
      </c>
      <c r="Q77" s="15" t="s">
        <v>259</v>
      </c>
      <c r="R77" s="13" t="s">
        <v>260</v>
      </c>
      <c r="S77" s="13" t="s">
        <v>212</v>
      </c>
      <c r="T77" s="13" t="s">
        <v>205</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3"/>
    </row>
    <row r="78" spans="1:85" ht="150" x14ac:dyDescent="0.25">
      <c r="A78" s="13" t="s">
        <v>202</v>
      </c>
      <c r="B78" s="13" t="s">
        <v>153</v>
      </c>
      <c r="C78" s="14">
        <v>43152.5</v>
      </c>
      <c r="D78" s="13" t="s">
        <v>88</v>
      </c>
      <c r="E78" s="15" t="s">
        <v>89</v>
      </c>
      <c r="F78" s="13" t="s">
        <v>90</v>
      </c>
      <c r="G78" s="15" t="s">
        <v>91</v>
      </c>
      <c r="H78" s="13" t="s">
        <v>276</v>
      </c>
      <c r="I78" s="15" t="s">
        <v>277</v>
      </c>
      <c r="J78" s="15" t="s">
        <v>278</v>
      </c>
      <c r="K78" s="15" t="s">
        <v>279</v>
      </c>
      <c r="L78" s="13" t="s">
        <v>282</v>
      </c>
      <c r="M78" s="15" t="s">
        <v>283</v>
      </c>
      <c r="N78" s="13" t="s">
        <v>98</v>
      </c>
      <c r="O78" s="15" t="s">
        <v>170</v>
      </c>
      <c r="P78" s="15" t="s">
        <v>171</v>
      </c>
      <c r="Q78" s="15" t="s">
        <v>259</v>
      </c>
      <c r="R78" s="13" t="s">
        <v>260</v>
      </c>
      <c r="S78" s="13" t="s">
        <v>212</v>
      </c>
      <c r="T78" s="13" t="s">
        <v>205</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3"/>
    </row>
    <row r="79" spans="1:85" ht="150" x14ac:dyDescent="0.25">
      <c r="A79" s="13" t="s">
        <v>202</v>
      </c>
      <c r="B79" s="13" t="s">
        <v>153</v>
      </c>
      <c r="C79" s="14">
        <v>43152.5</v>
      </c>
      <c r="D79" s="13" t="s">
        <v>88</v>
      </c>
      <c r="E79" s="15" t="s">
        <v>89</v>
      </c>
      <c r="F79" s="13" t="s">
        <v>90</v>
      </c>
      <c r="G79" s="15" t="s">
        <v>91</v>
      </c>
      <c r="H79" s="13" t="s">
        <v>276</v>
      </c>
      <c r="I79" s="15" t="s">
        <v>277</v>
      </c>
      <c r="J79" s="15" t="s">
        <v>278</v>
      </c>
      <c r="K79" s="15" t="s">
        <v>279</v>
      </c>
      <c r="L79" s="13" t="s">
        <v>284</v>
      </c>
      <c r="M79" s="15" t="s">
        <v>285</v>
      </c>
      <c r="N79" s="13" t="s">
        <v>188</v>
      </c>
      <c r="O79" s="15" t="s">
        <v>189</v>
      </c>
      <c r="P79" s="15" t="s">
        <v>190</v>
      </c>
      <c r="Q79" s="15" t="s">
        <v>259</v>
      </c>
      <c r="R79" s="13" t="s">
        <v>260</v>
      </c>
      <c r="S79" s="13" t="s">
        <v>212</v>
      </c>
      <c r="T79" s="13" t="s">
        <v>205</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3"/>
    </row>
    <row r="80" spans="1:85" ht="150" x14ac:dyDescent="0.25">
      <c r="A80" s="13" t="s">
        <v>86</v>
      </c>
      <c r="B80" s="13" t="s">
        <v>87</v>
      </c>
      <c r="C80" s="14">
        <v>43850.552083333336</v>
      </c>
      <c r="D80" s="13" t="s">
        <v>88</v>
      </c>
      <c r="E80" s="15" t="s">
        <v>89</v>
      </c>
      <c r="F80" s="13" t="s">
        <v>90</v>
      </c>
      <c r="G80" s="15" t="s">
        <v>91</v>
      </c>
      <c r="H80" s="13" t="s">
        <v>276</v>
      </c>
      <c r="I80" s="15" t="s">
        <v>277</v>
      </c>
      <c r="J80" s="15" t="s">
        <v>278</v>
      </c>
      <c r="K80" s="15" t="s">
        <v>279</v>
      </c>
      <c r="L80" s="13" t="s">
        <v>280</v>
      </c>
      <c r="M80" s="15" t="s">
        <v>281</v>
      </c>
      <c r="N80" s="13" t="s">
        <v>98</v>
      </c>
      <c r="O80" s="15" t="s">
        <v>99</v>
      </c>
      <c r="P80" s="15" t="s">
        <v>100</v>
      </c>
      <c r="Q80" s="15" t="s">
        <v>261</v>
      </c>
      <c r="R80" s="13" t="s">
        <v>262</v>
      </c>
      <c r="S80" s="13" t="s">
        <v>212</v>
      </c>
      <c r="T80" s="13" t="s">
        <v>104</v>
      </c>
      <c r="U80" s="14">
        <v>40725</v>
      </c>
      <c r="V80" s="14"/>
      <c r="W80" s="15" t="s">
        <v>263</v>
      </c>
      <c r="X80" s="13" t="s">
        <v>108</v>
      </c>
      <c r="Y80" s="15" t="str">
        <f>VLOOKUP(X80,'Axe 2 Règles de gestion'!$D$2:$F$121,3, FALSE)</f>
        <v>L'agent doit formuler une demande.</v>
      </c>
      <c r="Z80" s="13"/>
      <c r="AA80" s="15"/>
      <c r="AB80" s="13"/>
      <c r="AC80" s="15"/>
      <c r="AD80" s="13"/>
      <c r="AE80" s="15"/>
      <c r="AF80" s="13"/>
      <c r="AG80" s="15"/>
      <c r="AH80" s="13"/>
      <c r="AI80" s="15"/>
      <c r="AJ80" s="13"/>
      <c r="AK80" s="15"/>
      <c r="AL80" s="13"/>
      <c r="AM80" s="15"/>
      <c r="AN80" s="13"/>
      <c r="AO80" s="15"/>
      <c r="AP80" s="13" t="s">
        <v>214</v>
      </c>
      <c r="AQ80" s="15" t="str">
        <f>VLOOKUP(AP80,'Axe 2 Règles de gestion'!$D$2:$F$121,3, FALSE)</f>
        <v>Le détachement de courte durée est interdit.</v>
      </c>
      <c r="AR80" s="13" t="s">
        <v>264</v>
      </c>
      <c r="AS80" s="15" t="str">
        <f>VLOOKUP(AR80,'Axe 2 Règles de gestion'!$D$2:$F$121,3, FALSE)</f>
        <v>La durée du détachement ne peut excéder 8 années successives entre la date de début et la date de fin prévisionnelle.</v>
      </c>
      <c r="AT80" s="13" t="s">
        <v>266</v>
      </c>
      <c r="AU80" s="15" t="str">
        <f>VLOOKUP(AT80,'Axe 2 Règles de gestion'!$D$2:$F$121,3, FALSE)</f>
        <v>La durée du détachement ne peut excéder 8 années successives entre la date de début et la date de fin réelle.</v>
      </c>
      <c r="AV80" s="13"/>
      <c r="AW80" s="15"/>
      <c r="AX80" s="13"/>
      <c r="AY80" s="15"/>
      <c r="AZ80" s="13"/>
      <c r="BA80" s="15"/>
      <c r="BB80" s="13" t="s">
        <v>126</v>
      </c>
      <c r="BC80" s="15" t="str">
        <f>VLOOKUP(BB80,'Axe 2 Règles de gestion'!$D$2:$F$121,3, FALSE)</f>
        <v>La date de début de position doit être antérieure ou égale à la date de fin prévisionnelle de position.</v>
      </c>
      <c r="BD80" s="13" t="s">
        <v>250</v>
      </c>
      <c r="BE80" s="15" t="str">
        <f>VLOOKUP(BD80,'Axe 2 Règles de gestion'!$D$2:$F$121,3, FALSE)</f>
        <v>La date de fin réelle de la position doit être antérieure ou égale à la date de fin réelle ou prévisionnelle du lien juridique.</v>
      </c>
      <c r="BF80" s="13" t="s">
        <v>130</v>
      </c>
      <c r="BG80" s="15" t="str">
        <f>VLOOKUP(BF80,'Axe 2 Règles de gestion'!$D$2:$F$121,3, FALSE)</f>
        <v>La date de fin réelle de la position doit être antérieure à la date limite de départ à la retraite.</v>
      </c>
      <c r="BH80" s="13" t="s">
        <v>252</v>
      </c>
      <c r="BI80" s="15" t="str">
        <f>VLOOKUP(BH80,'Axe 2 Règles de gestion'!$D$2:$F$121,3, FALSE)</f>
        <v>La date de début de la position doit être postérieure ou égale à la date de début du lien juridique.</v>
      </c>
      <c r="BJ80" s="13" t="s">
        <v>132</v>
      </c>
      <c r="BK80" s="15" t="str">
        <f>VLOOKUP(BJ80,'Axe 2 Règles de gestion'!$D$2:$F$121,3, FALSE)</f>
        <v>La date de début de position doit être antérieure ou égale à la date de fin réelle de position.</v>
      </c>
      <c r="BL80" s="13" t="s">
        <v>134</v>
      </c>
      <c r="BM80" s="15" t="str">
        <f>VLOOKUP(BL80,'Axe 2 Règles de gestion'!$D$2:$F$121,3, FALSE)</f>
        <v>La date de fin prévisionnelle de la position doit être antérieure à la date limite de départ à la retraite.</v>
      </c>
      <c r="BN80" s="13" t="s">
        <v>136</v>
      </c>
      <c r="BO80" s="15" t="str">
        <f>VLOOKUP(BN80,'Axe 2 Règles de gestion'!$D$2:$F$121,3, FALSE)</f>
        <v>L'indicateur de carrière est sur la valeur "Accueil".</v>
      </c>
      <c r="BP80" s="13" t="s">
        <v>138</v>
      </c>
      <c r="BQ80" s="15" t="str">
        <f>VLOOKUP(BP80,'Axe 2 Règles de gestion'!$D$2:$F$121,3, FALSE)</f>
        <v>La date de début de position est à J+1 de la date de fin de position de l'occurrence précédente.</v>
      </c>
      <c r="BR80" s="13" t="s">
        <v>140</v>
      </c>
      <c r="BS80" s="15" t="str">
        <f>VLOOKUP(BR80,'Axe 2 Règles de gestion'!$D$2:$F$121,3, FALSE)</f>
        <v>Les champs "Type d'organisme d'origine", "Catégorie statutaire d'origine" et "Pays" de l'organisme d'origine doivent être renseignés.</v>
      </c>
      <c r="BT80" s="13" t="s">
        <v>142</v>
      </c>
      <c r="BU80" s="15" t="str">
        <f>VLOOKUP(BT80,'Axe 2 Règles de gestion'!$D$2:$F$121,3, FALSE)</f>
        <v>Les champs "Ministère (ou institution de la République) d'origine", "Corps d'origine", "Grade d'origine", "Echelon d'origine" sont renseignés si le "Type d'organisme d'origine" est valorisé à FPE.</v>
      </c>
      <c r="BV80" s="13" t="s">
        <v>144</v>
      </c>
      <c r="BW80" s="15" t="str">
        <f>VLOOKUP(BV80,'Axe 2 Règles de gestion'!$D$2:$F$121,3, FALSE)</f>
        <v>Le champ "Organisme d'origine" doit être alimenté si le type d'organisme d'origine est égal à 'Autre organisme', 'Fonction publique d'un état de l'Union Européenne' ou 'Fonction publique Européenne'.</v>
      </c>
      <c r="BX80" s="13" t="s">
        <v>146</v>
      </c>
      <c r="BY80" s="15" t="str">
        <f>VLOOKUP(BX80,'Axe 2 Règles de gestion'!$D$2:$F$121,3, FALSE)</f>
        <v>Le champ "Code emploi statutaire FPT (NET)" est renseigné si le "Type d'organisme d'origine" est valorisé à FPT.</v>
      </c>
      <c r="BZ80" s="13" t="s">
        <v>148</v>
      </c>
      <c r="CA80" s="15" t="str">
        <f>VLOOKUP(BZ80,'Axe 2 Règles de gestion'!$D$2:$F$121,3, FALSE)</f>
        <v>Le champ "Code emploi statutaire FPH (NEH)" est renseigné si le "Type d'organisme d'origine" est valorisé à FPH.</v>
      </c>
      <c r="CB80" s="13" t="s">
        <v>254</v>
      </c>
      <c r="CC80" s="15" t="str">
        <f>VLOOKUP(CB80,'Axe 2 Règles de gestion'!$D$2:$F$121,3, FALSE)</f>
        <v>La date de fin prévisionnelle de la position doit être antérieure ou égale à la date de fin réelle ou prévisionnelle du lien juridique.</v>
      </c>
      <c r="CD80" s="13" t="s">
        <v>150</v>
      </c>
      <c r="CE80" s="15" t="str">
        <f>VLOOKUP(CD80,'Axe 2 Règles de gestion'!$D$2:$F$121,3, FALSE)</f>
        <v>La date de fin ou la date de fin prévisionnelle doit être saisie.</v>
      </c>
      <c r="CF80" s="13"/>
      <c r="CG80" s="13"/>
    </row>
    <row r="81" spans="1:85" ht="150" x14ac:dyDescent="0.25">
      <c r="A81" s="13" t="s">
        <v>86</v>
      </c>
      <c r="B81" s="13" t="s">
        <v>87</v>
      </c>
      <c r="C81" s="14">
        <v>43850.552083333336</v>
      </c>
      <c r="D81" s="13" t="s">
        <v>88</v>
      </c>
      <c r="E81" s="15" t="s">
        <v>89</v>
      </c>
      <c r="F81" s="13" t="s">
        <v>90</v>
      </c>
      <c r="G81" s="15" t="s">
        <v>91</v>
      </c>
      <c r="H81" s="13" t="s">
        <v>276</v>
      </c>
      <c r="I81" s="15" t="s">
        <v>277</v>
      </c>
      <c r="J81" s="15" t="s">
        <v>278</v>
      </c>
      <c r="K81" s="15" t="s">
        <v>279</v>
      </c>
      <c r="L81" s="13" t="s">
        <v>282</v>
      </c>
      <c r="M81" s="15" t="s">
        <v>283</v>
      </c>
      <c r="N81" s="13" t="s">
        <v>98</v>
      </c>
      <c r="O81" s="15" t="s">
        <v>170</v>
      </c>
      <c r="P81" s="15" t="s">
        <v>171</v>
      </c>
      <c r="Q81" s="15" t="s">
        <v>261</v>
      </c>
      <c r="R81" s="13" t="s">
        <v>262</v>
      </c>
      <c r="S81" s="13" t="s">
        <v>212</v>
      </c>
      <c r="T81" s="13" t="s">
        <v>104</v>
      </c>
      <c r="U81" s="14">
        <v>40725</v>
      </c>
      <c r="V81" s="14"/>
      <c r="W81" s="15" t="s">
        <v>268</v>
      </c>
      <c r="X81" s="13"/>
      <c r="Y81" s="15"/>
      <c r="Z81" s="13"/>
      <c r="AA81" s="15"/>
      <c r="AB81" s="13"/>
      <c r="AC81" s="15"/>
      <c r="AD81" s="13"/>
      <c r="AE81" s="15"/>
      <c r="AF81" s="13"/>
      <c r="AG81" s="15"/>
      <c r="AH81" s="13"/>
      <c r="AI81" s="15"/>
      <c r="AJ81" s="13"/>
      <c r="AK81" s="15"/>
      <c r="AL81" s="13"/>
      <c r="AM81" s="15"/>
      <c r="AN81" s="13"/>
      <c r="AO81" s="15"/>
      <c r="AP81" s="13" t="s">
        <v>264</v>
      </c>
      <c r="AQ81" s="15" t="str">
        <f>VLOOKUP(AP81,'Axe 2 Règles de gestion'!$D$2:$F$121,3, FALSE)</f>
        <v>La durée du détachement ne peut excéder 8 années successives entre la date de début et la date de fin prévisionnelle.</v>
      </c>
      <c r="AR81" s="13" t="s">
        <v>266</v>
      </c>
      <c r="AS81" s="15" t="str">
        <f>VLOOKUP(AR81,'Axe 2 Règles de gestion'!$D$2:$F$121,3, FALSE)</f>
        <v>La durée du détachement ne peut excéder 8 années successives entre la date de début et la date de fin réelle.</v>
      </c>
      <c r="AT81" s="13"/>
      <c r="AU81" s="15"/>
      <c r="AV81" s="13"/>
      <c r="AW81" s="15"/>
      <c r="AX81" s="13"/>
      <c r="AY81" s="15"/>
      <c r="AZ81" s="13"/>
      <c r="BA81" s="15"/>
      <c r="BB81" s="13" t="s">
        <v>126</v>
      </c>
      <c r="BC81" s="15" t="str">
        <f>VLOOKUP(BB81,'Axe 2 Règles de gestion'!$D$2:$F$121,3, FALSE)</f>
        <v>La date de début de position doit être antérieure ou égale à la date de fin prévisionnelle de position.</v>
      </c>
      <c r="BD81" s="13" t="s">
        <v>250</v>
      </c>
      <c r="BE81" s="15" t="str">
        <f>VLOOKUP(BD81,'Axe 2 Règles de gestion'!$D$2:$F$121,3, FALSE)</f>
        <v>La date de fin réelle de la position doit être antérieure ou égale à la date de fin réelle ou prévisionnelle du lien juridique.</v>
      </c>
      <c r="BF81" s="13" t="s">
        <v>130</v>
      </c>
      <c r="BG81" s="15" t="str">
        <f>VLOOKUP(BF81,'Axe 2 Règles de gestion'!$D$2:$F$121,3, FALSE)</f>
        <v>La date de fin réelle de la position doit être antérieure à la date limite de départ à la retraite.</v>
      </c>
      <c r="BH81" s="13" t="s">
        <v>252</v>
      </c>
      <c r="BI81" s="15" t="str">
        <f>VLOOKUP(BH81,'Axe 2 Règles de gestion'!$D$2:$F$121,3, FALSE)</f>
        <v>La date de début de la position doit être postérieure ou égale à la date de début du lien juridique.</v>
      </c>
      <c r="BJ81" s="13" t="s">
        <v>132</v>
      </c>
      <c r="BK81" s="15" t="str">
        <f>VLOOKUP(BJ81,'Axe 2 Règles de gestion'!$D$2:$F$121,3, FALSE)</f>
        <v>La date de début de position doit être antérieure ou égale à la date de fin réelle de position.</v>
      </c>
      <c r="BL81" s="13" t="s">
        <v>134</v>
      </c>
      <c r="BM81" s="15" t="str">
        <f>VLOOKUP(BL81,'Axe 2 Règles de gestion'!$D$2:$F$121,3, FALSE)</f>
        <v>La date de fin prévisionnelle de la position doit être antérieure à la date limite de départ à la retraite.</v>
      </c>
      <c r="BN81" s="13" t="s">
        <v>136</v>
      </c>
      <c r="BO81" s="15" t="str">
        <f>VLOOKUP(BN81,'Axe 2 Règles de gestion'!$D$2:$F$121,3, FALSE)</f>
        <v>L'indicateur de carrière est sur la valeur "Accueil".</v>
      </c>
      <c r="BP81" s="13" t="s">
        <v>138</v>
      </c>
      <c r="BQ81" s="15" t="str">
        <f>VLOOKUP(BP81,'Axe 2 Règles de gestion'!$D$2:$F$121,3, FALSE)</f>
        <v>La date de début de position est à J+1 de la date de fin de position de l'occurrence précédente.</v>
      </c>
      <c r="BR81" s="13" t="s">
        <v>140</v>
      </c>
      <c r="BS81" s="15" t="str">
        <f>VLOOKUP(BR81,'Axe 2 Règles de gestion'!$D$2:$F$121,3, FALSE)</f>
        <v>Les champs "Type d'organisme d'origine", "Catégorie statutaire d'origine" et "Pays" de l'organisme d'origine doivent être renseignés.</v>
      </c>
      <c r="BT81" s="13" t="s">
        <v>142</v>
      </c>
      <c r="BU81" s="15" t="str">
        <f>VLOOKUP(BT81,'Axe 2 Règles de gestion'!$D$2:$F$121,3, FALSE)</f>
        <v>Les champs "Ministère (ou institution de la République) d'origine", "Corps d'origine", "Grade d'origine", "Echelon d'origine" sont renseignés si le "Type d'organisme d'origine" est valorisé à FPE.</v>
      </c>
      <c r="BV81" s="13" t="s">
        <v>144</v>
      </c>
      <c r="BW81" s="15" t="str">
        <f>VLOOKUP(BV81,'Axe 2 Règles de gestion'!$D$2:$F$121,3, FALSE)</f>
        <v>Le champ "Organisme d'origine" doit être alimenté si le type d'organisme d'origine est égal à 'Autre organisme', 'Fonction publique d'un état de l'Union Européenne' ou 'Fonction publique Européenne'.</v>
      </c>
      <c r="BX81" s="13" t="s">
        <v>146</v>
      </c>
      <c r="BY81" s="15" t="str">
        <f>VLOOKUP(BX81,'Axe 2 Règles de gestion'!$D$2:$F$121,3, FALSE)</f>
        <v>Le champ "Code emploi statutaire FPT (NET)" est renseigné si le "Type d'organisme d'origine" est valorisé à FPT.</v>
      </c>
      <c r="BZ81" s="13" t="s">
        <v>148</v>
      </c>
      <c r="CA81" s="15" t="str">
        <f>VLOOKUP(BZ81,'Axe 2 Règles de gestion'!$D$2:$F$121,3, FALSE)</f>
        <v>Le champ "Code emploi statutaire FPH (NEH)" est renseigné si le "Type d'organisme d'origine" est valorisé à FPH.</v>
      </c>
      <c r="CB81" s="13" t="s">
        <v>254</v>
      </c>
      <c r="CC81" s="15" t="str">
        <f>VLOOKUP(CB81,'Axe 2 Règles de gestion'!$D$2:$F$121,3, FALSE)</f>
        <v>La date de fin prévisionnelle de la position doit être antérieure ou égale à la date de fin réelle ou prévisionnelle du lien juridique.</v>
      </c>
      <c r="CD81" s="13" t="s">
        <v>150</v>
      </c>
      <c r="CE81" s="15" t="str">
        <f>VLOOKUP(CD81,'Axe 2 Règles de gestion'!$D$2:$F$121,3, FALSE)</f>
        <v>La date de fin ou la date de fin prévisionnelle doit être saisie.</v>
      </c>
      <c r="CF81" s="13"/>
      <c r="CG81" s="13"/>
    </row>
    <row r="82" spans="1:85" ht="150" x14ac:dyDescent="0.25">
      <c r="A82" s="13" t="s">
        <v>86</v>
      </c>
      <c r="B82" s="13" t="s">
        <v>87</v>
      </c>
      <c r="C82" s="14">
        <v>43850.552083333336</v>
      </c>
      <c r="D82" s="13" t="s">
        <v>88</v>
      </c>
      <c r="E82" s="15" t="s">
        <v>89</v>
      </c>
      <c r="F82" s="13" t="s">
        <v>90</v>
      </c>
      <c r="G82" s="15" t="s">
        <v>91</v>
      </c>
      <c r="H82" s="13" t="s">
        <v>276</v>
      </c>
      <c r="I82" s="15" t="s">
        <v>277</v>
      </c>
      <c r="J82" s="15" t="s">
        <v>278</v>
      </c>
      <c r="K82" s="15" t="s">
        <v>279</v>
      </c>
      <c r="L82" s="13" t="s">
        <v>284</v>
      </c>
      <c r="M82" s="15" t="s">
        <v>285</v>
      </c>
      <c r="N82" s="13" t="s">
        <v>188</v>
      </c>
      <c r="O82" s="15" t="s">
        <v>189</v>
      </c>
      <c r="P82" s="15" t="s">
        <v>190</v>
      </c>
      <c r="Q82" s="15" t="s">
        <v>261</v>
      </c>
      <c r="R82" s="13" t="s">
        <v>262</v>
      </c>
      <c r="S82" s="13" t="s">
        <v>212</v>
      </c>
      <c r="T82" s="13" t="s">
        <v>104</v>
      </c>
      <c r="U82" s="14">
        <v>40725</v>
      </c>
      <c r="V82" s="14"/>
      <c r="W82" s="15" t="s">
        <v>269</v>
      </c>
      <c r="X82" s="13" t="s">
        <v>270</v>
      </c>
      <c r="Y82" s="15" t="str">
        <f>VLOOKUP(X82,'Axe 2 Règles de gestion'!$D$2:$F$121,3, FALSE)</f>
        <v>Il peut être mis à fin au détachement de manière anticipée sur demande de l'agent.</v>
      </c>
      <c r="Z82" s="13" t="s">
        <v>272</v>
      </c>
      <c r="AA82" s="15" t="str">
        <f>VLOOKUP(Z82,'Axe 2 Règles de gestion'!$D$2:$F$121,3, FALSE)</f>
        <v>Il peut être mis à fin au détachement de manière anticipée s'il a été prononcé à l'encontre de l'agent : la mise à la retraite d'office, l'admission à cesser les fonctions, la révocation ou la fin des fonctions.</v>
      </c>
      <c r="AB82" s="13"/>
      <c r="AC82" s="15"/>
      <c r="AD82" s="13"/>
      <c r="AE82" s="15"/>
      <c r="AF82" s="13"/>
      <c r="AG82" s="15"/>
      <c r="AH82" s="13"/>
      <c r="AI82" s="15"/>
      <c r="AJ82" s="13"/>
      <c r="AK82" s="15"/>
      <c r="AL82" s="13"/>
      <c r="AM82" s="15"/>
      <c r="AN82" s="13"/>
      <c r="AO82" s="15"/>
      <c r="AP82" s="13" t="s">
        <v>214</v>
      </c>
      <c r="AQ82" s="15" t="str">
        <f>VLOOKUP(AP82,'Axe 2 Règles de gestion'!$D$2:$F$121,3, FALSE)</f>
        <v>Le détachement de courte durée est interdit.</v>
      </c>
      <c r="AR82" s="13" t="s">
        <v>264</v>
      </c>
      <c r="AS82" s="15" t="str">
        <f>VLOOKUP(AR82,'Axe 2 Règles de gestion'!$D$2:$F$121,3, FALSE)</f>
        <v>La durée du détachement ne peut excéder 8 années successives entre la date de début et la date de fin prévisionnelle.</v>
      </c>
      <c r="AT82" s="13" t="s">
        <v>266</v>
      </c>
      <c r="AU82" s="15" t="str">
        <f>VLOOKUP(AT82,'Axe 2 Règles de gestion'!$D$2:$F$121,3, FALSE)</f>
        <v>La durée du détachement ne peut excéder 8 années successives entre la date de début et la date de fin réelle.</v>
      </c>
      <c r="AV82" s="13"/>
      <c r="AW82" s="15"/>
      <c r="AX82" s="13"/>
      <c r="AY82" s="15"/>
      <c r="AZ82" s="13"/>
      <c r="BA82" s="15"/>
      <c r="BB82" s="13" t="s">
        <v>126</v>
      </c>
      <c r="BC82" s="15" t="str">
        <f>VLOOKUP(BB82,'Axe 2 Règles de gestion'!$D$2:$F$121,3, FALSE)</f>
        <v>La date de début de position doit être antérieure ou égale à la date de fin prévisionnelle de position.</v>
      </c>
      <c r="BD82" s="13" t="s">
        <v>250</v>
      </c>
      <c r="BE82" s="15" t="str">
        <f>VLOOKUP(BD82,'Axe 2 Règles de gestion'!$D$2:$F$121,3, FALSE)</f>
        <v>La date de fin réelle de la position doit être antérieure ou égale à la date de fin réelle ou prévisionnelle du lien juridique.</v>
      </c>
      <c r="BF82" s="13" t="s">
        <v>130</v>
      </c>
      <c r="BG82" s="15" t="str">
        <f>VLOOKUP(BF82,'Axe 2 Règles de gestion'!$D$2:$F$121,3, FALSE)</f>
        <v>La date de fin réelle de la position doit être antérieure à la date limite de départ à la retraite.</v>
      </c>
      <c r="BH82" s="13" t="s">
        <v>132</v>
      </c>
      <c r="BI82" s="15" t="str">
        <f>VLOOKUP(BH82,'Axe 2 Règles de gestion'!$D$2:$F$121,3, FALSE)</f>
        <v>La date de début de position doit être antérieure ou égale à la date de fin réelle de position.</v>
      </c>
      <c r="BJ82" s="13" t="s">
        <v>134</v>
      </c>
      <c r="BK82" s="15" t="str">
        <f>VLOOKUP(BJ82,'Axe 2 Règles de gestion'!$D$2:$F$121,3, FALSE)</f>
        <v>La date de fin prévisionnelle de la position doit être antérieure à la date limite de départ à la retraite.</v>
      </c>
      <c r="BL82" s="13" t="s">
        <v>140</v>
      </c>
      <c r="BM82" s="15" t="str">
        <f>VLOOKUP(BL82,'Axe 2 Règles de gestion'!$D$2:$F$121,3, FALSE)</f>
        <v>Les champs "Type d'organisme d'origine", "Catégorie statutaire d'origine" et "Pays" de l'organisme d'origine doivent être renseignés.</v>
      </c>
      <c r="BN82" s="13" t="s">
        <v>142</v>
      </c>
      <c r="BO82" s="15" t="str">
        <f>VLOOKUP(BN82,'Axe 2 Règles de gestion'!$D$2:$F$121,3, FALSE)</f>
        <v>Les champs "Ministère (ou institution de la République) d'origine", "Corps d'origine", "Grade d'origine", "Echelon d'origine" sont renseignés si le "Type d'organisme d'origine" est valorisé à FPE.</v>
      </c>
      <c r="BP82" s="13" t="s">
        <v>144</v>
      </c>
      <c r="BQ82" s="15" t="str">
        <f>VLOOKUP(BP82,'Axe 2 Règles de gestion'!$D$2:$F$121,3, FALSE)</f>
        <v>Le champ "Organisme d'origine" doit être alimenté si le type d'organisme d'origine est égal à 'Autre organisme', 'Fonction publique d'un état de l'Union Européenne' ou 'Fonction publique Européenne'.</v>
      </c>
      <c r="BR82" s="13" t="s">
        <v>146</v>
      </c>
      <c r="BS82" s="15" t="str">
        <f>VLOOKUP(BR82,'Axe 2 Règles de gestion'!$D$2:$F$121,3, FALSE)</f>
        <v>Le champ "Code emploi statutaire FPT (NET)" est renseigné si le "Type d'organisme d'origine" est valorisé à FPT.</v>
      </c>
      <c r="BT82" s="13" t="s">
        <v>148</v>
      </c>
      <c r="BU82" s="15" t="str">
        <f>VLOOKUP(BT82,'Axe 2 Règles de gestion'!$D$2:$F$121,3, FALSE)</f>
        <v>Le champ "Code emploi statutaire FPH (NEH)" est renseigné si le "Type d'organisme d'origine" est valorisé à FPH.</v>
      </c>
      <c r="BV82" s="13" t="s">
        <v>254</v>
      </c>
      <c r="BW82" s="15" t="str">
        <f>VLOOKUP(BV82,'Axe 2 Règles de gestion'!$D$2:$F$121,3, FALSE)</f>
        <v>La date de fin prévisionnelle de la position doit être antérieure ou égale à la date de fin réelle ou prévisionnelle du lien juridique.</v>
      </c>
      <c r="BX82" s="13" t="s">
        <v>150</v>
      </c>
      <c r="BY82" s="15" t="str">
        <f>VLOOKUP(BX82,'Axe 2 Règles de gestion'!$D$2:$F$121,3, FALSE)</f>
        <v>La date de fin ou la date de fin prévisionnelle doit être saisie.</v>
      </c>
      <c r="BZ82" s="13"/>
      <c r="CA82" s="15"/>
      <c r="CB82" s="13"/>
      <c r="CC82" s="15"/>
      <c r="CD82" s="13"/>
      <c r="CE82" s="15"/>
      <c r="CF82" s="13"/>
      <c r="CG82" s="13"/>
    </row>
    <row r="83" spans="1:85" ht="150" x14ac:dyDescent="0.25">
      <c r="A83" s="13" t="s">
        <v>202</v>
      </c>
      <c r="B83" s="13" t="s">
        <v>153</v>
      </c>
      <c r="C83" s="14">
        <v>43152.5</v>
      </c>
      <c r="D83" s="13" t="s">
        <v>88</v>
      </c>
      <c r="E83" s="15" t="s">
        <v>89</v>
      </c>
      <c r="F83" s="13" t="s">
        <v>90</v>
      </c>
      <c r="G83" s="15" t="s">
        <v>91</v>
      </c>
      <c r="H83" s="13" t="s">
        <v>276</v>
      </c>
      <c r="I83" s="15" t="s">
        <v>277</v>
      </c>
      <c r="J83" s="15" t="s">
        <v>278</v>
      </c>
      <c r="K83" s="15" t="s">
        <v>279</v>
      </c>
      <c r="L83" s="13" t="s">
        <v>280</v>
      </c>
      <c r="M83" s="15" t="s">
        <v>281</v>
      </c>
      <c r="N83" s="13" t="s">
        <v>98</v>
      </c>
      <c r="O83" s="15" t="s">
        <v>99</v>
      </c>
      <c r="P83" s="15" t="s">
        <v>100</v>
      </c>
      <c r="Q83" s="15" t="s">
        <v>274</v>
      </c>
      <c r="R83" s="13" t="s">
        <v>275</v>
      </c>
      <c r="S83" s="13" t="s">
        <v>212</v>
      </c>
      <c r="T83" s="13" t="s">
        <v>205</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3"/>
    </row>
    <row r="84" spans="1:85" ht="150" x14ac:dyDescent="0.25">
      <c r="A84" s="13" t="s">
        <v>202</v>
      </c>
      <c r="B84" s="13" t="s">
        <v>153</v>
      </c>
      <c r="C84" s="14">
        <v>43152.5</v>
      </c>
      <c r="D84" s="13" t="s">
        <v>88</v>
      </c>
      <c r="E84" s="15" t="s">
        <v>89</v>
      </c>
      <c r="F84" s="13" t="s">
        <v>90</v>
      </c>
      <c r="G84" s="15" t="s">
        <v>91</v>
      </c>
      <c r="H84" s="13" t="s">
        <v>276</v>
      </c>
      <c r="I84" s="15" t="s">
        <v>277</v>
      </c>
      <c r="J84" s="15" t="s">
        <v>278</v>
      </c>
      <c r="K84" s="15" t="s">
        <v>279</v>
      </c>
      <c r="L84" s="13" t="s">
        <v>282</v>
      </c>
      <c r="M84" s="15" t="s">
        <v>283</v>
      </c>
      <c r="N84" s="13" t="s">
        <v>98</v>
      </c>
      <c r="O84" s="15" t="s">
        <v>170</v>
      </c>
      <c r="P84" s="15" t="s">
        <v>171</v>
      </c>
      <c r="Q84" s="15" t="s">
        <v>274</v>
      </c>
      <c r="R84" s="13" t="s">
        <v>275</v>
      </c>
      <c r="S84" s="13" t="s">
        <v>212</v>
      </c>
      <c r="T84" s="13" t="s">
        <v>205</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3"/>
    </row>
    <row r="85" spans="1:85" ht="150" x14ac:dyDescent="0.25">
      <c r="A85" s="13" t="s">
        <v>202</v>
      </c>
      <c r="B85" s="13" t="s">
        <v>153</v>
      </c>
      <c r="C85" s="14">
        <v>43152.5</v>
      </c>
      <c r="D85" s="13" t="s">
        <v>88</v>
      </c>
      <c r="E85" s="15" t="s">
        <v>89</v>
      </c>
      <c r="F85" s="13" t="s">
        <v>90</v>
      </c>
      <c r="G85" s="15" t="s">
        <v>91</v>
      </c>
      <c r="H85" s="13" t="s">
        <v>276</v>
      </c>
      <c r="I85" s="15" t="s">
        <v>277</v>
      </c>
      <c r="J85" s="15" t="s">
        <v>278</v>
      </c>
      <c r="K85" s="15" t="s">
        <v>279</v>
      </c>
      <c r="L85" s="13" t="s">
        <v>284</v>
      </c>
      <c r="M85" s="15" t="s">
        <v>285</v>
      </c>
      <c r="N85" s="13" t="s">
        <v>188</v>
      </c>
      <c r="O85" s="15" t="s">
        <v>189</v>
      </c>
      <c r="P85" s="15" t="s">
        <v>190</v>
      </c>
      <c r="Q85" s="15" t="s">
        <v>274</v>
      </c>
      <c r="R85" s="13" t="s">
        <v>275</v>
      </c>
      <c r="S85" s="13" t="s">
        <v>212</v>
      </c>
      <c r="T85" s="13" t="s">
        <v>205</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3"/>
    </row>
    <row r="86" spans="1:85" ht="135" x14ac:dyDescent="0.25">
      <c r="A86" s="13" t="s">
        <v>202</v>
      </c>
      <c r="B86" s="13" t="s">
        <v>153</v>
      </c>
      <c r="C86" s="14">
        <v>43152.5</v>
      </c>
      <c r="D86" s="13" t="s">
        <v>88</v>
      </c>
      <c r="E86" s="15" t="s">
        <v>89</v>
      </c>
      <c r="F86" s="13" t="s">
        <v>90</v>
      </c>
      <c r="G86" s="15" t="s">
        <v>91</v>
      </c>
      <c r="H86" s="13" t="s">
        <v>286</v>
      </c>
      <c r="I86" s="15" t="s">
        <v>287</v>
      </c>
      <c r="J86" s="15" t="s">
        <v>288</v>
      </c>
      <c r="K86" s="15" t="s">
        <v>289</v>
      </c>
      <c r="L86" s="13" t="s">
        <v>290</v>
      </c>
      <c r="M86" s="15" t="s">
        <v>291</v>
      </c>
      <c r="N86" s="13" t="s">
        <v>98</v>
      </c>
      <c r="O86" s="15" t="s">
        <v>99</v>
      </c>
      <c r="P86" s="15" t="s">
        <v>100</v>
      </c>
      <c r="Q86" s="15" t="s">
        <v>101</v>
      </c>
      <c r="R86" s="13" t="s">
        <v>102</v>
      </c>
      <c r="S86" s="13" t="s">
        <v>103</v>
      </c>
      <c r="T86" s="13" t="s">
        <v>205</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3"/>
    </row>
    <row r="87" spans="1:85" ht="135" x14ac:dyDescent="0.25">
      <c r="A87" s="13" t="s">
        <v>202</v>
      </c>
      <c r="B87" s="13" t="s">
        <v>153</v>
      </c>
      <c r="C87" s="14">
        <v>43152.5</v>
      </c>
      <c r="D87" s="13" t="s">
        <v>88</v>
      </c>
      <c r="E87" s="15" t="s">
        <v>89</v>
      </c>
      <c r="F87" s="13" t="s">
        <v>90</v>
      </c>
      <c r="G87" s="15" t="s">
        <v>91</v>
      </c>
      <c r="H87" s="13" t="s">
        <v>286</v>
      </c>
      <c r="I87" s="15" t="s">
        <v>287</v>
      </c>
      <c r="J87" s="15" t="s">
        <v>288</v>
      </c>
      <c r="K87" s="15" t="s">
        <v>289</v>
      </c>
      <c r="L87" s="13" t="s">
        <v>292</v>
      </c>
      <c r="M87" s="15" t="s">
        <v>293</v>
      </c>
      <c r="N87" s="13" t="s">
        <v>98</v>
      </c>
      <c r="O87" s="15" t="s">
        <v>170</v>
      </c>
      <c r="P87" s="15" t="s">
        <v>171</v>
      </c>
      <c r="Q87" s="15" t="s">
        <v>101</v>
      </c>
      <c r="R87" s="13" t="s">
        <v>102</v>
      </c>
      <c r="S87" s="13" t="s">
        <v>103</v>
      </c>
      <c r="T87" s="13" t="s">
        <v>205</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3"/>
    </row>
    <row r="88" spans="1:85" ht="135" x14ac:dyDescent="0.25">
      <c r="A88" s="13" t="s">
        <v>202</v>
      </c>
      <c r="B88" s="13" t="s">
        <v>153</v>
      </c>
      <c r="C88" s="14">
        <v>43152.5</v>
      </c>
      <c r="D88" s="13" t="s">
        <v>88</v>
      </c>
      <c r="E88" s="15" t="s">
        <v>89</v>
      </c>
      <c r="F88" s="13" t="s">
        <v>90</v>
      </c>
      <c r="G88" s="15" t="s">
        <v>91</v>
      </c>
      <c r="H88" s="13" t="s">
        <v>286</v>
      </c>
      <c r="I88" s="15" t="s">
        <v>287</v>
      </c>
      <c r="J88" s="15" t="s">
        <v>288</v>
      </c>
      <c r="K88" s="15" t="s">
        <v>289</v>
      </c>
      <c r="L88" s="13" t="s">
        <v>294</v>
      </c>
      <c r="M88" s="15" t="s">
        <v>295</v>
      </c>
      <c r="N88" s="13" t="s">
        <v>188</v>
      </c>
      <c r="O88" s="15" t="s">
        <v>189</v>
      </c>
      <c r="P88" s="15" t="s">
        <v>190</v>
      </c>
      <c r="Q88" s="15" t="s">
        <v>101</v>
      </c>
      <c r="R88" s="13" t="s">
        <v>102</v>
      </c>
      <c r="S88" s="13" t="s">
        <v>103</v>
      </c>
      <c r="T88" s="13" t="s">
        <v>205</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3"/>
    </row>
    <row r="89" spans="1:85" ht="135" x14ac:dyDescent="0.25">
      <c r="A89" s="13" t="s">
        <v>202</v>
      </c>
      <c r="B89" s="13" t="s">
        <v>153</v>
      </c>
      <c r="C89" s="14">
        <v>43152.5</v>
      </c>
      <c r="D89" s="13" t="s">
        <v>88</v>
      </c>
      <c r="E89" s="15" t="s">
        <v>89</v>
      </c>
      <c r="F89" s="13" t="s">
        <v>90</v>
      </c>
      <c r="G89" s="15" t="s">
        <v>91</v>
      </c>
      <c r="H89" s="13" t="s">
        <v>286</v>
      </c>
      <c r="I89" s="15" t="s">
        <v>287</v>
      </c>
      <c r="J89" s="15" t="s">
        <v>288</v>
      </c>
      <c r="K89" s="15" t="s">
        <v>289</v>
      </c>
      <c r="L89" s="13" t="s">
        <v>290</v>
      </c>
      <c r="M89" s="15" t="s">
        <v>291</v>
      </c>
      <c r="N89" s="13" t="s">
        <v>98</v>
      </c>
      <c r="O89" s="15" t="s">
        <v>99</v>
      </c>
      <c r="P89" s="15" t="s">
        <v>100</v>
      </c>
      <c r="Q89" s="15" t="s">
        <v>203</v>
      </c>
      <c r="R89" s="13" t="s">
        <v>204</v>
      </c>
      <c r="S89" s="13" t="s">
        <v>103</v>
      </c>
      <c r="T89" s="13" t="s">
        <v>205</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3"/>
    </row>
    <row r="90" spans="1:85" ht="135" x14ac:dyDescent="0.25">
      <c r="A90" s="13" t="s">
        <v>202</v>
      </c>
      <c r="B90" s="13" t="s">
        <v>153</v>
      </c>
      <c r="C90" s="14">
        <v>43152.5</v>
      </c>
      <c r="D90" s="13" t="s">
        <v>88</v>
      </c>
      <c r="E90" s="15" t="s">
        <v>89</v>
      </c>
      <c r="F90" s="13" t="s">
        <v>90</v>
      </c>
      <c r="G90" s="15" t="s">
        <v>91</v>
      </c>
      <c r="H90" s="13" t="s">
        <v>286</v>
      </c>
      <c r="I90" s="15" t="s">
        <v>287</v>
      </c>
      <c r="J90" s="15" t="s">
        <v>288</v>
      </c>
      <c r="K90" s="15" t="s">
        <v>289</v>
      </c>
      <c r="L90" s="13" t="s">
        <v>292</v>
      </c>
      <c r="M90" s="15" t="s">
        <v>293</v>
      </c>
      <c r="N90" s="13" t="s">
        <v>98</v>
      </c>
      <c r="O90" s="15" t="s">
        <v>170</v>
      </c>
      <c r="P90" s="15" t="s">
        <v>171</v>
      </c>
      <c r="Q90" s="15" t="s">
        <v>203</v>
      </c>
      <c r="R90" s="13" t="s">
        <v>204</v>
      </c>
      <c r="S90" s="13" t="s">
        <v>103</v>
      </c>
      <c r="T90" s="13" t="s">
        <v>205</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3"/>
    </row>
    <row r="91" spans="1:85" ht="135" x14ac:dyDescent="0.25">
      <c r="A91" s="13" t="s">
        <v>202</v>
      </c>
      <c r="B91" s="13" t="s">
        <v>153</v>
      </c>
      <c r="C91" s="14">
        <v>43152.5</v>
      </c>
      <c r="D91" s="13" t="s">
        <v>88</v>
      </c>
      <c r="E91" s="15" t="s">
        <v>89</v>
      </c>
      <c r="F91" s="13" t="s">
        <v>90</v>
      </c>
      <c r="G91" s="15" t="s">
        <v>91</v>
      </c>
      <c r="H91" s="13" t="s">
        <v>286</v>
      </c>
      <c r="I91" s="15" t="s">
        <v>287</v>
      </c>
      <c r="J91" s="15" t="s">
        <v>288</v>
      </c>
      <c r="K91" s="15" t="s">
        <v>289</v>
      </c>
      <c r="L91" s="13" t="s">
        <v>294</v>
      </c>
      <c r="M91" s="15" t="s">
        <v>295</v>
      </c>
      <c r="N91" s="13" t="s">
        <v>188</v>
      </c>
      <c r="O91" s="15" t="s">
        <v>189</v>
      </c>
      <c r="P91" s="15" t="s">
        <v>190</v>
      </c>
      <c r="Q91" s="15" t="s">
        <v>203</v>
      </c>
      <c r="R91" s="13" t="s">
        <v>204</v>
      </c>
      <c r="S91" s="13" t="s">
        <v>103</v>
      </c>
      <c r="T91" s="13" t="s">
        <v>205</v>
      </c>
      <c r="U91" s="14">
        <v>40725</v>
      </c>
      <c r="V91" s="14"/>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3"/>
    </row>
    <row r="92" spans="1:85" ht="135" x14ac:dyDescent="0.25">
      <c r="A92" s="13" t="s">
        <v>86</v>
      </c>
      <c r="B92" s="13" t="s">
        <v>87</v>
      </c>
      <c r="C92" s="14">
        <v>43850.552083333336</v>
      </c>
      <c r="D92" s="13" t="s">
        <v>88</v>
      </c>
      <c r="E92" s="15" t="s">
        <v>89</v>
      </c>
      <c r="F92" s="13" t="s">
        <v>90</v>
      </c>
      <c r="G92" s="15" t="s">
        <v>91</v>
      </c>
      <c r="H92" s="13" t="s">
        <v>286</v>
      </c>
      <c r="I92" s="15" t="s">
        <v>287</v>
      </c>
      <c r="J92" s="15" t="s">
        <v>288</v>
      </c>
      <c r="K92" s="15" t="s">
        <v>289</v>
      </c>
      <c r="L92" s="13" t="s">
        <v>290</v>
      </c>
      <c r="M92" s="15" t="s">
        <v>291</v>
      </c>
      <c r="N92" s="13" t="s">
        <v>98</v>
      </c>
      <c r="O92" s="15" t="s">
        <v>99</v>
      </c>
      <c r="P92" s="15" t="s">
        <v>100</v>
      </c>
      <c r="Q92" s="15" t="s">
        <v>206</v>
      </c>
      <c r="R92" s="13" t="s">
        <v>207</v>
      </c>
      <c r="S92" s="13" t="s">
        <v>103</v>
      </c>
      <c r="T92" s="13" t="s">
        <v>104</v>
      </c>
      <c r="U92" s="14">
        <v>40725</v>
      </c>
      <c r="V92" s="14">
        <v>43830</v>
      </c>
      <c r="W92" s="15" t="s">
        <v>296</v>
      </c>
      <c r="X92" s="13" t="s">
        <v>108</v>
      </c>
      <c r="Y92" s="15" t="str">
        <f>VLOOKUP(X92,'Axe 2 Règles de gestion'!$D$2:$F$121,3, FALSE)</f>
        <v>L'agent doit formuler une demande.</v>
      </c>
      <c r="Z92" s="13" t="s">
        <v>110</v>
      </c>
      <c r="AA92" s="15" t="str">
        <f>VLOOKUP(Z92,'Axe 2 Règles de gestion'!$D$2:$F$121,3, FALSE)</f>
        <v>Le détachement est accordé après avis des commissions administratives paritaires compétentes.</v>
      </c>
      <c r="AB92" s="13" t="s">
        <v>112</v>
      </c>
      <c r="AC92" s="15" t="str">
        <f>VLOOKUP(AB92,'Axe 2 Règles de gestion'!$D$2:$F$121,3, FALSE)</f>
        <v>L'accord de l'administration d'origine est nécessaire.</v>
      </c>
      <c r="AD92" s="13" t="s">
        <v>297</v>
      </c>
      <c r="AE92" s="15" t="str">
        <f>VLOOKUP(AD92,'Axe 2 Règles de gestion'!$D$2:$F$121,3, FALSE)</f>
        <v>La durée du détachement correspond à la durée du stage ou de la période de scolarité.</v>
      </c>
      <c r="AF92" s="13"/>
      <c r="AG92" s="15"/>
      <c r="AH92" s="13"/>
      <c r="AI92" s="15"/>
      <c r="AJ92" s="13"/>
      <c r="AK92" s="15"/>
      <c r="AL92" s="13"/>
      <c r="AM92" s="15"/>
      <c r="AN92" s="13"/>
      <c r="AO92" s="15"/>
      <c r="AP92" s="13" t="s">
        <v>114</v>
      </c>
      <c r="AQ92" s="15" t="str">
        <f>VLOOKUP(AP92,'Axe 2 Règles de gestion'!$D$2:$F$121,3, FALSE)</f>
        <v>Un détachement de courte durée à l'étranger ou dans les TOM ne peut excéder 1 an entre la date de début et la date de fin prévisionnelle.</v>
      </c>
      <c r="AR92" s="13" t="s">
        <v>116</v>
      </c>
      <c r="AS92" s="15" t="str">
        <f>VLOOKUP(AR92,'Axe 2 Règles de gestion'!$D$2:$F$121,3, FALSE)</f>
        <v>Un détachement de courte durée à l'étranger ou dans les TOM ne peut excéder 1 an entre la date de début et la date de fin réelle.</v>
      </c>
      <c r="AT92" s="13" t="s">
        <v>118</v>
      </c>
      <c r="AU92" s="15" t="str">
        <f>VLOOKUP(AT92,'Axe 2 Règles de gestion'!$D$2:$F$121,3, FALSE)</f>
        <v>Un détachement de courte durée n'ayant pas lieu à l'étranger ou dans les TOM ne peut excéder six mois entre la date de début et la date de fin prévisionnelle.</v>
      </c>
      <c r="AV92" s="13" t="s">
        <v>120</v>
      </c>
      <c r="AW92" s="15" t="str">
        <f>VLOOKUP(AV92,'Axe 2 Règles de gestion'!$D$2:$F$121,3, FALSE)</f>
        <v>Un détachement de courte durée n'ayant pas lieu à l'étranger ou dans les TOM ne peut excéder six mois entre la date de début et la date de fin réelle.</v>
      </c>
      <c r="AX92" s="13" t="s">
        <v>122</v>
      </c>
      <c r="AY92" s="15" t="str">
        <f>VLOOKUP(AX92,'Axe 2 Règles de gestion'!$D$2:$F$121,3, FALSE)</f>
        <v>Un détachement de longue durée ne peut excéder 5 ans entre la date de début et la date de fin prévisionnelle.</v>
      </c>
      <c r="AZ92" s="13" t="s">
        <v>124</v>
      </c>
      <c r="BA92" s="15" t="str">
        <f>VLOOKUP(AZ92,'Axe 2 Règles de gestion'!$D$2:$F$121,3, FALSE)</f>
        <v>Un détachement de longue durée ne peut excéder 5 ans entre la date de début et la date de fin réelle.</v>
      </c>
      <c r="BB92" s="13" t="s">
        <v>126</v>
      </c>
      <c r="BC92" s="15" t="str">
        <f>VLOOKUP(BB92,'Axe 2 Règles de gestion'!$D$2:$F$121,3, FALSE)</f>
        <v>La date de début de position doit être antérieure ou égale à la date de fin prévisionnelle de position.</v>
      </c>
      <c r="BD92" s="13" t="s">
        <v>128</v>
      </c>
      <c r="BE92" s="15" t="str">
        <f>VLOOKUP(BD92,'Axe 2 Règles de gestion'!$D$2:$F$121,3, FALSE)</f>
        <v>La date de début de la position doit être postérieure ou égale à la date d'entrée dans la FPE ou dans la carrière militaire.</v>
      </c>
      <c r="BF92" s="13" t="s">
        <v>130</v>
      </c>
      <c r="BG92" s="15" t="str">
        <f>VLOOKUP(BF92,'Axe 2 Règles de gestion'!$D$2:$F$121,3, FALSE)</f>
        <v>La date de fin réelle de la position doit être antérieure à la date limite de départ à la retraite.</v>
      </c>
      <c r="BH92" s="13" t="s">
        <v>132</v>
      </c>
      <c r="BI92" s="15" t="str">
        <f>VLOOKUP(BH92,'Axe 2 Règles de gestion'!$D$2:$F$121,3, FALSE)</f>
        <v>La date de début de position doit être antérieure ou égale à la date de fin réelle de position.</v>
      </c>
      <c r="BJ92" s="13" t="s">
        <v>134</v>
      </c>
      <c r="BK92" s="15" t="str">
        <f>VLOOKUP(BJ92,'Axe 2 Règles de gestion'!$D$2:$F$121,3, FALSE)</f>
        <v>La date de fin prévisionnelle de la position doit être antérieure à la date limite de départ à la retraite.</v>
      </c>
      <c r="BL92" s="13" t="s">
        <v>136</v>
      </c>
      <c r="BM92" s="15" t="str">
        <f>VLOOKUP(BL92,'Axe 2 Règles de gestion'!$D$2:$F$121,3, FALSE)</f>
        <v>L'indicateur de carrière est sur la valeur "Accueil".</v>
      </c>
      <c r="BN92" s="13" t="s">
        <v>138</v>
      </c>
      <c r="BO92" s="15" t="str">
        <f>VLOOKUP(BN92,'Axe 2 Règles de gestion'!$D$2:$F$121,3, FALSE)</f>
        <v>La date de début de position est à J+1 de la date de fin de position de l'occurrence précédente.</v>
      </c>
      <c r="BP92" s="13" t="s">
        <v>140</v>
      </c>
      <c r="BQ92" s="15" t="str">
        <f>VLOOKUP(BP92,'Axe 2 Règles de gestion'!$D$2:$F$121,3, FALSE)</f>
        <v>Les champs "Type d'organisme d'origine", "Catégorie statutaire d'origine" et "Pays" de l'organisme d'origine doivent être renseignés.</v>
      </c>
      <c r="BR92" s="13" t="s">
        <v>142</v>
      </c>
      <c r="BS92" s="15" t="str">
        <f>VLOOKUP(BR92,'Axe 2 Règles de gestion'!$D$2:$F$121,3, FALSE)</f>
        <v>Les champs "Ministère (ou institution de la République) d'origine", "Corps d'origine", "Grade d'origine", "Echelon d'origine" sont renseignés si le "Type d'organisme d'origine" est valorisé à FPE.</v>
      </c>
      <c r="BT92" s="13" t="s">
        <v>144</v>
      </c>
      <c r="BU92" s="15" t="str">
        <f>VLOOKUP(BT92,'Axe 2 Règles de gestion'!$D$2:$F$121,3, FALSE)</f>
        <v>Le champ "Organisme d'origine" doit être alimenté si le type d'organisme d'origine est égal à 'Autre organisme', 'Fonction publique d'un état de l'Union Européenne' ou 'Fonction publique Européenne'.</v>
      </c>
      <c r="BV92" s="13" t="s">
        <v>146</v>
      </c>
      <c r="BW92" s="15" t="str">
        <f>VLOOKUP(BV92,'Axe 2 Règles de gestion'!$D$2:$F$121,3, FALSE)</f>
        <v>Le champ "Code emploi statutaire FPT (NET)" est renseigné si le "Type d'organisme d'origine" est valorisé à FPT.</v>
      </c>
      <c r="BX92" s="13" t="s">
        <v>148</v>
      </c>
      <c r="BY92" s="15" t="str">
        <f>VLOOKUP(BX92,'Axe 2 Règles de gestion'!$D$2:$F$121,3, FALSE)</f>
        <v>Le champ "Code emploi statutaire FPH (NEH)" est renseigné si le "Type d'organisme d'origine" est valorisé à FPH.</v>
      </c>
      <c r="BZ92" s="13" t="s">
        <v>150</v>
      </c>
      <c r="CA92" s="15" t="str">
        <f>VLOOKUP(BZ92,'Axe 2 Règles de gestion'!$D$2:$F$121,3, FALSE)</f>
        <v>La date de fin ou la date de fin prévisionnelle doit être saisie.</v>
      </c>
      <c r="CB92" s="13"/>
      <c r="CC92" s="15"/>
      <c r="CD92" s="13"/>
      <c r="CE92" s="15"/>
      <c r="CF92" s="13"/>
      <c r="CG92" s="13"/>
    </row>
    <row r="93" spans="1:85" ht="135" x14ac:dyDescent="0.25">
      <c r="A93" s="13" t="s">
        <v>86</v>
      </c>
      <c r="B93" s="13" t="s">
        <v>153</v>
      </c>
      <c r="C93" s="14">
        <v>44008.580555555556</v>
      </c>
      <c r="D93" s="13" t="s">
        <v>88</v>
      </c>
      <c r="E93" s="15" t="s">
        <v>89</v>
      </c>
      <c r="F93" s="13" t="s">
        <v>90</v>
      </c>
      <c r="G93" s="15" t="s">
        <v>91</v>
      </c>
      <c r="H93" s="13" t="s">
        <v>286</v>
      </c>
      <c r="I93" s="15" t="s">
        <v>287</v>
      </c>
      <c r="J93" s="15" t="s">
        <v>288</v>
      </c>
      <c r="K93" s="15" t="s">
        <v>289</v>
      </c>
      <c r="L93" s="13" t="s">
        <v>290</v>
      </c>
      <c r="M93" s="15" t="s">
        <v>291</v>
      </c>
      <c r="N93" s="13" t="s">
        <v>98</v>
      </c>
      <c r="O93" s="15" t="s">
        <v>99</v>
      </c>
      <c r="P93" s="15" t="s">
        <v>100</v>
      </c>
      <c r="Q93" s="15" t="s">
        <v>206</v>
      </c>
      <c r="R93" s="13" t="s">
        <v>207</v>
      </c>
      <c r="S93" s="13" t="s">
        <v>103</v>
      </c>
      <c r="T93" s="13" t="s">
        <v>104</v>
      </c>
      <c r="U93" s="14">
        <v>43831</v>
      </c>
      <c r="V93" s="14"/>
      <c r="W93" s="15" t="s">
        <v>299</v>
      </c>
      <c r="X93" s="13" t="s">
        <v>108</v>
      </c>
      <c r="Y93" s="15" t="str">
        <f>VLOOKUP(X93,'Axe 2 Règles de gestion'!$D$2:$F$121,3, FALSE)</f>
        <v>L'agent doit formuler une demande.</v>
      </c>
      <c r="Z93" s="13" t="s">
        <v>112</v>
      </c>
      <c r="AA93" s="15" t="str">
        <f>VLOOKUP(Z93,'Axe 2 Règles de gestion'!$D$2:$F$121,3, FALSE)</f>
        <v>L'accord de l'administration d'origine est nécessaire.</v>
      </c>
      <c r="AB93" s="13" t="s">
        <v>297</v>
      </c>
      <c r="AC93" s="15" t="str">
        <f>VLOOKUP(AB93,'Axe 2 Règles de gestion'!$D$2:$F$121,3, FALSE)</f>
        <v>La durée du détachement correspond à la durée du stage ou de la période de scolarité.</v>
      </c>
      <c r="AD93" s="13"/>
      <c r="AE93" s="15"/>
      <c r="AF93" s="13"/>
      <c r="AG93" s="15"/>
      <c r="AH93" s="13"/>
      <c r="AI93" s="15"/>
      <c r="AJ93" s="13"/>
      <c r="AK93" s="15"/>
      <c r="AL93" s="13"/>
      <c r="AM93" s="15"/>
      <c r="AN93" s="13"/>
      <c r="AO93" s="15"/>
      <c r="AP93" s="13" t="s">
        <v>114</v>
      </c>
      <c r="AQ93" s="15" t="str">
        <f>VLOOKUP(AP93,'Axe 2 Règles de gestion'!$D$2:$F$121,3, FALSE)</f>
        <v>Un détachement de courte durée à l'étranger ou dans les TOM ne peut excéder 1 an entre la date de début et la date de fin prévisionnelle.</v>
      </c>
      <c r="AR93" s="13" t="s">
        <v>116</v>
      </c>
      <c r="AS93" s="15" t="str">
        <f>VLOOKUP(AR93,'Axe 2 Règles de gestion'!$D$2:$F$121,3, FALSE)</f>
        <v>Un détachement de courte durée à l'étranger ou dans les TOM ne peut excéder 1 an entre la date de début et la date de fin réelle.</v>
      </c>
      <c r="AT93" s="13" t="s">
        <v>118</v>
      </c>
      <c r="AU93" s="15" t="str">
        <f>VLOOKUP(AT93,'Axe 2 Règles de gestion'!$D$2:$F$121,3, FALSE)</f>
        <v>Un détachement de courte durée n'ayant pas lieu à l'étranger ou dans les TOM ne peut excéder six mois entre la date de début et la date de fin prévisionnelle.</v>
      </c>
      <c r="AV93" s="13" t="s">
        <v>120</v>
      </c>
      <c r="AW93" s="15" t="str">
        <f>VLOOKUP(AV93,'Axe 2 Règles de gestion'!$D$2:$F$121,3, FALSE)</f>
        <v>Un détachement de courte durée n'ayant pas lieu à l'étranger ou dans les TOM ne peut excéder six mois entre la date de début et la date de fin réelle.</v>
      </c>
      <c r="AX93" s="13" t="s">
        <v>122</v>
      </c>
      <c r="AY93" s="15" t="str">
        <f>VLOOKUP(AX93,'Axe 2 Règles de gestion'!$D$2:$F$121,3, FALSE)</f>
        <v>Un détachement de longue durée ne peut excéder 5 ans entre la date de début et la date de fin prévisionnelle.</v>
      </c>
      <c r="AZ93" s="13" t="s">
        <v>124</v>
      </c>
      <c r="BA93" s="15" t="str">
        <f>VLOOKUP(AZ93,'Axe 2 Règles de gestion'!$D$2:$F$121,3, FALSE)</f>
        <v>Un détachement de longue durée ne peut excéder 5 ans entre la date de début et la date de fin réelle.</v>
      </c>
      <c r="BB93" s="13" t="s">
        <v>126</v>
      </c>
      <c r="BC93" s="15" t="str">
        <f>VLOOKUP(BB93,'Axe 2 Règles de gestion'!$D$2:$F$121,3, FALSE)</f>
        <v>La date de début de position doit être antérieure ou égale à la date de fin prévisionnelle de position.</v>
      </c>
      <c r="BD93" s="13" t="s">
        <v>128</v>
      </c>
      <c r="BE93" s="15" t="str">
        <f>VLOOKUP(BD93,'Axe 2 Règles de gestion'!$D$2:$F$121,3, FALSE)</f>
        <v>La date de début de la position doit être postérieure ou égale à la date d'entrée dans la FPE ou dans la carrière militaire.</v>
      </c>
      <c r="BF93" s="13" t="s">
        <v>130</v>
      </c>
      <c r="BG93" s="15" t="str">
        <f>VLOOKUP(BF93,'Axe 2 Règles de gestion'!$D$2:$F$121,3, FALSE)</f>
        <v>La date de fin réelle de la position doit être antérieure à la date limite de départ à la retraite.</v>
      </c>
      <c r="BH93" s="13" t="s">
        <v>132</v>
      </c>
      <c r="BI93" s="15" t="str">
        <f>VLOOKUP(BH93,'Axe 2 Règles de gestion'!$D$2:$F$121,3, FALSE)</f>
        <v>La date de début de position doit être antérieure ou égale à la date de fin réelle de position.</v>
      </c>
      <c r="BJ93" s="13" t="s">
        <v>134</v>
      </c>
      <c r="BK93" s="15" t="str">
        <f>VLOOKUP(BJ93,'Axe 2 Règles de gestion'!$D$2:$F$121,3, FALSE)</f>
        <v>La date de fin prévisionnelle de la position doit être antérieure à la date limite de départ à la retraite.</v>
      </c>
      <c r="BL93" s="13" t="s">
        <v>136</v>
      </c>
      <c r="BM93" s="15" t="str">
        <f>VLOOKUP(BL93,'Axe 2 Règles de gestion'!$D$2:$F$121,3, FALSE)</f>
        <v>L'indicateur de carrière est sur la valeur "Accueil".</v>
      </c>
      <c r="BN93" s="13" t="s">
        <v>138</v>
      </c>
      <c r="BO93" s="15" t="str">
        <f>VLOOKUP(BN93,'Axe 2 Règles de gestion'!$D$2:$F$121,3, FALSE)</f>
        <v>La date de début de position est à J+1 de la date de fin de position de l'occurrence précédente.</v>
      </c>
      <c r="BP93" s="13" t="s">
        <v>140</v>
      </c>
      <c r="BQ93" s="15" t="str">
        <f>VLOOKUP(BP93,'Axe 2 Règles de gestion'!$D$2:$F$121,3, FALSE)</f>
        <v>Les champs "Type d'organisme d'origine", "Catégorie statutaire d'origine" et "Pays" de l'organisme d'origine doivent être renseignés.</v>
      </c>
      <c r="BR93" s="13" t="s">
        <v>142</v>
      </c>
      <c r="BS93" s="15" t="str">
        <f>VLOOKUP(BR93,'Axe 2 Règles de gestion'!$D$2:$F$121,3, FALSE)</f>
        <v>Les champs "Ministère (ou institution de la République) d'origine", "Corps d'origine", "Grade d'origine", "Echelon d'origine" sont renseignés si le "Type d'organisme d'origine" est valorisé à FPE.</v>
      </c>
      <c r="BT93" s="13" t="s">
        <v>144</v>
      </c>
      <c r="BU93" s="15" t="str">
        <f>VLOOKUP(BT93,'Axe 2 Règles de gestion'!$D$2:$F$121,3, FALSE)</f>
        <v>Le champ "Organisme d'origine" doit être alimenté si le type d'organisme d'origine est égal à 'Autre organisme', 'Fonction publique d'un état de l'Union Européenne' ou 'Fonction publique Européenne'.</v>
      </c>
      <c r="BV93" s="13" t="s">
        <v>146</v>
      </c>
      <c r="BW93" s="15" t="str">
        <f>VLOOKUP(BV93,'Axe 2 Règles de gestion'!$D$2:$F$121,3, FALSE)</f>
        <v>Le champ "Code emploi statutaire FPT (NET)" est renseigné si le "Type d'organisme d'origine" est valorisé à FPT.</v>
      </c>
      <c r="BX93" s="13" t="s">
        <v>148</v>
      </c>
      <c r="BY93" s="15" t="str">
        <f>VLOOKUP(BX93,'Axe 2 Règles de gestion'!$D$2:$F$121,3, FALSE)</f>
        <v>Le champ "Code emploi statutaire FPH (NEH)" est renseigné si le "Type d'organisme d'origine" est valorisé à FPH.</v>
      </c>
      <c r="BZ93" s="13" t="s">
        <v>150</v>
      </c>
      <c r="CA93" s="15" t="str">
        <f>VLOOKUP(BZ93,'Axe 2 Règles de gestion'!$D$2:$F$121,3, FALSE)</f>
        <v>La date de fin ou la date de fin prévisionnelle doit être saisie.</v>
      </c>
      <c r="CB93" s="13"/>
      <c r="CC93" s="15"/>
      <c r="CD93" s="13"/>
      <c r="CE93" s="15"/>
      <c r="CF93" s="13"/>
      <c r="CG93" s="13"/>
    </row>
    <row r="94" spans="1:85" ht="135" x14ac:dyDescent="0.25">
      <c r="A94" s="13" t="s">
        <v>86</v>
      </c>
      <c r="B94" s="13" t="s">
        <v>87</v>
      </c>
      <c r="C94" s="14">
        <v>43850.552083333336</v>
      </c>
      <c r="D94" s="13" t="s">
        <v>88</v>
      </c>
      <c r="E94" s="15" t="s">
        <v>89</v>
      </c>
      <c r="F94" s="13" t="s">
        <v>90</v>
      </c>
      <c r="G94" s="15" t="s">
        <v>91</v>
      </c>
      <c r="H94" s="13" t="s">
        <v>286</v>
      </c>
      <c r="I94" s="15" t="s">
        <v>287</v>
      </c>
      <c r="J94" s="15" t="s">
        <v>288</v>
      </c>
      <c r="K94" s="15" t="s">
        <v>289</v>
      </c>
      <c r="L94" s="13" t="s">
        <v>292</v>
      </c>
      <c r="M94" s="15" t="s">
        <v>293</v>
      </c>
      <c r="N94" s="13" t="s">
        <v>98</v>
      </c>
      <c r="O94" s="15" t="s">
        <v>170</v>
      </c>
      <c r="P94" s="15" t="s">
        <v>171</v>
      </c>
      <c r="Q94" s="15" t="s">
        <v>206</v>
      </c>
      <c r="R94" s="13" t="s">
        <v>207</v>
      </c>
      <c r="S94" s="13" t="s">
        <v>103</v>
      </c>
      <c r="T94" s="13" t="s">
        <v>104</v>
      </c>
      <c r="U94" s="14">
        <v>40725</v>
      </c>
      <c r="V94" s="14"/>
      <c r="W94" s="15" t="s">
        <v>300</v>
      </c>
      <c r="X94" s="13" t="s">
        <v>173</v>
      </c>
      <c r="Y94" s="15" t="str">
        <f>VLOOKUP(X94,'Axe 2 Règles de gestion'!$D$2:$F$121,3, FALSE)</f>
        <v>L'agent doit formuler une demande de renouvellement à son administration d'origine 3 mois au moins avant l'expiration de la période de détachement de longue durée.</v>
      </c>
      <c r="Z94" s="13" t="s">
        <v>175</v>
      </c>
      <c r="AA94" s="15" t="str">
        <f>VLOOKUP(Z94,'Axe 2 Règles de gestion'!$D$2:$F$121,3, FALSE)</f>
        <v>L'organisme d'accueil adresse sa décision à l'agent et à l'administration d'origine 2 mois au moins avant l'expiration de la période de détachement.</v>
      </c>
      <c r="AB94" s="13"/>
      <c r="AC94" s="15"/>
      <c r="AD94" s="13"/>
      <c r="AE94" s="15"/>
      <c r="AF94" s="13"/>
      <c r="AG94" s="15"/>
      <c r="AH94" s="13"/>
      <c r="AI94" s="15"/>
      <c r="AJ94" s="13"/>
      <c r="AK94" s="15"/>
      <c r="AL94" s="13"/>
      <c r="AM94" s="15"/>
      <c r="AN94" s="13"/>
      <c r="AO94" s="15"/>
      <c r="AP94" s="13" t="s">
        <v>122</v>
      </c>
      <c r="AQ94" s="15" t="str">
        <f>VLOOKUP(AP94,'Axe 2 Règles de gestion'!$D$2:$F$121,3, FALSE)</f>
        <v>Un détachement de longue durée ne peut excéder 5 ans entre la date de début et la date de fin prévisionnelle.</v>
      </c>
      <c r="AR94" s="13" t="s">
        <v>124</v>
      </c>
      <c r="AS94" s="15" t="str">
        <f>VLOOKUP(AR94,'Axe 2 Règles de gestion'!$D$2:$F$121,3, FALSE)</f>
        <v>Un détachement de longue durée ne peut excéder 5 ans entre la date de début et la date de fin réelle.</v>
      </c>
      <c r="AT94" s="13" t="s">
        <v>177</v>
      </c>
      <c r="AU94" s="15" t="str">
        <f>VLOOKUP(AT94,'Axe 2 Règles de gestion'!$D$2:$F$121,3, FALSE)</f>
        <v>Le renouvellement d'un détachement de courte durée est interdit.</v>
      </c>
      <c r="AV94" s="13"/>
      <c r="AW94" s="15"/>
      <c r="AX94" s="13"/>
      <c r="AY94" s="15"/>
      <c r="AZ94" s="13"/>
      <c r="BA94" s="15"/>
      <c r="BB94" s="13" t="s">
        <v>126</v>
      </c>
      <c r="BC94" s="15" t="str">
        <f>VLOOKUP(BB94,'Axe 2 Règles de gestion'!$D$2:$F$121,3, FALSE)</f>
        <v>La date de début de position doit être antérieure ou égale à la date de fin prévisionnelle de position.</v>
      </c>
      <c r="BD94" s="13" t="s">
        <v>128</v>
      </c>
      <c r="BE94" s="15" t="str">
        <f>VLOOKUP(BD94,'Axe 2 Règles de gestion'!$D$2:$F$121,3, FALSE)</f>
        <v>La date de début de la position doit être postérieure ou égale à la date d'entrée dans la FPE ou dans la carrière militaire.</v>
      </c>
      <c r="BF94" s="13" t="s">
        <v>130</v>
      </c>
      <c r="BG94" s="15" t="str">
        <f>VLOOKUP(BF94,'Axe 2 Règles de gestion'!$D$2:$F$121,3, FALSE)</f>
        <v>La date de fin réelle de la position doit être antérieure à la date limite de départ à la retraite.</v>
      </c>
      <c r="BH94" s="13" t="s">
        <v>132</v>
      </c>
      <c r="BI94" s="15" t="str">
        <f>VLOOKUP(BH94,'Axe 2 Règles de gestion'!$D$2:$F$121,3, FALSE)</f>
        <v>La date de début de position doit être antérieure ou égale à la date de fin réelle de position.</v>
      </c>
      <c r="BJ94" s="13" t="s">
        <v>134</v>
      </c>
      <c r="BK94" s="15" t="str">
        <f>VLOOKUP(BJ94,'Axe 2 Règles de gestion'!$D$2:$F$121,3, FALSE)</f>
        <v>La date de fin prévisionnelle de la position doit être antérieure à la date limite de départ à la retraite.</v>
      </c>
      <c r="BL94" s="13" t="s">
        <v>138</v>
      </c>
      <c r="BM94" s="15" t="str">
        <f>VLOOKUP(BL94,'Axe 2 Règles de gestion'!$D$2:$F$121,3, FALSE)</f>
        <v>La date de début de position est à J+1 de la date de fin de position de l'occurrence précédente.</v>
      </c>
      <c r="BN94" s="13" t="s">
        <v>140</v>
      </c>
      <c r="BO94" s="15" t="str">
        <f>VLOOKUP(BN94,'Axe 2 Règles de gestion'!$D$2:$F$121,3, FALSE)</f>
        <v>Les champs "Type d'organisme d'origine", "Catégorie statutaire d'origine" et "Pays" de l'organisme d'origine doivent être renseignés.</v>
      </c>
      <c r="BP94" s="13" t="s">
        <v>142</v>
      </c>
      <c r="BQ94" s="15" t="str">
        <f>VLOOKUP(BP94,'Axe 2 Règles de gestion'!$D$2:$F$121,3, FALSE)</f>
        <v>Les champs "Ministère (ou institution de la République) d'origine", "Corps d'origine", "Grade d'origine", "Echelon d'origine" sont renseignés si le "Type d'organisme d'origine" est valorisé à FPE.</v>
      </c>
      <c r="BR94" s="13" t="s">
        <v>144</v>
      </c>
      <c r="BS94" s="15" t="str">
        <f>VLOOKUP(BR94,'Axe 2 Règles de gestion'!$D$2:$F$121,3, FALSE)</f>
        <v>Le champ "Organisme d'origine" doit être alimenté si le type d'organisme d'origine est égal à 'Autre organisme', 'Fonction publique d'un état de l'Union Européenne' ou 'Fonction publique Européenne'.</v>
      </c>
      <c r="BT94" s="13" t="s">
        <v>146</v>
      </c>
      <c r="BU94" s="15" t="str">
        <f>VLOOKUP(BT94,'Axe 2 Règles de gestion'!$D$2:$F$121,3, FALSE)</f>
        <v>Le champ "Code emploi statutaire FPT (NET)" est renseigné si le "Type d'organisme d'origine" est valorisé à FPT.</v>
      </c>
      <c r="BV94" s="13" t="s">
        <v>148</v>
      </c>
      <c r="BW94" s="15" t="str">
        <f>VLOOKUP(BV94,'Axe 2 Règles de gestion'!$D$2:$F$121,3, FALSE)</f>
        <v>Le champ "Code emploi statutaire FPH (NEH)" est renseigné si le "Type d'organisme d'origine" est valorisé à FPH.</v>
      </c>
      <c r="BX94" s="13" t="s">
        <v>150</v>
      </c>
      <c r="BY94" s="15" t="str">
        <f>VLOOKUP(BX94,'Axe 2 Règles de gestion'!$D$2:$F$121,3, FALSE)</f>
        <v>La date de fin ou la date de fin prévisionnelle doit être saisie.</v>
      </c>
      <c r="BZ94" s="13"/>
      <c r="CA94" s="15"/>
      <c r="CB94" s="13"/>
      <c r="CC94" s="15"/>
      <c r="CD94" s="13"/>
      <c r="CE94" s="15"/>
      <c r="CF94" s="13"/>
      <c r="CG94" s="13"/>
    </row>
    <row r="95" spans="1:85" ht="150" x14ac:dyDescent="0.25">
      <c r="A95" s="13" t="s">
        <v>301</v>
      </c>
      <c r="B95" s="13" t="s">
        <v>87</v>
      </c>
      <c r="C95" s="14">
        <v>44713.613194444442</v>
      </c>
      <c r="D95" s="13" t="s">
        <v>88</v>
      </c>
      <c r="E95" s="15" t="s">
        <v>89</v>
      </c>
      <c r="F95" s="13" t="s">
        <v>90</v>
      </c>
      <c r="G95" s="15" t="s">
        <v>91</v>
      </c>
      <c r="H95" s="13" t="s">
        <v>286</v>
      </c>
      <c r="I95" s="15" t="s">
        <v>287</v>
      </c>
      <c r="J95" s="15" t="s">
        <v>288</v>
      </c>
      <c r="K95" s="15" t="s">
        <v>289</v>
      </c>
      <c r="L95" s="13" t="s">
        <v>294</v>
      </c>
      <c r="M95" s="15" t="s">
        <v>295</v>
      </c>
      <c r="N95" s="13" t="s">
        <v>188</v>
      </c>
      <c r="O95" s="15" t="s">
        <v>189</v>
      </c>
      <c r="P95" s="15" t="s">
        <v>190</v>
      </c>
      <c r="Q95" s="15" t="s">
        <v>206</v>
      </c>
      <c r="R95" s="13" t="s">
        <v>207</v>
      </c>
      <c r="S95" s="13" t="s">
        <v>103</v>
      </c>
      <c r="T95" s="13" t="s">
        <v>104</v>
      </c>
      <c r="U95" s="14">
        <v>40725</v>
      </c>
      <c r="V95" s="14">
        <v>44633</v>
      </c>
      <c r="W95" s="15" t="s">
        <v>302</v>
      </c>
      <c r="X95" s="13" t="s">
        <v>192</v>
      </c>
      <c r="Y95" s="15" t="str">
        <f>VLOOKUP(X95,'Axe 2 Règles de gestion'!$D$2:$F$121,3, FALSE)</f>
        <v>Le détachement peut prendre fin de manière anticipée à l'initiative de l'administration d'accueil, de l'administration d'origine ou de l'agent.</v>
      </c>
      <c r="Z95" s="13" t="s">
        <v>303</v>
      </c>
      <c r="AA95" s="15" t="str">
        <f>VLOOKUP(Z95,'Axe 2 Règles de gestion'!$D$2:$F$121,3, FALSE)</f>
        <v>Il peut être mis fin au détachement de manière anticipée en cas d'insuffisance professionnelle de l'agent.</v>
      </c>
      <c r="AB95" s="13" t="s">
        <v>305</v>
      </c>
      <c r="AC95" s="15" t="str">
        <f>VLOOKUP(AB95,'Axe 2 Règles de gestion'!$D$2:$F$121,3, FALSE)</f>
        <v>Il peut être mis fin au détachement de manière anticipée en cas d'exclusion définitive de l'agent.</v>
      </c>
      <c r="AD95" s="13" t="s">
        <v>307</v>
      </c>
      <c r="AE95" s="15" t="str">
        <f>VLOOKUP(AD95,'Axe 2 Règles de gestion'!$D$2:$F$121,3, FALSE)</f>
        <v>Il est mis au fin au détachement de manière anticipée si l'agent est déclaré inapte définitivement suite à congés pour raison de santé après avis de la commission de réforme.</v>
      </c>
      <c r="AF95" s="13" t="s">
        <v>194</v>
      </c>
      <c r="AG95" s="15" t="str">
        <f>VLOOKUP(AF95,'Axe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H95" s="13" t="s">
        <v>196</v>
      </c>
      <c r="AI95" s="15" t="str">
        <f>VLOOKUP(AH95,'Axe 2 Règles de gestion'!$D$2:$F$121,3, FALSE)</f>
        <v>L'agent doit adresser une demande de réintégration à l'administration d'origine 3 mois au moins avant l'expiration de la période de détachement de longue durée.</v>
      </c>
      <c r="AJ95" s="13" t="s">
        <v>175</v>
      </c>
      <c r="AK95" s="15" t="str">
        <f>VLOOKUP(AJ95,'Axe 2 Règles de gestion'!$D$2:$F$121,3, FALSE)</f>
        <v>L'organisme d'accueil adresse sa décision à l'agent et à l'administration d'origine 2 mois au moins avant l'expiration de la période de détachement.</v>
      </c>
      <c r="AL95" s="13" t="s">
        <v>198</v>
      </c>
      <c r="AM95" s="15" t="str">
        <f>VLOOKUP(AL95,'Axe 2 Règles de gestion'!$D$2:$F$121,3, FALSE)</f>
        <v>Si l'agent n'adresse pas sa demande dans les délais, il est obligatoirement réintégré à la première vacance dans son corps d'origine et affecté à un emploi correspondant à son grade.</v>
      </c>
      <c r="AN95" s="13" t="s">
        <v>200</v>
      </c>
      <c r="AO95" s="15" t="str">
        <f>VLOOKUP(AN95,'Axe 2 Règles de gestion'!$D$2:$F$121,3, FALSE)</f>
        <v>Les dispositions relatives à la réintégration au terme d'un détachement de longue durée ne sont pas applicables aux préfets et sous-préfets.</v>
      </c>
      <c r="AP95" s="13" t="s">
        <v>114</v>
      </c>
      <c r="AQ95" s="15" t="str">
        <f>VLOOKUP(AP95,'Axe 2 Règles de gestion'!$D$2:$F$121,3, FALSE)</f>
        <v>Un détachement de courte durée à l'étranger ou dans les TOM ne peut excéder 1 an entre la date de début et la date de fin prévisionnelle.</v>
      </c>
      <c r="AR95" s="13" t="s">
        <v>116</v>
      </c>
      <c r="AS95" s="15" t="str">
        <f>VLOOKUP(AR95,'Axe 2 Règles de gestion'!$D$2:$F$121,3, FALSE)</f>
        <v>Un détachement de courte durée à l'étranger ou dans les TOM ne peut excéder 1 an entre la date de début et la date de fin réelle.</v>
      </c>
      <c r="AT95" s="13" t="s">
        <v>118</v>
      </c>
      <c r="AU95" s="15" t="str">
        <f>VLOOKUP(AT95,'Axe 2 Règles de gestion'!$D$2:$F$121,3, FALSE)</f>
        <v>Un détachement de courte durée n'ayant pas lieu à l'étranger ou dans les TOM ne peut excéder six mois entre la date de début et la date de fin prévisionnelle.</v>
      </c>
      <c r="AV95" s="13" t="s">
        <v>120</v>
      </c>
      <c r="AW95" s="15" t="str">
        <f>VLOOKUP(AV95,'Axe 2 Règles de gestion'!$D$2:$F$121,3, FALSE)</f>
        <v>Un détachement de courte durée n'ayant pas lieu à l'étranger ou dans les TOM ne peut excéder six mois entre la date de début et la date de fin réelle.</v>
      </c>
      <c r="AX95" s="13" t="s">
        <v>122</v>
      </c>
      <c r="AY95" s="15" t="str">
        <f>VLOOKUP(AX95,'Axe 2 Règles de gestion'!$D$2:$F$121,3, FALSE)</f>
        <v>Un détachement de longue durée ne peut excéder 5 ans entre la date de début et la date de fin prévisionnelle.</v>
      </c>
      <c r="AZ95" s="13" t="s">
        <v>124</v>
      </c>
      <c r="BA95" s="15" t="str">
        <f>VLOOKUP(AZ95,'Axe 2 Règles de gestion'!$D$2:$F$121,3, FALSE)</f>
        <v>Un détachement de longue durée ne peut excéder 5 ans entre la date de début et la date de fin réelle.</v>
      </c>
      <c r="BB95" s="13" t="s">
        <v>126</v>
      </c>
      <c r="BC95" s="15" t="str">
        <f>VLOOKUP(BB95,'Axe 2 Règles de gestion'!$D$2:$F$121,3, FALSE)</f>
        <v>La date de début de position doit être antérieure ou égale à la date de fin prévisionnelle de position.</v>
      </c>
      <c r="BD95" s="13" t="s">
        <v>130</v>
      </c>
      <c r="BE95" s="15" t="str">
        <f>VLOOKUP(BD95,'Axe 2 Règles de gestion'!$D$2:$F$121,3, FALSE)</f>
        <v>La date de fin réelle de la position doit être antérieure à la date limite de départ à la retraite.</v>
      </c>
      <c r="BF95" s="13" t="s">
        <v>132</v>
      </c>
      <c r="BG95" s="15" t="str">
        <f>VLOOKUP(BF95,'Axe 2 Règles de gestion'!$D$2:$F$121,3, FALSE)</f>
        <v>La date de début de position doit être antérieure ou égale à la date de fin réelle de position.</v>
      </c>
      <c r="BH95" s="13" t="s">
        <v>134</v>
      </c>
      <c r="BI95" s="15" t="str">
        <f>VLOOKUP(BH95,'Axe 2 Règles de gestion'!$D$2:$F$121,3, FALSE)</f>
        <v>La date de fin prévisionnelle de la position doit être antérieure à la date limite de départ à la retraite.</v>
      </c>
      <c r="BJ95" s="13" t="s">
        <v>140</v>
      </c>
      <c r="BK95" s="15" t="str">
        <f>VLOOKUP(BJ95,'Axe 2 Règles de gestion'!$D$2:$F$121,3, FALSE)</f>
        <v>Les champs "Type d'organisme d'origine", "Catégorie statutaire d'origine" et "Pays" de l'organisme d'origine doivent être renseignés.</v>
      </c>
      <c r="BL95" s="13" t="s">
        <v>142</v>
      </c>
      <c r="BM95" s="15" t="str">
        <f>VLOOKUP(BL95,'Axe 2 Règles de gestion'!$D$2:$F$121,3, FALSE)</f>
        <v>Les champs "Ministère (ou institution de la République) d'origine", "Corps d'origine", "Grade d'origine", "Echelon d'origine" sont renseignés si le "Type d'organisme d'origine" est valorisé à FPE.</v>
      </c>
      <c r="BN95" s="13" t="s">
        <v>144</v>
      </c>
      <c r="BO95" s="15" t="str">
        <f>VLOOKUP(BN95,'Axe 2 Règles de gestion'!$D$2:$F$121,3, FALSE)</f>
        <v>Le champ "Organisme d'origine" doit être alimenté si le type d'organisme d'origine est égal à 'Autre organisme', 'Fonction publique d'un état de l'Union Européenne' ou 'Fonction publique Européenne'.</v>
      </c>
      <c r="BP95" s="13" t="s">
        <v>146</v>
      </c>
      <c r="BQ95" s="15" t="str">
        <f>VLOOKUP(BP95,'Axe 2 Règles de gestion'!$D$2:$F$121,3, FALSE)</f>
        <v>Le champ "Code emploi statutaire FPT (NET)" est renseigné si le "Type d'organisme d'origine" est valorisé à FPT.</v>
      </c>
      <c r="BR95" s="13" t="s">
        <v>148</v>
      </c>
      <c r="BS95" s="15" t="str">
        <f>VLOOKUP(BR95,'Axe 2 Règles de gestion'!$D$2:$F$121,3, FALSE)</f>
        <v>Le champ "Code emploi statutaire FPH (NEH)" est renseigné si le "Type d'organisme d'origine" est valorisé à FPH.</v>
      </c>
      <c r="BT95" s="13" t="s">
        <v>150</v>
      </c>
      <c r="BU95" s="15" t="str">
        <f>VLOOKUP(BT95,'Axe 2 Règles de gestion'!$D$2:$F$121,3, FALSE)</f>
        <v>La date de fin ou la date de fin prévisionnelle doit être saisie.</v>
      </c>
      <c r="BV95" s="13"/>
      <c r="BW95" s="15"/>
      <c r="BX95" s="13"/>
      <c r="BY95" s="15"/>
      <c r="BZ95" s="13"/>
      <c r="CA95" s="15"/>
      <c r="CB95" s="13"/>
      <c r="CC95" s="15"/>
      <c r="CD95" s="13"/>
      <c r="CE95" s="15"/>
      <c r="CF95" s="13"/>
      <c r="CG95" s="13"/>
    </row>
    <row r="96" spans="1:85" ht="150" x14ac:dyDescent="0.25">
      <c r="A96" s="13" t="s">
        <v>301</v>
      </c>
      <c r="B96" s="13" t="s">
        <v>153</v>
      </c>
      <c r="C96" s="14">
        <v>44713.620833333334</v>
      </c>
      <c r="D96" s="13" t="s">
        <v>88</v>
      </c>
      <c r="E96" s="15" t="s">
        <v>89</v>
      </c>
      <c r="F96" s="13" t="s">
        <v>90</v>
      </c>
      <c r="G96" s="15" t="s">
        <v>91</v>
      </c>
      <c r="H96" s="13" t="s">
        <v>286</v>
      </c>
      <c r="I96" s="15" t="s">
        <v>287</v>
      </c>
      <c r="J96" s="15" t="s">
        <v>288</v>
      </c>
      <c r="K96" s="15" t="s">
        <v>289</v>
      </c>
      <c r="L96" s="13" t="s">
        <v>294</v>
      </c>
      <c r="M96" s="15" t="s">
        <v>295</v>
      </c>
      <c r="N96" s="13" t="s">
        <v>188</v>
      </c>
      <c r="O96" s="15" t="s">
        <v>189</v>
      </c>
      <c r="P96" s="15" t="s">
        <v>190</v>
      </c>
      <c r="Q96" s="15" t="s">
        <v>206</v>
      </c>
      <c r="R96" s="13" t="s">
        <v>207</v>
      </c>
      <c r="S96" s="13" t="s">
        <v>103</v>
      </c>
      <c r="T96" s="13" t="s">
        <v>104</v>
      </c>
      <c r="U96" s="14">
        <v>44634</v>
      </c>
      <c r="V96" s="14"/>
      <c r="W96" s="15" t="s">
        <v>309</v>
      </c>
      <c r="X96" s="13" t="s">
        <v>192</v>
      </c>
      <c r="Y96" s="15" t="str">
        <f>VLOOKUP(X96,'Axe 2 Règles de gestion'!$D$2:$F$121,3, FALSE)</f>
        <v>Le détachement peut prendre fin de manière anticipée à l'initiative de l'administration d'accueil, de l'administration d'origine ou de l'agent.</v>
      </c>
      <c r="Z96" s="13" t="s">
        <v>303</v>
      </c>
      <c r="AA96" s="15" t="str">
        <f>VLOOKUP(Z96,'Axe 2 Règles de gestion'!$D$2:$F$121,3, FALSE)</f>
        <v>Il peut être mis fin au détachement de manière anticipée en cas d'insuffisance professionnelle de l'agent.</v>
      </c>
      <c r="AB96" s="13" t="s">
        <v>305</v>
      </c>
      <c r="AC96" s="15" t="str">
        <f>VLOOKUP(AB96,'Axe 2 Règles de gestion'!$D$2:$F$121,3, FALSE)</f>
        <v>Il peut être mis fin au détachement de manière anticipée en cas d'exclusion définitive de l'agent.</v>
      </c>
      <c r="AD96" s="13" t="s">
        <v>310</v>
      </c>
      <c r="AE96" s="15" t="str">
        <f>VLOOKUP(AD96,'Axe 2 Règles de gestion'!$D$2:$F$121,3, FALSE)</f>
        <v>Il est mis fin au détachement de manière anticipée si l'agent est déclaré inapte définitivement suite à congés pour raison de santé après avis du conseil médical.</v>
      </c>
      <c r="AF96" s="13" t="s">
        <v>194</v>
      </c>
      <c r="AG96" s="15" t="str">
        <f>VLOOKUP(AF96,'Axe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H96" s="13" t="s">
        <v>196</v>
      </c>
      <c r="AI96" s="15" t="str">
        <f>VLOOKUP(AH96,'Axe 2 Règles de gestion'!$D$2:$F$121,3, FALSE)</f>
        <v>L'agent doit adresser une demande de réintégration à l'administration d'origine 3 mois au moins avant l'expiration de la période de détachement de longue durée.</v>
      </c>
      <c r="AJ96" s="13" t="s">
        <v>175</v>
      </c>
      <c r="AK96" s="15" t="str">
        <f>VLOOKUP(AJ96,'Axe 2 Règles de gestion'!$D$2:$F$121,3, FALSE)</f>
        <v>L'organisme d'accueil adresse sa décision à l'agent et à l'administration d'origine 2 mois au moins avant l'expiration de la période de détachement.</v>
      </c>
      <c r="AL96" s="13" t="s">
        <v>198</v>
      </c>
      <c r="AM96" s="15" t="str">
        <f>VLOOKUP(AL96,'Axe 2 Règles de gestion'!$D$2:$F$121,3, FALSE)</f>
        <v>Si l'agent n'adresse pas sa demande dans les délais, il est obligatoirement réintégré à la première vacance dans son corps d'origine et affecté à un emploi correspondant à son grade.</v>
      </c>
      <c r="AN96" s="13" t="s">
        <v>200</v>
      </c>
      <c r="AO96" s="15" t="str">
        <f>VLOOKUP(AN96,'Axe 2 Règles de gestion'!$D$2:$F$121,3, FALSE)</f>
        <v>Les dispositions relatives à la réintégration au terme d'un détachement de longue durée ne sont pas applicables aux préfets et sous-préfets.</v>
      </c>
      <c r="AP96" s="13" t="s">
        <v>114</v>
      </c>
      <c r="AQ96" s="15" t="str">
        <f>VLOOKUP(AP96,'Axe 2 Règles de gestion'!$D$2:$F$121,3, FALSE)</f>
        <v>Un détachement de courte durée à l'étranger ou dans les TOM ne peut excéder 1 an entre la date de début et la date de fin prévisionnelle.</v>
      </c>
      <c r="AR96" s="13" t="s">
        <v>116</v>
      </c>
      <c r="AS96" s="15" t="str">
        <f>VLOOKUP(AR96,'Axe 2 Règles de gestion'!$D$2:$F$121,3, FALSE)</f>
        <v>Un détachement de courte durée à l'étranger ou dans les TOM ne peut excéder 1 an entre la date de début et la date de fin réelle.</v>
      </c>
      <c r="AT96" s="13" t="s">
        <v>118</v>
      </c>
      <c r="AU96" s="15" t="str">
        <f>VLOOKUP(AT96,'Axe 2 Règles de gestion'!$D$2:$F$121,3, FALSE)</f>
        <v>Un détachement de courte durée n'ayant pas lieu à l'étranger ou dans les TOM ne peut excéder six mois entre la date de début et la date de fin prévisionnelle.</v>
      </c>
      <c r="AV96" s="13" t="s">
        <v>120</v>
      </c>
      <c r="AW96" s="15" t="str">
        <f>VLOOKUP(AV96,'Axe 2 Règles de gestion'!$D$2:$F$121,3, FALSE)</f>
        <v>Un détachement de courte durée n'ayant pas lieu à l'étranger ou dans les TOM ne peut excéder six mois entre la date de début et la date de fin réelle.</v>
      </c>
      <c r="AX96" s="13" t="s">
        <v>122</v>
      </c>
      <c r="AY96" s="15" t="str">
        <f>VLOOKUP(AX96,'Axe 2 Règles de gestion'!$D$2:$F$121,3, FALSE)</f>
        <v>Un détachement de longue durée ne peut excéder 5 ans entre la date de début et la date de fin prévisionnelle.</v>
      </c>
      <c r="AZ96" s="13" t="s">
        <v>124</v>
      </c>
      <c r="BA96" s="15" t="str">
        <f>VLOOKUP(AZ96,'Axe 2 Règles de gestion'!$D$2:$F$121,3, FALSE)</f>
        <v>Un détachement de longue durée ne peut excéder 5 ans entre la date de début et la date de fin réelle.</v>
      </c>
      <c r="BB96" s="13" t="s">
        <v>126</v>
      </c>
      <c r="BC96" s="15" t="str">
        <f>VLOOKUP(BB96,'Axe 2 Règles de gestion'!$D$2:$F$121,3, FALSE)</f>
        <v>La date de début de position doit être antérieure ou égale à la date de fin prévisionnelle de position.</v>
      </c>
      <c r="BD96" s="13" t="s">
        <v>130</v>
      </c>
      <c r="BE96" s="15" t="str">
        <f>VLOOKUP(BD96,'Axe 2 Règles de gestion'!$D$2:$F$121,3, FALSE)</f>
        <v>La date de fin réelle de la position doit être antérieure à la date limite de départ à la retraite.</v>
      </c>
      <c r="BF96" s="13" t="s">
        <v>132</v>
      </c>
      <c r="BG96" s="15" t="str">
        <f>VLOOKUP(BF96,'Axe 2 Règles de gestion'!$D$2:$F$121,3, FALSE)</f>
        <v>La date de début de position doit être antérieure ou égale à la date de fin réelle de position.</v>
      </c>
      <c r="BH96" s="13" t="s">
        <v>134</v>
      </c>
      <c r="BI96" s="15" t="str">
        <f>VLOOKUP(BH96,'Axe 2 Règles de gestion'!$D$2:$F$121,3, FALSE)</f>
        <v>La date de fin prévisionnelle de la position doit être antérieure à la date limite de départ à la retraite.</v>
      </c>
      <c r="BJ96" s="13" t="s">
        <v>140</v>
      </c>
      <c r="BK96" s="15" t="str">
        <f>VLOOKUP(BJ96,'Axe 2 Règles de gestion'!$D$2:$F$121,3, FALSE)</f>
        <v>Les champs "Type d'organisme d'origine", "Catégorie statutaire d'origine" et "Pays" de l'organisme d'origine doivent être renseignés.</v>
      </c>
      <c r="BL96" s="13" t="s">
        <v>142</v>
      </c>
      <c r="BM96" s="15" t="str">
        <f>VLOOKUP(BL96,'Axe 2 Règles de gestion'!$D$2:$F$121,3, FALSE)</f>
        <v>Les champs "Ministère (ou institution de la République) d'origine", "Corps d'origine", "Grade d'origine", "Echelon d'origine" sont renseignés si le "Type d'organisme d'origine" est valorisé à FPE.</v>
      </c>
      <c r="BN96" s="13" t="s">
        <v>144</v>
      </c>
      <c r="BO96" s="15" t="str">
        <f>VLOOKUP(BN96,'Axe 2 Règles de gestion'!$D$2:$F$121,3, FALSE)</f>
        <v>Le champ "Organisme d'origine" doit être alimenté si le type d'organisme d'origine est égal à 'Autre organisme', 'Fonction publique d'un état de l'Union Européenne' ou 'Fonction publique Européenne'.</v>
      </c>
      <c r="BP96" s="13" t="s">
        <v>146</v>
      </c>
      <c r="BQ96" s="15" t="str">
        <f>VLOOKUP(BP96,'Axe 2 Règles de gestion'!$D$2:$F$121,3, FALSE)</f>
        <v>Le champ "Code emploi statutaire FPT (NET)" est renseigné si le "Type d'organisme d'origine" est valorisé à FPT.</v>
      </c>
      <c r="BR96" s="13" t="s">
        <v>148</v>
      </c>
      <c r="BS96" s="15" t="str">
        <f>VLOOKUP(BR96,'Axe 2 Règles de gestion'!$D$2:$F$121,3, FALSE)</f>
        <v>Le champ "Code emploi statutaire FPH (NEH)" est renseigné si le "Type d'organisme d'origine" est valorisé à FPH.</v>
      </c>
      <c r="BT96" s="13" t="s">
        <v>150</v>
      </c>
      <c r="BU96" s="15" t="str">
        <f>VLOOKUP(BT96,'Axe 2 Règles de gestion'!$D$2:$F$121,3, FALSE)</f>
        <v>La date de fin ou la date de fin prévisionnelle doit être saisie.</v>
      </c>
      <c r="BV96" s="13"/>
      <c r="BW96" s="15"/>
      <c r="BX96" s="13"/>
      <c r="BY96" s="15"/>
      <c r="BZ96" s="13"/>
      <c r="CA96" s="15"/>
      <c r="CB96" s="13"/>
      <c r="CC96" s="15"/>
      <c r="CD96" s="13"/>
      <c r="CE96" s="15"/>
      <c r="CF96" s="13"/>
      <c r="CG96" s="13"/>
    </row>
    <row r="97" spans="1:85" ht="135" x14ac:dyDescent="0.25">
      <c r="A97" s="13" t="s">
        <v>202</v>
      </c>
      <c r="B97" s="13" t="s">
        <v>153</v>
      </c>
      <c r="C97" s="14">
        <v>43152.5</v>
      </c>
      <c r="D97" s="13" t="s">
        <v>88</v>
      </c>
      <c r="E97" s="15" t="s">
        <v>89</v>
      </c>
      <c r="F97" s="13" t="s">
        <v>90</v>
      </c>
      <c r="G97" s="15" t="s">
        <v>91</v>
      </c>
      <c r="H97" s="13" t="s">
        <v>286</v>
      </c>
      <c r="I97" s="15" t="s">
        <v>287</v>
      </c>
      <c r="J97" s="15" t="s">
        <v>288</v>
      </c>
      <c r="K97" s="15" t="s">
        <v>289</v>
      </c>
      <c r="L97" s="13" t="s">
        <v>290</v>
      </c>
      <c r="M97" s="15" t="s">
        <v>291</v>
      </c>
      <c r="N97" s="13" t="s">
        <v>98</v>
      </c>
      <c r="O97" s="15" t="s">
        <v>99</v>
      </c>
      <c r="P97" s="15" t="s">
        <v>100</v>
      </c>
      <c r="Q97" s="15" t="s">
        <v>208</v>
      </c>
      <c r="R97" s="13" t="s">
        <v>209</v>
      </c>
      <c r="S97" s="13" t="s">
        <v>103</v>
      </c>
      <c r="T97" s="13" t="s">
        <v>205</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3"/>
    </row>
    <row r="98" spans="1:85" ht="135" x14ac:dyDescent="0.25">
      <c r="A98" s="13" t="s">
        <v>202</v>
      </c>
      <c r="B98" s="13" t="s">
        <v>153</v>
      </c>
      <c r="C98" s="14">
        <v>43152.5</v>
      </c>
      <c r="D98" s="13" t="s">
        <v>88</v>
      </c>
      <c r="E98" s="15" t="s">
        <v>89</v>
      </c>
      <c r="F98" s="13" t="s">
        <v>90</v>
      </c>
      <c r="G98" s="15" t="s">
        <v>91</v>
      </c>
      <c r="H98" s="13" t="s">
        <v>286</v>
      </c>
      <c r="I98" s="15" t="s">
        <v>287</v>
      </c>
      <c r="J98" s="15" t="s">
        <v>288</v>
      </c>
      <c r="K98" s="15" t="s">
        <v>289</v>
      </c>
      <c r="L98" s="13" t="s">
        <v>292</v>
      </c>
      <c r="M98" s="15" t="s">
        <v>293</v>
      </c>
      <c r="N98" s="13" t="s">
        <v>98</v>
      </c>
      <c r="O98" s="15" t="s">
        <v>170</v>
      </c>
      <c r="P98" s="15" t="s">
        <v>171</v>
      </c>
      <c r="Q98" s="15" t="s">
        <v>208</v>
      </c>
      <c r="R98" s="13" t="s">
        <v>209</v>
      </c>
      <c r="S98" s="13" t="s">
        <v>103</v>
      </c>
      <c r="T98" s="13" t="s">
        <v>205</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3"/>
    </row>
    <row r="99" spans="1:85" ht="135" x14ac:dyDescent="0.25">
      <c r="A99" s="13" t="s">
        <v>202</v>
      </c>
      <c r="B99" s="13" t="s">
        <v>153</v>
      </c>
      <c r="C99" s="14">
        <v>43152.5</v>
      </c>
      <c r="D99" s="13" t="s">
        <v>88</v>
      </c>
      <c r="E99" s="15" t="s">
        <v>89</v>
      </c>
      <c r="F99" s="13" t="s">
        <v>90</v>
      </c>
      <c r="G99" s="15" t="s">
        <v>91</v>
      </c>
      <c r="H99" s="13" t="s">
        <v>286</v>
      </c>
      <c r="I99" s="15" t="s">
        <v>287</v>
      </c>
      <c r="J99" s="15" t="s">
        <v>288</v>
      </c>
      <c r="K99" s="15" t="s">
        <v>289</v>
      </c>
      <c r="L99" s="13" t="s">
        <v>294</v>
      </c>
      <c r="M99" s="15" t="s">
        <v>295</v>
      </c>
      <c r="N99" s="13" t="s">
        <v>188</v>
      </c>
      <c r="O99" s="15" t="s">
        <v>189</v>
      </c>
      <c r="P99" s="15" t="s">
        <v>190</v>
      </c>
      <c r="Q99" s="15" t="s">
        <v>208</v>
      </c>
      <c r="R99" s="13" t="s">
        <v>209</v>
      </c>
      <c r="S99" s="13" t="s">
        <v>103</v>
      </c>
      <c r="T99" s="13" t="s">
        <v>205</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3"/>
    </row>
    <row r="100" spans="1:85" ht="150" x14ac:dyDescent="0.25">
      <c r="A100" s="13" t="s">
        <v>202</v>
      </c>
      <c r="B100" s="13" t="s">
        <v>153</v>
      </c>
      <c r="C100" s="14">
        <v>43152.5</v>
      </c>
      <c r="D100" s="13" t="s">
        <v>88</v>
      </c>
      <c r="E100" s="15" t="s">
        <v>89</v>
      </c>
      <c r="F100" s="13" t="s">
        <v>90</v>
      </c>
      <c r="G100" s="15" t="s">
        <v>91</v>
      </c>
      <c r="H100" s="13" t="s">
        <v>312</v>
      </c>
      <c r="I100" s="15" t="s">
        <v>313</v>
      </c>
      <c r="J100" s="15" t="s">
        <v>314</v>
      </c>
      <c r="K100" s="15" t="s">
        <v>315</v>
      </c>
      <c r="L100" s="13" t="s">
        <v>316</v>
      </c>
      <c r="M100" s="15" t="s">
        <v>317</v>
      </c>
      <c r="N100" s="13" t="s">
        <v>98</v>
      </c>
      <c r="O100" s="15" t="s">
        <v>99</v>
      </c>
      <c r="P100" s="15" t="s">
        <v>100</v>
      </c>
      <c r="Q100" s="15" t="s">
        <v>101</v>
      </c>
      <c r="R100" s="13" t="s">
        <v>102</v>
      </c>
      <c r="S100" s="13" t="s">
        <v>103</v>
      </c>
      <c r="T100" s="13" t="s">
        <v>205</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3"/>
    </row>
    <row r="101" spans="1:85" ht="150" x14ac:dyDescent="0.25">
      <c r="A101" s="13" t="s">
        <v>202</v>
      </c>
      <c r="B101" s="13" t="s">
        <v>153</v>
      </c>
      <c r="C101" s="14">
        <v>43152.5</v>
      </c>
      <c r="D101" s="13" t="s">
        <v>88</v>
      </c>
      <c r="E101" s="15" t="s">
        <v>89</v>
      </c>
      <c r="F101" s="13" t="s">
        <v>90</v>
      </c>
      <c r="G101" s="15" t="s">
        <v>91</v>
      </c>
      <c r="H101" s="13" t="s">
        <v>312</v>
      </c>
      <c r="I101" s="15" t="s">
        <v>313</v>
      </c>
      <c r="J101" s="15" t="s">
        <v>314</v>
      </c>
      <c r="K101" s="15" t="s">
        <v>315</v>
      </c>
      <c r="L101" s="13" t="s">
        <v>318</v>
      </c>
      <c r="M101" s="15" t="s">
        <v>319</v>
      </c>
      <c r="N101" s="13" t="s">
        <v>98</v>
      </c>
      <c r="O101" s="15" t="s">
        <v>170</v>
      </c>
      <c r="P101" s="15" t="s">
        <v>171</v>
      </c>
      <c r="Q101" s="15" t="s">
        <v>101</v>
      </c>
      <c r="R101" s="13" t="s">
        <v>102</v>
      </c>
      <c r="S101" s="13" t="s">
        <v>103</v>
      </c>
      <c r="T101" s="13" t="s">
        <v>205</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3"/>
    </row>
    <row r="102" spans="1:85" ht="150" x14ac:dyDescent="0.25">
      <c r="A102" s="13" t="s">
        <v>202</v>
      </c>
      <c r="B102" s="13" t="s">
        <v>153</v>
      </c>
      <c r="C102" s="14">
        <v>43152.5</v>
      </c>
      <c r="D102" s="13" t="s">
        <v>88</v>
      </c>
      <c r="E102" s="15" t="s">
        <v>89</v>
      </c>
      <c r="F102" s="13" t="s">
        <v>90</v>
      </c>
      <c r="G102" s="15" t="s">
        <v>91</v>
      </c>
      <c r="H102" s="13" t="s">
        <v>312</v>
      </c>
      <c r="I102" s="15" t="s">
        <v>313</v>
      </c>
      <c r="J102" s="15" t="s">
        <v>314</v>
      </c>
      <c r="K102" s="15" t="s">
        <v>315</v>
      </c>
      <c r="L102" s="13" t="s">
        <v>320</v>
      </c>
      <c r="M102" s="15" t="s">
        <v>321</v>
      </c>
      <c r="N102" s="13" t="s">
        <v>188</v>
      </c>
      <c r="O102" s="15" t="s">
        <v>189</v>
      </c>
      <c r="P102" s="15" t="s">
        <v>190</v>
      </c>
      <c r="Q102" s="15" t="s">
        <v>101</v>
      </c>
      <c r="R102" s="13" t="s">
        <v>102</v>
      </c>
      <c r="S102" s="13" t="s">
        <v>103</v>
      </c>
      <c r="T102" s="13" t="s">
        <v>205</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3"/>
    </row>
    <row r="103" spans="1:85" ht="150" x14ac:dyDescent="0.25">
      <c r="A103" s="13" t="s">
        <v>202</v>
      </c>
      <c r="B103" s="13" t="s">
        <v>153</v>
      </c>
      <c r="C103" s="14">
        <v>43152.5</v>
      </c>
      <c r="D103" s="13" t="s">
        <v>88</v>
      </c>
      <c r="E103" s="15" t="s">
        <v>89</v>
      </c>
      <c r="F103" s="13" t="s">
        <v>90</v>
      </c>
      <c r="G103" s="15" t="s">
        <v>91</v>
      </c>
      <c r="H103" s="13" t="s">
        <v>312</v>
      </c>
      <c r="I103" s="15" t="s">
        <v>313</v>
      </c>
      <c r="J103" s="15" t="s">
        <v>314</v>
      </c>
      <c r="K103" s="15" t="s">
        <v>315</v>
      </c>
      <c r="L103" s="13" t="s">
        <v>316</v>
      </c>
      <c r="M103" s="15" t="s">
        <v>317</v>
      </c>
      <c r="N103" s="13" t="s">
        <v>98</v>
      </c>
      <c r="O103" s="15" t="s">
        <v>99</v>
      </c>
      <c r="P103" s="15" t="s">
        <v>100</v>
      </c>
      <c r="Q103" s="15" t="s">
        <v>203</v>
      </c>
      <c r="R103" s="13" t="s">
        <v>204</v>
      </c>
      <c r="S103" s="13" t="s">
        <v>103</v>
      </c>
      <c r="T103" s="13" t="s">
        <v>205</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3"/>
    </row>
    <row r="104" spans="1:85" ht="150" x14ac:dyDescent="0.25">
      <c r="A104" s="13" t="s">
        <v>202</v>
      </c>
      <c r="B104" s="13" t="s">
        <v>153</v>
      </c>
      <c r="C104" s="14">
        <v>43152.5</v>
      </c>
      <c r="D104" s="13" t="s">
        <v>88</v>
      </c>
      <c r="E104" s="15" t="s">
        <v>89</v>
      </c>
      <c r="F104" s="13" t="s">
        <v>90</v>
      </c>
      <c r="G104" s="15" t="s">
        <v>91</v>
      </c>
      <c r="H104" s="13" t="s">
        <v>312</v>
      </c>
      <c r="I104" s="15" t="s">
        <v>313</v>
      </c>
      <c r="J104" s="15" t="s">
        <v>314</v>
      </c>
      <c r="K104" s="15" t="s">
        <v>315</v>
      </c>
      <c r="L104" s="13" t="s">
        <v>318</v>
      </c>
      <c r="M104" s="15" t="s">
        <v>319</v>
      </c>
      <c r="N104" s="13" t="s">
        <v>98</v>
      </c>
      <c r="O104" s="15" t="s">
        <v>170</v>
      </c>
      <c r="P104" s="15" t="s">
        <v>171</v>
      </c>
      <c r="Q104" s="15" t="s">
        <v>203</v>
      </c>
      <c r="R104" s="13" t="s">
        <v>204</v>
      </c>
      <c r="S104" s="13" t="s">
        <v>103</v>
      </c>
      <c r="T104" s="13" t="s">
        <v>205</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3"/>
    </row>
    <row r="105" spans="1:85" ht="150" x14ac:dyDescent="0.25">
      <c r="A105" s="13" t="s">
        <v>202</v>
      </c>
      <c r="B105" s="13" t="s">
        <v>153</v>
      </c>
      <c r="C105" s="14">
        <v>43152.5</v>
      </c>
      <c r="D105" s="13" t="s">
        <v>88</v>
      </c>
      <c r="E105" s="15" t="s">
        <v>89</v>
      </c>
      <c r="F105" s="13" t="s">
        <v>90</v>
      </c>
      <c r="G105" s="15" t="s">
        <v>91</v>
      </c>
      <c r="H105" s="13" t="s">
        <v>312</v>
      </c>
      <c r="I105" s="15" t="s">
        <v>313</v>
      </c>
      <c r="J105" s="15" t="s">
        <v>314</v>
      </c>
      <c r="K105" s="15" t="s">
        <v>315</v>
      </c>
      <c r="L105" s="13" t="s">
        <v>320</v>
      </c>
      <c r="M105" s="15" t="s">
        <v>321</v>
      </c>
      <c r="N105" s="13" t="s">
        <v>188</v>
      </c>
      <c r="O105" s="15" t="s">
        <v>189</v>
      </c>
      <c r="P105" s="15" t="s">
        <v>190</v>
      </c>
      <c r="Q105" s="15" t="s">
        <v>203</v>
      </c>
      <c r="R105" s="13" t="s">
        <v>204</v>
      </c>
      <c r="S105" s="13" t="s">
        <v>103</v>
      </c>
      <c r="T105" s="13" t="s">
        <v>205</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3"/>
    </row>
    <row r="106" spans="1:85" ht="150" x14ac:dyDescent="0.25">
      <c r="A106" s="13" t="s">
        <v>86</v>
      </c>
      <c r="B106" s="13" t="s">
        <v>87</v>
      </c>
      <c r="C106" s="14">
        <v>43850.552083333336</v>
      </c>
      <c r="D106" s="13" t="s">
        <v>88</v>
      </c>
      <c r="E106" s="15" t="s">
        <v>89</v>
      </c>
      <c r="F106" s="13" t="s">
        <v>90</v>
      </c>
      <c r="G106" s="15" t="s">
        <v>91</v>
      </c>
      <c r="H106" s="13" t="s">
        <v>312</v>
      </c>
      <c r="I106" s="15" t="s">
        <v>313</v>
      </c>
      <c r="J106" s="15" t="s">
        <v>314</v>
      </c>
      <c r="K106" s="15" t="s">
        <v>315</v>
      </c>
      <c r="L106" s="13" t="s">
        <v>316</v>
      </c>
      <c r="M106" s="15" t="s">
        <v>317</v>
      </c>
      <c r="N106" s="13" t="s">
        <v>98</v>
      </c>
      <c r="O106" s="15" t="s">
        <v>99</v>
      </c>
      <c r="P106" s="15" t="s">
        <v>100</v>
      </c>
      <c r="Q106" s="15" t="s">
        <v>206</v>
      </c>
      <c r="R106" s="13" t="s">
        <v>207</v>
      </c>
      <c r="S106" s="13" t="s">
        <v>103</v>
      </c>
      <c r="T106" s="13" t="s">
        <v>104</v>
      </c>
      <c r="U106" s="14">
        <v>40725</v>
      </c>
      <c r="V106" s="14">
        <v>43830</v>
      </c>
      <c r="W106" s="15" t="s">
        <v>296</v>
      </c>
      <c r="X106" s="13" t="s">
        <v>108</v>
      </c>
      <c r="Y106" s="15" t="str">
        <f>VLOOKUP(X106,'Axe 2 Règles de gestion'!$D$2:$F$121,3, FALSE)</f>
        <v>L'agent doit formuler une demande.</v>
      </c>
      <c r="Z106" s="13" t="s">
        <v>110</v>
      </c>
      <c r="AA106" s="15" t="str">
        <f>VLOOKUP(Z106,'Axe 2 Règles de gestion'!$D$2:$F$121,3, FALSE)</f>
        <v>Le détachement est accordé après avis des commissions administratives paritaires compétentes.</v>
      </c>
      <c r="AB106" s="13" t="s">
        <v>112</v>
      </c>
      <c r="AC106" s="15" t="str">
        <f>VLOOKUP(AB106,'Axe 2 Règles de gestion'!$D$2:$F$121,3, FALSE)</f>
        <v>L'accord de l'administration d'origine est nécessaire.</v>
      </c>
      <c r="AD106" s="13" t="s">
        <v>297</v>
      </c>
      <c r="AE106" s="15" t="str">
        <f>VLOOKUP(AD106,'Axe 2 Règles de gestion'!$D$2:$F$121,3, FALSE)</f>
        <v>La durée du détachement correspond à la durée du stage ou de la période de scolarité.</v>
      </c>
      <c r="AF106" s="13"/>
      <c r="AG106" s="15"/>
      <c r="AH106" s="13"/>
      <c r="AI106" s="15"/>
      <c r="AJ106" s="13"/>
      <c r="AK106" s="15"/>
      <c r="AL106" s="13"/>
      <c r="AM106" s="15"/>
      <c r="AN106" s="13"/>
      <c r="AO106" s="15"/>
      <c r="AP106" s="13" t="s">
        <v>114</v>
      </c>
      <c r="AQ106" s="15" t="str">
        <f>VLOOKUP(AP106,'Axe 2 Règles de gestion'!$D$2:$F$121,3, FALSE)</f>
        <v>Un détachement de courte durée à l'étranger ou dans les TOM ne peut excéder 1 an entre la date de début et la date de fin prévisionnelle.</v>
      </c>
      <c r="AR106" s="13" t="s">
        <v>116</v>
      </c>
      <c r="AS106" s="15" t="str">
        <f>VLOOKUP(AR106,'Axe 2 Règles de gestion'!$D$2:$F$121,3, FALSE)</f>
        <v>Un détachement de courte durée à l'étranger ou dans les TOM ne peut excéder 1 an entre la date de début et la date de fin réelle.</v>
      </c>
      <c r="AT106" s="13" t="s">
        <v>118</v>
      </c>
      <c r="AU106" s="15" t="str">
        <f>VLOOKUP(AT106,'Axe 2 Règles de gestion'!$D$2:$F$121,3, FALSE)</f>
        <v>Un détachement de courte durée n'ayant pas lieu à l'étranger ou dans les TOM ne peut excéder six mois entre la date de début et la date de fin prévisionnelle.</v>
      </c>
      <c r="AV106" s="13" t="s">
        <v>120</v>
      </c>
      <c r="AW106" s="15" t="str">
        <f>VLOOKUP(AV106,'Axe 2 Règles de gestion'!$D$2:$F$121,3, FALSE)</f>
        <v>Un détachement de courte durée n'ayant pas lieu à l'étranger ou dans les TOM ne peut excéder six mois entre la date de début et la date de fin réelle.</v>
      </c>
      <c r="AX106" s="13" t="s">
        <v>122</v>
      </c>
      <c r="AY106" s="15" t="str">
        <f>VLOOKUP(AX106,'Axe 2 Règles de gestion'!$D$2:$F$121,3, FALSE)</f>
        <v>Un détachement de longue durée ne peut excéder 5 ans entre la date de début et la date de fin prévisionnelle.</v>
      </c>
      <c r="AZ106" s="13" t="s">
        <v>124</v>
      </c>
      <c r="BA106" s="15" t="str">
        <f>VLOOKUP(AZ106,'Axe 2 Règles de gestion'!$D$2:$F$121,3, FALSE)</f>
        <v>Un détachement de longue durée ne peut excéder 5 ans entre la date de début et la date de fin réelle.</v>
      </c>
      <c r="BB106" s="13" t="s">
        <v>126</v>
      </c>
      <c r="BC106" s="15" t="str">
        <f>VLOOKUP(BB106,'Axe 2 Règles de gestion'!$D$2:$F$121,3, FALSE)</f>
        <v>La date de début de position doit être antérieure ou égale à la date de fin prévisionnelle de position.</v>
      </c>
      <c r="BD106" s="13" t="s">
        <v>128</v>
      </c>
      <c r="BE106" s="15" t="str">
        <f>VLOOKUP(BD106,'Axe 2 Règles de gestion'!$D$2:$F$121,3, FALSE)</f>
        <v>La date de début de la position doit être postérieure ou égale à la date d'entrée dans la FPE ou dans la carrière militaire.</v>
      </c>
      <c r="BF106" s="13" t="s">
        <v>130</v>
      </c>
      <c r="BG106" s="15" t="str">
        <f>VLOOKUP(BF106,'Axe 2 Règles de gestion'!$D$2:$F$121,3, FALSE)</f>
        <v>La date de fin réelle de la position doit être antérieure à la date limite de départ à la retraite.</v>
      </c>
      <c r="BH106" s="13" t="s">
        <v>132</v>
      </c>
      <c r="BI106" s="15" t="str">
        <f>VLOOKUP(BH106,'Axe 2 Règles de gestion'!$D$2:$F$121,3, FALSE)</f>
        <v>La date de début de position doit être antérieure ou égale à la date de fin réelle de position.</v>
      </c>
      <c r="BJ106" s="13" t="s">
        <v>134</v>
      </c>
      <c r="BK106" s="15" t="str">
        <f>VLOOKUP(BJ106,'Axe 2 Règles de gestion'!$D$2:$F$121,3, FALSE)</f>
        <v>La date de fin prévisionnelle de la position doit être antérieure à la date limite de départ à la retraite.</v>
      </c>
      <c r="BL106" s="13" t="s">
        <v>136</v>
      </c>
      <c r="BM106" s="15" t="str">
        <f>VLOOKUP(BL106,'Axe 2 Règles de gestion'!$D$2:$F$121,3, FALSE)</f>
        <v>L'indicateur de carrière est sur la valeur "Accueil".</v>
      </c>
      <c r="BN106" s="13" t="s">
        <v>138</v>
      </c>
      <c r="BO106" s="15" t="str">
        <f>VLOOKUP(BN106,'Axe 2 Règles de gestion'!$D$2:$F$121,3, FALSE)</f>
        <v>La date de début de position est à J+1 de la date de fin de position de l'occurrence précédente.</v>
      </c>
      <c r="BP106" s="13" t="s">
        <v>140</v>
      </c>
      <c r="BQ106" s="15" t="str">
        <f>VLOOKUP(BP106,'Axe 2 Règles de gestion'!$D$2:$F$121,3, FALSE)</f>
        <v>Les champs "Type d'organisme d'origine", "Catégorie statutaire d'origine" et "Pays" de l'organisme d'origine doivent être renseignés.</v>
      </c>
      <c r="BR106" s="13" t="s">
        <v>142</v>
      </c>
      <c r="BS106" s="15" t="str">
        <f>VLOOKUP(BR106,'Axe 2 Règles de gestion'!$D$2:$F$121,3, FALSE)</f>
        <v>Les champs "Ministère (ou institution de la République) d'origine", "Corps d'origine", "Grade d'origine", "Echelon d'origine" sont renseignés si le "Type d'organisme d'origine" est valorisé à FPE.</v>
      </c>
      <c r="BT106" s="13" t="s">
        <v>144</v>
      </c>
      <c r="BU106" s="15" t="str">
        <f>VLOOKUP(BT106,'Axe 2 Règles de gestion'!$D$2:$F$121,3, FALSE)</f>
        <v>Le champ "Organisme d'origine" doit être alimenté si le type d'organisme d'origine est égal à 'Autre organisme', 'Fonction publique d'un état de l'Union Européenne' ou 'Fonction publique Européenne'.</v>
      </c>
      <c r="BV106" s="13" t="s">
        <v>146</v>
      </c>
      <c r="BW106" s="15" t="str">
        <f>VLOOKUP(BV106,'Axe 2 Règles de gestion'!$D$2:$F$121,3, FALSE)</f>
        <v>Le champ "Code emploi statutaire FPT (NET)" est renseigné si le "Type d'organisme d'origine" est valorisé à FPT.</v>
      </c>
      <c r="BX106" s="13" t="s">
        <v>148</v>
      </c>
      <c r="BY106" s="15" t="str">
        <f>VLOOKUP(BX106,'Axe 2 Règles de gestion'!$D$2:$F$121,3, FALSE)</f>
        <v>Le champ "Code emploi statutaire FPH (NEH)" est renseigné si le "Type d'organisme d'origine" est valorisé à FPH.</v>
      </c>
      <c r="BZ106" s="13" t="s">
        <v>150</v>
      </c>
      <c r="CA106" s="15" t="str">
        <f>VLOOKUP(BZ106,'Axe 2 Règles de gestion'!$D$2:$F$121,3, FALSE)</f>
        <v>La date de fin ou la date de fin prévisionnelle doit être saisie.</v>
      </c>
      <c r="CB106" s="13"/>
      <c r="CC106" s="15"/>
      <c r="CD106" s="13"/>
      <c r="CE106" s="15"/>
      <c r="CF106" s="13"/>
      <c r="CG106" s="13"/>
    </row>
    <row r="107" spans="1:85" ht="150" x14ac:dyDescent="0.25">
      <c r="A107" s="13" t="s">
        <v>86</v>
      </c>
      <c r="B107" s="13" t="s">
        <v>153</v>
      </c>
      <c r="C107" s="14">
        <v>44008.583333333336</v>
      </c>
      <c r="D107" s="13" t="s">
        <v>88</v>
      </c>
      <c r="E107" s="15" t="s">
        <v>89</v>
      </c>
      <c r="F107" s="13" t="s">
        <v>90</v>
      </c>
      <c r="G107" s="15" t="s">
        <v>91</v>
      </c>
      <c r="H107" s="13" t="s">
        <v>312</v>
      </c>
      <c r="I107" s="15" t="s">
        <v>313</v>
      </c>
      <c r="J107" s="15" t="s">
        <v>314</v>
      </c>
      <c r="K107" s="15" t="s">
        <v>315</v>
      </c>
      <c r="L107" s="13" t="s">
        <v>316</v>
      </c>
      <c r="M107" s="15" t="s">
        <v>317</v>
      </c>
      <c r="N107" s="13" t="s">
        <v>98</v>
      </c>
      <c r="O107" s="15" t="s">
        <v>99</v>
      </c>
      <c r="P107" s="15" t="s">
        <v>100</v>
      </c>
      <c r="Q107" s="15" t="s">
        <v>206</v>
      </c>
      <c r="R107" s="13" t="s">
        <v>207</v>
      </c>
      <c r="S107" s="13" t="s">
        <v>103</v>
      </c>
      <c r="T107" s="13" t="s">
        <v>104</v>
      </c>
      <c r="U107" s="14">
        <v>43831</v>
      </c>
      <c r="V107" s="14"/>
      <c r="W107" s="15" t="s">
        <v>299</v>
      </c>
      <c r="X107" s="13" t="s">
        <v>108</v>
      </c>
      <c r="Y107" s="15" t="str">
        <f>VLOOKUP(X107,'Axe 2 Règles de gestion'!$D$2:$F$121,3, FALSE)</f>
        <v>L'agent doit formuler une demande.</v>
      </c>
      <c r="Z107" s="13" t="s">
        <v>112</v>
      </c>
      <c r="AA107" s="15" t="str">
        <f>VLOOKUP(Z107,'Axe 2 Règles de gestion'!$D$2:$F$121,3, FALSE)</f>
        <v>L'accord de l'administration d'origine est nécessaire.</v>
      </c>
      <c r="AB107" s="13" t="s">
        <v>297</v>
      </c>
      <c r="AC107" s="15" t="str">
        <f>VLOOKUP(AB107,'Axe 2 Règles de gestion'!$D$2:$F$121,3, FALSE)</f>
        <v>La durée du détachement correspond à la durée du stage ou de la période de scolarité.</v>
      </c>
      <c r="AD107" s="13"/>
      <c r="AE107" s="15"/>
      <c r="AF107" s="13"/>
      <c r="AG107" s="15"/>
      <c r="AH107" s="13"/>
      <c r="AI107" s="15"/>
      <c r="AJ107" s="13"/>
      <c r="AK107" s="15"/>
      <c r="AL107" s="13"/>
      <c r="AM107" s="15"/>
      <c r="AN107" s="13"/>
      <c r="AO107" s="15"/>
      <c r="AP107" s="13" t="s">
        <v>114</v>
      </c>
      <c r="AQ107" s="15" t="str">
        <f>VLOOKUP(AP107,'Axe 2 Règles de gestion'!$D$2:$F$121,3, FALSE)</f>
        <v>Un détachement de courte durée à l'étranger ou dans les TOM ne peut excéder 1 an entre la date de début et la date de fin prévisionnelle.</v>
      </c>
      <c r="AR107" s="13" t="s">
        <v>116</v>
      </c>
      <c r="AS107" s="15" t="str">
        <f>VLOOKUP(AR107,'Axe 2 Règles de gestion'!$D$2:$F$121,3, FALSE)</f>
        <v>Un détachement de courte durée à l'étranger ou dans les TOM ne peut excéder 1 an entre la date de début et la date de fin réelle.</v>
      </c>
      <c r="AT107" s="13" t="s">
        <v>118</v>
      </c>
      <c r="AU107" s="15" t="str">
        <f>VLOOKUP(AT107,'Axe 2 Règles de gestion'!$D$2:$F$121,3, FALSE)</f>
        <v>Un détachement de courte durée n'ayant pas lieu à l'étranger ou dans les TOM ne peut excéder six mois entre la date de début et la date de fin prévisionnelle.</v>
      </c>
      <c r="AV107" s="13" t="s">
        <v>120</v>
      </c>
      <c r="AW107" s="15" t="str">
        <f>VLOOKUP(AV107,'Axe 2 Règles de gestion'!$D$2:$F$121,3, FALSE)</f>
        <v>Un détachement de courte durée n'ayant pas lieu à l'étranger ou dans les TOM ne peut excéder six mois entre la date de début et la date de fin réelle.</v>
      </c>
      <c r="AX107" s="13" t="s">
        <v>122</v>
      </c>
      <c r="AY107" s="15" t="str">
        <f>VLOOKUP(AX107,'Axe 2 Règles de gestion'!$D$2:$F$121,3, FALSE)</f>
        <v>Un détachement de longue durée ne peut excéder 5 ans entre la date de début et la date de fin prévisionnelle.</v>
      </c>
      <c r="AZ107" s="13" t="s">
        <v>124</v>
      </c>
      <c r="BA107" s="15" t="str">
        <f>VLOOKUP(AZ107,'Axe 2 Règles de gestion'!$D$2:$F$121,3, FALSE)</f>
        <v>Un détachement de longue durée ne peut excéder 5 ans entre la date de début et la date de fin réelle.</v>
      </c>
      <c r="BB107" s="13" t="s">
        <v>126</v>
      </c>
      <c r="BC107" s="15" t="str">
        <f>VLOOKUP(BB107,'Axe 2 Règles de gestion'!$D$2:$F$121,3, FALSE)</f>
        <v>La date de début de position doit être antérieure ou égale à la date de fin prévisionnelle de position.</v>
      </c>
      <c r="BD107" s="13" t="s">
        <v>128</v>
      </c>
      <c r="BE107" s="15" t="str">
        <f>VLOOKUP(BD107,'Axe 2 Règles de gestion'!$D$2:$F$121,3, FALSE)</f>
        <v>La date de début de la position doit être postérieure ou égale à la date d'entrée dans la FPE ou dans la carrière militaire.</v>
      </c>
      <c r="BF107" s="13" t="s">
        <v>130</v>
      </c>
      <c r="BG107" s="15" t="str">
        <f>VLOOKUP(BF107,'Axe 2 Règles de gestion'!$D$2:$F$121,3, FALSE)</f>
        <v>La date de fin réelle de la position doit être antérieure à la date limite de départ à la retraite.</v>
      </c>
      <c r="BH107" s="13" t="s">
        <v>132</v>
      </c>
      <c r="BI107" s="15" t="str">
        <f>VLOOKUP(BH107,'Axe 2 Règles de gestion'!$D$2:$F$121,3, FALSE)</f>
        <v>La date de début de position doit être antérieure ou égale à la date de fin réelle de position.</v>
      </c>
      <c r="BJ107" s="13" t="s">
        <v>134</v>
      </c>
      <c r="BK107" s="15" t="str">
        <f>VLOOKUP(BJ107,'Axe 2 Règles de gestion'!$D$2:$F$121,3, FALSE)</f>
        <v>La date de fin prévisionnelle de la position doit être antérieure à la date limite de départ à la retraite.</v>
      </c>
      <c r="BL107" s="13" t="s">
        <v>136</v>
      </c>
      <c r="BM107" s="15" t="str">
        <f>VLOOKUP(BL107,'Axe 2 Règles de gestion'!$D$2:$F$121,3, FALSE)</f>
        <v>L'indicateur de carrière est sur la valeur "Accueil".</v>
      </c>
      <c r="BN107" s="13" t="s">
        <v>138</v>
      </c>
      <c r="BO107" s="15" t="str">
        <f>VLOOKUP(BN107,'Axe 2 Règles de gestion'!$D$2:$F$121,3, FALSE)</f>
        <v>La date de début de position est à J+1 de la date de fin de position de l'occurrence précédente.</v>
      </c>
      <c r="BP107" s="13" t="s">
        <v>140</v>
      </c>
      <c r="BQ107" s="15" t="str">
        <f>VLOOKUP(BP107,'Axe 2 Règles de gestion'!$D$2:$F$121,3, FALSE)</f>
        <v>Les champs "Type d'organisme d'origine", "Catégorie statutaire d'origine" et "Pays" de l'organisme d'origine doivent être renseignés.</v>
      </c>
      <c r="BR107" s="13" t="s">
        <v>142</v>
      </c>
      <c r="BS107" s="15" t="str">
        <f>VLOOKUP(BR107,'Axe 2 Règles de gestion'!$D$2:$F$121,3, FALSE)</f>
        <v>Les champs "Ministère (ou institution de la République) d'origine", "Corps d'origine", "Grade d'origine", "Echelon d'origine" sont renseignés si le "Type d'organisme d'origine" est valorisé à FPE.</v>
      </c>
      <c r="BT107" s="13" t="s">
        <v>144</v>
      </c>
      <c r="BU107" s="15" t="str">
        <f>VLOOKUP(BT107,'Axe 2 Règles de gestion'!$D$2:$F$121,3, FALSE)</f>
        <v>Le champ "Organisme d'origine" doit être alimenté si le type d'organisme d'origine est égal à 'Autre organisme', 'Fonction publique d'un état de l'Union Européenne' ou 'Fonction publique Européenne'.</v>
      </c>
      <c r="BV107" s="13" t="s">
        <v>146</v>
      </c>
      <c r="BW107" s="15" t="str">
        <f>VLOOKUP(BV107,'Axe 2 Règles de gestion'!$D$2:$F$121,3, FALSE)</f>
        <v>Le champ "Code emploi statutaire FPT (NET)" est renseigné si le "Type d'organisme d'origine" est valorisé à FPT.</v>
      </c>
      <c r="BX107" s="13" t="s">
        <v>148</v>
      </c>
      <c r="BY107" s="15" t="str">
        <f>VLOOKUP(BX107,'Axe 2 Règles de gestion'!$D$2:$F$121,3, FALSE)</f>
        <v>Le champ "Code emploi statutaire FPH (NEH)" est renseigné si le "Type d'organisme d'origine" est valorisé à FPH.</v>
      </c>
      <c r="BZ107" s="13" t="s">
        <v>150</v>
      </c>
      <c r="CA107" s="15" t="str">
        <f>VLOOKUP(BZ107,'Axe 2 Règles de gestion'!$D$2:$F$121,3, FALSE)</f>
        <v>La date de fin ou la date de fin prévisionnelle doit être saisie.</v>
      </c>
      <c r="CB107" s="13"/>
      <c r="CC107" s="15"/>
      <c r="CD107" s="13"/>
      <c r="CE107" s="15"/>
      <c r="CF107" s="13"/>
      <c r="CG107" s="13"/>
    </row>
    <row r="108" spans="1:85" ht="150" x14ac:dyDescent="0.25">
      <c r="A108" s="13" t="s">
        <v>86</v>
      </c>
      <c r="B108" s="13" t="s">
        <v>87</v>
      </c>
      <c r="C108" s="14">
        <v>43850.552083333336</v>
      </c>
      <c r="D108" s="13" t="s">
        <v>88</v>
      </c>
      <c r="E108" s="15" t="s">
        <v>89</v>
      </c>
      <c r="F108" s="13" t="s">
        <v>90</v>
      </c>
      <c r="G108" s="15" t="s">
        <v>91</v>
      </c>
      <c r="H108" s="13" t="s">
        <v>312</v>
      </c>
      <c r="I108" s="15" t="s">
        <v>313</v>
      </c>
      <c r="J108" s="15" t="s">
        <v>314</v>
      </c>
      <c r="K108" s="15" t="s">
        <v>315</v>
      </c>
      <c r="L108" s="13" t="s">
        <v>318</v>
      </c>
      <c r="M108" s="15" t="s">
        <v>319</v>
      </c>
      <c r="N108" s="13" t="s">
        <v>98</v>
      </c>
      <c r="O108" s="15" t="s">
        <v>170</v>
      </c>
      <c r="P108" s="15" t="s">
        <v>171</v>
      </c>
      <c r="Q108" s="15" t="s">
        <v>206</v>
      </c>
      <c r="R108" s="13" t="s">
        <v>207</v>
      </c>
      <c r="S108" s="13" t="s">
        <v>103</v>
      </c>
      <c r="T108" s="13" t="s">
        <v>104</v>
      </c>
      <c r="U108" s="14">
        <v>40725</v>
      </c>
      <c r="V108" s="14"/>
      <c r="W108" s="15" t="s">
        <v>172</v>
      </c>
      <c r="X108" s="13" t="s">
        <v>173</v>
      </c>
      <c r="Y108" s="15" t="str">
        <f>VLOOKUP(X108,'Axe 2 Règles de gestion'!$D$2:$F$121,3, FALSE)</f>
        <v>L'agent doit formuler une demande de renouvellement à son administration d'origine 3 mois au moins avant l'expiration de la période de détachement de longue durée.</v>
      </c>
      <c r="Z108" s="13" t="s">
        <v>175</v>
      </c>
      <c r="AA108" s="15" t="str">
        <f>VLOOKUP(Z108,'Axe 2 Règles de gestion'!$D$2:$F$121,3, FALSE)</f>
        <v>L'organisme d'accueil adresse sa décision à l'agent et à l'administration d'origine 2 mois au moins avant l'expiration de la période de détachement.</v>
      </c>
      <c r="AB108" s="13"/>
      <c r="AC108" s="15"/>
      <c r="AD108" s="13"/>
      <c r="AE108" s="15"/>
      <c r="AF108" s="13"/>
      <c r="AG108" s="15"/>
      <c r="AH108" s="13"/>
      <c r="AI108" s="15"/>
      <c r="AJ108" s="13"/>
      <c r="AK108" s="15"/>
      <c r="AL108" s="13"/>
      <c r="AM108" s="15"/>
      <c r="AN108" s="13"/>
      <c r="AO108" s="15"/>
      <c r="AP108" s="13" t="s">
        <v>122</v>
      </c>
      <c r="AQ108" s="15" t="str">
        <f>VLOOKUP(AP108,'Axe 2 Règles de gestion'!$D$2:$F$121,3, FALSE)</f>
        <v>Un détachement de longue durée ne peut excéder 5 ans entre la date de début et la date de fin prévisionnelle.</v>
      </c>
      <c r="AR108" s="13" t="s">
        <v>124</v>
      </c>
      <c r="AS108" s="15" t="str">
        <f>VLOOKUP(AR108,'Axe 2 Règles de gestion'!$D$2:$F$121,3, FALSE)</f>
        <v>Un détachement de longue durée ne peut excéder 5 ans entre la date de début et la date de fin réelle.</v>
      </c>
      <c r="AT108" s="13" t="s">
        <v>177</v>
      </c>
      <c r="AU108" s="15" t="str">
        <f>VLOOKUP(AT108,'Axe 2 Règles de gestion'!$D$2:$F$121,3, FALSE)</f>
        <v>Le renouvellement d'un détachement de courte durée est interdit.</v>
      </c>
      <c r="AV108" s="13"/>
      <c r="AW108" s="15"/>
      <c r="AX108" s="13"/>
      <c r="AY108" s="15"/>
      <c r="AZ108" s="13"/>
      <c r="BA108" s="15"/>
      <c r="BB108" s="13" t="s">
        <v>126</v>
      </c>
      <c r="BC108" s="15" t="str">
        <f>VLOOKUP(BB108,'Axe 2 Règles de gestion'!$D$2:$F$121,3, FALSE)</f>
        <v>La date de début de position doit être antérieure ou égale à la date de fin prévisionnelle de position.</v>
      </c>
      <c r="BD108" s="13" t="s">
        <v>128</v>
      </c>
      <c r="BE108" s="15" t="str">
        <f>VLOOKUP(BD108,'Axe 2 Règles de gestion'!$D$2:$F$121,3, FALSE)</f>
        <v>La date de début de la position doit être postérieure ou égale à la date d'entrée dans la FPE ou dans la carrière militaire.</v>
      </c>
      <c r="BF108" s="13" t="s">
        <v>130</v>
      </c>
      <c r="BG108" s="15" t="str">
        <f>VLOOKUP(BF108,'Axe 2 Règles de gestion'!$D$2:$F$121,3, FALSE)</f>
        <v>La date de fin réelle de la position doit être antérieure à la date limite de départ à la retraite.</v>
      </c>
      <c r="BH108" s="13" t="s">
        <v>132</v>
      </c>
      <c r="BI108" s="15" t="str">
        <f>VLOOKUP(BH108,'Axe 2 Règles de gestion'!$D$2:$F$121,3, FALSE)</f>
        <v>La date de début de position doit être antérieure ou égale à la date de fin réelle de position.</v>
      </c>
      <c r="BJ108" s="13" t="s">
        <v>134</v>
      </c>
      <c r="BK108" s="15" t="str">
        <f>VLOOKUP(BJ108,'Axe 2 Règles de gestion'!$D$2:$F$121,3, FALSE)</f>
        <v>La date de fin prévisionnelle de la position doit être antérieure à la date limite de départ à la retraite.</v>
      </c>
      <c r="BL108" s="13" t="s">
        <v>136</v>
      </c>
      <c r="BM108" s="15" t="str">
        <f>VLOOKUP(BL108,'Axe 2 Règles de gestion'!$D$2:$F$121,3, FALSE)</f>
        <v>L'indicateur de carrière est sur la valeur "Accueil".</v>
      </c>
      <c r="BN108" s="13" t="s">
        <v>138</v>
      </c>
      <c r="BO108" s="15" t="str">
        <f>VLOOKUP(BN108,'Axe 2 Règles de gestion'!$D$2:$F$121,3, FALSE)</f>
        <v>La date de début de position est à J+1 de la date de fin de position de l'occurrence précédente.</v>
      </c>
      <c r="BP108" s="13" t="s">
        <v>140</v>
      </c>
      <c r="BQ108" s="15" t="str">
        <f>VLOOKUP(BP108,'Axe 2 Règles de gestion'!$D$2:$F$121,3, FALSE)</f>
        <v>Les champs "Type d'organisme d'origine", "Catégorie statutaire d'origine" et "Pays" de l'organisme d'origine doivent être renseignés.</v>
      </c>
      <c r="BR108" s="13" t="s">
        <v>142</v>
      </c>
      <c r="BS108" s="15" t="str">
        <f>VLOOKUP(BR108,'Axe 2 Règles de gestion'!$D$2:$F$121,3, FALSE)</f>
        <v>Les champs "Ministère (ou institution de la République) d'origine", "Corps d'origine", "Grade d'origine", "Echelon d'origine" sont renseignés si le "Type d'organisme d'origine" est valorisé à FPE.</v>
      </c>
      <c r="BT108" s="13" t="s">
        <v>144</v>
      </c>
      <c r="BU108" s="15" t="str">
        <f>VLOOKUP(BT108,'Axe 2 Règles de gestion'!$D$2:$F$121,3, FALSE)</f>
        <v>Le champ "Organisme d'origine" doit être alimenté si le type d'organisme d'origine est égal à 'Autre organisme', 'Fonction publique d'un état de l'Union Européenne' ou 'Fonction publique Européenne'.</v>
      </c>
      <c r="BV108" s="13" t="s">
        <v>146</v>
      </c>
      <c r="BW108" s="15" t="str">
        <f>VLOOKUP(BV108,'Axe 2 Règles de gestion'!$D$2:$F$121,3, FALSE)</f>
        <v>Le champ "Code emploi statutaire FPT (NET)" est renseigné si le "Type d'organisme d'origine" est valorisé à FPT.</v>
      </c>
      <c r="BX108" s="13" t="s">
        <v>148</v>
      </c>
      <c r="BY108" s="15" t="str">
        <f>VLOOKUP(BX108,'Axe 2 Règles de gestion'!$D$2:$F$121,3, FALSE)</f>
        <v>Le champ "Code emploi statutaire FPH (NEH)" est renseigné si le "Type d'organisme d'origine" est valorisé à FPH.</v>
      </c>
      <c r="BZ108" s="13" t="s">
        <v>150</v>
      </c>
      <c r="CA108" s="15" t="str">
        <f>VLOOKUP(BZ108,'Axe 2 Règles de gestion'!$D$2:$F$121,3, FALSE)</f>
        <v>La date de fin ou la date de fin prévisionnelle doit être saisie.</v>
      </c>
      <c r="CB108" s="13"/>
      <c r="CC108" s="15"/>
      <c r="CD108" s="13"/>
      <c r="CE108" s="15"/>
      <c r="CF108" s="13"/>
      <c r="CG108" s="13"/>
    </row>
    <row r="109" spans="1:85" ht="150" x14ac:dyDescent="0.25">
      <c r="A109" s="13" t="s">
        <v>301</v>
      </c>
      <c r="B109" s="13" t="s">
        <v>87</v>
      </c>
      <c r="C109" s="14">
        <v>44713.623611111114</v>
      </c>
      <c r="D109" s="13" t="s">
        <v>88</v>
      </c>
      <c r="E109" s="15" t="s">
        <v>89</v>
      </c>
      <c r="F109" s="13" t="s">
        <v>90</v>
      </c>
      <c r="G109" s="15" t="s">
        <v>91</v>
      </c>
      <c r="H109" s="13" t="s">
        <v>312</v>
      </c>
      <c r="I109" s="15" t="s">
        <v>313</v>
      </c>
      <c r="J109" s="15" t="s">
        <v>314</v>
      </c>
      <c r="K109" s="15" t="s">
        <v>315</v>
      </c>
      <c r="L109" s="13" t="s">
        <v>320</v>
      </c>
      <c r="M109" s="15" t="s">
        <v>321</v>
      </c>
      <c r="N109" s="13" t="s">
        <v>188</v>
      </c>
      <c r="O109" s="15" t="s">
        <v>189</v>
      </c>
      <c r="P109" s="15" t="s">
        <v>190</v>
      </c>
      <c r="Q109" s="15" t="s">
        <v>206</v>
      </c>
      <c r="R109" s="13" t="s">
        <v>207</v>
      </c>
      <c r="S109" s="13" t="s">
        <v>103</v>
      </c>
      <c r="T109" s="13" t="s">
        <v>104</v>
      </c>
      <c r="U109" s="14">
        <v>40725</v>
      </c>
      <c r="V109" s="14">
        <v>44633</v>
      </c>
      <c r="W109" s="15" t="s">
        <v>302</v>
      </c>
      <c r="X109" s="13" t="s">
        <v>192</v>
      </c>
      <c r="Y109" s="15" t="str">
        <f>VLOOKUP(X109,'Axe 2 Règles de gestion'!$D$2:$F$121,3, FALSE)</f>
        <v>Le détachement peut prendre fin de manière anticipée à l'initiative de l'administration d'accueil, de l'administration d'origine ou de l'agent.</v>
      </c>
      <c r="Z109" s="13" t="s">
        <v>303</v>
      </c>
      <c r="AA109" s="15" t="str">
        <f>VLOOKUP(Z109,'Axe 2 Règles de gestion'!$D$2:$F$121,3, FALSE)</f>
        <v>Il peut être mis fin au détachement de manière anticipée en cas d'insuffisance professionnelle de l'agent.</v>
      </c>
      <c r="AB109" s="13" t="s">
        <v>305</v>
      </c>
      <c r="AC109" s="15" t="str">
        <f>VLOOKUP(AB109,'Axe 2 Règles de gestion'!$D$2:$F$121,3, FALSE)</f>
        <v>Il peut être mis fin au détachement de manière anticipée en cas d'exclusion définitive de l'agent.</v>
      </c>
      <c r="AD109" s="13" t="s">
        <v>307</v>
      </c>
      <c r="AE109" s="15" t="str">
        <f>VLOOKUP(AD109,'Axe 2 Règles de gestion'!$D$2:$F$121,3, FALSE)</f>
        <v>Il est mis au fin au détachement de manière anticipée si l'agent est déclaré inapte définitivement suite à congés pour raison de santé après avis de la commission de réforme.</v>
      </c>
      <c r="AF109" s="13" t="s">
        <v>194</v>
      </c>
      <c r="AG109" s="15" t="str">
        <f>VLOOKUP(AF109,'Axe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H109" s="13" t="s">
        <v>196</v>
      </c>
      <c r="AI109" s="15" t="str">
        <f>VLOOKUP(AH109,'Axe 2 Règles de gestion'!$D$2:$F$121,3, FALSE)</f>
        <v>L'agent doit adresser une demande de réintégration à l'administration d'origine 3 mois au moins avant l'expiration de la période de détachement de longue durée.</v>
      </c>
      <c r="AJ109" s="13" t="s">
        <v>175</v>
      </c>
      <c r="AK109" s="15" t="str">
        <f>VLOOKUP(AJ109,'Axe 2 Règles de gestion'!$D$2:$F$121,3, FALSE)</f>
        <v>L'organisme d'accueil adresse sa décision à l'agent et à l'administration d'origine 2 mois au moins avant l'expiration de la période de détachement.</v>
      </c>
      <c r="AL109" s="13" t="s">
        <v>198</v>
      </c>
      <c r="AM109" s="15" t="str">
        <f>VLOOKUP(AL109,'Axe 2 Règles de gestion'!$D$2:$F$121,3, FALSE)</f>
        <v>Si l'agent n'adresse pas sa demande dans les délais, il est obligatoirement réintégré à la première vacance dans son corps d'origine et affecté à un emploi correspondant à son grade.</v>
      </c>
      <c r="AN109" s="13" t="s">
        <v>200</v>
      </c>
      <c r="AO109" s="15" t="str">
        <f>VLOOKUP(AN109,'Axe 2 Règles de gestion'!$D$2:$F$121,3, FALSE)</f>
        <v>Les dispositions relatives à la réintégration au terme d'un détachement de longue durée ne sont pas applicables aux préfets et sous-préfets.</v>
      </c>
      <c r="AP109" s="13" t="s">
        <v>114</v>
      </c>
      <c r="AQ109" s="15" t="str">
        <f>VLOOKUP(AP109,'Axe 2 Règles de gestion'!$D$2:$F$121,3, FALSE)</f>
        <v>Un détachement de courte durée à l'étranger ou dans les TOM ne peut excéder 1 an entre la date de début et la date de fin prévisionnelle.</v>
      </c>
      <c r="AR109" s="13" t="s">
        <v>116</v>
      </c>
      <c r="AS109" s="15" t="str">
        <f>VLOOKUP(AR109,'Axe 2 Règles de gestion'!$D$2:$F$121,3, FALSE)</f>
        <v>Un détachement de courte durée à l'étranger ou dans les TOM ne peut excéder 1 an entre la date de début et la date de fin réelle.</v>
      </c>
      <c r="AT109" s="13" t="s">
        <v>118</v>
      </c>
      <c r="AU109" s="15" t="str">
        <f>VLOOKUP(AT109,'Axe 2 Règles de gestion'!$D$2:$F$121,3, FALSE)</f>
        <v>Un détachement de courte durée n'ayant pas lieu à l'étranger ou dans les TOM ne peut excéder six mois entre la date de début et la date de fin prévisionnelle.</v>
      </c>
      <c r="AV109" s="13" t="s">
        <v>120</v>
      </c>
      <c r="AW109" s="15" t="str">
        <f>VLOOKUP(AV109,'Axe 2 Règles de gestion'!$D$2:$F$121,3, FALSE)</f>
        <v>Un détachement de courte durée n'ayant pas lieu à l'étranger ou dans les TOM ne peut excéder six mois entre la date de début et la date de fin réelle.</v>
      </c>
      <c r="AX109" s="13" t="s">
        <v>122</v>
      </c>
      <c r="AY109" s="15" t="str">
        <f>VLOOKUP(AX109,'Axe 2 Règles de gestion'!$D$2:$F$121,3, FALSE)</f>
        <v>Un détachement de longue durée ne peut excéder 5 ans entre la date de début et la date de fin prévisionnelle.</v>
      </c>
      <c r="AZ109" s="13" t="s">
        <v>124</v>
      </c>
      <c r="BA109" s="15" t="str">
        <f>VLOOKUP(AZ109,'Axe 2 Règles de gestion'!$D$2:$F$121,3, FALSE)</f>
        <v>Un détachement de longue durée ne peut excéder 5 ans entre la date de début et la date de fin réelle.</v>
      </c>
      <c r="BB109" s="13" t="s">
        <v>126</v>
      </c>
      <c r="BC109" s="15" t="str">
        <f>VLOOKUP(BB109,'Axe 2 Règles de gestion'!$D$2:$F$121,3, FALSE)</f>
        <v>La date de début de position doit être antérieure ou égale à la date de fin prévisionnelle de position.</v>
      </c>
      <c r="BD109" s="13" t="s">
        <v>130</v>
      </c>
      <c r="BE109" s="15" t="str">
        <f>VLOOKUP(BD109,'Axe 2 Règles de gestion'!$D$2:$F$121,3, FALSE)</f>
        <v>La date de fin réelle de la position doit être antérieure à la date limite de départ à la retraite.</v>
      </c>
      <c r="BF109" s="13" t="s">
        <v>132</v>
      </c>
      <c r="BG109" s="15" t="str">
        <f>VLOOKUP(BF109,'Axe 2 Règles de gestion'!$D$2:$F$121,3, FALSE)</f>
        <v>La date de début de position doit être antérieure ou égale à la date de fin réelle de position.</v>
      </c>
      <c r="BH109" s="13" t="s">
        <v>134</v>
      </c>
      <c r="BI109" s="15" t="str">
        <f>VLOOKUP(BH109,'Axe 2 Règles de gestion'!$D$2:$F$121,3, FALSE)</f>
        <v>La date de fin prévisionnelle de la position doit être antérieure à la date limite de départ à la retraite.</v>
      </c>
      <c r="BJ109" s="13" t="s">
        <v>140</v>
      </c>
      <c r="BK109" s="15" t="str">
        <f>VLOOKUP(BJ109,'Axe 2 Règles de gestion'!$D$2:$F$121,3, FALSE)</f>
        <v>Les champs "Type d'organisme d'origine", "Catégorie statutaire d'origine" et "Pays" de l'organisme d'origine doivent être renseignés.</v>
      </c>
      <c r="BL109" s="13" t="s">
        <v>142</v>
      </c>
      <c r="BM109" s="15" t="str">
        <f>VLOOKUP(BL109,'Axe 2 Règles de gestion'!$D$2:$F$121,3, FALSE)</f>
        <v>Les champs "Ministère (ou institution de la République) d'origine", "Corps d'origine", "Grade d'origine", "Echelon d'origine" sont renseignés si le "Type d'organisme d'origine" est valorisé à FPE.</v>
      </c>
      <c r="BN109" s="13" t="s">
        <v>144</v>
      </c>
      <c r="BO109" s="15" t="str">
        <f>VLOOKUP(BN109,'Axe 2 Règles de gestion'!$D$2:$F$121,3, FALSE)</f>
        <v>Le champ "Organisme d'origine" doit être alimenté si le type d'organisme d'origine est égal à 'Autre organisme', 'Fonction publique d'un état de l'Union Européenne' ou 'Fonction publique Européenne'.</v>
      </c>
      <c r="BP109" s="13" t="s">
        <v>146</v>
      </c>
      <c r="BQ109" s="15" t="str">
        <f>VLOOKUP(BP109,'Axe 2 Règles de gestion'!$D$2:$F$121,3, FALSE)</f>
        <v>Le champ "Code emploi statutaire FPT (NET)" est renseigné si le "Type d'organisme d'origine" est valorisé à FPT.</v>
      </c>
      <c r="BR109" s="13" t="s">
        <v>148</v>
      </c>
      <c r="BS109" s="15" t="str">
        <f>VLOOKUP(BR109,'Axe 2 Règles de gestion'!$D$2:$F$121,3, FALSE)</f>
        <v>Le champ "Code emploi statutaire FPH (NEH)" est renseigné si le "Type d'organisme d'origine" est valorisé à FPH.</v>
      </c>
      <c r="BT109" s="13" t="s">
        <v>150</v>
      </c>
      <c r="BU109" s="15" t="str">
        <f>VLOOKUP(BT109,'Axe 2 Règles de gestion'!$D$2:$F$121,3, FALSE)</f>
        <v>La date de fin ou la date de fin prévisionnelle doit être saisie.</v>
      </c>
      <c r="BV109" s="13"/>
      <c r="BW109" s="15"/>
      <c r="BX109" s="13"/>
      <c r="BY109" s="15"/>
      <c r="BZ109" s="13"/>
      <c r="CA109" s="15"/>
      <c r="CB109" s="13"/>
      <c r="CC109" s="15"/>
      <c r="CD109" s="13"/>
      <c r="CE109" s="15"/>
      <c r="CF109" s="13"/>
      <c r="CG109" s="13"/>
    </row>
    <row r="110" spans="1:85" ht="150" x14ac:dyDescent="0.25">
      <c r="A110" s="13" t="s">
        <v>301</v>
      </c>
      <c r="B110" s="13" t="s">
        <v>153</v>
      </c>
      <c r="C110" s="14">
        <v>44713.624305555553</v>
      </c>
      <c r="D110" s="13" t="s">
        <v>88</v>
      </c>
      <c r="E110" s="15" t="s">
        <v>89</v>
      </c>
      <c r="F110" s="13" t="s">
        <v>90</v>
      </c>
      <c r="G110" s="15" t="s">
        <v>91</v>
      </c>
      <c r="H110" s="13" t="s">
        <v>312</v>
      </c>
      <c r="I110" s="15" t="s">
        <v>313</v>
      </c>
      <c r="J110" s="15" t="s">
        <v>314</v>
      </c>
      <c r="K110" s="15" t="s">
        <v>315</v>
      </c>
      <c r="L110" s="13" t="s">
        <v>320</v>
      </c>
      <c r="M110" s="15" t="s">
        <v>321</v>
      </c>
      <c r="N110" s="13" t="s">
        <v>188</v>
      </c>
      <c r="O110" s="15" t="s">
        <v>189</v>
      </c>
      <c r="P110" s="15" t="s">
        <v>190</v>
      </c>
      <c r="Q110" s="15" t="s">
        <v>206</v>
      </c>
      <c r="R110" s="13" t="s">
        <v>207</v>
      </c>
      <c r="S110" s="13" t="s">
        <v>103</v>
      </c>
      <c r="T110" s="13" t="s">
        <v>104</v>
      </c>
      <c r="U110" s="14">
        <v>44634</v>
      </c>
      <c r="V110" s="14"/>
      <c r="W110" s="15" t="s">
        <v>309</v>
      </c>
      <c r="X110" s="13" t="s">
        <v>192</v>
      </c>
      <c r="Y110" s="15" t="str">
        <f>VLOOKUP(X110,'Axe 2 Règles de gestion'!$D$2:$F$121,3, FALSE)</f>
        <v>Le détachement peut prendre fin de manière anticipée à l'initiative de l'administration d'accueil, de l'administration d'origine ou de l'agent.</v>
      </c>
      <c r="Z110" s="13" t="s">
        <v>303</v>
      </c>
      <c r="AA110" s="15" t="str">
        <f>VLOOKUP(Z110,'Axe 2 Règles de gestion'!$D$2:$F$121,3, FALSE)</f>
        <v>Il peut être mis fin au détachement de manière anticipée en cas d'insuffisance professionnelle de l'agent.</v>
      </c>
      <c r="AB110" s="13" t="s">
        <v>305</v>
      </c>
      <c r="AC110" s="15" t="str">
        <f>VLOOKUP(AB110,'Axe 2 Règles de gestion'!$D$2:$F$121,3, FALSE)</f>
        <v>Il peut être mis fin au détachement de manière anticipée en cas d'exclusion définitive de l'agent.</v>
      </c>
      <c r="AD110" s="13" t="s">
        <v>310</v>
      </c>
      <c r="AE110" s="15" t="str">
        <f>VLOOKUP(AD110,'Axe 2 Règles de gestion'!$D$2:$F$121,3, FALSE)</f>
        <v>Il est mis fin au détachement de manière anticipée si l'agent est déclaré inapte définitivement suite à congés pour raison de santé après avis du conseil médical.</v>
      </c>
      <c r="AF110" s="13" t="s">
        <v>194</v>
      </c>
      <c r="AG110" s="15" t="str">
        <f>VLOOKUP(AF110,'Axe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H110" s="13" t="s">
        <v>196</v>
      </c>
      <c r="AI110" s="15" t="str">
        <f>VLOOKUP(AH110,'Axe 2 Règles de gestion'!$D$2:$F$121,3, FALSE)</f>
        <v>L'agent doit adresser une demande de réintégration à l'administration d'origine 3 mois au moins avant l'expiration de la période de détachement de longue durée.</v>
      </c>
      <c r="AJ110" s="13" t="s">
        <v>175</v>
      </c>
      <c r="AK110" s="15" t="str">
        <f>VLOOKUP(AJ110,'Axe 2 Règles de gestion'!$D$2:$F$121,3, FALSE)</f>
        <v>L'organisme d'accueil adresse sa décision à l'agent et à l'administration d'origine 2 mois au moins avant l'expiration de la période de détachement.</v>
      </c>
      <c r="AL110" s="13" t="s">
        <v>198</v>
      </c>
      <c r="AM110" s="15" t="str">
        <f>VLOOKUP(AL110,'Axe 2 Règles de gestion'!$D$2:$F$121,3, FALSE)</f>
        <v>Si l'agent n'adresse pas sa demande dans les délais, il est obligatoirement réintégré à la première vacance dans son corps d'origine et affecté à un emploi correspondant à son grade.</v>
      </c>
      <c r="AN110" s="13" t="s">
        <v>200</v>
      </c>
      <c r="AO110" s="15" t="str">
        <f>VLOOKUP(AN110,'Axe 2 Règles de gestion'!$D$2:$F$121,3, FALSE)</f>
        <v>Les dispositions relatives à la réintégration au terme d'un détachement de longue durée ne sont pas applicables aux préfets et sous-préfets.</v>
      </c>
      <c r="AP110" s="13" t="s">
        <v>114</v>
      </c>
      <c r="AQ110" s="15" t="str">
        <f>VLOOKUP(AP110,'Axe 2 Règles de gestion'!$D$2:$F$121,3, FALSE)</f>
        <v>Un détachement de courte durée à l'étranger ou dans les TOM ne peut excéder 1 an entre la date de début et la date de fin prévisionnelle.</v>
      </c>
      <c r="AR110" s="13" t="s">
        <v>116</v>
      </c>
      <c r="AS110" s="15" t="str">
        <f>VLOOKUP(AR110,'Axe 2 Règles de gestion'!$D$2:$F$121,3, FALSE)</f>
        <v>Un détachement de courte durée à l'étranger ou dans les TOM ne peut excéder 1 an entre la date de début et la date de fin réelle.</v>
      </c>
      <c r="AT110" s="13" t="s">
        <v>118</v>
      </c>
      <c r="AU110" s="15" t="str">
        <f>VLOOKUP(AT110,'Axe 2 Règles de gestion'!$D$2:$F$121,3, FALSE)</f>
        <v>Un détachement de courte durée n'ayant pas lieu à l'étranger ou dans les TOM ne peut excéder six mois entre la date de début et la date de fin prévisionnelle.</v>
      </c>
      <c r="AV110" s="13" t="s">
        <v>120</v>
      </c>
      <c r="AW110" s="15" t="str">
        <f>VLOOKUP(AV110,'Axe 2 Règles de gestion'!$D$2:$F$121,3, FALSE)</f>
        <v>Un détachement de courte durée n'ayant pas lieu à l'étranger ou dans les TOM ne peut excéder six mois entre la date de début et la date de fin réelle.</v>
      </c>
      <c r="AX110" s="13" t="s">
        <v>122</v>
      </c>
      <c r="AY110" s="15" t="str">
        <f>VLOOKUP(AX110,'Axe 2 Règles de gestion'!$D$2:$F$121,3, FALSE)</f>
        <v>Un détachement de longue durée ne peut excéder 5 ans entre la date de début et la date de fin prévisionnelle.</v>
      </c>
      <c r="AZ110" s="13" t="s">
        <v>124</v>
      </c>
      <c r="BA110" s="15" t="str">
        <f>VLOOKUP(AZ110,'Axe 2 Règles de gestion'!$D$2:$F$121,3, FALSE)</f>
        <v>Un détachement de longue durée ne peut excéder 5 ans entre la date de début et la date de fin réelle.</v>
      </c>
      <c r="BB110" s="13" t="s">
        <v>126</v>
      </c>
      <c r="BC110" s="15" t="str">
        <f>VLOOKUP(BB110,'Axe 2 Règles de gestion'!$D$2:$F$121,3, FALSE)</f>
        <v>La date de début de position doit être antérieure ou égale à la date de fin prévisionnelle de position.</v>
      </c>
      <c r="BD110" s="13" t="s">
        <v>130</v>
      </c>
      <c r="BE110" s="15" t="str">
        <f>VLOOKUP(BD110,'Axe 2 Règles de gestion'!$D$2:$F$121,3, FALSE)</f>
        <v>La date de fin réelle de la position doit être antérieure à la date limite de départ à la retraite.</v>
      </c>
      <c r="BF110" s="13" t="s">
        <v>132</v>
      </c>
      <c r="BG110" s="15" t="str">
        <f>VLOOKUP(BF110,'Axe 2 Règles de gestion'!$D$2:$F$121,3, FALSE)</f>
        <v>La date de début de position doit être antérieure ou égale à la date de fin réelle de position.</v>
      </c>
      <c r="BH110" s="13" t="s">
        <v>134</v>
      </c>
      <c r="BI110" s="15" t="str">
        <f>VLOOKUP(BH110,'Axe 2 Règles de gestion'!$D$2:$F$121,3, FALSE)</f>
        <v>La date de fin prévisionnelle de la position doit être antérieure à la date limite de départ à la retraite.</v>
      </c>
      <c r="BJ110" s="13" t="s">
        <v>140</v>
      </c>
      <c r="BK110" s="15" t="str">
        <f>VLOOKUP(BJ110,'Axe 2 Règles de gestion'!$D$2:$F$121,3, FALSE)</f>
        <v>Les champs "Type d'organisme d'origine", "Catégorie statutaire d'origine" et "Pays" de l'organisme d'origine doivent être renseignés.</v>
      </c>
      <c r="BL110" s="13" t="s">
        <v>142</v>
      </c>
      <c r="BM110" s="15" t="str">
        <f>VLOOKUP(BL110,'Axe 2 Règles de gestion'!$D$2:$F$121,3, FALSE)</f>
        <v>Les champs "Ministère (ou institution de la République) d'origine", "Corps d'origine", "Grade d'origine", "Echelon d'origine" sont renseignés si le "Type d'organisme d'origine" est valorisé à FPE.</v>
      </c>
      <c r="BN110" s="13" t="s">
        <v>144</v>
      </c>
      <c r="BO110" s="15" t="str">
        <f>VLOOKUP(BN110,'Axe 2 Règles de gestion'!$D$2:$F$121,3, FALSE)</f>
        <v>Le champ "Organisme d'origine" doit être alimenté si le type d'organisme d'origine est égal à 'Autre organisme', 'Fonction publique d'un état de l'Union Européenne' ou 'Fonction publique Européenne'.</v>
      </c>
      <c r="BP110" s="13" t="s">
        <v>146</v>
      </c>
      <c r="BQ110" s="15" t="str">
        <f>VLOOKUP(BP110,'Axe 2 Règles de gestion'!$D$2:$F$121,3, FALSE)</f>
        <v>Le champ "Code emploi statutaire FPT (NET)" est renseigné si le "Type d'organisme d'origine" est valorisé à FPT.</v>
      </c>
      <c r="BR110" s="13" t="s">
        <v>148</v>
      </c>
      <c r="BS110" s="15" t="str">
        <f>VLOOKUP(BR110,'Axe 2 Règles de gestion'!$D$2:$F$121,3, FALSE)</f>
        <v>Le champ "Code emploi statutaire FPH (NEH)" est renseigné si le "Type d'organisme d'origine" est valorisé à FPH.</v>
      </c>
      <c r="BT110" s="13" t="s">
        <v>150</v>
      </c>
      <c r="BU110" s="15" t="str">
        <f>VLOOKUP(BT110,'Axe 2 Règles de gestion'!$D$2:$F$121,3, FALSE)</f>
        <v>La date de fin ou la date de fin prévisionnelle doit être saisie.</v>
      </c>
      <c r="BV110" s="13"/>
      <c r="BW110" s="15"/>
      <c r="BX110" s="13"/>
      <c r="BY110" s="15"/>
      <c r="BZ110" s="13"/>
      <c r="CA110" s="15"/>
      <c r="CB110" s="13"/>
      <c r="CC110" s="15"/>
      <c r="CD110" s="13"/>
      <c r="CE110" s="15"/>
      <c r="CF110" s="13"/>
      <c r="CG110" s="13"/>
    </row>
    <row r="111" spans="1:85" ht="150" x14ac:dyDescent="0.25">
      <c r="A111" s="13" t="s">
        <v>202</v>
      </c>
      <c r="B111" s="13" t="s">
        <v>153</v>
      </c>
      <c r="C111" s="14">
        <v>43152.5</v>
      </c>
      <c r="D111" s="13" t="s">
        <v>88</v>
      </c>
      <c r="E111" s="15" t="s">
        <v>89</v>
      </c>
      <c r="F111" s="13" t="s">
        <v>90</v>
      </c>
      <c r="G111" s="15" t="s">
        <v>91</v>
      </c>
      <c r="H111" s="13" t="s">
        <v>312</v>
      </c>
      <c r="I111" s="15" t="s">
        <v>313</v>
      </c>
      <c r="J111" s="15" t="s">
        <v>314</v>
      </c>
      <c r="K111" s="15" t="s">
        <v>315</v>
      </c>
      <c r="L111" s="13" t="s">
        <v>316</v>
      </c>
      <c r="M111" s="15" t="s">
        <v>317</v>
      </c>
      <c r="N111" s="13" t="s">
        <v>98</v>
      </c>
      <c r="O111" s="15" t="s">
        <v>99</v>
      </c>
      <c r="P111" s="15" t="s">
        <v>100</v>
      </c>
      <c r="Q111" s="15" t="s">
        <v>208</v>
      </c>
      <c r="R111" s="13" t="s">
        <v>209</v>
      </c>
      <c r="S111" s="13" t="s">
        <v>103</v>
      </c>
      <c r="T111" s="13" t="s">
        <v>205</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3"/>
    </row>
    <row r="112" spans="1:85" ht="150" x14ac:dyDescent="0.25">
      <c r="A112" s="13" t="s">
        <v>202</v>
      </c>
      <c r="B112" s="13" t="s">
        <v>153</v>
      </c>
      <c r="C112" s="14">
        <v>43152.5</v>
      </c>
      <c r="D112" s="13" t="s">
        <v>88</v>
      </c>
      <c r="E112" s="15" t="s">
        <v>89</v>
      </c>
      <c r="F112" s="13" t="s">
        <v>90</v>
      </c>
      <c r="G112" s="15" t="s">
        <v>91</v>
      </c>
      <c r="H112" s="13" t="s">
        <v>312</v>
      </c>
      <c r="I112" s="15" t="s">
        <v>313</v>
      </c>
      <c r="J112" s="15" t="s">
        <v>314</v>
      </c>
      <c r="K112" s="15" t="s">
        <v>315</v>
      </c>
      <c r="L112" s="13" t="s">
        <v>318</v>
      </c>
      <c r="M112" s="15" t="s">
        <v>319</v>
      </c>
      <c r="N112" s="13" t="s">
        <v>98</v>
      </c>
      <c r="O112" s="15" t="s">
        <v>170</v>
      </c>
      <c r="P112" s="15" t="s">
        <v>171</v>
      </c>
      <c r="Q112" s="15" t="s">
        <v>208</v>
      </c>
      <c r="R112" s="13" t="s">
        <v>209</v>
      </c>
      <c r="S112" s="13" t="s">
        <v>103</v>
      </c>
      <c r="T112" s="13" t="s">
        <v>205</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3"/>
    </row>
    <row r="113" spans="1:85" ht="150" x14ac:dyDescent="0.25">
      <c r="A113" s="13" t="s">
        <v>202</v>
      </c>
      <c r="B113" s="13" t="s">
        <v>153</v>
      </c>
      <c r="C113" s="14">
        <v>43152.5</v>
      </c>
      <c r="D113" s="13" t="s">
        <v>88</v>
      </c>
      <c r="E113" s="15" t="s">
        <v>89</v>
      </c>
      <c r="F113" s="13" t="s">
        <v>90</v>
      </c>
      <c r="G113" s="15" t="s">
        <v>91</v>
      </c>
      <c r="H113" s="13" t="s">
        <v>312</v>
      </c>
      <c r="I113" s="15" t="s">
        <v>313</v>
      </c>
      <c r="J113" s="15" t="s">
        <v>314</v>
      </c>
      <c r="K113" s="15" t="s">
        <v>315</v>
      </c>
      <c r="L113" s="13" t="s">
        <v>320</v>
      </c>
      <c r="M113" s="15" t="s">
        <v>321</v>
      </c>
      <c r="N113" s="13" t="s">
        <v>188</v>
      </c>
      <c r="O113" s="15" t="s">
        <v>189</v>
      </c>
      <c r="P113" s="15" t="s">
        <v>190</v>
      </c>
      <c r="Q113" s="15" t="s">
        <v>208</v>
      </c>
      <c r="R113" s="13" t="s">
        <v>209</v>
      </c>
      <c r="S113" s="13" t="s">
        <v>103</v>
      </c>
      <c r="T113" s="13" t="s">
        <v>205</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3"/>
    </row>
    <row r="114" spans="1:85" ht="120" x14ac:dyDescent="0.25">
      <c r="A114" s="13" t="s">
        <v>202</v>
      </c>
      <c r="B114" s="13" t="s">
        <v>153</v>
      </c>
      <c r="C114" s="14">
        <v>43152.5</v>
      </c>
      <c r="D114" s="13" t="s">
        <v>88</v>
      </c>
      <c r="E114" s="15" t="s">
        <v>89</v>
      </c>
      <c r="F114" s="13" t="s">
        <v>90</v>
      </c>
      <c r="G114" s="15" t="s">
        <v>91</v>
      </c>
      <c r="H114" s="13" t="s">
        <v>322</v>
      </c>
      <c r="I114" s="15" t="s">
        <v>323</v>
      </c>
      <c r="J114" s="15" t="s">
        <v>324</v>
      </c>
      <c r="K114" s="15" t="s">
        <v>325</v>
      </c>
      <c r="L114" s="13" t="s">
        <v>326</v>
      </c>
      <c r="M114" s="15" t="s">
        <v>327</v>
      </c>
      <c r="N114" s="13" t="s">
        <v>98</v>
      </c>
      <c r="O114" s="15" t="s">
        <v>99</v>
      </c>
      <c r="P114" s="15" t="s">
        <v>100</v>
      </c>
      <c r="Q114" s="15" t="s">
        <v>101</v>
      </c>
      <c r="R114" s="13" t="s">
        <v>102</v>
      </c>
      <c r="S114" s="13" t="s">
        <v>103</v>
      </c>
      <c r="T114" s="13" t="s">
        <v>205</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3"/>
    </row>
    <row r="115" spans="1:85" ht="120" x14ac:dyDescent="0.25">
      <c r="A115" s="13" t="s">
        <v>202</v>
      </c>
      <c r="B115" s="13" t="s">
        <v>153</v>
      </c>
      <c r="C115" s="14">
        <v>43152.5</v>
      </c>
      <c r="D115" s="13" t="s">
        <v>88</v>
      </c>
      <c r="E115" s="15" t="s">
        <v>89</v>
      </c>
      <c r="F115" s="13" t="s">
        <v>90</v>
      </c>
      <c r="G115" s="15" t="s">
        <v>91</v>
      </c>
      <c r="H115" s="13" t="s">
        <v>322</v>
      </c>
      <c r="I115" s="15" t="s">
        <v>323</v>
      </c>
      <c r="J115" s="15" t="s">
        <v>324</v>
      </c>
      <c r="K115" s="15" t="s">
        <v>325</v>
      </c>
      <c r="L115" s="13" t="s">
        <v>328</v>
      </c>
      <c r="M115" s="15" t="s">
        <v>329</v>
      </c>
      <c r="N115" s="13" t="s">
        <v>98</v>
      </c>
      <c r="O115" s="15" t="s">
        <v>170</v>
      </c>
      <c r="P115" s="15" t="s">
        <v>171</v>
      </c>
      <c r="Q115" s="15" t="s">
        <v>101</v>
      </c>
      <c r="R115" s="13" t="s">
        <v>102</v>
      </c>
      <c r="S115" s="13" t="s">
        <v>103</v>
      </c>
      <c r="T115" s="13" t="s">
        <v>205</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3"/>
    </row>
    <row r="116" spans="1:85" ht="120" x14ac:dyDescent="0.25">
      <c r="A116" s="13" t="s">
        <v>202</v>
      </c>
      <c r="B116" s="13" t="s">
        <v>153</v>
      </c>
      <c r="C116" s="14">
        <v>43152.5</v>
      </c>
      <c r="D116" s="13" t="s">
        <v>88</v>
      </c>
      <c r="E116" s="15" t="s">
        <v>89</v>
      </c>
      <c r="F116" s="13" t="s">
        <v>90</v>
      </c>
      <c r="G116" s="15" t="s">
        <v>91</v>
      </c>
      <c r="H116" s="13" t="s">
        <v>322</v>
      </c>
      <c r="I116" s="15" t="s">
        <v>323</v>
      </c>
      <c r="J116" s="15" t="s">
        <v>324</v>
      </c>
      <c r="K116" s="15" t="s">
        <v>325</v>
      </c>
      <c r="L116" s="13" t="s">
        <v>330</v>
      </c>
      <c r="M116" s="15" t="s">
        <v>331</v>
      </c>
      <c r="N116" s="13" t="s">
        <v>188</v>
      </c>
      <c r="O116" s="15" t="s">
        <v>189</v>
      </c>
      <c r="P116" s="15" t="s">
        <v>190</v>
      </c>
      <c r="Q116" s="15" t="s">
        <v>101</v>
      </c>
      <c r="R116" s="13" t="s">
        <v>102</v>
      </c>
      <c r="S116" s="13" t="s">
        <v>103</v>
      </c>
      <c r="T116" s="13" t="s">
        <v>205</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3"/>
    </row>
    <row r="117" spans="1:85" ht="120" x14ac:dyDescent="0.25">
      <c r="A117" s="13" t="s">
        <v>202</v>
      </c>
      <c r="B117" s="13" t="s">
        <v>153</v>
      </c>
      <c r="C117" s="14">
        <v>43152.5</v>
      </c>
      <c r="D117" s="13" t="s">
        <v>88</v>
      </c>
      <c r="E117" s="15" t="s">
        <v>89</v>
      </c>
      <c r="F117" s="13" t="s">
        <v>90</v>
      </c>
      <c r="G117" s="15" t="s">
        <v>91</v>
      </c>
      <c r="H117" s="13" t="s">
        <v>322</v>
      </c>
      <c r="I117" s="15" t="s">
        <v>323</v>
      </c>
      <c r="J117" s="15" t="s">
        <v>324</v>
      </c>
      <c r="K117" s="15" t="s">
        <v>325</v>
      </c>
      <c r="L117" s="13" t="s">
        <v>326</v>
      </c>
      <c r="M117" s="15" t="s">
        <v>327</v>
      </c>
      <c r="N117" s="13" t="s">
        <v>98</v>
      </c>
      <c r="O117" s="15" t="s">
        <v>99</v>
      </c>
      <c r="P117" s="15" t="s">
        <v>100</v>
      </c>
      <c r="Q117" s="15" t="s">
        <v>203</v>
      </c>
      <c r="R117" s="13" t="s">
        <v>204</v>
      </c>
      <c r="S117" s="13" t="s">
        <v>103</v>
      </c>
      <c r="T117" s="13" t="s">
        <v>205</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3"/>
    </row>
    <row r="118" spans="1:85" ht="120" x14ac:dyDescent="0.25">
      <c r="A118" s="13" t="s">
        <v>202</v>
      </c>
      <c r="B118" s="13" t="s">
        <v>153</v>
      </c>
      <c r="C118" s="14">
        <v>43152.5</v>
      </c>
      <c r="D118" s="13" t="s">
        <v>88</v>
      </c>
      <c r="E118" s="15" t="s">
        <v>89</v>
      </c>
      <c r="F118" s="13" t="s">
        <v>90</v>
      </c>
      <c r="G118" s="15" t="s">
        <v>91</v>
      </c>
      <c r="H118" s="13" t="s">
        <v>322</v>
      </c>
      <c r="I118" s="15" t="s">
        <v>323</v>
      </c>
      <c r="J118" s="15" t="s">
        <v>324</v>
      </c>
      <c r="K118" s="15" t="s">
        <v>325</v>
      </c>
      <c r="L118" s="13" t="s">
        <v>328</v>
      </c>
      <c r="M118" s="15" t="s">
        <v>329</v>
      </c>
      <c r="N118" s="13" t="s">
        <v>98</v>
      </c>
      <c r="O118" s="15" t="s">
        <v>170</v>
      </c>
      <c r="P118" s="15" t="s">
        <v>171</v>
      </c>
      <c r="Q118" s="15" t="s">
        <v>203</v>
      </c>
      <c r="R118" s="13" t="s">
        <v>204</v>
      </c>
      <c r="S118" s="13" t="s">
        <v>103</v>
      </c>
      <c r="T118" s="13" t="s">
        <v>205</v>
      </c>
      <c r="U118" s="14">
        <v>40725</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3"/>
    </row>
    <row r="119" spans="1:85" ht="120" x14ac:dyDescent="0.25">
      <c r="A119" s="13" t="s">
        <v>202</v>
      </c>
      <c r="B119" s="13" t="s">
        <v>153</v>
      </c>
      <c r="C119" s="14">
        <v>43152.5</v>
      </c>
      <c r="D119" s="13" t="s">
        <v>88</v>
      </c>
      <c r="E119" s="15" t="s">
        <v>89</v>
      </c>
      <c r="F119" s="13" t="s">
        <v>90</v>
      </c>
      <c r="G119" s="15" t="s">
        <v>91</v>
      </c>
      <c r="H119" s="13" t="s">
        <v>322</v>
      </c>
      <c r="I119" s="15" t="s">
        <v>323</v>
      </c>
      <c r="J119" s="15" t="s">
        <v>324</v>
      </c>
      <c r="K119" s="15" t="s">
        <v>325</v>
      </c>
      <c r="L119" s="13" t="s">
        <v>330</v>
      </c>
      <c r="M119" s="15" t="s">
        <v>331</v>
      </c>
      <c r="N119" s="13" t="s">
        <v>188</v>
      </c>
      <c r="O119" s="15" t="s">
        <v>189</v>
      </c>
      <c r="P119" s="15" t="s">
        <v>190</v>
      </c>
      <c r="Q119" s="15" t="s">
        <v>203</v>
      </c>
      <c r="R119" s="13" t="s">
        <v>204</v>
      </c>
      <c r="S119" s="13" t="s">
        <v>103</v>
      </c>
      <c r="T119" s="13" t="s">
        <v>205</v>
      </c>
      <c r="U119" s="14">
        <v>40725</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3"/>
    </row>
    <row r="120" spans="1:85" ht="120" x14ac:dyDescent="0.25">
      <c r="A120" s="13" t="s">
        <v>202</v>
      </c>
      <c r="B120" s="13" t="s">
        <v>153</v>
      </c>
      <c r="C120" s="14">
        <v>43152.5</v>
      </c>
      <c r="D120" s="13" t="s">
        <v>88</v>
      </c>
      <c r="E120" s="15" t="s">
        <v>89</v>
      </c>
      <c r="F120" s="13" t="s">
        <v>90</v>
      </c>
      <c r="G120" s="15" t="s">
        <v>91</v>
      </c>
      <c r="H120" s="13" t="s">
        <v>322</v>
      </c>
      <c r="I120" s="15" t="s">
        <v>323</v>
      </c>
      <c r="J120" s="15" t="s">
        <v>324</v>
      </c>
      <c r="K120" s="15" t="s">
        <v>325</v>
      </c>
      <c r="L120" s="13" t="s">
        <v>326</v>
      </c>
      <c r="M120" s="15" t="s">
        <v>327</v>
      </c>
      <c r="N120" s="13" t="s">
        <v>98</v>
      </c>
      <c r="O120" s="15" t="s">
        <v>99</v>
      </c>
      <c r="P120" s="15" t="s">
        <v>100</v>
      </c>
      <c r="Q120" s="15" t="s">
        <v>206</v>
      </c>
      <c r="R120" s="13" t="s">
        <v>207</v>
      </c>
      <c r="S120" s="13" t="s">
        <v>103</v>
      </c>
      <c r="T120" s="13" t="s">
        <v>205</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3"/>
    </row>
    <row r="121" spans="1:85" ht="120" x14ac:dyDescent="0.25">
      <c r="A121" s="13" t="s">
        <v>202</v>
      </c>
      <c r="B121" s="13" t="s">
        <v>153</v>
      </c>
      <c r="C121" s="14">
        <v>43152.5</v>
      </c>
      <c r="D121" s="13" t="s">
        <v>88</v>
      </c>
      <c r="E121" s="15" t="s">
        <v>89</v>
      </c>
      <c r="F121" s="13" t="s">
        <v>90</v>
      </c>
      <c r="G121" s="15" t="s">
        <v>91</v>
      </c>
      <c r="H121" s="13" t="s">
        <v>322</v>
      </c>
      <c r="I121" s="15" t="s">
        <v>323</v>
      </c>
      <c r="J121" s="15" t="s">
        <v>324</v>
      </c>
      <c r="K121" s="15" t="s">
        <v>325</v>
      </c>
      <c r="L121" s="13" t="s">
        <v>328</v>
      </c>
      <c r="M121" s="15" t="s">
        <v>329</v>
      </c>
      <c r="N121" s="13" t="s">
        <v>98</v>
      </c>
      <c r="O121" s="15" t="s">
        <v>170</v>
      </c>
      <c r="P121" s="15" t="s">
        <v>171</v>
      </c>
      <c r="Q121" s="15" t="s">
        <v>206</v>
      </c>
      <c r="R121" s="13" t="s">
        <v>207</v>
      </c>
      <c r="S121" s="13" t="s">
        <v>103</v>
      </c>
      <c r="T121" s="13" t="s">
        <v>205</v>
      </c>
      <c r="U121" s="14">
        <v>40725</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3"/>
    </row>
    <row r="122" spans="1:85" ht="120" x14ac:dyDescent="0.25">
      <c r="A122" s="13" t="s">
        <v>202</v>
      </c>
      <c r="B122" s="13" t="s">
        <v>153</v>
      </c>
      <c r="C122" s="14">
        <v>43152.5</v>
      </c>
      <c r="D122" s="13" t="s">
        <v>88</v>
      </c>
      <c r="E122" s="15" t="s">
        <v>89</v>
      </c>
      <c r="F122" s="13" t="s">
        <v>90</v>
      </c>
      <c r="G122" s="15" t="s">
        <v>91</v>
      </c>
      <c r="H122" s="13" t="s">
        <v>322</v>
      </c>
      <c r="I122" s="15" t="s">
        <v>323</v>
      </c>
      <c r="J122" s="15" t="s">
        <v>324</v>
      </c>
      <c r="K122" s="15" t="s">
        <v>325</v>
      </c>
      <c r="L122" s="13" t="s">
        <v>330</v>
      </c>
      <c r="M122" s="15" t="s">
        <v>331</v>
      </c>
      <c r="N122" s="13" t="s">
        <v>188</v>
      </c>
      <c r="O122" s="15" t="s">
        <v>189</v>
      </c>
      <c r="P122" s="15" t="s">
        <v>190</v>
      </c>
      <c r="Q122" s="15" t="s">
        <v>206</v>
      </c>
      <c r="R122" s="13" t="s">
        <v>207</v>
      </c>
      <c r="S122" s="13" t="s">
        <v>103</v>
      </c>
      <c r="T122" s="13" t="s">
        <v>205</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3"/>
    </row>
    <row r="123" spans="1:85" ht="120" x14ac:dyDescent="0.25">
      <c r="A123" s="13" t="s">
        <v>202</v>
      </c>
      <c r="B123" s="13" t="s">
        <v>153</v>
      </c>
      <c r="C123" s="14">
        <v>43152.5</v>
      </c>
      <c r="D123" s="13" t="s">
        <v>88</v>
      </c>
      <c r="E123" s="15" t="s">
        <v>89</v>
      </c>
      <c r="F123" s="13" t="s">
        <v>90</v>
      </c>
      <c r="G123" s="15" t="s">
        <v>91</v>
      </c>
      <c r="H123" s="13" t="s">
        <v>322</v>
      </c>
      <c r="I123" s="15" t="s">
        <v>323</v>
      </c>
      <c r="J123" s="15" t="s">
        <v>324</v>
      </c>
      <c r="K123" s="15" t="s">
        <v>325</v>
      </c>
      <c r="L123" s="13" t="s">
        <v>326</v>
      </c>
      <c r="M123" s="15" t="s">
        <v>327</v>
      </c>
      <c r="N123" s="13" t="s">
        <v>98</v>
      </c>
      <c r="O123" s="15" t="s">
        <v>99</v>
      </c>
      <c r="P123" s="15" t="s">
        <v>100</v>
      </c>
      <c r="Q123" s="15" t="s">
        <v>208</v>
      </c>
      <c r="R123" s="13" t="s">
        <v>209</v>
      </c>
      <c r="S123" s="13" t="s">
        <v>103</v>
      </c>
      <c r="T123" s="13" t="s">
        <v>205</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3"/>
    </row>
    <row r="124" spans="1:85" ht="120" x14ac:dyDescent="0.25">
      <c r="A124" s="13" t="s">
        <v>202</v>
      </c>
      <c r="B124" s="13" t="s">
        <v>153</v>
      </c>
      <c r="C124" s="14">
        <v>43152.5</v>
      </c>
      <c r="D124" s="13" t="s">
        <v>88</v>
      </c>
      <c r="E124" s="15" t="s">
        <v>89</v>
      </c>
      <c r="F124" s="13" t="s">
        <v>90</v>
      </c>
      <c r="G124" s="15" t="s">
        <v>91</v>
      </c>
      <c r="H124" s="13" t="s">
        <v>322</v>
      </c>
      <c r="I124" s="15" t="s">
        <v>323</v>
      </c>
      <c r="J124" s="15" t="s">
        <v>324</v>
      </c>
      <c r="K124" s="15" t="s">
        <v>325</v>
      </c>
      <c r="L124" s="13" t="s">
        <v>328</v>
      </c>
      <c r="M124" s="15" t="s">
        <v>329</v>
      </c>
      <c r="N124" s="13" t="s">
        <v>98</v>
      </c>
      <c r="O124" s="15" t="s">
        <v>170</v>
      </c>
      <c r="P124" s="15" t="s">
        <v>171</v>
      </c>
      <c r="Q124" s="15" t="s">
        <v>208</v>
      </c>
      <c r="R124" s="13" t="s">
        <v>209</v>
      </c>
      <c r="S124" s="13" t="s">
        <v>103</v>
      </c>
      <c r="T124" s="13" t="s">
        <v>205</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3"/>
    </row>
    <row r="125" spans="1:85" ht="120" x14ac:dyDescent="0.25">
      <c r="A125" s="13" t="s">
        <v>202</v>
      </c>
      <c r="B125" s="13" t="s">
        <v>153</v>
      </c>
      <c r="C125" s="14">
        <v>43152.5</v>
      </c>
      <c r="D125" s="13" t="s">
        <v>88</v>
      </c>
      <c r="E125" s="15" t="s">
        <v>89</v>
      </c>
      <c r="F125" s="13" t="s">
        <v>90</v>
      </c>
      <c r="G125" s="15" t="s">
        <v>91</v>
      </c>
      <c r="H125" s="13" t="s">
        <v>322</v>
      </c>
      <c r="I125" s="15" t="s">
        <v>323</v>
      </c>
      <c r="J125" s="15" t="s">
        <v>324</v>
      </c>
      <c r="K125" s="15" t="s">
        <v>325</v>
      </c>
      <c r="L125" s="13" t="s">
        <v>330</v>
      </c>
      <c r="M125" s="15" t="s">
        <v>331</v>
      </c>
      <c r="N125" s="13" t="s">
        <v>188</v>
      </c>
      <c r="O125" s="15" t="s">
        <v>189</v>
      </c>
      <c r="P125" s="15" t="s">
        <v>190</v>
      </c>
      <c r="Q125" s="15" t="s">
        <v>208</v>
      </c>
      <c r="R125" s="13" t="s">
        <v>209</v>
      </c>
      <c r="S125" s="13" t="s">
        <v>103</v>
      </c>
      <c r="T125" s="13" t="s">
        <v>205</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3"/>
    </row>
    <row r="126" spans="1:85" ht="150" x14ac:dyDescent="0.25">
      <c r="A126" s="13" t="s">
        <v>86</v>
      </c>
      <c r="B126" s="13" t="s">
        <v>87</v>
      </c>
      <c r="C126" s="14">
        <v>43850.552083333336</v>
      </c>
      <c r="D126" s="13" t="s">
        <v>88</v>
      </c>
      <c r="E126" s="15" t="s">
        <v>89</v>
      </c>
      <c r="F126" s="13" t="s">
        <v>90</v>
      </c>
      <c r="G126" s="15" t="s">
        <v>91</v>
      </c>
      <c r="H126" s="13" t="s">
        <v>322</v>
      </c>
      <c r="I126" s="15" t="s">
        <v>323</v>
      </c>
      <c r="J126" s="15" t="s">
        <v>324</v>
      </c>
      <c r="K126" s="15" t="s">
        <v>325</v>
      </c>
      <c r="L126" s="13" t="s">
        <v>326</v>
      </c>
      <c r="M126" s="15" t="s">
        <v>327</v>
      </c>
      <c r="N126" s="13" t="s">
        <v>98</v>
      </c>
      <c r="O126" s="15" t="s">
        <v>99</v>
      </c>
      <c r="P126" s="15" t="s">
        <v>100</v>
      </c>
      <c r="Q126" s="15" t="s">
        <v>332</v>
      </c>
      <c r="R126" s="13" t="s">
        <v>333</v>
      </c>
      <c r="S126" s="13" t="s">
        <v>212</v>
      </c>
      <c r="T126" s="13" t="s">
        <v>104</v>
      </c>
      <c r="U126" s="14">
        <v>40725</v>
      </c>
      <c r="V126" s="14">
        <v>43830</v>
      </c>
      <c r="W126" s="15" t="s">
        <v>334</v>
      </c>
      <c r="X126" s="13" t="s">
        <v>106</v>
      </c>
      <c r="Y126" s="15" t="str">
        <f>VLOOKUP(X126,'Axe 2 Règles de gestion'!$D$2:$F$121,3, FALSE)</f>
        <v>L'agent doit détenir le titre ou le diplôme requis pour l'exercice des fonctions du corps d'accueil.</v>
      </c>
      <c r="Z126" s="13" t="s">
        <v>335</v>
      </c>
      <c r="AA126" s="15" t="str">
        <f>VLOOKUP(Z126,'Axe 2 Règles de gestion'!$D$2:$F$121,3, FALSE)</f>
        <v>La mission doit excéder 6 mois.</v>
      </c>
      <c r="AB126" s="13" t="s">
        <v>108</v>
      </c>
      <c r="AC126" s="15" t="str">
        <f>VLOOKUP(AB126,'Axe 2 Règles de gestion'!$D$2:$F$121,3, FALSE)</f>
        <v>L'agent doit formuler une demande.</v>
      </c>
      <c r="AD126" s="13" t="s">
        <v>337</v>
      </c>
      <c r="AE126" s="15" t="str">
        <f>VLOOKUP(AD126,'Axe 2 Règles de gestion'!$D$2:$F$121,3, FALSE)</f>
        <v>La demande doit être adressé au ministre responsable de la coopération.</v>
      </c>
      <c r="AF126" s="13" t="s">
        <v>110</v>
      </c>
      <c r="AG126" s="15" t="str">
        <f>VLOOKUP(AF126,'Axe 2 Règles de gestion'!$D$2:$F$121,3, FALSE)</f>
        <v>Le détachement est accordé après avis des commissions administratives paritaires compétentes.</v>
      </c>
      <c r="AH126" s="13" t="s">
        <v>112</v>
      </c>
      <c r="AI126" s="15" t="str">
        <f>VLOOKUP(AH126,'Axe 2 Règles de gestion'!$D$2:$F$121,3, FALSE)</f>
        <v>L'accord de l'administration d'origine est nécessaire.</v>
      </c>
      <c r="AJ126" s="13" t="s">
        <v>339</v>
      </c>
      <c r="AK126" s="15" t="str">
        <f>VLOOKUP(AJ126,'Axe 2 Règles de gestion'!$D$2:$F$121,3, FALSE)</f>
        <v>L'agent souscrit un contrat à durée déterminée avec le ministère des affaires étrangères.</v>
      </c>
      <c r="AL126" s="13"/>
      <c r="AM126" s="15"/>
      <c r="AN126" s="13"/>
      <c r="AO126" s="15"/>
      <c r="AP126" s="13" t="s">
        <v>114</v>
      </c>
      <c r="AQ126" s="15" t="str">
        <f>VLOOKUP(AP126,'Axe 2 Règles de gestion'!$D$2:$F$121,3, FALSE)</f>
        <v>Un détachement de courte durée à l'étranger ou dans les TOM ne peut excéder 1 an entre la date de début et la date de fin prévisionnelle.</v>
      </c>
      <c r="AR126" s="13" t="s">
        <v>116</v>
      </c>
      <c r="AS126" s="15" t="str">
        <f>VLOOKUP(AR126,'Axe 2 Règles de gestion'!$D$2:$F$121,3, FALSE)</f>
        <v>Un détachement de courte durée à l'étranger ou dans les TOM ne peut excéder 1 an entre la date de début et la date de fin réelle.</v>
      </c>
      <c r="AT126" s="13" t="s">
        <v>118</v>
      </c>
      <c r="AU126" s="15" t="str">
        <f>VLOOKUP(AT126,'Axe 2 Règles de gestion'!$D$2:$F$121,3, FALSE)</f>
        <v>Un détachement de courte durée n'ayant pas lieu à l'étranger ou dans les TOM ne peut excéder six mois entre la date de début et la date de fin prévisionnelle.</v>
      </c>
      <c r="AV126" s="13" t="s">
        <v>120</v>
      </c>
      <c r="AW126" s="15" t="str">
        <f>VLOOKUP(AV126,'Axe 2 Règles de gestion'!$D$2:$F$121,3, FALSE)</f>
        <v>Un détachement de courte durée n'ayant pas lieu à l'étranger ou dans les TOM ne peut excéder six mois entre la date de début et la date de fin réelle.</v>
      </c>
      <c r="AX126" s="13" t="s">
        <v>122</v>
      </c>
      <c r="AY126" s="15" t="str">
        <f>VLOOKUP(AX126,'Axe 2 Règles de gestion'!$D$2:$F$121,3, FALSE)</f>
        <v>Un détachement de longue durée ne peut excéder 5 ans entre la date de début et la date de fin prévisionnelle.</v>
      </c>
      <c r="AZ126" s="13" t="s">
        <v>124</v>
      </c>
      <c r="BA126" s="15" t="str">
        <f>VLOOKUP(AZ126,'Axe 2 Règles de gestion'!$D$2:$F$121,3, FALSE)</f>
        <v>Un détachement de longue durée ne peut excéder 5 ans entre la date de début et la date de fin réelle.</v>
      </c>
      <c r="BB126" s="13" t="s">
        <v>126</v>
      </c>
      <c r="BC126" s="15" t="str">
        <f>VLOOKUP(BB126,'Axe 2 Règles de gestion'!$D$2:$F$121,3, FALSE)</f>
        <v>La date de début de position doit être antérieure ou égale à la date de fin prévisionnelle de position.</v>
      </c>
      <c r="BD126" s="13" t="s">
        <v>250</v>
      </c>
      <c r="BE126" s="15" t="str">
        <f>VLOOKUP(BD126,'Axe 2 Règles de gestion'!$D$2:$F$121,3, FALSE)</f>
        <v>La date de fin réelle de la position doit être antérieure ou égale à la date de fin réelle ou prévisionnelle du lien juridique.</v>
      </c>
      <c r="BF126" s="13" t="s">
        <v>130</v>
      </c>
      <c r="BG126" s="15" t="str">
        <f>VLOOKUP(BF126,'Axe 2 Règles de gestion'!$D$2:$F$121,3, FALSE)</f>
        <v>La date de fin réelle de la position doit être antérieure à la date limite de départ à la retraite.</v>
      </c>
      <c r="BH126" s="13" t="s">
        <v>252</v>
      </c>
      <c r="BI126" s="15" t="str">
        <f>VLOOKUP(BH126,'Axe 2 Règles de gestion'!$D$2:$F$121,3, FALSE)</f>
        <v>La date de début de la position doit être postérieure ou égale à la date de début du lien juridique.</v>
      </c>
      <c r="BJ126" s="13" t="s">
        <v>132</v>
      </c>
      <c r="BK126" s="15" t="str">
        <f>VLOOKUP(BJ126,'Axe 2 Règles de gestion'!$D$2:$F$121,3, FALSE)</f>
        <v>La date de début de position doit être antérieure ou égale à la date de fin réelle de position.</v>
      </c>
      <c r="BL126" s="13" t="s">
        <v>134</v>
      </c>
      <c r="BM126" s="15" t="str">
        <f>VLOOKUP(BL126,'Axe 2 Règles de gestion'!$D$2:$F$121,3, FALSE)</f>
        <v>La date de fin prévisionnelle de la position doit être antérieure à la date limite de départ à la retraite.</v>
      </c>
      <c r="BN126" s="13" t="s">
        <v>136</v>
      </c>
      <c r="BO126" s="15" t="str">
        <f>VLOOKUP(BN126,'Axe 2 Règles de gestion'!$D$2:$F$121,3, FALSE)</f>
        <v>L'indicateur de carrière est sur la valeur "Accueil".</v>
      </c>
      <c r="BP126" s="13" t="s">
        <v>138</v>
      </c>
      <c r="BQ126" s="15" t="str">
        <f>VLOOKUP(BP126,'Axe 2 Règles de gestion'!$D$2:$F$121,3, FALSE)</f>
        <v>La date de début de position est à J+1 de la date de fin de position de l'occurrence précédente.</v>
      </c>
      <c r="BR126" s="13" t="s">
        <v>140</v>
      </c>
      <c r="BS126" s="15" t="str">
        <f>VLOOKUP(BR126,'Axe 2 Règles de gestion'!$D$2:$F$121,3, FALSE)</f>
        <v>Les champs "Type d'organisme d'origine", "Catégorie statutaire d'origine" et "Pays" de l'organisme d'origine doivent être renseignés.</v>
      </c>
      <c r="BT126" s="13" t="s">
        <v>142</v>
      </c>
      <c r="BU126" s="15" t="str">
        <f>VLOOKUP(BT126,'Axe 2 Règles de gestion'!$D$2:$F$121,3, FALSE)</f>
        <v>Les champs "Ministère (ou institution de la République) d'origine", "Corps d'origine", "Grade d'origine", "Echelon d'origine" sont renseignés si le "Type d'organisme d'origine" est valorisé à FPE.</v>
      </c>
      <c r="BV126" s="13" t="s">
        <v>144</v>
      </c>
      <c r="BW126" s="15" t="str">
        <f>VLOOKUP(BV126,'Axe 2 Règles de gestion'!$D$2:$F$121,3, FALSE)</f>
        <v>Le champ "Organisme d'origine" doit être alimenté si le type d'organisme d'origine est égal à 'Autre organisme', 'Fonction publique d'un état de l'Union Européenne' ou 'Fonction publique Européenne'.</v>
      </c>
      <c r="BX126" s="13" t="s">
        <v>146</v>
      </c>
      <c r="BY126" s="15" t="str">
        <f>VLOOKUP(BX126,'Axe 2 Règles de gestion'!$D$2:$F$121,3, FALSE)</f>
        <v>Le champ "Code emploi statutaire FPT (NET)" est renseigné si le "Type d'organisme d'origine" est valorisé à FPT.</v>
      </c>
      <c r="BZ126" s="13" t="s">
        <v>148</v>
      </c>
      <c r="CA126" s="15" t="str">
        <f>VLOOKUP(BZ126,'Axe 2 Règles de gestion'!$D$2:$F$121,3, FALSE)</f>
        <v>Le champ "Code emploi statutaire FPH (NEH)" est renseigné si le "Type d'organisme d'origine" est valorisé à FPH.</v>
      </c>
      <c r="CB126" s="13" t="s">
        <v>254</v>
      </c>
      <c r="CC126" s="15" t="str">
        <f>VLOOKUP(CB126,'Axe 2 Règles de gestion'!$D$2:$F$121,3, FALSE)</f>
        <v>La date de fin prévisionnelle de la position doit être antérieure ou égale à la date de fin réelle ou prévisionnelle du lien juridique.</v>
      </c>
      <c r="CD126" s="13" t="s">
        <v>150</v>
      </c>
      <c r="CE126" s="15" t="str">
        <f>VLOOKUP(CD126,'Axe 2 Règles de gestion'!$D$2:$F$121,3, FALSE)</f>
        <v>La date de fin ou la date de fin prévisionnelle doit être saisie.</v>
      </c>
      <c r="CF126" s="13"/>
      <c r="CG126" s="13"/>
    </row>
    <row r="127" spans="1:85" ht="135" x14ac:dyDescent="0.25">
      <c r="A127" s="13" t="s">
        <v>86</v>
      </c>
      <c r="B127" s="13" t="s">
        <v>153</v>
      </c>
      <c r="C127" s="14">
        <v>44012.458333333336</v>
      </c>
      <c r="D127" s="13" t="s">
        <v>88</v>
      </c>
      <c r="E127" s="15" t="s">
        <v>89</v>
      </c>
      <c r="F127" s="13" t="s">
        <v>90</v>
      </c>
      <c r="G127" s="15" t="s">
        <v>91</v>
      </c>
      <c r="H127" s="13" t="s">
        <v>322</v>
      </c>
      <c r="I127" s="15" t="s">
        <v>323</v>
      </c>
      <c r="J127" s="15" t="s">
        <v>324</v>
      </c>
      <c r="K127" s="15" t="s">
        <v>325</v>
      </c>
      <c r="L127" s="13" t="s">
        <v>326</v>
      </c>
      <c r="M127" s="15" t="s">
        <v>327</v>
      </c>
      <c r="N127" s="13" t="s">
        <v>98</v>
      </c>
      <c r="O127" s="15" t="s">
        <v>99</v>
      </c>
      <c r="P127" s="15" t="s">
        <v>100</v>
      </c>
      <c r="Q127" s="15" t="s">
        <v>332</v>
      </c>
      <c r="R127" s="13" t="s">
        <v>333</v>
      </c>
      <c r="S127" s="13" t="s">
        <v>212</v>
      </c>
      <c r="T127" s="13" t="s">
        <v>104</v>
      </c>
      <c r="U127" s="14">
        <v>43831</v>
      </c>
      <c r="V127" s="14"/>
      <c r="W127" s="15" t="s">
        <v>341</v>
      </c>
      <c r="X127" s="13" t="s">
        <v>106</v>
      </c>
      <c r="Y127" s="15" t="str">
        <f>VLOOKUP(X127,'Axe 2 Règles de gestion'!$D$2:$F$121,3, FALSE)</f>
        <v>L'agent doit détenir le titre ou le diplôme requis pour l'exercice des fonctions du corps d'accueil.</v>
      </c>
      <c r="Z127" s="13" t="s">
        <v>335</v>
      </c>
      <c r="AA127" s="15" t="str">
        <f>VLOOKUP(Z127,'Axe 2 Règles de gestion'!$D$2:$F$121,3, FALSE)</f>
        <v>La mission doit excéder 6 mois.</v>
      </c>
      <c r="AB127" s="13" t="s">
        <v>108</v>
      </c>
      <c r="AC127" s="15" t="str">
        <f>VLOOKUP(AB127,'Axe 2 Règles de gestion'!$D$2:$F$121,3, FALSE)</f>
        <v>L'agent doit formuler une demande.</v>
      </c>
      <c r="AD127" s="13" t="s">
        <v>337</v>
      </c>
      <c r="AE127" s="15" t="str">
        <f>VLOOKUP(AD127,'Axe 2 Règles de gestion'!$D$2:$F$121,3, FALSE)</f>
        <v>La demande doit être adressé au ministre responsable de la coopération.</v>
      </c>
      <c r="AF127" s="13" t="s">
        <v>112</v>
      </c>
      <c r="AG127" s="15" t="str">
        <f>VLOOKUP(AF127,'Axe 2 Règles de gestion'!$D$2:$F$121,3, FALSE)</f>
        <v>L'accord de l'administration d'origine est nécessaire.</v>
      </c>
      <c r="AH127" s="13" t="s">
        <v>339</v>
      </c>
      <c r="AI127" s="15" t="str">
        <f>VLOOKUP(AH127,'Axe 2 Règles de gestion'!$D$2:$F$121,3, FALSE)</f>
        <v>L'agent souscrit un contrat à durée déterminée avec le ministère des affaires étrangères.</v>
      </c>
      <c r="AJ127" s="13"/>
      <c r="AK127" s="15"/>
      <c r="AL127" s="13"/>
      <c r="AM127" s="15"/>
      <c r="AN127" s="13"/>
      <c r="AO127" s="15"/>
      <c r="AP127" s="13" t="s">
        <v>114</v>
      </c>
      <c r="AQ127" s="15" t="str">
        <f>VLOOKUP(AP127,'Axe 2 Règles de gestion'!$D$2:$F$121,3, FALSE)</f>
        <v>Un détachement de courte durée à l'étranger ou dans les TOM ne peut excéder 1 an entre la date de début et la date de fin prévisionnelle.</v>
      </c>
      <c r="AR127" s="13" t="s">
        <v>116</v>
      </c>
      <c r="AS127" s="15" t="str">
        <f>VLOOKUP(AR127,'Axe 2 Règles de gestion'!$D$2:$F$121,3, FALSE)</f>
        <v>Un détachement de courte durée à l'étranger ou dans les TOM ne peut excéder 1 an entre la date de début et la date de fin réelle.</v>
      </c>
      <c r="AT127" s="13" t="s">
        <v>118</v>
      </c>
      <c r="AU127" s="15" t="str">
        <f>VLOOKUP(AT127,'Axe 2 Règles de gestion'!$D$2:$F$121,3, FALSE)</f>
        <v>Un détachement de courte durée n'ayant pas lieu à l'étranger ou dans les TOM ne peut excéder six mois entre la date de début et la date de fin prévisionnelle.</v>
      </c>
      <c r="AV127" s="13" t="s">
        <v>120</v>
      </c>
      <c r="AW127" s="15" t="str">
        <f>VLOOKUP(AV127,'Axe 2 Règles de gestion'!$D$2:$F$121,3, FALSE)</f>
        <v>Un détachement de courte durée n'ayant pas lieu à l'étranger ou dans les TOM ne peut excéder six mois entre la date de début et la date de fin réelle.</v>
      </c>
      <c r="AX127" s="13" t="s">
        <v>122</v>
      </c>
      <c r="AY127" s="15" t="str">
        <f>VLOOKUP(AX127,'Axe 2 Règles de gestion'!$D$2:$F$121,3, FALSE)</f>
        <v>Un détachement de longue durée ne peut excéder 5 ans entre la date de début et la date de fin prévisionnelle.</v>
      </c>
      <c r="AZ127" s="13" t="s">
        <v>124</v>
      </c>
      <c r="BA127" s="15" t="str">
        <f>VLOOKUP(AZ127,'Axe 2 Règles de gestion'!$D$2:$F$121,3, FALSE)</f>
        <v>Un détachement de longue durée ne peut excéder 5 ans entre la date de début et la date de fin réelle.</v>
      </c>
      <c r="BB127" s="13" t="s">
        <v>126</v>
      </c>
      <c r="BC127" s="15" t="str">
        <f>VLOOKUP(BB127,'Axe 2 Règles de gestion'!$D$2:$F$121,3, FALSE)</f>
        <v>La date de début de position doit être antérieure ou égale à la date de fin prévisionnelle de position.</v>
      </c>
      <c r="BD127" s="13" t="s">
        <v>250</v>
      </c>
      <c r="BE127" s="15" t="str">
        <f>VLOOKUP(BD127,'Axe 2 Règles de gestion'!$D$2:$F$121,3, FALSE)</f>
        <v>La date de fin réelle de la position doit être antérieure ou égale à la date de fin réelle ou prévisionnelle du lien juridique.</v>
      </c>
      <c r="BF127" s="13" t="s">
        <v>130</v>
      </c>
      <c r="BG127" s="15" t="str">
        <f>VLOOKUP(BF127,'Axe 2 Règles de gestion'!$D$2:$F$121,3, FALSE)</f>
        <v>La date de fin réelle de la position doit être antérieure à la date limite de départ à la retraite.</v>
      </c>
      <c r="BH127" s="13" t="s">
        <v>252</v>
      </c>
      <c r="BI127" s="15" t="str">
        <f>VLOOKUP(BH127,'Axe 2 Règles de gestion'!$D$2:$F$121,3, FALSE)</f>
        <v>La date de début de la position doit être postérieure ou égale à la date de début du lien juridique.</v>
      </c>
      <c r="BJ127" s="13" t="s">
        <v>132</v>
      </c>
      <c r="BK127" s="15" t="str">
        <f>VLOOKUP(BJ127,'Axe 2 Règles de gestion'!$D$2:$F$121,3, FALSE)</f>
        <v>La date de début de position doit être antérieure ou égale à la date de fin réelle de position.</v>
      </c>
      <c r="BL127" s="13" t="s">
        <v>134</v>
      </c>
      <c r="BM127" s="15" t="str">
        <f>VLOOKUP(BL127,'Axe 2 Règles de gestion'!$D$2:$F$121,3, FALSE)</f>
        <v>La date de fin prévisionnelle de la position doit être antérieure à la date limite de départ à la retraite.</v>
      </c>
      <c r="BN127" s="13" t="s">
        <v>136</v>
      </c>
      <c r="BO127" s="15" t="str">
        <f>VLOOKUP(BN127,'Axe 2 Règles de gestion'!$D$2:$F$121,3, FALSE)</f>
        <v>L'indicateur de carrière est sur la valeur "Accueil".</v>
      </c>
      <c r="BP127" s="13" t="s">
        <v>138</v>
      </c>
      <c r="BQ127" s="15" t="str">
        <f>VLOOKUP(BP127,'Axe 2 Règles de gestion'!$D$2:$F$121,3, FALSE)</f>
        <v>La date de début de position est à J+1 de la date de fin de position de l'occurrence précédente.</v>
      </c>
      <c r="BR127" s="13" t="s">
        <v>140</v>
      </c>
      <c r="BS127" s="15" t="str">
        <f>VLOOKUP(BR127,'Axe 2 Règles de gestion'!$D$2:$F$121,3, FALSE)</f>
        <v>Les champs "Type d'organisme d'origine", "Catégorie statutaire d'origine" et "Pays" de l'organisme d'origine doivent être renseignés.</v>
      </c>
      <c r="BT127" s="13" t="s">
        <v>142</v>
      </c>
      <c r="BU127" s="15" t="str">
        <f>VLOOKUP(BT127,'Axe 2 Règles de gestion'!$D$2:$F$121,3, FALSE)</f>
        <v>Les champs "Ministère (ou institution de la République) d'origine", "Corps d'origine", "Grade d'origine", "Echelon d'origine" sont renseignés si le "Type d'organisme d'origine" est valorisé à FPE.</v>
      </c>
      <c r="BV127" s="13" t="s">
        <v>144</v>
      </c>
      <c r="BW127" s="15" t="str">
        <f>VLOOKUP(BV127,'Axe 2 Règles de gestion'!$D$2:$F$121,3, FALSE)</f>
        <v>Le champ "Organisme d'origine" doit être alimenté si le type d'organisme d'origine est égal à 'Autre organisme', 'Fonction publique d'un état de l'Union Européenne' ou 'Fonction publique Européenne'.</v>
      </c>
      <c r="BX127" s="13" t="s">
        <v>146</v>
      </c>
      <c r="BY127" s="15" t="str">
        <f>VLOOKUP(BX127,'Axe 2 Règles de gestion'!$D$2:$F$121,3, FALSE)</f>
        <v>Le champ "Code emploi statutaire FPT (NET)" est renseigné si le "Type d'organisme d'origine" est valorisé à FPT.</v>
      </c>
      <c r="BZ127" s="13" t="s">
        <v>148</v>
      </c>
      <c r="CA127" s="15" t="str">
        <f>VLOOKUP(BZ127,'Axe 2 Règles de gestion'!$D$2:$F$121,3, FALSE)</f>
        <v>Le champ "Code emploi statutaire FPH (NEH)" est renseigné si le "Type d'organisme d'origine" est valorisé à FPH.</v>
      </c>
      <c r="CB127" s="13" t="s">
        <v>254</v>
      </c>
      <c r="CC127" s="15" t="str">
        <f>VLOOKUP(CB127,'Axe 2 Règles de gestion'!$D$2:$F$121,3, FALSE)</f>
        <v>La date de fin prévisionnelle de la position doit être antérieure ou égale à la date de fin réelle ou prévisionnelle du lien juridique.</v>
      </c>
      <c r="CD127" s="13" t="s">
        <v>150</v>
      </c>
      <c r="CE127" s="15" t="str">
        <f>VLOOKUP(CD127,'Axe 2 Règles de gestion'!$D$2:$F$121,3, FALSE)</f>
        <v>La date de fin ou la date de fin prévisionnelle doit être saisie.</v>
      </c>
      <c r="CF127" s="13"/>
      <c r="CG127" s="13"/>
    </row>
    <row r="128" spans="1:85" ht="135" x14ac:dyDescent="0.25">
      <c r="A128" s="13" t="s">
        <v>86</v>
      </c>
      <c r="B128" s="13" t="s">
        <v>87</v>
      </c>
      <c r="C128" s="14">
        <v>43850.552083333336</v>
      </c>
      <c r="D128" s="13" t="s">
        <v>88</v>
      </c>
      <c r="E128" s="15" t="s">
        <v>89</v>
      </c>
      <c r="F128" s="13" t="s">
        <v>90</v>
      </c>
      <c r="G128" s="15" t="s">
        <v>91</v>
      </c>
      <c r="H128" s="13" t="s">
        <v>322</v>
      </c>
      <c r="I128" s="15" t="s">
        <v>323</v>
      </c>
      <c r="J128" s="15" t="s">
        <v>324</v>
      </c>
      <c r="K128" s="15" t="s">
        <v>325</v>
      </c>
      <c r="L128" s="13" t="s">
        <v>328</v>
      </c>
      <c r="M128" s="15" t="s">
        <v>329</v>
      </c>
      <c r="N128" s="13" t="s">
        <v>98</v>
      </c>
      <c r="O128" s="15" t="s">
        <v>170</v>
      </c>
      <c r="P128" s="15" t="s">
        <v>171</v>
      </c>
      <c r="Q128" s="15" t="s">
        <v>332</v>
      </c>
      <c r="R128" s="13" t="s">
        <v>333</v>
      </c>
      <c r="S128" s="13" t="s">
        <v>212</v>
      </c>
      <c r="T128" s="13" t="s">
        <v>104</v>
      </c>
      <c r="U128" s="14">
        <v>40725</v>
      </c>
      <c r="V128" s="14"/>
      <c r="W128" s="15" t="s">
        <v>342</v>
      </c>
      <c r="X128" s="13" t="s">
        <v>343</v>
      </c>
      <c r="Y128" s="15" t="str">
        <f>VLOOKUP(X128,'Axe 2 Règles de gestion'!$D$2:$F$121,3, FALSE)</f>
        <v>Le détachement est renouvelé si le contrat est reconduit.</v>
      </c>
      <c r="Z128" s="13" t="s">
        <v>173</v>
      </c>
      <c r="AA128" s="15" t="str">
        <f>VLOOKUP(Z128,'Axe 2 Règles de gestion'!$D$2:$F$121,3, FALSE)</f>
        <v>L'agent doit formuler une demande de renouvellement à son administration d'origine 3 mois au moins avant l'expiration de la période de détachement de longue durée.</v>
      </c>
      <c r="AB128" s="13" t="s">
        <v>175</v>
      </c>
      <c r="AC128" s="15" t="str">
        <f>VLOOKUP(AB128,'Axe 2 Règles de gestion'!$D$2:$F$121,3, FALSE)</f>
        <v>L'organisme d'accueil adresse sa décision à l'agent et à l'administration d'origine 2 mois au moins avant l'expiration de la période de détachement.</v>
      </c>
      <c r="AD128" s="13"/>
      <c r="AE128" s="15"/>
      <c r="AF128" s="13"/>
      <c r="AG128" s="15"/>
      <c r="AH128" s="13"/>
      <c r="AI128" s="15"/>
      <c r="AJ128" s="13"/>
      <c r="AK128" s="15"/>
      <c r="AL128" s="13"/>
      <c r="AM128" s="15"/>
      <c r="AN128" s="13"/>
      <c r="AO128" s="15"/>
      <c r="AP128" s="13" t="s">
        <v>122</v>
      </c>
      <c r="AQ128" s="15" t="str">
        <f>VLOOKUP(AP128,'Axe 2 Règles de gestion'!$D$2:$F$121,3, FALSE)</f>
        <v>Un détachement de longue durée ne peut excéder 5 ans entre la date de début et la date de fin prévisionnelle.</v>
      </c>
      <c r="AR128" s="13" t="s">
        <v>124</v>
      </c>
      <c r="AS128" s="15" t="str">
        <f>VLOOKUP(AR128,'Axe 2 Règles de gestion'!$D$2:$F$121,3, FALSE)</f>
        <v>Un détachement de longue durée ne peut excéder 5 ans entre la date de début et la date de fin réelle.</v>
      </c>
      <c r="AT128" s="13" t="s">
        <v>177</v>
      </c>
      <c r="AU128" s="15" t="str">
        <f>VLOOKUP(AT128,'Axe 2 Règles de gestion'!$D$2:$F$121,3, FALSE)</f>
        <v>Le renouvellement d'un détachement de courte durée est interdit.</v>
      </c>
      <c r="AV128" s="13"/>
      <c r="AW128" s="15"/>
      <c r="AX128" s="13"/>
      <c r="AY128" s="15"/>
      <c r="AZ128" s="13"/>
      <c r="BA128" s="15"/>
      <c r="BB128" s="13" t="s">
        <v>126</v>
      </c>
      <c r="BC128" s="15" t="str">
        <f>VLOOKUP(BB128,'Axe 2 Règles de gestion'!$D$2:$F$121,3, FALSE)</f>
        <v>La date de début de position doit être antérieure ou égale à la date de fin prévisionnelle de position.</v>
      </c>
      <c r="BD128" s="13" t="s">
        <v>250</v>
      </c>
      <c r="BE128" s="15" t="str">
        <f>VLOOKUP(BD128,'Axe 2 Règles de gestion'!$D$2:$F$121,3, FALSE)</f>
        <v>La date de fin réelle de la position doit être antérieure ou égale à la date de fin réelle ou prévisionnelle du lien juridique.</v>
      </c>
      <c r="BF128" s="13" t="s">
        <v>130</v>
      </c>
      <c r="BG128" s="15" t="str">
        <f>VLOOKUP(BF128,'Axe 2 Règles de gestion'!$D$2:$F$121,3, FALSE)</f>
        <v>La date de fin réelle de la position doit être antérieure à la date limite de départ à la retraite.</v>
      </c>
      <c r="BH128" s="13" t="s">
        <v>252</v>
      </c>
      <c r="BI128" s="15" t="str">
        <f>VLOOKUP(BH128,'Axe 2 Règles de gestion'!$D$2:$F$121,3, FALSE)</f>
        <v>La date de début de la position doit être postérieure ou égale à la date de début du lien juridique.</v>
      </c>
      <c r="BJ128" s="13" t="s">
        <v>132</v>
      </c>
      <c r="BK128" s="15" t="str">
        <f>VLOOKUP(BJ128,'Axe 2 Règles de gestion'!$D$2:$F$121,3, FALSE)</f>
        <v>La date de début de position doit être antérieure ou égale à la date de fin réelle de position.</v>
      </c>
      <c r="BL128" s="13" t="s">
        <v>134</v>
      </c>
      <c r="BM128" s="15" t="str">
        <f>VLOOKUP(BL128,'Axe 2 Règles de gestion'!$D$2:$F$121,3, FALSE)</f>
        <v>La date de fin prévisionnelle de la position doit être antérieure à la date limite de départ à la retraite.</v>
      </c>
      <c r="BN128" s="13" t="s">
        <v>136</v>
      </c>
      <c r="BO128" s="15" t="str">
        <f>VLOOKUP(BN128,'Axe 2 Règles de gestion'!$D$2:$F$121,3, FALSE)</f>
        <v>L'indicateur de carrière est sur la valeur "Accueil".</v>
      </c>
      <c r="BP128" s="13" t="s">
        <v>138</v>
      </c>
      <c r="BQ128" s="15" t="str">
        <f>VLOOKUP(BP128,'Axe 2 Règles de gestion'!$D$2:$F$121,3, FALSE)</f>
        <v>La date de début de position est à J+1 de la date de fin de position de l'occurrence précédente.</v>
      </c>
      <c r="BR128" s="13" t="s">
        <v>140</v>
      </c>
      <c r="BS128" s="15" t="str">
        <f>VLOOKUP(BR128,'Axe 2 Règles de gestion'!$D$2:$F$121,3, FALSE)</f>
        <v>Les champs "Type d'organisme d'origine", "Catégorie statutaire d'origine" et "Pays" de l'organisme d'origine doivent être renseignés.</v>
      </c>
      <c r="BT128" s="13" t="s">
        <v>142</v>
      </c>
      <c r="BU128" s="15" t="str">
        <f>VLOOKUP(BT128,'Axe 2 Règles de gestion'!$D$2:$F$121,3, FALSE)</f>
        <v>Les champs "Ministère (ou institution de la République) d'origine", "Corps d'origine", "Grade d'origine", "Echelon d'origine" sont renseignés si le "Type d'organisme d'origine" est valorisé à FPE.</v>
      </c>
      <c r="BV128" s="13" t="s">
        <v>144</v>
      </c>
      <c r="BW128" s="15" t="str">
        <f>VLOOKUP(BV128,'Axe 2 Règles de gestion'!$D$2:$F$121,3, FALSE)</f>
        <v>Le champ "Organisme d'origine" doit être alimenté si le type d'organisme d'origine est égal à 'Autre organisme', 'Fonction publique d'un état de l'Union Européenne' ou 'Fonction publique Européenne'.</v>
      </c>
      <c r="BX128" s="13" t="s">
        <v>146</v>
      </c>
      <c r="BY128" s="15" t="str">
        <f>VLOOKUP(BX128,'Axe 2 Règles de gestion'!$D$2:$F$121,3, FALSE)</f>
        <v>Le champ "Code emploi statutaire FPT (NET)" est renseigné si le "Type d'organisme d'origine" est valorisé à FPT.</v>
      </c>
      <c r="BZ128" s="13" t="s">
        <v>148</v>
      </c>
      <c r="CA128" s="15" t="str">
        <f>VLOOKUP(BZ128,'Axe 2 Règles de gestion'!$D$2:$F$121,3, FALSE)</f>
        <v>Le champ "Code emploi statutaire FPH (NEH)" est renseigné si le "Type d'organisme d'origine" est valorisé à FPH.</v>
      </c>
      <c r="CB128" s="13" t="s">
        <v>254</v>
      </c>
      <c r="CC128" s="15" t="str">
        <f>VLOOKUP(CB128,'Axe 2 Règles de gestion'!$D$2:$F$121,3, FALSE)</f>
        <v>La date de fin prévisionnelle de la position doit être antérieure ou égale à la date de fin réelle ou prévisionnelle du lien juridique.</v>
      </c>
      <c r="CD128" s="13" t="s">
        <v>150</v>
      </c>
      <c r="CE128" s="15" t="str">
        <f>VLOOKUP(CD128,'Axe 2 Règles de gestion'!$D$2:$F$121,3, FALSE)</f>
        <v>La date de fin ou la date de fin prévisionnelle doit être saisie.</v>
      </c>
      <c r="CF128" s="13"/>
      <c r="CG128" s="13"/>
    </row>
    <row r="129" spans="1:85" ht="150" x14ac:dyDescent="0.25">
      <c r="A129" s="13" t="s">
        <v>86</v>
      </c>
      <c r="B129" s="13" t="s">
        <v>87</v>
      </c>
      <c r="C129" s="14">
        <v>43850.552083333336</v>
      </c>
      <c r="D129" s="13" t="s">
        <v>88</v>
      </c>
      <c r="E129" s="15" t="s">
        <v>89</v>
      </c>
      <c r="F129" s="13" t="s">
        <v>90</v>
      </c>
      <c r="G129" s="15" t="s">
        <v>91</v>
      </c>
      <c r="H129" s="13" t="s">
        <v>322</v>
      </c>
      <c r="I129" s="15" t="s">
        <v>323</v>
      </c>
      <c r="J129" s="15" t="s">
        <v>324</v>
      </c>
      <c r="K129" s="15" t="s">
        <v>325</v>
      </c>
      <c r="L129" s="13" t="s">
        <v>330</v>
      </c>
      <c r="M129" s="15" t="s">
        <v>331</v>
      </c>
      <c r="N129" s="13" t="s">
        <v>188</v>
      </c>
      <c r="O129" s="15" t="s">
        <v>189</v>
      </c>
      <c r="P129" s="15" t="s">
        <v>190</v>
      </c>
      <c r="Q129" s="15" t="s">
        <v>332</v>
      </c>
      <c r="R129" s="13" t="s">
        <v>333</v>
      </c>
      <c r="S129" s="13" t="s">
        <v>212</v>
      </c>
      <c r="T129" s="13" t="s">
        <v>104</v>
      </c>
      <c r="U129" s="14">
        <v>40725</v>
      </c>
      <c r="V129" s="14"/>
      <c r="W129" s="15" t="s">
        <v>258</v>
      </c>
      <c r="X129" s="13" t="s">
        <v>192</v>
      </c>
      <c r="Y129" s="15" t="str">
        <f>VLOOKUP(X129,'Axe 2 Règles de gestion'!$D$2:$F$121,3, FALSE)</f>
        <v>Le détachement peut prendre fin de manière anticipée à l'initiative de l'administration d'accueil, de l'administration d'origine ou de l'agent.</v>
      </c>
      <c r="Z129" s="13" t="s">
        <v>194</v>
      </c>
      <c r="AA129" s="15" t="str">
        <f>VLOOKUP(Z129,'Axe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129" s="13" t="s">
        <v>196</v>
      </c>
      <c r="AC129" s="15" t="str">
        <f>VLOOKUP(AB129,'Axe 2 Règles de gestion'!$D$2:$F$121,3, FALSE)</f>
        <v>L'agent doit adresser une demande de réintégration à l'administration d'origine 3 mois au moins avant l'expiration de la période de détachement de longue durée.</v>
      </c>
      <c r="AD129" s="13" t="s">
        <v>175</v>
      </c>
      <c r="AE129" s="15" t="str">
        <f>VLOOKUP(AD129,'Axe 2 Règles de gestion'!$D$2:$F$121,3, FALSE)</f>
        <v>L'organisme d'accueil adresse sa décision à l'agent et à l'administration d'origine 2 mois au moins avant l'expiration de la période de détachement.</v>
      </c>
      <c r="AF129" s="13" t="s">
        <v>198</v>
      </c>
      <c r="AG129" s="15" t="str">
        <f>VLOOKUP(AF129,'Axe 2 Règles de gestion'!$D$2:$F$121,3, FALSE)</f>
        <v>Si l'agent n'adresse pas sa demande dans les délais, il est obligatoirement réintégré à la première vacance dans son corps d'origine et affecté à un emploi correspondant à son grade.</v>
      </c>
      <c r="AH129" s="13" t="s">
        <v>200</v>
      </c>
      <c r="AI129" s="15" t="str">
        <f>VLOOKUP(AH129,'Axe 2 Règles de gestion'!$D$2:$F$121,3, FALSE)</f>
        <v>Les dispositions relatives à la réintégration au terme d'un détachement de longue durée ne sont pas applicables aux préfets et sous-préfets.</v>
      </c>
      <c r="AJ129" s="13"/>
      <c r="AK129" s="15"/>
      <c r="AL129" s="13"/>
      <c r="AM129" s="15"/>
      <c r="AN129" s="13"/>
      <c r="AO129" s="15"/>
      <c r="AP129" s="13" t="s">
        <v>114</v>
      </c>
      <c r="AQ129" s="15" t="str">
        <f>VLOOKUP(AP129,'Axe 2 Règles de gestion'!$D$2:$F$121,3, FALSE)</f>
        <v>Un détachement de courte durée à l'étranger ou dans les TOM ne peut excéder 1 an entre la date de début et la date de fin prévisionnelle.</v>
      </c>
      <c r="AR129" s="13" t="s">
        <v>116</v>
      </c>
      <c r="AS129" s="15" t="str">
        <f>VLOOKUP(AR129,'Axe 2 Règles de gestion'!$D$2:$F$121,3, FALSE)</f>
        <v>Un détachement de courte durée à l'étranger ou dans les TOM ne peut excéder 1 an entre la date de début et la date de fin réelle.</v>
      </c>
      <c r="AT129" s="13" t="s">
        <v>118</v>
      </c>
      <c r="AU129" s="15" t="str">
        <f>VLOOKUP(AT129,'Axe 2 Règles de gestion'!$D$2:$F$121,3, FALSE)</f>
        <v>Un détachement de courte durée n'ayant pas lieu à l'étranger ou dans les TOM ne peut excéder six mois entre la date de début et la date de fin prévisionnelle.</v>
      </c>
      <c r="AV129" s="13" t="s">
        <v>120</v>
      </c>
      <c r="AW129" s="15" t="str">
        <f>VLOOKUP(AV129,'Axe 2 Règles de gestion'!$D$2:$F$121,3, FALSE)</f>
        <v>Un détachement de courte durée n'ayant pas lieu à l'étranger ou dans les TOM ne peut excéder six mois entre la date de début et la date de fin réelle.</v>
      </c>
      <c r="AX129" s="13" t="s">
        <v>122</v>
      </c>
      <c r="AY129" s="15" t="str">
        <f>VLOOKUP(AX129,'Axe 2 Règles de gestion'!$D$2:$F$121,3, FALSE)</f>
        <v>Un détachement de longue durée ne peut excéder 5 ans entre la date de début et la date de fin prévisionnelle.</v>
      </c>
      <c r="AZ129" s="13" t="s">
        <v>124</v>
      </c>
      <c r="BA129" s="15" t="str">
        <f>VLOOKUP(AZ129,'Axe 2 Règles de gestion'!$D$2:$F$121,3, FALSE)</f>
        <v>Un détachement de longue durée ne peut excéder 5 ans entre la date de début et la date de fin réelle.</v>
      </c>
      <c r="BB129" s="13" t="s">
        <v>126</v>
      </c>
      <c r="BC129" s="15" t="str">
        <f>VLOOKUP(BB129,'Axe 2 Règles de gestion'!$D$2:$F$121,3, FALSE)</f>
        <v>La date de début de position doit être antérieure ou égale à la date de fin prévisionnelle de position.</v>
      </c>
      <c r="BD129" s="13" t="s">
        <v>250</v>
      </c>
      <c r="BE129" s="15" t="str">
        <f>VLOOKUP(BD129,'Axe 2 Règles de gestion'!$D$2:$F$121,3, FALSE)</f>
        <v>La date de fin réelle de la position doit être antérieure ou égale à la date de fin réelle ou prévisionnelle du lien juridique.</v>
      </c>
      <c r="BF129" s="13" t="s">
        <v>130</v>
      </c>
      <c r="BG129" s="15" t="str">
        <f>VLOOKUP(BF129,'Axe 2 Règles de gestion'!$D$2:$F$121,3, FALSE)</f>
        <v>La date de fin réelle de la position doit être antérieure à la date limite de départ à la retraite.</v>
      </c>
      <c r="BH129" s="13" t="s">
        <v>132</v>
      </c>
      <c r="BI129" s="15" t="str">
        <f>VLOOKUP(BH129,'Axe 2 Règles de gestion'!$D$2:$F$121,3, FALSE)</f>
        <v>La date de début de position doit être antérieure ou égale à la date de fin réelle de position.</v>
      </c>
      <c r="BJ129" s="13" t="s">
        <v>134</v>
      </c>
      <c r="BK129" s="15" t="str">
        <f>VLOOKUP(BJ129,'Axe 2 Règles de gestion'!$D$2:$F$121,3, FALSE)</f>
        <v>La date de fin prévisionnelle de la position doit être antérieure à la date limite de départ à la retraite.</v>
      </c>
      <c r="BL129" s="13" t="s">
        <v>140</v>
      </c>
      <c r="BM129" s="15" t="str">
        <f>VLOOKUP(BL129,'Axe 2 Règles de gestion'!$D$2:$F$121,3, FALSE)</f>
        <v>Les champs "Type d'organisme d'origine", "Catégorie statutaire d'origine" et "Pays" de l'organisme d'origine doivent être renseignés.</v>
      </c>
      <c r="BN129" s="13" t="s">
        <v>142</v>
      </c>
      <c r="BO129" s="15" t="str">
        <f>VLOOKUP(BN129,'Axe 2 Règles de gestion'!$D$2:$F$121,3, FALSE)</f>
        <v>Les champs "Ministère (ou institution de la République) d'origine", "Corps d'origine", "Grade d'origine", "Echelon d'origine" sont renseignés si le "Type d'organisme d'origine" est valorisé à FPE.</v>
      </c>
      <c r="BP129" s="13" t="s">
        <v>144</v>
      </c>
      <c r="BQ129" s="15" t="str">
        <f>VLOOKUP(BP129,'Axe 2 Règles de gestion'!$D$2:$F$121,3, FALSE)</f>
        <v>Le champ "Organisme d'origine" doit être alimenté si le type d'organisme d'origine est égal à 'Autre organisme', 'Fonction publique d'un état de l'Union Européenne' ou 'Fonction publique Européenne'.</v>
      </c>
      <c r="BR129" s="13" t="s">
        <v>146</v>
      </c>
      <c r="BS129" s="15" t="str">
        <f>VLOOKUP(BR129,'Axe 2 Règles de gestion'!$D$2:$F$121,3, FALSE)</f>
        <v>Le champ "Code emploi statutaire FPT (NET)" est renseigné si le "Type d'organisme d'origine" est valorisé à FPT.</v>
      </c>
      <c r="BT129" s="13" t="s">
        <v>148</v>
      </c>
      <c r="BU129" s="15" t="str">
        <f>VLOOKUP(BT129,'Axe 2 Règles de gestion'!$D$2:$F$121,3, FALSE)</f>
        <v>Le champ "Code emploi statutaire FPH (NEH)" est renseigné si le "Type d'organisme d'origine" est valorisé à FPH.</v>
      </c>
      <c r="BV129" s="13" t="s">
        <v>254</v>
      </c>
      <c r="BW129" s="15" t="str">
        <f>VLOOKUP(BV129,'Axe 2 Règles de gestion'!$D$2:$F$121,3, FALSE)</f>
        <v>La date de fin prévisionnelle de la position doit être antérieure ou égale à la date de fin réelle ou prévisionnelle du lien juridique.</v>
      </c>
      <c r="BX129" s="13" t="s">
        <v>150</v>
      </c>
      <c r="BY129" s="15" t="str">
        <f>VLOOKUP(BX129,'Axe 2 Règles de gestion'!$D$2:$F$121,3, FALSE)</f>
        <v>La date de fin ou la date de fin prévisionnelle doit être saisie.</v>
      </c>
      <c r="BZ129" s="13"/>
      <c r="CA129" s="15"/>
      <c r="CB129" s="13"/>
      <c r="CC129" s="15"/>
      <c r="CD129" s="13"/>
      <c r="CE129" s="15"/>
      <c r="CF129" s="13"/>
      <c r="CG129" s="13"/>
    </row>
    <row r="130" spans="1:85" ht="135" x14ac:dyDescent="0.25">
      <c r="A130" s="13" t="s">
        <v>202</v>
      </c>
      <c r="B130" s="13" t="s">
        <v>153</v>
      </c>
      <c r="C130" s="14">
        <v>43152.5</v>
      </c>
      <c r="D130" s="13" t="s">
        <v>88</v>
      </c>
      <c r="E130" s="15" t="s">
        <v>89</v>
      </c>
      <c r="F130" s="13" t="s">
        <v>90</v>
      </c>
      <c r="G130" s="15" t="s">
        <v>91</v>
      </c>
      <c r="H130" s="13" t="s">
        <v>345</v>
      </c>
      <c r="I130" s="15" t="s">
        <v>346</v>
      </c>
      <c r="J130" s="15" t="s">
        <v>347</v>
      </c>
      <c r="K130" s="15" t="s">
        <v>348</v>
      </c>
      <c r="L130" s="13" t="s">
        <v>349</v>
      </c>
      <c r="M130" s="15" t="s">
        <v>350</v>
      </c>
      <c r="N130" s="13" t="s">
        <v>98</v>
      </c>
      <c r="O130" s="15" t="s">
        <v>99</v>
      </c>
      <c r="P130" s="15" t="s">
        <v>100</v>
      </c>
      <c r="Q130" s="15" t="s">
        <v>101</v>
      </c>
      <c r="R130" s="13" t="s">
        <v>102</v>
      </c>
      <c r="S130" s="13" t="s">
        <v>103</v>
      </c>
      <c r="T130" s="13" t="s">
        <v>205</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3"/>
    </row>
    <row r="131" spans="1:85" ht="135" x14ac:dyDescent="0.25">
      <c r="A131" s="13" t="s">
        <v>202</v>
      </c>
      <c r="B131" s="13" t="s">
        <v>153</v>
      </c>
      <c r="C131" s="14">
        <v>43152.5</v>
      </c>
      <c r="D131" s="13" t="s">
        <v>88</v>
      </c>
      <c r="E131" s="15" t="s">
        <v>89</v>
      </c>
      <c r="F131" s="13" t="s">
        <v>90</v>
      </c>
      <c r="G131" s="15" t="s">
        <v>91</v>
      </c>
      <c r="H131" s="13" t="s">
        <v>345</v>
      </c>
      <c r="I131" s="15" t="s">
        <v>346</v>
      </c>
      <c r="J131" s="15" t="s">
        <v>347</v>
      </c>
      <c r="K131" s="15" t="s">
        <v>348</v>
      </c>
      <c r="L131" s="13" t="s">
        <v>351</v>
      </c>
      <c r="M131" s="15" t="s">
        <v>352</v>
      </c>
      <c r="N131" s="13" t="s">
        <v>98</v>
      </c>
      <c r="O131" s="15" t="s">
        <v>170</v>
      </c>
      <c r="P131" s="15" t="s">
        <v>171</v>
      </c>
      <c r="Q131" s="15" t="s">
        <v>101</v>
      </c>
      <c r="R131" s="13" t="s">
        <v>102</v>
      </c>
      <c r="S131" s="13" t="s">
        <v>103</v>
      </c>
      <c r="T131" s="13" t="s">
        <v>205</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3"/>
    </row>
    <row r="132" spans="1:85" ht="135" x14ac:dyDescent="0.25">
      <c r="A132" s="13" t="s">
        <v>202</v>
      </c>
      <c r="B132" s="13" t="s">
        <v>153</v>
      </c>
      <c r="C132" s="14">
        <v>43152.5</v>
      </c>
      <c r="D132" s="13" t="s">
        <v>88</v>
      </c>
      <c r="E132" s="15" t="s">
        <v>89</v>
      </c>
      <c r="F132" s="13" t="s">
        <v>90</v>
      </c>
      <c r="G132" s="15" t="s">
        <v>91</v>
      </c>
      <c r="H132" s="13" t="s">
        <v>345</v>
      </c>
      <c r="I132" s="15" t="s">
        <v>346</v>
      </c>
      <c r="J132" s="15" t="s">
        <v>347</v>
      </c>
      <c r="K132" s="15" t="s">
        <v>348</v>
      </c>
      <c r="L132" s="13" t="s">
        <v>353</v>
      </c>
      <c r="M132" s="15" t="s">
        <v>354</v>
      </c>
      <c r="N132" s="13" t="s">
        <v>188</v>
      </c>
      <c r="O132" s="15" t="s">
        <v>189</v>
      </c>
      <c r="P132" s="15" t="s">
        <v>190</v>
      </c>
      <c r="Q132" s="15" t="s">
        <v>101</v>
      </c>
      <c r="R132" s="13" t="s">
        <v>102</v>
      </c>
      <c r="S132" s="13" t="s">
        <v>103</v>
      </c>
      <c r="T132" s="13" t="s">
        <v>205</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3"/>
    </row>
    <row r="133" spans="1:85" ht="135" x14ac:dyDescent="0.25">
      <c r="A133" s="13" t="s">
        <v>202</v>
      </c>
      <c r="B133" s="13" t="s">
        <v>153</v>
      </c>
      <c r="C133" s="14">
        <v>43152.5</v>
      </c>
      <c r="D133" s="13" t="s">
        <v>88</v>
      </c>
      <c r="E133" s="15" t="s">
        <v>89</v>
      </c>
      <c r="F133" s="13" t="s">
        <v>90</v>
      </c>
      <c r="G133" s="15" t="s">
        <v>91</v>
      </c>
      <c r="H133" s="13" t="s">
        <v>345</v>
      </c>
      <c r="I133" s="15" t="s">
        <v>346</v>
      </c>
      <c r="J133" s="15" t="s">
        <v>347</v>
      </c>
      <c r="K133" s="15" t="s">
        <v>348</v>
      </c>
      <c r="L133" s="13" t="s">
        <v>349</v>
      </c>
      <c r="M133" s="15" t="s">
        <v>350</v>
      </c>
      <c r="N133" s="13" t="s">
        <v>98</v>
      </c>
      <c r="O133" s="15" t="s">
        <v>99</v>
      </c>
      <c r="P133" s="15" t="s">
        <v>100</v>
      </c>
      <c r="Q133" s="15" t="s">
        <v>203</v>
      </c>
      <c r="R133" s="13" t="s">
        <v>204</v>
      </c>
      <c r="S133" s="13" t="s">
        <v>103</v>
      </c>
      <c r="T133" s="13" t="s">
        <v>205</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3"/>
    </row>
    <row r="134" spans="1:85" ht="135" x14ac:dyDescent="0.25">
      <c r="A134" s="13" t="s">
        <v>202</v>
      </c>
      <c r="B134" s="13" t="s">
        <v>153</v>
      </c>
      <c r="C134" s="14">
        <v>43152.5</v>
      </c>
      <c r="D134" s="13" t="s">
        <v>88</v>
      </c>
      <c r="E134" s="15" t="s">
        <v>89</v>
      </c>
      <c r="F134" s="13" t="s">
        <v>90</v>
      </c>
      <c r="G134" s="15" t="s">
        <v>91</v>
      </c>
      <c r="H134" s="13" t="s">
        <v>345</v>
      </c>
      <c r="I134" s="15" t="s">
        <v>346</v>
      </c>
      <c r="J134" s="15" t="s">
        <v>347</v>
      </c>
      <c r="K134" s="15" t="s">
        <v>348</v>
      </c>
      <c r="L134" s="13" t="s">
        <v>351</v>
      </c>
      <c r="M134" s="15" t="s">
        <v>352</v>
      </c>
      <c r="N134" s="13" t="s">
        <v>98</v>
      </c>
      <c r="O134" s="15" t="s">
        <v>170</v>
      </c>
      <c r="P134" s="15" t="s">
        <v>171</v>
      </c>
      <c r="Q134" s="15" t="s">
        <v>203</v>
      </c>
      <c r="R134" s="13" t="s">
        <v>204</v>
      </c>
      <c r="S134" s="13" t="s">
        <v>103</v>
      </c>
      <c r="T134" s="13" t="s">
        <v>205</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3"/>
    </row>
    <row r="135" spans="1:85" ht="135" x14ac:dyDescent="0.25">
      <c r="A135" s="13" t="s">
        <v>202</v>
      </c>
      <c r="B135" s="13" t="s">
        <v>153</v>
      </c>
      <c r="C135" s="14">
        <v>43152.5</v>
      </c>
      <c r="D135" s="13" t="s">
        <v>88</v>
      </c>
      <c r="E135" s="15" t="s">
        <v>89</v>
      </c>
      <c r="F135" s="13" t="s">
        <v>90</v>
      </c>
      <c r="G135" s="15" t="s">
        <v>91</v>
      </c>
      <c r="H135" s="13" t="s">
        <v>345</v>
      </c>
      <c r="I135" s="15" t="s">
        <v>346</v>
      </c>
      <c r="J135" s="15" t="s">
        <v>347</v>
      </c>
      <c r="K135" s="15" t="s">
        <v>348</v>
      </c>
      <c r="L135" s="13" t="s">
        <v>353</v>
      </c>
      <c r="M135" s="15" t="s">
        <v>354</v>
      </c>
      <c r="N135" s="13" t="s">
        <v>188</v>
      </c>
      <c r="O135" s="15" t="s">
        <v>189</v>
      </c>
      <c r="P135" s="15" t="s">
        <v>190</v>
      </c>
      <c r="Q135" s="15" t="s">
        <v>203</v>
      </c>
      <c r="R135" s="13" t="s">
        <v>204</v>
      </c>
      <c r="S135" s="13" t="s">
        <v>103</v>
      </c>
      <c r="T135" s="13" t="s">
        <v>205</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3"/>
    </row>
    <row r="136" spans="1:85" ht="135" x14ac:dyDescent="0.25">
      <c r="A136" s="13" t="s">
        <v>202</v>
      </c>
      <c r="B136" s="13" t="s">
        <v>153</v>
      </c>
      <c r="C136" s="14">
        <v>43152.5</v>
      </c>
      <c r="D136" s="13" t="s">
        <v>88</v>
      </c>
      <c r="E136" s="15" t="s">
        <v>89</v>
      </c>
      <c r="F136" s="13" t="s">
        <v>90</v>
      </c>
      <c r="G136" s="15" t="s">
        <v>91</v>
      </c>
      <c r="H136" s="13" t="s">
        <v>345</v>
      </c>
      <c r="I136" s="15" t="s">
        <v>346</v>
      </c>
      <c r="J136" s="15" t="s">
        <v>347</v>
      </c>
      <c r="K136" s="15" t="s">
        <v>348</v>
      </c>
      <c r="L136" s="13" t="s">
        <v>349</v>
      </c>
      <c r="M136" s="15" t="s">
        <v>350</v>
      </c>
      <c r="N136" s="13" t="s">
        <v>98</v>
      </c>
      <c r="O136" s="15" t="s">
        <v>99</v>
      </c>
      <c r="P136" s="15" t="s">
        <v>100</v>
      </c>
      <c r="Q136" s="15" t="s">
        <v>206</v>
      </c>
      <c r="R136" s="13" t="s">
        <v>207</v>
      </c>
      <c r="S136" s="13" t="s">
        <v>103</v>
      </c>
      <c r="T136" s="13" t="s">
        <v>205</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3"/>
    </row>
    <row r="137" spans="1:85" ht="135" x14ac:dyDescent="0.25">
      <c r="A137" s="13" t="s">
        <v>202</v>
      </c>
      <c r="B137" s="13" t="s">
        <v>153</v>
      </c>
      <c r="C137" s="14">
        <v>43152.5</v>
      </c>
      <c r="D137" s="13" t="s">
        <v>88</v>
      </c>
      <c r="E137" s="15" t="s">
        <v>89</v>
      </c>
      <c r="F137" s="13" t="s">
        <v>90</v>
      </c>
      <c r="G137" s="15" t="s">
        <v>91</v>
      </c>
      <c r="H137" s="13" t="s">
        <v>345</v>
      </c>
      <c r="I137" s="15" t="s">
        <v>346</v>
      </c>
      <c r="J137" s="15" t="s">
        <v>347</v>
      </c>
      <c r="K137" s="15" t="s">
        <v>348</v>
      </c>
      <c r="L137" s="13" t="s">
        <v>351</v>
      </c>
      <c r="M137" s="15" t="s">
        <v>352</v>
      </c>
      <c r="N137" s="13" t="s">
        <v>98</v>
      </c>
      <c r="O137" s="15" t="s">
        <v>170</v>
      </c>
      <c r="P137" s="15" t="s">
        <v>171</v>
      </c>
      <c r="Q137" s="15" t="s">
        <v>206</v>
      </c>
      <c r="R137" s="13" t="s">
        <v>207</v>
      </c>
      <c r="S137" s="13" t="s">
        <v>103</v>
      </c>
      <c r="T137" s="13" t="s">
        <v>205</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3"/>
    </row>
    <row r="138" spans="1:85" ht="135" x14ac:dyDescent="0.25">
      <c r="A138" s="13" t="s">
        <v>202</v>
      </c>
      <c r="B138" s="13" t="s">
        <v>153</v>
      </c>
      <c r="C138" s="14">
        <v>43152.5</v>
      </c>
      <c r="D138" s="13" t="s">
        <v>88</v>
      </c>
      <c r="E138" s="15" t="s">
        <v>89</v>
      </c>
      <c r="F138" s="13" t="s">
        <v>90</v>
      </c>
      <c r="G138" s="15" t="s">
        <v>91</v>
      </c>
      <c r="H138" s="13" t="s">
        <v>345</v>
      </c>
      <c r="I138" s="15" t="s">
        <v>346</v>
      </c>
      <c r="J138" s="15" t="s">
        <v>347</v>
      </c>
      <c r="K138" s="15" t="s">
        <v>348</v>
      </c>
      <c r="L138" s="13" t="s">
        <v>353</v>
      </c>
      <c r="M138" s="15" t="s">
        <v>354</v>
      </c>
      <c r="N138" s="13" t="s">
        <v>188</v>
      </c>
      <c r="O138" s="15" t="s">
        <v>189</v>
      </c>
      <c r="P138" s="15" t="s">
        <v>190</v>
      </c>
      <c r="Q138" s="15" t="s">
        <v>206</v>
      </c>
      <c r="R138" s="13" t="s">
        <v>207</v>
      </c>
      <c r="S138" s="13" t="s">
        <v>103</v>
      </c>
      <c r="T138" s="13" t="s">
        <v>205</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3"/>
    </row>
    <row r="139" spans="1:85" ht="135" x14ac:dyDescent="0.25">
      <c r="A139" s="13" t="s">
        <v>202</v>
      </c>
      <c r="B139" s="13" t="s">
        <v>153</v>
      </c>
      <c r="C139" s="14">
        <v>43152.5</v>
      </c>
      <c r="D139" s="13" t="s">
        <v>88</v>
      </c>
      <c r="E139" s="15" t="s">
        <v>89</v>
      </c>
      <c r="F139" s="13" t="s">
        <v>90</v>
      </c>
      <c r="G139" s="15" t="s">
        <v>91</v>
      </c>
      <c r="H139" s="13" t="s">
        <v>345</v>
      </c>
      <c r="I139" s="15" t="s">
        <v>346</v>
      </c>
      <c r="J139" s="15" t="s">
        <v>347</v>
      </c>
      <c r="K139" s="15" t="s">
        <v>348</v>
      </c>
      <c r="L139" s="13" t="s">
        <v>349</v>
      </c>
      <c r="M139" s="15" t="s">
        <v>350</v>
      </c>
      <c r="N139" s="13" t="s">
        <v>98</v>
      </c>
      <c r="O139" s="15" t="s">
        <v>99</v>
      </c>
      <c r="P139" s="15" t="s">
        <v>100</v>
      </c>
      <c r="Q139" s="15" t="s">
        <v>208</v>
      </c>
      <c r="R139" s="13" t="s">
        <v>209</v>
      </c>
      <c r="S139" s="13" t="s">
        <v>103</v>
      </c>
      <c r="T139" s="13" t="s">
        <v>205</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3"/>
    </row>
    <row r="140" spans="1:85" ht="135" x14ac:dyDescent="0.25">
      <c r="A140" s="13" t="s">
        <v>202</v>
      </c>
      <c r="B140" s="13" t="s">
        <v>153</v>
      </c>
      <c r="C140" s="14">
        <v>43152.5</v>
      </c>
      <c r="D140" s="13" t="s">
        <v>88</v>
      </c>
      <c r="E140" s="15" t="s">
        <v>89</v>
      </c>
      <c r="F140" s="13" t="s">
        <v>90</v>
      </c>
      <c r="G140" s="15" t="s">
        <v>91</v>
      </c>
      <c r="H140" s="13" t="s">
        <v>345</v>
      </c>
      <c r="I140" s="15" t="s">
        <v>346</v>
      </c>
      <c r="J140" s="15" t="s">
        <v>347</v>
      </c>
      <c r="K140" s="15" t="s">
        <v>348</v>
      </c>
      <c r="L140" s="13" t="s">
        <v>351</v>
      </c>
      <c r="M140" s="15" t="s">
        <v>352</v>
      </c>
      <c r="N140" s="13" t="s">
        <v>98</v>
      </c>
      <c r="O140" s="15" t="s">
        <v>170</v>
      </c>
      <c r="P140" s="15" t="s">
        <v>171</v>
      </c>
      <c r="Q140" s="15" t="s">
        <v>208</v>
      </c>
      <c r="R140" s="13" t="s">
        <v>209</v>
      </c>
      <c r="S140" s="13" t="s">
        <v>103</v>
      </c>
      <c r="T140" s="13" t="s">
        <v>205</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3"/>
    </row>
    <row r="141" spans="1:85" ht="135" x14ac:dyDescent="0.25">
      <c r="A141" s="13" t="s">
        <v>202</v>
      </c>
      <c r="B141" s="13" t="s">
        <v>153</v>
      </c>
      <c r="C141" s="14">
        <v>43152.5</v>
      </c>
      <c r="D141" s="13" t="s">
        <v>88</v>
      </c>
      <c r="E141" s="15" t="s">
        <v>89</v>
      </c>
      <c r="F141" s="13" t="s">
        <v>90</v>
      </c>
      <c r="G141" s="15" t="s">
        <v>91</v>
      </c>
      <c r="H141" s="13" t="s">
        <v>345</v>
      </c>
      <c r="I141" s="15" t="s">
        <v>346</v>
      </c>
      <c r="J141" s="15" t="s">
        <v>347</v>
      </c>
      <c r="K141" s="15" t="s">
        <v>348</v>
      </c>
      <c r="L141" s="13" t="s">
        <v>353</v>
      </c>
      <c r="M141" s="15" t="s">
        <v>354</v>
      </c>
      <c r="N141" s="13" t="s">
        <v>188</v>
      </c>
      <c r="O141" s="15" t="s">
        <v>189</v>
      </c>
      <c r="P141" s="15" t="s">
        <v>190</v>
      </c>
      <c r="Q141" s="15" t="s">
        <v>208</v>
      </c>
      <c r="R141" s="13" t="s">
        <v>209</v>
      </c>
      <c r="S141" s="13" t="s">
        <v>103</v>
      </c>
      <c r="T141" s="13" t="s">
        <v>205</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3"/>
    </row>
    <row r="142" spans="1:85" ht="150" x14ac:dyDescent="0.25">
      <c r="A142" s="13" t="s">
        <v>86</v>
      </c>
      <c r="B142" s="13" t="s">
        <v>87</v>
      </c>
      <c r="C142" s="14">
        <v>43850.552083333336</v>
      </c>
      <c r="D142" s="13" t="s">
        <v>88</v>
      </c>
      <c r="E142" s="15" t="s">
        <v>89</v>
      </c>
      <c r="F142" s="13" t="s">
        <v>90</v>
      </c>
      <c r="G142" s="15" t="s">
        <v>91</v>
      </c>
      <c r="H142" s="13" t="s">
        <v>345</v>
      </c>
      <c r="I142" s="15" t="s">
        <v>346</v>
      </c>
      <c r="J142" s="15" t="s">
        <v>347</v>
      </c>
      <c r="K142" s="15" t="s">
        <v>348</v>
      </c>
      <c r="L142" s="13" t="s">
        <v>349</v>
      </c>
      <c r="M142" s="15" t="s">
        <v>350</v>
      </c>
      <c r="N142" s="13" t="s">
        <v>98</v>
      </c>
      <c r="O142" s="15" t="s">
        <v>99</v>
      </c>
      <c r="P142" s="15" t="s">
        <v>100</v>
      </c>
      <c r="Q142" s="15" t="s">
        <v>332</v>
      </c>
      <c r="R142" s="13" t="s">
        <v>333</v>
      </c>
      <c r="S142" s="13" t="s">
        <v>212</v>
      </c>
      <c r="T142" s="13" t="s">
        <v>104</v>
      </c>
      <c r="U142" s="14">
        <v>40725</v>
      </c>
      <c r="V142" s="14">
        <v>43830</v>
      </c>
      <c r="W142" s="15" t="s">
        <v>334</v>
      </c>
      <c r="X142" s="13" t="s">
        <v>106</v>
      </c>
      <c r="Y142" s="15" t="str">
        <f>VLOOKUP(X142,'Axe 2 Règles de gestion'!$D$2:$F$121,3, FALSE)</f>
        <v>L'agent doit détenir le titre ou le diplôme requis pour l'exercice des fonctions du corps d'accueil.</v>
      </c>
      <c r="Z142" s="13" t="s">
        <v>335</v>
      </c>
      <c r="AA142" s="15" t="str">
        <f>VLOOKUP(Z142,'Axe 2 Règles de gestion'!$D$2:$F$121,3, FALSE)</f>
        <v>La mission doit excéder 6 mois.</v>
      </c>
      <c r="AB142" s="13" t="s">
        <v>108</v>
      </c>
      <c r="AC142" s="15" t="str">
        <f>VLOOKUP(AB142,'Axe 2 Règles de gestion'!$D$2:$F$121,3, FALSE)</f>
        <v>L'agent doit formuler une demande.</v>
      </c>
      <c r="AD142" s="13" t="s">
        <v>337</v>
      </c>
      <c r="AE142" s="15" t="str">
        <f>VLOOKUP(AD142,'Axe 2 Règles de gestion'!$D$2:$F$121,3, FALSE)</f>
        <v>La demande doit être adressé au ministre responsable de la coopération.</v>
      </c>
      <c r="AF142" s="13" t="s">
        <v>110</v>
      </c>
      <c r="AG142" s="15" t="str">
        <f>VLOOKUP(AF142,'Axe 2 Règles de gestion'!$D$2:$F$121,3, FALSE)</f>
        <v>Le détachement est accordé après avis des commissions administratives paritaires compétentes.</v>
      </c>
      <c r="AH142" s="13" t="s">
        <v>112</v>
      </c>
      <c r="AI142" s="15" t="str">
        <f>VLOOKUP(AH142,'Axe 2 Règles de gestion'!$D$2:$F$121,3, FALSE)</f>
        <v>L'accord de l'administration d'origine est nécessaire.</v>
      </c>
      <c r="AJ142" s="13" t="s">
        <v>339</v>
      </c>
      <c r="AK142" s="15" t="str">
        <f>VLOOKUP(AJ142,'Axe 2 Règles de gestion'!$D$2:$F$121,3, FALSE)</f>
        <v>L'agent souscrit un contrat à durée déterminée avec le ministère des affaires étrangères.</v>
      </c>
      <c r="AL142" s="13"/>
      <c r="AM142" s="15"/>
      <c r="AN142" s="13"/>
      <c r="AO142" s="15"/>
      <c r="AP142" s="13" t="s">
        <v>114</v>
      </c>
      <c r="AQ142" s="15" t="str">
        <f>VLOOKUP(AP142,'Axe 2 Règles de gestion'!$D$2:$F$121,3, FALSE)</f>
        <v>Un détachement de courte durée à l'étranger ou dans les TOM ne peut excéder 1 an entre la date de début et la date de fin prévisionnelle.</v>
      </c>
      <c r="AR142" s="13" t="s">
        <v>116</v>
      </c>
      <c r="AS142" s="15" t="str">
        <f>VLOOKUP(AR142,'Axe 2 Règles de gestion'!$D$2:$F$121,3, FALSE)</f>
        <v>Un détachement de courte durée à l'étranger ou dans les TOM ne peut excéder 1 an entre la date de début et la date de fin réelle.</v>
      </c>
      <c r="AT142" s="13" t="s">
        <v>118</v>
      </c>
      <c r="AU142" s="15" t="str">
        <f>VLOOKUP(AT142,'Axe 2 Règles de gestion'!$D$2:$F$121,3, FALSE)</f>
        <v>Un détachement de courte durée n'ayant pas lieu à l'étranger ou dans les TOM ne peut excéder six mois entre la date de début et la date de fin prévisionnelle.</v>
      </c>
      <c r="AV142" s="13" t="s">
        <v>120</v>
      </c>
      <c r="AW142" s="15" t="str">
        <f>VLOOKUP(AV142,'Axe 2 Règles de gestion'!$D$2:$F$121,3, FALSE)</f>
        <v>Un détachement de courte durée n'ayant pas lieu à l'étranger ou dans les TOM ne peut excéder six mois entre la date de début et la date de fin réelle.</v>
      </c>
      <c r="AX142" s="13" t="s">
        <v>122</v>
      </c>
      <c r="AY142" s="15" t="str">
        <f>VLOOKUP(AX142,'Axe 2 Règles de gestion'!$D$2:$F$121,3, FALSE)</f>
        <v>Un détachement de longue durée ne peut excéder 5 ans entre la date de début et la date de fin prévisionnelle.</v>
      </c>
      <c r="AZ142" s="13" t="s">
        <v>124</v>
      </c>
      <c r="BA142" s="15" t="str">
        <f>VLOOKUP(AZ142,'Axe 2 Règles de gestion'!$D$2:$F$121,3, FALSE)</f>
        <v>Un détachement de longue durée ne peut excéder 5 ans entre la date de début et la date de fin réelle.</v>
      </c>
      <c r="BB142" s="13" t="s">
        <v>126</v>
      </c>
      <c r="BC142" s="15" t="str">
        <f>VLOOKUP(BB142,'Axe 2 Règles de gestion'!$D$2:$F$121,3, FALSE)</f>
        <v>La date de début de position doit être antérieure ou égale à la date de fin prévisionnelle de position.</v>
      </c>
      <c r="BD142" s="13" t="s">
        <v>250</v>
      </c>
      <c r="BE142" s="15" t="str">
        <f>VLOOKUP(BD142,'Axe 2 Règles de gestion'!$D$2:$F$121,3, FALSE)</f>
        <v>La date de fin réelle de la position doit être antérieure ou égale à la date de fin réelle ou prévisionnelle du lien juridique.</v>
      </c>
      <c r="BF142" s="13" t="s">
        <v>130</v>
      </c>
      <c r="BG142" s="15" t="str">
        <f>VLOOKUP(BF142,'Axe 2 Règles de gestion'!$D$2:$F$121,3, FALSE)</f>
        <v>La date de fin réelle de la position doit être antérieure à la date limite de départ à la retraite.</v>
      </c>
      <c r="BH142" s="13" t="s">
        <v>252</v>
      </c>
      <c r="BI142" s="15" t="str">
        <f>VLOOKUP(BH142,'Axe 2 Règles de gestion'!$D$2:$F$121,3, FALSE)</f>
        <v>La date de début de la position doit être postérieure ou égale à la date de début du lien juridique.</v>
      </c>
      <c r="BJ142" s="13" t="s">
        <v>132</v>
      </c>
      <c r="BK142" s="15" t="str">
        <f>VLOOKUP(BJ142,'Axe 2 Règles de gestion'!$D$2:$F$121,3, FALSE)</f>
        <v>La date de début de position doit être antérieure ou égale à la date de fin réelle de position.</v>
      </c>
      <c r="BL142" s="13" t="s">
        <v>134</v>
      </c>
      <c r="BM142" s="15" t="str">
        <f>VLOOKUP(BL142,'Axe 2 Règles de gestion'!$D$2:$F$121,3, FALSE)</f>
        <v>La date de fin prévisionnelle de la position doit être antérieure à la date limite de départ à la retraite.</v>
      </c>
      <c r="BN142" s="13" t="s">
        <v>136</v>
      </c>
      <c r="BO142" s="15" t="str">
        <f>VLOOKUP(BN142,'Axe 2 Règles de gestion'!$D$2:$F$121,3, FALSE)</f>
        <v>L'indicateur de carrière est sur la valeur "Accueil".</v>
      </c>
      <c r="BP142" s="13" t="s">
        <v>138</v>
      </c>
      <c r="BQ142" s="15" t="str">
        <f>VLOOKUP(BP142,'Axe 2 Règles de gestion'!$D$2:$F$121,3, FALSE)</f>
        <v>La date de début de position est à J+1 de la date de fin de position de l'occurrence précédente.</v>
      </c>
      <c r="BR142" s="13" t="s">
        <v>140</v>
      </c>
      <c r="BS142" s="15" t="str">
        <f>VLOOKUP(BR142,'Axe 2 Règles de gestion'!$D$2:$F$121,3, FALSE)</f>
        <v>Les champs "Type d'organisme d'origine", "Catégorie statutaire d'origine" et "Pays" de l'organisme d'origine doivent être renseignés.</v>
      </c>
      <c r="BT142" s="13" t="s">
        <v>142</v>
      </c>
      <c r="BU142" s="15" t="str">
        <f>VLOOKUP(BT142,'Axe 2 Règles de gestion'!$D$2:$F$121,3, FALSE)</f>
        <v>Les champs "Ministère (ou institution de la République) d'origine", "Corps d'origine", "Grade d'origine", "Echelon d'origine" sont renseignés si le "Type d'organisme d'origine" est valorisé à FPE.</v>
      </c>
      <c r="BV142" s="13" t="s">
        <v>144</v>
      </c>
      <c r="BW142" s="15" t="str">
        <f>VLOOKUP(BV142,'Axe 2 Règles de gestion'!$D$2:$F$121,3, FALSE)</f>
        <v>Le champ "Organisme d'origine" doit être alimenté si le type d'organisme d'origine est égal à 'Autre organisme', 'Fonction publique d'un état de l'Union Européenne' ou 'Fonction publique Européenne'.</v>
      </c>
      <c r="BX142" s="13" t="s">
        <v>146</v>
      </c>
      <c r="BY142" s="15" t="str">
        <f>VLOOKUP(BX142,'Axe 2 Règles de gestion'!$D$2:$F$121,3, FALSE)</f>
        <v>Le champ "Code emploi statutaire FPT (NET)" est renseigné si le "Type d'organisme d'origine" est valorisé à FPT.</v>
      </c>
      <c r="BZ142" s="13" t="s">
        <v>148</v>
      </c>
      <c r="CA142" s="15" t="str">
        <f>VLOOKUP(BZ142,'Axe 2 Règles de gestion'!$D$2:$F$121,3, FALSE)</f>
        <v>Le champ "Code emploi statutaire FPH (NEH)" est renseigné si le "Type d'organisme d'origine" est valorisé à FPH.</v>
      </c>
      <c r="CB142" s="13" t="s">
        <v>254</v>
      </c>
      <c r="CC142" s="15" t="str">
        <f>VLOOKUP(CB142,'Axe 2 Règles de gestion'!$D$2:$F$121,3, FALSE)</f>
        <v>La date de fin prévisionnelle de la position doit être antérieure ou égale à la date de fin réelle ou prévisionnelle du lien juridique.</v>
      </c>
      <c r="CD142" s="13" t="s">
        <v>150</v>
      </c>
      <c r="CE142" s="15" t="str">
        <f>VLOOKUP(CD142,'Axe 2 Règles de gestion'!$D$2:$F$121,3, FALSE)</f>
        <v>La date de fin ou la date de fin prévisionnelle doit être saisie.</v>
      </c>
      <c r="CF142" s="13"/>
      <c r="CG142" s="13"/>
    </row>
    <row r="143" spans="1:85" ht="135" x14ac:dyDescent="0.25">
      <c r="A143" s="13" t="s">
        <v>86</v>
      </c>
      <c r="B143" s="13" t="s">
        <v>153</v>
      </c>
      <c r="C143" s="14">
        <v>44012.459722222222</v>
      </c>
      <c r="D143" s="13" t="s">
        <v>88</v>
      </c>
      <c r="E143" s="15" t="s">
        <v>89</v>
      </c>
      <c r="F143" s="13" t="s">
        <v>90</v>
      </c>
      <c r="G143" s="15" t="s">
        <v>91</v>
      </c>
      <c r="H143" s="13" t="s">
        <v>345</v>
      </c>
      <c r="I143" s="15" t="s">
        <v>346</v>
      </c>
      <c r="J143" s="15" t="s">
        <v>347</v>
      </c>
      <c r="K143" s="15" t="s">
        <v>348</v>
      </c>
      <c r="L143" s="13" t="s">
        <v>349</v>
      </c>
      <c r="M143" s="15" t="s">
        <v>350</v>
      </c>
      <c r="N143" s="13" t="s">
        <v>98</v>
      </c>
      <c r="O143" s="15" t="s">
        <v>99</v>
      </c>
      <c r="P143" s="15" t="s">
        <v>100</v>
      </c>
      <c r="Q143" s="15" t="s">
        <v>332</v>
      </c>
      <c r="R143" s="13" t="s">
        <v>333</v>
      </c>
      <c r="S143" s="13" t="s">
        <v>212</v>
      </c>
      <c r="T143" s="13" t="s">
        <v>104</v>
      </c>
      <c r="U143" s="14">
        <v>43831</v>
      </c>
      <c r="V143" s="14"/>
      <c r="W143" s="15" t="s">
        <v>341</v>
      </c>
      <c r="X143" s="13" t="s">
        <v>106</v>
      </c>
      <c r="Y143" s="15" t="str">
        <f>VLOOKUP(X143,'Axe 2 Règles de gestion'!$D$2:$F$121,3, FALSE)</f>
        <v>L'agent doit détenir le titre ou le diplôme requis pour l'exercice des fonctions du corps d'accueil.</v>
      </c>
      <c r="Z143" s="13" t="s">
        <v>335</v>
      </c>
      <c r="AA143" s="15" t="str">
        <f>VLOOKUP(Z143,'Axe 2 Règles de gestion'!$D$2:$F$121,3, FALSE)</f>
        <v>La mission doit excéder 6 mois.</v>
      </c>
      <c r="AB143" s="13" t="s">
        <v>108</v>
      </c>
      <c r="AC143" s="15" t="str">
        <f>VLOOKUP(AB143,'Axe 2 Règles de gestion'!$D$2:$F$121,3, FALSE)</f>
        <v>L'agent doit formuler une demande.</v>
      </c>
      <c r="AD143" s="13" t="s">
        <v>337</v>
      </c>
      <c r="AE143" s="15" t="str">
        <f>VLOOKUP(AD143,'Axe 2 Règles de gestion'!$D$2:$F$121,3, FALSE)</f>
        <v>La demande doit être adressé au ministre responsable de la coopération.</v>
      </c>
      <c r="AF143" s="13" t="s">
        <v>112</v>
      </c>
      <c r="AG143" s="15" t="str">
        <f>VLOOKUP(AF143,'Axe 2 Règles de gestion'!$D$2:$F$121,3, FALSE)</f>
        <v>L'accord de l'administration d'origine est nécessaire.</v>
      </c>
      <c r="AH143" s="13" t="s">
        <v>339</v>
      </c>
      <c r="AI143" s="15" t="str">
        <f>VLOOKUP(AH143,'Axe 2 Règles de gestion'!$D$2:$F$121,3, FALSE)</f>
        <v>L'agent souscrit un contrat à durée déterminée avec le ministère des affaires étrangères.</v>
      </c>
      <c r="AJ143" s="13"/>
      <c r="AK143" s="15"/>
      <c r="AL143" s="13"/>
      <c r="AM143" s="15"/>
      <c r="AN143" s="13"/>
      <c r="AO143" s="15"/>
      <c r="AP143" s="13" t="s">
        <v>114</v>
      </c>
      <c r="AQ143" s="15" t="str">
        <f>VLOOKUP(AP143,'Axe 2 Règles de gestion'!$D$2:$F$121,3, FALSE)</f>
        <v>Un détachement de courte durée à l'étranger ou dans les TOM ne peut excéder 1 an entre la date de début et la date de fin prévisionnelle.</v>
      </c>
      <c r="AR143" s="13" t="s">
        <v>116</v>
      </c>
      <c r="AS143" s="15" t="str">
        <f>VLOOKUP(AR143,'Axe 2 Règles de gestion'!$D$2:$F$121,3, FALSE)</f>
        <v>Un détachement de courte durée à l'étranger ou dans les TOM ne peut excéder 1 an entre la date de début et la date de fin réelle.</v>
      </c>
      <c r="AT143" s="13" t="s">
        <v>118</v>
      </c>
      <c r="AU143" s="15" t="str">
        <f>VLOOKUP(AT143,'Axe 2 Règles de gestion'!$D$2:$F$121,3, FALSE)</f>
        <v>Un détachement de courte durée n'ayant pas lieu à l'étranger ou dans les TOM ne peut excéder six mois entre la date de début et la date de fin prévisionnelle.</v>
      </c>
      <c r="AV143" s="13" t="s">
        <v>120</v>
      </c>
      <c r="AW143" s="15" t="str">
        <f>VLOOKUP(AV143,'Axe 2 Règles de gestion'!$D$2:$F$121,3, FALSE)</f>
        <v>Un détachement de courte durée n'ayant pas lieu à l'étranger ou dans les TOM ne peut excéder six mois entre la date de début et la date de fin réelle.</v>
      </c>
      <c r="AX143" s="13" t="s">
        <v>122</v>
      </c>
      <c r="AY143" s="15" t="str">
        <f>VLOOKUP(AX143,'Axe 2 Règles de gestion'!$D$2:$F$121,3, FALSE)</f>
        <v>Un détachement de longue durée ne peut excéder 5 ans entre la date de début et la date de fin prévisionnelle.</v>
      </c>
      <c r="AZ143" s="13" t="s">
        <v>124</v>
      </c>
      <c r="BA143" s="15" t="str">
        <f>VLOOKUP(AZ143,'Axe 2 Règles de gestion'!$D$2:$F$121,3, FALSE)</f>
        <v>Un détachement de longue durée ne peut excéder 5 ans entre la date de début et la date de fin réelle.</v>
      </c>
      <c r="BB143" s="13" t="s">
        <v>126</v>
      </c>
      <c r="BC143" s="15" t="str">
        <f>VLOOKUP(BB143,'Axe 2 Règles de gestion'!$D$2:$F$121,3, FALSE)</f>
        <v>La date de début de position doit être antérieure ou égale à la date de fin prévisionnelle de position.</v>
      </c>
      <c r="BD143" s="13" t="s">
        <v>250</v>
      </c>
      <c r="BE143" s="15" t="str">
        <f>VLOOKUP(BD143,'Axe 2 Règles de gestion'!$D$2:$F$121,3, FALSE)</f>
        <v>La date de fin réelle de la position doit être antérieure ou égale à la date de fin réelle ou prévisionnelle du lien juridique.</v>
      </c>
      <c r="BF143" s="13" t="s">
        <v>130</v>
      </c>
      <c r="BG143" s="15" t="str">
        <f>VLOOKUP(BF143,'Axe 2 Règles de gestion'!$D$2:$F$121,3, FALSE)</f>
        <v>La date de fin réelle de la position doit être antérieure à la date limite de départ à la retraite.</v>
      </c>
      <c r="BH143" s="13" t="s">
        <v>252</v>
      </c>
      <c r="BI143" s="15" t="str">
        <f>VLOOKUP(BH143,'Axe 2 Règles de gestion'!$D$2:$F$121,3, FALSE)</f>
        <v>La date de début de la position doit être postérieure ou égale à la date de début du lien juridique.</v>
      </c>
      <c r="BJ143" s="13" t="s">
        <v>132</v>
      </c>
      <c r="BK143" s="15" t="str">
        <f>VLOOKUP(BJ143,'Axe 2 Règles de gestion'!$D$2:$F$121,3, FALSE)</f>
        <v>La date de début de position doit être antérieure ou égale à la date de fin réelle de position.</v>
      </c>
      <c r="BL143" s="13" t="s">
        <v>134</v>
      </c>
      <c r="BM143" s="15" t="str">
        <f>VLOOKUP(BL143,'Axe 2 Règles de gestion'!$D$2:$F$121,3, FALSE)</f>
        <v>La date de fin prévisionnelle de la position doit être antérieure à la date limite de départ à la retraite.</v>
      </c>
      <c r="BN143" s="13" t="s">
        <v>136</v>
      </c>
      <c r="BO143" s="15" t="str">
        <f>VLOOKUP(BN143,'Axe 2 Règles de gestion'!$D$2:$F$121,3, FALSE)</f>
        <v>L'indicateur de carrière est sur la valeur "Accueil".</v>
      </c>
      <c r="BP143" s="13" t="s">
        <v>138</v>
      </c>
      <c r="BQ143" s="15" t="str">
        <f>VLOOKUP(BP143,'Axe 2 Règles de gestion'!$D$2:$F$121,3, FALSE)</f>
        <v>La date de début de position est à J+1 de la date de fin de position de l'occurrence précédente.</v>
      </c>
      <c r="BR143" s="13" t="s">
        <v>140</v>
      </c>
      <c r="BS143" s="15" t="str">
        <f>VLOOKUP(BR143,'Axe 2 Règles de gestion'!$D$2:$F$121,3, FALSE)</f>
        <v>Les champs "Type d'organisme d'origine", "Catégorie statutaire d'origine" et "Pays" de l'organisme d'origine doivent être renseignés.</v>
      </c>
      <c r="BT143" s="13" t="s">
        <v>142</v>
      </c>
      <c r="BU143" s="15" t="str">
        <f>VLOOKUP(BT143,'Axe 2 Règles de gestion'!$D$2:$F$121,3, FALSE)</f>
        <v>Les champs "Ministère (ou institution de la République) d'origine", "Corps d'origine", "Grade d'origine", "Echelon d'origine" sont renseignés si le "Type d'organisme d'origine" est valorisé à FPE.</v>
      </c>
      <c r="BV143" s="13" t="s">
        <v>144</v>
      </c>
      <c r="BW143" s="15" t="str">
        <f>VLOOKUP(BV143,'Axe 2 Règles de gestion'!$D$2:$F$121,3, FALSE)</f>
        <v>Le champ "Organisme d'origine" doit être alimenté si le type d'organisme d'origine est égal à 'Autre organisme', 'Fonction publique d'un état de l'Union Européenne' ou 'Fonction publique Européenne'.</v>
      </c>
      <c r="BX143" s="13" t="s">
        <v>146</v>
      </c>
      <c r="BY143" s="15" t="str">
        <f>VLOOKUP(BX143,'Axe 2 Règles de gestion'!$D$2:$F$121,3, FALSE)</f>
        <v>Le champ "Code emploi statutaire FPT (NET)" est renseigné si le "Type d'organisme d'origine" est valorisé à FPT.</v>
      </c>
      <c r="BZ143" s="13" t="s">
        <v>148</v>
      </c>
      <c r="CA143" s="15" t="str">
        <f>VLOOKUP(BZ143,'Axe 2 Règles de gestion'!$D$2:$F$121,3, FALSE)</f>
        <v>Le champ "Code emploi statutaire FPH (NEH)" est renseigné si le "Type d'organisme d'origine" est valorisé à FPH.</v>
      </c>
      <c r="CB143" s="13" t="s">
        <v>254</v>
      </c>
      <c r="CC143" s="15" t="str">
        <f>VLOOKUP(CB143,'Axe 2 Règles de gestion'!$D$2:$F$121,3, FALSE)</f>
        <v>La date de fin prévisionnelle de la position doit être antérieure ou égale à la date de fin réelle ou prévisionnelle du lien juridique.</v>
      </c>
      <c r="CD143" s="13" t="s">
        <v>150</v>
      </c>
      <c r="CE143" s="15" t="str">
        <f>VLOOKUP(CD143,'Axe 2 Règles de gestion'!$D$2:$F$121,3, FALSE)</f>
        <v>La date de fin ou la date de fin prévisionnelle doit être saisie.</v>
      </c>
      <c r="CF143" s="13"/>
      <c r="CG143" s="13"/>
    </row>
    <row r="144" spans="1:85" ht="135" x14ac:dyDescent="0.25">
      <c r="A144" s="13" t="s">
        <v>86</v>
      </c>
      <c r="B144" s="13" t="s">
        <v>87</v>
      </c>
      <c r="C144" s="14">
        <v>43850.552083333336</v>
      </c>
      <c r="D144" s="13" t="s">
        <v>88</v>
      </c>
      <c r="E144" s="15" t="s">
        <v>89</v>
      </c>
      <c r="F144" s="13" t="s">
        <v>90</v>
      </c>
      <c r="G144" s="15" t="s">
        <v>91</v>
      </c>
      <c r="H144" s="13" t="s">
        <v>345</v>
      </c>
      <c r="I144" s="15" t="s">
        <v>346</v>
      </c>
      <c r="J144" s="15" t="s">
        <v>347</v>
      </c>
      <c r="K144" s="15" t="s">
        <v>348</v>
      </c>
      <c r="L144" s="13" t="s">
        <v>351</v>
      </c>
      <c r="M144" s="15" t="s">
        <v>352</v>
      </c>
      <c r="N144" s="13" t="s">
        <v>98</v>
      </c>
      <c r="O144" s="15" t="s">
        <v>170</v>
      </c>
      <c r="P144" s="15" t="s">
        <v>171</v>
      </c>
      <c r="Q144" s="15" t="s">
        <v>332</v>
      </c>
      <c r="R144" s="13" t="s">
        <v>333</v>
      </c>
      <c r="S144" s="13" t="s">
        <v>212</v>
      </c>
      <c r="T144" s="13" t="s">
        <v>104</v>
      </c>
      <c r="U144" s="14">
        <v>40725</v>
      </c>
      <c r="V144" s="14"/>
      <c r="W144" s="15" t="s">
        <v>342</v>
      </c>
      <c r="X144" s="13" t="s">
        <v>343</v>
      </c>
      <c r="Y144" s="15" t="str">
        <f>VLOOKUP(X144,'Axe 2 Règles de gestion'!$D$2:$F$121,3, FALSE)</f>
        <v>Le détachement est renouvelé si le contrat est reconduit.</v>
      </c>
      <c r="Z144" s="13" t="s">
        <v>173</v>
      </c>
      <c r="AA144" s="15" t="str">
        <f>VLOOKUP(Z144,'Axe 2 Règles de gestion'!$D$2:$F$121,3, FALSE)</f>
        <v>L'agent doit formuler une demande de renouvellement à son administration d'origine 3 mois au moins avant l'expiration de la période de détachement de longue durée.</v>
      </c>
      <c r="AB144" s="13" t="s">
        <v>175</v>
      </c>
      <c r="AC144" s="15" t="str">
        <f>VLOOKUP(AB144,'Axe 2 Règles de gestion'!$D$2:$F$121,3, FALSE)</f>
        <v>L'organisme d'accueil adresse sa décision à l'agent et à l'administration d'origine 2 mois au moins avant l'expiration de la période de détachement.</v>
      </c>
      <c r="AD144" s="13"/>
      <c r="AE144" s="15"/>
      <c r="AF144" s="13"/>
      <c r="AG144" s="15"/>
      <c r="AH144" s="13"/>
      <c r="AI144" s="15"/>
      <c r="AJ144" s="13"/>
      <c r="AK144" s="15"/>
      <c r="AL144" s="13"/>
      <c r="AM144" s="15"/>
      <c r="AN144" s="13"/>
      <c r="AO144" s="15"/>
      <c r="AP144" s="13" t="s">
        <v>122</v>
      </c>
      <c r="AQ144" s="15" t="str">
        <f>VLOOKUP(AP144,'Axe 2 Règles de gestion'!$D$2:$F$121,3, FALSE)</f>
        <v>Un détachement de longue durée ne peut excéder 5 ans entre la date de début et la date de fin prévisionnelle.</v>
      </c>
      <c r="AR144" s="13" t="s">
        <v>124</v>
      </c>
      <c r="AS144" s="15" t="str">
        <f>VLOOKUP(AR144,'Axe 2 Règles de gestion'!$D$2:$F$121,3, FALSE)</f>
        <v>Un détachement de longue durée ne peut excéder 5 ans entre la date de début et la date de fin réelle.</v>
      </c>
      <c r="AT144" s="13" t="s">
        <v>177</v>
      </c>
      <c r="AU144" s="15" t="str">
        <f>VLOOKUP(AT144,'Axe 2 Règles de gestion'!$D$2:$F$121,3, FALSE)</f>
        <v>Le renouvellement d'un détachement de courte durée est interdit.</v>
      </c>
      <c r="AV144" s="13"/>
      <c r="AW144" s="15"/>
      <c r="AX144" s="13"/>
      <c r="AY144" s="15"/>
      <c r="AZ144" s="13"/>
      <c r="BA144" s="15"/>
      <c r="BB144" s="13" t="s">
        <v>126</v>
      </c>
      <c r="BC144" s="15" t="str">
        <f>VLOOKUP(BB144,'Axe 2 Règles de gestion'!$D$2:$F$121,3, FALSE)</f>
        <v>La date de début de position doit être antérieure ou égale à la date de fin prévisionnelle de position.</v>
      </c>
      <c r="BD144" s="13" t="s">
        <v>250</v>
      </c>
      <c r="BE144" s="15" t="str">
        <f>VLOOKUP(BD144,'Axe 2 Règles de gestion'!$D$2:$F$121,3, FALSE)</f>
        <v>La date de fin réelle de la position doit être antérieure ou égale à la date de fin réelle ou prévisionnelle du lien juridique.</v>
      </c>
      <c r="BF144" s="13" t="s">
        <v>130</v>
      </c>
      <c r="BG144" s="15" t="str">
        <f>VLOOKUP(BF144,'Axe 2 Règles de gestion'!$D$2:$F$121,3, FALSE)</f>
        <v>La date de fin réelle de la position doit être antérieure à la date limite de départ à la retraite.</v>
      </c>
      <c r="BH144" s="13" t="s">
        <v>252</v>
      </c>
      <c r="BI144" s="15" t="str">
        <f>VLOOKUP(BH144,'Axe 2 Règles de gestion'!$D$2:$F$121,3, FALSE)</f>
        <v>La date de début de la position doit être postérieure ou égale à la date de début du lien juridique.</v>
      </c>
      <c r="BJ144" s="13" t="s">
        <v>132</v>
      </c>
      <c r="BK144" s="15" t="str">
        <f>VLOOKUP(BJ144,'Axe 2 Règles de gestion'!$D$2:$F$121,3, FALSE)</f>
        <v>La date de début de position doit être antérieure ou égale à la date de fin réelle de position.</v>
      </c>
      <c r="BL144" s="13" t="s">
        <v>134</v>
      </c>
      <c r="BM144" s="15" t="str">
        <f>VLOOKUP(BL144,'Axe 2 Règles de gestion'!$D$2:$F$121,3, FALSE)</f>
        <v>La date de fin prévisionnelle de la position doit être antérieure à la date limite de départ à la retraite.</v>
      </c>
      <c r="BN144" s="13" t="s">
        <v>136</v>
      </c>
      <c r="BO144" s="15" t="str">
        <f>VLOOKUP(BN144,'Axe 2 Règles de gestion'!$D$2:$F$121,3, FALSE)</f>
        <v>L'indicateur de carrière est sur la valeur "Accueil".</v>
      </c>
      <c r="BP144" s="13" t="s">
        <v>138</v>
      </c>
      <c r="BQ144" s="15" t="str">
        <f>VLOOKUP(BP144,'Axe 2 Règles de gestion'!$D$2:$F$121,3, FALSE)</f>
        <v>La date de début de position est à J+1 de la date de fin de position de l'occurrence précédente.</v>
      </c>
      <c r="BR144" s="13" t="s">
        <v>140</v>
      </c>
      <c r="BS144" s="15" t="str">
        <f>VLOOKUP(BR144,'Axe 2 Règles de gestion'!$D$2:$F$121,3, FALSE)</f>
        <v>Les champs "Type d'organisme d'origine", "Catégorie statutaire d'origine" et "Pays" de l'organisme d'origine doivent être renseignés.</v>
      </c>
      <c r="BT144" s="13" t="s">
        <v>142</v>
      </c>
      <c r="BU144" s="15" t="str">
        <f>VLOOKUP(BT144,'Axe 2 Règles de gestion'!$D$2:$F$121,3, FALSE)</f>
        <v>Les champs "Ministère (ou institution de la République) d'origine", "Corps d'origine", "Grade d'origine", "Echelon d'origine" sont renseignés si le "Type d'organisme d'origine" est valorisé à FPE.</v>
      </c>
      <c r="BV144" s="13" t="s">
        <v>144</v>
      </c>
      <c r="BW144" s="15" t="str">
        <f>VLOOKUP(BV144,'Axe 2 Règles de gestion'!$D$2:$F$121,3, FALSE)</f>
        <v>Le champ "Organisme d'origine" doit être alimenté si le type d'organisme d'origine est égal à 'Autre organisme', 'Fonction publique d'un état de l'Union Européenne' ou 'Fonction publique Européenne'.</v>
      </c>
      <c r="BX144" s="13" t="s">
        <v>146</v>
      </c>
      <c r="BY144" s="15" t="str">
        <f>VLOOKUP(BX144,'Axe 2 Règles de gestion'!$D$2:$F$121,3, FALSE)</f>
        <v>Le champ "Code emploi statutaire FPT (NET)" est renseigné si le "Type d'organisme d'origine" est valorisé à FPT.</v>
      </c>
      <c r="BZ144" s="13" t="s">
        <v>148</v>
      </c>
      <c r="CA144" s="15" t="str">
        <f>VLOOKUP(BZ144,'Axe 2 Règles de gestion'!$D$2:$F$121,3, FALSE)</f>
        <v>Le champ "Code emploi statutaire FPH (NEH)" est renseigné si le "Type d'organisme d'origine" est valorisé à FPH.</v>
      </c>
      <c r="CB144" s="13" t="s">
        <v>254</v>
      </c>
      <c r="CC144" s="15" t="str">
        <f>VLOOKUP(CB144,'Axe 2 Règles de gestion'!$D$2:$F$121,3, FALSE)</f>
        <v>La date de fin prévisionnelle de la position doit être antérieure ou égale à la date de fin réelle ou prévisionnelle du lien juridique.</v>
      </c>
      <c r="CD144" s="13" t="s">
        <v>150</v>
      </c>
      <c r="CE144" s="15" t="str">
        <f>VLOOKUP(CD144,'Axe 2 Règles de gestion'!$D$2:$F$121,3, FALSE)</f>
        <v>La date de fin ou la date de fin prévisionnelle doit être saisie.</v>
      </c>
      <c r="CF144" s="13"/>
      <c r="CG144" s="13"/>
    </row>
    <row r="145" spans="1:85" ht="150" x14ac:dyDescent="0.25">
      <c r="A145" s="13" t="s">
        <v>86</v>
      </c>
      <c r="B145" s="13" t="s">
        <v>87</v>
      </c>
      <c r="C145" s="14">
        <v>43850.552083333336</v>
      </c>
      <c r="D145" s="13" t="s">
        <v>88</v>
      </c>
      <c r="E145" s="15" t="s">
        <v>89</v>
      </c>
      <c r="F145" s="13" t="s">
        <v>90</v>
      </c>
      <c r="G145" s="15" t="s">
        <v>91</v>
      </c>
      <c r="H145" s="13" t="s">
        <v>345</v>
      </c>
      <c r="I145" s="15" t="s">
        <v>346</v>
      </c>
      <c r="J145" s="15" t="s">
        <v>347</v>
      </c>
      <c r="K145" s="15" t="s">
        <v>348</v>
      </c>
      <c r="L145" s="13" t="s">
        <v>353</v>
      </c>
      <c r="M145" s="15" t="s">
        <v>354</v>
      </c>
      <c r="N145" s="13" t="s">
        <v>188</v>
      </c>
      <c r="O145" s="15" t="s">
        <v>189</v>
      </c>
      <c r="P145" s="15" t="s">
        <v>190</v>
      </c>
      <c r="Q145" s="15" t="s">
        <v>332</v>
      </c>
      <c r="R145" s="13" t="s">
        <v>333</v>
      </c>
      <c r="S145" s="13" t="s">
        <v>212</v>
      </c>
      <c r="T145" s="13" t="s">
        <v>104</v>
      </c>
      <c r="U145" s="14">
        <v>40725</v>
      </c>
      <c r="V145" s="14"/>
      <c r="W145" s="15" t="s">
        <v>258</v>
      </c>
      <c r="X145" s="13" t="s">
        <v>192</v>
      </c>
      <c r="Y145" s="15" t="str">
        <f>VLOOKUP(X145,'Axe 2 Règles de gestion'!$D$2:$F$121,3, FALSE)</f>
        <v>Le détachement peut prendre fin de manière anticipée à l'initiative de l'administration d'accueil, de l'administration d'origine ou de l'agent.</v>
      </c>
      <c r="Z145" s="13" t="s">
        <v>194</v>
      </c>
      <c r="AA145" s="15" t="str">
        <f>VLOOKUP(Z145,'Axe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145" s="13" t="s">
        <v>196</v>
      </c>
      <c r="AC145" s="15" t="str">
        <f>VLOOKUP(AB145,'Axe 2 Règles de gestion'!$D$2:$F$121,3, FALSE)</f>
        <v>L'agent doit adresser une demande de réintégration à l'administration d'origine 3 mois au moins avant l'expiration de la période de détachement de longue durée.</v>
      </c>
      <c r="AD145" s="13" t="s">
        <v>175</v>
      </c>
      <c r="AE145" s="15" t="str">
        <f>VLOOKUP(AD145,'Axe 2 Règles de gestion'!$D$2:$F$121,3, FALSE)</f>
        <v>L'organisme d'accueil adresse sa décision à l'agent et à l'administration d'origine 2 mois au moins avant l'expiration de la période de détachement.</v>
      </c>
      <c r="AF145" s="13" t="s">
        <v>198</v>
      </c>
      <c r="AG145" s="15" t="str">
        <f>VLOOKUP(AF145,'Axe 2 Règles de gestion'!$D$2:$F$121,3, FALSE)</f>
        <v>Si l'agent n'adresse pas sa demande dans les délais, il est obligatoirement réintégré à la première vacance dans son corps d'origine et affecté à un emploi correspondant à son grade.</v>
      </c>
      <c r="AH145" s="13" t="s">
        <v>200</v>
      </c>
      <c r="AI145" s="15" t="str">
        <f>VLOOKUP(AH145,'Axe 2 Règles de gestion'!$D$2:$F$121,3, FALSE)</f>
        <v>Les dispositions relatives à la réintégration au terme d'un détachement de longue durée ne sont pas applicables aux préfets et sous-préfets.</v>
      </c>
      <c r="AJ145" s="13"/>
      <c r="AK145" s="15"/>
      <c r="AL145" s="13"/>
      <c r="AM145" s="15"/>
      <c r="AN145" s="13"/>
      <c r="AO145" s="15"/>
      <c r="AP145" s="13" t="s">
        <v>114</v>
      </c>
      <c r="AQ145" s="15" t="str">
        <f>VLOOKUP(AP145,'Axe 2 Règles de gestion'!$D$2:$F$121,3, FALSE)</f>
        <v>Un détachement de courte durée à l'étranger ou dans les TOM ne peut excéder 1 an entre la date de début et la date de fin prévisionnelle.</v>
      </c>
      <c r="AR145" s="13" t="s">
        <v>116</v>
      </c>
      <c r="AS145" s="15" t="str">
        <f>VLOOKUP(AR145,'Axe 2 Règles de gestion'!$D$2:$F$121,3, FALSE)</f>
        <v>Un détachement de courte durée à l'étranger ou dans les TOM ne peut excéder 1 an entre la date de début et la date de fin réelle.</v>
      </c>
      <c r="AT145" s="13" t="s">
        <v>118</v>
      </c>
      <c r="AU145" s="15" t="str">
        <f>VLOOKUP(AT145,'Axe 2 Règles de gestion'!$D$2:$F$121,3, FALSE)</f>
        <v>Un détachement de courte durée n'ayant pas lieu à l'étranger ou dans les TOM ne peut excéder six mois entre la date de début et la date de fin prévisionnelle.</v>
      </c>
      <c r="AV145" s="13" t="s">
        <v>120</v>
      </c>
      <c r="AW145" s="15" t="str">
        <f>VLOOKUP(AV145,'Axe 2 Règles de gestion'!$D$2:$F$121,3, FALSE)</f>
        <v>Un détachement de courte durée n'ayant pas lieu à l'étranger ou dans les TOM ne peut excéder six mois entre la date de début et la date de fin réelle.</v>
      </c>
      <c r="AX145" s="13" t="s">
        <v>122</v>
      </c>
      <c r="AY145" s="15" t="str">
        <f>VLOOKUP(AX145,'Axe 2 Règles de gestion'!$D$2:$F$121,3, FALSE)</f>
        <v>Un détachement de longue durée ne peut excéder 5 ans entre la date de début et la date de fin prévisionnelle.</v>
      </c>
      <c r="AZ145" s="13" t="s">
        <v>124</v>
      </c>
      <c r="BA145" s="15" t="str">
        <f>VLOOKUP(AZ145,'Axe 2 Règles de gestion'!$D$2:$F$121,3, FALSE)</f>
        <v>Un détachement de longue durée ne peut excéder 5 ans entre la date de début et la date de fin réelle.</v>
      </c>
      <c r="BB145" s="13" t="s">
        <v>126</v>
      </c>
      <c r="BC145" s="15" t="str">
        <f>VLOOKUP(BB145,'Axe 2 Règles de gestion'!$D$2:$F$121,3, FALSE)</f>
        <v>La date de début de position doit être antérieure ou égale à la date de fin prévisionnelle de position.</v>
      </c>
      <c r="BD145" s="13" t="s">
        <v>250</v>
      </c>
      <c r="BE145" s="15" t="str">
        <f>VLOOKUP(BD145,'Axe 2 Règles de gestion'!$D$2:$F$121,3, FALSE)</f>
        <v>La date de fin réelle de la position doit être antérieure ou égale à la date de fin réelle ou prévisionnelle du lien juridique.</v>
      </c>
      <c r="BF145" s="13" t="s">
        <v>130</v>
      </c>
      <c r="BG145" s="15" t="str">
        <f>VLOOKUP(BF145,'Axe 2 Règles de gestion'!$D$2:$F$121,3, FALSE)</f>
        <v>La date de fin réelle de la position doit être antérieure à la date limite de départ à la retraite.</v>
      </c>
      <c r="BH145" s="13" t="s">
        <v>132</v>
      </c>
      <c r="BI145" s="15" t="str">
        <f>VLOOKUP(BH145,'Axe 2 Règles de gestion'!$D$2:$F$121,3, FALSE)</f>
        <v>La date de début de position doit être antérieure ou égale à la date de fin réelle de position.</v>
      </c>
      <c r="BJ145" s="13" t="s">
        <v>134</v>
      </c>
      <c r="BK145" s="15" t="str">
        <f>VLOOKUP(BJ145,'Axe 2 Règles de gestion'!$D$2:$F$121,3, FALSE)</f>
        <v>La date de fin prévisionnelle de la position doit être antérieure à la date limite de départ à la retraite.</v>
      </c>
      <c r="BL145" s="13" t="s">
        <v>140</v>
      </c>
      <c r="BM145" s="15" t="str">
        <f>VLOOKUP(BL145,'Axe 2 Règles de gestion'!$D$2:$F$121,3, FALSE)</f>
        <v>Les champs "Type d'organisme d'origine", "Catégorie statutaire d'origine" et "Pays" de l'organisme d'origine doivent être renseignés.</v>
      </c>
      <c r="BN145" s="13" t="s">
        <v>142</v>
      </c>
      <c r="BO145" s="15" t="str">
        <f>VLOOKUP(BN145,'Axe 2 Règles de gestion'!$D$2:$F$121,3, FALSE)</f>
        <v>Les champs "Ministère (ou institution de la République) d'origine", "Corps d'origine", "Grade d'origine", "Echelon d'origine" sont renseignés si le "Type d'organisme d'origine" est valorisé à FPE.</v>
      </c>
      <c r="BP145" s="13" t="s">
        <v>144</v>
      </c>
      <c r="BQ145" s="15" t="str">
        <f>VLOOKUP(BP145,'Axe 2 Règles de gestion'!$D$2:$F$121,3, FALSE)</f>
        <v>Le champ "Organisme d'origine" doit être alimenté si le type d'organisme d'origine est égal à 'Autre organisme', 'Fonction publique d'un état de l'Union Européenne' ou 'Fonction publique Européenne'.</v>
      </c>
      <c r="BR145" s="13" t="s">
        <v>146</v>
      </c>
      <c r="BS145" s="15" t="str">
        <f>VLOOKUP(BR145,'Axe 2 Règles de gestion'!$D$2:$F$121,3, FALSE)</f>
        <v>Le champ "Code emploi statutaire FPT (NET)" est renseigné si le "Type d'organisme d'origine" est valorisé à FPT.</v>
      </c>
      <c r="BT145" s="13" t="s">
        <v>148</v>
      </c>
      <c r="BU145" s="15" t="str">
        <f>VLOOKUP(BT145,'Axe 2 Règles de gestion'!$D$2:$F$121,3, FALSE)</f>
        <v>Le champ "Code emploi statutaire FPH (NEH)" est renseigné si le "Type d'organisme d'origine" est valorisé à FPH.</v>
      </c>
      <c r="BV145" s="13" t="s">
        <v>254</v>
      </c>
      <c r="BW145" s="15" t="str">
        <f>VLOOKUP(BV145,'Axe 2 Règles de gestion'!$D$2:$F$121,3, FALSE)</f>
        <v>La date de fin prévisionnelle de la position doit être antérieure ou égale à la date de fin réelle ou prévisionnelle du lien juridique.</v>
      </c>
      <c r="BX145" s="13" t="s">
        <v>150</v>
      </c>
      <c r="BY145" s="15" t="str">
        <f>VLOOKUP(BX145,'Axe 2 Règles de gestion'!$D$2:$F$121,3, FALSE)</f>
        <v>La date de fin ou la date de fin prévisionnelle doit être saisie.</v>
      </c>
      <c r="BZ145" s="13"/>
      <c r="CA145" s="15"/>
      <c r="CB145" s="13"/>
      <c r="CC145" s="15"/>
      <c r="CD145" s="13"/>
      <c r="CE145" s="15"/>
      <c r="CF145" s="13"/>
      <c r="CG145" s="13"/>
    </row>
    <row r="146" spans="1:85" ht="135" x14ac:dyDescent="0.25">
      <c r="A146" s="13" t="s">
        <v>86</v>
      </c>
      <c r="B146" s="13" t="s">
        <v>87</v>
      </c>
      <c r="C146" s="14">
        <v>43850.552083333336</v>
      </c>
      <c r="D146" s="13" t="s">
        <v>88</v>
      </c>
      <c r="E146" s="15" t="s">
        <v>89</v>
      </c>
      <c r="F146" s="13" t="s">
        <v>90</v>
      </c>
      <c r="G146" s="15" t="s">
        <v>91</v>
      </c>
      <c r="H146" s="13" t="s">
        <v>355</v>
      </c>
      <c r="I146" s="15" t="s">
        <v>356</v>
      </c>
      <c r="J146" s="15" t="s">
        <v>357</v>
      </c>
      <c r="K146" s="15" t="s">
        <v>358</v>
      </c>
      <c r="L146" s="13" t="s">
        <v>359</v>
      </c>
      <c r="M146" s="15" t="s">
        <v>360</v>
      </c>
      <c r="N146" s="13" t="s">
        <v>98</v>
      </c>
      <c r="O146" s="15" t="s">
        <v>99</v>
      </c>
      <c r="P146" s="15" t="s">
        <v>100</v>
      </c>
      <c r="Q146" s="15" t="s">
        <v>101</v>
      </c>
      <c r="R146" s="13" t="s">
        <v>102</v>
      </c>
      <c r="S146" s="13" t="s">
        <v>103</v>
      </c>
      <c r="T146" s="13" t="s">
        <v>104</v>
      </c>
      <c r="U146" s="14">
        <v>40725</v>
      </c>
      <c r="V146" s="14">
        <v>43830</v>
      </c>
      <c r="W146" s="15" t="s">
        <v>105</v>
      </c>
      <c r="X146" s="13" t="s">
        <v>106</v>
      </c>
      <c r="Y146" s="15" t="str">
        <f>VLOOKUP(X146,'Axe 2 Règles de gestion'!$D$2:$F$121,3, FALSE)</f>
        <v>L'agent doit détenir le titre ou le diplôme requis pour l'exercice des fonctions du corps d'accueil.</v>
      </c>
      <c r="Z146" s="13" t="s">
        <v>108</v>
      </c>
      <c r="AA146" s="15" t="str">
        <f>VLOOKUP(Z146,'Axe 2 Règles de gestion'!$D$2:$F$121,3, FALSE)</f>
        <v>L'agent doit formuler une demande.</v>
      </c>
      <c r="AB146" s="13" t="s">
        <v>110</v>
      </c>
      <c r="AC146" s="15" t="str">
        <f>VLOOKUP(AB146,'Axe 2 Règles de gestion'!$D$2:$F$121,3, FALSE)</f>
        <v>Le détachement est accordé après avis des commissions administratives paritaires compétentes.</v>
      </c>
      <c r="AD146" s="13" t="s">
        <v>112</v>
      </c>
      <c r="AE146" s="15" t="str">
        <f>VLOOKUP(AD146,'Axe 2 Règles de gestion'!$D$2:$F$121,3, FALSE)</f>
        <v>L'accord de l'administration d'origine est nécessaire.</v>
      </c>
      <c r="AF146" s="13"/>
      <c r="AG146" s="15"/>
      <c r="AH146" s="13"/>
      <c r="AI146" s="15"/>
      <c r="AJ146" s="13"/>
      <c r="AK146" s="15"/>
      <c r="AL146" s="13"/>
      <c r="AM146" s="15"/>
      <c r="AN146" s="13"/>
      <c r="AO146" s="15"/>
      <c r="AP146" s="13" t="s">
        <v>114</v>
      </c>
      <c r="AQ146" s="15" t="str">
        <f>VLOOKUP(AP146,'Axe 2 Règles de gestion'!$D$2:$F$121,3, FALSE)</f>
        <v>Un détachement de courte durée à l'étranger ou dans les TOM ne peut excéder 1 an entre la date de début et la date de fin prévisionnelle.</v>
      </c>
      <c r="AR146" s="13" t="s">
        <v>116</v>
      </c>
      <c r="AS146" s="15" t="str">
        <f>VLOOKUP(AR146,'Axe 2 Règles de gestion'!$D$2:$F$121,3, FALSE)</f>
        <v>Un détachement de courte durée à l'étranger ou dans les TOM ne peut excéder 1 an entre la date de début et la date de fin réelle.</v>
      </c>
      <c r="AT146" s="13" t="s">
        <v>118</v>
      </c>
      <c r="AU146" s="15" t="str">
        <f>VLOOKUP(AT146,'Axe 2 Règles de gestion'!$D$2:$F$121,3, FALSE)</f>
        <v>Un détachement de courte durée n'ayant pas lieu à l'étranger ou dans les TOM ne peut excéder six mois entre la date de début et la date de fin prévisionnelle.</v>
      </c>
      <c r="AV146" s="13" t="s">
        <v>120</v>
      </c>
      <c r="AW146" s="15" t="str">
        <f>VLOOKUP(AV146,'Axe 2 Règles de gestion'!$D$2:$F$121,3, FALSE)</f>
        <v>Un détachement de courte durée n'ayant pas lieu à l'étranger ou dans les TOM ne peut excéder six mois entre la date de début et la date de fin réelle.</v>
      </c>
      <c r="AX146" s="13" t="s">
        <v>122</v>
      </c>
      <c r="AY146" s="15" t="str">
        <f>VLOOKUP(AX146,'Axe 2 Règles de gestion'!$D$2:$F$121,3, FALSE)</f>
        <v>Un détachement de longue durée ne peut excéder 5 ans entre la date de début et la date de fin prévisionnelle.</v>
      </c>
      <c r="AZ146" s="13" t="s">
        <v>124</v>
      </c>
      <c r="BA146" s="15" t="str">
        <f>VLOOKUP(AZ146,'Axe 2 Règles de gestion'!$D$2:$F$121,3, FALSE)</f>
        <v>Un détachement de longue durée ne peut excéder 5 ans entre la date de début et la date de fin réelle.</v>
      </c>
      <c r="BB146" s="13" t="s">
        <v>126</v>
      </c>
      <c r="BC146" s="15" t="str">
        <f>VLOOKUP(BB146,'Axe 2 Règles de gestion'!$D$2:$F$121,3, FALSE)</f>
        <v>La date de début de position doit être antérieure ou égale à la date de fin prévisionnelle de position.</v>
      </c>
      <c r="BD146" s="13" t="s">
        <v>128</v>
      </c>
      <c r="BE146" s="15" t="str">
        <f>VLOOKUP(BD146,'Axe 2 Règles de gestion'!$D$2:$F$121,3, FALSE)</f>
        <v>La date de début de la position doit être postérieure ou égale à la date d'entrée dans la FPE ou dans la carrière militaire.</v>
      </c>
      <c r="BF146" s="13" t="s">
        <v>130</v>
      </c>
      <c r="BG146" s="15" t="str">
        <f>VLOOKUP(BF146,'Axe 2 Règles de gestion'!$D$2:$F$121,3, FALSE)</f>
        <v>La date de fin réelle de la position doit être antérieure à la date limite de départ à la retraite.</v>
      </c>
      <c r="BH146" s="13" t="s">
        <v>132</v>
      </c>
      <c r="BI146" s="15" t="str">
        <f>VLOOKUP(BH146,'Axe 2 Règles de gestion'!$D$2:$F$121,3, FALSE)</f>
        <v>La date de début de position doit être antérieure ou égale à la date de fin réelle de position.</v>
      </c>
      <c r="BJ146" s="13" t="s">
        <v>134</v>
      </c>
      <c r="BK146" s="15" t="str">
        <f>VLOOKUP(BJ146,'Axe 2 Règles de gestion'!$D$2:$F$121,3, FALSE)</f>
        <v>La date de fin prévisionnelle de la position doit être antérieure à la date limite de départ à la retraite.</v>
      </c>
      <c r="BL146" s="13" t="s">
        <v>136</v>
      </c>
      <c r="BM146" s="15" t="str">
        <f>VLOOKUP(BL146,'Axe 2 Règles de gestion'!$D$2:$F$121,3, FALSE)</f>
        <v>L'indicateur de carrière est sur la valeur "Accueil".</v>
      </c>
      <c r="BN146" s="13" t="s">
        <v>138</v>
      </c>
      <c r="BO146" s="15" t="str">
        <f>VLOOKUP(BN146,'Axe 2 Règles de gestion'!$D$2:$F$121,3, FALSE)</f>
        <v>La date de début de position est à J+1 de la date de fin de position de l'occurrence précédente.</v>
      </c>
      <c r="BP146" s="13" t="s">
        <v>140</v>
      </c>
      <c r="BQ146" s="15" t="str">
        <f>VLOOKUP(BP146,'Axe 2 Règles de gestion'!$D$2:$F$121,3, FALSE)</f>
        <v>Les champs "Type d'organisme d'origine", "Catégorie statutaire d'origine" et "Pays" de l'organisme d'origine doivent être renseignés.</v>
      </c>
      <c r="BR146" s="13" t="s">
        <v>142</v>
      </c>
      <c r="BS146" s="15" t="str">
        <f>VLOOKUP(BR146,'Axe 2 Règles de gestion'!$D$2:$F$121,3, FALSE)</f>
        <v>Les champs "Ministère (ou institution de la République) d'origine", "Corps d'origine", "Grade d'origine", "Echelon d'origine" sont renseignés si le "Type d'organisme d'origine" est valorisé à FPE.</v>
      </c>
      <c r="BT146" s="13" t="s">
        <v>144</v>
      </c>
      <c r="BU146" s="15" t="str">
        <f>VLOOKUP(BT146,'Axe 2 Règles de gestion'!$D$2:$F$121,3, FALSE)</f>
        <v>Le champ "Organisme d'origine" doit être alimenté si le type d'organisme d'origine est égal à 'Autre organisme', 'Fonction publique d'un état de l'Union Européenne' ou 'Fonction publique Européenne'.</v>
      </c>
      <c r="BV146" s="13" t="s">
        <v>146</v>
      </c>
      <c r="BW146" s="15" t="str">
        <f>VLOOKUP(BV146,'Axe 2 Règles de gestion'!$D$2:$F$121,3, FALSE)</f>
        <v>Le champ "Code emploi statutaire FPT (NET)" est renseigné si le "Type d'organisme d'origine" est valorisé à FPT.</v>
      </c>
      <c r="BX146" s="13" t="s">
        <v>148</v>
      </c>
      <c r="BY146" s="15" t="str">
        <f>VLOOKUP(BX146,'Axe 2 Règles de gestion'!$D$2:$F$121,3, FALSE)</f>
        <v>Le champ "Code emploi statutaire FPH (NEH)" est renseigné si le "Type d'organisme d'origine" est valorisé à FPH.</v>
      </c>
      <c r="BZ146" s="13" t="s">
        <v>150</v>
      </c>
      <c r="CA146" s="15" t="str">
        <f>VLOOKUP(BZ146,'Axe 2 Règles de gestion'!$D$2:$F$121,3, FALSE)</f>
        <v>La date de fin ou la date de fin prévisionnelle doit être saisie.</v>
      </c>
      <c r="CB146" s="13"/>
      <c r="CC146" s="15"/>
      <c r="CD146" s="13"/>
      <c r="CE146" s="15"/>
      <c r="CF146" s="13"/>
      <c r="CG146" s="13"/>
    </row>
    <row r="147" spans="1:85" ht="135" x14ac:dyDescent="0.25">
      <c r="A147" s="13" t="s">
        <v>152</v>
      </c>
      <c r="B147" s="13" t="s">
        <v>153</v>
      </c>
      <c r="C147" s="14">
        <v>45807.45208333333</v>
      </c>
      <c r="D147" s="13" t="s">
        <v>88</v>
      </c>
      <c r="E147" s="15" t="s">
        <v>89</v>
      </c>
      <c r="F147" s="13" t="s">
        <v>90</v>
      </c>
      <c r="G147" s="15" t="s">
        <v>91</v>
      </c>
      <c r="H147" s="13" t="s">
        <v>355</v>
      </c>
      <c r="I147" s="15" t="s">
        <v>356</v>
      </c>
      <c r="J147" s="15" t="s">
        <v>357</v>
      </c>
      <c r="K147" s="15" t="s">
        <v>358</v>
      </c>
      <c r="L147" s="13" t="s">
        <v>359</v>
      </c>
      <c r="M147" s="15" t="s">
        <v>360</v>
      </c>
      <c r="N147" s="13" t="s">
        <v>98</v>
      </c>
      <c r="O147" s="15" t="s">
        <v>99</v>
      </c>
      <c r="P147" s="15" t="s">
        <v>100</v>
      </c>
      <c r="Q147" s="15" t="s">
        <v>101</v>
      </c>
      <c r="R147" s="13" t="s">
        <v>102</v>
      </c>
      <c r="S147" s="13" t="s">
        <v>103</v>
      </c>
      <c r="T147" s="13" t="s">
        <v>104</v>
      </c>
      <c r="U147" s="14">
        <v>43831</v>
      </c>
      <c r="V147" s="14"/>
      <c r="W147" s="15" t="s">
        <v>361</v>
      </c>
      <c r="X147" s="13" t="s">
        <v>106</v>
      </c>
      <c r="Y147" s="15" t="str">
        <f>VLOOKUP(X147,'Axe 2 Règles de gestion'!$D$2:$F$121,3, FALSE)</f>
        <v>L'agent doit détenir le titre ou le diplôme requis pour l'exercice des fonctions du corps d'accueil.</v>
      </c>
      <c r="Z147" s="13" t="s">
        <v>108</v>
      </c>
      <c r="AA147" s="15" t="str">
        <f>VLOOKUP(Z147,'Axe 2 Règles de gestion'!$D$2:$F$121,3, FALSE)</f>
        <v>L'agent doit formuler une demande.</v>
      </c>
      <c r="AB147" s="13" t="s">
        <v>112</v>
      </c>
      <c r="AC147" s="15" t="str">
        <f>VLOOKUP(AB147,'Axe 2 Règles de gestion'!$D$2:$F$121,3, FALSE)</f>
        <v>L'accord de l'administration d'origine est nécessaire.</v>
      </c>
      <c r="AD147" s="13" t="s">
        <v>161</v>
      </c>
      <c r="AE147" s="15" t="str">
        <f>VLOOKUP(AD147,'Axe 2 Règles de gestion'!$D$2:$F$121,3, FALSE)</f>
        <v>L'agent peut être détaché dans un corps ou un cadre d'emplois de même catégorie et de niveau comparable à celui de son corps ou cadre d'emplois d'origine.</v>
      </c>
      <c r="AF147" s="13" t="s">
        <v>163</v>
      </c>
      <c r="AG147" s="15" t="str">
        <f>VLOOKUP(AF147,'Axe 2 Règles de gestion'!$D$2:$F$121,3, FALSE)</f>
        <v>Toutefois, l'agent dont au moins l'un des grades d'avancement de son corps ou cadre d'emplois est accessible par la voie d'un concours de recrutement peut être détaché dans un corps ou cadre d'emplois de niveau différent.</v>
      </c>
      <c r="AH147" s="13" t="s">
        <v>165</v>
      </c>
      <c r="AI147" s="15" t="str">
        <f>VLOOKUP(AH147,'Axe 2 Règles de gestion'!$D$2:$F$121,3, FALSE)</f>
        <v>Lorsque le corps ou cadre d'emplois d'origine ou le corps ou cadre d'emplois d'accueil ne relève pas d'une catégorie, le détachement s'effectue entre corps et cadres d'emplois de niveau comparable.</v>
      </c>
      <c r="AJ147" s="13"/>
      <c r="AK147" s="15"/>
      <c r="AL147" s="13"/>
      <c r="AM147" s="15"/>
      <c r="AN147" s="13"/>
      <c r="AO147" s="15"/>
      <c r="AP147" s="13" t="s">
        <v>114</v>
      </c>
      <c r="AQ147" s="15" t="str">
        <f>VLOOKUP(AP147,'Axe 2 Règles de gestion'!$D$2:$F$121,3, FALSE)</f>
        <v>Un détachement de courte durée à l'étranger ou dans les TOM ne peut excéder 1 an entre la date de début et la date de fin prévisionnelle.</v>
      </c>
      <c r="AR147" s="13" t="s">
        <v>116</v>
      </c>
      <c r="AS147" s="15" t="str">
        <f>VLOOKUP(AR147,'Axe 2 Règles de gestion'!$D$2:$F$121,3, FALSE)</f>
        <v>Un détachement de courte durée à l'étranger ou dans les TOM ne peut excéder 1 an entre la date de début et la date de fin réelle.</v>
      </c>
      <c r="AT147" s="13" t="s">
        <v>118</v>
      </c>
      <c r="AU147" s="15" t="str">
        <f>VLOOKUP(AT147,'Axe 2 Règles de gestion'!$D$2:$F$121,3, FALSE)</f>
        <v>Un détachement de courte durée n'ayant pas lieu à l'étranger ou dans les TOM ne peut excéder six mois entre la date de début et la date de fin prévisionnelle.</v>
      </c>
      <c r="AV147" s="13" t="s">
        <v>120</v>
      </c>
      <c r="AW147" s="15" t="str">
        <f>VLOOKUP(AV147,'Axe 2 Règles de gestion'!$D$2:$F$121,3, FALSE)</f>
        <v>Un détachement de courte durée n'ayant pas lieu à l'étranger ou dans les TOM ne peut excéder six mois entre la date de début et la date de fin réelle.</v>
      </c>
      <c r="AX147" s="13" t="s">
        <v>122</v>
      </c>
      <c r="AY147" s="15" t="str">
        <f>VLOOKUP(AX147,'Axe 2 Règles de gestion'!$D$2:$F$121,3, FALSE)</f>
        <v>Un détachement de longue durée ne peut excéder 5 ans entre la date de début et la date de fin prévisionnelle.</v>
      </c>
      <c r="AZ147" s="13" t="s">
        <v>124</v>
      </c>
      <c r="BA147" s="15" t="str">
        <f>VLOOKUP(AZ147,'Axe 2 Règles de gestion'!$D$2:$F$121,3, FALSE)</f>
        <v>Un détachement de longue durée ne peut excéder 5 ans entre la date de début et la date de fin réelle.</v>
      </c>
      <c r="BB147" s="13" t="s">
        <v>126</v>
      </c>
      <c r="BC147" s="15" t="str">
        <f>VLOOKUP(BB147,'Axe 2 Règles de gestion'!$D$2:$F$121,3, FALSE)</f>
        <v>La date de début de position doit être antérieure ou égale à la date de fin prévisionnelle de position.</v>
      </c>
      <c r="BD147" s="13" t="s">
        <v>128</v>
      </c>
      <c r="BE147" s="15" t="str">
        <f>VLOOKUP(BD147,'Axe 2 Règles de gestion'!$D$2:$F$121,3, FALSE)</f>
        <v>La date de début de la position doit être postérieure ou égale à la date d'entrée dans la FPE ou dans la carrière militaire.</v>
      </c>
      <c r="BF147" s="13" t="s">
        <v>130</v>
      </c>
      <c r="BG147" s="15" t="str">
        <f>VLOOKUP(BF147,'Axe 2 Règles de gestion'!$D$2:$F$121,3, FALSE)</f>
        <v>La date de fin réelle de la position doit être antérieure à la date limite de départ à la retraite.</v>
      </c>
      <c r="BH147" s="13" t="s">
        <v>132</v>
      </c>
      <c r="BI147" s="15" t="str">
        <f>VLOOKUP(BH147,'Axe 2 Règles de gestion'!$D$2:$F$121,3, FALSE)</f>
        <v>La date de début de position doit être antérieure ou égale à la date de fin réelle de position.</v>
      </c>
      <c r="BJ147" s="13" t="s">
        <v>134</v>
      </c>
      <c r="BK147" s="15" t="str">
        <f>VLOOKUP(BJ147,'Axe 2 Règles de gestion'!$D$2:$F$121,3, FALSE)</f>
        <v>La date de fin prévisionnelle de la position doit être antérieure à la date limite de départ à la retraite.</v>
      </c>
      <c r="BL147" s="13" t="s">
        <v>136</v>
      </c>
      <c r="BM147" s="15" t="str">
        <f>VLOOKUP(BL147,'Axe 2 Règles de gestion'!$D$2:$F$121,3, FALSE)</f>
        <v>L'indicateur de carrière est sur la valeur "Accueil".</v>
      </c>
      <c r="BN147" s="13" t="s">
        <v>138</v>
      </c>
      <c r="BO147" s="15" t="str">
        <f>VLOOKUP(BN147,'Axe 2 Règles de gestion'!$D$2:$F$121,3, FALSE)</f>
        <v>La date de début de position est à J+1 de la date de fin de position de l'occurrence précédente.</v>
      </c>
      <c r="BP147" s="13" t="s">
        <v>140</v>
      </c>
      <c r="BQ147" s="15" t="str">
        <f>VLOOKUP(BP147,'Axe 2 Règles de gestion'!$D$2:$F$121,3, FALSE)</f>
        <v>Les champs "Type d'organisme d'origine", "Catégorie statutaire d'origine" et "Pays" de l'organisme d'origine doivent être renseignés.</v>
      </c>
      <c r="BR147" s="13" t="s">
        <v>142</v>
      </c>
      <c r="BS147" s="15" t="str">
        <f>VLOOKUP(BR147,'Axe 2 Règles de gestion'!$D$2:$F$121,3, FALSE)</f>
        <v>Les champs "Ministère (ou institution de la République) d'origine", "Corps d'origine", "Grade d'origine", "Echelon d'origine" sont renseignés si le "Type d'organisme d'origine" est valorisé à FPE.</v>
      </c>
      <c r="BT147" s="13" t="s">
        <v>144</v>
      </c>
      <c r="BU147" s="15" t="str">
        <f>VLOOKUP(BT147,'Axe 2 Règles de gestion'!$D$2:$F$121,3, FALSE)</f>
        <v>Le champ "Organisme d'origine" doit être alimenté si le type d'organisme d'origine est égal à 'Autre organisme', 'Fonction publique d'un état de l'Union Européenne' ou 'Fonction publique Européenne'.</v>
      </c>
      <c r="BV147" s="13" t="s">
        <v>146</v>
      </c>
      <c r="BW147" s="15" t="str">
        <f>VLOOKUP(BV147,'Axe 2 Règles de gestion'!$D$2:$F$121,3, FALSE)</f>
        <v>Le champ "Code emploi statutaire FPT (NET)" est renseigné si le "Type d'organisme d'origine" est valorisé à FPT.</v>
      </c>
      <c r="BX147" s="13" t="s">
        <v>148</v>
      </c>
      <c r="BY147" s="15" t="str">
        <f>VLOOKUP(BX147,'Axe 2 Règles de gestion'!$D$2:$F$121,3, FALSE)</f>
        <v>Le champ "Code emploi statutaire FPH (NEH)" est renseigné si le "Type d'organisme d'origine" est valorisé à FPH.</v>
      </c>
      <c r="BZ147" s="13" t="s">
        <v>150</v>
      </c>
      <c r="CA147" s="15" t="str">
        <f>VLOOKUP(BZ147,'Axe 2 Règles de gestion'!$D$2:$F$121,3, FALSE)</f>
        <v>La date de fin ou la date de fin prévisionnelle doit être saisie.</v>
      </c>
      <c r="CB147" s="13"/>
      <c r="CC147" s="15"/>
      <c r="CD147" s="13"/>
      <c r="CE147" s="15"/>
      <c r="CF147" s="13"/>
      <c r="CG147" s="13"/>
    </row>
    <row r="148" spans="1:85" ht="135" x14ac:dyDescent="0.25">
      <c r="A148" s="13" t="s">
        <v>86</v>
      </c>
      <c r="B148" s="13" t="s">
        <v>87</v>
      </c>
      <c r="C148" s="14">
        <v>43850.552083333336</v>
      </c>
      <c r="D148" s="13" t="s">
        <v>88</v>
      </c>
      <c r="E148" s="15" t="s">
        <v>89</v>
      </c>
      <c r="F148" s="13" t="s">
        <v>90</v>
      </c>
      <c r="G148" s="15" t="s">
        <v>91</v>
      </c>
      <c r="H148" s="13" t="s">
        <v>355</v>
      </c>
      <c r="I148" s="15" t="s">
        <v>356</v>
      </c>
      <c r="J148" s="15" t="s">
        <v>357</v>
      </c>
      <c r="K148" s="15" t="s">
        <v>358</v>
      </c>
      <c r="L148" s="13" t="s">
        <v>362</v>
      </c>
      <c r="M148" s="15" t="s">
        <v>363</v>
      </c>
      <c r="N148" s="13" t="s">
        <v>98</v>
      </c>
      <c r="O148" s="15" t="s">
        <v>170</v>
      </c>
      <c r="P148" s="15" t="s">
        <v>171</v>
      </c>
      <c r="Q148" s="15" t="s">
        <v>101</v>
      </c>
      <c r="R148" s="13" t="s">
        <v>102</v>
      </c>
      <c r="S148" s="13" t="s">
        <v>103</v>
      </c>
      <c r="T148" s="13" t="s">
        <v>104</v>
      </c>
      <c r="U148" s="14">
        <v>40725</v>
      </c>
      <c r="V148" s="14"/>
      <c r="W148" s="15" t="s">
        <v>172</v>
      </c>
      <c r="X148" s="13" t="s">
        <v>173</v>
      </c>
      <c r="Y148" s="15" t="str">
        <f>VLOOKUP(X148,'Axe 2 Règles de gestion'!$D$2:$F$121,3, FALSE)</f>
        <v>L'agent doit formuler une demande de renouvellement à son administration d'origine 3 mois au moins avant l'expiration de la période de détachement de longue durée.</v>
      </c>
      <c r="Z148" s="13" t="s">
        <v>175</v>
      </c>
      <c r="AA148" s="15" t="str">
        <f>VLOOKUP(Z148,'Axe 2 Règles de gestion'!$D$2:$F$121,3, FALSE)</f>
        <v>L'organisme d'accueil adresse sa décision à l'agent et à l'administration d'origine 2 mois au moins avant l'expiration de la période de détachement.</v>
      </c>
      <c r="AB148" s="13"/>
      <c r="AC148" s="15"/>
      <c r="AD148" s="13"/>
      <c r="AE148" s="15"/>
      <c r="AF148" s="13"/>
      <c r="AG148" s="15"/>
      <c r="AH148" s="13"/>
      <c r="AI148" s="15"/>
      <c r="AJ148" s="13"/>
      <c r="AK148" s="15"/>
      <c r="AL148" s="13"/>
      <c r="AM148" s="15"/>
      <c r="AN148" s="13"/>
      <c r="AO148" s="15"/>
      <c r="AP148" s="13" t="s">
        <v>122</v>
      </c>
      <c r="AQ148" s="15" t="str">
        <f>VLOOKUP(AP148,'Axe 2 Règles de gestion'!$D$2:$F$121,3, FALSE)</f>
        <v>Un détachement de longue durée ne peut excéder 5 ans entre la date de début et la date de fin prévisionnelle.</v>
      </c>
      <c r="AR148" s="13" t="s">
        <v>124</v>
      </c>
      <c r="AS148" s="15" t="str">
        <f>VLOOKUP(AR148,'Axe 2 Règles de gestion'!$D$2:$F$121,3, FALSE)</f>
        <v>Un détachement de longue durée ne peut excéder 5 ans entre la date de début et la date de fin réelle.</v>
      </c>
      <c r="AT148" s="13" t="s">
        <v>177</v>
      </c>
      <c r="AU148" s="15" t="str">
        <f>VLOOKUP(AT148,'Axe 2 Règles de gestion'!$D$2:$F$121,3, FALSE)</f>
        <v>Le renouvellement d'un détachement de courte durée est interdit.</v>
      </c>
      <c r="AV148" s="13"/>
      <c r="AW148" s="15"/>
      <c r="AX148" s="13"/>
      <c r="AY148" s="15"/>
      <c r="AZ148" s="13"/>
      <c r="BA148" s="15"/>
      <c r="BB148" s="13" t="s">
        <v>126</v>
      </c>
      <c r="BC148" s="15" t="str">
        <f>VLOOKUP(BB148,'Axe 2 Règles de gestion'!$D$2:$F$121,3, FALSE)</f>
        <v>La date de début de position doit être antérieure ou égale à la date de fin prévisionnelle de position.</v>
      </c>
      <c r="BD148" s="13" t="s">
        <v>128</v>
      </c>
      <c r="BE148" s="15" t="str">
        <f>VLOOKUP(BD148,'Axe 2 Règles de gestion'!$D$2:$F$121,3, FALSE)</f>
        <v>La date de début de la position doit être postérieure ou égale à la date d'entrée dans la FPE ou dans la carrière militaire.</v>
      </c>
      <c r="BF148" s="13" t="s">
        <v>130</v>
      </c>
      <c r="BG148" s="15" t="str">
        <f>VLOOKUP(BF148,'Axe 2 Règles de gestion'!$D$2:$F$121,3, FALSE)</f>
        <v>La date de fin réelle de la position doit être antérieure à la date limite de départ à la retraite.</v>
      </c>
      <c r="BH148" s="13" t="s">
        <v>132</v>
      </c>
      <c r="BI148" s="15" t="str">
        <f>VLOOKUP(BH148,'Axe 2 Règles de gestion'!$D$2:$F$121,3, FALSE)</f>
        <v>La date de début de position doit être antérieure ou égale à la date de fin réelle de position.</v>
      </c>
      <c r="BJ148" s="13" t="s">
        <v>134</v>
      </c>
      <c r="BK148" s="15" t="str">
        <f>VLOOKUP(BJ148,'Axe 2 Règles de gestion'!$D$2:$F$121,3, FALSE)</f>
        <v>La date de fin prévisionnelle de la position doit être antérieure à la date limite de départ à la retraite.</v>
      </c>
      <c r="BL148" s="13" t="s">
        <v>136</v>
      </c>
      <c r="BM148" s="15" t="str">
        <f>VLOOKUP(BL148,'Axe 2 Règles de gestion'!$D$2:$F$121,3, FALSE)</f>
        <v>L'indicateur de carrière est sur la valeur "Accueil".</v>
      </c>
      <c r="BN148" s="13" t="s">
        <v>138</v>
      </c>
      <c r="BO148" s="15" t="str">
        <f>VLOOKUP(BN148,'Axe 2 Règles de gestion'!$D$2:$F$121,3, FALSE)</f>
        <v>La date de début de position est à J+1 de la date de fin de position de l'occurrence précédente.</v>
      </c>
      <c r="BP148" s="13" t="s">
        <v>140</v>
      </c>
      <c r="BQ148" s="15" t="str">
        <f>VLOOKUP(BP148,'Axe 2 Règles de gestion'!$D$2:$F$121,3, FALSE)</f>
        <v>Les champs "Type d'organisme d'origine", "Catégorie statutaire d'origine" et "Pays" de l'organisme d'origine doivent être renseignés.</v>
      </c>
      <c r="BR148" s="13" t="s">
        <v>142</v>
      </c>
      <c r="BS148" s="15" t="str">
        <f>VLOOKUP(BR148,'Axe 2 Règles de gestion'!$D$2:$F$121,3, FALSE)</f>
        <v>Les champs "Ministère (ou institution de la République) d'origine", "Corps d'origine", "Grade d'origine", "Echelon d'origine" sont renseignés si le "Type d'organisme d'origine" est valorisé à FPE.</v>
      </c>
      <c r="BT148" s="13" t="s">
        <v>144</v>
      </c>
      <c r="BU148" s="15" t="str">
        <f>VLOOKUP(BT148,'Axe 2 Règles de gestion'!$D$2:$F$121,3, FALSE)</f>
        <v>Le champ "Organisme d'origine" doit être alimenté si le type d'organisme d'origine est égal à 'Autre organisme', 'Fonction publique d'un état de l'Union Européenne' ou 'Fonction publique Européenne'.</v>
      </c>
      <c r="BV148" s="13" t="s">
        <v>146</v>
      </c>
      <c r="BW148" s="15" t="str">
        <f>VLOOKUP(BV148,'Axe 2 Règles de gestion'!$D$2:$F$121,3, FALSE)</f>
        <v>Le champ "Code emploi statutaire FPT (NET)" est renseigné si le "Type d'organisme d'origine" est valorisé à FPT.</v>
      </c>
      <c r="BX148" s="13" t="s">
        <v>148</v>
      </c>
      <c r="BY148" s="15" t="str">
        <f>VLOOKUP(BX148,'Axe 2 Règles de gestion'!$D$2:$F$121,3, FALSE)</f>
        <v>Le champ "Code emploi statutaire FPH (NEH)" est renseigné si le "Type d'organisme d'origine" est valorisé à FPH.</v>
      </c>
      <c r="BZ148" s="13" t="s">
        <v>150</v>
      </c>
      <c r="CA148" s="15" t="str">
        <f>VLOOKUP(BZ148,'Axe 2 Règles de gestion'!$D$2:$F$121,3, FALSE)</f>
        <v>La date de fin ou la date de fin prévisionnelle doit être saisie.</v>
      </c>
      <c r="CB148" s="13"/>
      <c r="CC148" s="15"/>
      <c r="CD148" s="13"/>
      <c r="CE148" s="15"/>
      <c r="CF148" s="13"/>
      <c r="CG148" s="13"/>
    </row>
    <row r="149" spans="1:85" ht="150" x14ac:dyDescent="0.25">
      <c r="A149" s="13" t="s">
        <v>86</v>
      </c>
      <c r="B149" s="13" t="s">
        <v>87</v>
      </c>
      <c r="C149" s="14">
        <v>43850.552083333336</v>
      </c>
      <c r="D149" s="13" t="s">
        <v>88</v>
      </c>
      <c r="E149" s="15" t="s">
        <v>89</v>
      </c>
      <c r="F149" s="13" t="s">
        <v>90</v>
      </c>
      <c r="G149" s="15" t="s">
        <v>91</v>
      </c>
      <c r="H149" s="13" t="s">
        <v>355</v>
      </c>
      <c r="I149" s="15" t="s">
        <v>356</v>
      </c>
      <c r="J149" s="15" t="s">
        <v>357</v>
      </c>
      <c r="K149" s="15" t="s">
        <v>358</v>
      </c>
      <c r="L149" s="13" t="s">
        <v>364</v>
      </c>
      <c r="M149" s="15" t="s">
        <v>365</v>
      </c>
      <c r="N149" s="13" t="s">
        <v>188</v>
      </c>
      <c r="O149" s="15" t="s">
        <v>189</v>
      </c>
      <c r="P149" s="15" t="s">
        <v>190</v>
      </c>
      <c r="Q149" s="15" t="s">
        <v>101</v>
      </c>
      <c r="R149" s="13" t="s">
        <v>102</v>
      </c>
      <c r="S149" s="13" t="s">
        <v>103</v>
      </c>
      <c r="T149" s="13" t="s">
        <v>104</v>
      </c>
      <c r="U149" s="14">
        <v>40725</v>
      </c>
      <c r="V149" s="14"/>
      <c r="W149" s="15" t="s">
        <v>191</v>
      </c>
      <c r="X149" s="13" t="s">
        <v>192</v>
      </c>
      <c r="Y149" s="15" t="str">
        <f>VLOOKUP(X149,'Axe 2 Règles de gestion'!$D$2:$F$121,3, FALSE)</f>
        <v>Le détachement peut prendre fin de manière anticipée à l'initiative de l'administration d'accueil, de l'administration d'origine ou de l'agent.</v>
      </c>
      <c r="Z149" s="13" t="s">
        <v>194</v>
      </c>
      <c r="AA149" s="15" t="str">
        <f>VLOOKUP(Z149,'Axe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149" s="13" t="s">
        <v>196</v>
      </c>
      <c r="AC149" s="15" t="str">
        <f>VLOOKUP(AB149,'Axe 2 Règles de gestion'!$D$2:$F$121,3, FALSE)</f>
        <v>L'agent doit adresser une demande de réintégration à l'administration d'origine 3 mois au moins avant l'expiration de la période de détachement de longue durée.</v>
      </c>
      <c r="AD149" s="13" t="s">
        <v>175</v>
      </c>
      <c r="AE149" s="15" t="str">
        <f>VLOOKUP(AD149,'Axe 2 Règles de gestion'!$D$2:$F$121,3, FALSE)</f>
        <v>L'organisme d'accueil adresse sa décision à l'agent et à l'administration d'origine 2 mois au moins avant l'expiration de la période de détachement.</v>
      </c>
      <c r="AF149" s="13" t="s">
        <v>198</v>
      </c>
      <c r="AG149" s="15" t="str">
        <f>VLOOKUP(AF149,'Axe 2 Règles de gestion'!$D$2:$F$121,3, FALSE)</f>
        <v>Si l'agent n'adresse pas sa demande dans les délais, il est obligatoirement réintégré à la première vacance dans son corps d'origine et affecté à un emploi correspondant à son grade.</v>
      </c>
      <c r="AH149" s="13" t="s">
        <v>200</v>
      </c>
      <c r="AI149" s="15" t="str">
        <f>VLOOKUP(AH149,'Axe 2 Règles de gestion'!$D$2:$F$121,3, FALSE)</f>
        <v>Les dispositions relatives à la réintégration au terme d'un détachement de longue durée ne sont pas applicables aux préfets et sous-préfets.</v>
      </c>
      <c r="AJ149" s="13"/>
      <c r="AK149" s="15"/>
      <c r="AL149" s="13"/>
      <c r="AM149" s="15"/>
      <c r="AN149" s="13"/>
      <c r="AO149" s="15"/>
      <c r="AP149" s="13" t="s">
        <v>114</v>
      </c>
      <c r="AQ149" s="15" t="str">
        <f>VLOOKUP(AP149,'Axe 2 Règles de gestion'!$D$2:$F$121,3, FALSE)</f>
        <v>Un détachement de courte durée à l'étranger ou dans les TOM ne peut excéder 1 an entre la date de début et la date de fin prévisionnelle.</v>
      </c>
      <c r="AR149" s="13" t="s">
        <v>116</v>
      </c>
      <c r="AS149" s="15" t="str">
        <f>VLOOKUP(AR149,'Axe 2 Règles de gestion'!$D$2:$F$121,3, FALSE)</f>
        <v>Un détachement de courte durée à l'étranger ou dans les TOM ne peut excéder 1 an entre la date de début et la date de fin réelle.</v>
      </c>
      <c r="AT149" s="13" t="s">
        <v>118</v>
      </c>
      <c r="AU149" s="15" t="str">
        <f>VLOOKUP(AT149,'Axe 2 Règles de gestion'!$D$2:$F$121,3, FALSE)</f>
        <v>Un détachement de courte durée n'ayant pas lieu à l'étranger ou dans les TOM ne peut excéder six mois entre la date de début et la date de fin prévisionnelle.</v>
      </c>
      <c r="AV149" s="13" t="s">
        <v>120</v>
      </c>
      <c r="AW149" s="15" t="str">
        <f>VLOOKUP(AV149,'Axe 2 Règles de gestion'!$D$2:$F$121,3, FALSE)</f>
        <v>Un détachement de courte durée n'ayant pas lieu à l'étranger ou dans les TOM ne peut excéder six mois entre la date de début et la date de fin réelle.</v>
      </c>
      <c r="AX149" s="13" t="s">
        <v>122</v>
      </c>
      <c r="AY149" s="15" t="str">
        <f>VLOOKUP(AX149,'Axe 2 Règles de gestion'!$D$2:$F$121,3, FALSE)</f>
        <v>Un détachement de longue durée ne peut excéder 5 ans entre la date de début et la date de fin prévisionnelle.</v>
      </c>
      <c r="AZ149" s="13" t="s">
        <v>124</v>
      </c>
      <c r="BA149" s="15" t="str">
        <f>VLOOKUP(AZ149,'Axe 2 Règles de gestion'!$D$2:$F$121,3, FALSE)</f>
        <v>Un détachement de longue durée ne peut excéder 5 ans entre la date de début et la date de fin réelle.</v>
      </c>
      <c r="BB149" s="13" t="s">
        <v>126</v>
      </c>
      <c r="BC149" s="15" t="str">
        <f>VLOOKUP(BB149,'Axe 2 Règles de gestion'!$D$2:$F$121,3, FALSE)</f>
        <v>La date de début de position doit être antérieure ou égale à la date de fin prévisionnelle de position.</v>
      </c>
      <c r="BD149" s="13" t="s">
        <v>130</v>
      </c>
      <c r="BE149" s="15" t="str">
        <f>VLOOKUP(BD149,'Axe 2 Règles de gestion'!$D$2:$F$121,3, FALSE)</f>
        <v>La date de fin réelle de la position doit être antérieure à la date limite de départ à la retraite.</v>
      </c>
      <c r="BF149" s="13" t="s">
        <v>132</v>
      </c>
      <c r="BG149" s="15" t="str">
        <f>VLOOKUP(BF149,'Axe 2 Règles de gestion'!$D$2:$F$121,3, FALSE)</f>
        <v>La date de début de position doit être antérieure ou égale à la date de fin réelle de position.</v>
      </c>
      <c r="BH149" s="13" t="s">
        <v>134</v>
      </c>
      <c r="BI149" s="15" t="str">
        <f>VLOOKUP(BH149,'Axe 2 Règles de gestion'!$D$2:$F$121,3, FALSE)</f>
        <v>La date de fin prévisionnelle de la position doit être antérieure à la date limite de départ à la retraite.</v>
      </c>
      <c r="BJ149" s="13" t="s">
        <v>140</v>
      </c>
      <c r="BK149" s="15" t="str">
        <f>VLOOKUP(BJ149,'Axe 2 Règles de gestion'!$D$2:$F$121,3, FALSE)</f>
        <v>Les champs "Type d'organisme d'origine", "Catégorie statutaire d'origine" et "Pays" de l'organisme d'origine doivent être renseignés.</v>
      </c>
      <c r="BL149" s="13" t="s">
        <v>142</v>
      </c>
      <c r="BM149" s="15" t="str">
        <f>VLOOKUP(BL149,'Axe 2 Règles de gestion'!$D$2:$F$121,3, FALSE)</f>
        <v>Les champs "Ministère (ou institution de la République) d'origine", "Corps d'origine", "Grade d'origine", "Echelon d'origine" sont renseignés si le "Type d'organisme d'origine" est valorisé à FPE.</v>
      </c>
      <c r="BN149" s="13" t="s">
        <v>144</v>
      </c>
      <c r="BO149" s="15" t="str">
        <f>VLOOKUP(BN149,'Axe 2 Règles de gestion'!$D$2:$F$121,3, FALSE)</f>
        <v>Le champ "Organisme d'origine" doit être alimenté si le type d'organisme d'origine est égal à 'Autre organisme', 'Fonction publique d'un état de l'Union Européenne' ou 'Fonction publique Européenne'.</v>
      </c>
      <c r="BP149" s="13" t="s">
        <v>146</v>
      </c>
      <c r="BQ149" s="15" t="str">
        <f>VLOOKUP(BP149,'Axe 2 Règles de gestion'!$D$2:$F$121,3, FALSE)</f>
        <v>Le champ "Code emploi statutaire FPT (NET)" est renseigné si le "Type d'organisme d'origine" est valorisé à FPT.</v>
      </c>
      <c r="BR149" s="13" t="s">
        <v>148</v>
      </c>
      <c r="BS149" s="15" t="str">
        <f>VLOOKUP(BR149,'Axe 2 Règles de gestion'!$D$2:$F$121,3, FALSE)</f>
        <v>Le champ "Code emploi statutaire FPH (NEH)" est renseigné si le "Type d'organisme d'origine" est valorisé à FPH.</v>
      </c>
      <c r="BT149" s="13" t="s">
        <v>150</v>
      </c>
      <c r="BU149" s="15" t="str">
        <f>VLOOKUP(BT149,'Axe 2 Règles de gestion'!$D$2:$F$121,3, FALSE)</f>
        <v>La date de fin ou la date de fin prévisionnelle doit être saisie.</v>
      </c>
      <c r="BV149" s="13"/>
      <c r="BW149" s="15"/>
      <c r="BX149" s="13"/>
      <c r="BY149" s="15"/>
      <c r="BZ149" s="13"/>
      <c r="CA149" s="15"/>
      <c r="CB149" s="13"/>
      <c r="CC149" s="15"/>
      <c r="CD149" s="13"/>
      <c r="CE149" s="15"/>
      <c r="CF149" s="13"/>
      <c r="CG149" s="13"/>
    </row>
    <row r="150" spans="1:85" ht="120" x14ac:dyDescent="0.25">
      <c r="A150" s="13" t="s">
        <v>202</v>
      </c>
      <c r="B150" s="13" t="s">
        <v>153</v>
      </c>
      <c r="C150" s="14">
        <v>43152.5</v>
      </c>
      <c r="D150" s="13" t="s">
        <v>88</v>
      </c>
      <c r="E150" s="15" t="s">
        <v>89</v>
      </c>
      <c r="F150" s="13" t="s">
        <v>90</v>
      </c>
      <c r="G150" s="15" t="s">
        <v>91</v>
      </c>
      <c r="H150" s="13" t="s">
        <v>355</v>
      </c>
      <c r="I150" s="15" t="s">
        <v>356</v>
      </c>
      <c r="J150" s="15" t="s">
        <v>357</v>
      </c>
      <c r="K150" s="15" t="s">
        <v>358</v>
      </c>
      <c r="L150" s="13" t="s">
        <v>359</v>
      </c>
      <c r="M150" s="15" t="s">
        <v>360</v>
      </c>
      <c r="N150" s="13" t="s">
        <v>98</v>
      </c>
      <c r="O150" s="15" t="s">
        <v>99</v>
      </c>
      <c r="P150" s="15" t="s">
        <v>100</v>
      </c>
      <c r="Q150" s="15" t="s">
        <v>203</v>
      </c>
      <c r="R150" s="13" t="s">
        <v>204</v>
      </c>
      <c r="S150" s="13" t="s">
        <v>103</v>
      </c>
      <c r="T150" s="13" t="s">
        <v>205</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3"/>
    </row>
    <row r="151" spans="1:85" ht="120" x14ac:dyDescent="0.25">
      <c r="A151" s="13" t="s">
        <v>202</v>
      </c>
      <c r="B151" s="13" t="s">
        <v>153</v>
      </c>
      <c r="C151" s="14">
        <v>43152.5</v>
      </c>
      <c r="D151" s="13" t="s">
        <v>88</v>
      </c>
      <c r="E151" s="15" t="s">
        <v>89</v>
      </c>
      <c r="F151" s="13" t="s">
        <v>90</v>
      </c>
      <c r="G151" s="15" t="s">
        <v>91</v>
      </c>
      <c r="H151" s="13" t="s">
        <v>355</v>
      </c>
      <c r="I151" s="15" t="s">
        <v>356</v>
      </c>
      <c r="J151" s="15" t="s">
        <v>357</v>
      </c>
      <c r="K151" s="15" t="s">
        <v>358</v>
      </c>
      <c r="L151" s="13" t="s">
        <v>362</v>
      </c>
      <c r="M151" s="15" t="s">
        <v>363</v>
      </c>
      <c r="N151" s="13" t="s">
        <v>98</v>
      </c>
      <c r="O151" s="15" t="s">
        <v>170</v>
      </c>
      <c r="P151" s="15" t="s">
        <v>171</v>
      </c>
      <c r="Q151" s="15" t="s">
        <v>203</v>
      </c>
      <c r="R151" s="13" t="s">
        <v>204</v>
      </c>
      <c r="S151" s="13" t="s">
        <v>103</v>
      </c>
      <c r="T151" s="13" t="s">
        <v>205</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3"/>
    </row>
    <row r="152" spans="1:85" ht="90" x14ac:dyDescent="0.25">
      <c r="A152" s="13" t="s">
        <v>202</v>
      </c>
      <c r="B152" s="13" t="s">
        <v>153</v>
      </c>
      <c r="C152" s="14">
        <v>43152.5</v>
      </c>
      <c r="D152" s="13" t="s">
        <v>88</v>
      </c>
      <c r="E152" s="15" t="s">
        <v>89</v>
      </c>
      <c r="F152" s="13" t="s">
        <v>90</v>
      </c>
      <c r="G152" s="15" t="s">
        <v>91</v>
      </c>
      <c r="H152" s="13" t="s">
        <v>355</v>
      </c>
      <c r="I152" s="15" t="s">
        <v>356</v>
      </c>
      <c r="J152" s="15" t="s">
        <v>357</v>
      </c>
      <c r="K152" s="15" t="s">
        <v>358</v>
      </c>
      <c r="L152" s="13" t="s">
        <v>364</v>
      </c>
      <c r="M152" s="15" t="s">
        <v>365</v>
      </c>
      <c r="N152" s="13" t="s">
        <v>188</v>
      </c>
      <c r="O152" s="15" t="s">
        <v>189</v>
      </c>
      <c r="P152" s="15" t="s">
        <v>190</v>
      </c>
      <c r="Q152" s="15" t="s">
        <v>203</v>
      </c>
      <c r="R152" s="13" t="s">
        <v>204</v>
      </c>
      <c r="S152" s="13" t="s">
        <v>103</v>
      </c>
      <c r="T152" s="13" t="s">
        <v>205</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3"/>
    </row>
    <row r="153" spans="1:85" ht="120" x14ac:dyDescent="0.25">
      <c r="A153" s="13" t="s">
        <v>202</v>
      </c>
      <c r="B153" s="13" t="s">
        <v>153</v>
      </c>
      <c r="C153" s="14">
        <v>43152.5</v>
      </c>
      <c r="D153" s="13" t="s">
        <v>88</v>
      </c>
      <c r="E153" s="15" t="s">
        <v>89</v>
      </c>
      <c r="F153" s="13" t="s">
        <v>90</v>
      </c>
      <c r="G153" s="15" t="s">
        <v>91</v>
      </c>
      <c r="H153" s="13" t="s">
        <v>355</v>
      </c>
      <c r="I153" s="15" t="s">
        <v>356</v>
      </c>
      <c r="J153" s="15" t="s">
        <v>357</v>
      </c>
      <c r="K153" s="15" t="s">
        <v>358</v>
      </c>
      <c r="L153" s="13" t="s">
        <v>359</v>
      </c>
      <c r="M153" s="15" t="s">
        <v>360</v>
      </c>
      <c r="N153" s="13" t="s">
        <v>98</v>
      </c>
      <c r="O153" s="15" t="s">
        <v>99</v>
      </c>
      <c r="P153" s="15" t="s">
        <v>100</v>
      </c>
      <c r="Q153" s="15" t="s">
        <v>206</v>
      </c>
      <c r="R153" s="13" t="s">
        <v>207</v>
      </c>
      <c r="S153" s="13" t="s">
        <v>103</v>
      </c>
      <c r="T153" s="13" t="s">
        <v>205</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3"/>
    </row>
    <row r="154" spans="1:85" ht="120" x14ac:dyDescent="0.25">
      <c r="A154" s="13" t="s">
        <v>202</v>
      </c>
      <c r="B154" s="13" t="s">
        <v>153</v>
      </c>
      <c r="C154" s="14">
        <v>43152.5</v>
      </c>
      <c r="D154" s="13" t="s">
        <v>88</v>
      </c>
      <c r="E154" s="15" t="s">
        <v>89</v>
      </c>
      <c r="F154" s="13" t="s">
        <v>90</v>
      </c>
      <c r="G154" s="15" t="s">
        <v>91</v>
      </c>
      <c r="H154" s="13" t="s">
        <v>355</v>
      </c>
      <c r="I154" s="15" t="s">
        <v>356</v>
      </c>
      <c r="J154" s="15" t="s">
        <v>357</v>
      </c>
      <c r="K154" s="15" t="s">
        <v>358</v>
      </c>
      <c r="L154" s="13" t="s">
        <v>362</v>
      </c>
      <c r="M154" s="15" t="s">
        <v>363</v>
      </c>
      <c r="N154" s="13" t="s">
        <v>98</v>
      </c>
      <c r="O154" s="15" t="s">
        <v>170</v>
      </c>
      <c r="P154" s="15" t="s">
        <v>171</v>
      </c>
      <c r="Q154" s="15" t="s">
        <v>206</v>
      </c>
      <c r="R154" s="13" t="s">
        <v>207</v>
      </c>
      <c r="S154" s="13" t="s">
        <v>103</v>
      </c>
      <c r="T154" s="13" t="s">
        <v>205</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3"/>
    </row>
    <row r="155" spans="1:85" ht="90" x14ac:dyDescent="0.25">
      <c r="A155" s="13" t="s">
        <v>202</v>
      </c>
      <c r="B155" s="13" t="s">
        <v>153</v>
      </c>
      <c r="C155" s="14">
        <v>43152.5</v>
      </c>
      <c r="D155" s="13" t="s">
        <v>88</v>
      </c>
      <c r="E155" s="15" t="s">
        <v>89</v>
      </c>
      <c r="F155" s="13" t="s">
        <v>90</v>
      </c>
      <c r="G155" s="15" t="s">
        <v>91</v>
      </c>
      <c r="H155" s="13" t="s">
        <v>355</v>
      </c>
      <c r="I155" s="15" t="s">
        <v>356</v>
      </c>
      <c r="J155" s="15" t="s">
        <v>357</v>
      </c>
      <c r="K155" s="15" t="s">
        <v>358</v>
      </c>
      <c r="L155" s="13" t="s">
        <v>364</v>
      </c>
      <c r="M155" s="15" t="s">
        <v>365</v>
      </c>
      <c r="N155" s="13" t="s">
        <v>188</v>
      </c>
      <c r="O155" s="15" t="s">
        <v>189</v>
      </c>
      <c r="P155" s="15" t="s">
        <v>190</v>
      </c>
      <c r="Q155" s="15" t="s">
        <v>206</v>
      </c>
      <c r="R155" s="13" t="s">
        <v>207</v>
      </c>
      <c r="S155" s="13" t="s">
        <v>103</v>
      </c>
      <c r="T155" s="13" t="s">
        <v>205</v>
      </c>
      <c r="U155" s="14">
        <v>40725</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3"/>
    </row>
    <row r="156" spans="1:85" ht="120" x14ac:dyDescent="0.25">
      <c r="A156" s="13" t="s">
        <v>202</v>
      </c>
      <c r="B156" s="13" t="s">
        <v>153</v>
      </c>
      <c r="C156" s="14">
        <v>43152.5</v>
      </c>
      <c r="D156" s="13" t="s">
        <v>88</v>
      </c>
      <c r="E156" s="15" t="s">
        <v>89</v>
      </c>
      <c r="F156" s="13" t="s">
        <v>90</v>
      </c>
      <c r="G156" s="15" t="s">
        <v>91</v>
      </c>
      <c r="H156" s="13" t="s">
        <v>355</v>
      </c>
      <c r="I156" s="15" t="s">
        <v>356</v>
      </c>
      <c r="J156" s="15" t="s">
        <v>357</v>
      </c>
      <c r="K156" s="15" t="s">
        <v>358</v>
      </c>
      <c r="L156" s="13" t="s">
        <v>359</v>
      </c>
      <c r="M156" s="15" t="s">
        <v>360</v>
      </c>
      <c r="N156" s="13" t="s">
        <v>98</v>
      </c>
      <c r="O156" s="15" t="s">
        <v>99</v>
      </c>
      <c r="P156" s="15" t="s">
        <v>100</v>
      </c>
      <c r="Q156" s="15" t="s">
        <v>208</v>
      </c>
      <c r="R156" s="13" t="s">
        <v>209</v>
      </c>
      <c r="S156" s="13" t="s">
        <v>103</v>
      </c>
      <c r="T156" s="13" t="s">
        <v>205</v>
      </c>
      <c r="U156" s="14">
        <v>40725</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3"/>
    </row>
    <row r="157" spans="1:85" ht="120" x14ac:dyDescent="0.25">
      <c r="A157" s="13" t="s">
        <v>202</v>
      </c>
      <c r="B157" s="13" t="s">
        <v>153</v>
      </c>
      <c r="C157" s="14">
        <v>43152.5</v>
      </c>
      <c r="D157" s="13" t="s">
        <v>88</v>
      </c>
      <c r="E157" s="15" t="s">
        <v>89</v>
      </c>
      <c r="F157" s="13" t="s">
        <v>90</v>
      </c>
      <c r="G157" s="15" t="s">
        <v>91</v>
      </c>
      <c r="H157" s="13" t="s">
        <v>355</v>
      </c>
      <c r="I157" s="15" t="s">
        <v>356</v>
      </c>
      <c r="J157" s="15" t="s">
        <v>357</v>
      </c>
      <c r="K157" s="15" t="s">
        <v>358</v>
      </c>
      <c r="L157" s="13" t="s">
        <v>362</v>
      </c>
      <c r="M157" s="15" t="s">
        <v>363</v>
      </c>
      <c r="N157" s="13" t="s">
        <v>98</v>
      </c>
      <c r="O157" s="15" t="s">
        <v>170</v>
      </c>
      <c r="P157" s="15" t="s">
        <v>171</v>
      </c>
      <c r="Q157" s="15" t="s">
        <v>208</v>
      </c>
      <c r="R157" s="13" t="s">
        <v>209</v>
      </c>
      <c r="S157" s="13" t="s">
        <v>103</v>
      </c>
      <c r="T157" s="13" t="s">
        <v>205</v>
      </c>
      <c r="U157" s="14">
        <v>40725</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3"/>
    </row>
    <row r="158" spans="1:85" ht="90" x14ac:dyDescent="0.25">
      <c r="A158" s="13" t="s">
        <v>202</v>
      </c>
      <c r="B158" s="13" t="s">
        <v>153</v>
      </c>
      <c r="C158" s="14">
        <v>43152.5</v>
      </c>
      <c r="D158" s="13" t="s">
        <v>88</v>
      </c>
      <c r="E158" s="15" t="s">
        <v>89</v>
      </c>
      <c r="F158" s="13" t="s">
        <v>90</v>
      </c>
      <c r="G158" s="15" t="s">
        <v>91</v>
      </c>
      <c r="H158" s="13" t="s">
        <v>355</v>
      </c>
      <c r="I158" s="15" t="s">
        <v>356</v>
      </c>
      <c r="J158" s="15" t="s">
        <v>357</v>
      </c>
      <c r="K158" s="15" t="s">
        <v>358</v>
      </c>
      <c r="L158" s="13" t="s">
        <v>364</v>
      </c>
      <c r="M158" s="15" t="s">
        <v>365</v>
      </c>
      <c r="N158" s="13" t="s">
        <v>188</v>
      </c>
      <c r="O158" s="15" t="s">
        <v>189</v>
      </c>
      <c r="P158" s="15" t="s">
        <v>190</v>
      </c>
      <c r="Q158" s="15" t="s">
        <v>208</v>
      </c>
      <c r="R158" s="13" t="s">
        <v>209</v>
      </c>
      <c r="S158" s="13" t="s">
        <v>103</v>
      </c>
      <c r="T158" s="13" t="s">
        <v>205</v>
      </c>
      <c r="U158" s="14">
        <v>40725</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3"/>
    </row>
    <row r="159" spans="1:85" ht="120" x14ac:dyDescent="0.25">
      <c r="A159" s="13" t="s">
        <v>202</v>
      </c>
      <c r="B159" s="13" t="s">
        <v>153</v>
      </c>
      <c r="C159" s="14">
        <v>43152.5</v>
      </c>
      <c r="D159" s="13" t="s">
        <v>88</v>
      </c>
      <c r="E159" s="15" t="s">
        <v>89</v>
      </c>
      <c r="F159" s="13" t="s">
        <v>90</v>
      </c>
      <c r="G159" s="15" t="s">
        <v>91</v>
      </c>
      <c r="H159" s="13" t="s">
        <v>355</v>
      </c>
      <c r="I159" s="15" t="s">
        <v>356</v>
      </c>
      <c r="J159" s="15" t="s">
        <v>357</v>
      </c>
      <c r="K159" s="15" t="s">
        <v>358</v>
      </c>
      <c r="L159" s="13" t="s">
        <v>359</v>
      </c>
      <c r="M159" s="15" t="s">
        <v>360</v>
      </c>
      <c r="N159" s="13" t="s">
        <v>98</v>
      </c>
      <c r="O159" s="15" t="s">
        <v>99</v>
      </c>
      <c r="P159" s="15" t="s">
        <v>100</v>
      </c>
      <c r="Q159" s="15" t="s">
        <v>366</v>
      </c>
      <c r="R159" s="13" t="s">
        <v>367</v>
      </c>
      <c r="S159" s="13" t="s">
        <v>212</v>
      </c>
      <c r="T159" s="13" t="s">
        <v>205</v>
      </c>
      <c r="U159" s="14">
        <v>40725</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c r="CA159" s="15"/>
      <c r="CB159" s="13"/>
      <c r="CC159" s="15"/>
      <c r="CD159" s="13"/>
      <c r="CE159" s="15"/>
      <c r="CF159" s="13"/>
      <c r="CG159" s="13"/>
    </row>
    <row r="160" spans="1:85" ht="120" x14ac:dyDescent="0.25">
      <c r="A160" s="13" t="s">
        <v>202</v>
      </c>
      <c r="B160" s="13" t="s">
        <v>153</v>
      </c>
      <c r="C160" s="14">
        <v>43152.5</v>
      </c>
      <c r="D160" s="13" t="s">
        <v>88</v>
      </c>
      <c r="E160" s="15" t="s">
        <v>89</v>
      </c>
      <c r="F160" s="13" t="s">
        <v>90</v>
      </c>
      <c r="G160" s="15" t="s">
        <v>91</v>
      </c>
      <c r="H160" s="13" t="s">
        <v>355</v>
      </c>
      <c r="I160" s="15" t="s">
        <v>356</v>
      </c>
      <c r="J160" s="15" t="s">
        <v>357</v>
      </c>
      <c r="K160" s="15" t="s">
        <v>358</v>
      </c>
      <c r="L160" s="13" t="s">
        <v>362</v>
      </c>
      <c r="M160" s="15" t="s">
        <v>363</v>
      </c>
      <c r="N160" s="13" t="s">
        <v>98</v>
      </c>
      <c r="O160" s="15" t="s">
        <v>170</v>
      </c>
      <c r="P160" s="15" t="s">
        <v>171</v>
      </c>
      <c r="Q160" s="15" t="s">
        <v>366</v>
      </c>
      <c r="R160" s="13" t="s">
        <v>367</v>
      </c>
      <c r="S160" s="13" t="s">
        <v>212</v>
      </c>
      <c r="T160" s="13" t="s">
        <v>205</v>
      </c>
      <c r="U160" s="14">
        <v>40725</v>
      </c>
      <c r="V160" s="14"/>
      <c r="W160" s="15"/>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c r="CE160" s="15"/>
      <c r="CF160" s="13"/>
      <c r="CG160" s="13"/>
    </row>
    <row r="161" spans="1:85" ht="90" x14ac:dyDescent="0.25">
      <c r="A161" s="13" t="s">
        <v>202</v>
      </c>
      <c r="B161" s="13" t="s">
        <v>153</v>
      </c>
      <c r="C161" s="14">
        <v>43152.5</v>
      </c>
      <c r="D161" s="13" t="s">
        <v>88</v>
      </c>
      <c r="E161" s="15" t="s">
        <v>89</v>
      </c>
      <c r="F161" s="13" t="s">
        <v>90</v>
      </c>
      <c r="G161" s="15" t="s">
        <v>91</v>
      </c>
      <c r="H161" s="13" t="s">
        <v>355</v>
      </c>
      <c r="I161" s="15" t="s">
        <v>356</v>
      </c>
      <c r="J161" s="15" t="s">
        <v>357</v>
      </c>
      <c r="K161" s="15" t="s">
        <v>358</v>
      </c>
      <c r="L161" s="13" t="s">
        <v>364</v>
      </c>
      <c r="M161" s="15" t="s">
        <v>365</v>
      </c>
      <c r="N161" s="13" t="s">
        <v>188</v>
      </c>
      <c r="O161" s="15" t="s">
        <v>189</v>
      </c>
      <c r="P161" s="15" t="s">
        <v>190</v>
      </c>
      <c r="Q161" s="15" t="s">
        <v>366</v>
      </c>
      <c r="R161" s="13" t="s">
        <v>367</v>
      </c>
      <c r="S161" s="13" t="s">
        <v>212</v>
      </c>
      <c r="T161" s="13" t="s">
        <v>205</v>
      </c>
      <c r="U161" s="14">
        <v>40725</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c r="CA161" s="15"/>
      <c r="CB161" s="13"/>
      <c r="CC161" s="15"/>
      <c r="CD161" s="13"/>
      <c r="CE161" s="15"/>
      <c r="CF161" s="13"/>
      <c r="CG161" s="13"/>
    </row>
    <row r="162" spans="1:85" ht="120" x14ac:dyDescent="0.25">
      <c r="A162" s="13" t="s">
        <v>202</v>
      </c>
      <c r="B162" s="13" t="s">
        <v>153</v>
      </c>
      <c r="C162" s="14">
        <v>43152.5</v>
      </c>
      <c r="D162" s="13" t="s">
        <v>88</v>
      </c>
      <c r="E162" s="15" t="s">
        <v>89</v>
      </c>
      <c r="F162" s="13" t="s">
        <v>90</v>
      </c>
      <c r="G162" s="15" t="s">
        <v>91</v>
      </c>
      <c r="H162" s="13" t="s">
        <v>355</v>
      </c>
      <c r="I162" s="15" t="s">
        <v>356</v>
      </c>
      <c r="J162" s="15" t="s">
        <v>357</v>
      </c>
      <c r="K162" s="15" t="s">
        <v>358</v>
      </c>
      <c r="L162" s="13" t="s">
        <v>359</v>
      </c>
      <c r="M162" s="15" t="s">
        <v>360</v>
      </c>
      <c r="N162" s="13" t="s">
        <v>98</v>
      </c>
      <c r="O162" s="15" t="s">
        <v>99</v>
      </c>
      <c r="P162" s="15" t="s">
        <v>100</v>
      </c>
      <c r="Q162" s="15" t="s">
        <v>219</v>
      </c>
      <c r="R162" s="13" t="s">
        <v>220</v>
      </c>
      <c r="S162" s="13" t="s">
        <v>212</v>
      </c>
      <c r="T162" s="13" t="s">
        <v>205</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3"/>
    </row>
    <row r="163" spans="1:85" ht="120" x14ac:dyDescent="0.25">
      <c r="A163" s="13" t="s">
        <v>202</v>
      </c>
      <c r="B163" s="13" t="s">
        <v>153</v>
      </c>
      <c r="C163" s="14">
        <v>43152.5</v>
      </c>
      <c r="D163" s="13" t="s">
        <v>88</v>
      </c>
      <c r="E163" s="15" t="s">
        <v>89</v>
      </c>
      <c r="F163" s="13" t="s">
        <v>90</v>
      </c>
      <c r="G163" s="15" t="s">
        <v>91</v>
      </c>
      <c r="H163" s="13" t="s">
        <v>355</v>
      </c>
      <c r="I163" s="15" t="s">
        <v>356</v>
      </c>
      <c r="J163" s="15" t="s">
        <v>357</v>
      </c>
      <c r="K163" s="15" t="s">
        <v>358</v>
      </c>
      <c r="L163" s="13" t="s">
        <v>362</v>
      </c>
      <c r="M163" s="15" t="s">
        <v>363</v>
      </c>
      <c r="N163" s="13" t="s">
        <v>98</v>
      </c>
      <c r="O163" s="15" t="s">
        <v>170</v>
      </c>
      <c r="P163" s="15" t="s">
        <v>171</v>
      </c>
      <c r="Q163" s="15" t="s">
        <v>219</v>
      </c>
      <c r="R163" s="13" t="s">
        <v>220</v>
      </c>
      <c r="S163" s="13" t="s">
        <v>212</v>
      </c>
      <c r="T163" s="13" t="s">
        <v>205</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3"/>
    </row>
    <row r="164" spans="1:85" ht="90" x14ac:dyDescent="0.25">
      <c r="A164" s="13" t="s">
        <v>202</v>
      </c>
      <c r="B164" s="13" t="s">
        <v>153</v>
      </c>
      <c r="C164" s="14">
        <v>43152.5</v>
      </c>
      <c r="D164" s="13" t="s">
        <v>88</v>
      </c>
      <c r="E164" s="15" t="s">
        <v>89</v>
      </c>
      <c r="F164" s="13" t="s">
        <v>90</v>
      </c>
      <c r="G164" s="15" t="s">
        <v>91</v>
      </c>
      <c r="H164" s="13" t="s">
        <v>355</v>
      </c>
      <c r="I164" s="15" t="s">
        <v>356</v>
      </c>
      <c r="J164" s="15" t="s">
        <v>357</v>
      </c>
      <c r="K164" s="15" t="s">
        <v>358</v>
      </c>
      <c r="L164" s="13" t="s">
        <v>364</v>
      </c>
      <c r="M164" s="15" t="s">
        <v>365</v>
      </c>
      <c r="N164" s="13" t="s">
        <v>188</v>
      </c>
      <c r="O164" s="15" t="s">
        <v>189</v>
      </c>
      <c r="P164" s="15" t="s">
        <v>190</v>
      </c>
      <c r="Q164" s="15" t="s">
        <v>219</v>
      </c>
      <c r="R164" s="13" t="s">
        <v>220</v>
      </c>
      <c r="S164" s="13" t="s">
        <v>212</v>
      </c>
      <c r="T164" s="13" t="s">
        <v>205</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3"/>
    </row>
    <row r="165" spans="1:85" ht="135" x14ac:dyDescent="0.25">
      <c r="A165" s="13" t="s">
        <v>86</v>
      </c>
      <c r="B165" s="13" t="s">
        <v>87</v>
      </c>
      <c r="C165" s="14">
        <v>43850.552083333336</v>
      </c>
      <c r="D165" s="13" t="s">
        <v>88</v>
      </c>
      <c r="E165" s="15" t="s">
        <v>89</v>
      </c>
      <c r="F165" s="13" t="s">
        <v>90</v>
      </c>
      <c r="G165" s="15" t="s">
        <v>91</v>
      </c>
      <c r="H165" s="13" t="s">
        <v>368</v>
      </c>
      <c r="I165" s="15" t="s">
        <v>369</v>
      </c>
      <c r="J165" s="15" t="s">
        <v>370</v>
      </c>
      <c r="K165" s="15" t="s">
        <v>371</v>
      </c>
      <c r="L165" s="13" t="s">
        <v>372</v>
      </c>
      <c r="M165" s="15" t="s">
        <v>373</v>
      </c>
      <c r="N165" s="13" t="s">
        <v>98</v>
      </c>
      <c r="O165" s="15" t="s">
        <v>99</v>
      </c>
      <c r="P165" s="15" t="s">
        <v>100</v>
      </c>
      <c r="Q165" s="15" t="s">
        <v>101</v>
      </c>
      <c r="R165" s="13" t="s">
        <v>102</v>
      </c>
      <c r="S165" s="13" t="s">
        <v>103</v>
      </c>
      <c r="T165" s="13" t="s">
        <v>104</v>
      </c>
      <c r="U165" s="14">
        <v>40725</v>
      </c>
      <c r="V165" s="14">
        <v>43830</v>
      </c>
      <c r="W165" s="15" t="s">
        <v>105</v>
      </c>
      <c r="X165" s="13" t="s">
        <v>106</v>
      </c>
      <c r="Y165" s="15" t="str">
        <f>VLOOKUP(X165,'Axe 2 Règles de gestion'!$D$2:$F$121,3, FALSE)</f>
        <v>L'agent doit détenir le titre ou le diplôme requis pour l'exercice des fonctions du corps d'accueil.</v>
      </c>
      <c r="Z165" s="13" t="s">
        <v>108</v>
      </c>
      <c r="AA165" s="15" t="str">
        <f>VLOOKUP(Z165,'Axe 2 Règles de gestion'!$D$2:$F$121,3, FALSE)</f>
        <v>L'agent doit formuler une demande.</v>
      </c>
      <c r="AB165" s="13" t="s">
        <v>110</v>
      </c>
      <c r="AC165" s="15" t="str">
        <f>VLOOKUP(AB165,'Axe 2 Règles de gestion'!$D$2:$F$121,3, FALSE)</f>
        <v>Le détachement est accordé après avis des commissions administratives paritaires compétentes.</v>
      </c>
      <c r="AD165" s="13" t="s">
        <v>112</v>
      </c>
      <c r="AE165" s="15" t="str">
        <f>VLOOKUP(AD165,'Axe 2 Règles de gestion'!$D$2:$F$121,3, FALSE)</f>
        <v>L'accord de l'administration d'origine est nécessaire.</v>
      </c>
      <c r="AF165" s="13"/>
      <c r="AG165" s="15"/>
      <c r="AH165" s="13"/>
      <c r="AI165" s="15"/>
      <c r="AJ165" s="13"/>
      <c r="AK165" s="15"/>
      <c r="AL165" s="13"/>
      <c r="AM165" s="15"/>
      <c r="AN165" s="13"/>
      <c r="AO165" s="15"/>
      <c r="AP165" s="13" t="s">
        <v>114</v>
      </c>
      <c r="AQ165" s="15" t="str">
        <f>VLOOKUP(AP165,'Axe 2 Règles de gestion'!$D$2:$F$121,3, FALSE)</f>
        <v>Un détachement de courte durée à l'étranger ou dans les TOM ne peut excéder 1 an entre la date de début et la date de fin prévisionnelle.</v>
      </c>
      <c r="AR165" s="13" t="s">
        <v>116</v>
      </c>
      <c r="AS165" s="15" t="str">
        <f>VLOOKUP(AR165,'Axe 2 Règles de gestion'!$D$2:$F$121,3, FALSE)</f>
        <v>Un détachement de courte durée à l'étranger ou dans les TOM ne peut excéder 1 an entre la date de début et la date de fin réelle.</v>
      </c>
      <c r="AT165" s="13" t="s">
        <v>118</v>
      </c>
      <c r="AU165" s="15" t="str">
        <f>VLOOKUP(AT165,'Axe 2 Règles de gestion'!$D$2:$F$121,3, FALSE)</f>
        <v>Un détachement de courte durée n'ayant pas lieu à l'étranger ou dans les TOM ne peut excéder six mois entre la date de début et la date de fin prévisionnelle.</v>
      </c>
      <c r="AV165" s="13" t="s">
        <v>120</v>
      </c>
      <c r="AW165" s="15" t="str">
        <f>VLOOKUP(AV165,'Axe 2 Règles de gestion'!$D$2:$F$121,3, FALSE)</f>
        <v>Un détachement de courte durée n'ayant pas lieu à l'étranger ou dans les TOM ne peut excéder six mois entre la date de début et la date de fin réelle.</v>
      </c>
      <c r="AX165" s="13" t="s">
        <v>122</v>
      </c>
      <c r="AY165" s="15" t="str">
        <f>VLOOKUP(AX165,'Axe 2 Règles de gestion'!$D$2:$F$121,3, FALSE)</f>
        <v>Un détachement de longue durée ne peut excéder 5 ans entre la date de début et la date de fin prévisionnelle.</v>
      </c>
      <c r="AZ165" s="13" t="s">
        <v>124</v>
      </c>
      <c r="BA165" s="15" t="str">
        <f>VLOOKUP(AZ165,'Axe 2 Règles de gestion'!$D$2:$F$121,3, FALSE)</f>
        <v>Un détachement de longue durée ne peut excéder 5 ans entre la date de début et la date de fin réelle.</v>
      </c>
      <c r="BB165" s="13" t="s">
        <v>126</v>
      </c>
      <c r="BC165" s="15" t="str">
        <f>VLOOKUP(BB165,'Axe 2 Règles de gestion'!$D$2:$F$121,3, FALSE)</f>
        <v>La date de début de position doit être antérieure ou égale à la date de fin prévisionnelle de position.</v>
      </c>
      <c r="BD165" s="13" t="s">
        <v>128</v>
      </c>
      <c r="BE165" s="15" t="str">
        <f>VLOOKUP(BD165,'Axe 2 Règles de gestion'!$D$2:$F$121,3, FALSE)</f>
        <v>La date de début de la position doit être postérieure ou égale à la date d'entrée dans la FPE ou dans la carrière militaire.</v>
      </c>
      <c r="BF165" s="13" t="s">
        <v>130</v>
      </c>
      <c r="BG165" s="15" t="str">
        <f>VLOOKUP(BF165,'Axe 2 Règles de gestion'!$D$2:$F$121,3, FALSE)</f>
        <v>La date de fin réelle de la position doit être antérieure à la date limite de départ à la retraite.</v>
      </c>
      <c r="BH165" s="13" t="s">
        <v>132</v>
      </c>
      <c r="BI165" s="15" t="str">
        <f>VLOOKUP(BH165,'Axe 2 Règles de gestion'!$D$2:$F$121,3, FALSE)</f>
        <v>La date de début de position doit être antérieure ou égale à la date de fin réelle de position.</v>
      </c>
      <c r="BJ165" s="13" t="s">
        <v>134</v>
      </c>
      <c r="BK165" s="15" t="str">
        <f>VLOOKUP(BJ165,'Axe 2 Règles de gestion'!$D$2:$F$121,3, FALSE)</f>
        <v>La date de fin prévisionnelle de la position doit être antérieure à la date limite de départ à la retraite.</v>
      </c>
      <c r="BL165" s="13" t="s">
        <v>136</v>
      </c>
      <c r="BM165" s="15" t="str">
        <f>VLOOKUP(BL165,'Axe 2 Règles de gestion'!$D$2:$F$121,3, FALSE)</f>
        <v>L'indicateur de carrière est sur la valeur "Accueil".</v>
      </c>
      <c r="BN165" s="13" t="s">
        <v>138</v>
      </c>
      <c r="BO165" s="15" t="str">
        <f>VLOOKUP(BN165,'Axe 2 Règles de gestion'!$D$2:$F$121,3, FALSE)</f>
        <v>La date de début de position est à J+1 de la date de fin de position de l'occurrence précédente.</v>
      </c>
      <c r="BP165" s="13" t="s">
        <v>140</v>
      </c>
      <c r="BQ165" s="15" t="str">
        <f>VLOOKUP(BP165,'Axe 2 Règles de gestion'!$D$2:$F$121,3, FALSE)</f>
        <v>Les champs "Type d'organisme d'origine", "Catégorie statutaire d'origine" et "Pays" de l'organisme d'origine doivent être renseignés.</v>
      </c>
      <c r="BR165" s="13" t="s">
        <v>142</v>
      </c>
      <c r="BS165" s="15" t="str">
        <f>VLOOKUP(BR165,'Axe 2 Règles de gestion'!$D$2:$F$121,3, FALSE)</f>
        <v>Les champs "Ministère (ou institution de la République) d'origine", "Corps d'origine", "Grade d'origine", "Echelon d'origine" sont renseignés si le "Type d'organisme d'origine" est valorisé à FPE.</v>
      </c>
      <c r="BT165" s="13" t="s">
        <v>144</v>
      </c>
      <c r="BU165" s="15" t="str">
        <f>VLOOKUP(BT165,'Axe 2 Règles de gestion'!$D$2:$F$121,3, FALSE)</f>
        <v>Le champ "Organisme d'origine" doit être alimenté si le type d'organisme d'origine est égal à 'Autre organisme', 'Fonction publique d'un état de l'Union Européenne' ou 'Fonction publique Européenne'.</v>
      </c>
      <c r="BV165" s="13" t="s">
        <v>146</v>
      </c>
      <c r="BW165" s="15" t="str">
        <f>VLOOKUP(BV165,'Axe 2 Règles de gestion'!$D$2:$F$121,3, FALSE)</f>
        <v>Le champ "Code emploi statutaire FPT (NET)" est renseigné si le "Type d'organisme d'origine" est valorisé à FPT.</v>
      </c>
      <c r="BX165" s="13" t="s">
        <v>148</v>
      </c>
      <c r="BY165" s="15" t="str">
        <f>VLOOKUP(BX165,'Axe 2 Règles de gestion'!$D$2:$F$121,3, FALSE)</f>
        <v>Le champ "Code emploi statutaire FPH (NEH)" est renseigné si le "Type d'organisme d'origine" est valorisé à FPH.</v>
      </c>
      <c r="BZ165" s="13" t="s">
        <v>150</v>
      </c>
      <c r="CA165" s="15" t="str">
        <f>VLOOKUP(BZ165,'Axe 2 Règles de gestion'!$D$2:$F$121,3, FALSE)</f>
        <v>La date de fin ou la date de fin prévisionnelle doit être saisie.</v>
      </c>
      <c r="CB165" s="13"/>
      <c r="CC165" s="15"/>
      <c r="CD165" s="13"/>
      <c r="CE165" s="15"/>
      <c r="CF165" s="13"/>
      <c r="CG165" s="13"/>
    </row>
    <row r="166" spans="1:85" ht="135" x14ac:dyDescent="0.25">
      <c r="A166" s="13" t="s">
        <v>152</v>
      </c>
      <c r="B166" s="13" t="s">
        <v>153</v>
      </c>
      <c r="C166" s="14">
        <v>45807.452777777777</v>
      </c>
      <c r="D166" s="13" t="s">
        <v>88</v>
      </c>
      <c r="E166" s="15" t="s">
        <v>89</v>
      </c>
      <c r="F166" s="13" t="s">
        <v>90</v>
      </c>
      <c r="G166" s="15" t="s">
        <v>91</v>
      </c>
      <c r="H166" s="13" t="s">
        <v>368</v>
      </c>
      <c r="I166" s="15" t="s">
        <v>369</v>
      </c>
      <c r="J166" s="15" t="s">
        <v>370</v>
      </c>
      <c r="K166" s="15" t="s">
        <v>371</v>
      </c>
      <c r="L166" s="13" t="s">
        <v>372</v>
      </c>
      <c r="M166" s="15" t="s">
        <v>373</v>
      </c>
      <c r="N166" s="13" t="s">
        <v>98</v>
      </c>
      <c r="O166" s="15" t="s">
        <v>99</v>
      </c>
      <c r="P166" s="15" t="s">
        <v>100</v>
      </c>
      <c r="Q166" s="15" t="s">
        <v>101</v>
      </c>
      <c r="R166" s="13" t="s">
        <v>102</v>
      </c>
      <c r="S166" s="13" t="s">
        <v>103</v>
      </c>
      <c r="T166" s="13" t="s">
        <v>104</v>
      </c>
      <c r="U166" s="14">
        <v>43831</v>
      </c>
      <c r="V166" s="14"/>
      <c r="W166" s="15" t="s">
        <v>361</v>
      </c>
      <c r="X166" s="13" t="s">
        <v>106</v>
      </c>
      <c r="Y166" s="15" t="str">
        <f>VLOOKUP(X166,'Axe 2 Règles de gestion'!$D$2:$F$121,3, FALSE)</f>
        <v>L'agent doit détenir le titre ou le diplôme requis pour l'exercice des fonctions du corps d'accueil.</v>
      </c>
      <c r="Z166" s="13" t="s">
        <v>108</v>
      </c>
      <c r="AA166" s="15" t="str">
        <f>VLOOKUP(Z166,'Axe 2 Règles de gestion'!$D$2:$F$121,3, FALSE)</f>
        <v>L'agent doit formuler une demande.</v>
      </c>
      <c r="AB166" s="13" t="s">
        <v>112</v>
      </c>
      <c r="AC166" s="15" t="str">
        <f>VLOOKUP(AB166,'Axe 2 Règles de gestion'!$D$2:$F$121,3, FALSE)</f>
        <v>L'accord de l'administration d'origine est nécessaire.</v>
      </c>
      <c r="AD166" s="13" t="s">
        <v>161</v>
      </c>
      <c r="AE166" s="15" t="str">
        <f>VLOOKUP(AD166,'Axe 2 Règles de gestion'!$D$2:$F$121,3, FALSE)</f>
        <v>L'agent peut être détaché dans un corps ou un cadre d'emplois de même catégorie et de niveau comparable à celui de son corps ou cadre d'emplois d'origine.</v>
      </c>
      <c r="AF166" s="13" t="s">
        <v>163</v>
      </c>
      <c r="AG166" s="15" t="str">
        <f>VLOOKUP(AF166,'Axe 2 Règles de gestion'!$D$2:$F$121,3, FALSE)</f>
        <v>Toutefois, l'agent dont au moins l'un des grades d'avancement de son corps ou cadre d'emplois est accessible par la voie d'un concours de recrutement peut être détaché dans un corps ou cadre d'emplois de niveau différent.</v>
      </c>
      <c r="AH166" s="13" t="s">
        <v>165</v>
      </c>
      <c r="AI166" s="15" t="str">
        <f>VLOOKUP(AH166,'Axe 2 Règles de gestion'!$D$2:$F$121,3, FALSE)</f>
        <v>Lorsque le corps ou cadre d'emplois d'origine ou le corps ou cadre d'emplois d'accueil ne relève pas d'une catégorie, le détachement s'effectue entre corps et cadres d'emplois de niveau comparable.</v>
      </c>
      <c r="AJ166" s="13"/>
      <c r="AK166" s="15"/>
      <c r="AL166" s="13"/>
      <c r="AM166" s="15"/>
      <c r="AN166" s="13"/>
      <c r="AO166" s="15"/>
      <c r="AP166" s="13" t="s">
        <v>114</v>
      </c>
      <c r="AQ166" s="15" t="str">
        <f>VLOOKUP(AP166,'Axe 2 Règles de gestion'!$D$2:$F$121,3, FALSE)</f>
        <v>Un détachement de courte durée à l'étranger ou dans les TOM ne peut excéder 1 an entre la date de début et la date de fin prévisionnelle.</v>
      </c>
      <c r="AR166" s="13" t="s">
        <v>116</v>
      </c>
      <c r="AS166" s="15" t="str">
        <f>VLOOKUP(AR166,'Axe 2 Règles de gestion'!$D$2:$F$121,3, FALSE)</f>
        <v>Un détachement de courte durée à l'étranger ou dans les TOM ne peut excéder 1 an entre la date de début et la date de fin réelle.</v>
      </c>
      <c r="AT166" s="13" t="s">
        <v>118</v>
      </c>
      <c r="AU166" s="15" t="str">
        <f>VLOOKUP(AT166,'Axe 2 Règles de gestion'!$D$2:$F$121,3, FALSE)</f>
        <v>Un détachement de courte durée n'ayant pas lieu à l'étranger ou dans les TOM ne peut excéder six mois entre la date de début et la date de fin prévisionnelle.</v>
      </c>
      <c r="AV166" s="13" t="s">
        <v>120</v>
      </c>
      <c r="AW166" s="15" t="str">
        <f>VLOOKUP(AV166,'Axe 2 Règles de gestion'!$D$2:$F$121,3, FALSE)</f>
        <v>Un détachement de courte durée n'ayant pas lieu à l'étranger ou dans les TOM ne peut excéder six mois entre la date de début et la date de fin réelle.</v>
      </c>
      <c r="AX166" s="13" t="s">
        <v>122</v>
      </c>
      <c r="AY166" s="15" t="str">
        <f>VLOOKUP(AX166,'Axe 2 Règles de gestion'!$D$2:$F$121,3, FALSE)</f>
        <v>Un détachement de longue durée ne peut excéder 5 ans entre la date de début et la date de fin prévisionnelle.</v>
      </c>
      <c r="AZ166" s="13" t="s">
        <v>124</v>
      </c>
      <c r="BA166" s="15" t="str">
        <f>VLOOKUP(AZ166,'Axe 2 Règles de gestion'!$D$2:$F$121,3, FALSE)</f>
        <v>Un détachement de longue durée ne peut excéder 5 ans entre la date de début et la date de fin réelle.</v>
      </c>
      <c r="BB166" s="13" t="s">
        <v>126</v>
      </c>
      <c r="BC166" s="15" t="str">
        <f>VLOOKUP(BB166,'Axe 2 Règles de gestion'!$D$2:$F$121,3, FALSE)</f>
        <v>La date de début de position doit être antérieure ou égale à la date de fin prévisionnelle de position.</v>
      </c>
      <c r="BD166" s="13" t="s">
        <v>128</v>
      </c>
      <c r="BE166" s="15" t="str">
        <f>VLOOKUP(BD166,'Axe 2 Règles de gestion'!$D$2:$F$121,3, FALSE)</f>
        <v>La date de début de la position doit être postérieure ou égale à la date d'entrée dans la FPE ou dans la carrière militaire.</v>
      </c>
      <c r="BF166" s="13" t="s">
        <v>130</v>
      </c>
      <c r="BG166" s="15" t="str">
        <f>VLOOKUP(BF166,'Axe 2 Règles de gestion'!$D$2:$F$121,3, FALSE)</f>
        <v>La date de fin réelle de la position doit être antérieure à la date limite de départ à la retraite.</v>
      </c>
      <c r="BH166" s="13" t="s">
        <v>132</v>
      </c>
      <c r="BI166" s="15" t="str">
        <f>VLOOKUP(BH166,'Axe 2 Règles de gestion'!$D$2:$F$121,3, FALSE)</f>
        <v>La date de début de position doit être antérieure ou égale à la date de fin réelle de position.</v>
      </c>
      <c r="BJ166" s="13" t="s">
        <v>134</v>
      </c>
      <c r="BK166" s="15" t="str">
        <f>VLOOKUP(BJ166,'Axe 2 Règles de gestion'!$D$2:$F$121,3, FALSE)</f>
        <v>La date de fin prévisionnelle de la position doit être antérieure à la date limite de départ à la retraite.</v>
      </c>
      <c r="BL166" s="13" t="s">
        <v>136</v>
      </c>
      <c r="BM166" s="15" t="str">
        <f>VLOOKUP(BL166,'Axe 2 Règles de gestion'!$D$2:$F$121,3, FALSE)</f>
        <v>L'indicateur de carrière est sur la valeur "Accueil".</v>
      </c>
      <c r="BN166" s="13" t="s">
        <v>138</v>
      </c>
      <c r="BO166" s="15" t="str">
        <f>VLOOKUP(BN166,'Axe 2 Règles de gestion'!$D$2:$F$121,3, FALSE)</f>
        <v>La date de début de position est à J+1 de la date de fin de position de l'occurrence précédente.</v>
      </c>
      <c r="BP166" s="13" t="s">
        <v>140</v>
      </c>
      <c r="BQ166" s="15" t="str">
        <f>VLOOKUP(BP166,'Axe 2 Règles de gestion'!$D$2:$F$121,3, FALSE)</f>
        <v>Les champs "Type d'organisme d'origine", "Catégorie statutaire d'origine" et "Pays" de l'organisme d'origine doivent être renseignés.</v>
      </c>
      <c r="BR166" s="13" t="s">
        <v>142</v>
      </c>
      <c r="BS166" s="15" t="str">
        <f>VLOOKUP(BR166,'Axe 2 Règles de gestion'!$D$2:$F$121,3, FALSE)</f>
        <v>Les champs "Ministère (ou institution de la République) d'origine", "Corps d'origine", "Grade d'origine", "Echelon d'origine" sont renseignés si le "Type d'organisme d'origine" est valorisé à FPE.</v>
      </c>
      <c r="BT166" s="13" t="s">
        <v>144</v>
      </c>
      <c r="BU166" s="15" t="str">
        <f>VLOOKUP(BT166,'Axe 2 Règles de gestion'!$D$2:$F$121,3, FALSE)</f>
        <v>Le champ "Organisme d'origine" doit être alimenté si le type d'organisme d'origine est égal à 'Autre organisme', 'Fonction publique d'un état de l'Union Européenne' ou 'Fonction publique Européenne'.</v>
      </c>
      <c r="BV166" s="13" t="s">
        <v>146</v>
      </c>
      <c r="BW166" s="15" t="str">
        <f>VLOOKUP(BV166,'Axe 2 Règles de gestion'!$D$2:$F$121,3, FALSE)</f>
        <v>Le champ "Code emploi statutaire FPT (NET)" est renseigné si le "Type d'organisme d'origine" est valorisé à FPT.</v>
      </c>
      <c r="BX166" s="13" t="s">
        <v>148</v>
      </c>
      <c r="BY166" s="15" t="str">
        <f>VLOOKUP(BX166,'Axe 2 Règles de gestion'!$D$2:$F$121,3, FALSE)</f>
        <v>Le champ "Code emploi statutaire FPH (NEH)" est renseigné si le "Type d'organisme d'origine" est valorisé à FPH.</v>
      </c>
      <c r="BZ166" s="13" t="s">
        <v>150</v>
      </c>
      <c r="CA166" s="15" t="str">
        <f>VLOOKUP(BZ166,'Axe 2 Règles de gestion'!$D$2:$F$121,3, FALSE)</f>
        <v>La date de fin ou la date de fin prévisionnelle doit être saisie.</v>
      </c>
      <c r="CB166" s="13"/>
      <c r="CC166" s="15"/>
      <c r="CD166" s="13"/>
      <c r="CE166" s="15"/>
      <c r="CF166" s="13"/>
      <c r="CG166" s="13"/>
    </row>
    <row r="167" spans="1:85" ht="135" x14ac:dyDescent="0.25">
      <c r="A167" s="13" t="s">
        <v>86</v>
      </c>
      <c r="B167" s="13" t="s">
        <v>87</v>
      </c>
      <c r="C167" s="14">
        <v>43850.552083333336</v>
      </c>
      <c r="D167" s="13" t="s">
        <v>88</v>
      </c>
      <c r="E167" s="15" t="s">
        <v>89</v>
      </c>
      <c r="F167" s="13" t="s">
        <v>90</v>
      </c>
      <c r="G167" s="15" t="s">
        <v>91</v>
      </c>
      <c r="H167" s="13" t="s">
        <v>368</v>
      </c>
      <c r="I167" s="15" t="s">
        <v>369</v>
      </c>
      <c r="J167" s="15" t="s">
        <v>370</v>
      </c>
      <c r="K167" s="15" t="s">
        <v>371</v>
      </c>
      <c r="L167" s="13" t="s">
        <v>374</v>
      </c>
      <c r="M167" s="15" t="s">
        <v>375</v>
      </c>
      <c r="N167" s="13" t="s">
        <v>98</v>
      </c>
      <c r="O167" s="15" t="s">
        <v>170</v>
      </c>
      <c r="P167" s="15" t="s">
        <v>171</v>
      </c>
      <c r="Q167" s="15" t="s">
        <v>101</v>
      </c>
      <c r="R167" s="13" t="s">
        <v>102</v>
      </c>
      <c r="S167" s="13" t="s">
        <v>103</v>
      </c>
      <c r="T167" s="13" t="s">
        <v>104</v>
      </c>
      <c r="U167" s="14">
        <v>40725</v>
      </c>
      <c r="V167" s="14"/>
      <c r="W167" s="15" t="s">
        <v>172</v>
      </c>
      <c r="X167" s="13" t="s">
        <v>173</v>
      </c>
      <c r="Y167" s="15" t="str">
        <f>VLOOKUP(X167,'Axe 2 Règles de gestion'!$D$2:$F$121,3, FALSE)</f>
        <v>L'agent doit formuler une demande de renouvellement à son administration d'origine 3 mois au moins avant l'expiration de la période de détachement de longue durée.</v>
      </c>
      <c r="Z167" s="13" t="s">
        <v>175</v>
      </c>
      <c r="AA167" s="15" t="str">
        <f>VLOOKUP(Z167,'Axe 2 Règles de gestion'!$D$2:$F$121,3, FALSE)</f>
        <v>L'organisme d'accueil adresse sa décision à l'agent et à l'administration d'origine 2 mois au moins avant l'expiration de la période de détachement.</v>
      </c>
      <c r="AB167" s="13"/>
      <c r="AC167" s="15"/>
      <c r="AD167" s="13"/>
      <c r="AE167" s="15"/>
      <c r="AF167" s="13"/>
      <c r="AG167" s="15"/>
      <c r="AH167" s="13"/>
      <c r="AI167" s="15"/>
      <c r="AJ167" s="13"/>
      <c r="AK167" s="15"/>
      <c r="AL167" s="13"/>
      <c r="AM167" s="15"/>
      <c r="AN167" s="13"/>
      <c r="AO167" s="15"/>
      <c r="AP167" s="13" t="s">
        <v>122</v>
      </c>
      <c r="AQ167" s="15" t="str">
        <f>VLOOKUP(AP167,'Axe 2 Règles de gestion'!$D$2:$F$121,3, FALSE)</f>
        <v>Un détachement de longue durée ne peut excéder 5 ans entre la date de début et la date de fin prévisionnelle.</v>
      </c>
      <c r="AR167" s="13" t="s">
        <v>124</v>
      </c>
      <c r="AS167" s="15" t="str">
        <f>VLOOKUP(AR167,'Axe 2 Règles de gestion'!$D$2:$F$121,3, FALSE)</f>
        <v>Un détachement de longue durée ne peut excéder 5 ans entre la date de début et la date de fin réelle.</v>
      </c>
      <c r="AT167" s="13" t="s">
        <v>177</v>
      </c>
      <c r="AU167" s="15" t="str">
        <f>VLOOKUP(AT167,'Axe 2 Règles de gestion'!$D$2:$F$121,3, FALSE)</f>
        <v>Le renouvellement d'un détachement de courte durée est interdit.</v>
      </c>
      <c r="AV167" s="13"/>
      <c r="AW167" s="15"/>
      <c r="AX167" s="13"/>
      <c r="AY167" s="15"/>
      <c r="AZ167" s="13"/>
      <c r="BA167" s="15"/>
      <c r="BB167" s="13" t="s">
        <v>126</v>
      </c>
      <c r="BC167" s="15" t="str">
        <f>VLOOKUP(BB167,'Axe 2 Règles de gestion'!$D$2:$F$121,3, FALSE)</f>
        <v>La date de début de position doit être antérieure ou égale à la date de fin prévisionnelle de position.</v>
      </c>
      <c r="BD167" s="13" t="s">
        <v>128</v>
      </c>
      <c r="BE167" s="15" t="str">
        <f>VLOOKUP(BD167,'Axe 2 Règles de gestion'!$D$2:$F$121,3, FALSE)</f>
        <v>La date de début de la position doit être postérieure ou égale à la date d'entrée dans la FPE ou dans la carrière militaire.</v>
      </c>
      <c r="BF167" s="13" t="s">
        <v>130</v>
      </c>
      <c r="BG167" s="15" t="str">
        <f>VLOOKUP(BF167,'Axe 2 Règles de gestion'!$D$2:$F$121,3, FALSE)</f>
        <v>La date de fin réelle de la position doit être antérieure à la date limite de départ à la retraite.</v>
      </c>
      <c r="BH167" s="13" t="s">
        <v>132</v>
      </c>
      <c r="BI167" s="15" t="str">
        <f>VLOOKUP(BH167,'Axe 2 Règles de gestion'!$D$2:$F$121,3, FALSE)</f>
        <v>La date de début de position doit être antérieure ou égale à la date de fin réelle de position.</v>
      </c>
      <c r="BJ167" s="13" t="s">
        <v>134</v>
      </c>
      <c r="BK167" s="15" t="str">
        <f>VLOOKUP(BJ167,'Axe 2 Règles de gestion'!$D$2:$F$121,3, FALSE)</f>
        <v>La date de fin prévisionnelle de la position doit être antérieure à la date limite de départ à la retraite.</v>
      </c>
      <c r="BL167" s="13" t="s">
        <v>136</v>
      </c>
      <c r="BM167" s="15" t="str">
        <f>VLOOKUP(BL167,'Axe 2 Règles de gestion'!$D$2:$F$121,3, FALSE)</f>
        <v>L'indicateur de carrière est sur la valeur "Accueil".</v>
      </c>
      <c r="BN167" s="13" t="s">
        <v>138</v>
      </c>
      <c r="BO167" s="15" t="str">
        <f>VLOOKUP(BN167,'Axe 2 Règles de gestion'!$D$2:$F$121,3, FALSE)</f>
        <v>La date de début de position est à J+1 de la date de fin de position de l'occurrence précédente.</v>
      </c>
      <c r="BP167" s="13" t="s">
        <v>140</v>
      </c>
      <c r="BQ167" s="15" t="str">
        <f>VLOOKUP(BP167,'Axe 2 Règles de gestion'!$D$2:$F$121,3, FALSE)</f>
        <v>Les champs "Type d'organisme d'origine", "Catégorie statutaire d'origine" et "Pays" de l'organisme d'origine doivent être renseignés.</v>
      </c>
      <c r="BR167" s="13" t="s">
        <v>142</v>
      </c>
      <c r="BS167" s="15" t="str">
        <f>VLOOKUP(BR167,'Axe 2 Règles de gestion'!$D$2:$F$121,3, FALSE)</f>
        <v>Les champs "Ministère (ou institution de la République) d'origine", "Corps d'origine", "Grade d'origine", "Echelon d'origine" sont renseignés si le "Type d'organisme d'origine" est valorisé à FPE.</v>
      </c>
      <c r="BT167" s="13" t="s">
        <v>144</v>
      </c>
      <c r="BU167" s="15" t="str">
        <f>VLOOKUP(BT167,'Axe 2 Règles de gestion'!$D$2:$F$121,3, FALSE)</f>
        <v>Le champ "Organisme d'origine" doit être alimenté si le type d'organisme d'origine est égal à 'Autre organisme', 'Fonction publique d'un état de l'Union Européenne' ou 'Fonction publique Européenne'.</v>
      </c>
      <c r="BV167" s="13" t="s">
        <v>146</v>
      </c>
      <c r="BW167" s="15" t="str">
        <f>VLOOKUP(BV167,'Axe 2 Règles de gestion'!$D$2:$F$121,3, FALSE)</f>
        <v>Le champ "Code emploi statutaire FPT (NET)" est renseigné si le "Type d'organisme d'origine" est valorisé à FPT.</v>
      </c>
      <c r="BX167" s="13" t="s">
        <v>148</v>
      </c>
      <c r="BY167" s="15" t="str">
        <f>VLOOKUP(BX167,'Axe 2 Règles de gestion'!$D$2:$F$121,3, FALSE)</f>
        <v>Le champ "Code emploi statutaire FPH (NEH)" est renseigné si le "Type d'organisme d'origine" est valorisé à FPH.</v>
      </c>
      <c r="BZ167" s="13" t="s">
        <v>150</v>
      </c>
      <c r="CA167" s="15" t="str">
        <f>VLOOKUP(BZ167,'Axe 2 Règles de gestion'!$D$2:$F$121,3, FALSE)</f>
        <v>La date de fin ou la date de fin prévisionnelle doit être saisie.</v>
      </c>
      <c r="CB167" s="13"/>
      <c r="CC167" s="15"/>
      <c r="CD167" s="13"/>
      <c r="CE167" s="15"/>
      <c r="CF167" s="13"/>
      <c r="CG167" s="13"/>
    </row>
    <row r="168" spans="1:85" ht="150" x14ac:dyDescent="0.25">
      <c r="A168" s="13" t="s">
        <v>86</v>
      </c>
      <c r="B168" s="13" t="s">
        <v>87</v>
      </c>
      <c r="C168" s="14">
        <v>43850.552083333336</v>
      </c>
      <c r="D168" s="13" t="s">
        <v>88</v>
      </c>
      <c r="E168" s="15" t="s">
        <v>89</v>
      </c>
      <c r="F168" s="13" t="s">
        <v>90</v>
      </c>
      <c r="G168" s="15" t="s">
        <v>91</v>
      </c>
      <c r="H168" s="13" t="s">
        <v>368</v>
      </c>
      <c r="I168" s="15" t="s">
        <v>369</v>
      </c>
      <c r="J168" s="15" t="s">
        <v>370</v>
      </c>
      <c r="K168" s="15" t="s">
        <v>371</v>
      </c>
      <c r="L168" s="13" t="s">
        <v>376</v>
      </c>
      <c r="M168" s="15" t="s">
        <v>377</v>
      </c>
      <c r="N168" s="13" t="s">
        <v>188</v>
      </c>
      <c r="O168" s="15" t="s">
        <v>189</v>
      </c>
      <c r="P168" s="15" t="s">
        <v>190</v>
      </c>
      <c r="Q168" s="15" t="s">
        <v>101</v>
      </c>
      <c r="R168" s="13" t="s">
        <v>102</v>
      </c>
      <c r="S168" s="13" t="s">
        <v>103</v>
      </c>
      <c r="T168" s="13" t="s">
        <v>104</v>
      </c>
      <c r="U168" s="14">
        <v>40725</v>
      </c>
      <c r="V168" s="14"/>
      <c r="W168" s="15" t="s">
        <v>191</v>
      </c>
      <c r="X168" s="13" t="s">
        <v>192</v>
      </c>
      <c r="Y168" s="15" t="str">
        <f>VLOOKUP(X168,'Axe 2 Règles de gestion'!$D$2:$F$121,3, FALSE)</f>
        <v>Le détachement peut prendre fin de manière anticipée à l'initiative de l'administration d'accueil, de l'administration d'origine ou de l'agent.</v>
      </c>
      <c r="Z168" s="13" t="s">
        <v>194</v>
      </c>
      <c r="AA168" s="15" t="str">
        <f>VLOOKUP(Z168,'Axe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168" s="13" t="s">
        <v>196</v>
      </c>
      <c r="AC168" s="15" t="str">
        <f>VLOOKUP(AB168,'Axe 2 Règles de gestion'!$D$2:$F$121,3, FALSE)</f>
        <v>L'agent doit adresser une demande de réintégration à l'administration d'origine 3 mois au moins avant l'expiration de la période de détachement de longue durée.</v>
      </c>
      <c r="AD168" s="13" t="s">
        <v>175</v>
      </c>
      <c r="AE168" s="15" t="str">
        <f>VLOOKUP(AD168,'Axe 2 Règles de gestion'!$D$2:$F$121,3, FALSE)</f>
        <v>L'organisme d'accueil adresse sa décision à l'agent et à l'administration d'origine 2 mois au moins avant l'expiration de la période de détachement.</v>
      </c>
      <c r="AF168" s="13" t="s">
        <v>198</v>
      </c>
      <c r="AG168" s="15" t="str">
        <f>VLOOKUP(AF168,'Axe 2 Règles de gestion'!$D$2:$F$121,3, FALSE)</f>
        <v>Si l'agent n'adresse pas sa demande dans les délais, il est obligatoirement réintégré à la première vacance dans son corps d'origine et affecté à un emploi correspondant à son grade.</v>
      </c>
      <c r="AH168" s="13" t="s">
        <v>200</v>
      </c>
      <c r="AI168" s="15" t="str">
        <f>VLOOKUP(AH168,'Axe 2 Règles de gestion'!$D$2:$F$121,3, FALSE)</f>
        <v>Les dispositions relatives à la réintégration au terme d'un détachement de longue durée ne sont pas applicables aux préfets et sous-préfets.</v>
      </c>
      <c r="AJ168" s="13"/>
      <c r="AK168" s="15"/>
      <c r="AL168" s="13"/>
      <c r="AM168" s="15"/>
      <c r="AN168" s="13"/>
      <c r="AO168" s="15"/>
      <c r="AP168" s="13" t="s">
        <v>114</v>
      </c>
      <c r="AQ168" s="15" t="str">
        <f>VLOOKUP(AP168,'Axe 2 Règles de gestion'!$D$2:$F$121,3, FALSE)</f>
        <v>Un détachement de courte durée à l'étranger ou dans les TOM ne peut excéder 1 an entre la date de début et la date de fin prévisionnelle.</v>
      </c>
      <c r="AR168" s="13" t="s">
        <v>116</v>
      </c>
      <c r="AS168" s="15" t="str">
        <f>VLOOKUP(AR168,'Axe 2 Règles de gestion'!$D$2:$F$121,3, FALSE)</f>
        <v>Un détachement de courte durée à l'étranger ou dans les TOM ne peut excéder 1 an entre la date de début et la date de fin réelle.</v>
      </c>
      <c r="AT168" s="13" t="s">
        <v>118</v>
      </c>
      <c r="AU168" s="15" t="str">
        <f>VLOOKUP(AT168,'Axe 2 Règles de gestion'!$D$2:$F$121,3, FALSE)</f>
        <v>Un détachement de courte durée n'ayant pas lieu à l'étranger ou dans les TOM ne peut excéder six mois entre la date de début et la date de fin prévisionnelle.</v>
      </c>
      <c r="AV168" s="13" t="s">
        <v>120</v>
      </c>
      <c r="AW168" s="15" t="str">
        <f>VLOOKUP(AV168,'Axe 2 Règles de gestion'!$D$2:$F$121,3, FALSE)</f>
        <v>Un détachement de courte durée n'ayant pas lieu à l'étranger ou dans les TOM ne peut excéder six mois entre la date de début et la date de fin réelle.</v>
      </c>
      <c r="AX168" s="13" t="s">
        <v>122</v>
      </c>
      <c r="AY168" s="15" t="str">
        <f>VLOOKUP(AX168,'Axe 2 Règles de gestion'!$D$2:$F$121,3, FALSE)</f>
        <v>Un détachement de longue durée ne peut excéder 5 ans entre la date de début et la date de fin prévisionnelle.</v>
      </c>
      <c r="AZ168" s="13" t="s">
        <v>124</v>
      </c>
      <c r="BA168" s="15" t="str">
        <f>VLOOKUP(AZ168,'Axe 2 Règles de gestion'!$D$2:$F$121,3, FALSE)</f>
        <v>Un détachement de longue durée ne peut excéder 5 ans entre la date de début et la date de fin réelle.</v>
      </c>
      <c r="BB168" s="13" t="s">
        <v>126</v>
      </c>
      <c r="BC168" s="15" t="str">
        <f>VLOOKUP(BB168,'Axe 2 Règles de gestion'!$D$2:$F$121,3, FALSE)</f>
        <v>La date de début de position doit être antérieure ou égale à la date de fin prévisionnelle de position.</v>
      </c>
      <c r="BD168" s="13" t="s">
        <v>130</v>
      </c>
      <c r="BE168" s="15" t="str">
        <f>VLOOKUP(BD168,'Axe 2 Règles de gestion'!$D$2:$F$121,3, FALSE)</f>
        <v>La date de fin réelle de la position doit être antérieure à la date limite de départ à la retraite.</v>
      </c>
      <c r="BF168" s="13" t="s">
        <v>132</v>
      </c>
      <c r="BG168" s="15" t="str">
        <f>VLOOKUP(BF168,'Axe 2 Règles de gestion'!$D$2:$F$121,3, FALSE)</f>
        <v>La date de début de position doit être antérieure ou égale à la date de fin réelle de position.</v>
      </c>
      <c r="BH168" s="13" t="s">
        <v>134</v>
      </c>
      <c r="BI168" s="15" t="str">
        <f>VLOOKUP(BH168,'Axe 2 Règles de gestion'!$D$2:$F$121,3, FALSE)</f>
        <v>La date de fin prévisionnelle de la position doit être antérieure à la date limite de départ à la retraite.</v>
      </c>
      <c r="BJ168" s="13" t="s">
        <v>140</v>
      </c>
      <c r="BK168" s="15" t="str">
        <f>VLOOKUP(BJ168,'Axe 2 Règles de gestion'!$D$2:$F$121,3, FALSE)</f>
        <v>Les champs "Type d'organisme d'origine", "Catégorie statutaire d'origine" et "Pays" de l'organisme d'origine doivent être renseignés.</v>
      </c>
      <c r="BL168" s="13" t="s">
        <v>142</v>
      </c>
      <c r="BM168" s="15" t="str">
        <f>VLOOKUP(BL168,'Axe 2 Règles de gestion'!$D$2:$F$121,3, FALSE)</f>
        <v>Les champs "Ministère (ou institution de la République) d'origine", "Corps d'origine", "Grade d'origine", "Echelon d'origine" sont renseignés si le "Type d'organisme d'origine" est valorisé à FPE.</v>
      </c>
      <c r="BN168" s="13" t="s">
        <v>144</v>
      </c>
      <c r="BO168" s="15" t="str">
        <f>VLOOKUP(BN168,'Axe 2 Règles de gestion'!$D$2:$F$121,3, FALSE)</f>
        <v>Le champ "Organisme d'origine" doit être alimenté si le type d'organisme d'origine est égal à 'Autre organisme', 'Fonction publique d'un état de l'Union Européenne' ou 'Fonction publique Européenne'.</v>
      </c>
      <c r="BP168" s="13" t="s">
        <v>146</v>
      </c>
      <c r="BQ168" s="15" t="str">
        <f>VLOOKUP(BP168,'Axe 2 Règles de gestion'!$D$2:$F$121,3, FALSE)</f>
        <v>Le champ "Code emploi statutaire FPT (NET)" est renseigné si le "Type d'organisme d'origine" est valorisé à FPT.</v>
      </c>
      <c r="BR168" s="13" t="s">
        <v>148</v>
      </c>
      <c r="BS168" s="15" t="str">
        <f>VLOOKUP(BR168,'Axe 2 Règles de gestion'!$D$2:$F$121,3, FALSE)</f>
        <v>Le champ "Code emploi statutaire FPH (NEH)" est renseigné si le "Type d'organisme d'origine" est valorisé à FPH.</v>
      </c>
      <c r="BT168" s="13" t="s">
        <v>150</v>
      </c>
      <c r="BU168" s="15" t="str">
        <f>VLOOKUP(BT168,'Axe 2 Règles de gestion'!$D$2:$F$121,3, FALSE)</f>
        <v>La date de fin ou la date de fin prévisionnelle doit être saisie.</v>
      </c>
      <c r="BV168" s="13"/>
      <c r="BW168" s="15"/>
      <c r="BX168" s="13"/>
      <c r="BY168" s="15"/>
      <c r="BZ168" s="13"/>
      <c r="CA168" s="15"/>
      <c r="CB168" s="13"/>
      <c r="CC168" s="15"/>
      <c r="CD168" s="13"/>
      <c r="CE168" s="15"/>
      <c r="CF168" s="13"/>
      <c r="CG168" s="13"/>
    </row>
    <row r="169" spans="1:85" ht="120" x14ac:dyDescent="0.25">
      <c r="A169" s="13" t="s">
        <v>202</v>
      </c>
      <c r="B169" s="13" t="s">
        <v>153</v>
      </c>
      <c r="C169" s="14">
        <v>43152.5</v>
      </c>
      <c r="D169" s="13" t="s">
        <v>88</v>
      </c>
      <c r="E169" s="15" t="s">
        <v>89</v>
      </c>
      <c r="F169" s="13" t="s">
        <v>90</v>
      </c>
      <c r="G169" s="15" t="s">
        <v>91</v>
      </c>
      <c r="H169" s="13" t="s">
        <v>368</v>
      </c>
      <c r="I169" s="15" t="s">
        <v>369</v>
      </c>
      <c r="J169" s="15" t="s">
        <v>370</v>
      </c>
      <c r="K169" s="15" t="s">
        <v>371</v>
      </c>
      <c r="L169" s="13" t="s">
        <v>372</v>
      </c>
      <c r="M169" s="15" t="s">
        <v>373</v>
      </c>
      <c r="N169" s="13" t="s">
        <v>98</v>
      </c>
      <c r="O169" s="15" t="s">
        <v>99</v>
      </c>
      <c r="P169" s="15" t="s">
        <v>100</v>
      </c>
      <c r="Q169" s="15" t="s">
        <v>203</v>
      </c>
      <c r="R169" s="13" t="s">
        <v>204</v>
      </c>
      <c r="S169" s="13" t="s">
        <v>103</v>
      </c>
      <c r="T169" s="13" t="s">
        <v>205</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c r="BP169" s="13"/>
      <c r="BQ169" s="15"/>
      <c r="BR169" s="13"/>
      <c r="BS169" s="15"/>
      <c r="BT169" s="13"/>
      <c r="BU169" s="15"/>
      <c r="BV169" s="13"/>
      <c r="BW169" s="15"/>
      <c r="BX169" s="13"/>
      <c r="BY169" s="15"/>
      <c r="BZ169" s="13"/>
      <c r="CA169" s="15"/>
      <c r="CB169" s="13"/>
      <c r="CC169" s="15"/>
      <c r="CD169" s="13"/>
      <c r="CE169" s="15"/>
      <c r="CF169" s="13"/>
      <c r="CG169" s="13"/>
    </row>
    <row r="170" spans="1:85" ht="120" x14ac:dyDescent="0.25">
      <c r="A170" s="13" t="s">
        <v>202</v>
      </c>
      <c r="B170" s="13" t="s">
        <v>153</v>
      </c>
      <c r="C170" s="14">
        <v>43152.5</v>
      </c>
      <c r="D170" s="13" t="s">
        <v>88</v>
      </c>
      <c r="E170" s="15" t="s">
        <v>89</v>
      </c>
      <c r="F170" s="13" t="s">
        <v>90</v>
      </c>
      <c r="G170" s="15" t="s">
        <v>91</v>
      </c>
      <c r="H170" s="13" t="s">
        <v>368</v>
      </c>
      <c r="I170" s="15" t="s">
        <v>369</v>
      </c>
      <c r="J170" s="15" t="s">
        <v>370</v>
      </c>
      <c r="K170" s="15" t="s">
        <v>371</v>
      </c>
      <c r="L170" s="13" t="s">
        <v>374</v>
      </c>
      <c r="M170" s="15" t="s">
        <v>375</v>
      </c>
      <c r="N170" s="13" t="s">
        <v>98</v>
      </c>
      <c r="O170" s="15" t="s">
        <v>170</v>
      </c>
      <c r="P170" s="15" t="s">
        <v>171</v>
      </c>
      <c r="Q170" s="15" t="s">
        <v>203</v>
      </c>
      <c r="R170" s="13" t="s">
        <v>204</v>
      </c>
      <c r="S170" s="13" t="s">
        <v>103</v>
      </c>
      <c r="T170" s="13" t="s">
        <v>205</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3"/>
    </row>
    <row r="171" spans="1:85" ht="105" x14ac:dyDescent="0.25">
      <c r="A171" s="13" t="s">
        <v>202</v>
      </c>
      <c r="B171" s="13" t="s">
        <v>153</v>
      </c>
      <c r="C171" s="14">
        <v>43152.5</v>
      </c>
      <c r="D171" s="13" t="s">
        <v>88</v>
      </c>
      <c r="E171" s="15" t="s">
        <v>89</v>
      </c>
      <c r="F171" s="13" t="s">
        <v>90</v>
      </c>
      <c r="G171" s="15" t="s">
        <v>91</v>
      </c>
      <c r="H171" s="13" t="s">
        <v>368</v>
      </c>
      <c r="I171" s="15" t="s">
        <v>369</v>
      </c>
      <c r="J171" s="15" t="s">
        <v>370</v>
      </c>
      <c r="K171" s="15" t="s">
        <v>371</v>
      </c>
      <c r="L171" s="13" t="s">
        <v>376</v>
      </c>
      <c r="M171" s="15" t="s">
        <v>377</v>
      </c>
      <c r="N171" s="13" t="s">
        <v>188</v>
      </c>
      <c r="O171" s="15" t="s">
        <v>189</v>
      </c>
      <c r="P171" s="15" t="s">
        <v>190</v>
      </c>
      <c r="Q171" s="15" t="s">
        <v>203</v>
      </c>
      <c r="R171" s="13" t="s">
        <v>204</v>
      </c>
      <c r="S171" s="13" t="s">
        <v>103</v>
      </c>
      <c r="T171" s="13" t="s">
        <v>205</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3"/>
    </row>
    <row r="172" spans="1:85" ht="120" x14ac:dyDescent="0.25">
      <c r="A172" s="13" t="s">
        <v>202</v>
      </c>
      <c r="B172" s="13" t="s">
        <v>153</v>
      </c>
      <c r="C172" s="14">
        <v>43152.5</v>
      </c>
      <c r="D172" s="13" t="s">
        <v>88</v>
      </c>
      <c r="E172" s="15" t="s">
        <v>89</v>
      </c>
      <c r="F172" s="13" t="s">
        <v>90</v>
      </c>
      <c r="G172" s="15" t="s">
        <v>91</v>
      </c>
      <c r="H172" s="13" t="s">
        <v>368</v>
      </c>
      <c r="I172" s="15" t="s">
        <v>369</v>
      </c>
      <c r="J172" s="15" t="s">
        <v>370</v>
      </c>
      <c r="K172" s="15" t="s">
        <v>371</v>
      </c>
      <c r="L172" s="13" t="s">
        <v>372</v>
      </c>
      <c r="M172" s="15" t="s">
        <v>373</v>
      </c>
      <c r="N172" s="13" t="s">
        <v>98</v>
      </c>
      <c r="O172" s="15" t="s">
        <v>99</v>
      </c>
      <c r="P172" s="15" t="s">
        <v>100</v>
      </c>
      <c r="Q172" s="15" t="s">
        <v>206</v>
      </c>
      <c r="R172" s="13" t="s">
        <v>207</v>
      </c>
      <c r="S172" s="13" t="s">
        <v>103</v>
      </c>
      <c r="T172" s="13" t="s">
        <v>205</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3"/>
    </row>
    <row r="173" spans="1:85" ht="120" x14ac:dyDescent="0.25">
      <c r="A173" s="13" t="s">
        <v>202</v>
      </c>
      <c r="B173" s="13" t="s">
        <v>153</v>
      </c>
      <c r="C173" s="14">
        <v>43152.5</v>
      </c>
      <c r="D173" s="13" t="s">
        <v>88</v>
      </c>
      <c r="E173" s="15" t="s">
        <v>89</v>
      </c>
      <c r="F173" s="13" t="s">
        <v>90</v>
      </c>
      <c r="G173" s="15" t="s">
        <v>91</v>
      </c>
      <c r="H173" s="13" t="s">
        <v>368</v>
      </c>
      <c r="I173" s="15" t="s">
        <v>369</v>
      </c>
      <c r="J173" s="15" t="s">
        <v>370</v>
      </c>
      <c r="K173" s="15" t="s">
        <v>371</v>
      </c>
      <c r="L173" s="13" t="s">
        <v>374</v>
      </c>
      <c r="M173" s="15" t="s">
        <v>375</v>
      </c>
      <c r="N173" s="13" t="s">
        <v>98</v>
      </c>
      <c r="O173" s="15" t="s">
        <v>170</v>
      </c>
      <c r="P173" s="15" t="s">
        <v>171</v>
      </c>
      <c r="Q173" s="15" t="s">
        <v>206</v>
      </c>
      <c r="R173" s="13" t="s">
        <v>207</v>
      </c>
      <c r="S173" s="13" t="s">
        <v>103</v>
      </c>
      <c r="T173" s="13" t="s">
        <v>205</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3"/>
    </row>
    <row r="174" spans="1:85" ht="105" x14ac:dyDescent="0.25">
      <c r="A174" s="13" t="s">
        <v>202</v>
      </c>
      <c r="B174" s="13" t="s">
        <v>153</v>
      </c>
      <c r="C174" s="14">
        <v>43152.5</v>
      </c>
      <c r="D174" s="13" t="s">
        <v>88</v>
      </c>
      <c r="E174" s="15" t="s">
        <v>89</v>
      </c>
      <c r="F174" s="13" t="s">
        <v>90</v>
      </c>
      <c r="G174" s="15" t="s">
        <v>91</v>
      </c>
      <c r="H174" s="13" t="s">
        <v>368</v>
      </c>
      <c r="I174" s="15" t="s">
        <v>369</v>
      </c>
      <c r="J174" s="15" t="s">
        <v>370</v>
      </c>
      <c r="K174" s="15" t="s">
        <v>371</v>
      </c>
      <c r="L174" s="13" t="s">
        <v>376</v>
      </c>
      <c r="M174" s="15" t="s">
        <v>377</v>
      </c>
      <c r="N174" s="13" t="s">
        <v>188</v>
      </c>
      <c r="O174" s="15" t="s">
        <v>189</v>
      </c>
      <c r="P174" s="15" t="s">
        <v>190</v>
      </c>
      <c r="Q174" s="15" t="s">
        <v>206</v>
      </c>
      <c r="R174" s="13" t="s">
        <v>207</v>
      </c>
      <c r="S174" s="13" t="s">
        <v>103</v>
      </c>
      <c r="T174" s="13" t="s">
        <v>205</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3"/>
    </row>
    <row r="175" spans="1:85" ht="120" x14ac:dyDescent="0.25">
      <c r="A175" s="13" t="s">
        <v>202</v>
      </c>
      <c r="B175" s="13" t="s">
        <v>153</v>
      </c>
      <c r="C175" s="14">
        <v>43152.5</v>
      </c>
      <c r="D175" s="13" t="s">
        <v>88</v>
      </c>
      <c r="E175" s="15" t="s">
        <v>89</v>
      </c>
      <c r="F175" s="13" t="s">
        <v>90</v>
      </c>
      <c r="G175" s="15" t="s">
        <v>91</v>
      </c>
      <c r="H175" s="13" t="s">
        <v>368</v>
      </c>
      <c r="I175" s="15" t="s">
        <v>369</v>
      </c>
      <c r="J175" s="15" t="s">
        <v>370</v>
      </c>
      <c r="K175" s="15" t="s">
        <v>371</v>
      </c>
      <c r="L175" s="13" t="s">
        <v>372</v>
      </c>
      <c r="M175" s="15" t="s">
        <v>373</v>
      </c>
      <c r="N175" s="13" t="s">
        <v>98</v>
      </c>
      <c r="O175" s="15" t="s">
        <v>99</v>
      </c>
      <c r="P175" s="15" t="s">
        <v>100</v>
      </c>
      <c r="Q175" s="15" t="s">
        <v>208</v>
      </c>
      <c r="R175" s="13" t="s">
        <v>209</v>
      </c>
      <c r="S175" s="13" t="s">
        <v>103</v>
      </c>
      <c r="T175" s="13" t="s">
        <v>205</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3"/>
    </row>
    <row r="176" spans="1:85" ht="120" x14ac:dyDescent="0.25">
      <c r="A176" s="13" t="s">
        <v>202</v>
      </c>
      <c r="B176" s="13" t="s">
        <v>153</v>
      </c>
      <c r="C176" s="14">
        <v>43152.5</v>
      </c>
      <c r="D176" s="13" t="s">
        <v>88</v>
      </c>
      <c r="E176" s="15" t="s">
        <v>89</v>
      </c>
      <c r="F176" s="13" t="s">
        <v>90</v>
      </c>
      <c r="G176" s="15" t="s">
        <v>91</v>
      </c>
      <c r="H176" s="13" t="s">
        <v>368</v>
      </c>
      <c r="I176" s="15" t="s">
        <v>369</v>
      </c>
      <c r="J176" s="15" t="s">
        <v>370</v>
      </c>
      <c r="K176" s="15" t="s">
        <v>371</v>
      </c>
      <c r="L176" s="13" t="s">
        <v>374</v>
      </c>
      <c r="M176" s="15" t="s">
        <v>375</v>
      </c>
      <c r="N176" s="13" t="s">
        <v>98</v>
      </c>
      <c r="O176" s="15" t="s">
        <v>170</v>
      </c>
      <c r="P176" s="15" t="s">
        <v>171</v>
      </c>
      <c r="Q176" s="15" t="s">
        <v>208</v>
      </c>
      <c r="R176" s="13" t="s">
        <v>209</v>
      </c>
      <c r="S176" s="13" t="s">
        <v>103</v>
      </c>
      <c r="T176" s="13" t="s">
        <v>205</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3"/>
    </row>
    <row r="177" spans="1:85" ht="105" x14ac:dyDescent="0.25">
      <c r="A177" s="13" t="s">
        <v>202</v>
      </c>
      <c r="B177" s="13" t="s">
        <v>153</v>
      </c>
      <c r="C177" s="14">
        <v>43152.5</v>
      </c>
      <c r="D177" s="13" t="s">
        <v>88</v>
      </c>
      <c r="E177" s="15" t="s">
        <v>89</v>
      </c>
      <c r="F177" s="13" t="s">
        <v>90</v>
      </c>
      <c r="G177" s="15" t="s">
        <v>91</v>
      </c>
      <c r="H177" s="13" t="s">
        <v>368</v>
      </c>
      <c r="I177" s="15" t="s">
        <v>369</v>
      </c>
      <c r="J177" s="15" t="s">
        <v>370</v>
      </c>
      <c r="K177" s="15" t="s">
        <v>371</v>
      </c>
      <c r="L177" s="13" t="s">
        <v>376</v>
      </c>
      <c r="M177" s="15" t="s">
        <v>377</v>
      </c>
      <c r="N177" s="13" t="s">
        <v>188</v>
      </c>
      <c r="O177" s="15" t="s">
        <v>189</v>
      </c>
      <c r="P177" s="15" t="s">
        <v>190</v>
      </c>
      <c r="Q177" s="15" t="s">
        <v>208</v>
      </c>
      <c r="R177" s="13" t="s">
        <v>209</v>
      </c>
      <c r="S177" s="13" t="s">
        <v>103</v>
      </c>
      <c r="T177" s="13" t="s">
        <v>205</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3"/>
    </row>
    <row r="178" spans="1:85" ht="120" x14ac:dyDescent="0.25">
      <c r="A178" s="13" t="s">
        <v>202</v>
      </c>
      <c r="B178" s="13" t="s">
        <v>153</v>
      </c>
      <c r="C178" s="14">
        <v>43152.5</v>
      </c>
      <c r="D178" s="13" t="s">
        <v>88</v>
      </c>
      <c r="E178" s="15" t="s">
        <v>89</v>
      </c>
      <c r="F178" s="13" t="s">
        <v>90</v>
      </c>
      <c r="G178" s="15" t="s">
        <v>91</v>
      </c>
      <c r="H178" s="13" t="s">
        <v>368</v>
      </c>
      <c r="I178" s="15" t="s">
        <v>369</v>
      </c>
      <c r="J178" s="15" t="s">
        <v>370</v>
      </c>
      <c r="K178" s="15" t="s">
        <v>371</v>
      </c>
      <c r="L178" s="13" t="s">
        <v>372</v>
      </c>
      <c r="M178" s="15" t="s">
        <v>373</v>
      </c>
      <c r="N178" s="13" t="s">
        <v>98</v>
      </c>
      <c r="O178" s="15" t="s">
        <v>99</v>
      </c>
      <c r="P178" s="15" t="s">
        <v>100</v>
      </c>
      <c r="Q178" s="15" t="s">
        <v>366</v>
      </c>
      <c r="R178" s="13" t="s">
        <v>367</v>
      </c>
      <c r="S178" s="13" t="s">
        <v>212</v>
      </c>
      <c r="T178" s="13" t="s">
        <v>205</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3"/>
    </row>
    <row r="179" spans="1:85" ht="120" x14ac:dyDescent="0.25">
      <c r="A179" s="13" t="s">
        <v>202</v>
      </c>
      <c r="B179" s="13" t="s">
        <v>153</v>
      </c>
      <c r="C179" s="14">
        <v>43152.5</v>
      </c>
      <c r="D179" s="13" t="s">
        <v>88</v>
      </c>
      <c r="E179" s="15" t="s">
        <v>89</v>
      </c>
      <c r="F179" s="13" t="s">
        <v>90</v>
      </c>
      <c r="G179" s="15" t="s">
        <v>91</v>
      </c>
      <c r="H179" s="13" t="s">
        <v>368</v>
      </c>
      <c r="I179" s="15" t="s">
        <v>369</v>
      </c>
      <c r="J179" s="15" t="s">
        <v>370</v>
      </c>
      <c r="K179" s="15" t="s">
        <v>371</v>
      </c>
      <c r="L179" s="13" t="s">
        <v>374</v>
      </c>
      <c r="M179" s="15" t="s">
        <v>375</v>
      </c>
      <c r="N179" s="13" t="s">
        <v>98</v>
      </c>
      <c r="O179" s="15" t="s">
        <v>170</v>
      </c>
      <c r="P179" s="15" t="s">
        <v>171</v>
      </c>
      <c r="Q179" s="15" t="s">
        <v>366</v>
      </c>
      <c r="R179" s="13" t="s">
        <v>367</v>
      </c>
      <c r="S179" s="13" t="s">
        <v>212</v>
      </c>
      <c r="T179" s="13" t="s">
        <v>205</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3"/>
    </row>
    <row r="180" spans="1:85" ht="105" x14ac:dyDescent="0.25">
      <c r="A180" s="13" t="s">
        <v>202</v>
      </c>
      <c r="B180" s="13" t="s">
        <v>153</v>
      </c>
      <c r="C180" s="14">
        <v>43152.5</v>
      </c>
      <c r="D180" s="13" t="s">
        <v>88</v>
      </c>
      <c r="E180" s="15" t="s">
        <v>89</v>
      </c>
      <c r="F180" s="13" t="s">
        <v>90</v>
      </c>
      <c r="G180" s="15" t="s">
        <v>91</v>
      </c>
      <c r="H180" s="13" t="s">
        <v>368</v>
      </c>
      <c r="I180" s="15" t="s">
        <v>369</v>
      </c>
      <c r="J180" s="15" t="s">
        <v>370</v>
      </c>
      <c r="K180" s="15" t="s">
        <v>371</v>
      </c>
      <c r="L180" s="13" t="s">
        <v>376</v>
      </c>
      <c r="M180" s="15" t="s">
        <v>377</v>
      </c>
      <c r="N180" s="13" t="s">
        <v>188</v>
      </c>
      <c r="O180" s="15" t="s">
        <v>189</v>
      </c>
      <c r="P180" s="15" t="s">
        <v>190</v>
      </c>
      <c r="Q180" s="15" t="s">
        <v>366</v>
      </c>
      <c r="R180" s="13" t="s">
        <v>367</v>
      </c>
      <c r="S180" s="13" t="s">
        <v>212</v>
      </c>
      <c r="T180" s="13" t="s">
        <v>205</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3"/>
    </row>
    <row r="181" spans="1:85" ht="120" x14ac:dyDescent="0.25">
      <c r="A181" s="13" t="s">
        <v>202</v>
      </c>
      <c r="B181" s="13" t="s">
        <v>153</v>
      </c>
      <c r="C181" s="14">
        <v>43152.5</v>
      </c>
      <c r="D181" s="13" t="s">
        <v>88</v>
      </c>
      <c r="E181" s="15" t="s">
        <v>89</v>
      </c>
      <c r="F181" s="13" t="s">
        <v>90</v>
      </c>
      <c r="G181" s="15" t="s">
        <v>91</v>
      </c>
      <c r="H181" s="13" t="s">
        <v>368</v>
      </c>
      <c r="I181" s="15" t="s">
        <v>369</v>
      </c>
      <c r="J181" s="15" t="s">
        <v>370</v>
      </c>
      <c r="K181" s="15" t="s">
        <v>371</v>
      </c>
      <c r="L181" s="13" t="s">
        <v>372</v>
      </c>
      <c r="M181" s="15" t="s">
        <v>373</v>
      </c>
      <c r="N181" s="13" t="s">
        <v>98</v>
      </c>
      <c r="O181" s="15" t="s">
        <v>99</v>
      </c>
      <c r="P181" s="15" t="s">
        <v>100</v>
      </c>
      <c r="Q181" s="15" t="s">
        <v>219</v>
      </c>
      <c r="R181" s="13" t="s">
        <v>220</v>
      </c>
      <c r="S181" s="13" t="s">
        <v>212</v>
      </c>
      <c r="T181" s="13" t="s">
        <v>205</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3"/>
    </row>
    <row r="182" spans="1:85" ht="120" x14ac:dyDescent="0.25">
      <c r="A182" s="13" t="s">
        <v>202</v>
      </c>
      <c r="B182" s="13" t="s">
        <v>153</v>
      </c>
      <c r="C182" s="14">
        <v>43152.5</v>
      </c>
      <c r="D182" s="13" t="s">
        <v>88</v>
      </c>
      <c r="E182" s="15" t="s">
        <v>89</v>
      </c>
      <c r="F182" s="13" t="s">
        <v>90</v>
      </c>
      <c r="G182" s="15" t="s">
        <v>91</v>
      </c>
      <c r="H182" s="13" t="s">
        <v>368</v>
      </c>
      <c r="I182" s="15" t="s">
        <v>369</v>
      </c>
      <c r="J182" s="15" t="s">
        <v>370</v>
      </c>
      <c r="K182" s="15" t="s">
        <v>371</v>
      </c>
      <c r="L182" s="13" t="s">
        <v>374</v>
      </c>
      <c r="M182" s="15" t="s">
        <v>375</v>
      </c>
      <c r="N182" s="13" t="s">
        <v>98</v>
      </c>
      <c r="O182" s="15" t="s">
        <v>170</v>
      </c>
      <c r="P182" s="15" t="s">
        <v>171</v>
      </c>
      <c r="Q182" s="15" t="s">
        <v>219</v>
      </c>
      <c r="R182" s="13" t="s">
        <v>220</v>
      </c>
      <c r="S182" s="13" t="s">
        <v>212</v>
      </c>
      <c r="T182" s="13" t="s">
        <v>205</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3"/>
    </row>
    <row r="183" spans="1:85" ht="105" x14ac:dyDescent="0.25">
      <c r="A183" s="13" t="s">
        <v>202</v>
      </c>
      <c r="B183" s="13" t="s">
        <v>153</v>
      </c>
      <c r="C183" s="14">
        <v>43152.5</v>
      </c>
      <c r="D183" s="13" t="s">
        <v>88</v>
      </c>
      <c r="E183" s="15" t="s">
        <v>89</v>
      </c>
      <c r="F183" s="13" t="s">
        <v>90</v>
      </c>
      <c r="G183" s="15" t="s">
        <v>91</v>
      </c>
      <c r="H183" s="13" t="s">
        <v>368</v>
      </c>
      <c r="I183" s="15" t="s">
        <v>369</v>
      </c>
      <c r="J183" s="15" t="s">
        <v>370</v>
      </c>
      <c r="K183" s="15" t="s">
        <v>371</v>
      </c>
      <c r="L183" s="13" t="s">
        <v>376</v>
      </c>
      <c r="M183" s="15" t="s">
        <v>377</v>
      </c>
      <c r="N183" s="13" t="s">
        <v>188</v>
      </c>
      <c r="O183" s="15" t="s">
        <v>189</v>
      </c>
      <c r="P183" s="15" t="s">
        <v>190</v>
      </c>
      <c r="Q183" s="15" t="s">
        <v>219</v>
      </c>
      <c r="R183" s="13" t="s">
        <v>220</v>
      </c>
      <c r="S183" s="13" t="s">
        <v>212</v>
      </c>
      <c r="T183" s="13" t="s">
        <v>205</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3"/>
    </row>
    <row r="184" spans="1:85" ht="135" x14ac:dyDescent="0.25">
      <c r="A184" s="13" t="s">
        <v>86</v>
      </c>
      <c r="B184" s="13" t="s">
        <v>87</v>
      </c>
      <c r="C184" s="14">
        <v>43850.552083333336</v>
      </c>
      <c r="D184" s="13" t="s">
        <v>88</v>
      </c>
      <c r="E184" s="15" t="s">
        <v>89</v>
      </c>
      <c r="F184" s="13" t="s">
        <v>90</v>
      </c>
      <c r="G184" s="15" t="s">
        <v>91</v>
      </c>
      <c r="H184" s="13" t="s">
        <v>378</v>
      </c>
      <c r="I184" s="15" t="s">
        <v>379</v>
      </c>
      <c r="J184" s="15" t="s">
        <v>380</v>
      </c>
      <c r="K184" s="15" t="s">
        <v>381</v>
      </c>
      <c r="L184" s="13" t="s">
        <v>382</v>
      </c>
      <c r="M184" s="15" t="s">
        <v>383</v>
      </c>
      <c r="N184" s="13" t="s">
        <v>98</v>
      </c>
      <c r="O184" s="15" t="s">
        <v>99</v>
      </c>
      <c r="P184" s="15" t="s">
        <v>100</v>
      </c>
      <c r="Q184" s="15" t="s">
        <v>101</v>
      </c>
      <c r="R184" s="13" t="s">
        <v>102</v>
      </c>
      <c r="S184" s="13" t="s">
        <v>103</v>
      </c>
      <c r="T184" s="13" t="s">
        <v>104</v>
      </c>
      <c r="U184" s="14">
        <v>40725</v>
      </c>
      <c r="V184" s="14">
        <v>43830</v>
      </c>
      <c r="W184" s="15" t="s">
        <v>105</v>
      </c>
      <c r="X184" s="13" t="s">
        <v>106</v>
      </c>
      <c r="Y184" s="15" t="str">
        <f>VLOOKUP(X184,'Axe 2 Règles de gestion'!$D$2:$F$121,3, FALSE)</f>
        <v>L'agent doit détenir le titre ou le diplôme requis pour l'exercice des fonctions du corps d'accueil.</v>
      </c>
      <c r="Z184" s="13" t="s">
        <v>108</v>
      </c>
      <c r="AA184" s="15" t="str">
        <f>VLOOKUP(Z184,'Axe 2 Règles de gestion'!$D$2:$F$121,3, FALSE)</f>
        <v>L'agent doit formuler une demande.</v>
      </c>
      <c r="AB184" s="13" t="s">
        <v>110</v>
      </c>
      <c r="AC184" s="15" t="str">
        <f>VLOOKUP(AB184,'Axe 2 Règles de gestion'!$D$2:$F$121,3, FALSE)</f>
        <v>Le détachement est accordé après avis des commissions administratives paritaires compétentes.</v>
      </c>
      <c r="AD184" s="13" t="s">
        <v>112</v>
      </c>
      <c r="AE184" s="15" t="str">
        <f>VLOOKUP(AD184,'Axe 2 Règles de gestion'!$D$2:$F$121,3, FALSE)</f>
        <v>L'accord de l'administration d'origine est nécessaire.</v>
      </c>
      <c r="AF184" s="13"/>
      <c r="AG184" s="15"/>
      <c r="AH184" s="13"/>
      <c r="AI184" s="15"/>
      <c r="AJ184" s="13"/>
      <c r="AK184" s="15"/>
      <c r="AL184" s="13"/>
      <c r="AM184" s="15"/>
      <c r="AN184" s="13"/>
      <c r="AO184" s="15"/>
      <c r="AP184" s="13" t="s">
        <v>114</v>
      </c>
      <c r="AQ184" s="15" t="str">
        <f>VLOOKUP(AP184,'Axe 2 Règles de gestion'!$D$2:$F$121,3, FALSE)</f>
        <v>Un détachement de courte durée à l'étranger ou dans les TOM ne peut excéder 1 an entre la date de début et la date de fin prévisionnelle.</v>
      </c>
      <c r="AR184" s="13" t="s">
        <v>116</v>
      </c>
      <c r="AS184" s="15" t="str">
        <f>VLOOKUP(AR184,'Axe 2 Règles de gestion'!$D$2:$F$121,3, FALSE)</f>
        <v>Un détachement de courte durée à l'étranger ou dans les TOM ne peut excéder 1 an entre la date de début et la date de fin réelle.</v>
      </c>
      <c r="AT184" s="13" t="s">
        <v>118</v>
      </c>
      <c r="AU184" s="15" t="str">
        <f>VLOOKUP(AT184,'Axe 2 Règles de gestion'!$D$2:$F$121,3, FALSE)</f>
        <v>Un détachement de courte durée n'ayant pas lieu à l'étranger ou dans les TOM ne peut excéder six mois entre la date de début et la date de fin prévisionnelle.</v>
      </c>
      <c r="AV184" s="13" t="s">
        <v>120</v>
      </c>
      <c r="AW184" s="15" t="str">
        <f>VLOOKUP(AV184,'Axe 2 Règles de gestion'!$D$2:$F$121,3, FALSE)</f>
        <v>Un détachement de courte durée n'ayant pas lieu à l'étranger ou dans les TOM ne peut excéder six mois entre la date de début et la date de fin réelle.</v>
      </c>
      <c r="AX184" s="13" t="s">
        <v>122</v>
      </c>
      <c r="AY184" s="15" t="str">
        <f>VLOOKUP(AX184,'Axe 2 Règles de gestion'!$D$2:$F$121,3, FALSE)</f>
        <v>Un détachement de longue durée ne peut excéder 5 ans entre la date de début et la date de fin prévisionnelle.</v>
      </c>
      <c r="AZ184" s="13" t="s">
        <v>124</v>
      </c>
      <c r="BA184" s="15" t="str">
        <f>VLOOKUP(AZ184,'Axe 2 Règles de gestion'!$D$2:$F$121,3, FALSE)</f>
        <v>Un détachement de longue durée ne peut excéder 5 ans entre la date de début et la date de fin réelle.</v>
      </c>
      <c r="BB184" s="13" t="s">
        <v>126</v>
      </c>
      <c r="BC184" s="15" t="str">
        <f>VLOOKUP(BB184,'Axe 2 Règles de gestion'!$D$2:$F$121,3, FALSE)</f>
        <v>La date de début de position doit être antérieure ou égale à la date de fin prévisionnelle de position.</v>
      </c>
      <c r="BD184" s="13" t="s">
        <v>128</v>
      </c>
      <c r="BE184" s="15" t="str">
        <f>VLOOKUP(BD184,'Axe 2 Règles de gestion'!$D$2:$F$121,3, FALSE)</f>
        <v>La date de début de la position doit être postérieure ou égale à la date d'entrée dans la FPE ou dans la carrière militaire.</v>
      </c>
      <c r="BF184" s="13" t="s">
        <v>130</v>
      </c>
      <c r="BG184" s="15" t="str">
        <f>VLOOKUP(BF184,'Axe 2 Règles de gestion'!$D$2:$F$121,3, FALSE)</f>
        <v>La date de fin réelle de la position doit être antérieure à la date limite de départ à la retraite.</v>
      </c>
      <c r="BH184" s="13" t="s">
        <v>132</v>
      </c>
      <c r="BI184" s="15" t="str">
        <f>VLOOKUP(BH184,'Axe 2 Règles de gestion'!$D$2:$F$121,3, FALSE)</f>
        <v>La date de début de position doit être antérieure ou égale à la date de fin réelle de position.</v>
      </c>
      <c r="BJ184" s="13" t="s">
        <v>134</v>
      </c>
      <c r="BK184" s="15" t="str">
        <f>VLOOKUP(BJ184,'Axe 2 Règles de gestion'!$D$2:$F$121,3, FALSE)</f>
        <v>La date de fin prévisionnelle de la position doit être antérieure à la date limite de départ à la retraite.</v>
      </c>
      <c r="BL184" s="13" t="s">
        <v>136</v>
      </c>
      <c r="BM184" s="15" t="str">
        <f>VLOOKUP(BL184,'Axe 2 Règles de gestion'!$D$2:$F$121,3, FALSE)</f>
        <v>L'indicateur de carrière est sur la valeur "Accueil".</v>
      </c>
      <c r="BN184" s="13" t="s">
        <v>138</v>
      </c>
      <c r="BO184" s="15" t="str">
        <f>VLOOKUP(BN184,'Axe 2 Règles de gestion'!$D$2:$F$121,3, FALSE)</f>
        <v>La date de début de position est à J+1 de la date de fin de position de l'occurrence précédente.</v>
      </c>
      <c r="BP184" s="13" t="s">
        <v>140</v>
      </c>
      <c r="BQ184" s="15" t="str">
        <f>VLOOKUP(BP184,'Axe 2 Règles de gestion'!$D$2:$F$121,3, FALSE)</f>
        <v>Les champs "Type d'organisme d'origine", "Catégorie statutaire d'origine" et "Pays" de l'organisme d'origine doivent être renseignés.</v>
      </c>
      <c r="BR184" s="13" t="s">
        <v>142</v>
      </c>
      <c r="BS184" s="15" t="str">
        <f>VLOOKUP(BR184,'Axe 2 Règles de gestion'!$D$2:$F$121,3, FALSE)</f>
        <v>Les champs "Ministère (ou institution de la République) d'origine", "Corps d'origine", "Grade d'origine", "Echelon d'origine" sont renseignés si le "Type d'organisme d'origine" est valorisé à FPE.</v>
      </c>
      <c r="BT184" s="13" t="s">
        <v>144</v>
      </c>
      <c r="BU184" s="15" t="str">
        <f>VLOOKUP(BT184,'Axe 2 Règles de gestion'!$D$2:$F$121,3, FALSE)</f>
        <v>Le champ "Organisme d'origine" doit être alimenté si le type d'organisme d'origine est égal à 'Autre organisme', 'Fonction publique d'un état de l'Union Européenne' ou 'Fonction publique Européenne'.</v>
      </c>
      <c r="BV184" s="13" t="s">
        <v>146</v>
      </c>
      <c r="BW184" s="15" t="str">
        <f>VLOOKUP(BV184,'Axe 2 Règles de gestion'!$D$2:$F$121,3, FALSE)</f>
        <v>Le champ "Code emploi statutaire FPT (NET)" est renseigné si le "Type d'organisme d'origine" est valorisé à FPT.</v>
      </c>
      <c r="BX184" s="13" t="s">
        <v>148</v>
      </c>
      <c r="BY184" s="15" t="str">
        <f>VLOOKUP(BX184,'Axe 2 Règles de gestion'!$D$2:$F$121,3, FALSE)</f>
        <v>Le champ "Code emploi statutaire FPH (NEH)" est renseigné si le "Type d'organisme d'origine" est valorisé à FPH.</v>
      </c>
      <c r="BZ184" s="13" t="s">
        <v>150</v>
      </c>
      <c r="CA184" s="15" t="str">
        <f>VLOOKUP(BZ184,'Axe 2 Règles de gestion'!$D$2:$F$121,3, FALSE)</f>
        <v>La date de fin ou la date de fin prévisionnelle doit être saisie.</v>
      </c>
      <c r="CB184" s="13"/>
      <c r="CC184" s="15"/>
      <c r="CD184" s="13"/>
      <c r="CE184" s="15"/>
      <c r="CF184" s="13"/>
      <c r="CG184" s="13"/>
    </row>
    <row r="185" spans="1:85" ht="135" x14ac:dyDescent="0.25">
      <c r="A185" s="13" t="s">
        <v>152</v>
      </c>
      <c r="B185" s="13" t="s">
        <v>153</v>
      </c>
      <c r="C185" s="14">
        <v>45807.453472222223</v>
      </c>
      <c r="D185" s="13" t="s">
        <v>88</v>
      </c>
      <c r="E185" s="15" t="s">
        <v>89</v>
      </c>
      <c r="F185" s="13" t="s">
        <v>90</v>
      </c>
      <c r="G185" s="15" t="s">
        <v>91</v>
      </c>
      <c r="H185" s="13" t="s">
        <v>378</v>
      </c>
      <c r="I185" s="15" t="s">
        <v>379</v>
      </c>
      <c r="J185" s="15" t="s">
        <v>380</v>
      </c>
      <c r="K185" s="15" t="s">
        <v>381</v>
      </c>
      <c r="L185" s="13" t="s">
        <v>382</v>
      </c>
      <c r="M185" s="15" t="s">
        <v>383</v>
      </c>
      <c r="N185" s="13" t="s">
        <v>98</v>
      </c>
      <c r="O185" s="15" t="s">
        <v>99</v>
      </c>
      <c r="P185" s="15" t="s">
        <v>100</v>
      </c>
      <c r="Q185" s="15" t="s">
        <v>101</v>
      </c>
      <c r="R185" s="13" t="s">
        <v>102</v>
      </c>
      <c r="S185" s="13" t="s">
        <v>103</v>
      </c>
      <c r="T185" s="13" t="s">
        <v>104</v>
      </c>
      <c r="U185" s="14">
        <v>43831</v>
      </c>
      <c r="V185" s="14"/>
      <c r="W185" s="15" t="s">
        <v>361</v>
      </c>
      <c r="X185" s="13" t="s">
        <v>106</v>
      </c>
      <c r="Y185" s="15" t="str">
        <f>VLOOKUP(X185,'Axe 2 Règles de gestion'!$D$2:$F$121,3, FALSE)</f>
        <v>L'agent doit détenir le titre ou le diplôme requis pour l'exercice des fonctions du corps d'accueil.</v>
      </c>
      <c r="Z185" s="13" t="s">
        <v>108</v>
      </c>
      <c r="AA185" s="15" t="str">
        <f>VLOOKUP(Z185,'Axe 2 Règles de gestion'!$D$2:$F$121,3, FALSE)</f>
        <v>L'agent doit formuler une demande.</v>
      </c>
      <c r="AB185" s="13" t="s">
        <v>112</v>
      </c>
      <c r="AC185" s="15" t="str">
        <f>VLOOKUP(AB185,'Axe 2 Règles de gestion'!$D$2:$F$121,3, FALSE)</f>
        <v>L'accord de l'administration d'origine est nécessaire.</v>
      </c>
      <c r="AD185" s="13" t="s">
        <v>161</v>
      </c>
      <c r="AE185" s="15" t="str">
        <f>VLOOKUP(AD185,'Axe 2 Règles de gestion'!$D$2:$F$121,3, FALSE)</f>
        <v>L'agent peut être détaché dans un corps ou un cadre d'emplois de même catégorie et de niveau comparable à celui de son corps ou cadre d'emplois d'origine.</v>
      </c>
      <c r="AF185" s="13" t="s">
        <v>163</v>
      </c>
      <c r="AG185" s="15" t="str">
        <f>VLOOKUP(AF185,'Axe 2 Règles de gestion'!$D$2:$F$121,3, FALSE)</f>
        <v>Toutefois, l'agent dont au moins l'un des grades d'avancement de son corps ou cadre d'emplois est accessible par la voie d'un concours de recrutement peut être détaché dans un corps ou cadre d'emplois de niveau différent.</v>
      </c>
      <c r="AH185" s="13" t="s">
        <v>165</v>
      </c>
      <c r="AI185" s="15" t="str">
        <f>VLOOKUP(AH185,'Axe 2 Règles de gestion'!$D$2:$F$121,3, FALSE)</f>
        <v>Lorsque le corps ou cadre d'emplois d'origine ou le corps ou cadre d'emplois d'accueil ne relève pas d'une catégorie, le détachement s'effectue entre corps et cadres d'emplois de niveau comparable.</v>
      </c>
      <c r="AJ185" s="13"/>
      <c r="AK185" s="15"/>
      <c r="AL185" s="13"/>
      <c r="AM185" s="15"/>
      <c r="AN185" s="13"/>
      <c r="AO185" s="15"/>
      <c r="AP185" s="13" t="s">
        <v>114</v>
      </c>
      <c r="AQ185" s="15" t="str">
        <f>VLOOKUP(AP185,'Axe 2 Règles de gestion'!$D$2:$F$121,3, FALSE)</f>
        <v>Un détachement de courte durée à l'étranger ou dans les TOM ne peut excéder 1 an entre la date de début et la date de fin prévisionnelle.</v>
      </c>
      <c r="AR185" s="13" t="s">
        <v>116</v>
      </c>
      <c r="AS185" s="15" t="str">
        <f>VLOOKUP(AR185,'Axe 2 Règles de gestion'!$D$2:$F$121,3, FALSE)</f>
        <v>Un détachement de courte durée à l'étranger ou dans les TOM ne peut excéder 1 an entre la date de début et la date de fin réelle.</v>
      </c>
      <c r="AT185" s="13" t="s">
        <v>118</v>
      </c>
      <c r="AU185" s="15" t="str">
        <f>VLOOKUP(AT185,'Axe 2 Règles de gestion'!$D$2:$F$121,3, FALSE)</f>
        <v>Un détachement de courte durée n'ayant pas lieu à l'étranger ou dans les TOM ne peut excéder six mois entre la date de début et la date de fin prévisionnelle.</v>
      </c>
      <c r="AV185" s="13" t="s">
        <v>120</v>
      </c>
      <c r="AW185" s="15" t="str">
        <f>VLOOKUP(AV185,'Axe 2 Règles de gestion'!$D$2:$F$121,3, FALSE)</f>
        <v>Un détachement de courte durée n'ayant pas lieu à l'étranger ou dans les TOM ne peut excéder six mois entre la date de début et la date de fin réelle.</v>
      </c>
      <c r="AX185" s="13" t="s">
        <v>122</v>
      </c>
      <c r="AY185" s="15" t="str">
        <f>VLOOKUP(AX185,'Axe 2 Règles de gestion'!$D$2:$F$121,3, FALSE)</f>
        <v>Un détachement de longue durée ne peut excéder 5 ans entre la date de début et la date de fin prévisionnelle.</v>
      </c>
      <c r="AZ185" s="13" t="s">
        <v>124</v>
      </c>
      <c r="BA185" s="15" t="str">
        <f>VLOOKUP(AZ185,'Axe 2 Règles de gestion'!$D$2:$F$121,3, FALSE)</f>
        <v>Un détachement de longue durée ne peut excéder 5 ans entre la date de début et la date de fin réelle.</v>
      </c>
      <c r="BB185" s="13" t="s">
        <v>126</v>
      </c>
      <c r="BC185" s="15" t="str">
        <f>VLOOKUP(BB185,'Axe 2 Règles de gestion'!$D$2:$F$121,3, FALSE)</f>
        <v>La date de début de position doit être antérieure ou égale à la date de fin prévisionnelle de position.</v>
      </c>
      <c r="BD185" s="13" t="s">
        <v>128</v>
      </c>
      <c r="BE185" s="15" t="str">
        <f>VLOOKUP(BD185,'Axe 2 Règles de gestion'!$D$2:$F$121,3, FALSE)</f>
        <v>La date de début de la position doit être postérieure ou égale à la date d'entrée dans la FPE ou dans la carrière militaire.</v>
      </c>
      <c r="BF185" s="13" t="s">
        <v>130</v>
      </c>
      <c r="BG185" s="15" t="str">
        <f>VLOOKUP(BF185,'Axe 2 Règles de gestion'!$D$2:$F$121,3, FALSE)</f>
        <v>La date de fin réelle de la position doit être antérieure à la date limite de départ à la retraite.</v>
      </c>
      <c r="BH185" s="13" t="s">
        <v>132</v>
      </c>
      <c r="BI185" s="15" t="str">
        <f>VLOOKUP(BH185,'Axe 2 Règles de gestion'!$D$2:$F$121,3, FALSE)</f>
        <v>La date de début de position doit être antérieure ou égale à la date de fin réelle de position.</v>
      </c>
      <c r="BJ185" s="13" t="s">
        <v>134</v>
      </c>
      <c r="BK185" s="15" t="str">
        <f>VLOOKUP(BJ185,'Axe 2 Règles de gestion'!$D$2:$F$121,3, FALSE)</f>
        <v>La date de fin prévisionnelle de la position doit être antérieure à la date limite de départ à la retraite.</v>
      </c>
      <c r="BL185" s="13" t="s">
        <v>136</v>
      </c>
      <c r="BM185" s="15" t="str">
        <f>VLOOKUP(BL185,'Axe 2 Règles de gestion'!$D$2:$F$121,3, FALSE)</f>
        <v>L'indicateur de carrière est sur la valeur "Accueil".</v>
      </c>
      <c r="BN185" s="13" t="s">
        <v>138</v>
      </c>
      <c r="BO185" s="15" t="str">
        <f>VLOOKUP(BN185,'Axe 2 Règles de gestion'!$D$2:$F$121,3, FALSE)</f>
        <v>La date de début de position est à J+1 de la date de fin de position de l'occurrence précédente.</v>
      </c>
      <c r="BP185" s="13" t="s">
        <v>140</v>
      </c>
      <c r="BQ185" s="15" t="str">
        <f>VLOOKUP(BP185,'Axe 2 Règles de gestion'!$D$2:$F$121,3, FALSE)</f>
        <v>Les champs "Type d'organisme d'origine", "Catégorie statutaire d'origine" et "Pays" de l'organisme d'origine doivent être renseignés.</v>
      </c>
      <c r="BR185" s="13" t="s">
        <v>142</v>
      </c>
      <c r="BS185" s="15" t="str">
        <f>VLOOKUP(BR185,'Axe 2 Règles de gestion'!$D$2:$F$121,3, FALSE)</f>
        <v>Les champs "Ministère (ou institution de la République) d'origine", "Corps d'origine", "Grade d'origine", "Echelon d'origine" sont renseignés si le "Type d'organisme d'origine" est valorisé à FPE.</v>
      </c>
      <c r="BT185" s="13" t="s">
        <v>144</v>
      </c>
      <c r="BU185" s="15" t="str">
        <f>VLOOKUP(BT185,'Axe 2 Règles de gestion'!$D$2:$F$121,3, FALSE)</f>
        <v>Le champ "Organisme d'origine" doit être alimenté si le type d'organisme d'origine est égal à 'Autre organisme', 'Fonction publique d'un état de l'Union Européenne' ou 'Fonction publique Européenne'.</v>
      </c>
      <c r="BV185" s="13" t="s">
        <v>146</v>
      </c>
      <c r="BW185" s="15" t="str">
        <f>VLOOKUP(BV185,'Axe 2 Règles de gestion'!$D$2:$F$121,3, FALSE)</f>
        <v>Le champ "Code emploi statutaire FPT (NET)" est renseigné si le "Type d'organisme d'origine" est valorisé à FPT.</v>
      </c>
      <c r="BX185" s="13" t="s">
        <v>148</v>
      </c>
      <c r="BY185" s="15" t="str">
        <f>VLOOKUP(BX185,'Axe 2 Règles de gestion'!$D$2:$F$121,3, FALSE)</f>
        <v>Le champ "Code emploi statutaire FPH (NEH)" est renseigné si le "Type d'organisme d'origine" est valorisé à FPH.</v>
      </c>
      <c r="BZ185" s="13" t="s">
        <v>150</v>
      </c>
      <c r="CA185" s="15" t="str">
        <f>VLOOKUP(BZ185,'Axe 2 Règles de gestion'!$D$2:$F$121,3, FALSE)</f>
        <v>La date de fin ou la date de fin prévisionnelle doit être saisie.</v>
      </c>
      <c r="CB185" s="13"/>
      <c r="CC185" s="15"/>
      <c r="CD185" s="13"/>
      <c r="CE185" s="15"/>
      <c r="CF185" s="13"/>
      <c r="CG185" s="13"/>
    </row>
    <row r="186" spans="1:85" ht="135" x14ac:dyDescent="0.25">
      <c r="A186" s="13" t="s">
        <v>86</v>
      </c>
      <c r="B186" s="13" t="s">
        <v>87</v>
      </c>
      <c r="C186" s="14">
        <v>43850.552083333336</v>
      </c>
      <c r="D186" s="13" t="s">
        <v>88</v>
      </c>
      <c r="E186" s="15" t="s">
        <v>89</v>
      </c>
      <c r="F186" s="13" t="s">
        <v>90</v>
      </c>
      <c r="G186" s="15" t="s">
        <v>91</v>
      </c>
      <c r="H186" s="13" t="s">
        <v>378</v>
      </c>
      <c r="I186" s="15" t="s">
        <v>379</v>
      </c>
      <c r="J186" s="15" t="s">
        <v>380</v>
      </c>
      <c r="K186" s="15" t="s">
        <v>381</v>
      </c>
      <c r="L186" s="13" t="s">
        <v>384</v>
      </c>
      <c r="M186" s="15" t="s">
        <v>385</v>
      </c>
      <c r="N186" s="13" t="s">
        <v>98</v>
      </c>
      <c r="O186" s="15" t="s">
        <v>170</v>
      </c>
      <c r="P186" s="15" t="s">
        <v>171</v>
      </c>
      <c r="Q186" s="15" t="s">
        <v>101</v>
      </c>
      <c r="R186" s="13" t="s">
        <v>102</v>
      </c>
      <c r="S186" s="13" t="s">
        <v>103</v>
      </c>
      <c r="T186" s="13" t="s">
        <v>104</v>
      </c>
      <c r="U186" s="14">
        <v>40725</v>
      </c>
      <c r="V186" s="14"/>
      <c r="W186" s="15" t="s">
        <v>172</v>
      </c>
      <c r="X186" s="13" t="s">
        <v>173</v>
      </c>
      <c r="Y186" s="15" t="str">
        <f>VLOOKUP(X186,'Axe 2 Règles de gestion'!$D$2:$F$121,3, FALSE)</f>
        <v>L'agent doit formuler une demande de renouvellement à son administration d'origine 3 mois au moins avant l'expiration de la période de détachement de longue durée.</v>
      </c>
      <c r="Z186" s="13" t="s">
        <v>175</v>
      </c>
      <c r="AA186" s="15" t="str">
        <f>VLOOKUP(Z186,'Axe 2 Règles de gestion'!$D$2:$F$121,3, FALSE)</f>
        <v>L'organisme d'accueil adresse sa décision à l'agent et à l'administration d'origine 2 mois au moins avant l'expiration de la période de détachement.</v>
      </c>
      <c r="AB186" s="13"/>
      <c r="AC186" s="15"/>
      <c r="AD186" s="13"/>
      <c r="AE186" s="15"/>
      <c r="AF186" s="13"/>
      <c r="AG186" s="15"/>
      <c r="AH186" s="13"/>
      <c r="AI186" s="15"/>
      <c r="AJ186" s="13"/>
      <c r="AK186" s="15"/>
      <c r="AL186" s="13"/>
      <c r="AM186" s="15"/>
      <c r="AN186" s="13"/>
      <c r="AO186" s="15"/>
      <c r="AP186" s="13" t="s">
        <v>122</v>
      </c>
      <c r="AQ186" s="15" t="str">
        <f>VLOOKUP(AP186,'Axe 2 Règles de gestion'!$D$2:$F$121,3, FALSE)</f>
        <v>Un détachement de longue durée ne peut excéder 5 ans entre la date de début et la date de fin prévisionnelle.</v>
      </c>
      <c r="AR186" s="13" t="s">
        <v>124</v>
      </c>
      <c r="AS186" s="15" t="str">
        <f>VLOOKUP(AR186,'Axe 2 Règles de gestion'!$D$2:$F$121,3, FALSE)</f>
        <v>Un détachement de longue durée ne peut excéder 5 ans entre la date de début et la date de fin réelle.</v>
      </c>
      <c r="AT186" s="13" t="s">
        <v>177</v>
      </c>
      <c r="AU186" s="15" t="str">
        <f>VLOOKUP(AT186,'Axe 2 Règles de gestion'!$D$2:$F$121,3, FALSE)</f>
        <v>Le renouvellement d'un détachement de courte durée est interdit.</v>
      </c>
      <c r="AV186" s="13"/>
      <c r="AW186" s="15"/>
      <c r="AX186" s="13"/>
      <c r="AY186" s="15"/>
      <c r="AZ186" s="13"/>
      <c r="BA186" s="15"/>
      <c r="BB186" s="13" t="s">
        <v>126</v>
      </c>
      <c r="BC186" s="15" t="str">
        <f>VLOOKUP(BB186,'Axe 2 Règles de gestion'!$D$2:$F$121,3, FALSE)</f>
        <v>La date de début de position doit être antérieure ou égale à la date de fin prévisionnelle de position.</v>
      </c>
      <c r="BD186" s="13" t="s">
        <v>128</v>
      </c>
      <c r="BE186" s="15" t="str">
        <f>VLOOKUP(BD186,'Axe 2 Règles de gestion'!$D$2:$F$121,3, FALSE)</f>
        <v>La date de début de la position doit être postérieure ou égale à la date d'entrée dans la FPE ou dans la carrière militaire.</v>
      </c>
      <c r="BF186" s="13" t="s">
        <v>130</v>
      </c>
      <c r="BG186" s="15" t="str">
        <f>VLOOKUP(BF186,'Axe 2 Règles de gestion'!$D$2:$F$121,3, FALSE)</f>
        <v>La date de fin réelle de la position doit être antérieure à la date limite de départ à la retraite.</v>
      </c>
      <c r="BH186" s="13" t="s">
        <v>132</v>
      </c>
      <c r="BI186" s="15" t="str">
        <f>VLOOKUP(BH186,'Axe 2 Règles de gestion'!$D$2:$F$121,3, FALSE)</f>
        <v>La date de début de position doit être antérieure ou égale à la date de fin réelle de position.</v>
      </c>
      <c r="BJ186" s="13" t="s">
        <v>134</v>
      </c>
      <c r="BK186" s="15" t="str">
        <f>VLOOKUP(BJ186,'Axe 2 Règles de gestion'!$D$2:$F$121,3, FALSE)</f>
        <v>La date de fin prévisionnelle de la position doit être antérieure à la date limite de départ à la retraite.</v>
      </c>
      <c r="BL186" s="13" t="s">
        <v>136</v>
      </c>
      <c r="BM186" s="15" t="str">
        <f>VLOOKUP(BL186,'Axe 2 Règles de gestion'!$D$2:$F$121,3, FALSE)</f>
        <v>L'indicateur de carrière est sur la valeur "Accueil".</v>
      </c>
      <c r="BN186" s="13" t="s">
        <v>138</v>
      </c>
      <c r="BO186" s="15" t="str">
        <f>VLOOKUP(BN186,'Axe 2 Règles de gestion'!$D$2:$F$121,3, FALSE)</f>
        <v>La date de début de position est à J+1 de la date de fin de position de l'occurrence précédente.</v>
      </c>
      <c r="BP186" s="13" t="s">
        <v>140</v>
      </c>
      <c r="BQ186" s="15" t="str">
        <f>VLOOKUP(BP186,'Axe 2 Règles de gestion'!$D$2:$F$121,3, FALSE)</f>
        <v>Les champs "Type d'organisme d'origine", "Catégorie statutaire d'origine" et "Pays" de l'organisme d'origine doivent être renseignés.</v>
      </c>
      <c r="BR186" s="13" t="s">
        <v>142</v>
      </c>
      <c r="BS186" s="15" t="str">
        <f>VLOOKUP(BR186,'Axe 2 Règles de gestion'!$D$2:$F$121,3, FALSE)</f>
        <v>Les champs "Ministère (ou institution de la République) d'origine", "Corps d'origine", "Grade d'origine", "Echelon d'origine" sont renseignés si le "Type d'organisme d'origine" est valorisé à FPE.</v>
      </c>
      <c r="BT186" s="13" t="s">
        <v>144</v>
      </c>
      <c r="BU186" s="15" t="str">
        <f>VLOOKUP(BT186,'Axe 2 Règles de gestion'!$D$2:$F$121,3, FALSE)</f>
        <v>Le champ "Organisme d'origine" doit être alimenté si le type d'organisme d'origine est égal à 'Autre organisme', 'Fonction publique d'un état de l'Union Européenne' ou 'Fonction publique Européenne'.</v>
      </c>
      <c r="BV186" s="13" t="s">
        <v>146</v>
      </c>
      <c r="BW186" s="15" t="str">
        <f>VLOOKUP(BV186,'Axe 2 Règles de gestion'!$D$2:$F$121,3, FALSE)</f>
        <v>Le champ "Code emploi statutaire FPT (NET)" est renseigné si le "Type d'organisme d'origine" est valorisé à FPT.</v>
      </c>
      <c r="BX186" s="13" t="s">
        <v>148</v>
      </c>
      <c r="BY186" s="15" t="str">
        <f>VLOOKUP(BX186,'Axe 2 Règles de gestion'!$D$2:$F$121,3, FALSE)</f>
        <v>Le champ "Code emploi statutaire FPH (NEH)" est renseigné si le "Type d'organisme d'origine" est valorisé à FPH.</v>
      </c>
      <c r="BZ186" s="13" t="s">
        <v>150</v>
      </c>
      <c r="CA186" s="15" t="str">
        <f>VLOOKUP(BZ186,'Axe 2 Règles de gestion'!$D$2:$F$121,3, FALSE)</f>
        <v>La date de fin ou la date de fin prévisionnelle doit être saisie.</v>
      </c>
      <c r="CB186" s="13"/>
      <c r="CC186" s="15"/>
      <c r="CD186" s="13"/>
      <c r="CE186" s="15"/>
      <c r="CF186" s="13"/>
      <c r="CG186" s="13"/>
    </row>
    <row r="187" spans="1:85" ht="150" x14ac:dyDescent="0.25">
      <c r="A187" s="13" t="s">
        <v>86</v>
      </c>
      <c r="B187" s="13" t="s">
        <v>87</v>
      </c>
      <c r="C187" s="14">
        <v>43850.552083333336</v>
      </c>
      <c r="D187" s="13" t="s">
        <v>88</v>
      </c>
      <c r="E187" s="15" t="s">
        <v>89</v>
      </c>
      <c r="F187" s="13" t="s">
        <v>90</v>
      </c>
      <c r="G187" s="15" t="s">
        <v>91</v>
      </c>
      <c r="H187" s="13" t="s">
        <v>378</v>
      </c>
      <c r="I187" s="15" t="s">
        <v>379</v>
      </c>
      <c r="J187" s="15" t="s">
        <v>380</v>
      </c>
      <c r="K187" s="15" t="s">
        <v>381</v>
      </c>
      <c r="L187" s="13" t="s">
        <v>386</v>
      </c>
      <c r="M187" s="15" t="s">
        <v>387</v>
      </c>
      <c r="N187" s="13" t="s">
        <v>188</v>
      </c>
      <c r="O187" s="15" t="s">
        <v>189</v>
      </c>
      <c r="P187" s="15" t="s">
        <v>190</v>
      </c>
      <c r="Q187" s="15" t="s">
        <v>101</v>
      </c>
      <c r="R187" s="13" t="s">
        <v>102</v>
      </c>
      <c r="S187" s="13" t="s">
        <v>103</v>
      </c>
      <c r="T187" s="13" t="s">
        <v>104</v>
      </c>
      <c r="U187" s="14">
        <v>40725</v>
      </c>
      <c r="V187" s="14"/>
      <c r="W187" s="15" t="s">
        <v>191</v>
      </c>
      <c r="X187" s="13" t="s">
        <v>192</v>
      </c>
      <c r="Y187" s="15" t="str">
        <f>VLOOKUP(X187,'Axe 2 Règles de gestion'!$D$2:$F$121,3, FALSE)</f>
        <v>Le détachement peut prendre fin de manière anticipée à l'initiative de l'administration d'accueil, de l'administration d'origine ou de l'agent.</v>
      </c>
      <c r="Z187" s="13" t="s">
        <v>194</v>
      </c>
      <c r="AA187" s="15" t="str">
        <f>VLOOKUP(Z187,'Axe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187" s="13" t="s">
        <v>196</v>
      </c>
      <c r="AC187" s="15" t="str">
        <f>VLOOKUP(AB187,'Axe 2 Règles de gestion'!$D$2:$F$121,3, FALSE)</f>
        <v>L'agent doit adresser une demande de réintégration à l'administration d'origine 3 mois au moins avant l'expiration de la période de détachement de longue durée.</v>
      </c>
      <c r="AD187" s="13" t="s">
        <v>175</v>
      </c>
      <c r="AE187" s="15" t="str">
        <f>VLOOKUP(AD187,'Axe 2 Règles de gestion'!$D$2:$F$121,3, FALSE)</f>
        <v>L'organisme d'accueil adresse sa décision à l'agent et à l'administration d'origine 2 mois au moins avant l'expiration de la période de détachement.</v>
      </c>
      <c r="AF187" s="13" t="s">
        <v>198</v>
      </c>
      <c r="AG187" s="15" t="str">
        <f>VLOOKUP(AF187,'Axe 2 Règles de gestion'!$D$2:$F$121,3, FALSE)</f>
        <v>Si l'agent n'adresse pas sa demande dans les délais, il est obligatoirement réintégré à la première vacance dans son corps d'origine et affecté à un emploi correspondant à son grade.</v>
      </c>
      <c r="AH187" s="13" t="s">
        <v>200</v>
      </c>
      <c r="AI187" s="15" t="str">
        <f>VLOOKUP(AH187,'Axe 2 Règles de gestion'!$D$2:$F$121,3, FALSE)</f>
        <v>Les dispositions relatives à la réintégration au terme d'un détachement de longue durée ne sont pas applicables aux préfets et sous-préfets.</v>
      </c>
      <c r="AJ187" s="13"/>
      <c r="AK187" s="15"/>
      <c r="AL187" s="13"/>
      <c r="AM187" s="15"/>
      <c r="AN187" s="13"/>
      <c r="AO187" s="15"/>
      <c r="AP187" s="13" t="s">
        <v>114</v>
      </c>
      <c r="AQ187" s="15" t="str">
        <f>VLOOKUP(AP187,'Axe 2 Règles de gestion'!$D$2:$F$121,3, FALSE)</f>
        <v>Un détachement de courte durée à l'étranger ou dans les TOM ne peut excéder 1 an entre la date de début et la date de fin prévisionnelle.</v>
      </c>
      <c r="AR187" s="13" t="s">
        <v>116</v>
      </c>
      <c r="AS187" s="15" t="str">
        <f>VLOOKUP(AR187,'Axe 2 Règles de gestion'!$D$2:$F$121,3, FALSE)</f>
        <v>Un détachement de courte durée à l'étranger ou dans les TOM ne peut excéder 1 an entre la date de début et la date de fin réelle.</v>
      </c>
      <c r="AT187" s="13" t="s">
        <v>118</v>
      </c>
      <c r="AU187" s="15" t="str">
        <f>VLOOKUP(AT187,'Axe 2 Règles de gestion'!$D$2:$F$121,3, FALSE)</f>
        <v>Un détachement de courte durée n'ayant pas lieu à l'étranger ou dans les TOM ne peut excéder six mois entre la date de début et la date de fin prévisionnelle.</v>
      </c>
      <c r="AV187" s="13" t="s">
        <v>120</v>
      </c>
      <c r="AW187" s="15" t="str">
        <f>VLOOKUP(AV187,'Axe 2 Règles de gestion'!$D$2:$F$121,3, FALSE)</f>
        <v>Un détachement de courte durée n'ayant pas lieu à l'étranger ou dans les TOM ne peut excéder six mois entre la date de début et la date de fin réelle.</v>
      </c>
      <c r="AX187" s="13" t="s">
        <v>122</v>
      </c>
      <c r="AY187" s="15" t="str">
        <f>VLOOKUP(AX187,'Axe 2 Règles de gestion'!$D$2:$F$121,3, FALSE)</f>
        <v>Un détachement de longue durée ne peut excéder 5 ans entre la date de début et la date de fin prévisionnelle.</v>
      </c>
      <c r="AZ187" s="13" t="s">
        <v>124</v>
      </c>
      <c r="BA187" s="15" t="str">
        <f>VLOOKUP(AZ187,'Axe 2 Règles de gestion'!$D$2:$F$121,3, FALSE)</f>
        <v>Un détachement de longue durée ne peut excéder 5 ans entre la date de début et la date de fin réelle.</v>
      </c>
      <c r="BB187" s="13" t="s">
        <v>126</v>
      </c>
      <c r="BC187" s="15" t="str">
        <f>VLOOKUP(BB187,'Axe 2 Règles de gestion'!$D$2:$F$121,3, FALSE)</f>
        <v>La date de début de position doit être antérieure ou égale à la date de fin prévisionnelle de position.</v>
      </c>
      <c r="BD187" s="13" t="s">
        <v>130</v>
      </c>
      <c r="BE187" s="15" t="str">
        <f>VLOOKUP(BD187,'Axe 2 Règles de gestion'!$D$2:$F$121,3, FALSE)</f>
        <v>La date de fin réelle de la position doit être antérieure à la date limite de départ à la retraite.</v>
      </c>
      <c r="BF187" s="13" t="s">
        <v>132</v>
      </c>
      <c r="BG187" s="15" t="str">
        <f>VLOOKUP(BF187,'Axe 2 Règles de gestion'!$D$2:$F$121,3, FALSE)</f>
        <v>La date de début de position doit être antérieure ou égale à la date de fin réelle de position.</v>
      </c>
      <c r="BH187" s="13" t="s">
        <v>134</v>
      </c>
      <c r="BI187" s="15" t="str">
        <f>VLOOKUP(BH187,'Axe 2 Règles de gestion'!$D$2:$F$121,3, FALSE)</f>
        <v>La date de fin prévisionnelle de la position doit être antérieure à la date limite de départ à la retraite.</v>
      </c>
      <c r="BJ187" s="13" t="s">
        <v>140</v>
      </c>
      <c r="BK187" s="15" t="str">
        <f>VLOOKUP(BJ187,'Axe 2 Règles de gestion'!$D$2:$F$121,3, FALSE)</f>
        <v>Les champs "Type d'organisme d'origine", "Catégorie statutaire d'origine" et "Pays" de l'organisme d'origine doivent être renseignés.</v>
      </c>
      <c r="BL187" s="13" t="s">
        <v>142</v>
      </c>
      <c r="BM187" s="15" t="str">
        <f>VLOOKUP(BL187,'Axe 2 Règles de gestion'!$D$2:$F$121,3, FALSE)</f>
        <v>Les champs "Ministère (ou institution de la République) d'origine", "Corps d'origine", "Grade d'origine", "Echelon d'origine" sont renseignés si le "Type d'organisme d'origine" est valorisé à FPE.</v>
      </c>
      <c r="BN187" s="13" t="s">
        <v>144</v>
      </c>
      <c r="BO187" s="15" t="str">
        <f>VLOOKUP(BN187,'Axe 2 Règles de gestion'!$D$2:$F$121,3, FALSE)</f>
        <v>Le champ "Organisme d'origine" doit être alimenté si le type d'organisme d'origine est égal à 'Autre organisme', 'Fonction publique d'un état de l'Union Européenne' ou 'Fonction publique Européenne'.</v>
      </c>
      <c r="BP187" s="13" t="s">
        <v>146</v>
      </c>
      <c r="BQ187" s="15" t="str">
        <f>VLOOKUP(BP187,'Axe 2 Règles de gestion'!$D$2:$F$121,3, FALSE)</f>
        <v>Le champ "Code emploi statutaire FPT (NET)" est renseigné si le "Type d'organisme d'origine" est valorisé à FPT.</v>
      </c>
      <c r="BR187" s="13" t="s">
        <v>148</v>
      </c>
      <c r="BS187" s="15" t="str">
        <f>VLOOKUP(BR187,'Axe 2 Règles de gestion'!$D$2:$F$121,3, FALSE)</f>
        <v>Le champ "Code emploi statutaire FPH (NEH)" est renseigné si le "Type d'organisme d'origine" est valorisé à FPH.</v>
      </c>
      <c r="BT187" s="13" t="s">
        <v>150</v>
      </c>
      <c r="BU187" s="15" t="str">
        <f>VLOOKUP(BT187,'Axe 2 Règles de gestion'!$D$2:$F$121,3, FALSE)</f>
        <v>La date de fin ou la date de fin prévisionnelle doit être saisie.</v>
      </c>
      <c r="BV187" s="13"/>
      <c r="BW187" s="15"/>
      <c r="BX187" s="13"/>
      <c r="BY187" s="15"/>
      <c r="BZ187" s="13"/>
      <c r="CA187" s="15"/>
      <c r="CB187" s="13"/>
      <c r="CC187" s="15"/>
      <c r="CD187" s="13"/>
      <c r="CE187" s="15"/>
      <c r="CF187" s="13"/>
      <c r="CG187" s="13"/>
    </row>
    <row r="188" spans="1:85" ht="135" x14ac:dyDescent="0.25">
      <c r="A188" s="13" t="s">
        <v>202</v>
      </c>
      <c r="B188" s="13" t="s">
        <v>153</v>
      </c>
      <c r="C188" s="14">
        <v>43152.5</v>
      </c>
      <c r="D188" s="13" t="s">
        <v>88</v>
      </c>
      <c r="E188" s="15" t="s">
        <v>89</v>
      </c>
      <c r="F188" s="13" t="s">
        <v>90</v>
      </c>
      <c r="G188" s="15" t="s">
        <v>91</v>
      </c>
      <c r="H188" s="13" t="s">
        <v>378</v>
      </c>
      <c r="I188" s="15" t="s">
        <v>379</v>
      </c>
      <c r="J188" s="15" t="s">
        <v>380</v>
      </c>
      <c r="K188" s="15" t="s">
        <v>381</v>
      </c>
      <c r="L188" s="13" t="s">
        <v>382</v>
      </c>
      <c r="M188" s="15" t="s">
        <v>383</v>
      </c>
      <c r="N188" s="13" t="s">
        <v>98</v>
      </c>
      <c r="O188" s="15" t="s">
        <v>99</v>
      </c>
      <c r="P188" s="15" t="s">
        <v>100</v>
      </c>
      <c r="Q188" s="15" t="s">
        <v>203</v>
      </c>
      <c r="R188" s="13" t="s">
        <v>204</v>
      </c>
      <c r="S188" s="13" t="s">
        <v>103</v>
      </c>
      <c r="T188" s="13" t="s">
        <v>205</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3"/>
    </row>
    <row r="189" spans="1:85" ht="135" x14ac:dyDescent="0.25">
      <c r="A189" s="13" t="s">
        <v>202</v>
      </c>
      <c r="B189" s="13" t="s">
        <v>153</v>
      </c>
      <c r="C189" s="14">
        <v>43152.5</v>
      </c>
      <c r="D189" s="13" t="s">
        <v>88</v>
      </c>
      <c r="E189" s="15" t="s">
        <v>89</v>
      </c>
      <c r="F189" s="13" t="s">
        <v>90</v>
      </c>
      <c r="G189" s="15" t="s">
        <v>91</v>
      </c>
      <c r="H189" s="13" t="s">
        <v>378</v>
      </c>
      <c r="I189" s="15" t="s">
        <v>379</v>
      </c>
      <c r="J189" s="15" t="s">
        <v>380</v>
      </c>
      <c r="K189" s="15" t="s">
        <v>381</v>
      </c>
      <c r="L189" s="13" t="s">
        <v>384</v>
      </c>
      <c r="M189" s="15" t="s">
        <v>385</v>
      </c>
      <c r="N189" s="13" t="s">
        <v>98</v>
      </c>
      <c r="O189" s="15" t="s">
        <v>170</v>
      </c>
      <c r="P189" s="15" t="s">
        <v>171</v>
      </c>
      <c r="Q189" s="15" t="s">
        <v>203</v>
      </c>
      <c r="R189" s="13" t="s">
        <v>204</v>
      </c>
      <c r="S189" s="13" t="s">
        <v>103</v>
      </c>
      <c r="T189" s="13" t="s">
        <v>205</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3"/>
    </row>
    <row r="190" spans="1:85" ht="135" x14ac:dyDescent="0.25">
      <c r="A190" s="13" t="s">
        <v>202</v>
      </c>
      <c r="B190" s="13" t="s">
        <v>153</v>
      </c>
      <c r="C190" s="14">
        <v>43152.5</v>
      </c>
      <c r="D190" s="13" t="s">
        <v>88</v>
      </c>
      <c r="E190" s="15" t="s">
        <v>89</v>
      </c>
      <c r="F190" s="13" t="s">
        <v>90</v>
      </c>
      <c r="G190" s="15" t="s">
        <v>91</v>
      </c>
      <c r="H190" s="13" t="s">
        <v>378</v>
      </c>
      <c r="I190" s="15" t="s">
        <v>379</v>
      </c>
      <c r="J190" s="15" t="s">
        <v>380</v>
      </c>
      <c r="K190" s="15" t="s">
        <v>381</v>
      </c>
      <c r="L190" s="13" t="s">
        <v>386</v>
      </c>
      <c r="M190" s="15" t="s">
        <v>387</v>
      </c>
      <c r="N190" s="13" t="s">
        <v>188</v>
      </c>
      <c r="O190" s="15" t="s">
        <v>189</v>
      </c>
      <c r="P190" s="15" t="s">
        <v>190</v>
      </c>
      <c r="Q190" s="15" t="s">
        <v>203</v>
      </c>
      <c r="R190" s="13" t="s">
        <v>204</v>
      </c>
      <c r="S190" s="13" t="s">
        <v>103</v>
      </c>
      <c r="T190" s="13" t="s">
        <v>205</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3"/>
    </row>
    <row r="191" spans="1:85" ht="135" x14ac:dyDescent="0.25">
      <c r="A191" s="13" t="s">
        <v>202</v>
      </c>
      <c r="B191" s="13" t="s">
        <v>153</v>
      </c>
      <c r="C191" s="14">
        <v>43152.5</v>
      </c>
      <c r="D191" s="13" t="s">
        <v>88</v>
      </c>
      <c r="E191" s="15" t="s">
        <v>89</v>
      </c>
      <c r="F191" s="13" t="s">
        <v>90</v>
      </c>
      <c r="G191" s="15" t="s">
        <v>91</v>
      </c>
      <c r="H191" s="13" t="s">
        <v>378</v>
      </c>
      <c r="I191" s="15" t="s">
        <v>379</v>
      </c>
      <c r="J191" s="15" t="s">
        <v>380</v>
      </c>
      <c r="K191" s="15" t="s">
        <v>381</v>
      </c>
      <c r="L191" s="13" t="s">
        <v>382</v>
      </c>
      <c r="M191" s="15" t="s">
        <v>383</v>
      </c>
      <c r="N191" s="13" t="s">
        <v>98</v>
      </c>
      <c r="O191" s="15" t="s">
        <v>99</v>
      </c>
      <c r="P191" s="15" t="s">
        <v>100</v>
      </c>
      <c r="Q191" s="15" t="s">
        <v>206</v>
      </c>
      <c r="R191" s="13" t="s">
        <v>207</v>
      </c>
      <c r="S191" s="13" t="s">
        <v>103</v>
      </c>
      <c r="T191" s="13" t="s">
        <v>205</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3"/>
    </row>
    <row r="192" spans="1:85" ht="135" x14ac:dyDescent="0.25">
      <c r="A192" s="13" t="s">
        <v>202</v>
      </c>
      <c r="B192" s="13" t="s">
        <v>153</v>
      </c>
      <c r="C192" s="14">
        <v>43152.5</v>
      </c>
      <c r="D192" s="13" t="s">
        <v>88</v>
      </c>
      <c r="E192" s="15" t="s">
        <v>89</v>
      </c>
      <c r="F192" s="13" t="s">
        <v>90</v>
      </c>
      <c r="G192" s="15" t="s">
        <v>91</v>
      </c>
      <c r="H192" s="13" t="s">
        <v>378</v>
      </c>
      <c r="I192" s="15" t="s">
        <v>379</v>
      </c>
      <c r="J192" s="15" t="s">
        <v>380</v>
      </c>
      <c r="K192" s="15" t="s">
        <v>381</v>
      </c>
      <c r="L192" s="13" t="s">
        <v>384</v>
      </c>
      <c r="M192" s="15" t="s">
        <v>385</v>
      </c>
      <c r="N192" s="13" t="s">
        <v>98</v>
      </c>
      <c r="O192" s="15" t="s">
        <v>170</v>
      </c>
      <c r="P192" s="15" t="s">
        <v>171</v>
      </c>
      <c r="Q192" s="15" t="s">
        <v>206</v>
      </c>
      <c r="R192" s="13" t="s">
        <v>207</v>
      </c>
      <c r="S192" s="13" t="s">
        <v>103</v>
      </c>
      <c r="T192" s="13" t="s">
        <v>205</v>
      </c>
      <c r="U192" s="14">
        <v>40725</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3"/>
    </row>
    <row r="193" spans="1:85" ht="135" x14ac:dyDescent="0.25">
      <c r="A193" s="13" t="s">
        <v>202</v>
      </c>
      <c r="B193" s="13" t="s">
        <v>153</v>
      </c>
      <c r="C193" s="14">
        <v>43152.5</v>
      </c>
      <c r="D193" s="13" t="s">
        <v>88</v>
      </c>
      <c r="E193" s="15" t="s">
        <v>89</v>
      </c>
      <c r="F193" s="13" t="s">
        <v>90</v>
      </c>
      <c r="G193" s="15" t="s">
        <v>91</v>
      </c>
      <c r="H193" s="13" t="s">
        <v>378</v>
      </c>
      <c r="I193" s="15" t="s">
        <v>379</v>
      </c>
      <c r="J193" s="15" t="s">
        <v>380</v>
      </c>
      <c r="K193" s="15" t="s">
        <v>381</v>
      </c>
      <c r="L193" s="13" t="s">
        <v>386</v>
      </c>
      <c r="M193" s="15" t="s">
        <v>387</v>
      </c>
      <c r="N193" s="13" t="s">
        <v>188</v>
      </c>
      <c r="O193" s="15" t="s">
        <v>189</v>
      </c>
      <c r="P193" s="15" t="s">
        <v>190</v>
      </c>
      <c r="Q193" s="15" t="s">
        <v>206</v>
      </c>
      <c r="R193" s="13" t="s">
        <v>207</v>
      </c>
      <c r="S193" s="13" t="s">
        <v>103</v>
      </c>
      <c r="T193" s="13" t="s">
        <v>205</v>
      </c>
      <c r="U193" s="14">
        <v>40725</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c r="CE193" s="15"/>
      <c r="CF193" s="13"/>
      <c r="CG193" s="13"/>
    </row>
    <row r="194" spans="1:85" ht="135" x14ac:dyDescent="0.25">
      <c r="A194" s="13" t="s">
        <v>202</v>
      </c>
      <c r="B194" s="13" t="s">
        <v>153</v>
      </c>
      <c r="C194" s="14">
        <v>43152.5</v>
      </c>
      <c r="D194" s="13" t="s">
        <v>88</v>
      </c>
      <c r="E194" s="15" t="s">
        <v>89</v>
      </c>
      <c r="F194" s="13" t="s">
        <v>90</v>
      </c>
      <c r="G194" s="15" t="s">
        <v>91</v>
      </c>
      <c r="H194" s="13" t="s">
        <v>378</v>
      </c>
      <c r="I194" s="15" t="s">
        <v>379</v>
      </c>
      <c r="J194" s="15" t="s">
        <v>380</v>
      </c>
      <c r="K194" s="15" t="s">
        <v>381</v>
      </c>
      <c r="L194" s="13" t="s">
        <v>382</v>
      </c>
      <c r="M194" s="15" t="s">
        <v>383</v>
      </c>
      <c r="N194" s="13" t="s">
        <v>98</v>
      </c>
      <c r="O194" s="15" t="s">
        <v>99</v>
      </c>
      <c r="P194" s="15" t="s">
        <v>100</v>
      </c>
      <c r="Q194" s="15" t="s">
        <v>208</v>
      </c>
      <c r="R194" s="13" t="s">
        <v>209</v>
      </c>
      <c r="S194" s="13" t="s">
        <v>103</v>
      </c>
      <c r="T194" s="13" t="s">
        <v>205</v>
      </c>
      <c r="U194" s="14">
        <v>40725</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3"/>
    </row>
    <row r="195" spans="1:85" ht="135" x14ac:dyDescent="0.25">
      <c r="A195" s="13" t="s">
        <v>202</v>
      </c>
      <c r="B195" s="13" t="s">
        <v>153</v>
      </c>
      <c r="C195" s="14">
        <v>43152.5</v>
      </c>
      <c r="D195" s="13" t="s">
        <v>88</v>
      </c>
      <c r="E195" s="15" t="s">
        <v>89</v>
      </c>
      <c r="F195" s="13" t="s">
        <v>90</v>
      </c>
      <c r="G195" s="15" t="s">
        <v>91</v>
      </c>
      <c r="H195" s="13" t="s">
        <v>378</v>
      </c>
      <c r="I195" s="15" t="s">
        <v>379</v>
      </c>
      <c r="J195" s="15" t="s">
        <v>380</v>
      </c>
      <c r="K195" s="15" t="s">
        <v>381</v>
      </c>
      <c r="L195" s="13" t="s">
        <v>384</v>
      </c>
      <c r="M195" s="15" t="s">
        <v>385</v>
      </c>
      <c r="N195" s="13" t="s">
        <v>98</v>
      </c>
      <c r="O195" s="15" t="s">
        <v>170</v>
      </c>
      <c r="P195" s="15" t="s">
        <v>171</v>
      </c>
      <c r="Q195" s="15" t="s">
        <v>208</v>
      </c>
      <c r="R195" s="13" t="s">
        <v>209</v>
      </c>
      <c r="S195" s="13" t="s">
        <v>103</v>
      </c>
      <c r="T195" s="13" t="s">
        <v>205</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3"/>
    </row>
    <row r="196" spans="1:85" ht="135" x14ac:dyDescent="0.25">
      <c r="A196" s="13" t="s">
        <v>202</v>
      </c>
      <c r="B196" s="13" t="s">
        <v>153</v>
      </c>
      <c r="C196" s="14">
        <v>43152.5</v>
      </c>
      <c r="D196" s="13" t="s">
        <v>88</v>
      </c>
      <c r="E196" s="15" t="s">
        <v>89</v>
      </c>
      <c r="F196" s="13" t="s">
        <v>90</v>
      </c>
      <c r="G196" s="15" t="s">
        <v>91</v>
      </c>
      <c r="H196" s="13" t="s">
        <v>378</v>
      </c>
      <c r="I196" s="15" t="s">
        <v>379</v>
      </c>
      <c r="J196" s="15" t="s">
        <v>380</v>
      </c>
      <c r="K196" s="15" t="s">
        <v>381</v>
      </c>
      <c r="L196" s="13" t="s">
        <v>386</v>
      </c>
      <c r="M196" s="15" t="s">
        <v>387</v>
      </c>
      <c r="N196" s="13" t="s">
        <v>188</v>
      </c>
      <c r="O196" s="15" t="s">
        <v>189</v>
      </c>
      <c r="P196" s="15" t="s">
        <v>190</v>
      </c>
      <c r="Q196" s="15" t="s">
        <v>208</v>
      </c>
      <c r="R196" s="13" t="s">
        <v>209</v>
      </c>
      <c r="S196" s="13" t="s">
        <v>103</v>
      </c>
      <c r="T196" s="13" t="s">
        <v>205</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3"/>
    </row>
    <row r="197" spans="1:85" ht="135" x14ac:dyDescent="0.25">
      <c r="A197" s="13" t="s">
        <v>202</v>
      </c>
      <c r="B197" s="13" t="s">
        <v>153</v>
      </c>
      <c r="C197" s="14">
        <v>43152.5</v>
      </c>
      <c r="D197" s="13" t="s">
        <v>88</v>
      </c>
      <c r="E197" s="15" t="s">
        <v>89</v>
      </c>
      <c r="F197" s="13" t="s">
        <v>90</v>
      </c>
      <c r="G197" s="15" t="s">
        <v>91</v>
      </c>
      <c r="H197" s="13" t="s">
        <v>378</v>
      </c>
      <c r="I197" s="15" t="s">
        <v>379</v>
      </c>
      <c r="J197" s="15" t="s">
        <v>380</v>
      </c>
      <c r="K197" s="15" t="s">
        <v>381</v>
      </c>
      <c r="L197" s="13" t="s">
        <v>382</v>
      </c>
      <c r="M197" s="15" t="s">
        <v>383</v>
      </c>
      <c r="N197" s="13" t="s">
        <v>98</v>
      </c>
      <c r="O197" s="15" t="s">
        <v>99</v>
      </c>
      <c r="P197" s="15" t="s">
        <v>100</v>
      </c>
      <c r="Q197" s="15" t="s">
        <v>366</v>
      </c>
      <c r="R197" s="13" t="s">
        <v>367</v>
      </c>
      <c r="S197" s="13" t="s">
        <v>212</v>
      </c>
      <c r="T197" s="13" t="s">
        <v>205</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3"/>
    </row>
    <row r="198" spans="1:85" ht="135" x14ac:dyDescent="0.25">
      <c r="A198" s="13" t="s">
        <v>202</v>
      </c>
      <c r="B198" s="13" t="s">
        <v>153</v>
      </c>
      <c r="C198" s="14">
        <v>43152.5</v>
      </c>
      <c r="D198" s="13" t="s">
        <v>88</v>
      </c>
      <c r="E198" s="15" t="s">
        <v>89</v>
      </c>
      <c r="F198" s="13" t="s">
        <v>90</v>
      </c>
      <c r="G198" s="15" t="s">
        <v>91</v>
      </c>
      <c r="H198" s="13" t="s">
        <v>378</v>
      </c>
      <c r="I198" s="15" t="s">
        <v>379</v>
      </c>
      <c r="J198" s="15" t="s">
        <v>380</v>
      </c>
      <c r="K198" s="15" t="s">
        <v>381</v>
      </c>
      <c r="L198" s="13" t="s">
        <v>384</v>
      </c>
      <c r="M198" s="15" t="s">
        <v>385</v>
      </c>
      <c r="N198" s="13" t="s">
        <v>98</v>
      </c>
      <c r="O198" s="15" t="s">
        <v>170</v>
      </c>
      <c r="P198" s="15" t="s">
        <v>171</v>
      </c>
      <c r="Q198" s="15" t="s">
        <v>366</v>
      </c>
      <c r="R198" s="13" t="s">
        <v>367</v>
      </c>
      <c r="S198" s="13" t="s">
        <v>212</v>
      </c>
      <c r="T198" s="13" t="s">
        <v>205</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3"/>
    </row>
    <row r="199" spans="1:85" ht="135" x14ac:dyDescent="0.25">
      <c r="A199" s="13" t="s">
        <v>202</v>
      </c>
      <c r="B199" s="13" t="s">
        <v>153</v>
      </c>
      <c r="C199" s="14">
        <v>43152.5</v>
      </c>
      <c r="D199" s="13" t="s">
        <v>88</v>
      </c>
      <c r="E199" s="15" t="s">
        <v>89</v>
      </c>
      <c r="F199" s="13" t="s">
        <v>90</v>
      </c>
      <c r="G199" s="15" t="s">
        <v>91</v>
      </c>
      <c r="H199" s="13" t="s">
        <v>378</v>
      </c>
      <c r="I199" s="15" t="s">
        <v>379</v>
      </c>
      <c r="J199" s="15" t="s">
        <v>380</v>
      </c>
      <c r="K199" s="15" t="s">
        <v>381</v>
      </c>
      <c r="L199" s="13" t="s">
        <v>386</v>
      </c>
      <c r="M199" s="15" t="s">
        <v>387</v>
      </c>
      <c r="N199" s="13" t="s">
        <v>188</v>
      </c>
      <c r="O199" s="15" t="s">
        <v>189</v>
      </c>
      <c r="P199" s="15" t="s">
        <v>190</v>
      </c>
      <c r="Q199" s="15" t="s">
        <v>366</v>
      </c>
      <c r="R199" s="13" t="s">
        <v>367</v>
      </c>
      <c r="S199" s="13" t="s">
        <v>212</v>
      </c>
      <c r="T199" s="13" t="s">
        <v>205</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3"/>
    </row>
    <row r="200" spans="1:85" ht="135" x14ac:dyDescent="0.25">
      <c r="A200" s="13" t="s">
        <v>202</v>
      </c>
      <c r="B200" s="13" t="s">
        <v>153</v>
      </c>
      <c r="C200" s="14">
        <v>43152.5</v>
      </c>
      <c r="D200" s="13" t="s">
        <v>88</v>
      </c>
      <c r="E200" s="15" t="s">
        <v>89</v>
      </c>
      <c r="F200" s="13" t="s">
        <v>90</v>
      </c>
      <c r="G200" s="15" t="s">
        <v>91</v>
      </c>
      <c r="H200" s="13" t="s">
        <v>378</v>
      </c>
      <c r="I200" s="15" t="s">
        <v>379</v>
      </c>
      <c r="J200" s="15" t="s">
        <v>380</v>
      </c>
      <c r="K200" s="15" t="s">
        <v>381</v>
      </c>
      <c r="L200" s="13" t="s">
        <v>382</v>
      </c>
      <c r="M200" s="15" t="s">
        <v>383</v>
      </c>
      <c r="N200" s="13" t="s">
        <v>98</v>
      </c>
      <c r="O200" s="15" t="s">
        <v>99</v>
      </c>
      <c r="P200" s="15" t="s">
        <v>100</v>
      </c>
      <c r="Q200" s="15" t="s">
        <v>219</v>
      </c>
      <c r="R200" s="13" t="s">
        <v>220</v>
      </c>
      <c r="S200" s="13" t="s">
        <v>212</v>
      </c>
      <c r="T200" s="13" t="s">
        <v>205</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3"/>
    </row>
    <row r="201" spans="1:85" ht="135" x14ac:dyDescent="0.25">
      <c r="A201" s="13" t="s">
        <v>202</v>
      </c>
      <c r="B201" s="13" t="s">
        <v>153</v>
      </c>
      <c r="C201" s="14">
        <v>43152.5</v>
      </c>
      <c r="D201" s="13" t="s">
        <v>88</v>
      </c>
      <c r="E201" s="15" t="s">
        <v>89</v>
      </c>
      <c r="F201" s="13" t="s">
        <v>90</v>
      </c>
      <c r="G201" s="15" t="s">
        <v>91</v>
      </c>
      <c r="H201" s="13" t="s">
        <v>378</v>
      </c>
      <c r="I201" s="15" t="s">
        <v>379</v>
      </c>
      <c r="J201" s="15" t="s">
        <v>380</v>
      </c>
      <c r="K201" s="15" t="s">
        <v>381</v>
      </c>
      <c r="L201" s="13" t="s">
        <v>384</v>
      </c>
      <c r="M201" s="15" t="s">
        <v>385</v>
      </c>
      <c r="N201" s="13" t="s">
        <v>98</v>
      </c>
      <c r="O201" s="15" t="s">
        <v>170</v>
      </c>
      <c r="P201" s="15" t="s">
        <v>171</v>
      </c>
      <c r="Q201" s="15" t="s">
        <v>219</v>
      </c>
      <c r="R201" s="13" t="s">
        <v>220</v>
      </c>
      <c r="S201" s="13" t="s">
        <v>212</v>
      </c>
      <c r="T201" s="13" t="s">
        <v>205</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3"/>
    </row>
    <row r="202" spans="1:85" ht="135" x14ac:dyDescent="0.25">
      <c r="A202" s="13" t="s">
        <v>202</v>
      </c>
      <c r="B202" s="13" t="s">
        <v>153</v>
      </c>
      <c r="C202" s="14">
        <v>43152.5</v>
      </c>
      <c r="D202" s="13" t="s">
        <v>88</v>
      </c>
      <c r="E202" s="15" t="s">
        <v>89</v>
      </c>
      <c r="F202" s="13" t="s">
        <v>90</v>
      </c>
      <c r="G202" s="15" t="s">
        <v>91</v>
      </c>
      <c r="H202" s="13" t="s">
        <v>378</v>
      </c>
      <c r="I202" s="15" t="s">
        <v>379</v>
      </c>
      <c r="J202" s="15" t="s">
        <v>380</v>
      </c>
      <c r="K202" s="15" t="s">
        <v>381</v>
      </c>
      <c r="L202" s="13" t="s">
        <v>386</v>
      </c>
      <c r="M202" s="15" t="s">
        <v>387</v>
      </c>
      <c r="N202" s="13" t="s">
        <v>188</v>
      </c>
      <c r="O202" s="15" t="s">
        <v>189</v>
      </c>
      <c r="P202" s="15" t="s">
        <v>190</v>
      </c>
      <c r="Q202" s="15" t="s">
        <v>219</v>
      </c>
      <c r="R202" s="13" t="s">
        <v>220</v>
      </c>
      <c r="S202" s="13" t="s">
        <v>212</v>
      </c>
      <c r="T202" s="13" t="s">
        <v>205</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3"/>
    </row>
    <row r="203" spans="1:85" ht="150" x14ac:dyDescent="0.25">
      <c r="A203" s="13" t="s">
        <v>86</v>
      </c>
      <c r="B203" s="13" t="s">
        <v>87</v>
      </c>
      <c r="C203" s="14">
        <v>43850.552083333336</v>
      </c>
      <c r="D203" s="13" t="s">
        <v>88</v>
      </c>
      <c r="E203" s="15" t="s">
        <v>89</v>
      </c>
      <c r="F203" s="13" t="s">
        <v>90</v>
      </c>
      <c r="G203" s="15" t="s">
        <v>91</v>
      </c>
      <c r="H203" s="13" t="s">
        <v>388</v>
      </c>
      <c r="I203" s="15" t="s">
        <v>389</v>
      </c>
      <c r="J203" s="15" t="s">
        <v>390</v>
      </c>
      <c r="K203" s="15" t="s">
        <v>391</v>
      </c>
      <c r="L203" s="13" t="s">
        <v>392</v>
      </c>
      <c r="M203" s="15" t="s">
        <v>393</v>
      </c>
      <c r="N203" s="13" t="s">
        <v>98</v>
      </c>
      <c r="O203" s="15" t="s">
        <v>99</v>
      </c>
      <c r="P203" s="15" t="s">
        <v>100</v>
      </c>
      <c r="Q203" s="15" t="s">
        <v>101</v>
      </c>
      <c r="R203" s="13" t="s">
        <v>102</v>
      </c>
      <c r="S203" s="13" t="s">
        <v>103</v>
      </c>
      <c r="T203" s="13" t="s">
        <v>104</v>
      </c>
      <c r="U203" s="14">
        <v>40725</v>
      </c>
      <c r="V203" s="14">
        <v>43830</v>
      </c>
      <c r="W203" s="15" t="s">
        <v>105</v>
      </c>
      <c r="X203" s="13" t="s">
        <v>106</v>
      </c>
      <c r="Y203" s="15" t="str">
        <f>VLOOKUP(X203,'Axe 2 Règles de gestion'!$D$2:$F$121,3, FALSE)</f>
        <v>L'agent doit détenir le titre ou le diplôme requis pour l'exercice des fonctions du corps d'accueil.</v>
      </c>
      <c r="Z203" s="13" t="s">
        <v>108</v>
      </c>
      <c r="AA203" s="15" t="str">
        <f>VLOOKUP(Z203,'Axe 2 Règles de gestion'!$D$2:$F$121,3, FALSE)</f>
        <v>L'agent doit formuler une demande.</v>
      </c>
      <c r="AB203" s="13" t="s">
        <v>110</v>
      </c>
      <c r="AC203" s="15" t="str">
        <f>VLOOKUP(AB203,'Axe 2 Règles de gestion'!$D$2:$F$121,3, FALSE)</f>
        <v>Le détachement est accordé après avis des commissions administratives paritaires compétentes.</v>
      </c>
      <c r="AD203" s="13" t="s">
        <v>112</v>
      </c>
      <c r="AE203" s="15" t="str">
        <f>VLOOKUP(AD203,'Axe 2 Règles de gestion'!$D$2:$F$121,3, FALSE)</f>
        <v>L'accord de l'administration d'origine est nécessaire.</v>
      </c>
      <c r="AF203" s="13"/>
      <c r="AG203" s="15"/>
      <c r="AH203" s="13"/>
      <c r="AI203" s="15"/>
      <c r="AJ203" s="13"/>
      <c r="AK203" s="15"/>
      <c r="AL203" s="13"/>
      <c r="AM203" s="15"/>
      <c r="AN203" s="13"/>
      <c r="AO203" s="15"/>
      <c r="AP203" s="13" t="s">
        <v>114</v>
      </c>
      <c r="AQ203" s="15" t="str">
        <f>VLOOKUP(AP203,'Axe 2 Règles de gestion'!$D$2:$F$121,3, FALSE)</f>
        <v>Un détachement de courte durée à l'étranger ou dans les TOM ne peut excéder 1 an entre la date de début et la date de fin prévisionnelle.</v>
      </c>
      <c r="AR203" s="13" t="s">
        <v>116</v>
      </c>
      <c r="AS203" s="15" t="str">
        <f>VLOOKUP(AR203,'Axe 2 Règles de gestion'!$D$2:$F$121,3, FALSE)</f>
        <v>Un détachement de courte durée à l'étranger ou dans les TOM ne peut excéder 1 an entre la date de début et la date de fin réelle.</v>
      </c>
      <c r="AT203" s="13" t="s">
        <v>118</v>
      </c>
      <c r="AU203" s="15" t="str">
        <f>VLOOKUP(AT203,'Axe 2 Règles de gestion'!$D$2:$F$121,3, FALSE)</f>
        <v>Un détachement de courte durée n'ayant pas lieu à l'étranger ou dans les TOM ne peut excéder six mois entre la date de début et la date de fin prévisionnelle.</v>
      </c>
      <c r="AV203" s="13" t="s">
        <v>120</v>
      </c>
      <c r="AW203" s="15" t="str">
        <f>VLOOKUP(AV203,'Axe 2 Règles de gestion'!$D$2:$F$121,3, FALSE)</f>
        <v>Un détachement de courte durée n'ayant pas lieu à l'étranger ou dans les TOM ne peut excéder six mois entre la date de début et la date de fin réelle.</v>
      </c>
      <c r="AX203" s="13" t="s">
        <v>122</v>
      </c>
      <c r="AY203" s="15" t="str">
        <f>VLOOKUP(AX203,'Axe 2 Règles de gestion'!$D$2:$F$121,3, FALSE)</f>
        <v>Un détachement de longue durée ne peut excéder 5 ans entre la date de début et la date de fin prévisionnelle.</v>
      </c>
      <c r="AZ203" s="13" t="s">
        <v>124</v>
      </c>
      <c r="BA203" s="15" t="str">
        <f>VLOOKUP(AZ203,'Axe 2 Règles de gestion'!$D$2:$F$121,3, FALSE)</f>
        <v>Un détachement de longue durée ne peut excéder 5 ans entre la date de début et la date de fin réelle.</v>
      </c>
      <c r="BB203" s="13" t="s">
        <v>126</v>
      </c>
      <c r="BC203" s="15" t="str">
        <f>VLOOKUP(BB203,'Axe 2 Règles de gestion'!$D$2:$F$121,3, FALSE)</f>
        <v>La date de début de position doit être antérieure ou égale à la date de fin prévisionnelle de position.</v>
      </c>
      <c r="BD203" s="13" t="s">
        <v>128</v>
      </c>
      <c r="BE203" s="15" t="str">
        <f>VLOOKUP(BD203,'Axe 2 Règles de gestion'!$D$2:$F$121,3, FALSE)</f>
        <v>La date de début de la position doit être postérieure ou égale à la date d'entrée dans la FPE ou dans la carrière militaire.</v>
      </c>
      <c r="BF203" s="13" t="s">
        <v>130</v>
      </c>
      <c r="BG203" s="15" t="str">
        <f>VLOOKUP(BF203,'Axe 2 Règles de gestion'!$D$2:$F$121,3, FALSE)</f>
        <v>La date de fin réelle de la position doit être antérieure à la date limite de départ à la retraite.</v>
      </c>
      <c r="BH203" s="13" t="s">
        <v>132</v>
      </c>
      <c r="BI203" s="15" t="str">
        <f>VLOOKUP(BH203,'Axe 2 Règles de gestion'!$D$2:$F$121,3, FALSE)</f>
        <v>La date de début de position doit être antérieure ou égale à la date de fin réelle de position.</v>
      </c>
      <c r="BJ203" s="13" t="s">
        <v>134</v>
      </c>
      <c r="BK203" s="15" t="str">
        <f>VLOOKUP(BJ203,'Axe 2 Règles de gestion'!$D$2:$F$121,3, FALSE)</f>
        <v>La date de fin prévisionnelle de la position doit être antérieure à la date limite de départ à la retraite.</v>
      </c>
      <c r="BL203" s="13" t="s">
        <v>136</v>
      </c>
      <c r="BM203" s="15" t="str">
        <f>VLOOKUP(BL203,'Axe 2 Règles de gestion'!$D$2:$F$121,3, FALSE)</f>
        <v>L'indicateur de carrière est sur la valeur "Accueil".</v>
      </c>
      <c r="BN203" s="13" t="s">
        <v>138</v>
      </c>
      <c r="BO203" s="15" t="str">
        <f>VLOOKUP(BN203,'Axe 2 Règles de gestion'!$D$2:$F$121,3, FALSE)</f>
        <v>La date de début de position est à J+1 de la date de fin de position de l'occurrence précédente.</v>
      </c>
      <c r="BP203" s="13" t="s">
        <v>140</v>
      </c>
      <c r="BQ203" s="15" t="str">
        <f>VLOOKUP(BP203,'Axe 2 Règles de gestion'!$D$2:$F$121,3, FALSE)</f>
        <v>Les champs "Type d'organisme d'origine", "Catégorie statutaire d'origine" et "Pays" de l'organisme d'origine doivent être renseignés.</v>
      </c>
      <c r="BR203" s="13" t="s">
        <v>142</v>
      </c>
      <c r="BS203" s="15" t="str">
        <f>VLOOKUP(BR203,'Axe 2 Règles de gestion'!$D$2:$F$121,3, FALSE)</f>
        <v>Les champs "Ministère (ou institution de la République) d'origine", "Corps d'origine", "Grade d'origine", "Echelon d'origine" sont renseignés si le "Type d'organisme d'origine" est valorisé à FPE.</v>
      </c>
      <c r="BT203" s="13" t="s">
        <v>144</v>
      </c>
      <c r="BU203" s="15" t="str">
        <f>VLOOKUP(BT203,'Axe 2 Règles de gestion'!$D$2:$F$121,3, FALSE)</f>
        <v>Le champ "Organisme d'origine" doit être alimenté si le type d'organisme d'origine est égal à 'Autre organisme', 'Fonction publique d'un état de l'Union Européenne' ou 'Fonction publique Européenne'.</v>
      </c>
      <c r="BV203" s="13" t="s">
        <v>146</v>
      </c>
      <c r="BW203" s="15" t="str">
        <f>VLOOKUP(BV203,'Axe 2 Règles de gestion'!$D$2:$F$121,3, FALSE)</f>
        <v>Le champ "Code emploi statutaire FPT (NET)" est renseigné si le "Type d'organisme d'origine" est valorisé à FPT.</v>
      </c>
      <c r="BX203" s="13" t="s">
        <v>148</v>
      </c>
      <c r="BY203" s="15" t="str">
        <f>VLOOKUP(BX203,'Axe 2 Règles de gestion'!$D$2:$F$121,3, FALSE)</f>
        <v>Le champ "Code emploi statutaire FPH (NEH)" est renseigné si le "Type d'organisme d'origine" est valorisé à FPH.</v>
      </c>
      <c r="BZ203" s="13" t="s">
        <v>150</v>
      </c>
      <c r="CA203" s="15" t="str">
        <f>VLOOKUP(BZ203,'Axe 2 Règles de gestion'!$D$2:$F$121,3, FALSE)</f>
        <v>La date de fin ou la date de fin prévisionnelle doit être saisie.</v>
      </c>
      <c r="CB203" s="13"/>
      <c r="CC203" s="15"/>
      <c r="CD203" s="13"/>
      <c r="CE203" s="15"/>
      <c r="CF203" s="13"/>
      <c r="CG203" s="13"/>
    </row>
    <row r="204" spans="1:85" ht="150" x14ac:dyDescent="0.25">
      <c r="A204" s="13" t="s">
        <v>152</v>
      </c>
      <c r="B204" s="13" t="s">
        <v>153</v>
      </c>
      <c r="C204" s="14">
        <v>45807.45416666667</v>
      </c>
      <c r="D204" s="13" t="s">
        <v>88</v>
      </c>
      <c r="E204" s="15" t="s">
        <v>89</v>
      </c>
      <c r="F204" s="13" t="s">
        <v>90</v>
      </c>
      <c r="G204" s="15" t="s">
        <v>91</v>
      </c>
      <c r="H204" s="13" t="s">
        <v>388</v>
      </c>
      <c r="I204" s="15" t="s">
        <v>389</v>
      </c>
      <c r="J204" s="15" t="s">
        <v>390</v>
      </c>
      <c r="K204" s="15" t="s">
        <v>391</v>
      </c>
      <c r="L204" s="13" t="s">
        <v>392</v>
      </c>
      <c r="M204" s="15" t="s">
        <v>393</v>
      </c>
      <c r="N204" s="13" t="s">
        <v>98</v>
      </c>
      <c r="O204" s="15" t="s">
        <v>99</v>
      </c>
      <c r="P204" s="15" t="s">
        <v>100</v>
      </c>
      <c r="Q204" s="15" t="s">
        <v>101</v>
      </c>
      <c r="R204" s="13" t="s">
        <v>102</v>
      </c>
      <c r="S204" s="13" t="s">
        <v>103</v>
      </c>
      <c r="T204" s="13" t="s">
        <v>104</v>
      </c>
      <c r="U204" s="14">
        <v>43831</v>
      </c>
      <c r="V204" s="14"/>
      <c r="W204" s="15" t="s">
        <v>361</v>
      </c>
      <c r="X204" s="13" t="s">
        <v>106</v>
      </c>
      <c r="Y204" s="15" t="str">
        <f>VLOOKUP(X204,'Axe 2 Règles de gestion'!$D$2:$F$121,3, FALSE)</f>
        <v>L'agent doit détenir le titre ou le diplôme requis pour l'exercice des fonctions du corps d'accueil.</v>
      </c>
      <c r="Z204" s="13" t="s">
        <v>108</v>
      </c>
      <c r="AA204" s="15" t="str">
        <f>VLOOKUP(Z204,'Axe 2 Règles de gestion'!$D$2:$F$121,3, FALSE)</f>
        <v>L'agent doit formuler une demande.</v>
      </c>
      <c r="AB204" s="13" t="s">
        <v>112</v>
      </c>
      <c r="AC204" s="15" t="str">
        <f>VLOOKUP(AB204,'Axe 2 Règles de gestion'!$D$2:$F$121,3, FALSE)</f>
        <v>L'accord de l'administration d'origine est nécessaire.</v>
      </c>
      <c r="AD204" s="13" t="s">
        <v>161</v>
      </c>
      <c r="AE204" s="15" t="str">
        <f>VLOOKUP(AD204,'Axe 2 Règles de gestion'!$D$2:$F$121,3, FALSE)</f>
        <v>L'agent peut être détaché dans un corps ou un cadre d'emplois de même catégorie et de niveau comparable à celui de son corps ou cadre d'emplois d'origine.</v>
      </c>
      <c r="AF204" s="13" t="s">
        <v>163</v>
      </c>
      <c r="AG204" s="15" t="str">
        <f>VLOOKUP(AF204,'Axe 2 Règles de gestion'!$D$2:$F$121,3, FALSE)</f>
        <v>Toutefois, l'agent dont au moins l'un des grades d'avancement de son corps ou cadre d'emplois est accessible par la voie d'un concours de recrutement peut être détaché dans un corps ou cadre d'emplois de niveau différent.</v>
      </c>
      <c r="AH204" s="13" t="s">
        <v>165</v>
      </c>
      <c r="AI204" s="15" t="str">
        <f>VLOOKUP(AH204,'Axe 2 Règles de gestion'!$D$2:$F$121,3, FALSE)</f>
        <v>Lorsque le corps ou cadre d'emplois d'origine ou le corps ou cadre d'emplois d'accueil ne relève pas d'une catégorie, le détachement s'effectue entre corps et cadres d'emplois de niveau comparable.</v>
      </c>
      <c r="AJ204" s="13"/>
      <c r="AK204" s="15"/>
      <c r="AL204" s="13"/>
      <c r="AM204" s="15"/>
      <c r="AN204" s="13"/>
      <c r="AO204" s="15"/>
      <c r="AP204" s="13" t="s">
        <v>114</v>
      </c>
      <c r="AQ204" s="15" t="str">
        <f>VLOOKUP(AP204,'Axe 2 Règles de gestion'!$D$2:$F$121,3, FALSE)</f>
        <v>Un détachement de courte durée à l'étranger ou dans les TOM ne peut excéder 1 an entre la date de début et la date de fin prévisionnelle.</v>
      </c>
      <c r="AR204" s="13" t="s">
        <v>116</v>
      </c>
      <c r="AS204" s="15" t="str">
        <f>VLOOKUP(AR204,'Axe 2 Règles de gestion'!$D$2:$F$121,3, FALSE)</f>
        <v>Un détachement de courte durée à l'étranger ou dans les TOM ne peut excéder 1 an entre la date de début et la date de fin réelle.</v>
      </c>
      <c r="AT204" s="13" t="s">
        <v>118</v>
      </c>
      <c r="AU204" s="15" t="str">
        <f>VLOOKUP(AT204,'Axe 2 Règles de gestion'!$D$2:$F$121,3, FALSE)</f>
        <v>Un détachement de courte durée n'ayant pas lieu à l'étranger ou dans les TOM ne peut excéder six mois entre la date de début et la date de fin prévisionnelle.</v>
      </c>
      <c r="AV204" s="13" t="s">
        <v>120</v>
      </c>
      <c r="AW204" s="15" t="str">
        <f>VLOOKUP(AV204,'Axe 2 Règles de gestion'!$D$2:$F$121,3, FALSE)</f>
        <v>Un détachement de courte durée n'ayant pas lieu à l'étranger ou dans les TOM ne peut excéder six mois entre la date de début et la date de fin réelle.</v>
      </c>
      <c r="AX204" s="13" t="s">
        <v>122</v>
      </c>
      <c r="AY204" s="15" t="str">
        <f>VLOOKUP(AX204,'Axe 2 Règles de gestion'!$D$2:$F$121,3, FALSE)</f>
        <v>Un détachement de longue durée ne peut excéder 5 ans entre la date de début et la date de fin prévisionnelle.</v>
      </c>
      <c r="AZ204" s="13" t="s">
        <v>124</v>
      </c>
      <c r="BA204" s="15" t="str">
        <f>VLOOKUP(AZ204,'Axe 2 Règles de gestion'!$D$2:$F$121,3, FALSE)</f>
        <v>Un détachement de longue durée ne peut excéder 5 ans entre la date de début et la date de fin réelle.</v>
      </c>
      <c r="BB204" s="13" t="s">
        <v>126</v>
      </c>
      <c r="BC204" s="15" t="str">
        <f>VLOOKUP(BB204,'Axe 2 Règles de gestion'!$D$2:$F$121,3, FALSE)</f>
        <v>La date de début de position doit être antérieure ou égale à la date de fin prévisionnelle de position.</v>
      </c>
      <c r="BD204" s="13" t="s">
        <v>128</v>
      </c>
      <c r="BE204" s="15" t="str">
        <f>VLOOKUP(BD204,'Axe 2 Règles de gestion'!$D$2:$F$121,3, FALSE)</f>
        <v>La date de début de la position doit être postérieure ou égale à la date d'entrée dans la FPE ou dans la carrière militaire.</v>
      </c>
      <c r="BF204" s="13" t="s">
        <v>130</v>
      </c>
      <c r="BG204" s="15" t="str">
        <f>VLOOKUP(BF204,'Axe 2 Règles de gestion'!$D$2:$F$121,3, FALSE)</f>
        <v>La date de fin réelle de la position doit être antérieure à la date limite de départ à la retraite.</v>
      </c>
      <c r="BH204" s="13" t="s">
        <v>132</v>
      </c>
      <c r="BI204" s="15" t="str">
        <f>VLOOKUP(BH204,'Axe 2 Règles de gestion'!$D$2:$F$121,3, FALSE)</f>
        <v>La date de début de position doit être antérieure ou égale à la date de fin réelle de position.</v>
      </c>
      <c r="BJ204" s="13" t="s">
        <v>134</v>
      </c>
      <c r="BK204" s="15" t="str">
        <f>VLOOKUP(BJ204,'Axe 2 Règles de gestion'!$D$2:$F$121,3, FALSE)</f>
        <v>La date de fin prévisionnelle de la position doit être antérieure à la date limite de départ à la retraite.</v>
      </c>
      <c r="BL204" s="13" t="s">
        <v>136</v>
      </c>
      <c r="BM204" s="15" t="str">
        <f>VLOOKUP(BL204,'Axe 2 Règles de gestion'!$D$2:$F$121,3, FALSE)</f>
        <v>L'indicateur de carrière est sur la valeur "Accueil".</v>
      </c>
      <c r="BN204" s="13" t="s">
        <v>138</v>
      </c>
      <c r="BO204" s="15" t="str">
        <f>VLOOKUP(BN204,'Axe 2 Règles de gestion'!$D$2:$F$121,3, FALSE)</f>
        <v>La date de début de position est à J+1 de la date de fin de position de l'occurrence précédente.</v>
      </c>
      <c r="BP204" s="13" t="s">
        <v>140</v>
      </c>
      <c r="BQ204" s="15" t="str">
        <f>VLOOKUP(BP204,'Axe 2 Règles de gestion'!$D$2:$F$121,3, FALSE)</f>
        <v>Les champs "Type d'organisme d'origine", "Catégorie statutaire d'origine" et "Pays" de l'organisme d'origine doivent être renseignés.</v>
      </c>
      <c r="BR204" s="13" t="s">
        <v>142</v>
      </c>
      <c r="BS204" s="15" t="str">
        <f>VLOOKUP(BR204,'Axe 2 Règles de gestion'!$D$2:$F$121,3, FALSE)</f>
        <v>Les champs "Ministère (ou institution de la République) d'origine", "Corps d'origine", "Grade d'origine", "Echelon d'origine" sont renseignés si le "Type d'organisme d'origine" est valorisé à FPE.</v>
      </c>
      <c r="BT204" s="13" t="s">
        <v>144</v>
      </c>
      <c r="BU204" s="15" t="str">
        <f>VLOOKUP(BT204,'Axe 2 Règles de gestion'!$D$2:$F$121,3, FALSE)</f>
        <v>Le champ "Organisme d'origine" doit être alimenté si le type d'organisme d'origine est égal à 'Autre organisme', 'Fonction publique d'un état de l'Union Européenne' ou 'Fonction publique Européenne'.</v>
      </c>
      <c r="BV204" s="13" t="s">
        <v>146</v>
      </c>
      <c r="BW204" s="15" t="str">
        <f>VLOOKUP(BV204,'Axe 2 Règles de gestion'!$D$2:$F$121,3, FALSE)</f>
        <v>Le champ "Code emploi statutaire FPT (NET)" est renseigné si le "Type d'organisme d'origine" est valorisé à FPT.</v>
      </c>
      <c r="BX204" s="13" t="s">
        <v>148</v>
      </c>
      <c r="BY204" s="15" t="str">
        <f>VLOOKUP(BX204,'Axe 2 Règles de gestion'!$D$2:$F$121,3, FALSE)</f>
        <v>Le champ "Code emploi statutaire FPH (NEH)" est renseigné si le "Type d'organisme d'origine" est valorisé à FPH.</v>
      </c>
      <c r="BZ204" s="13" t="s">
        <v>150</v>
      </c>
      <c r="CA204" s="15" t="str">
        <f>VLOOKUP(BZ204,'Axe 2 Règles de gestion'!$D$2:$F$121,3, FALSE)</f>
        <v>La date de fin ou la date de fin prévisionnelle doit être saisie.</v>
      </c>
      <c r="CB204" s="13"/>
      <c r="CC204" s="15"/>
      <c r="CD204" s="13"/>
      <c r="CE204" s="15"/>
      <c r="CF204" s="13"/>
      <c r="CG204" s="13"/>
    </row>
    <row r="205" spans="1:85" ht="150" x14ac:dyDescent="0.25">
      <c r="A205" s="13" t="s">
        <v>86</v>
      </c>
      <c r="B205" s="13" t="s">
        <v>87</v>
      </c>
      <c r="C205" s="14">
        <v>43850.552083333336</v>
      </c>
      <c r="D205" s="13" t="s">
        <v>88</v>
      </c>
      <c r="E205" s="15" t="s">
        <v>89</v>
      </c>
      <c r="F205" s="13" t="s">
        <v>90</v>
      </c>
      <c r="G205" s="15" t="s">
        <v>91</v>
      </c>
      <c r="H205" s="13" t="s">
        <v>388</v>
      </c>
      <c r="I205" s="15" t="s">
        <v>389</v>
      </c>
      <c r="J205" s="15" t="s">
        <v>390</v>
      </c>
      <c r="K205" s="15" t="s">
        <v>391</v>
      </c>
      <c r="L205" s="13" t="s">
        <v>394</v>
      </c>
      <c r="M205" s="15" t="s">
        <v>395</v>
      </c>
      <c r="N205" s="13" t="s">
        <v>98</v>
      </c>
      <c r="O205" s="15" t="s">
        <v>170</v>
      </c>
      <c r="P205" s="15" t="s">
        <v>171</v>
      </c>
      <c r="Q205" s="15" t="s">
        <v>101</v>
      </c>
      <c r="R205" s="13" t="s">
        <v>102</v>
      </c>
      <c r="S205" s="13" t="s">
        <v>103</v>
      </c>
      <c r="T205" s="13" t="s">
        <v>104</v>
      </c>
      <c r="U205" s="14">
        <v>40725</v>
      </c>
      <c r="V205" s="14"/>
      <c r="W205" s="15" t="s">
        <v>172</v>
      </c>
      <c r="X205" s="13" t="s">
        <v>173</v>
      </c>
      <c r="Y205" s="15" t="str">
        <f>VLOOKUP(X205,'Axe 2 Règles de gestion'!$D$2:$F$121,3, FALSE)</f>
        <v>L'agent doit formuler une demande de renouvellement à son administration d'origine 3 mois au moins avant l'expiration de la période de détachement de longue durée.</v>
      </c>
      <c r="Z205" s="13" t="s">
        <v>175</v>
      </c>
      <c r="AA205" s="15" t="str">
        <f>VLOOKUP(Z205,'Axe 2 Règles de gestion'!$D$2:$F$121,3, FALSE)</f>
        <v>L'organisme d'accueil adresse sa décision à l'agent et à l'administration d'origine 2 mois au moins avant l'expiration de la période de détachement.</v>
      </c>
      <c r="AB205" s="13"/>
      <c r="AC205" s="15"/>
      <c r="AD205" s="13"/>
      <c r="AE205" s="15"/>
      <c r="AF205" s="13"/>
      <c r="AG205" s="15"/>
      <c r="AH205" s="13"/>
      <c r="AI205" s="15"/>
      <c r="AJ205" s="13"/>
      <c r="AK205" s="15"/>
      <c r="AL205" s="13"/>
      <c r="AM205" s="15"/>
      <c r="AN205" s="13"/>
      <c r="AO205" s="15"/>
      <c r="AP205" s="13" t="s">
        <v>122</v>
      </c>
      <c r="AQ205" s="15" t="str">
        <f>VLOOKUP(AP205,'Axe 2 Règles de gestion'!$D$2:$F$121,3, FALSE)</f>
        <v>Un détachement de longue durée ne peut excéder 5 ans entre la date de début et la date de fin prévisionnelle.</v>
      </c>
      <c r="AR205" s="13" t="s">
        <v>124</v>
      </c>
      <c r="AS205" s="15" t="str">
        <f>VLOOKUP(AR205,'Axe 2 Règles de gestion'!$D$2:$F$121,3, FALSE)</f>
        <v>Un détachement de longue durée ne peut excéder 5 ans entre la date de début et la date de fin réelle.</v>
      </c>
      <c r="AT205" s="13" t="s">
        <v>177</v>
      </c>
      <c r="AU205" s="15" t="str">
        <f>VLOOKUP(AT205,'Axe 2 Règles de gestion'!$D$2:$F$121,3, FALSE)</f>
        <v>Le renouvellement d'un détachement de courte durée est interdit.</v>
      </c>
      <c r="AV205" s="13"/>
      <c r="AW205" s="15"/>
      <c r="AX205" s="13"/>
      <c r="AY205" s="15"/>
      <c r="AZ205" s="13"/>
      <c r="BA205" s="15"/>
      <c r="BB205" s="13" t="s">
        <v>126</v>
      </c>
      <c r="BC205" s="15" t="str">
        <f>VLOOKUP(BB205,'Axe 2 Règles de gestion'!$D$2:$F$121,3, FALSE)</f>
        <v>La date de début de position doit être antérieure ou égale à la date de fin prévisionnelle de position.</v>
      </c>
      <c r="BD205" s="13" t="s">
        <v>128</v>
      </c>
      <c r="BE205" s="15" t="str">
        <f>VLOOKUP(BD205,'Axe 2 Règles de gestion'!$D$2:$F$121,3, FALSE)</f>
        <v>La date de début de la position doit être postérieure ou égale à la date d'entrée dans la FPE ou dans la carrière militaire.</v>
      </c>
      <c r="BF205" s="13" t="s">
        <v>130</v>
      </c>
      <c r="BG205" s="15" t="str">
        <f>VLOOKUP(BF205,'Axe 2 Règles de gestion'!$D$2:$F$121,3, FALSE)</f>
        <v>La date de fin réelle de la position doit être antérieure à la date limite de départ à la retraite.</v>
      </c>
      <c r="BH205" s="13" t="s">
        <v>132</v>
      </c>
      <c r="BI205" s="15" t="str">
        <f>VLOOKUP(BH205,'Axe 2 Règles de gestion'!$D$2:$F$121,3, FALSE)</f>
        <v>La date de début de position doit être antérieure ou égale à la date de fin réelle de position.</v>
      </c>
      <c r="BJ205" s="13" t="s">
        <v>134</v>
      </c>
      <c r="BK205" s="15" t="str">
        <f>VLOOKUP(BJ205,'Axe 2 Règles de gestion'!$D$2:$F$121,3, FALSE)</f>
        <v>La date de fin prévisionnelle de la position doit être antérieure à la date limite de départ à la retraite.</v>
      </c>
      <c r="BL205" s="13" t="s">
        <v>136</v>
      </c>
      <c r="BM205" s="15" t="str">
        <f>VLOOKUP(BL205,'Axe 2 Règles de gestion'!$D$2:$F$121,3, FALSE)</f>
        <v>L'indicateur de carrière est sur la valeur "Accueil".</v>
      </c>
      <c r="BN205" s="13" t="s">
        <v>138</v>
      </c>
      <c r="BO205" s="15" t="str">
        <f>VLOOKUP(BN205,'Axe 2 Règles de gestion'!$D$2:$F$121,3, FALSE)</f>
        <v>La date de début de position est à J+1 de la date de fin de position de l'occurrence précédente.</v>
      </c>
      <c r="BP205" s="13" t="s">
        <v>140</v>
      </c>
      <c r="BQ205" s="15" t="str">
        <f>VLOOKUP(BP205,'Axe 2 Règles de gestion'!$D$2:$F$121,3, FALSE)</f>
        <v>Les champs "Type d'organisme d'origine", "Catégorie statutaire d'origine" et "Pays" de l'organisme d'origine doivent être renseignés.</v>
      </c>
      <c r="BR205" s="13" t="s">
        <v>142</v>
      </c>
      <c r="BS205" s="15" t="str">
        <f>VLOOKUP(BR205,'Axe 2 Règles de gestion'!$D$2:$F$121,3, FALSE)</f>
        <v>Les champs "Ministère (ou institution de la République) d'origine", "Corps d'origine", "Grade d'origine", "Echelon d'origine" sont renseignés si le "Type d'organisme d'origine" est valorisé à FPE.</v>
      </c>
      <c r="BT205" s="13" t="s">
        <v>144</v>
      </c>
      <c r="BU205" s="15" t="str">
        <f>VLOOKUP(BT205,'Axe 2 Règles de gestion'!$D$2:$F$121,3, FALSE)</f>
        <v>Le champ "Organisme d'origine" doit être alimenté si le type d'organisme d'origine est égal à 'Autre organisme', 'Fonction publique d'un état de l'Union Européenne' ou 'Fonction publique Européenne'.</v>
      </c>
      <c r="BV205" s="13" t="s">
        <v>146</v>
      </c>
      <c r="BW205" s="15" t="str">
        <f>VLOOKUP(BV205,'Axe 2 Règles de gestion'!$D$2:$F$121,3, FALSE)</f>
        <v>Le champ "Code emploi statutaire FPT (NET)" est renseigné si le "Type d'organisme d'origine" est valorisé à FPT.</v>
      </c>
      <c r="BX205" s="13" t="s">
        <v>148</v>
      </c>
      <c r="BY205" s="15" t="str">
        <f>VLOOKUP(BX205,'Axe 2 Règles de gestion'!$D$2:$F$121,3, FALSE)</f>
        <v>Le champ "Code emploi statutaire FPH (NEH)" est renseigné si le "Type d'organisme d'origine" est valorisé à FPH.</v>
      </c>
      <c r="BZ205" s="13" t="s">
        <v>150</v>
      </c>
      <c r="CA205" s="15" t="str">
        <f>VLOOKUP(BZ205,'Axe 2 Règles de gestion'!$D$2:$F$121,3, FALSE)</f>
        <v>La date de fin ou la date de fin prévisionnelle doit être saisie.</v>
      </c>
      <c r="CB205" s="13"/>
      <c r="CC205" s="15"/>
      <c r="CD205" s="13"/>
      <c r="CE205" s="15"/>
      <c r="CF205" s="13"/>
      <c r="CG205" s="13"/>
    </row>
    <row r="206" spans="1:85" ht="150" x14ac:dyDescent="0.25">
      <c r="A206" s="13" t="s">
        <v>86</v>
      </c>
      <c r="B206" s="13" t="s">
        <v>87</v>
      </c>
      <c r="C206" s="14">
        <v>43850.552083333336</v>
      </c>
      <c r="D206" s="13" t="s">
        <v>88</v>
      </c>
      <c r="E206" s="15" t="s">
        <v>89</v>
      </c>
      <c r="F206" s="13" t="s">
        <v>90</v>
      </c>
      <c r="G206" s="15" t="s">
        <v>91</v>
      </c>
      <c r="H206" s="13" t="s">
        <v>388</v>
      </c>
      <c r="I206" s="15" t="s">
        <v>389</v>
      </c>
      <c r="J206" s="15" t="s">
        <v>390</v>
      </c>
      <c r="K206" s="15" t="s">
        <v>391</v>
      </c>
      <c r="L206" s="13" t="s">
        <v>396</v>
      </c>
      <c r="M206" s="15" t="s">
        <v>397</v>
      </c>
      <c r="N206" s="13" t="s">
        <v>188</v>
      </c>
      <c r="O206" s="15" t="s">
        <v>189</v>
      </c>
      <c r="P206" s="15" t="s">
        <v>190</v>
      </c>
      <c r="Q206" s="15" t="s">
        <v>101</v>
      </c>
      <c r="R206" s="13" t="s">
        <v>102</v>
      </c>
      <c r="S206" s="13" t="s">
        <v>103</v>
      </c>
      <c r="T206" s="13" t="s">
        <v>104</v>
      </c>
      <c r="U206" s="14">
        <v>40725</v>
      </c>
      <c r="V206" s="14"/>
      <c r="W206" s="15" t="s">
        <v>191</v>
      </c>
      <c r="X206" s="13" t="s">
        <v>192</v>
      </c>
      <c r="Y206" s="15" t="str">
        <f>VLOOKUP(X206,'Axe 2 Règles de gestion'!$D$2:$F$121,3, FALSE)</f>
        <v>Le détachement peut prendre fin de manière anticipée à l'initiative de l'administration d'accueil, de l'administration d'origine ou de l'agent.</v>
      </c>
      <c r="Z206" s="13" t="s">
        <v>194</v>
      </c>
      <c r="AA206" s="15" t="str">
        <f>VLOOKUP(Z206,'Axe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06" s="13" t="s">
        <v>196</v>
      </c>
      <c r="AC206" s="15" t="str">
        <f>VLOOKUP(AB206,'Axe 2 Règles de gestion'!$D$2:$F$121,3, FALSE)</f>
        <v>L'agent doit adresser une demande de réintégration à l'administration d'origine 3 mois au moins avant l'expiration de la période de détachement de longue durée.</v>
      </c>
      <c r="AD206" s="13" t="s">
        <v>175</v>
      </c>
      <c r="AE206" s="15" t="str">
        <f>VLOOKUP(AD206,'Axe 2 Règles de gestion'!$D$2:$F$121,3, FALSE)</f>
        <v>L'organisme d'accueil adresse sa décision à l'agent et à l'administration d'origine 2 mois au moins avant l'expiration de la période de détachement.</v>
      </c>
      <c r="AF206" s="13" t="s">
        <v>198</v>
      </c>
      <c r="AG206" s="15" t="str">
        <f>VLOOKUP(AF206,'Axe 2 Règles de gestion'!$D$2:$F$121,3, FALSE)</f>
        <v>Si l'agent n'adresse pas sa demande dans les délais, il est obligatoirement réintégré à la première vacance dans son corps d'origine et affecté à un emploi correspondant à son grade.</v>
      </c>
      <c r="AH206" s="13" t="s">
        <v>200</v>
      </c>
      <c r="AI206" s="15" t="str">
        <f>VLOOKUP(AH206,'Axe 2 Règles de gestion'!$D$2:$F$121,3, FALSE)</f>
        <v>Les dispositions relatives à la réintégration au terme d'un détachement de longue durée ne sont pas applicables aux préfets et sous-préfets.</v>
      </c>
      <c r="AJ206" s="13"/>
      <c r="AK206" s="15"/>
      <c r="AL206" s="13"/>
      <c r="AM206" s="15"/>
      <c r="AN206" s="13"/>
      <c r="AO206" s="15"/>
      <c r="AP206" s="13" t="s">
        <v>114</v>
      </c>
      <c r="AQ206" s="15" t="str">
        <f>VLOOKUP(AP206,'Axe 2 Règles de gestion'!$D$2:$F$121,3, FALSE)</f>
        <v>Un détachement de courte durée à l'étranger ou dans les TOM ne peut excéder 1 an entre la date de début et la date de fin prévisionnelle.</v>
      </c>
      <c r="AR206" s="13" t="s">
        <v>116</v>
      </c>
      <c r="AS206" s="15" t="str">
        <f>VLOOKUP(AR206,'Axe 2 Règles de gestion'!$D$2:$F$121,3, FALSE)</f>
        <v>Un détachement de courte durée à l'étranger ou dans les TOM ne peut excéder 1 an entre la date de début et la date de fin réelle.</v>
      </c>
      <c r="AT206" s="13" t="s">
        <v>118</v>
      </c>
      <c r="AU206" s="15" t="str">
        <f>VLOOKUP(AT206,'Axe 2 Règles de gestion'!$D$2:$F$121,3, FALSE)</f>
        <v>Un détachement de courte durée n'ayant pas lieu à l'étranger ou dans les TOM ne peut excéder six mois entre la date de début et la date de fin prévisionnelle.</v>
      </c>
      <c r="AV206" s="13" t="s">
        <v>120</v>
      </c>
      <c r="AW206" s="15" t="str">
        <f>VLOOKUP(AV206,'Axe 2 Règles de gestion'!$D$2:$F$121,3, FALSE)</f>
        <v>Un détachement de courte durée n'ayant pas lieu à l'étranger ou dans les TOM ne peut excéder six mois entre la date de début et la date de fin réelle.</v>
      </c>
      <c r="AX206" s="13" t="s">
        <v>122</v>
      </c>
      <c r="AY206" s="15" t="str">
        <f>VLOOKUP(AX206,'Axe 2 Règles de gestion'!$D$2:$F$121,3, FALSE)</f>
        <v>Un détachement de longue durée ne peut excéder 5 ans entre la date de début et la date de fin prévisionnelle.</v>
      </c>
      <c r="AZ206" s="13" t="s">
        <v>124</v>
      </c>
      <c r="BA206" s="15" t="str">
        <f>VLOOKUP(AZ206,'Axe 2 Règles de gestion'!$D$2:$F$121,3, FALSE)</f>
        <v>Un détachement de longue durée ne peut excéder 5 ans entre la date de début et la date de fin réelle.</v>
      </c>
      <c r="BB206" s="13" t="s">
        <v>126</v>
      </c>
      <c r="BC206" s="15" t="str">
        <f>VLOOKUP(BB206,'Axe 2 Règles de gestion'!$D$2:$F$121,3, FALSE)</f>
        <v>La date de début de position doit être antérieure ou égale à la date de fin prévisionnelle de position.</v>
      </c>
      <c r="BD206" s="13" t="s">
        <v>130</v>
      </c>
      <c r="BE206" s="15" t="str">
        <f>VLOOKUP(BD206,'Axe 2 Règles de gestion'!$D$2:$F$121,3, FALSE)</f>
        <v>La date de fin réelle de la position doit être antérieure à la date limite de départ à la retraite.</v>
      </c>
      <c r="BF206" s="13" t="s">
        <v>132</v>
      </c>
      <c r="BG206" s="15" t="str">
        <f>VLOOKUP(BF206,'Axe 2 Règles de gestion'!$D$2:$F$121,3, FALSE)</f>
        <v>La date de début de position doit être antérieure ou égale à la date de fin réelle de position.</v>
      </c>
      <c r="BH206" s="13" t="s">
        <v>134</v>
      </c>
      <c r="BI206" s="15" t="str">
        <f>VLOOKUP(BH206,'Axe 2 Règles de gestion'!$D$2:$F$121,3, FALSE)</f>
        <v>La date de fin prévisionnelle de la position doit être antérieure à la date limite de départ à la retraite.</v>
      </c>
      <c r="BJ206" s="13" t="s">
        <v>140</v>
      </c>
      <c r="BK206" s="15" t="str">
        <f>VLOOKUP(BJ206,'Axe 2 Règles de gestion'!$D$2:$F$121,3, FALSE)</f>
        <v>Les champs "Type d'organisme d'origine", "Catégorie statutaire d'origine" et "Pays" de l'organisme d'origine doivent être renseignés.</v>
      </c>
      <c r="BL206" s="13" t="s">
        <v>142</v>
      </c>
      <c r="BM206" s="15" t="str">
        <f>VLOOKUP(BL206,'Axe 2 Règles de gestion'!$D$2:$F$121,3, FALSE)</f>
        <v>Les champs "Ministère (ou institution de la République) d'origine", "Corps d'origine", "Grade d'origine", "Echelon d'origine" sont renseignés si le "Type d'organisme d'origine" est valorisé à FPE.</v>
      </c>
      <c r="BN206" s="13" t="s">
        <v>144</v>
      </c>
      <c r="BO206" s="15" t="str">
        <f>VLOOKUP(BN206,'Axe 2 Règles de gestion'!$D$2:$F$121,3, FALSE)</f>
        <v>Le champ "Organisme d'origine" doit être alimenté si le type d'organisme d'origine est égal à 'Autre organisme', 'Fonction publique d'un état de l'Union Européenne' ou 'Fonction publique Européenne'.</v>
      </c>
      <c r="BP206" s="13" t="s">
        <v>146</v>
      </c>
      <c r="BQ206" s="15" t="str">
        <f>VLOOKUP(BP206,'Axe 2 Règles de gestion'!$D$2:$F$121,3, FALSE)</f>
        <v>Le champ "Code emploi statutaire FPT (NET)" est renseigné si le "Type d'organisme d'origine" est valorisé à FPT.</v>
      </c>
      <c r="BR206" s="13" t="s">
        <v>148</v>
      </c>
      <c r="BS206" s="15" t="str">
        <f>VLOOKUP(BR206,'Axe 2 Règles de gestion'!$D$2:$F$121,3, FALSE)</f>
        <v>Le champ "Code emploi statutaire FPH (NEH)" est renseigné si le "Type d'organisme d'origine" est valorisé à FPH.</v>
      </c>
      <c r="BT206" s="13" t="s">
        <v>150</v>
      </c>
      <c r="BU206" s="15" t="str">
        <f>VLOOKUP(BT206,'Axe 2 Règles de gestion'!$D$2:$F$121,3, FALSE)</f>
        <v>La date de fin ou la date de fin prévisionnelle doit être saisie.</v>
      </c>
      <c r="BV206" s="13"/>
      <c r="BW206" s="15"/>
      <c r="BX206" s="13"/>
      <c r="BY206" s="15"/>
      <c r="BZ206" s="13"/>
      <c r="CA206" s="15"/>
      <c r="CB206" s="13"/>
      <c r="CC206" s="15"/>
      <c r="CD206" s="13"/>
      <c r="CE206" s="15"/>
      <c r="CF206" s="13"/>
      <c r="CG206" s="13"/>
    </row>
    <row r="207" spans="1:85" ht="150" x14ac:dyDescent="0.25">
      <c r="A207" s="13" t="s">
        <v>202</v>
      </c>
      <c r="B207" s="13" t="s">
        <v>153</v>
      </c>
      <c r="C207" s="14">
        <v>43152.5</v>
      </c>
      <c r="D207" s="13" t="s">
        <v>88</v>
      </c>
      <c r="E207" s="15" t="s">
        <v>89</v>
      </c>
      <c r="F207" s="13" t="s">
        <v>90</v>
      </c>
      <c r="G207" s="15" t="s">
        <v>91</v>
      </c>
      <c r="H207" s="13" t="s">
        <v>388</v>
      </c>
      <c r="I207" s="15" t="s">
        <v>389</v>
      </c>
      <c r="J207" s="15" t="s">
        <v>390</v>
      </c>
      <c r="K207" s="15" t="s">
        <v>391</v>
      </c>
      <c r="L207" s="13" t="s">
        <v>392</v>
      </c>
      <c r="M207" s="15" t="s">
        <v>393</v>
      </c>
      <c r="N207" s="13" t="s">
        <v>98</v>
      </c>
      <c r="O207" s="15" t="s">
        <v>99</v>
      </c>
      <c r="P207" s="15" t="s">
        <v>100</v>
      </c>
      <c r="Q207" s="15" t="s">
        <v>203</v>
      </c>
      <c r="R207" s="13" t="s">
        <v>204</v>
      </c>
      <c r="S207" s="13" t="s">
        <v>103</v>
      </c>
      <c r="T207" s="13" t="s">
        <v>205</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3"/>
    </row>
    <row r="208" spans="1:85" ht="150" x14ac:dyDescent="0.25">
      <c r="A208" s="13" t="s">
        <v>202</v>
      </c>
      <c r="B208" s="13" t="s">
        <v>153</v>
      </c>
      <c r="C208" s="14">
        <v>43152.5</v>
      </c>
      <c r="D208" s="13" t="s">
        <v>88</v>
      </c>
      <c r="E208" s="15" t="s">
        <v>89</v>
      </c>
      <c r="F208" s="13" t="s">
        <v>90</v>
      </c>
      <c r="G208" s="15" t="s">
        <v>91</v>
      </c>
      <c r="H208" s="13" t="s">
        <v>388</v>
      </c>
      <c r="I208" s="15" t="s">
        <v>389</v>
      </c>
      <c r="J208" s="15" t="s">
        <v>390</v>
      </c>
      <c r="K208" s="15" t="s">
        <v>391</v>
      </c>
      <c r="L208" s="13" t="s">
        <v>394</v>
      </c>
      <c r="M208" s="15" t="s">
        <v>395</v>
      </c>
      <c r="N208" s="13" t="s">
        <v>98</v>
      </c>
      <c r="O208" s="15" t="s">
        <v>170</v>
      </c>
      <c r="P208" s="15" t="s">
        <v>171</v>
      </c>
      <c r="Q208" s="15" t="s">
        <v>203</v>
      </c>
      <c r="R208" s="13" t="s">
        <v>204</v>
      </c>
      <c r="S208" s="13" t="s">
        <v>103</v>
      </c>
      <c r="T208" s="13" t="s">
        <v>205</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3"/>
    </row>
    <row r="209" spans="1:85" ht="150" x14ac:dyDescent="0.25">
      <c r="A209" s="13" t="s">
        <v>202</v>
      </c>
      <c r="B209" s="13" t="s">
        <v>153</v>
      </c>
      <c r="C209" s="14">
        <v>43152.5</v>
      </c>
      <c r="D209" s="13" t="s">
        <v>88</v>
      </c>
      <c r="E209" s="15" t="s">
        <v>89</v>
      </c>
      <c r="F209" s="13" t="s">
        <v>90</v>
      </c>
      <c r="G209" s="15" t="s">
        <v>91</v>
      </c>
      <c r="H209" s="13" t="s">
        <v>388</v>
      </c>
      <c r="I209" s="15" t="s">
        <v>389</v>
      </c>
      <c r="J209" s="15" t="s">
        <v>390</v>
      </c>
      <c r="K209" s="15" t="s">
        <v>391</v>
      </c>
      <c r="L209" s="13" t="s">
        <v>396</v>
      </c>
      <c r="M209" s="15" t="s">
        <v>397</v>
      </c>
      <c r="N209" s="13" t="s">
        <v>188</v>
      </c>
      <c r="O209" s="15" t="s">
        <v>189</v>
      </c>
      <c r="P209" s="15" t="s">
        <v>190</v>
      </c>
      <c r="Q209" s="15" t="s">
        <v>203</v>
      </c>
      <c r="R209" s="13" t="s">
        <v>204</v>
      </c>
      <c r="S209" s="13" t="s">
        <v>103</v>
      </c>
      <c r="T209" s="13" t="s">
        <v>205</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3"/>
    </row>
    <row r="210" spans="1:85" ht="150" x14ac:dyDescent="0.25">
      <c r="A210" s="13" t="s">
        <v>202</v>
      </c>
      <c r="B210" s="13" t="s">
        <v>153</v>
      </c>
      <c r="C210" s="14">
        <v>43152.5</v>
      </c>
      <c r="D210" s="13" t="s">
        <v>88</v>
      </c>
      <c r="E210" s="15" t="s">
        <v>89</v>
      </c>
      <c r="F210" s="13" t="s">
        <v>90</v>
      </c>
      <c r="G210" s="15" t="s">
        <v>91</v>
      </c>
      <c r="H210" s="13" t="s">
        <v>388</v>
      </c>
      <c r="I210" s="15" t="s">
        <v>389</v>
      </c>
      <c r="J210" s="15" t="s">
        <v>390</v>
      </c>
      <c r="K210" s="15" t="s">
        <v>391</v>
      </c>
      <c r="L210" s="13" t="s">
        <v>392</v>
      </c>
      <c r="M210" s="15" t="s">
        <v>393</v>
      </c>
      <c r="N210" s="13" t="s">
        <v>98</v>
      </c>
      <c r="O210" s="15" t="s">
        <v>99</v>
      </c>
      <c r="P210" s="15" t="s">
        <v>100</v>
      </c>
      <c r="Q210" s="15" t="s">
        <v>206</v>
      </c>
      <c r="R210" s="13" t="s">
        <v>207</v>
      </c>
      <c r="S210" s="13" t="s">
        <v>103</v>
      </c>
      <c r="T210" s="13" t="s">
        <v>205</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3"/>
    </row>
    <row r="211" spans="1:85" ht="150" x14ac:dyDescent="0.25">
      <c r="A211" s="13" t="s">
        <v>202</v>
      </c>
      <c r="B211" s="13" t="s">
        <v>153</v>
      </c>
      <c r="C211" s="14">
        <v>43152.5</v>
      </c>
      <c r="D211" s="13" t="s">
        <v>88</v>
      </c>
      <c r="E211" s="15" t="s">
        <v>89</v>
      </c>
      <c r="F211" s="13" t="s">
        <v>90</v>
      </c>
      <c r="G211" s="15" t="s">
        <v>91</v>
      </c>
      <c r="H211" s="13" t="s">
        <v>388</v>
      </c>
      <c r="I211" s="15" t="s">
        <v>389</v>
      </c>
      <c r="J211" s="15" t="s">
        <v>390</v>
      </c>
      <c r="K211" s="15" t="s">
        <v>391</v>
      </c>
      <c r="L211" s="13" t="s">
        <v>394</v>
      </c>
      <c r="M211" s="15" t="s">
        <v>395</v>
      </c>
      <c r="N211" s="13" t="s">
        <v>98</v>
      </c>
      <c r="O211" s="15" t="s">
        <v>170</v>
      </c>
      <c r="P211" s="15" t="s">
        <v>171</v>
      </c>
      <c r="Q211" s="15" t="s">
        <v>206</v>
      </c>
      <c r="R211" s="13" t="s">
        <v>207</v>
      </c>
      <c r="S211" s="13" t="s">
        <v>103</v>
      </c>
      <c r="T211" s="13" t="s">
        <v>205</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3"/>
    </row>
    <row r="212" spans="1:85" ht="150" x14ac:dyDescent="0.25">
      <c r="A212" s="13" t="s">
        <v>202</v>
      </c>
      <c r="B212" s="13" t="s">
        <v>153</v>
      </c>
      <c r="C212" s="14">
        <v>43152.5</v>
      </c>
      <c r="D212" s="13" t="s">
        <v>88</v>
      </c>
      <c r="E212" s="15" t="s">
        <v>89</v>
      </c>
      <c r="F212" s="13" t="s">
        <v>90</v>
      </c>
      <c r="G212" s="15" t="s">
        <v>91</v>
      </c>
      <c r="H212" s="13" t="s">
        <v>388</v>
      </c>
      <c r="I212" s="15" t="s">
        <v>389</v>
      </c>
      <c r="J212" s="15" t="s">
        <v>390</v>
      </c>
      <c r="K212" s="15" t="s">
        <v>391</v>
      </c>
      <c r="L212" s="13" t="s">
        <v>396</v>
      </c>
      <c r="M212" s="15" t="s">
        <v>397</v>
      </c>
      <c r="N212" s="13" t="s">
        <v>188</v>
      </c>
      <c r="O212" s="15" t="s">
        <v>189</v>
      </c>
      <c r="P212" s="15" t="s">
        <v>190</v>
      </c>
      <c r="Q212" s="15" t="s">
        <v>206</v>
      </c>
      <c r="R212" s="13" t="s">
        <v>207</v>
      </c>
      <c r="S212" s="13" t="s">
        <v>103</v>
      </c>
      <c r="T212" s="13" t="s">
        <v>205</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3"/>
    </row>
    <row r="213" spans="1:85" ht="150" x14ac:dyDescent="0.25">
      <c r="A213" s="13" t="s">
        <v>202</v>
      </c>
      <c r="B213" s="13" t="s">
        <v>153</v>
      </c>
      <c r="C213" s="14">
        <v>43152.5</v>
      </c>
      <c r="D213" s="13" t="s">
        <v>88</v>
      </c>
      <c r="E213" s="15" t="s">
        <v>89</v>
      </c>
      <c r="F213" s="13" t="s">
        <v>90</v>
      </c>
      <c r="G213" s="15" t="s">
        <v>91</v>
      </c>
      <c r="H213" s="13" t="s">
        <v>388</v>
      </c>
      <c r="I213" s="15" t="s">
        <v>389</v>
      </c>
      <c r="J213" s="15" t="s">
        <v>390</v>
      </c>
      <c r="K213" s="15" t="s">
        <v>391</v>
      </c>
      <c r="L213" s="13" t="s">
        <v>392</v>
      </c>
      <c r="M213" s="15" t="s">
        <v>393</v>
      </c>
      <c r="N213" s="13" t="s">
        <v>98</v>
      </c>
      <c r="O213" s="15" t="s">
        <v>99</v>
      </c>
      <c r="P213" s="15" t="s">
        <v>100</v>
      </c>
      <c r="Q213" s="15" t="s">
        <v>208</v>
      </c>
      <c r="R213" s="13" t="s">
        <v>209</v>
      </c>
      <c r="S213" s="13" t="s">
        <v>103</v>
      </c>
      <c r="T213" s="13" t="s">
        <v>205</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3"/>
    </row>
    <row r="214" spans="1:85" ht="150" x14ac:dyDescent="0.25">
      <c r="A214" s="13" t="s">
        <v>202</v>
      </c>
      <c r="B214" s="13" t="s">
        <v>153</v>
      </c>
      <c r="C214" s="14">
        <v>43152.5</v>
      </c>
      <c r="D214" s="13" t="s">
        <v>88</v>
      </c>
      <c r="E214" s="15" t="s">
        <v>89</v>
      </c>
      <c r="F214" s="13" t="s">
        <v>90</v>
      </c>
      <c r="G214" s="15" t="s">
        <v>91</v>
      </c>
      <c r="H214" s="13" t="s">
        <v>388</v>
      </c>
      <c r="I214" s="15" t="s">
        <v>389</v>
      </c>
      <c r="J214" s="15" t="s">
        <v>390</v>
      </c>
      <c r="K214" s="15" t="s">
        <v>391</v>
      </c>
      <c r="L214" s="13" t="s">
        <v>394</v>
      </c>
      <c r="M214" s="15" t="s">
        <v>395</v>
      </c>
      <c r="N214" s="13" t="s">
        <v>98</v>
      </c>
      <c r="O214" s="15" t="s">
        <v>170</v>
      </c>
      <c r="P214" s="15" t="s">
        <v>171</v>
      </c>
      <c r="Q214" s="15" t="s">
        <v>208</v>
      </c>
      <c r="R214" s="13" t="s">
        <v>209</v>
      </c>
      <c r="S214" s="13" t="s">
        <v>103</v>
      </c>
      <c r="T214" s="13" t="s">
        <v>205</v>
      </c>
      <c r="U214" s="14">
        <v>40725</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3"/>
    </row>
    <row r="215" spans="1:85" ht="150" x14ac:dyDescent="0.25">
      <c r="A215" s="13" t="s">
        <v>202</v>
      </c>
      <c r="B215" s="13" t="s">
        <v>153</v>
      </c>
      <c r="C215" s="14">
        <v>43152.5</v>
      </c>
      <c r="D215" s="13" t="s">
        <v>88</v>
      </c>
      <c r="E215" s="15" t="s">
        <v>89</v>
      </c>
      <c r="F215" s="13" t="s">
        <v>90</v>
      </c>
      <c r="G215" s="15" t="s">
        <v>91</v>
      </c>
      <c r="H215" s="13" t="s">
        <v>388</v>
      </c>
      <c r="I215" s="15" t="s">
        <v>389</v>
      </c>
      <c r="J215" s="15" t="s">
        <v>390</v>
      </c>
      <c r="K215" s="15" t="s">
        <v>391</v>
      </c>
      <c r="L215" s="13" t="s">
        <v>396</v>
      </c>
      <c r="M215" s="15" t="s">
        <v>397</v>
      </c>
      <c r="N215" s="13" t="s">
        <v>188</v>
      </c>
      <c r="O215" s="15" t="s">
        <v>189</v>
      </c>
      <c r="P215" s="15" t="s">
        <v>190</v>
      </c>
      <c r="Q215" s="15" t="s">
        <v>208</v>
      </c>
      <c r="R215" s="13" t="s">
        <v>209</v>
      </c>
      <c r="S215" s="13" t="s">
        <v>103</v>
      </c>
      <c r="T215" s="13" t="s">
        <v>205</v>
      </c>
      <c r="U215" s="14">
        <v>40725</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3"/>
    </row>
    <row r="216" spans="1:85" ht="150" x14ac:dyDescent="0.25">
      <c r="A216" s="13" t="s">
        <v>202</v>
      </c>
      <c r="B216" s="13" t="s">
        <v>153</v>
      </c>
      <c r="C216" s="14">
        <v>43152.5</v>
      </c>
      <c r="D216" s="13" t="s">
        <v>88</v>
      </c>
      <c r="E216" s="15" t="s">
        <v>89</v>
      </c>
      <c r="F216" s="13" t="s">
        <v>90</v>
      </c>
      <c r="G216" s="15" t="s">
        <v>91</v>
      </c>
      <c r="H216" s="13" t="s">
        <v>388</v>
      </c>
      <c r="I216" s="15" t="s">
        <v>389</v>
      </c>
      <c r="J216" s="15" t="s">
        <v>390</v>
      </c>
      <c r="K216" s="15" t="s">
        <v>391</v>
      </c>
      <c r="L216" s="13" t="s">
        <v>392</v>
      </c>
      <c r="M216" s="15" t="s">
        <v>393</v>
      </c>
      <c r="N216" s="13" t="s">
        <v>98</v>
      </c>
      <c r="O216" s="15" t="s">
        <v>99</v>
      </c>
      <c r="P216" s="15" t="s">
        <v>100</v>
      </c>
      <c r="Q216" s="15" t="s">
        <v>366</v>
      </c>
      <c r="R216" s="13" t="s">
        <v>367</v>
      </c>
      <c r="S216" s="13" t="s">
        <v>212</v>
      </c>
      <c r="T216" s="13" t="s">
        <v>205</v>
      </c>
      <c r="U216" s="14">
        <v>40725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3"/>
    </row>
    <row r="217" spans="1:85" ht="150" x14ac:dyDescent="0.25">
      <c r="A217" s="13" t="s">
        <v>202</v>
      </c>
      <c r="B217" s="13" t="s">
        <v>153</v>
      </c>
      <c r="C217" s="14">
        <v>43152.5</v>
      </c>
      <c r="D217" s="13" t="s">
        <v>88</v>
      </c>
      <c r="E217" s="15" t="s">
        <v>89</v>
      </c>
      <c r="F217" s="13" t="s">
        <v>90</v>
      </c>
      <c r="G217" s="15" t="s">
        <v>91</v>
      </c>
      <c r="H217" s="13" t="s">
        <v>388</v>
      </c>
      <c r="I217" s="15" t="s">
        <v>389</v>
      </c>
      <c r="J217" s="15" t="s">
        <v>390</v>
      </c>
      <c r="K217" s="15" t="s">
        <v>391</v>
      </c>
      <c r="L217" s="13" t="s">
        <v>394</v>
      </c>
      <c r="M217" s="15" t="s">
        <v>395</v>
      </c>
      <c r="N217" s="13" t="s">
        <v>98</v>
      </c>
      <c r="O217" s="15" t="s">
        <v>170</v>
      </c>
      <c r="P217" s="15" t="s">
        <v>171</v>
      </c>
      <c r="Q217" s="15" t="s">
        <v>366</v>
      </c>
      <c r="R217" s="13" t="s">
        <v>367</v>
      </c>
      <c r="S217" s="13" t="s">
        <v>212</v>
      </c>
      <c r="T217" s="13" t="s">
        <v>205</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3"/>
    </row>
    <row r="218" spans="1:85" ht="150" x14ac:dyDescent="0.25">
      <c r="A218" s="13" t="s">
        <v>202</v>
      </c>
      <c r="B218" s="13" t="s">
        <v>153</v>
      </c>
      <c r="C218" s="14">
        <v>43152.5</v>
      </c>
      <c r="D218" s="13" t="s">
        <v>88</v>
      </c>
      <c r="E218" s="15" t="s">
        <v>89</v>
      </c>
      <c r="F218" s="13" t="s">
        <v>90</v>
      </c>
      <c r="G218" s="15" t="s">
        <v>91</v>
      </c>
      <c r="H218" s="13" t="s">
        <v>388</v>
      </c>
      <c r="I218" s="15" t="s">
        <v>389</v>
      </c>
      <c r="J218" s="15" t="s">
        <v>390</v>
      </c>
      <c r="K218" s="15" t="s">
        <v>391</v>
      </c>
      <c r="L218" s="13" t="s">
        <v>396</v>
      </c>
      <c r="M218" s="15" t="s">
        <v>397</v>
      </c>
      <c r="N218" s="13" t="s">
        <v>188</v>
      </c>
      <c r="O218" s="15" t="s">
        <v>189</v>
      </c>
      <c r="P218" s="15" t="s">
        <v>190</v>
      </c>
      <c r="Q218" s="15" t="s">
        <v>366</v>
      </c>
      <c r="R218" s="13" t="s">
        <v>367</v>
      </c>
      <c r="S218" s="13" t="s">
        <v>212</v>
      </c>
      <c r="T218" s="13" t="s">
        <v>205</v>
      </c>
      <c r="U218" s="14">
        <v>40725</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3"/>
    </row>
    <row r="219" spans="1:85" ht="150" x14ac:dyDescent="0.25">
      <c r="A219" s="13" t="s">
        <v>202</v>
      </c>
      <c r="B219" s="13" t="s">
        <v>153</v>
      </c>
      <c r="C219" s="14">
        <v>43152.5</v>
      </c>
      <c r="D219" s="13" t="s">
        <v>88</v>
      </c>
      <c r="E219" s="15" t="s">
        <v>89</v>
      </c>
      <c r="F219" s="13" t="s">
        <v>90</v>
      </c>
      <c r="G219" s="15" t="s">
        <v>91</v>
      </c>
      <c r="H219" s="13" t="s">
        <v>388</v>
      </c>
      <c r="I219" s="15" t="s">
        <v>389</v>
      </c>
      <c r="J219" s="15" t="s">
        <v>390</v>
      </c>
      <c r="K219" s="15" t="s">
        <v>391</v>
      </c>
      <c r="L219" s="13" t="s">
        <v>392</v>
      </c>
      <c r="M219" s="15" t="s">
        <v>393</v>
      </c>
      <c r="N219" s="13" t="s">
        <v>98</v>
      </c>
      <c r="O219" s="15" t="s">
        <v>99</v>
      </c>
      <c r="P219" s="15" t="s">
        <v>100</v>
      </c>
      <c r="Q219" s="15" t="s">
        <v>219</v>
      </c>
      <c r="R219" s="13" t="s">
        <v>220</v>
      </c>
      <c r="S219" s="13" t="s">
        <v>212</v>
      </c>
      <c r="T219" s="13" t="s">
        <v>205</v>
      </c>
      <c r="U219" s="14">
        <v>40725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c r="CE219" s="15"/>
      <c r="CF219" s="13"/>
      <c r="CG219" s="13"/>
    </row>
    <row r="220" spans="1:85" ht="150" x14ac:dyDescent="0.25">
      <c r="A220" s="13" t="s">
        <v>202</v>
      </c>
      <c r="B220" s="13" t="s">
        <v>153</v>
      </c>
      <c r="C220" s="14">
        <v>43152.5</v>
      </c>
      <c r="D220" s="13" t="s">
        <v>88</v>
      </c>
      <c r="E220" s="15" t="s">
        <v>89</v>
      </c>
      <c r="F220" s="13" t="s">
        <v>90</v>
      </c>
      <c r="G220" s="15" t="s">
        <v>91</v>
      </c>
      <c r="H220" s="13" t="s">
        <v>388</v>
      </c>
      <c r="I220" s="15" t="s">
        <v>389</v>
      </c>
      <c r="J220" s="15" t="s">
        <v>390</v>
      </c>
      <c r="K220" s="15" t="s">
        <v>391</v>
      </c>
      <c r="L220" s="13" t="s">
        <v>394</v>
      </c>
      <c r="M220" s="15" t="s">
        <v>395</v>
      </c>
      <c r="N220" s="13" t="s">
        <v>98</v>
      </c>
      <c r="O220" s="15" t="s">
        <v>170</v>
      </c>
      <c r="P220" s="15" t="s">
        <v>171</v>
      </c>
      <c r="Q220" s="15" t="s">
        <v>219</v>
      </c>
      <c r="R220" s="13" t="s">
        <v>220</v>
      </c>
      <c r="S220" s="13" t="s">
        <v>212</v>
      </c>
      <c r="T220" s="13" t="s">
        <v>205</v>
      </c>
      <c r="U220" s="14">
        <v>40725</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c r="CE220" s="15"/>
      <c r="CF220" s="13"/>
      <c r="CG220" s="13"/>
    </row>
    <row r="221" spans="1:85" ht="150" x14ac:dyDescent="0.25">
      <c r="A221" s="13" t="s">
        <v>202</v>
      </c>
      <c r="B221" s="13" t="s">
        <v>153</v>
      </c>
      <c r="C221" s="14">
        <v>43152.5</v>
      </c>
      <c r="D221" s="13" t="s">
        <v>88</v>
      </c>
      <c r="E221" s="15" t="s">
        <v>89</v>
      </c>
      <c r="F221" s="13" t="s">
        <v>90</v>
      </c>
      <c r="G221" s="15" t="s">
        <v>91</v>
      </c>
      <c r="H221" s="13" t="s">
        <v>388</v>
      </c>
      <c r="I221" s="15" t="s">
        <v>389</v>
      </c>
      <c r="J221" s="15" t="s">
        <v>390</v>
      </c>
      <c r="K221" s="15" t="s">
        <v>391</v>
      </c>
      <c r="L221" s="13" t="s">
        <v>396</v>
      </c>
      <c r="M221" s="15" t="s">
        <v>397</v>
      </c>
      <c r="N221" s="13" t="s">
        <v>188</v>
      </c>
      <c r="O221" s="15" t="s">
        <v>189</v>
      </c>
      <c r="P221" s="15" t="s">
        <v>190</v>
      </c>
      <c r="Q221" s="15" t="s">
        <v>219</v>
      </c>
      <c r="R221" s="13" t="s">
        <v>220</v>
      </c>
      <c r="S221" s="13" t="s">
        <v>212</v>
      </c>
      <c r="T221" s="13" t="s">
        <v>205</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3"/>
    </row>
    <row r="222" spans="1:85" ht="120" x14ac:dyDescent="0.25">
      <c r="A222" s="13" t="s">
        <v>202</v>
      </c>
      <c r="B222" s="13" t="s">
        <v>153</v>
      </c>
      <c r="C222" s="14">
        <v>43152.5</v>
      </c>
      <c r="D222" s="13" t="s">
        <v>88</v>
      </c>
      <c r="E222" s="15" t="s">
        <v>89</v>
      </c>
      <c r="F222" s="13" t="s">
        <v>90</v>
      </c>
      <c r="G222" s="15" t="s">
        <v>91</v>
      </c>
      <c r="H222" s="13" t="s">
        <v>398</v>
      </c>
      <c r="I222" s="15" t="s">
        <v>399</v>
      </c>
      <c r="J222" s="15" t="s">
        <v>400</v>
      </c>
      <c r="K222" s="15" t="s">
        <v>401</v>
      </c>
      <c r="L222" s="13" t="s">
        <v>402</v>
      </c>
      <c r="M222" s="15" t="s">
        <v>403</v>
      </c>
      <c r="N222" s="13" t="s">
        <v>98</v>
      </c>
      <c r="O222" s="15" t="s">
        <v>99</v>
      </c>
      <c r="P222" s="15" t="s">
        <v>100</v>
      </c>
      <c r="Q222" s="15" t="s">
        <v>101</v>
      </c>
      <c r="R222" s="13" t="s">
        <v>102</v>
      </c>
      <c r="S222" s="13" t="s">
        <v>103</v>
      </c>
      <c r="T222" s="13" t="s">
        <v>205</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3"/>
    </row>
    <row r="223" spans="1:85" ht="120" x14ac:dyDescent="0.25">
      <c r="A223" s="13" t="s">
        <v>202</v>
      </c>
      <c r="B223" s="13" t="s">
        <v>153</v>
      </c>
      <c r="C223" s="14">
        <v>43152.5</v>
      </c>
      <c r="D223" s="13" t="s">
        <v>88</v>
      </c>
      <c r="E223" s="15" t="s">
        <v>89</v>
      </c>
      <c r="F223" s="13" t="s">
        <v>90</v>
      </c>
      <c r="G223" s="15" t="s">
        <v>91</v>
      </c>
      <c r="H223" s="13" t="s">
        <v>398</v>
      </c>
      <c r="I223" s="15" t="s">
        <v>399</v>
      </c>
      <c r="J223" s="15" t="s">
        <v>400</v>
      </c>
      <c r="K223" s="15" t="s">
        <v>401</v>
      </c>
      <c r="L223" s="13" t="s">
        <v>404</v>
      </c>
      <c r="M223" s="15" t="s">
        <v>405</v>
      </c>
      <c r="N223" s="13" t="s">
        <v>98</v>
      </c>
      <c r="O223" s="15" t="s">
        <v>170</v>
      </c>
      <c r="P223" s="15" t="s">
        <v>171</v>
      </c>
      <c r="Q223" s="15" t="s">
        <v>101</v>
      </c>
      <c r="R223" s="13" t="s">
        <v>102</v>
      </c>
      <c r="S223" s="13" t="s">
        <v>103</v>
      </c>
      <c r="T223" s="13" t="s">
        <v>205</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3"/>
    </row>
    <row r="224" spans="1:85" ht="105" x14ac:dyDescent="0.25">
      <c r="A224" s="13" t="s">
        <v>202</v>
      </c>
      <c r="B224" s="13" t="s">
        <v>153</v>
      </c>
      <c r="C224" s="14">
        <v>43152.5</v>
      </c>
      <c r="D224" s="13" t="s">
        <v>88</v>
      </c>
      <c r="E224" s="15" t="s">
        <v>89</v>
      </c>
      <c r="F224" s="13" t="s">
        <v>90</v>
      </c>
      <c r="G224" s="15" t="s">
        <v>91</v>
      </c>
      <c r="H224" s="13" t="s">
        <v>398</v>
      </c>
      <c r="I224" s="15" t="s">
        <v>399</v>
      </c>
      <c r="J224" s="15" t="s">
        <v>400</v>
      </c>
      <c r="K224" s="15" t="s">
        <v>401</v>
      </c>
      <c r="L224" s="13" t="s">
        <v>406</v>
      </c>
      <c r="M224" s="15" t="s">
        <v>407</v>
      </c>
      <c r="N224" s="13" t="s">
        <v>188</v>
      </c>
      <c r="O224" s="15" t="s">
        <v>189</v>
      </c>
      <c r="P224" s="15" t="s">
        <v>190</v>
      </c>
      <c r="Q224" s="15" t="s">
        <v>101</v>
      </c>
      <c r="R224" s="13" t="s">
        <v>102</v>
      </c>
      <c r="S224" s="13" t="s">
        <v>103</v>
      </c>
      <c r="T224" s="13" t="s">
        <v>205</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3"/>
    </row>
    <row r="225" spans="1:85" ht="120" x14ac:dyDescent="0.25">
      <c r="A225" s="13" t="s">
        <v>202</v>
      </c>
      <c r="B225" s="13" t="s">
        <v>153</v>
      </c>
      <c r="C225" s="14">
        <v>43152.5</v>
      </c>
      <c r="D225" s="13" t="s">
        <v>88</v>
      </c>
      <c r="E225" s="15" t="s">
        <v>89</v>
      </c>
      <c r="F225" s="13" t="s">
        <v>90</v>
      </c>
      <c r="G225" s="15" t="s">
        <v>91</v>
      </c>
      <c r="H225" s="13" t="s">
        <v>398</v>
      </c>
      <c r="I225" s="15" t="s">
        <v>399</v>
      </c>
      <c r="J225" s="15" t="s">
        <v>400</v>
      </c>
      <c r="K225" s="15" t="s">
        <v>401</v>
      </c>
      <c r="L225" s="13" t="s">
        <v>402</v>
      </c>
      <c r="M225" s="15" t="s">
        <v>403</v>
      </c>
      <c r="N225" s="13" t="s">
        <v>98</v>
      </c>
      <c r="O225" s="15" t="s">
        <v>99</v>
      </c>
      <c r="P225" s="15" t="s">
        <v>100</v>
      </c>
      <c r="Q225" s="15" t="s">
        <v>203</v>
      </c>
      <c r="R225" s="13" t="s">
        <v>204</v>
      </c>
      <c r="S225" s="13" t="s">
        <v>103</v>
      </c>
      <c r="T225" s="13" t="s">
        <v>205</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3"/>
    </row>
    <row r="226" spans="1:85" ht="120" x14ac:dyDescent="0.25">
      <c r="A226" s="13" t="s">
        <v>202</v>
      </c>
      <c r="B226" s="13" t="s">
        <v>153</v>
      </c>
      <c r="C226" s="14">
        <v>43152.5</v>
      </c>
      <c r="D226" s="13" t="s">
        <v>88</v>
      </c>
      <c r="E226" s="15" t="s">
        <v>89</v>
      </c>
      <c r="F226" s="13" t="s">
        <v>90</v>
      </c>
      <c r="G226" s="15" t="s">
        <v>91</v>
      </c>
      <c r="H226" s="13" t="s">
        <v>398</v>
      </c>
      <c r="I226" s="15" t="s">
        <v>399</v>
      </c>
      <c r="J226" s="15" t="s">
        <v>400</v>
      </c>
      <c r="K226" s="15" t="s">
        <v>401</v>
      </c>
      <c r="L226" s="13" t="s">
        <v>404</v>
      </c>
      <c r="M226" s="15" t="s">
        <v>405</v>
      </c>
      <c r="N226" s="13" t="s">
        <v>98</v>
      </c>
      <c r="O226" s="15" t="s">
        <v>170</v>
      </c>
      <c r="P226" s="15" t="s">
        <v>171</v>
      </c>
      <c r="Q226" s="15" t="s">
        <v>203</v>
      </c>
      <c r="R226" s="13" t="s">
        <v>204</v>
      </c>
      <c r="S226" s="13" t="s">
        <v>103</v>
      </c>
      <c r="T226" s="13" t="s">
        <v>205</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3"/>
    </row>
    <row r="227" spans="1:85" ht="105" x14ac:dyDescent="0.25">
      <c r="A227" s="13" t="s">
        <v>202</v>
      </c>
      <c r="B227" s="13" t="s">
        <v>153</v>
      </c>
      <c r="C227" s="14">
        <v>43152.5</v>
      </c>
      <c r="D227" s="13" t="s">
        <v>88</v>
      </c>
      <c r="E227" s="15" t="s">
        <v>89</v>
      </c>
      <c r="F227" s="13" t="s">
        <v>90</v>
      </c>
      <c r="G227" s="15" t="s">
        <v>91</v>
      </c>
      <c r="H227" s="13" t="s">
        <v>398</v>
      </c>
      <c r="I227" s="15" t="s">
        <v>399</v>
      </c>
      <c r="J227" s="15" t="s">
        <v>400</v>
      </c>
      <c r="K227" s="15" t="s">
        <v>401</v>
      </c>
      <c r="L227" s="13" t="s">
        <v>406</v>
      </c>
      <c r="M227" s="15" t="s">
        <v>407</v>
      </c>
      <c r="N227" s="13" t="s">
        <v>188</v>
      </c>
      <c r="O227" s="15" t="s">
        <v>189</v>
      </c>
      <c r="P227" s="15" t="s">
        <v>190</v>
      </c>
      <c r="Q227" s="15" t="s">
        <v>203</v>
      </c>
      <c r="R227" s="13" t="s">
        <v>204</v>
      </c>
      <c r="S227" s="13" t="s">
        <v>103</v>
      </c>
      <c r="T227" s="13" t="s">
        <v>205</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3"/>
    </row>
    <row r="228" spans="1:85" ht="120" x14ac:dyDescent="0.25">
      <c r="A228" s="13" t="s">
        <v>202</v>
      </c>
      <c r="B228" s="13" t="s">
        <v>153</v>
      </c>
      <c r="C228" s="14">
        <v>43152.5</v>
      </c>
      <c r="D228" s="13" t="s">
        <v>88</v>
      </c>
      <c r="E228" s="15" t="s">
        <v>89</v>
      </c>
      <c r="F228" s="13" t="s">
        <v>90</v>
      </c>
      <c r="G228" s="15" t="s">
        <v>91</v>
      </c>
      <c r="H228" s="13" t="s">
        <v>398</v>
      </c>
      <c r="I228" s="15" t="s">
        <v>399</v>
      </c>
      <c r="J228" s="15" t="s">
        <v>400</v>
      </c>
      <c r="K228" s="15" t="s">
        <v>401</v>
      </c>
      <c r="L228" s="13" t="s">
        <v>402</v>
      </c>
      <c r="M228" s="15" t="s">
        <v>403</v>
      </c>
      <c r="N228" s="13" t="s">
        <v>98</v>
      </c>
      <c r="O228" s="15" t="s">
        <v>99</v>
      </c>
      <c r="P228" s="15" t="s">
        <v>100</v>
      </c>
      <c r="Q228" s="15" t="s">
        <v>206</v>
      </c>
      <c r="R228" s="13" t="s">
        <v>207</v>
      </c>
      <c r="S228" s="13" t="s">
        <v>103</v>
      </c>
      <c r="T228" s="13" t="s">
        <v>205</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3"/>
    </row>
    <row r="229" spans="1:85" ht="120" x14ac:dyDescent="0.25">
      <c r="A229" s="13" t="s">
        <v>202</v>
      </c>
      <c r="B229" s="13" t="s">
        <v>153</v>
      </c>
      <c r="C229" s="14">
        <v>43152.5</v>
      </c>
      <c r="D229" s="13" t="s">
        <v>88</v>
      </c>
      <c r="E229" s="15" t="s">
        <v>89</v>
      </c>
      <c r="F229" s="13" t="s">
        <v>90</v>
      </c>
      <c r="G229" s="15" t="s">
        <v>91</v>
      </c>
      <c r="H229" s="13" t="s">
        <v>398</v>
      </c>
      <c r="I229" s="15" t="s">
        <v>399</v>
      </c>
      <c r="J229" s="15" t="s">
        <v>400</v>
      </c>
      <c r="K229" s="15" t="s">
        <v>401</v>
      </c>
      <c r="L229" s="13" t="s">
        <v>404</v>
      </c>
      <c r="M229" s="15" t="s">
        <v>405</v>
      </c>
      <c r="N229" s="13" t="s">
        <v>98</v>
      </c>
      <c r="O229" s="15" t="s">
        <v>170</v>
      </c>
      <c r="P229" s="15" t="s">
        <v>171</v>
      </c>
      <c r="Q229" s="15" t="s">
        <v>206</v>
      </c>
      <c r="R229" s="13" t="s">
        <v>207</v>
      </c>
      <c r="S229" s="13" t="s">
        <v>103</v>
      </c>
      <c r="T229" s="13" t="s">
        <v>205</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3"/>
    </row>
    <row r="230" spans="1:85" ht="105" x14ac:dyDescent="0.25">
      <c r="A230" s="13" t="s">
        <v>202</v>
      </c>
      <c r="B230" s="13" t="s">
        <v>153</v>
      </c>
      <c r="C230" s="14">
        <v>43152.5</v>
      </c>
      <c r="D230" s="13" t="s">
        <v>88</v>
      </c>
      <c r="E230" s="15" t="s">
        <v>89</v>
      </c>
      <c r="F230" s="13" t="s">
        <v>90</v>
      </c>
      <c r="G230" s="15" t="s">
        <v>91</v>
      </c>
      <c r="H230" s="13" t="s">
        <v>398</v>
      </c>
      <c r="I230" s="15" t="s">
        <v>399</v>
      </c>
      <c r="J230" s="15" t="s">
        <v>400</v>
      </c>
      <c r="K230" s="15" t="s">
        <v>401</v>
      </c>
      <c r="L230" s="13" t="s">
        <v>406</v>
      </c>
      <c r="M230" s="15" t="s">
        <v>407</v>
      </c>
      <c r="N230" s="13" t="s">
        <v>188</v>
      </c>
      <c r="O230" s="15" t="s">
        <v>189</v>
      </c>
      <c r="P230" s="15" t="s">
        <v>190</v>
      </c>
      <c r="Q230" s="15" t="s">
        <v>206</v>
      </c>
      <c r="R230" s="13" t="s">
        <v>207</v>
      </c>
      <c r="S230" s="13" t="s">
        <v>103</v>
      </c>
      <c r="T230" s="13" t="s">
        <v>205</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3"/>
    </row>
    <row r="231" spans="1:85" ht="120" x14ac:dyDescent="0.25">
      <c r="A231" s="13" t="s">
        <v>202</v>
      </c>
      <c r="B231" s="13" t="s">
        <v>153</v>
      </c>
      <c r="C231" s="14">
        <v>43152.5</v>
      </c>
      <c r="D231" s="13" t="s">
        <v>88</v>
      </c>
      <c r="E231" s="15" t="s">
        <v>89</v>
      </c>
      <c r="F231" s="13" t="s">
        <v>90</v>
      </c>
      <c r="G231" s="15" t="s">
        <v>91</v>
      </c>
      <c r="H231" s="13" t="s">
        <v>398</v>
      </c>
      <c r="I231" s="15" t="s">
        <v>399</v>
      </c>
      <c r="J231" s="15" t="s">
        <v>400</v>
      </c>
      <c r="K231" s="15" t="s">
        <v>401</v>
      </c>
      <c r="L231" s="13" t="s">
        <v>402</v>
      </c>
      <c r="M231" s="15" t="s">
        <v>403</v>
      </c>
      <c r="N231" s="13" t="s">
        <v>98</v>
      </c>
      <c r="O231" s="15" t="s">
        <v>99</v>
      </c>
      <c r="P231" s="15" t="s">
        <v>100</v>
      </c>
      <c r="Q231" s="15" t="s">
        <v>208</v>
      </c>
      <c r="R231" s="13" t="s">
        <v>209</v>
      </c>
      <c r="S231" s="13" t="s">
        <v>103</v>
      </c>
      <c r="T231" s="13" t="s">
        <v>205</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3"/>
    </row>
    <row r="232" spans="1:85" ht="120" x14ac:dyDescent="0.25">
      <c r="A232" s="13" t="s">
        <v>202</v>
      </c>
      <c r="B232" s="13" t="s">
        <v>153</v>
      </c>
      <c r="C232" s="14">
        <v>43152.5</v>
      </c>
      <c r="D232" s="13" t="s">
        <v>88</v>
      </c>
      <c r="E232" s="15" t="s">
        <v>89</v>
      </c>
      <c r="F232" s="13" t="s">
        <v>90</v>
      </c>
      <c r="G232" s="15" t="s">
        <v>91</v>
      </c>
      <c r="H232" s="13" t="s">
        <v>398</v>
      </c>
      <c r="I232" s="15" t="s">
        <v>399</v>
      </c>
      <c r="J232" s="15" t="s">
        <v>400</v>
      </c>
      <c r="K232" s="15" t="s">
        <v>401</v>
      </c>
      <c r="L232" s="13" t="s">
        <v>404</v>
      </c>
      <c r="M232" s="15" t="s">
        <v>405</v>
      </c>
      <c r="N232" s="13" t="s">
        <v>98</v>
      </c>
      <c r="O232" s="15" t="s">
        <v>170</v>
      </c>
      <c r="P232" s="15" t="s">
        <v>171</v>
      </c>
      <c r="Q232" s="15" t="s">
        <v>208</v>
      </c>
      <c r="R232" s="13" t="s">
        <v>209</v>
      </c>
      <c r="S232" s="13" t="s">
        <v>103</v>
      </c>
      <c r="T232" s="13" t="s">
        <v>205</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3"/>
    </row>
    <row r="233" spans="1:85" ht="105" x14ac:dyDescent="0.25">
      <c r="A233" s="13" t="s">
        <v>202</v>
      </c>
      <c r="B233" s="13" t="s">
        <v>153</v>
      </c>
      <c r="C233" s="14">
        <v>43152.5</v>
      </c>
      <c r="D233" s="13" t="s">
        <v>88</v>
      </c>
      <c r="E233" s="15" t="s">
        <v>89</v>
      </c>
      <c r="F233" s="13" t="s">
        <v>90</v>
      </c>
      <c r="G233" s="15" t="s">
        <v>91</v>
      </c>
      <c r="H233" s="13" t="s">
        <v>398</v>
      </c>
      <c r="I233" s="15" t="s">
        <v>399</v>
      </c>
      <c r="J233" s="15" t="s">
        <v>400</v>
      </c>
      <c r="K233" s="15" t="s">
        <v>401</v>
      </c>
      <c r="L233" s="13" t="s">
        <v>406</v>
      </c>
      <c r="M233" s="15" t="s">
        <v>407</v>
      </c>
      <c r="N233" s="13" t="s">
        <v>188</v>
      </c>
      <c r="O233" s="15" t="s">
        <v>189</v>
      </c>
      <c r="P233" s="15" t="s">
        <v>190</v>
      </c>
      <c r="Q233" s="15" t="s">
        <v>208</v>
      </c>
      <c r="R233" s="13" t="s">
        <v>209</v>
      </c>
      <c r="S233" s="13" t="s">
        <v>103</v>
      </c>
      <c r="T233" s="13" t="s">
        <v>205</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3"/>
    </row>
    <row r="234" spans="1:85" ht="135" x14ac:dyDescent="0.25">
      <c r="A234" s="13" t="s">
        <v>86</v>
      </c>
      <c r="B234" s="13" t="s">
        <v>87</v>
      </c>
      <c r="C234" s="14">
        <v>43850.552083333336</v>
      </c>
      <c r="D234" s="13" t="s">
        <v>88</v>
      </c>
      <c r="E234" s="15" t="s">
        <v>89</v>
      </c>
      <c r="F234" s="13" t="s">
        <v>90</v>
      </c>
      <c r="G234" s="15" t="s">
        <v>91</v>
      </c>
      <c r="H234" s="13" t="s">
        <v>398</v>
      </c>
      <c r="I234" s="15" t="s">
        <v>399</v>
      </c>
      <c r="J234" s="15" t="s">
        <v>400</v>
      </c>
      <c r="K234" s="15" t="s">
        <v>401</v>
      </c>
      <c r="L234" s="13" t="s">
        <v>402</v>
      </c>
      <c r="M234" s="15" t="s">
        <v>403</v>
      </c>
      <c r="N234" s="13" t="s">
        <v>98</v>
      </c>
      <c r="O234" s="15" t="s">
        <v>99</v>
      </c>
      <c r="P234" s="15" t="s">
        <v>100</v>
      </c>
      <c r="Q234" s="15" t="s">
        <v>259</v>
      </c>
      <c r="R234" s="13" t="s">
        <v>260</v>
      </c>
      <c r="S234" s="13" t="s">
        <v>212</v>
      </c>
      <c r="T234" s="13" t="s">
        <v>104</v>
      </c>
      <c r="U234" s="14">
        <v>40725</v>
      </c>
      <c r="V234" s="14">
        <v>43830</v>
      </c>
      <c r="W234" s="15" t="s">
        <v>408</v>
      </c>
      <c r="X234" s="13" t="s">
        <v>106</v>
      </c>
      <c r="Y234" s="15" t="str">
        <f>VLOOKUP(X234,'Axe 2 Règles de gestion'!$D$2:$F$121,3, FALSE)</f>
        <v>L'agent doit détenir le titre ou le diplôme requis pour l'exercice des fonctions du corps d'accueil.</v>
      </c>
      <c r="Z234" s="13" t="s">
        <v>108</v>
      </c>
      <c r="AA234" s="15" t="str">
        <f>VLOOKUP(Z234,'Axe 2 Règles de gestion'!$D$2:$F$121,3, FALSE)</f>
        <v>L'agent doit formuler une demande.</v>
      </c>
      <c r="AB234" s="13" t="s">
        <v>110</v>
      </c>
      <c r="AC234" s="15" t="str">
        <f>VLOOKUP(AB234,'Axe 2 Règles de gestion'!$D$2:$F$121,3, FALSE)</f>
        <v>Le détachement est accordé après avis des commissions administratives paritaires compétentes.</v>
      </c>
      <c r="AD234" s="13" t="s">
        <v>112</v>
      </c>
      <c r="AE234" s="15" t="str">
        <f>VLOOKUP(AD234,'Axe 2 Règles de gestion'!$D$2:$F$121,3, FALSE)</f>
        <v>L'accord de l'administration d'origine est nécessaire.</v>
      </c>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t="s">
        <v>126</v>
      </c>
      <c r="BC234" s="15" t="str">
        <f>VLOOKUP(BB234,'Axe 2 Règles de gestion'!$D$2:$F$121,3, FALSE)</f>
        <v>La date de début de position doit être antérieure ou égale à la date de fin prévisionnelle de position.</v>
      </c>
      <c r="BD234" s="13" t="s">
        <v>250</v>
      </c>
      <c r="BE234" s="15" t="str">
        <f>VLOOKUP(BD234,'Axe 2 Règles de gestion'!$D$2:$F$121,3, FALSE)</f>
        <v>La date de fin réelle de la position doit être antérieure ou égale à la date de fin réelle ou prévisionnelle du lien juridique.</v>
      </c>
      <c r="BF234" s="13" t="s">
        <v>130</v>
      </c>
      <c r="BG234" s="15" t="str">
        <f>VLOOKUP(BF234,'Axe 2 Règles de gestion'!$D$2:$F$121,3, FALSE)</f>
        <v>La date de fin réelle de la position doit être antérieure à la date limite de départ à la retraite.</v>
      </c>
      <c r="BH234" s="13" t="s">
        <v>252</v>
      </c>
      <c r="BI234" s="15" t="str">
        <f>VLOOKUP(BH234,'Axe 2 Règles de gestion'!$D$2:$F$121,3, FALSE)</f>
        <v>La date de début de la position doit être postérieure ou égale à la date de début du lien juridique.</v>
      </c>
      <c r="BJ234" s="13" t="s">
        <v>132</v>
      </c>
      <c r="BK234" s="15" t="str">
        <f>VLOOKUP(BJ234,'Axe 2 Règles de gestion'!$D$2:$F$121,3, FALSE)</f>
        <v>La date de début de position doit être antérieure ou égale à la date de fin réelle de position.</v>
      </c>
      <c r="BL234" s="13" t="s">
        <v>134</v>
      </c>
      <c r="BM234" s="15" t="str">
        <f>VLOOKUP(BL234,'Axe 2 Règles de gestion'!$D$2:$F$121,3, FALSE)</f>
        <v>La date de fin prévisionnelle de la position doit être antérieure à la date limite de départ à la retraite.</v>
      </c>
      <c r="BN234" s="13" t="s">
        <v>136</v>
      </c>
      <c r="BO234" s="15" t="str">
        <f>VLOOKUP(BN234,'Axe 2 Règles de gestion'!$D$2:$F$121,3, FALSE)</f>
        <v>L'indicateur de carrière est sur la valeur "Accueil".</v>
      </c>
      <c r="BP234" s="13" t="s">
        <v>138</v>
      </c>
      <c r="BQ234" s="15" t="str">
        <f>VLOOKUP(BP234,'Axe 2 Règles de gestion'!$D$2:$F$121,3, FALSE)</f>
        <v>La date de début de position est à J+1 de la date de fin de position de l'occurrence précédente.</v>
      </c>
      <c r="BR234" s="13" t="s">
        <v>140</v>
      </c>
      <c r="BS234" s="15" t="str">
        <f>VLOOKUP(BR234,'Axe 2 Règles de gestion'!$D$2:$F$121,3, FALSE)</f>
        <v>Les champs "Type d'organisme d'origine", "Catégorie statutaire d'origine" et "Pays" de l'organisme d'origine doivent être renseignés.</v>
      </c>
      <c r="BT234" s="13" t="s">
        <v>142</v>
      </c>
      <c r="BU234" s="15" t="str">
        <f>VLOOKUP(BT234,'Axe 2 Règles de gestion'!$D$2:$F$121,3, FALSE)</f>
        <v>Les champs "Ministère (ou institution de la République) d'origine", "Corps d'origine", "Grade d'origine", "Echelon d'origine" sont renseignés si le "Type d'organisme d'origine" est valorisé à FPE.</v>
      </c>
      <c r="BV234" s="13" t="s">
        <v>144</v>
      </c>
      <c r="BW234" s="15" t="str">
        <f>VLOOKUP(BV234,'Axe 2 Règles de gestion'!$D$2:$F$121,3, FALSE)</f>
        <v>Le champ "Organisme d'origine" doit être alimenté si le type d'organisme d'origine est égal à 'Autre organisme', 'Fonction publique d'un état de l'Union Européenne' ou 'Fonction publique Européenne'.</v>
      </c>
      <c r="BX234" s="13" t="s">
        <v>146</v>
      </c>
      <c r="BY234" s="15" t="str">
        <f>VLOOKUP(BX234,'Axe 2 Règles de gestion'!$D$2:$F$121,3, FALSE)</f>
        <v>Le champ "Code emploi statutaire FPT (NET)" est renseigné si le "Type d'organisme d'origine" est valorisé à FPT.</v>
      </c>
      <c r="BZ234" s="13" t="s">
        <v>148</v>
      </c>
      <c r="CA234" s="15" t="str">
        <f>VLOOKUP(BZ234,'Axe 2 Règles de gestion'!$D$2:$F$121,3, FALSE)</f>
        <v>Le champ "Code emploi statutaire FPH (NEH)" est renseigné si le "Type d'organisme d'origine" est valorisé à FPH.</v>
      </c>
      <c r="CB234" s="13" t="s">
        <v>254</v>
      </c>
      <c r="CC234" s="15" t="str">
        <f>VLOOKUP(CB234,'Axe 2 Règles de gestion'!$D$2:$F$121,3, FALSE)</f>
        <v>La date de fin prévisionnelle de la position doit être antérieure ou égale à la date de fin réelle ou prévisionnelle du lien juridique.</v>
      </c>
      <c r="CD234" s="13"/>
      <c r="CE234" s="15"/>
      <c r="CF234" s="13"/>
      <c r="CG234" s="13"/>
    </row>
    <row r="235" spans="1:85" ht="135" x14ac:dyDescent="0.25">
      <c r="A235" s="13" t="s">
        <v>86</v>
      </c>
      <c r="B235" s="13" t="s">
        <v>153</v>
      </c>
      <c r="C235" s="14">
        <v>44012.461111111108</v>
      </c>
      <c r="D235" s="13" t="s">
        <v>88</v>
      </c>
      <c r="E235" s="15" t="s">
        <v>89</v>
      </c>
      <c r="F235" s="13" t="s">
        <v>90</v>
      </c>
      <c r="G235" s="15" t="s">
        <v>91</v>
      </c>
      <c r="H235" s="13" t="s">
        <v>398</v>
      </c>
      <c r="I235" s="15" t="s">
        <v>399</v>
      </c>
      <c r="J235" s="15" t="s">
        <v>400</v>
      </c>
      <c r="K235" s="15" t="s">
        <v>401</v>
      </c>
      <c r="L235" s="13" t="s">
        <v>402</v>
      </c>
      <c r="M235" s="15" t="s">
        <v>403</v>
      </c>
      <c r="N235" s="13" t="s">
        <v>98</v>
      </c>
      <c r="O235" s="15" t="s">
        <v>99</v>
      </c>
      <c r="P235" s="15" t="s">
        <v>100</v>
      </c>
      <c r="Q235" s="15" t="s">
        <v>259</v>
      </c>
      <c r="R235" s="13" t="s">
        <v>260</v>
      </c>
      <c r="S235" s="13" t="s">
        <v>212</v>
      </c>
      <c r="T235" s="13" t="s">
        <v>104</v>
      </c>
      <c r="U235" s="14">
        <v>43831</v>
      </c>
      <c r="V235" s="14"/>
      <c r="W235" s="15" t="s">
        <v>409</v>
      </c>
      <c r="X235" s="13" t="s">
        <v>106</v>
      </c>
      <c r="Y235" s="15" t="str">
        <f>VLOOKUP(X235,'Axe 2 Règles de gestion'!$D$2:$F$121,3, FALSE)</f>
        <v>L'agent doit détenir le titre ou le diplôme requis pour l'exercice des fonctions du corps d'accueil.</v>
      </c>
      <c r="Z235" s="13" t="s">
        <v>108</v>
      </c>
      <c r="AA235" s="15" t="str">
        <f>VLOOKUP(Z235,'Axe 2 Règles de gestion'!$D$2:$F$121,3, FALSE)</f>
        <v>L'agent doit formuler une demande.</v>
      </c>
      <c r="AB235" s="13" t="s">
        <v>112</v>
      </c>
      <c r="AC235" s="15" t="str">
        <f>VLOOKUP(AB235,'Axe 2 Règles de gestion'!$D$2:$F$121,3, FALSE)</f>
        <v>L'accord de l'administration d'origine est nécessaire.</v>
      </c>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t="s">
        <v>126</v>
      </c>
      <c r="BC235" s="15" t="str">
        <f>VLOOKUP(BB235,'Axe 2 Règles de gestion'!$D$2:$F$121,3, FALSE)</f>
        <v>La date de début de position doit être antérieure ou égale à la date de fin prévisionnelle de position.</v>
      </c>
      <c r="BD235" s="13" t="s">
        <v>250</v>
      </c>
      <c r="BE235" s="15" t="str">
        <f>VLOOKUP(BD235,'Axe 2 Règles de gestion'!$D$2:$F$121,3, FALSE)</f>
        <v>La date de fin réelle de la position doit être antérieure ou égale à la date de fin réelle ou prévisionnelle du lien juridique.</v>
      </c>
      <c r="BF235" s="13" t="s">
        <v>130</v>
      </c>
      <c r="BG235" s="15" t="str">
        <f>VLOOKUP(BF235,'Axe 2 Règles de gestion'!$D$2:$F$121,3, FALSE)</f>
        <v>La date de fin réelle de la position doit être antérieure à la date limite de départ à la retraite.</v>
      </c>
      <c r="BH235" s="13" t="s">
        <v>252</v>
      </c>
      <c r="BI235" s="15" t="str">
        <f>VLOOKUP(BH235,'Axe 2 Règles de gestion'!$D$2:$F$121,3, FALSE)</f>
        <v>La date de début de la position doit être postérieure ou égale à la date de début du lien juridique.</v>
      </c>
      <c r="BJ235" s="13" t="s">
        <v>132</v>
      </c>
      <c r="BK235" s="15" t="str">
        <f>VLOOKUP(BJ235,'Axe 2 Règles de gestion'!$D$2:$F$121,3, FALSE)</f>
        <v>La date de début de position doit être antérieure ou égale à la date de fin réelle de position.</v>
      </c>
      <c r="BL235" s="13" t="s">
        <v>134</v>
      </c>
      <c r="BM235" s="15" t="str">
        <f>VLOOKUP(BL235,'Axe 2 Règles de gestion'!$D$2:$F$121,3, FALSE)</f>
        <v>La date de fin prévisionnelle de la position doit être antérieure à la date limite de départ à la retraite.</v>
      </c>
      <c r="BN235" s="13" t="s">
        <v>136</v>
      </c>
      <c r="BO235" s="15" t="str">
        <f>VLOOKUP(BN235,'Axe 2 Règles de gestion'!$D$2:$F$121,3, FALSE)</f>
        <v>L'indicateur de carrière est sur la valeur "Accueil".</v>
      </c>
      <c r="BP235" s="13" t="s">
        <v>138</v>
      </c>
      <c r="BQ235" s="15" t="str">
        <f>VLOOKUP(BP235,'Axe 2 Règles de gestion'!$D$2:$F$121,3, FALSE)</f>
        <v>La date de début de position est à J+1 de la date de fin de position de l'occurrence précédente.</v>
      </c>
      <c r="BR235" s="13" t="s">
        <v>140</v>
      </c>
      <c r="BS235" s="15" t="str">
        <f>VLOOKUP(BR235,'Axe 2 Règles de gestion'!$D$2:$F$121,3, FALSE)</f>
        <v>Les champs "Type d'organisme d'origine", "Catégorie statutaire d'origine" et "Pays" de l'organisme d'origine doivent être renseignés.</v>
      </c>
      <c r="BT235" s="13" t="s">
        <v>142</v>
      </c>
      <c r="BU235" s="15" t="str">
        <f>VLOOKUP(BT235,'Axe 2 Règles de gestion'!$D$2:$F$121,3, FALSE)</f>
        <v>Les champs "Ministère (ou institution de la République) d'origine", "Corps d'origine", "Grade d'origine", "Echelon d'origine" sont renseignés si le "Type d'organisme d'origine" est valorisé à FPE.</v>
      </c>
      <c r="BV235" s="13" t="s">
        <v>144</v>
      </c>
      <c r="BW235" s="15" t="str">
        <f>VLOOKUP(BV235,'Axe 2 Règles de gestion'!$D$2:$F$121,3, FALSE)</f>
        <v>Le champ "Organisme d'origine" doit être alimenté si le type d'organisme d'origine est égal à 'Autre organisme', 'Fonction publique d'un état de l'Union Européenne' ou 'Fonction publique Européenne'.</v>
      </c>
      <c r="BX235" s="13" t="s">
        <v>146</v>
      </c>
      <c r="BY235" s="15" t="str">
        <f>VLOOKUP(BX235,'Axe 2 Règles de gestion'!$D$2:$F$121,3, FALSE)</f>
        <v>Le champ "Code emploi statutaire FPT (NET)" est renseigné si le "Type d'organisme d'origine" est valorisé à FPT.</v>
      </c>
      <c r="BZ235" s="13" t="s">
        <v>148</v>
      </c>
      <c r="CA235" s="15" t="str">
        <f>VLOOKUP(BZ235,'Axe 2 Règles de gestion'!$D$2:$F$121,3, FALSE)</f>
        <v>Le champ "Code emploi statutaire FPH (NEH)" est renseigné si le "Type d'organisme d'origine" est valorisé à FPH.</v>
      </c>
      <c r="CB235" s="13" t="s">
        <v>254</v>
      </c>
      <c r="CC235" s="15" t="str">
        <f>VLOOKUP(CB235,'Axe 2 Règles de gestion'!$D$2:$F$121,3, FALSE)</f>
        <v>La date de fin prévisionnelle de la position doit être antérieure ou égale à la date de fin réelle ou prévisionnelle du lien juridique.</v>
      </c>
      <c r="CD235" s="13"/>
      <c r="CE235" s="15"/>
      <c r="CF235" s="13"/>
      <c r="CG235" s="13"/>
    </row>
    <row r="236" spans="1:85" ht="135" x14ac:dyDescent="0.25">
      <c r="A236" s="13" t="s">
        <v>86</v>
      </c>
      <c r="B236" s="13" t="s">
        <v>87</v>
      </c>
      <c r="C236" s="14">
        <v>43850.552083333336</v>
      </c>
      <c r="D236" s="13" t="s">
        <v>88</v>
      </c>
      <c r="E236" s="15" t="s">
        <v>89</v>
      </c>
      <c r="F236" s="13" t="s">
        <v>90</v>
      </c>
      <c r="G236" s="15" t="s">
        <v>91</v>
      </c>
      <c r="H236" s="13" t="s">
        <v>398</v>
      </c>
      <c r="I236" s="15" t="s">
        <v>399</v>
      </c>
      <c r="J236" s="15" t="s">
        <v>400</v>
      </c>
      <c r="K236" s="15" t="s">
        <v>401</v>
      </c>
      <c r="L236" s="13" t="s">
        <v>404</v>
      </c>
      <c r="M236" s="15" t="s">
        <v>405</v>
      </c>
      <c r="N236" s="13" t="s">
        <v>98</v>
      </c>
      <c r="O236" s="15" t="s">
        <v>170</v>
      </c>
      <c r="P236" s="15" t="s">
        <v>171</v>
      </c>
      <c r="Q236" s="15" t="s">
        <v>259</v>
      </c>
      <c r="R236" s="13" t="s">
        <v>260</v>
      </c>
      <c r="S236" s="13" t="s">
        <v>212</v>
      </c>
      <c r="T236" s="13" t="s">
        <v>104</v>
      </c>
      <c r="U236" s="14">
        <v>40725</v>
      </c>
      <c r="V236" s="14"/>
      <c r="W236" s="15" t="s">
        <v>410</v>
      </c>
      <c r="X236" s="13" t="s">
        <v>173</v>
      </c>
      <c r="Y236" s="15" t="str">
        <f>VLOOKUP(X236,'Axe 2 Règles de gestion'!$D$2:$F$121,3, FALSE)</f>
        <v>L'agent doit formuler une demande de renouvellement à son administration d'origine 3 mois au moins avant l'expiration de la période de détachement de longue durée.</v>
      </c>
      <c r="Z236" s="13" t="s">
        <v>175</v>
      </c>
      <c r="AA236" s="15" t="str">
        <f>VLOOKUP(Z236,'Axe 2 Règles de gestion'!$D$2:$F$121,3, FALSE)</f>
        <v>L'organisme d'accueil adresse sa décision à l'agent et à l'administration d'origine 2 mois au moins avant l'expiration de la période de détachement.</v>
      </c>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t="s">
        <v>126</v>
      </c>
      <c r="BC236" s="15" t="str">
        <f>VLOOKUP(BB236,'Axe 2 Règles de gestion'!$D$2:$F$121,3, FALSE)</f>
        <v>La date de début de position doit être antérieure ou égale à la date de fin prévisionnelle de position.</v>
      </c>
      <c r="BD236" s="13" t="s">
        <v>250</v>
      </c>
      <c r="BE236" s="15" t="str">
        <f>VLOOKUP(BD236,'Axe 2 Règles de gestion'!$D$2:$F$121,3, FALSE)</f>
        <v>La date de fin réelle de la position doit être antérieure ou égale à la date de fin réelle ou prévisionnelle du lien juridique.</v>
      </c>
      <c r="BF236" s="13" t="s">
        <v>130</v>
      </c>
      <c r="BG236" s="15" t="str">
        <f>VLOOKUP(BF236,'Axe 2 Règles de gestion'!$D$2:$F$121,3, FALSE)</f>
        <v>La date de fin réelle de la position doit être antérieure à la date limite de départ à la retraite.</v>
      </c>
      <c r="BH236" s="13" t="s">
        <v>252</v>
      </c>
      <c r="BI236" s="15" t="str">
        <f>VLOOKUP(BH236,'Axe 2 Règles de gestion'!$D$2:$F$121,3, FALSE)</f>
        <v>La date de début de la position doit être postérieure ou égale à la date de début du lien juridique.</v>
      </c>
      <c r="BJ236" s="13" t="s">
        <v>132</v>
      </c>
      <c r="BK236" s="15" t="str">
        <f>VLOOKUP(BJ236,'Axe 2 Règles de gestion'!$D$2:$F$121,3, FALSE)</f>
        <v>La date de début de position doit être antérieure ou égale à la date de fin réelle de position.</v>
      </c>
      <c r="BL236" s="13" t="s">
        <v>134</v>
      </c>
      <c r="BM236" s="15" t="str">
        <f>VLOOKUP(BL236,'Axe 2 Règles de gestion'!$D$2:$F$121,3, FALSE)</f>
        <v>La date de fin prévisionnelle de la position doit être antérieure à la date limite de départ à la retraite.</v>
      </c>
      <c r="BN236" s="13" t="s">
        <v>136</v>
      </c>
      <c r="BO236" s="15" t="str">
        <f>VLOOKUP(BN236,'Axe 2 Règles de gestion'!$D$2:$F$121,3, FALSE)</f>
        <v>L'indicateur de carrière est sur la valeur "Accueil".</v>
      </c>
      <c r="BP236" s="13" t="s">
        <v>138</v>
      </c>
      <c r="BQ236" s="15" t="str">
        <f>VLOOKUP(BP236,'Axe 2 Règles de gestion'!$D$2:$F$121,3, FALSE)</f>
        <v>La date de début de position est à J+1 de la date de fin de position de l'occurrence précédente.</v>
      </c>
      <c r="BR236" s="13" t="s">
        <v>140</v>
      </c>
      <c r="BS236" s="15" t="str">
        <f>VLOOKUP(BR236,'Axe 2 Règles de gestion'!$D$2:$F$121,3, FALSE)</f>
        <v>Les champs "Type d'organisme d'origine", "Catégorie statutaire d'origine" et "Pays" de l'organisme d'origine doivent être renseignés.</v>
      </c>
      <c r="BT236" s="13" t="s">
        <v>142</v>
      </c>
      <c r="BU236" s="15" t="str">
        <f>VLOOKUP(BT236,'Axe 2 Règles de gestion'!$D$2:$F$121,3, FALSE)</f>
        <v>Les champs "Ministère (ou institution de la République) d'origine", "Corps d'origine", "Grade d'origine", "Echelon d'origine" sont renseignés si le "Type d'organisme d'origine" est valorisé à FPE.</v>
      </c>
      <c r="BV236" s="13" t="s">
        <v>144</v>
      </c>
      <c r="BW236" s="15" t="str">
        <f>VLOOKUP(BV236,'Axe 2 Règles de gestion'!$D$2:$F$121,3, FALSE)</f>
        <v>Le champ "Organisme d'origine" doit être alimenté si le type d'organisme d'origine est égal à 'Autre organisme', 'Fonction publique d'un état de l'Union Européenne' ou 'Fonction publique Européenne'.</v>
      </c>
      <c r="BX236" s="13" t="s">
        <v>146</v>
      </c>
      <c r="BY236" s="15" t="str">
        <f>VLOOKUP(BX236,'Axe 2 Règles de gestion'!$D$2:$F$121,3, FALSE)</f>
        <v>Le champ "Code emploi statutaire FPT (NET)" est renseigné si le "Type d'organisme d'origine" est valorisé à FPT.</v>
      </c>
      <c r="BZ236" s="13" t="s">
        <v>148</v>
      </c>
      <c r="CA236" s="15" t="str">
        <f>VLOOKUP(BZ236,'Axe 2 Règles de gestion'!$D$2:$F$121,3, FALSE)</f>
        <v>Le champ "Code emploi statutaire FPH (NEH)" est renseigné si le "Type d'organisme d'origine" est valorisé à FPH.</v>
      </c>
      <c r="CB236" s="13" t="s">
        <v>254</v>
      </c>
      <c r="CC236" s="15" t="str">
        <f>VLOOKUP(CB236,'Axe 2 Règles de gestion'!$D$2:$F$121,3, FALSE)</f>
        <v>La date de fin prévisionnelle de la position doit être antérieure ou égale à la date de fin réelle ou prévisionnelle du lien juridique.</v>
      </c>
      <c r="CD236" s="13"/>
      <c r="CE236" s="15"/>
      <c r="CF236" s="13"/>
      <c r="CG236" s="13"/>
    </row>
    <row r="237" spans="1:85" ht="150" x14ac:dyDescent="0.25">
      <c r="A237" s="13" t="s">
        <v>86</v>
      </c>
      <c r="B237" s="13" t="s">
        <v>87</v>
      </c>
      <c r="C237" s="14">
        <v>43850.552083333336</v>
      </c>
      <c r="D237" s="13" t="s">
        <v>88</v>
      </c>
      <c r="E237" s="15" t="s">
        <v>89</v>
      </c>
      <c r="F237" s="13" t="s">
        <v>90</v>
      </c>
      <c r="G237" s="15" t="s">
        <v>91</v>
      </c>
      <c r="H237" s="13" t="s">
        <v>398</v>
      </c>
      <c r="I237" s="15" t="s">
        <v>399</v>
      </c>
      <c r="J237" s="15" t="s">
        <v>400</v>
      </c>
      <c r="K237" s="15" t="s">
        <v>401</v>
      </c>
      <c r="L237" s="13" t="s">
        <v>406</v>
      </c>
      <c r="M237" s="15" t="s">
        <v>407</v>
      </c>
      <c r="N237" s="13" t="s">
        <v>188</v>
      </c>
      <c r="O237" s="15" t="s">
        <v>189</v>
      </c>
      <c r="P237" s="15" t="s">
        <v>190</v>
      </c>
      <c r="Q237" s="15" t="s">
        <v>259</v>
      </c>
      <c r="R237" s="13" t="s">
        <v>260</v>
      </c>
      <c r="S237" s="13" t="s">
        <v>212</v>
      </c>
      <c r="T237" s="13" t="s">
        <v>104</v>
      </c>
      <c r="U237" s="14">
        <v>40725</v>
      </c>
      <c r="V237" s="14"/>
      <c r="W237" s="15" t="s">
        <v>411</v>
      </c>
      <c r="X237" s="13" t="s">
        <v>192</v>
      </c>
      <c r="Y237" s="15" t="str">
        <f>VLOOKUP(X237,'Axe 2 Règles de gestion'!$D$2:$F$121,3, FALSE)</f>
        <v>Le détachement peut prendre fin de manière anticipée à l'initiative de l'administration d'accueil, de l'administration d'origine ou de l'agent.</v>
      </c>
      <c r="Z237" s="13" t="s">
        <v>194</v>
      </c>
      <c r="AA237" s="15" t="str">
        <f>VLOOKUP(Z237,'Axe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37" s="13" t="s">
        <v>196</v>
      </c>
      <c r="AC237" s="15" t="str">
        <f>VLOOKUP(AB237,'Axe 2 Règles de gestion'!$D$2:$F$121,3, FALSE)</f>
        <v>L'agent doit adresser une demande de réintégration à l'administration d'origine 3 mois au moins avant l'expiration de la période de détachement de longue durée.</v>
      </c>
      <c r="AD237" s="13" t="s">
        <v>175</v>
      </c>
      <c r="AE237" s="15" t="str">
        <f>VLOOKUP(AD237,'Axe 2 Règles de gestion'!$D$2:$F$121,3, FALSE)</f>
        <v>L'organisme d'accueil adresse sa décision à l'agent et à l'administration d'origine 2 mois au moins avant l'expiration de la période de détachement.</v>
      </c>
      <c r="AF237" s="13" t="s">
        <v>198</v>
      </c>
      <c r="AG237" s="15" t="str">
        <f>VLOOKUP(AF237,'Axe 2 Règles de gestion'!$D$2:$F$121,3, FALSE)</f>
        <v>Si l'agent n'adresse pas sa demande dans les délais, il est obligatoirement réintégré à la première vacance dans son corps d'origine et affecté à un emploi correspondant à son grade.</v>
      </c>
      <c r="AH237" s="13" t="s">
        <v>200</v>
      </c>
      <c r="AI237" s="15" t="str">
        <f>VLOOKUP(AH237,'Axe 2 Règles de gestion'!$D$2:$F$121,3, FALSE)</f>
        <v>Les dispositions relatives à la réintégration au terme d'un détachement de longue durée ne sont pas applicables aux préfets et sous-préfets.</v>
      </c>
      <c r="AJ237" s="13"/>
      <c r="AK237" s="15"/>
      <c r="AL237" s="13"/>
      <c r="AM237" s="15"/>
      <c r="AN237" s="13"/>
      <c r="AO237" s="15"/>
      <c r="AP237" s="13"/>
      <c r="AQ237" s="15"/>
      <c r="AR237" s="13"/>
      <c r="AS237" s="15"/>
      <c r="AT237" s="13"/>
      <c r="AU237" s="15"/>
      <c r="AV237" s="13"/>
      <c r="AW237" s="15"/>
      <c r="AX237" s="13"/>
      <c r="AY237" s="15"/>
      <c r="AZ237" s="13"/>
      <c r="BA237" s="15"/>
      <c r="BB237" s="13" t="s">
        <v>126</v>
      </c>
      <c r="BC237" s="15" t="str">
        <f>VLOOKUP(BB237,'Axe 2 Règles de gestion'!$D$2:$F$121,3, FALSE)</f>
        <v>La date de début de position doit être antérieure ou égale à la date de fin prévisionnelle de position.</v>
      </c>
      <c r="BD237" s="13" t="s">
        <v>250</v>
      </c>
      <c r="BE237" s="15" t="str">
        <f>VLOOKUP(BD237,'Axe 2 Règles de gestion'!$D$2:$F$121,3, FALSE)</f>
        <v>La date de fin réelle de la position doit être antérieure ou égale à la date de fin réelle ou prévisionnelle du lien juridique.</v>
      </c>
      <c r="BF237" s="13" t="s">
        <v>130</v>
      </c>
      <c r="BG237" s="15" t="str">
        <f>VLOOKUP(BF237,'Axe 2 Règles de gestion'!$D$2:$F$121,3, FALSE)</f>
        <v>La date de fin réelle de la position doit être antérieure à la date limite de départ à la retraite.</v>
      </c>
      <c r="BH237" s="13" t="s">
        <v>132</v>
      </c>
      <c r="BI237" s="15" t="str">
        <f>VLOOKUP(BH237,'Axe 2 Règles de gestion'!$D$2:$F$121,3, FALSE)</f>
        <v>La date de début de position doit être antérieure ou égale à la date de fin réelle de position.</v>
      </c>
      <c r="BJ237" s="13" t="s">
        <v>134</v>
      </c>
      <c r="BK237" s="15" t="str">
        <f>VLOOKUP(BJ237,'Axe 2 Règles de gestion'!$D$2:$F$121,3, FALSE)</f>
        <v>La date de fin prévisionnelle de la position doit être antérieure à la date limite de départ à la retraite.</v>
      </c>
      <c r="BL237" s="13" t="s">
        <v>140</v>
      </c>
      <c r="BM237" s="15" t="str">
        <f>VLOOKUP(BL237,'Axe 2 Règles de gestion'!$D$2:$F$121,3, FALSE)</f>
        <v>Les champs "Type d'organisme d'origine", "Catégorie statutaire d'origine" et "Pays" de l'organisme d'origine doivent être renseignés.</v>
      </c>
      <c r="BN237" s="13" t="s">
        <v>142</v>
      </c>
      <c r="BO237" s="15" t="str">
        <f>VLOOKUP(BN237,'Axe 2 Règles de gestion'!$D$2:$F$121,3, FALSE)</f>
        <v>Les champs "Ministère (ou institution de la République) d'origine", "Corps d'origine", "Grade d'origine", "Echelon d'origine" sont renseignés si le "Type d'organisme d'origine" est valorisé à FPE.</v>
      </c>
      <c r="BP237" s="13" t="s">
        <v>144</v>
      </c>
      <c r="BQ237" s="15" t="str">
        <f>VLOOKUP(BP237,'Axe 2 Règles de gestion'!$D$2:$F$121,3, FALSE)</f>
        <v>Le champ "Organisme d'origine" doit être alimenté si le type d'organisme d'origine est égal à 'Autre organisme', 'Fonction publique d'un état de l'Union Européenne' ou 'Fonction publique Européenne'.</v>
      </c>
      <c r="BR237" s="13" t="s">
        <v>146</v>
      </c>
      <c r="BS237" s="15" t="str">
        <f>VLOOKUP(BR237,'Axe 2 Règles de gestion'!$D$2:$F$121,3, FALSE)</f>
        <v>Le champ "Code emploi statutaire FPT (NET)" est renseigné si le "Type d'organisme d'origine" est valorisé à FPT.</v>
      </c>
      <c r="BT237" s="13" t="s">
        <v>148</v>
      </c>
      <c r="BU237" s="15" t="str">
        <f>VLOOKUP(BT237,'Axe 2 Règles de gestion'!$D$2:$F$121,3, FALSE)</f>
        <v>Le champ "Code emploi statutaire FPH (NEH)" est renseigné si le "Type d'organisme d'origine" est valorisé à FPH.</v>
      </c>
      <c r="BV237" s="13" t="s">
        <v>254</v>
      </c>
      <c r="BW237" s="15" t="str">
        <f>VLOOKUP(BV237,'Axe 2 Règles de gestion'!$D$2:$F$121,3, FALSE)</f>
        <v>La date de fin prévisionnelle de la position doit être antérieure ou égale à la date de fin réelle ou prévisionnelle du lien juridique.</v>
      </c>
      <c r="BX237" s="13"/>
      <c r="BY237" s="15"/>
      <c r="BZ237" s="13"/>
      <c r="CA237" s="15"/>
      <c r="CB237" s="13"/>
      <c r="CC237" s="15"/>
      <c r="CD237" s="13"/>
      <c r="CE237" s="15"/>
      <c r="CF237" s="13"/>
      <c r="CG237" s="13"/>
    </row>
    <row r="238" spans="1:85" ht="120" x14ac:dyDescent="0.25">
      <c r="A238" s="13" t="s">
        <v>202</v>
      </c>
      <c r="B238" s="13" t="s">
        <v>153</v>
      </c>
      <c r="C238" s="14">
        <v>43152.5</v>
      </c>
      <c r="D238" s="13" t="s">
        <v>88</v>
      </c>
      <c r="E238" s="15" t="s">
        <v>89</v>
      </c>
      <c r="F238" s="13" t="s">
        <v>90</v>
      </c>
      <c r="G238" s="15" t="s">
        <v>91</v>
      </c>
      <c r="H238" s="13" t="s">
        <v>412</v>
      </c>
      <c r="I238" s="15" t="s">
        <v>413</v>
      </c>
      <c r="J238" s="15" t="s">
        <v>414</v>
      </c>
      <c r="K238" s="15" t="s">
        <v>415</v>
      </c>
      <c r="L238" s="13" t="s">
        <v>416</v>
      </c>
      <c r="M238" s="15" t="s">
        <v>417</v>
      </c>
      <c r="N238" s="13" t="s">
        <v>98</v>
      </c>
      <c r="O238" s="15" t="s">
        <v>99</v>
      </c>
      <c r="P238" s="15" t="s">
        <v>100</v>
      </c>
      <c r="Q238" s="15" t="s">
        <v>101</v>
      </c>
      <c r="R238" s="13" t="s">
        <v>102</v>
      </c>
      <c r="S238" s="13" t="s">
        <v>103</v>
      </c>
      <c r="T238" s="13" t="s">
        <v>205</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3"/>
    </row>
    <row r="239" spans="1:85" ht="120" x14ac:dyDescent="0.25">
      <c r="A239" s="13" t="s">
        <v>202</v>
      </c>
      <c r="B239" s="13" t="s">
        <v>153</v>
      </c>
      <c r="C239" s="14">
        <v>43152.5</v>
      </c>
      <c r="D239" s="13" t="s">
        <v>88</v>
      </c>
      <c r="E239" s="15" t="s">
        <v>89</v>
      </c>
      <c r="F239" s="13" t="s">
        <v>90</v>
      </c>
      <c r="G239" s="15" t="s">
        <v>91</v>
      </c>
      <c r="H239" s="13" t="s">
        <v>412</v>
      </c>
      <c r="I239" s="15" t="s">
        <v>413</v>
      </c>
      <c r="J239" s="15" t="s">
        <v>414</v>
      </c>
      <c r="K239" s="15" t="s">
        <v>415</v>
      </c>
      <c r="L239" s="13" t="s">
        <v>418</v>
      </c>
      <c r="M239" s="15" t="s">
        <v>419</v>
      </c>
      <c r="N239" s="13" t="s">
        <v>98</v>
      </c>
      <c r="O239" s="15" t="s">
        <v>170</v>
      </c>
      <c r="P239" s="15" t="s">
        <v>171</v>
      </c>
      <c r="Q239" s="15" t="s">
        <v>101</v>
      </c>
      <c r="R239" s="13" t="s">
        <v>102</v>
      </c>
      <c r="S239" s="13" t="s">
        <v>103</v>
      </c>
      <c r="T239" s="13" t="s">
        <v>205</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3"/>
    </row>
    <row r="240" spans="1:85" ht="120" x14ac:dyDescent="0.25">
      <c r="A240" s="13" t="s">
        <v>202</v>
      </c>
      <c r="B240" s="13" t="s">
        <v>153</v>
      </c>
      <c r="C240" s="14">
        <v>43152.5</v>
      </c>
      <c r="D240" s="13" t="s">
        <v>88</v>
      </c>
      <c r="E240" s="15" t="s">
        <v>89</v>
      </c>
      <c r="F240" s="13" t="s">
        <v>90</v>
      </c>
      <c r="G240" s="15" t="s">
        <v>91</v>
      </c>
      <c r="H240" s="13" t="s">
        <v>412</v>
      </c>
      <c r="I240" s="15" t="s">
        <v>413</v>
      </c>
      <c r="J240" s="15" t="s">
        <v>414</v>
      </c>
      <c r="K240" s="15" t="s">
        <v>415</v>
      </c>
      <c r="L240" s="13" t="s">
        <v>420</v>
      </c>
      <c r="M240" s="15" t="s">
        <v>421</v>
      </c>
      <c r="N240" s="13" t="s">
        <v>188</v>
      </c>
      <c r="O240" s="15" t="s">
        <v>189</v>
      </c>
      <c r="P240" s="15" t="s">
        <v>190</v>
      </c>
      <c r="Q240" s="15" t="s">
        <v>101</v>
      </c>
      <c r="R240" s="13" t="s">
        <v>102</v>
      </c>
      <c r="S240" s="13" t="s">
        <v>103</v>
      </c>
      <c r="T240" s="13" t="s">
        <v>205</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3"/>
    </row>
    <row r="241" spans="1:85" ht="120" x14ac:dyDescent="0.25">
      <c r="A241" s="13" t="s">
        <v>202</v>
      </c>
      <c r="B241" s="13" t="s">
        <v>153</v>
      </c>
      <c r="C241" s="14">
        <v>43152.5</v>
      </c>
      <c r="D241" s="13" t="s">
        <v>88</v>
      </c>
      <c r="E241" s="15" t="s">
        <v>89</v>
      </c>
      <c r="F241" s="13" t="s">
        <v>90</v>
      </c>
      <c r="G241" s="15" t="s">
        <v>91</v>
      </c>
      <c r="H241" s="13" t="s">
        <v>412</v>
      </c>
      <c r="I241" s="15" t="s">
        <v>413</v>
      </c>
      <c r="J241" s="15" t="s">
        <v>414</v>
      </c>
      <c r="K241" s="15" t="s">
        <v>415</v>
      </c>
      <c r="L241" s="13" t="s">
        <v>416</v>
      </c>
      <c r="M241" s="15" t="s">
        <v>417</v>
      </c>
      <c r="N241" s="13" t="s">
        <v>98</v>
      </c>
      <c r="O241" s="15" t="s">
        <v>99</v>
      </c>
      <c r="P241" s="15" t="s">
        <v>100</v>
      </c>
      <c r="Q241" s="15" t="s">
        <v>203</v>
      </c>
      <c r="R241" s="13" t="s">
        <v>204</v>
      </c>
      <c r="S241" s="13" t="s">
        <v>103</v>
      </c>
      <c r="T241" s="13" t="s">
        <v>205</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3"/>
    </row>
    <row r="242" spans="1:85" ht="120" x14ac:dyDescent="0.25">
      <c r="A242" s="13" t="s">
        <v>202</v>
      </c>
      <c r="B242" s="13" t="s">
        <v>153</v>
      </c>
      <c r="C242" s="14">
        <v>43152.5</v>
      </c>
      <c r="D242" s="13" t="s">
        <v>88</v>
      </c>
      <c r="E242" s="15" t="s">
        <v>89</v>
      </c>
      <c r="F242" s="13" t="s">
        <v>90</v>
      </c>
      <c r="G242" s="15" t="s">
        <v>91</v>
      </c>
      <c r="H242" s="13" t="s">
        <v>412</v>
      </c>
      <c r="I242" s="15" t="s">
        <v>413</v>
      </c>
      <c r="J242" s="15" t="s">
        <v>414</v>
      </c>
      <c r="K242" s="15" t="s">
        <v>415</v>
      </c>
      <c r="L242" s="13" t="s">
        <v>418</v>
      </c>
      <c r="M242" s="15" t="s">
        <v>419</v>
      </c>
      <c r="N242" s="13" t="s">
        <v>98</v>
      </c>
      <c r="O242" s="15" t="s">
        <v>170</v>
      </c>
      <c r="P242" s="15" t="s">
        <v>171</v>
      </c>
      <c r="Q242" s="15" t="s">
        <v>203</v>
      </c>
      <c r="R242" s="13" t="s">
        <v>204</v>
      </c>
      <c r="S242" s="13" t="s">
        <v>103</v>
      </c>
      <c r="T242" s="13" t="s">
        <v>205</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3"/>
    </row>
    <row r="243" spans="1:85" ht="120" x14ac:dyDescent="0.25">
      <c r="A243" s="13" t="s">
        <v>202</v>
      </c>
      <c r="B243" s="13" t="s">
        <v>153</v>
      </c>
      <c r="C243" s="14">
        <v>43152.5</v>
      </c>
      <c r="D243" s="13" t="s">
        <v>88</v>
      </c>
      <c r="E243" s="15" t="s">
        <v>89</v>
      </c>
      <c r="F243" s="13" t="s">
        <v>90</v>
      </c>
      <c r="G243" s="15" t="s">
        <v>91</v>
      </c>
      <c r="H243" s="13" t="s">
        <v>412</v>
      </c>
      <c r="I243" s="15" t="s">
        <v>413</v>
      </c>
      <c r="J243" s="15" t="s">
        <v>414</v>
      </c>
      <c r="K243" s="15" t="s">
        <v>415</v>
      </c>
      <c r="L243" s="13" t="s">
        <v>420</v>
      </c>
      <c r="M243" s="15" t="s">
        <v>421</v>
      </c>
      <c r="N243" s="13" t="s">
        <v>188</v>
      </c>
      <c r="O243" s="15" t="s">
        <v>189</v>
      </c>
      <c r="P243" s="15" t="s">
        <v>190</v>
      </c>
      <c r="Q243" s="15" t="s">
        <v>203</v>
      </c>
      <c r="R243" s="13" t="s">
        <v>204</v>
      </c>
      <c r="S243" s="13" t="s">
        <v>103</v>
      </c>
      <c r="T243" s="13" t="s">
        <v>205</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3"/>
    </row>
    <row r="244" spans="1:85" ht="120" x14ac:dyDescent="0.25">
      <c r="A244" s="13" t="s">
        <v>202</v>
      </c>
      <c r="B244" s="13" t="s">
        <v>153</v>
      </c>
      <c r="C244" s="14">
        <v>43152.5</v>
      </c>
      <c r="D244" s="13" t="s">
        <v>88</v>
      </c>
      <c r="E244" s="15" t="s">
        <v>89</v>
      </c>
      <c r="F244" s="13" t="s">
        <v>90</v>
      </c>
      <c r="G244" s="15" t="s">
        <v>91</v>
      </c>
      <c r="H244" s="13" t="s">
        <v>412</v>
      </c>
      <c r="I244" s="15" t="s">
        <v>413</v>
      </c>
      <c r="J244" s="15" t="s">
        <v>414</v>
      </c>
      <c r="K244" s="15" t="s">
        <v>415</v>
      </c>
      <c r="L244" s="13" t="s">
        <v>416</v>
      </c>
      <c r="M244" s="15" t="s">
        <v>417</v>
      </c>
      <c r="N244" s="13" t="s">
        <v>98</v>
      </c>
      <c r="O244" s="15" t="s">
        <v>99</v>
      </c>
      <c r="P244" s="15" t="s">
        <v>100</v>
      </c>
      <c r="Q244" s="15" t="s">
        <v>206</v>
      </c>
      <c r="R244" s="13" t="s">
        <v>207</v>
      </c>
      <c r="S244" s="13" t="s">
        <v>103</v>
      </c>
      <c r="T244" s="13" t="s">
        <v>205</v>
      </c>
      <c r="U244" s="14">
        <v>40725</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3"/>
    </row>
    <row r="245" spans="1:85" ht="120" x14ac:dyDescent="0.25">
      <c r="A245" s="13" t="s">
        <v>202</v>
      </c>
      <c r="B245" s="13" t="s">
        <v>153</v>
      </c>
      <c r="C245" s="14">
        <v>43152.5</v>
      </c>
      <c r="D245" s="13" t="s">
        <v>88</v>
      </c>
      <c r="E245" s="15" t="s">
        <v>89</v>
      </c>
      <c r="F245" s="13" t="s">
        <v>90</v>
      </c>
      <c r="G245" s="15" t="s">
        <v>91</v>
      </c>
      <c r="H245" s="13" t="s">
        <v>412</v>
      </c>
      <c r="I245" s="15" t="s">
        <v>413</v>
      </c>
      <c r="J245" s="15" t="s">
        <v>414</v>
      </c>
      <c r="K245" s="15" t="s">
        <v>415</v>
      </c>
      <c r="L245" s="13" t="s">
        <v>418</v>
      </c>
      <c r="M245" s="15" t="s">
        <v>419</v>
      </c>
      <c r="N245" s="13" t="s">
        <v>98</v>
      </c>
      <c r="O245" s="15" t="s">
        <v>170</v>
      </c>
      <c r="P245" s="15" t="s">
        <v>171</v>
      </c>
      <c r="Q245" s="15" t="s">
        <v>206</v>
      </c>
      <c r="R245" s="13" t="s">
        <v>207</v>
      </c>
      <c r="S245" s="13" t="s">
        <v>103</v>
      </c>
      <c r="T245" s="13" t="s">
        <v>205</v>
      </c>
      <c r="U245" s="14">
        <v>40725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3"/>
    </row>
    <row r="246" spans="1:85" ht="120" x14ac:dyDescent="0.25">
      <c r="A246" s="13" t="s">
        <v>202</v>
      </c>
      <c r="B246" s="13" t="s">
        <v>153</v>
      </c>
      <c r="C246" s="14">
        <v>43152.5</v>
      </c>
      <c r="D246" s="13" t="s">
        <v>88</v>
      </c>
      <c r="E246" s="15" t="s">
        <v>89</v>
      </c>
      <c r="F246" s="13" t="s">
        <v>90</v>
      </c>
      <c r="G246" s="15" t="s">
        <v>91</v>
      </c>
      <c r="H246" s="13" t="s">
        <v>412</v>
      </c>
      <c r="I246" s="15" t="s">
        <v>413</v>
      </c>
      <c r="J246" s="15" t="s">
        <v>414</v>
      </c>
      <c r="K246" s="15" t="s">
        <v>415</v>
      </c>
      <c r="L246" s="13" t="s">
        <v>420</v>
      </c>
      <c r="M246" s="15" t="s">
        <v>421</v>
      </c>
      <c r="N246" s="13" t="s">
        <v>188</v>
      </c>
      <c r="O246" s="15" t="s">
        <v>189</v>
      </c>
      <c r="P246" s="15" t="s">
        <v>190</v>
      </c>
      <c r="Q246" s="15" t="s">
        <v>206</v>
      </c>
      <c r="R246" s="13" t="s">
        <v>207</v>
      </c>
      <c r="S246" s="13" t="s">
        <v>103</v>
      </c>
      <c r="T246" s="13" t="s">
        <v>205</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3"/>
    </row>
    <row r="247" spans="1:85" ht="120" x14ac:dyDescent="0.25">
      <c r="A247" s="13" t="s">
        <v>202</v>
      </c>
      <c r="B247" s="13" t="s">
        <v>153</v>
      </c>
      <c r="C247" s="14">
        <v>43152.5</v>
      </c>
      <c r="D247" s="13" t="s">
        <v>88</v>
      </c>
      <c r="E247" s="15" t="s">
        <v>89</v>
      </c>
      <c r="F247" s="13" t="s">
        <v>90</v>
      </c>
      <c r="G247" s="15" t="s">
        <v>91</v>
      </c>
      <c r="H247" s="13" t="s">
        <v>412</v>
      </c>
      <c r="I247" s="15" t="s">
        <v>413</v>
      </c>
      <c r="J247" s="15" t="s">
        <v>414</v>
      </c>
      <c r="K247" s="15" t="s">
        <v>415</v>
      </c>
      <c r="L247" s="13" t="s">
        <v>416</v>
      </c>
      <c r="M247" s="15" t="s">
        <v>417</v>
      </c>
      <c r="N247" s="13" t="s">
        <v>98</v>
      </c>
      <c r="O247" s="15" t="s">
        <v>99</v>
      </c>
      <c r="P247" s="15" t="s">
        <v>100</v>
      </c>
      <c r="Q247" s="15" t="s">
        <v>208</v>
      </c>
      <c r="R247" s="13" t="s">
        <v>209</v>
      </c>
      <c r="S247" s="13" t="s">
        <v>103</v>
      </c>
      <c r="T247" s="13" t="s">
        <v>205</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3"/>
    </row>
    <row r="248" spans="1:85" ht="120" x14ac:dyDescent="0.25">
      <c r="A248" s="13" t="s">
        <v>202</v>
      </c>
      <c r="B248" s="13" t="s">
        <v>153</v>
      </c>
      <c r="C248" s="14">
        <v>43152.5</v>
      </c>
      <c r="D248" s="13" t="s">
        <v>88</v>
      </c>
      <c r="E248" s="15" t="s">
        <v>89</v>
      </c>
      <c r="F248" s="13" t="s">
        <v>90</v>
      </c>
      <c r="G248" s="15" t="s">
        <v>91</v>
      </c>
      <c r="H248" s="13" t="s">
        <v>412</v>
      </c>
      <c r="I248" s="15" t="s">
        <v>413</v>
      </c>
      <c r="J248" s="15" t="s">
        <v>414</v>
      </c>
      <c r="K248" s="15" t="s">
        <v>415</v>
      </c>
      <c r="L248" s="13" t="s">
        <v>418</v>
      </c>
      <c r="M248" s="15" t="s">
        <v>419</v>
      </c>
      <c r="N248" s="13" t="s">
        <v>98</v>
      </c>
      <c r="O248" s="15" t="s">
        <v>170</v>
      </c>
      <c r="P248" s="15" t="s">
        <v>171</v>
      </c>
      <c r="Q248" s="15" t="s">
        <v>208</v>
      </c>
      <c r="R248" s="13" t="s">
        <v>209</v>
      </c>
      <c r="S248" s="13" t="s">
        <v>103</v>
      </c>
      <c r="T248" s="13" t="s">
        <v>205</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3"/>
    </row>
    <row r="249" spans="1:85" ht="120" x14ac:dyDescent="0.25">
      <c r="A249" s="13" t="s">
        <v>202</v>
      </c>
      <c r="B249" s="13" t="s">
        <v>153</v>
      </c>
      <c r="C249" s="14">
        <v>43152.5</v>
      </c>
      <c r="D249" s="13" t="s">
        <v>88</v>
      </c>
      <c r="E249" s="15" t="s">
        <v>89</v>
      </c>
      <c r="F249" s="13" t="s">
        <v>90</v>
      </c>
      <c r="G249" s="15" t="s">
        <v>91</v>
      </c>
      <c r="H249" s="13" t="s">
        <v>412</v>
      </c>
      <c r="I249" s="15" t="s">
        <v>413</v>
      </c>
      <c r="J249" s="15" t="s">
        <v>414</v>
      </c>
      <c r="K249" s="15" t="s">
        <v>415</v>
      </c>
      <c r="L249" s="13" t="s">
        <v>420</v>
      </c>
      <c r="M249" s="15" t="s">
        <v>421</v>
      </c>
      <c r="N249" s="13" t="s">
        <v>188</v>
      </c>
      <c r="O249" s="15" t="s">
        <v>189</v>
      </c>
      <c r="P249" s="15" t="s">
        <v>190</v>
      </c>
      <c r="Q249" s="15" t="s">
        <v>208</v>
      </c>
      <c r="R249" s="13" t="s">
        <v>209</v>
      </c>
      <c r="S249" s="13" t="s">
        <v>103</v>
      </c>
      <c r="T249" s="13" t="s">
        <v>205</v>
      </c>
      <c r="U249" s="14">
        <v>40725</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3"/>
    </row>
    <row r="250" spans="1:85" ht="135" x14ac:dyDescent="0.25">
      <c r="A250" s="13" t="s">
        <v>86</v>
      </c>
      <c r="B250" s="13" t="s">
        <v>87</v>
      </c>
      <c r="C250" s="14">
        <v>43850.552083333336</v>
      </c>
      <c r="D250" s="13" t="s">
        <v>88</v>
      </c>
      <c r="E250" s="15" t="s">
        <v>89</v>
      </c>
      <c r="F250" s="13" t="s">
        <v>90</v>
      </c>
      <c r="G250" s="15" t="s">
        <v>91</v>
      </c>
      <c r="H250" s="13" t="s">
        <v>412</v>
      </c>
      <c r="I250" s="15" t="s">
        <v>413</v>
      </c>
      <c r="J250" s="15" t="s">
        <v>414</v>
      </c>
      <c r="K250" s="15" t="s">
        <v>415</v>
      </c>
      <c r="L250" s="13" t="s">
        <v>416</v>
      </c>
      <c r="M250" s="15" t="s">
        <v>417</v>
      </c>
      <c r="N250" s="13" t="s">
        <v>98</v>
      </c>
      <c r="O250" s="15" t="s">
        <v>99</v>
      </c>
      <c r="P250" s="15" t="s">
        <v>100</v>
      </c>
      <c r="Q250" s="15" t="s">
        <v>259</v>
      </c>
      <c r="R250" s="13" t="s">
        <v>260</v>
      </c>
      <c r="S250" s="13" t="s">
        <v>212</v>
      </c>
      <c r="T250" s="13" t="s">
        <v>104</v>
      </c>
      <c r="U250" s="14">
        <v>40725</v>
      </c>
      <c r="V250" s="14">
        <v>43830</v>
      </c>
      <c r="W250" s="15" t="s">
        <v>408</v>
      </c>
      <c r="X250" s="13" t="s">
        <v>106</v>
      </c>
      <c r="Y250" s="15" t="str">
        <f>VLOOKUP(X250,'Axe 2 Règles de gestion'!$D$2:$F$121,3, FALSE)</f>
        <v>L'agent doit détenir le titre ou le diplôme requis pour l'exercice des fonctions du corps d'accueil.</v>
      </c>
      <c r="Z250" s="13" t="s">
        <v>108</v>
      </c>
      <c r="AA250" s="15" t="str">
        <f>VLOOKUP(Z250,'Axe 2 Règles de gestion'!$D$2:$F$121,3, FALSE)</f>
        <v>L'agent doit formuler une demande.</v>
      </c>
      <c r="AB250" s="13" t="s">
        <v>110</v>
      </c>
      <c r="AC250" s="15" t="str">
        <f>VLOOKUP(AB250,'Axe 2 Règles de gestion'!$D$2:$F$121,3, FALSE)</f>
        <v>Le détachement est accordé après avis des commissions administratives paritaires compétentes.</v>
      </c>
      <c r="AD250" s="13" t="s">
        <v>112</v>
      </c>
      <c r="AE250" s="15" t="str">
        <f>VLOOKUP(AD250,'Axe 2 Règles de gestion'!$D$2:$F$121,3, FALSE)</f>
        <v>L'accord de l'administration d'origine est nécessaire.</v>
      </c>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t="s">
        <v>126</v>
      </c>
      <c r="BC250" s="15" t="str">
        <f>VLOOKUP(BB250,'Axe 2 Règles de gestion'!$D$2:$F$121,3, FALSE)</f>
        <v>La date de début de position doit être antérieure ou égale à la date de fin prévisionnelle de position.</v>
      </c>
      <c r="BD250" s="13" t="s">
        <v>250</v>
      </c>
      <c r="BE250" s="15" t="str">
        <f>VLOOKUP(BD250,'Axe 2 Règles de gestion'!$D$2:$F$121,3, FALSE)</f>
        <v>La date de fin réelle de la position doit être antérieure ou égale à la date de fin réelle ou prévisionnelle du lien juridique.</v>
      </c>
      <c r="BF250" s="13" t="s">
        <v>130</v>
      </c>
      <c r="BG250" s="15" t="str">
        <f>VLOOKUP(BF250,'Axe 2 Règles de gestion'!$D$2:$F$121,3, FALSE)</f>
        <v>La date de fin réelle de la position doit être antérieure à la date limite de départ à la retraite.</v>
      </c>
      <c r="BH250" s="13" t="s">
        <v>252</v>
      </c>
      <c r="BI250" s="15" t="str">
        <f>VLOOKUP(BH250,'Axe 2 Règles de gestion'!$D$2:$F$121,3, FALSE)</f>
        <v>La date de début de la position doit être postérieure ou égale à la date de début du lien juridique.</v>
      </c>
      <c r="BJ250" s="13" t="s">
        <v>132</v>
      </c>
      <c r="BK250" s="15" t="str">
        <f>VLOOKUP(BJ250,'Axe 2 Règles de gestion'!$D$2:$F$121,3, FALSE)</f>
        <v>La date de début de position doit être antérieure ou égale à la date de fin réelle de position.</v>
      </c>
      <c r="BL250" s="13" t="s">
        <v>134</v>
      </c>
      <c r="BM250" s="15" t="str">
        <f>VLOOKUP(BL250,'Axe 2 Règles de gestion'!$D$2:$F$121,3, FALSE)</f>
        <v>La date de fin prévisionnelle de la position doit être antérieure à la date limite de départ à la retraite.</v>
      </c>
      <c r="BN250" s="13" t="s">
        <v>136</v>
      </c>
      <c r="BO250" s="15" t="str">
        <f>VLOOKUP(BN250,'Axe 2 Règles de gestion'!$D$2:$F$121,3, FALSE)</f>
        <v>L'indicateur de carrière est sur la valeur "Accueil".</v>
      </c>
      <c r="BP250" s="13" t="s">
        <v>138</v>
      </c>
      <c r="BQ250" s="15" t="str">
        <f>VLOOKUP(BP250,'Axe 2 Règles de gestion'!$D$2:$F$121,3, FALSE)</f>
        <v>La date de début de position est à J+1 de la date de fin de position de l'occurrence précédente.</v>
      </c>
      <c r="BR250" s="13" t="s">
        <v>140</v>
      </c>
      <c r="BS250" s="15" t="str">
        <f>VLOOKUP(BR250,'Axe 2 Règles de gestion'!$D$2:$F$121,3, FALSE)</f>
        <v>Les champs "Type d'organisme d'origine", "Catégorie statutaire d'origine" et "Pays" de l'organisme d'origine doivent être renseignés.</v>
      </c>
      <c r="BT250" s="13" t="s">
        <v>142</v>
      </c>
      <c r="BU250" s="15" t="str">
        <f>VLOOKUP(BT250,'Axe 2 Règles de gestion'!$D$2:$F$121,3, FALSE)</f>
        <v>Les champs "Ministère (ou institution de la République) d'origine", "Corps d'origine", "Grade d'origine", "Echelon d'origine" sont renseignés si le "Type d'organisme d'origine" est valorisé à FPE.</v>
      </c>
      <c r="BV250" s="13" t="s">
        <v>144</v>
      </c>
      <c r="BW250" s="15" t="str">
        <f>VLOOKUP(BV250,'Axe 2 Règles de gestion'!$D$2:$F$121,3, FALSE)</f>
        <v>Le champ "Organisme d'origine" doit être alimenté si le type d'organisme d'origine est égal à 'Autre organisme', 'Fonction publique d'un état de l'Union Européenne' ou 'Fonction publique Européenne'.</v>
      </c>
      <c r="BX250" s="13" t="s">
        <v>146</v>
      </c>
      <c r="BY250" s="15" t="str">
        <f>VLOOKUP(BX250,'Axe 2 Règles de gestion'!$D$2:$F$121,3, FALSE)</f>
        <v>Le champ "Code emploi statutaire FPT (NET)" est renseigné si le "Type d'organisme d'origine" est valorisé à FPT.</v>
      </c>
      <c r="BZ250" s="13" t="s">
        <v>148</v>
      </c>
      <c r="CA250" s="15" t="str">
        <f>VLOOKUP(BZ250,'Axe 2 Règles de gestion'!$D$2:$F$121,3, FALSE)</f>
        <v>Le champ "Code emploi statutaire FPH (NEH)" est renseigné si le "Type d'organisme d'origine" est valorisé à FPH.</v>
      </c>
      <c r="CB250" s="13" t="s">
        <v>254</v>
      </c>
      <c r="CC250" s="15" t="str">
        <f>VLOOKUP(CB250,'Axe 2 Règles de gestion'!$D$2:$F$121,3, FALSE)</f>
        <v>La date de fin prévisionnelle de la position doit être antérieure ou égale à la date de fin réelle ou prévisionnelle du lien juridique.</v>
      </c>
      <c r="CD250" s="13"/>
      <c r="CE250" s="15"/>
      <c r="CF250" s="13"/>
      <c r="CG250" s="13"/>
    </row>
    <row r="251" spans="1:85" ht="135" x14ac:dyDescent="0.25">
      <c r="A251" s="13" t="s">
        <v>86</v>
      </c>
      <c r="B251" s="13" t="s">
        <v>153</v>
      </c>
      <c r="C251" s="14">
        <v>44012.461805555555</v>
      </c>
      <c r="D251" s="13" t="s">
        <v>88</v>
      </c>
      <c r="E251" s="15" t="s">
        <v>89</v>
      </c>
      <c r="F251" s="13" t="s">
        <v>90</v>
      </c>
      <c r="G251" s="15" t="s">
        <v>91</v>
      </c>
      <c r="H251" s="13" t="s">
        <v>412</v>
      </c>
      <c r="I251" s="15" t="s">
        <v>413</v>
      </c>
      <c r="J251" s="15" t="s">
        <v>414</v>
      </c>
      <c r="K251" s="15" t="s">
        <v>415</v>
      </c>
      <c r="L251" s="13" t="s">
        <v>416</v>
      </c>
      <c r="M251" s="15" t="s">
        <v>417</v>
      </c>
      <c r="N251" s="13" t="s">
        <v>98</v>
      </c>
      <c r="O251" s="15" t="s">
        <v>99</v>
      </c>
      <c r="P251" s="15" t="s">
        <v>100</v>
      </c>
      <c r="Q251" s="15" t="s">
        <v>259</v>
      </c>
      <c r="R251" s="13" t="s">
        <v>260</v>
      </c>
      <c r="S251" s="13" t="s">
        <v>212</v>
      </c>
      <c r="T251" s="13" t="s">
        <v>104</v>
      </c>
      <c r="U251" s="14">
        <v>43831</v>
      </c>
      <c r="V251" s="14"/>
      <c r="W251" s="15" t="s">
        <v>409</v>
      </c>
      <c r="X251" s="13" t="s">
        <v>106</v>
      </c>
      <c r="Y251" s="15" t="str">
        <f>VLOOKUP(X251,'Axe 2 Règles de gestion'!$D$2:$F$121,3, FALSE)</f>
        <v>L'agent doit détenir le titre ou le diplôme requis pour l'exercice des fonctions du corps d'accueil.</v>
      </c>
      <c r="Z251" s="13" t="s">
        <v>108</v>
      </c>
      <c r="AA251" s="15" t="str">
        <f>VLOOKUP(Z251,'Axe 2 Règles de gestion'!$D$2:$F$121,3, FALSE)</f>
        <v>L'agent doit formuler une demande.</v>
      </c>
      <c r="AB251" s="13" t="s">
        <v>112</v>
      </c>
      <c r="AC251" s="15" t="str">
        <f>VLOOKUP(AB251,'Axe 2 Règles de gestion'!$D$2:$F$121,3, FALSE)</f>
        <v>L'accord de l'administration d'origine est nécessaire.</v>
      </c>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t="s">
        <v>126</v>
      </c>
      <c r="BC251" s="15" t="str">
        <f>VLOOKUP(BB251,'Axe 2 Règles de gestion'!$D$2:$F$121,3, FALSE)</f>
        <v>La date de début de position doit être antérieure ou égale à la date de fin prévisionnelle de position.</v>
      </c>
      <c r="BD251" s="13" t="s">
        <v>250</v>
      </c>
      <c r="BE251" s="15" t="str">
        <f>VLOOKUP(BD251,'Axe 2 Règles de gestion'!$D$2:$F$121,3, FALSE)</f>
        <v>La date de fin réelle de la position doit être antérieure ou égale à la date de fin réelle ou prévisionnelle du lien juridique.</v>
      </c>
      <c r="BF251" s="13" t="s">
        <v>130</v>
      </c>
      <c r="BG251" s="15" t="str">
        <f>VLOOKUP(BF251,'Axe 2 Règles de gestion'!$D$2:$F$121,3, FALSE)</f>
        <v>La date de fin réelle de la position doit être antérieure à la date limite de départ à la retraite.</v>
      </c>
      <c r="BH251" s="13" t="s">
        <v>252</v>
      </c>
      <c r="BI251" s="15" t="str">
        <f>VLOOKUP(BH251,'Axe 2 Règles de gestion'!$D$2:$F$121,3, FALSE)</f>
        <v>La date de début de la position doit être postérieure ou égale à la date de début du lien juridique.</v>
      </c>
      <c r="BJ251" s="13" t="s">
        <v>132</v>
      </c>
      <c r="BK251" s="15" t="str">
        <f>VLOOKUP(BJ251,'Axe 2 Règles de gestion'!$D$2:$F$121,3, FALSE)</f>
        <v>La date de début de position doit être antérieure ou égale à la date de fin réelle de position.</v>
      </c>
      <c r="BL251" s="13" t="s">
        <v>134</v>
      </c>
      <c r="BM251" s="15" t="str">
        <f>VLOOKUP(BL251,'Axe 2 Règles de gestion'!$D$2:$F$121,3, FALSE)</f>
        <v>La date de fin prévisionnelle de la position doit être antérieure à la date limite de départ à la retraite.</v>
      </c>
      <c r="BN251" s="13" t="s">
        <v>136</v>
      </c>
      <c r="BO251" s="15" t="str">
        <f>VLOOKUP(BN251,'Axe 2 Règles de gestion'!$D$2:$F$121,3, FALSE)</f>
        <v>L'indicateur de carrière est sur la valeur "Accueil".</v>
      </c>
      <c r="BP251" s="13" t="s">
        <v>138</v>
      </c>
      <c r="BQ251" s="15" t="str">
        <f>VLOOKUP(BP251,'Axe 2 Règles de gestion'!$D$2:$F$121,3, FALSE)</f>
        <v>La date de début de position est à J+1 de la date de fin de position de l'occurrence précédente.</v>
      </c>
      <c r="BR251" s="13" t="s">
        <v>140</v>
      </c>
      <c r="BS251" s="15" t="str">
        <f>VLOOKUP(BR251,'Axe 2 Règles de gestion'!$D$2:$F$121,3, FALSE)</f>
        <v>Les champs "Type d'organisme d'origine", "Catégorie statutaire d'origine" et "Pays" de l'organisme d'origine doivent être renseignés.</v>
      </c>
      <c r="BT251" s="13" t="s">
        <v>142</v>
      </c>
      <c r="BU251" s="15" t="str">
        <f>VLOOKUP(BT251,'Axe 2 Règles de gestion'!$D$2:$F$121,3, FALSE)</f>
        <v>Les champs "Ministère (ou institution de la République) d'origine", "Corps d'origine", "Grade d'origine", "Echelon d'origine" sont renseignés si le "Type d'organisme d'origine" est valorisé à FPE.</v>
      </c>
      <c r="BV251" s="13" t="s">
        <v>144</v>
      </c>
      <c r="BW251" s="15" t="str">
        <f>VLOOKUP(BV251,'Axe 2 Règles de gestion'!$D$2:$F$121,3, FALSE)</f>
        <v>Le champ "Organisme d'origine" doit être alimenté si le type d'organisme d'origine est égal à 'Autre organisme', 'Fonction publique d'un état de l'Union Européenne' ou 'Fonction publique Européenne'.</v>
      </c>
      <c r="BX251" s="13" t="s">
        <v>146</v>
      </c>
      <c r="BY251" s="15" t="str">
        <f>VLOOKUP(BX251,'Axe 2 Règles de gestion'!$D$2:$F$121,3, FALSE)</f>
        <v>Le champ "Code emploi statutaire FPT (NET)" est renseigné si le "Type d'organisme d'origine" est valorisé à FPT.</v>
      </c>
      <c r="BZ251" s="13" t="s">
        <v>148</v>
      </c>
      <c r="CA251" s="15" t="str">
        <f>VLOOKUP(BZ251,'Axe 2 Règles de gestion'!$D$2:$F$121,3, FALSE)</f>
        <v>Le champ "Code emploi statutaire FPH (NEH)" est renseigné si le "Type d'organisme d'origine" est valorisé à FPH.</v>
      </c>
      <c r="CB251" s="13" t="s">
        <v>254</v>
      </c>
      <c r="CC251" s="15" t="str">
        <f>VLOOKUP(CB251,'Axe 2 Règles de gestion'!$D$2:$F$121,3, FALSE)</f>
        <v>La date de fin prévisionnelle de la position doit être antérieure ou égale à la date de fin réelle ou prévisionnelle du lien juridique.</v>
      </c>
      <c r="CD251" s="13"/>
      <c r="CE251" s="15"/>
      <c r="CF251" s="13"/>
      <c r="CG251" s="13"/>
    </row>
    <row r="252" spans="1:85" ht="135" x14ac:dyDescent="0.25">
      <c r="A252" s="13" t="s">
        <v>86</v>
      </c>
      <c r="B252" s="13" t="s">
        <v>87</v>
      </c>
      <c r="C252" s="14">
        <v>43850.552083333336</v>
      </c>
      <c r="D252" s="13" t="s">
        <v>88</v>
      </c>
      <c r="E252" s="15" t="s">
        <v>89</v>
      </c>
      <c r="F252" s="13" t="s">
        <v>90</v>
      </c>
      <c r="G252" s="15" t="s">
        <v>91</v>
      </c>
      <c r="H252" s="13" t="s">
        <v>412</v>
      </c>
      <c r="I252" s="15" t="s">
        <v>413</v>
      </c>
      <c r="J252" s="15" t="s">
        <v>414</v>
      </c>
      <c r="K252" s="15" t="s">
        <v>415</v>
      </c>
      <c r="L252" s="13" t="s">
        <v>418</v>
      </c>
      <c r="M252" s="15" t="s">
        <v>419</v>
      </c>
      <c r="N252" s="13" t="s">
        <v>98</v>
      </c>
      <c r="O252" s="15" t="s">
        <v>170</v>
      </c>
      <c r="P252" s="15" t="s">
        <v>171</v>
      </c>
      <c r="Q252" s="15" t="s">
        <v>259</v>
      </c>
      <c r="R252" s="13" t="s">
        <v>260</v>
      </c>
      <c r="S252" s="13" t="s">
        <v>212</v>
      </c>
      <c r="T252" s="13" t="s">
        <v>104</v>
      </c>
      <c r="U252" s="14">
        <v>40725</v>
      </c>
      <c r="V252" s="14"/>
      <c r="W252" s="15" t="s">
        <v>410</v>
      </c>
      <c r="X252" s="13" t="s">
        <v>173</v>
      </c>
      <c r="Y252" s="15" t="str">
        <f>VLOOKUP(X252,'Axe 2 Règles de gestion'!$D$2:$F$121,3, FALSE)</f>
        <v>L'agent doit formuler une demande de renouvellement à son administration d'origine 3 mois au moins avant l'expiration de la période de détachement de longue durée.</v>
      </c>
      <c r="Z252" s="13" t="s">
        <v>175</v>
      </c>
      <c r="AA252" s="15" t="str">
        <f>VLOOKUP(Z252,'Axe 2 Règles de gestion'!$D$2:$F$121,3, FALSE)</f>
        <v>L'organisme d'accueil adresse sa décision à l'agent et à l'administration d'origine 2 mois au moins avant l'expiration de la période de détachement.</v>
      </c>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t="s">
        <v>126</v>
      </c>
      <c r="BC252" s="15" t="str">
        <f>VLOOKUP(BB252,'Axe 2 Règles de gestion'!$D$2:$F$121,3, FALSE)</f>
        <v>La date de début de position doit être antérieure ou égale à la date de fin prévisionnelle de position.</v>
      </c>
      <c r="BD252" s="13" t="s">
        <v>250</v>
      </c>
      <c r="BE252" s="15" t="str">
        <f>VLOOKUP(BD252,'Axe 2 Règles de gestion'!$D$2:$F$121,3, FALSE)</f>
        <v>La date de fin réelle de la position doit être antérieure ou égale à la date de fin réelle ou prévisionnelle du lien juridique.</v>
      </c>
      <c r="BF252" s="13" t="s">
        <v>130</v>
      </c>
      <c r="BG252" s="15" t="str">
        <f>VLOOKUP(BF252,'Axe 2 Règles de gestion'!$D$2:$F$121,3, FALSE)</f>
        <v>La date de fin réelle de la position doit être antérieure à la date limite de départ à la retraite.</v>
      </c>
      <c r="BH252" s="13" t="s">
        <v>252</v>
      </c>
      <c r="BI252" s="15" t="str">
        <f>VLOOKUP(BH252,'Axe 2 Règles de gestion'!$D$2:$F$121,3, FALSE)</f>
        <v>La date de début de la position doit être postérieure ou égale à la date de début du lien juridique.</v>
      </c>
      <c r="BJ252" s="13" t="s">
        <v>132</v>
      </c>
      <c r="BK252" s="15" t="str">
        <f>VLOOKUP(BJ252,'Axe 2 Règles de gestion'!$D$2:$F$121,3, FALSE)</f>
        <v>La date de début de position doit être antérieure ou égale à la date de fin réelle de position.</v>
      </c>
      <c r="BL252" s="13" t="s">
        <v>134</v>
      </c>
      <c r="BM252" s="15" t="str">
        <f>VLOOKUP(BL252,'Axe 2 Règles de gestion'!$D$2:$F$121,3, FALSE)</f>
        <v>La date de fin prévisionnelle de la position doit être antérieure à la date limite de départ à la retraite.</v>
      </c>
      <c r="BN252" s="13" t="s">
        <v>136</v>
      </c>
      <c r="BO252" s="15" t="str">
        <f>VLOOKUP(BN252,'Axe 2 Règles de gestion'!$D$2:$F$121,3, FALSE)</f>
        <v>L'indicateur de carrière est sur la valeur "Accueil".</v>
      </c>
      <c r="BP252" s="13" t="s">
        <v>138</v>
      </c>
      <c r="BQ252" s="15" t="str">
        <f>VLOOKUP(BP252,'Axe 2 Règles de gestion'!$D$2:$F$121,3, FALSE)</f>
        <v>La date de début de position est à J+1 de la date de fin de position de l'occurrence précédente.</v>
      </c>
      <c r="BR252" s="13" t="s">
        <v>140</v>
      </c>
      <c r="BS252" s="15" t="str">
        <f>VLOOKUP(BR252,'Axe 2 Règles de gestion'!$D$2:$F$121,3, FALSE)</f>
        <v>Les champs "Type d'organisme d'origine", "Catégorie statutaire d'origine" et "Pays" de l'organisme d'origine doivent être renseignés.</v>
      </c>
      <c r="BT252" s="13" t="s">
        <v>142</v>
      </c>
      <c r="BU252" s="15" t="str">
        <f>VLOOKUP(BT252,'Axe 2 Règles de gestion'!$D$2:$F$121,3, FALSE)</f>
        <v>Les champs "Ministère (ou institution de la République) d'origine", "Corps d'origine", "Grade d'origine", "Echelon d'origine" sont renseignés si le "Type d'organisme d'origine" est valorisé à FPE.</v>
      </c>
      <c r="BV252" s="13" t="s">
        <v>144</v>
      </c>
      <c r="BW252" s="15" t="str">
        <f>VLOOKUP(BV252,'Axe 2 Règles de gestion'!$D$2:$F$121,3, FALSE)</f>
        <v>Le champ "Organisme d'origine" doit être alimenté si le type d'organisme d'origine est égal à 'Autre organisme', 'Fonction publique d'un état de l'Union Européenne' ou 'Fonction publique Européenne'.</v>
      </c>
      <c r="BX252" s="13" t="s">
        <v>146</v>
      </c>
      <c r="BY252" s="15" t="str">
        <f>VLOOKUP(BX252,'Axe 2 Règles de gestion'!$D$2:$F$121,3, FALSE)</f>
        <v>Le champ "Code emploi statutaire FPT (NET)" est renseigné si le "Type d'organisme d'origine" est valorisé à FPT.</v>
      </c>
      <c r="BZ252" s="13" t="s">
        <v>148</v>
      </c>
      <c r="CA252" s="15" t="str">
        <f>VLOOKUP(BZ252,'Axe 2 Règles de gestion'!$D$2:$F$121,3, FALSE)</f>
        <v>Le champ "Code emploi statutaire FPH (NEH)" est renseigné si le "Type d'organisme d'origine" est valorisé à FPH.</v>
      </c>
      <c r="CB252" s="13" t="s">
        <v>254</v>
      </c>
      <c r="CC252" s="15" t="str">
        <f>VLOOKUP(CB252,'Axe 2 Règles de gestion'!$D$2:$F$121,3, FALSE)</f>
        <v>La date de fin prévisionnelle de la position doit être antérieure ou égale à la date de fin réelle ou prévisionnelle du lien juridique.</v>
      </c>
      <c r="CD252" s="13"/>
      <c r="CE252" s="15"/>
      <c r="CF252" s="13"/>
      <c r="CG252" s="13"/>
    </row>
    <row r="253" spans="1:85" ht="150" x14ac:dyDescent="0.25">
      <c r="A253" s="13" t="s">
        <v>86</v>
      </c>
      <c r="B253" s="13" t="s">
        <v>87</v>
      </c>
      <c r="C253" s="14">
        <v>43850.552083333336</v>
      </c>
      <c r="D253" s="13" t="s">
        <v>88</v>
      </c>
      <c r="E253" s="15" t="s">
        <v>89</v>
      </c>
      <c r="F253" s="13" t="s">
        <v>90</v>
      </c>
      <c r="G253" s="15" t="s">
        <v>91</v>
      </c>
      <c r="H253" s="13" t="s">
        <v>412</v>
      </c>
      <c r="I253" s="15" t="s">
        <v>413</v>
      </c>
      <c r="J253" s="15" t="s">
        <v>414</v>
      </c>
      <c r="K253" s="15" t="s">
        <v>415</v>
      </c>
      <c r="L253" s="13" t="s">
        <v>420</v>
      </c>
      <c r="M253" s="15" t="s">
        <v>421</v>
      </c>
      <c r="N253" s="13" t="s">
        <v>188</v>
      </c>
      <c r="O253" s="15" t="s">
        <v>189</v>
      </c>
      <c r="P253" s="15" t="s">
        <v>190</v>
      </c>
      <c r="Q253" s="15" t="s">
        <v>259</v>
      </c>
      <c r="R253" s="13" t="s">
        <v>260</v>
      </c>
      <c r="S253" s="13" t="s">
        <v>212</v>
      </c>
      <c r="T253" s="13" t="s">
        <v>104</v>
      </c>
      <c r="U253" s="14">
        <v>40725</v>
      </c>
      <c r="V253" s="14"/>
      <c r="W253" s="15" t="s">
        <v>411</v>
      </c>
      <c r="X253" s="13" t="s">
        <v>192</v>
      </c>
      <c r="Y253" s="15" t="str">
        <f>VLOOKUP(X253,'Axe 2 Règles de gestion'!$D$2:$F$121,3, FALSE)</f>
        <v>Le détachement peut prendre fin de manière anticipée à l'initiative de l'administration d'accueil, de l'administration d'origine ou de l'agent.</v>
      </c>
      <c r="Z253" s="13" t="s">
        <v>194</v>
      </c>
      <c r="AA253" s="15" t="str">
        <f>VLOOKUP(Z253,'Axe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53" s="13" t="s">
        <v>196</v>
      </c>
      <c r="AC253" s="15" t="str">
        <f>VLOOKUP(AB253,'Axe 2 Règles de gestion'!$D$2:$F$121,3, FALSE)</f>
        <v>L'agent doit adresser une demande de réintégration à l'administration d'origine 3 mois au moins avant l'expiration de la période de détachement de longue durée.</v>
      </c>
      <c r="AD253" s="13" t="s">
        <v>175</v>
      </c>
      <c r="AE253" s="15" t="str">
        <f>VLOOKUP(AD253,'Axe 2 Règles de gestion'!$D$2:$F$121,3, FALSE)</f>
        <v>L'organisme d'accueil adresse sa décision à l'agent et à l'administration d'origine 2 mois au moins avant l'expiration de la période de détachement.</v>
      </c>
      <c r="AF253" s="13" t="s">
        <v>198</v>
      </c>
      <c r="AG253" s="15" t="str">
        <f>VLOOKUP(AF253,'Axe 2 Règles de gestion'!$D$2:$F$121,3, FALSE)</f>
        <v>Si l'agent n'adresse pas sa demande dans les délais, il est obligatoirement réintégré à la première vacance dans son corps d'origine et affecté à un emploi correspondant à son grade.</v>
      </c>
      <c r="AH253" s="13" t="s">
        <v>200</v>
      </c>
      <c r="AI253" s="15" t="str">
        <f>VLOOKUP(AH253,'Axe 2 Règles de gestion'!$D$2:$F$121,3, FALSE)</f>
        <v>Les dispositions relatives à la réintégration au terme d'un détachement de longue durée ne sont pas applicables aux préfets et sous-préfets.</v>
      </c>
      <c r="AJ253" s="13"/>
      <c r="AK253" s="15"/>
      <c r="AL253" s="13"/>
      <c r="AM253" s="15"/>
      <c r="AN253" s="13"/>
      <c r="AO253" s="15"/>
      <c r="AP253" s="13"/>
      <c r="AQ253" s="15"/>
      <c r="AR253" s="13"/>
      <c r="AS253" s="15"/>
      <c r="AT253" s="13"/>
      <c r="AU253" s="15"/>
      <c r="AV253" s="13"/>
      <c r="AW253" s="15"/>
      <c r="AX253" s="13"/>
      <c r="AY253" s="15"/>
      <c r="AZ253" s="13"/>
      <c r="BA253" s="15"/>
      <c r="BB253" s="13" t="s">
        <v>126</v>
      </c>
      <c r="BC253" s="15" t="str">
        <f>VLOOKUP(BB253,'Axe 2 Règles de gestion'!$D$2:$F$121,3, FALSE)</f>
        <v>La date de début de position doit être antérieure ou égale à la date de fin prévisionnelle de position.</v>
      </c>
      <c r="BD253" s="13" t="s">
        <v>250</v>
      </c>
      <c r="BE253" s="15" t="str">
        <f>VLOOKUP(BD253,'Axe 2 Règles de gestion'!$D$2:$F$121,3, FALSE)</f>
        <v>La date de fin réelle de la position doit être antérieure ou égale à la date de fin réelle ou prévisionnelle du lien juridique.</v>
      </c>
      <c r="BF253" s="13" t="s">
        <v>130</v>
      </c>
      <c r="BG253" s="15" t="str">
        <f>VLOOKUP(BF253,'Axe 2 Règles de gestion'!$D$2:$F$121,3, FALSE)</f>
        <v>La date de fin réelle de la position doit être antérieure à la date limite de départ à la retraite.</v>
      </c>
      <c r="BH253" s="13" t="s">
        <v>132</v>
      </c>
      <c r="BI253" s="15" t="str">
        <f>VLOOKUP(BH253,'Axe 2 Règles de gestion'!$D$2:$F$121,3, FALSE)</f>
        <v>La date de début de position doit être antérieure ou égale à la date de fin réelle de position.</v>
      </c>
      <c r="BJ253" s="13" t="s">
        <v>134</v>
      </c>
      <c r="BK253" s="15" t="str">
        <f>VLOOKUP(BJ253,'Axe 2 Règles de gestion'!$D$2:$F$121,3, FALSE)</f>
        <v>La date de fin prévisionnelle de la position doit être antérieure à la date limite de départ à la retraite.</v>
      </c>
      <c r="BL253" s="13" t="s">
        <v>140</v>
      </c>
      <c r="BM253" s="15" t="str">
        <f>VLOOKUP(BL253,'Axe 2 Règles de gestion'!$D$2:$F$121,3, FALSE)</f>
        <v>Les champs "Type d'organisme d'origine", "Catégorie statutaire d'origine" et "Pays" de l'organisme d'origine doivent être renseignés.</v>
      </c>
      <c r="BN253" s="13" t="s">
        <v>142</v>
      </c>
      <c r="BO253" s="15" t="str">
        <f>VLOOKUP(BN253,'Axe 2 Règles de gestion'!$D$2:$F$121,3, FALSE)</f>
        <v>Les champs "Ministère (ou institution de la République) d'origine", "Corps d'origine", "Grade d'origine", "Echelon d'origine" sont renseignés si le "Type d'organisme d'origine" est valorisé à FPE.</v>
      </c>
      <c r="BP253" s="13" t="s">
        <v>144</v>
      </c>
      <c r="BQ253" s="15" t="str">
        <f>VLOOKUP(BP253,'Axe 2 Règles de gestion'!$D$2:$F$121,3, FALSE)</f>
        <v>Le champ "Organisme d'origine" doit être alimenté si le type d'organisme d'origine est égal à 'Autre organisme', 'Fonction publique d'un état de l'Union Européenne' ou 'Fonction publique Européenne'.</v>
      </c>
      <c r="BR253" s="13" t="s">
        <v>146</v>
      </c>
      <c r="BS253" s="15" t="str">
        <f>VLOOKUP(BR253,'Axe 2 Règles de gestion'!$D$2:$F$121,3, FALSE)</f>
        <v>Le champ "Code emploi statutaire FPT (NET)" est renseigné si le "Type d'organisme d'origine" est valorisé à FPT.</v>
      </c>
      <c r="BT253" s="13" t="s">
        <v>148</v>
      </c>
      <c r="BU253" s="15" t="str">
        <f>VLOOKUP(BT253,'Axe 2 Règles de gestion'!$D$2:$F$121,3, FALSE)</f>
        <v>Le champ "Code emploi statutaire FPH (NEH)" est renseigné si le "Type d'organisme d'origine" est valorisé à FPH.</v>
      </c>
      <c r="BV253" s="13" t="s">
        <v>254</v>
      </c>
      <c r="BW253" s="15" t="str">
        <f>VLOOKUP(BV253,'Axe 2 Règles de gestion'!$D$2:$F$121,3, FALSE)</f>
        <v>La date de fin prévisionnelle de la position doit être antérieure ou égale à la date de fin réelle ou prévisionnelle du lien juridique.</v>
      </c>
      <c r="BX253" s="13"/>
      <c r="BY253" s="15"/>
      <c r="BZ253" s="13"/>
      <c r="CA253" s="15"/>
      <c r="CB253" s="13"/>
      <c r="CC253" s="15"/>
      <c r="CD253" s="13"/>
      <c r="CE253" s="15"/>
      <c r="CF253" s="13"/>
      <c r="CG253" s="13"/>
    </row>
    <row r="254" spans="1:85" ht="135" x14ac:dyDescent="0.25">
      <c r="A254" s="13" t="s">
        <v>86</v>
      </c>
      <c r="B254" s="13" t="s">
        <v>87</v>
      </c>
      <c r="C254" s="14">
        <v>44007.711805555555</v>
      </c>
      <c r="D254" s="13" t="s">
        <v>88</v>
      </c>
      <c r="E254" s="15" t="s">
        <v>89</v>
      </c>
      <c r="F254" s="13" t="s">
        <v>90</v>
      </c>
      <c r="G254" s="15" t="s">
        <v>91</v>
      </c>
      <c r="H254" s="13" t="s">
        <v>422</v>
      </c>
      <c r="I254" s="15" t="s">
        <v>423</v>
      </c>
      <c r="J254" s="15" t="s">
        <v>424</v>
      </c>
      <c r="K254" s="15" t="s">
        <v>425</v>
      </c>
      <c r="L254" s="13" t="s">
        <v>426</v>
      </c>
      <c r="M254" s="15" t="s">
        <v>427</v>
      </c>
      <c r="N254" s="13" t="s">
        <v>98</v>
      </c>
      <c r="O254" s="15" t="s">
        <v>428</v>
      </c>
      <c r="P254" s="15" t="s">
        <v>429</v>
      </c>
      <c r="Q254" s="15" t="s">
        <v>101</v>
      </c>
      <c r="R254" s="13" t="s">
        <v>102</v>
      </c>
      <c r="S254" s="13" t="s">
        <v>103</v>
      </c>
      <c r="T254" s="13" t="s">
        <v>104</v>
      </c>
      <c r="U254" s="14">
        <v>40725</v>
      </c>
      <c r="V254" s="14">
        <v>43830</v>
      </c>
      <c r="W254" s="15" t="s">
        <v>430</v>
      </c>
      <c r="X254" s="13" t="s">
        <v>431</v>
      </c>
      <c r="Y254" s="15" t="str">
        <f>VLOOKUP(X254,'Axe 2 Règles de gestion'!$D$2:$F$121,3, FALSE)</f>
        <v>Le détachement peut être prononcé d'office après avis des commissions administratives paritaires et à condition que le nouvel emploi soit équivalent à l'ancien.</v>
      </c>
      <c r="Z254" s="13"/>
      <c r="AA254" s="15"/>
      <c r="AB254" s="13"/>
      <c r="AC254" s="15"/>
      <c r="AD254" s="13"/>
      <c r="AE254" s="15"/>
      <c r="AF254" s="13"/>
      <c r="AG254" s="15"/>
      <c r="AH254" s="13"/>
      <c r="AI254" s="15"/>
      <c r="AJ254" s="13"/>
      <c r="AK254" s="15"/>
      <c r="AL254" s="13"/>
      <c r="AM254" s="15"/>
      <c r="AN254" s="13"/>
      <c r="AO254" s="15"/>
      <c r="AP254" s="13" t="s">
        <v>114</v>
      </c>
      <c r="AQ254" s="15" t="str">
        <f>VLOOKUP(AP254,'Axe 2 Règles de gestion'!$D$2:$F$121,3, FALSE)</f>
        <v>Un détachement de courte durée à l'étranger ou dans les TOM ne peut excéder 1 an entre la date de début et la date de fin prévisionnelle.</v>
      </c>
      <c r="AR254" s="13" t="s">
        <v>116</v>
      </c>
      <c r="AS254" s="15" t="str">
        <f>VLOOKUP(AR254,'Axe 2 Règles de gestion'!$D$2:$F$121,3, FALSE)</f>
        <v>Un détachement de courte durée à l'étranger ou dans les TOM ne peut excéder 1 an entre la date de début et la date de fin réelle.</v>
      </c>
      <c r="AT254" s="13" t="s">
        <v>118</v>
      </c>
      <c r="AU254" s="15" t="str">
        <f>VLOOKUP(AT254,'Axe 2 Règles de gestion'!$D$2:$F$121,3, FALSE)</f>
        <v>Un détachement de courte durée n'ayant pas lieu à l'étranger ou dans les TOM ne peut excéder six mois entre la date de début et la date de fin prévisionnelle.</v>
      </c>
      <c r="AV254" s="13" t="s">
        <v>120</v>
      </c>
      <c r="AW254" s="15" t="str">
        <f>VLOOKUP(AV254,'Axe 2 Règles de gestion'!$D$2:$F$121,3, FALSE)</f>
        <v>Un détachement de courte durée n'ayant pas lieu à l'étranger ou dans les TOM ne peut excéder six mois entre la date de début et la date de fin réelle.</v>
      </c>
      <c r="AX254" s="13" t="s">
        <v>122</v>
      </c>
      <c r="AY254" s="15" t="str">
        <f>VLOOKUP(AX254,'Axe 2 Règles de gestion'!$D$2:$F$121,3, FALSE)</f>
        <v>Un détachement de longue durée ne peut excéder 5 ans entre la date de début et la date de fin prévisionnelle.</v>
      </c>
      <c r="AZ254" s="13" t="s">
        <v>124</v>
      </c>
      <c r="BA254" s="15" t="str">
        <f>VLOOKUP(AZ254,'Axe 2 Règles de gestion'!$D$2:$F$121,3, FALSE)</f>
        <v>Un détachement de longue durée ne peut excéder 5 ans entre la date de début et la date de fin réelle.</v>
      </c>
      <c r="BB254" s="13" t="s">
        <v>126</v>
      </c>
      <c r="BC254" s="15" t="str">
        <f>VLOOKUP(BB254,'Axe 2 Règles de gestion'!$D$2:$F$121,3, FALSE)</f>
        <v>La date de début de position doit être antérieure ou égale à la date de fin prévisionnelle de position.</v>
      </c>
      <c r="BD254" s="13" t="s">
        <v>128</v>
      </c>
      <c r="BE254" s="15" t="str">
        <f>VLOOKUP(BD254,'Axe 2 Règles de gestion'!$D$2:$F$121,3, FALSE)</f>
        <v>La date de début de la position doit être postérieure ou égale à la date d'entrée dans la FPE ou dans la carrière militaire.</v>
      </c>
      <c r="BF254" s="13" t="s">
        <v>130</v>
      </c>
      <c r="BG254" s="15" t="str">
        <f>VLOOKUP(BF254,'Axe 2 Règles de gestion'!$D$2:$F$121,3, FALSE)</f>
        <v>La date de fin réelle de la position doit être antérieure à la date limite de départ à la retraite.</v>
      </c>
      <c r="BH254" s="13" t="s">
        <v>132</v>
      </c>
      <c r="BI254" s="15" t="str">
        <f>VLOOKUP(BH254,'Axe 2 Règles de gestion'!$D$2:$F$121,3, FALSE)</f>
        <v>La date de début de position doit être antérieure ou égale à la date de fin réelle de position.</v>
      </c>
      <c r="BJ254" s="13" t="s">
        <v>134</v>
      </c>
      <c r="BK254" s="15" t="str">
        <f>VLOOKUP(BJ254,'Axe 2 Règles de gestion'!$D$2:$F$121,3, FALSE)</f>
        <v>La date de fin prévisionnelle de la position doit être antérieure à la date limite de départ à la retraite.</v>
      </c>
      <c r="BL254" s="13" t="s">
        <v>136</v>
      </c>
      <c r="BM254" s="15" t="str">
        <f>VLOOKUP(BL254,'Axe 2 Règles de gestion'!$D$2:$F$121,3, FALSE)</f>
        <v>L'indicateur de carrière est sur la valeur "Accueil".</v>
      </c>
      <c r="BN254" s="13" t="s">
        <v>138</v>
      </c>
      <c r="BO254" s="15" t="str">
        <f>VLOOKUP(BN254,'Axe 2 Règles de gestion'!$D$2:$F$121,3, FALSE)</f>
        <v>La date de début de position est à J+1 de la date de fin de position de l'occurrence précédente.</v>
      </c>
      <c r="BP254" s="13" t="s">
        <v>140</v>
      </c>
      <c r="BQ254" s="15" t="str">
        <f>VLOOKUP(BP254,'Axe 2 Règles de gestion'!$D$2:$F$121,3, FALSE)</f>
        <v>Les champs "Type d'organisme d'origine", "Catégorie statutaire d'origine" et "Pays" de l'organisme d'origine doivent être renseignés.</v>
      </c>
      <c r="BR254" s="13" t="s">
        <v>142</v>
      </c>
      <c r="BS254" s="15" t="str">
        <f>VLOOKUP(BR254,'Axe 2 Règles de gestion'!$D$2:$F$121,3, FALSE)</f>
        <v>Les champs "Ministère (ou institution de la République) d'origine", "Corps d'origine", "Grade d'origine", "Echelon d'origine" sont renseignés si le "Type d'organisme d'origine" est valorisé à FPE.</v>
      </c>
      <c r="BT254" s="13" t="s">
        <v>144</v>
      </c>
      <c r="BU254" s="15" t="str">
        <f>VLOOKUP(BT254,'Axe 2 Règles de gestion'!$D$2:$F$121,3, FALSE)</f>
        <v>Le champ "Organisme d'origine" doit être alimenté si le type d'organisme d'origine est égal à 'Autre organisme', 'Fonction publique d'un état de l'Union Européenne' ou 'Fonction publique Européenne'.</v>
      </c>
      <c r="BV254" s="13" t="s">
        <v>146</v>
      </c>
      <c r="BW254" s="15" t="str">
        <f>VLOOKUP(BV254,'Axe 2 Règles de gestion'!$D$2:$F$121,3, FALSE)</f>
        <v>Le champ "Code emploi statutaire FPT (NET)" est renseigné si le "Type d'organisme d'origine" est valorisé à FPT.</v>
      </c>
      <c r="BX254" s="13" t="s">
        <v>148</v>
      </c>
      <c r="BY254" s="15" t="str">
        <f>VLOOKUP(BX254,'Axe 2 Règles de gestion'!$D$2:$F$121,3, FALSE)</f>
        <v>Le champ "Code emploi statutaire FPH (NEH)" est renseigné si le "Type d'organisme d'origine" est valorisé à FPH.</v>
      </c>
      <c r="BZ254" s="13" t="s">
        <v>150</v>
      </c>
      <c r="CA254" s="15" t="str">
        <f>VLOOKUP(BZ254,'Axe 2 Règles de gestion'!$D$2:$F$121,3, FALSE)</f>
        <v>La date de fin ou la date de fin prévisionnelle doit être saisie.</v>
      </c>
      <c r="CB254" s="13"/>
      <c r="CC254" s="15"/>
      <c r="CD254" s="13"/>
      <c r="CE254" s="15"/>
      <c r="CF254" s="13"/>
      <c r="CG254" s="13"/>
    </row>
    <row r="255" spans="1:85" ht="135" x14ac:dyDescent="0.25">
      <c r="A255" s="13" t="s">
        <v>86</v>
      </c>
      <c r="B255" s="13" t="s">
        <v>153</v>
      </c>
      <c r="C255" s="14">
        <v>44007.713888888888</v>
      </c>
      <c r="D255" s="13" t="s">
        <v>88</v>
      </c>
      <c r="E255" s="15" t="s">
        <v>89</v>
      </c>
      <c r="F255" s="13" t="s">
        <v>90</v>
      </c>
      <c r="G255" s="15" t="s">
        <v>91</v>
      </c>
      <c r="H255" s="13" t="s">
        <v>422</v>
      </c>
      <c r="I255" s="15" t="s">
        <v>423</v>
      </c>
      <c r="J255" s="15" t="s">
        <v>424</v>
      </c>
      <c r="K255" s="15" t="s">
        <v>425</v>
      </c>
      <c r="L255" s="13" t="s">
        <v>426</v>
      </c>
      <c r="M255" s="15" t="s">
        <v>427</v>
      </c>
      <c r="N255" s="13" t="s">
        <v>98</v>
      </c>
      <c r="O255" s="15" t="s">
        <v>428</v>
      </c>
      <c r="P255" s="15" t="s">
        <v>429</v>
      </c>
      <c r="Q255" s="15" t="s">
        <v>101</v>
      </c>
      <c r="R255" s="13" t="s">
        <v>102</v>
      </c>
      <c r="S255" s="13" t="s">
        <v>103</v>
      </c>
      <c r="T255" s="13" t="s">
        <v>104</v>
      </c>
      <c r="U255" s="14">
        <v>43831</v>
      </c>
      <c r="V255" s="14"/>
      <c r="W255" s="15" t="s">
        <v>433</v>
      </c>
      <c r="X255" s="13"/>
      <c r="Y255" s="15"/>
      <c r="Z255" s="13"/>
      <c r="AA255" s="15"/>
      <c r="AB255" s="13"/>
      <c r="AC255" s="15"/>
      <c r="AD255" s="13"/>
      <c r="AE255" s="15"/>
      <c r="AF255" s="13"/>
      <c r="AG255" s="15"/>
      <c r="AH255" s="13"/>
      <c r="AI255" s="15"/>
      <c r="AJ255" s="13"/>
      <c r="AK255" s="15"/>
      <c r="AL255" s="13"/>
      <c r="AM255" s="15"/>
      <c r="AN255" s="13"/>
      <c r="AO255" s="15"/>
      <c r="AP255" s="13" t="s">
        <v>114</v>
      </c>
      <c r="AQ255" s="15" t="str">
        <f>VLOOKUP(AP255,'Axe 2 Règles de gestion'!$D$2:$F$121,3, FALSE)</f>
        <v>Un détachement de courte durée à l'étranger ou dans les TOM ne peut excéder 1 an entre la date de début et la date de fin prévisionnelle.</v>
      </c>
      <c r="AR255" s="13" t="s">
        <v>116</v>
      </c>
      <c r="AS255" s="15" t="str">
        <f>VLOOKUP(AR255,'Axe 2 Règles de gestion'!$D$2:$F$121,3, FALSE)</f>
        <v>Un détachement de courte durée à l'étranger ou dans les TOM ne peut excéder 1 an entre la date de début et la date de fin réelle.</v>
      </c>
      <c r="AT255" s="13" t="s">
        <v>118</v>
      </c>
      <c r="AU255" s="15" t="str">
        <f>VLOOKUP(AT255,'Axe 2 Règles de gestion'!$D$2:$F$121,3, FALSE)</f>
        <v>Un détachement de courte durée n'ayant pas lieu à l'étranger ou dans les TOM ne peut excéder six mois entre la date de début et la date de fin prévisionnelle.</v>
      </c>
      <c r="AV255" s="13" t="s">
        <v>120</v>
      </c>
      <c r="AW255" s="15" t="str">
        <f>VLOOKUP(AV255,'Axe 2 Règles de gestion'!$D$2:$F$121,3, FALSE)</f>
        <v>Un détachement de courte durée n'ayant pas lieu à l'étranger ou dans les TOM ne peut excéder six mois entre la date de début et la date de fin réelle.</v>
      </c>
      <c r="AX255" s="13" t="s">
        <v>122</v>
      </c>
      <c r="AY255" s="15" t="str">
        <f>VLOOKUP(AX255,'Axe 2 Règles de gestion'!$D$2:$F$121,3, FALSE)</f>
        <v>Un détachement de longue durée ne peut excéder 5 ans entre la date de début et la date de fin prévisionnelle.</v>
      </c>
      <c r="AZ255" s="13" t="s">
        <v>124</v>
      </c>
      <c r="BA255" s="15" t="str">
        <f>VLOOKUP(AZ255,'Axe 2 Règles de gestion'!$D$2:$F$121,3, FALSE)</f>
        <v>Un détachement de longue durée ne peut excéder 5 ans entre la date de début et la date de fin réelle.</v>
      </c>
      <c r="BB255" s="13" t="s">
        <v>126</v>
      </c>
      <c r="BC255" s="15" t="str">
        <f>VLOOKUP(BB255,'Axe 2 Règles de gestion'!$D$2:$F$121,3, FALSE)</f>
        <v>La date de début de position doit être antérieure ou égale à la date de fin prévisionnelle de position.</v>
      </c>
      <c r="BD255" s="13" t="s">
        <v>128</v>
      </c>
      <c r="BE255" s="15" t="str">
        <f>VLOOKUP(BD255,'Axe 2 Règles de gestion'!$D$2:$F$121,3, FALSE)</f>
        <v>La date de début de la position doit être postérieure ou égale à la date d'entrée dans la FPE ou dans la carrière militaire.</v>
      </c>
      <c r="BF255" s="13" t="s">
        <v>130</v>
      </c>
      <c r="BG255" s="15" t="str">
        <f>VLOOKUP(BF255,'Axe 2 Règles de gestion'!$D$2:$F$121,3, FALSE)</f>
        <v>La date de fin réelle de la position doit être antérieure à la date limite de départ à la retraite.</v>
      </c>
      <c r="BH255" s="13" t="s">
        <v>132</v>
      </c>
      <c r="BI255" s="15" t="str">
        <f>VLOOKUP(BH255,'Axe 2 Règles de gestion'!$D$2:$F$121,3, FALSE)</f>
        <v>La date de début de position doit être antérieure ou égale à la date de fin réelle de position.</v>
      </c>
      <c r="BJ255" s="13" t="s">
        <v>134</v>
      </c>
      <c r="BK255" s="15" t="str">
        <f>VLOOKUP(BJ255,'Axe 2 Règles de gestion'!$D$2:$F$121,3, FALSE)</f>
        <v>La date de fin prévisionnelle de la position doit être antérieure à la date limite de départ à la retraite.</v>
      </c>
      <c r="BL255" s="13" t="s">
        <v>136</v>
      </c>
      <c r="BM255" s="15" t="str">
        <f>VLOOKUP(BL255,'Axe 2 Règles de gestion'!$D$2:$F$121,3, FALSE)</f>
        <v>L'indicateur de carrière est sur la valeur "Accueil".</v>
      </c>
      <c r="BN255" s="13" t="s">
        <v>138</v>
      </c>
      <c r="BO255" s="15" t="str">
        <f>VLOOKUP(BN255,'Axe 2 Règles de gestion'!$D$2:$F$121,3, FALSE)</f>
        <v>La date de début de position est à J+1 de la date de fin de position de l'occurrence précédente.</v>
      </c>
      <c r="BP255" s="13" t="s">
        <v>140</v>
      </c>
      <c r="BQ255" s="15" t="str">
        <f>VLOOKUP(BP255,'Axe 2 Règles de gestion'!$D$2:$F$121,3, FALSE)</f>
        <v>Les champs "Type d'organisme d'origine", "Catégorie statutaire d'origine" et "Pays" de l'organisme d'origine doivent être renseignés.</v>
      </c>
      <c r="BR255" s="13" t="s">
        <v>142</v>
      </c>
      <c r="BS255" s="15" t="str">
        <f>VLOOKUP(BR255,'Axe 2 Règles de gestion'!$D$2:$F$121,3, FALSE)</f>
        <v>Les champs "Ministère (ou institution de la République) d'origine", "Corps d'origine", "Grade d'origine", "Echelon d'origine" sont renseignés si le "Type d'organisme d'origine" est valorisé à FPE.</v>
      </c>
      <c r="BT255" s="13" t="s">
        <v>144</v>
      </c>
      <c r="BU255" s="15" t="str">
        <f>VLOOKUP(BT255,'Axe 2 Règles de gestion'!$D$2:$F$121,3, FALSE)</f>
        <v>Le champ "Organisme d'origine" doit être alimenté si le type d'organisme d'origine est égal à 'Autre organisme', 'Fonction publique d'un état de l'Union Européenne' ou 'Fonction publique Européenne'.</v>
      </c>
      <c r="BV255" s="13" t="s">
        <v>146</v>
      </c>
      <c r="BW255" s="15" t="str">
        <f>VLOOKUP(BV255,'Axe 2 Règles de gestion'!$D$2:$F$121,3, FALSE)</f>
        <v>Le champ "Code emploi statutaire FPT (NET)" est renseigné si le "Type d'organisme d'origine" est valorisé à FPT.</v>
      </c>
      <c r="BX255" s="13" t="s">
        <v>148</v>
      </c>
      <c r="BY255" s="15" t="str">
        <f>VLOOKUP(BX255,'Axe 2 Règles de gestion'!$D$2:$F$121,3, FALSE)</f>
        <v>Le champ "Code emploi statutaire FPH (NEH)" est renseigné si le "Type d'organisme d'origine" est valorisé à FPH.</v>
      </c>
      <c r="BZ255" s="13" t="s">
        <v>150</v>
      </c>
      <c r="CA255" s="15" t="str">
        <f>VLOOKUP(BZ255,'Axe 2 Règles de gestion'!$D$2:$F$121,3, FALSE)</f>
        <v>La date de fin ou la date de fin prévisionnelle doit être saisie.</v>
      </c>
      <c r="CB255" s="13"/>
      <c r="CC255" s="15"/>
      <c r="CD255" s="13"/>
      <c r="CE255" s="15"/>
      <c r="CF255" s="13"/>
      <c r="CG255" s="13"/>
    </row>
    <row r="256" spans="1:85" ht="150" x14ac:dyDescent="0.25">
      <c r="A256" s="13" t="s">
        <v>86</v>
      </c>
      <c r="B256" s="13" t="s">
        <v>87</v>
      </c>
      <c r="C256" s="14">
        <v>43850.552083333336</v>
      </c>
      <c r="D256" s="13" t="s">
        <v>88</v>
      </c>
      <c r="E256" s="15" t="s">
        <v>89</v>
      </c>
      <c r="F256" s="13" t="s">
        <v>90</v>
      </c>
      <c r="G256" s="15" t="s">
        <v>91</v>
      </c>
      <c r="H256" s="13" t="s">
        <v>422</v>
      </c>
      <c r="I256" s="15" t="s">
        <v>423</v>
      </c>
      <c r="J256" s="15" t="s">
        <v>424</v>
      </c>
      <c r="K256" s="15" t="s">
        <v>425</v>
      </c>
      <c r="L256" s="13" t="s">
        <v>434</v>
      </c>
      <c r="M256" s="15" t="s">
        <v>435</v>
      </c>
      <c r="N256" s="13" t="s">
        <v>188</v>
      </c>
      <c r="O256" s="15" t="s">
        <v>436</v>
      </c>
      <c r="P256" s="15" t="s">
        <v>437</v>
      </c>
      <c r="Q256" s="15" t="s">
        <v>101</v>
      </c>
      <c r="R256" s="13" t="s">
        <v>102</v>
      </c>
      <c r="S256" s="13" t="s">
        <v>103</v>
      </c>
      <c r="T256" s="13" t="s">
        <v>104</v>
      </c>
      <c r="U256" s="14">
        <v>40725</v>
      </c>
      <c r="V256" s="14"/>
      <c r="W256" s="15" t="s">
        <v>191</v>
      </c>
      <c r="X256" s="13" t="s">
        <v>192</v>
      </c>
      <c r="Y256" s="15" t="str">
        <f>VLOOKUP(X256,'Axe 2 Règles de gestion'!$D$2:$F$121,3, FALSE)</f>
        <v>Le détachement peut prendre fin de manière anticipée à l'initiative de l'administration d'accueil, de l'administration d'origine ou de l'agent.</v>
      </c>
      <c r="Z256" s="13" t="s">
        <v>194</v>
      </c>
      <c r="AA256" s="15" t="str">
        <f>VLOOKUP(Z256,'Axe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56" s="13" t="s">
        <v>196</v>
      </c>
      <c r="AC256" s="15" t="str">
        <f>VLOOKUP(AB256,'Axe 2 Règles de gestion'!$D$2:$F$121,3, FALSE)</f>
        <v>L'agent doit adresser une demande de réintégration à l'administration d'origine 3 mois au moins avant l'expiration de la période de détachement de longue durée.</v>
      </c>
      <c r="AD256" s="13" t="s">
        <v>175</v>
      </c>
      <c r="AE256" s="15" t="str">
        <f>VLOOKUP(AD256,'Axe 2 Règles de gestion'!$D$2:$F$121,3, FALSE)</f>
        <v>L'organisme d'accueil adresse sa décision à l'agent et à l'administration d'origine 2 mois au moins avant l'expiration de la période de détachement.</v>
      </c>
      <c r="AF256" s="13" t="s">
        <v>198</v>
      </c>
      <c r="AG256" s="15" t="str">
        <f>VLOOKUP(AF256,'Axe 2 Règles de gestion'!$D$2:$F$121,3, FALSE)</f>
        <v>Si l'agent n'adresse pas sa demande dans les délais, il est obligatoirement réintégré à la première vacance dans son corps d'origine et affecté à un emploi correspondant à son grade.</v>
      </c>
      <c r="AH256" s="13" t="s">
        <v>200</v>
      </c>
      <c r="AI256" s="15" t="str">
        <f>VLOOKUP(AH256,'Axe 2 Règles de gestion'!$D$2:$F$121,3, FALSE)</f>
        <v>Les dispositions relatives à la réintégration au terme d'un détachement de longue durée ne sont pas applicables aux préfets et sous-préfets.</v>
      </c>
      <c r="AJ256" s="13"/>
      <c r="AK256" s="15"/>
      <c r="AL256" s="13"/>
      <c r="AM256" s="15"/>
      <c r="AN256" s="13"/>
      <c r="AO256" s="15"/>
      <c r="AP256" s="13" t="s">
        <v>114</v>
      </c>
      <c r="AQ256" s="15" t="str">
        <f>VLOOKUP(AP256,'Axe 2 Règles de gestion'!$D$2:$F$121,3, FALSE)</f>
        <v>Un détachement de courte durée à l'étranger ou dans les TOM ne peut excéder 1 an entre la date de début et la date de fin prévisionnelle.</v>
      </c>
      <c r="AR256" s="13" t="s">
        <v>116</v>
      </c>
      <c r="AS256" s="15" t="str">
        <f>VLOOKUP(AR256,'Axe 2 Règles de gestion'!$D$2:$F$121,3, FALSE)</f>
        <v>Un détachement de courte durée à l'étranger ou dans les TOM ne peut excéder 1 an entre la date de début et la date de fin réelle.</v>
      </c>
      <c r="AT256" s="13" t="s">
        <v>118</v>
      </c>
      <c r="AU256" s="15" t="str">
        <f>VLOOKUP(AT256,'Axe 2 Règles de gestion'!$D$2:$F$121,3, FALSE)</f>
        <v>Un détachement de courte durée n'ayant pas lieu à l'étranger ou dans les TOM ne peut excéder six mois entre la date de début et la date de fin prévisionnelle.</v>
      </c>
      <c r="AV256" s="13" t="s">
        <v>120</v>
      </c>
      <c r="AW256" s="15" t="str">
        <f>VLOOKUP(AV256,'Axe 2 Règles de gestion'!$D$2:$F$121,3, FALSE)</f>
        <v>Un détachement de courte durée n'ayant pas lieu à l'étranger ou dans les TOM ne peut excéder six mois entre la date de début et la date de fin réelle.</v>
      </c>
      <c r="AX256" s="13" t="s">
        <v>122</v>
      </c>
      <c r="AY256" s="15" t="str">
        <f>VLOOKUP(AX256,'Axe 2 Règles de gestion'!$D$2:$F$121,3, FALSE)</f>
        <v>Un détachement de longue durée ne peut excéder 5 ans entre la date de début et la date de fin prévisionnelle.</v>
      </c>
      <c r="AZ256" s="13" t="s">
        <v>124</v>
      </c>
      <c r="BA256" s="15" t="str">
        <f>VLOOKUP(AZ256,'Axe 2 Règles de gestion'!$D$2:$F$121,3, FALSE)</f>
        <v>Un détachement de longue durée ne peut excéder 5 ans entre la date de début et la date de fin réelle.</v>
      </c>
      <c r="BB256" s="13" t="s">
        <v>126</v>
      </c>
      <c r="BC256" s="15" t="str">
        <f>VLOOKUP(BB256,'Axe 2 Règles de gestion'!$D$2:$F$121,3, FALSE)</f>
        <v>La date de début de position doit être antérieure ou égale à la date de fin prévisionnelle de position.</v>
      </c>
      <c r="BD256" s="13" t="s">
        <v>130</v>
      </c>
      <c r="BE256" s="15" t="str">
        <f>VLOOKUP(BD256,'Axe 2 Règles de gestion'!$D$2:$F$121,3, FALSE)</f>
        <v>La date de fin réelle de la position doit être antérieure à la date limite de départ à la retraite.</v>
      </c>
      <c r="BF256" s="13" t="s">
        <v>132</v>
      </c>
      <c r="BG256" s="15" t="str">
        <f>VLOOKUP(BF256,'Axe 2 Règles de gestion'!$D$2:$F$121,3, FALSE)</f>
        <v>La date de début de position doit être antérieure ou égale à la date de fin réelle de position.</v>
      </c>
      <c r="BH256" s="13" t="s">
        <v>134</v>
      </c>
      <c r="BI256" s="15" t="str">
        <f>VLOOKUP(BH256,'Axe 2 Règles de gestion'!$D$2:$F$121,3, FALSE)</f>
        <v>La date de fin prévisionnelle de la position doit être antérieure à la date limite de départ à la retraite.</v>
      </c>
      <c r="BJ256" s="13" t="s">
        <v>140</v>
      </c>
      <c r="BK256" s="15" t="str">
        <f>VLOOKUP(BJ256,'Axe 2 Règles de gestion'!$D$2:$F$121,3, FALSE)</f>
        <v>Les champs "Type d'organisme d'origine", "Catégorie statutaire d'origine" et "Pays" de l'organisme d'origine doivent être renseignés.</v>
      </c>
      <c r="BL256" s="13" t="s">
        <v>142</v>
      </c>
      <c r="BM256" s="15" t="str">
        <f>VLOOKUP(BL256,'Axe 2 Règles de gestion'!$D$2:$F$121,3, FALSE)</f>
        <v>Les champs "Ministère (ou institution de la République) d'origine", "Corps d'origine", "Grade d'origine", "Echelon d'origine" sont renseignés si le "Type d'organisme d'origine" est valorisé à FPE.</v>
      </c>
      <c r="BN256" s="13" t="s">
        <v>144</v>
      </c>
      <c r="BO256" s="15" t="str">
        <f>VLOOKUP(BN256,'Axe 2 Règles de gestion'!$D$2:$F$121,3, FALSE)</f>
        <v>Le champ "Organisme d'origine" doit être alimenté si le type d'organisme d'origine est égal à 'Autre organisme', 'Fonction publique d'un état de l'Union Européenne' ou 'Fonction publique Européenne'.</v>
      </c>
      <c r="BP256" s="13" t="s">
        <v>146</v>
      </c>
      <c r="BQ256" s="15" t="str">
        <f>VLOOKUP(BP256,'Axe 2 Règles de gestion'!$D$2:$F$121,3, FALSE)</f>
        <v>Le champ "Code emploi statutaire FPT (NET)" est renseigné si le "Type d'organisme d'origine" est valorisé à FPT.</v>
      </c>
      <c r="BR256" s="13" t="s">
        <v>148</v>
      </c>
      <c r="BS256" s="15" t="str">
        <f>VLOOKUP(BR256,'Axe 2 Règles de gestion'!$D$2:$F$121,3, FALSE)</f>
        <v>Le champ "Code emploi statutaire FPH (NEH)" est renseigné si le "Type d'organisme d'origine" est valorisé à FPH.</v>
      </c>
      <c r="BT256" s="13" t="s">
        <v>150</v>
      </c>
      <c r="BU256" s="15" t="str">
        <f>VLOOKUP(BT256,'Axe 2 Règles de gestion'!$D$2:$F$121,3, FALSE)</f>
        <v>La date de fin ou la date de fin prévisionnelle doit être saisie.</v>
      </c>
      <c r="BV256" s="13"/>
      <c r="BW256" s="15"/>
      <c r="BX256" s="13"/>
      <c r="BY256" s="15"/>
      <c r="BZ256" s="13"/>
      <c r="CA256" s="15"/>
      <c r="CB256" s="13"/>
      <c r="CC256" s="15"/>
      <c r="CD256" s="13"/>
      <c r="CE256" s="15"/>
      <c r="CF256" s="13"/>
      <c r="CG256" s="13"/>
    </row>
    <row r="257" spans="1:85" ht="120" x14ac:dyDescent="0.25">
      <c r="A257" s="13" t="s">
        <v>202</v>
      </c>
      <c r="B257" s="13" t="s">
        <v>153</v>
      </c>
      <c r="C257" s="14">
        <v>43152.5</v>
      </c>
      <c r="D257" s="13" t="s">
        <v>88</v>
      </c>
      <c r="E257" s="15" t="s">
        <v>89</v>
      </c>
      <c r="F257" s="13" t="s">
        <v>90</v>
      </c>
      <c r="G257" s="15" t="s">
        <v>91</v>
      </c>
      <c r="H257" s="13" t="s">
        <v>422</v>
      </c>
      <c r="I257" s="15" t="s">
        <v>423</v>
      </c>
      <c r="J257" s="15" t="s">
        <v>424</v>
      </c>
      <c r="K257" s="15" t="s">
        <v>425</v>
      </c>
      <c r="L257" s="13" t="s">
        <v>426</v>
      </c>
      <c r="M257" s="15" t="s">
        <v>427</v>
      </c>
      <c r="N257" s="13" t="s">
        <v>98</v>
      </c>
      <c r="O257" s="15" t="s">
        <v>428</v>
      </c>
      <c r="P257" s="15" t="s">
        <v>429</v>
      </c>
      <c r="Q257" s="15" t="s">
        <v>203</v>
      </c>
      <c r="R257" s="13" t="s">
        <v>204</v>
      </c>
      <c r="S257" s="13" t="s">
        <v>103</v>
      </c>
      <c r="T257" s="13" t="s">
        <v>205</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3"/>
    </row>
    <row r="258" spans="1:85" ht="120" x14ac:dyDescent="0.25">
      <c r="A258" s="13" t="s">
        <v>202</v>
      </c>
      <c r="B258" s="13" t="s">
        <v>153</v>
      </c>
      <c r="C258" s="14">
        <v>43152.5</v>
      </c>
      <c r="D258" s="13" t="s">
        <v>88</v>
      </c>
      <c r="E258" s="15" t="s">
        <v>89</v>
      </c>
      <c r="F258" s="13" t="s">
        <v>90</v>
      </c>
      <c r="G258" s="15" t="s">
        <v>91</v>
      </c>
      <c r="H258" s="13" t="s">
        <v>422</v>
      </c>
      <c r="I258" s="15" t="s">
        <v>423</v>
      </c>
      <c r="J258" s="15" t="s">
        <v>424</v>
      </c>
      <c r="K258" s="15" t="s">
        <v>425</v>
      </c>
      <c r="L258" s="13" t="s">
        <v>434</v>
      </c>
      <c r="M258" s="15" t="s">
        <v>435</v>
      </c>
      <c r="N258" s="13" t="s">
        <v>188</v>
      </c>
      <c r="O258" s="15" t="s">
        <v>436</v>
      </c>
      <c r="P258" s="15" t="s">
        <v>437</v>
      </c>
      <c r="Q258" s="15" t="s">
        <v>203</v>
      </c>
      <c r="R258" s="13" t="s">
        <v>204</v>
      </c>
      <c r="S258" s="13" t="s">
        <v>103</v>
      </c>
      <c r="T258" s="13" t="s">
        <v>205</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3"/>
    </row>
    <row r="259" spans="1:85" ht="135" x14ac:dyDescent="0.25">
      <c r="A259" s="13" t="s">
        <v>438</v>
      </c>
      <c r="B259" s="13" t="s">
        <v>87</v>
      </c>
      <c r="C259" s="14">
        <v>44300.498611111114</v>
      </c>
      <c r="D259" s="13" t="s">
        <v>88</v>
      </c>
      <c r="E259" s="15" t="s">
        <v>89</v>
      </c>
      <c r="F259" s="13" t="s">
        <v>90</v>
      </c>
      <c r="G259" s="15" t="s">
        <v>91</v>
      </c>
      <c r="H259" s="13" t="s">
        <v>422</v>
      </c>
      <c r="I259" s="15" t="s">
        <v>423</v>
      </c>
      <c r="J259" s="15" t="s">
        <v>424</v>
      </c>
      <c r="K259" s="15" t="s">
        <v>425</v>
      </c>
      <c r="L259" s="13" t="s">
        <v>426</v>
      </c>
      <c r="M259" s="15" t="s">
        <v>427</v>
      </c>
      <c r="N259" s="13" t="s">
        <v>98</v>
      </c>
      <c r="O259" s="15" t="s">
        <v>428</v>
      </c>
      <c r="P259" s="15" t="s">
        <v>429</v>
      </c>
      <c r="Q259" s="15" t="s">
        <v>206</v>
      </c>
      <c r="R259" s="13" t="s">
        <v>207</v>
      </c>
      <c r="S259" s="13" t="s">
        <v>103</v>
      </c>
      <c r="T259" s="13" t="s">
        <v>104</v>
      </c>
      <c r="U259" s="14">
        <v>40725</v>
      </c>
      <c r="V259" s="14"/>
      <c r="W259" s="15" t="s">
        <v>439</v>
      </c>
      <c r="X259" s="13" t="s">
        <v>440</v>
      </c>
      <c r="Y259" s="15" t="str">
        <f>VLOOKUP(X259,'Axe 2 Règles de gestion'!$D$2:$F$121,3, FALSE)</f>
        <v>L'agent ne peut être détaché que par nécessité de service et seulement dans un emploi qui n'est pas, par la nature et les conditions d'exercice des fonctions qu'il comporte, incompatible avec sa situation de stagiaire.</v>
      </c>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t="s">
        <v>126</v>
      </c>
      <c r="BC259" s="15" t="str">
        <f>VLOOKUP(BB259,'Axe 2 Règles de gestion'!$D$2:$F$121,3, FALSE)</f>
        <v>La date de début de position doit être antérieure ou égale à la date de fin prévisionnelle de position.</v>
      </c>
      <c r="BD259" s="13" t="s">
        <v>128</v>
      </c>
      <c r="BE259" s="15" t="str">
        <f>VLOOKUP(BD259,'Axe 2 Règles de gestion'!$D$2:$F$121,3, FALSE)</f>
        <v>La date de début de la position doit être postérieure ou égale à la date d'entrée dans la FPE ou dans la carrière militaire.</v>
      </c>
      <c r="BF259" s="13" t="s">
        <v>130</v>
      </c>
      <c r="BG259" s="15" t="str">
        <f>VLOOKUP(BF259,'Axe 2 Règles de gestion'!$D$2:$F$121,3, FALSE)</f>
        <v>La date de fin réelle de la position doit être antérieure à la date limite de départ à la retraite.</v>
      </c>
      <c r="BH259" s="13" t="s">
        <v>132</v>
      </c>
      <c r="BI259" s="15" t="str">
        <f>VLOOKUP(BH259,'Axe 2 Règles de gestion'!$D$2:$F$121,3, FALSE)</f>
        <v>La date de début de position doit être antérieure ou égale à la date de fin réelle de position.</v>
      </c>
      <c r="BJ259" s="13" t="s">
        <v>134</v>
      </c>
      <c r="BK259" s="15" t="str">
        <f>VLOOKUP(BJ259,'Axe 2 Règles de gestion'!$D$2:$F$121,3, FALSE)</f>
        <v>La date de fin prévisionnelle de la position doit être antérieure à la date limite de départ à la retraite.</v>
      </c>
      <c r="BL259" s="13" t="s">
        <v>136</v>
      </c>
      <c r="BM259" s="15" t="str">
        <f>VLOOKUP(BL259,'Axe 2 Règles de gestion'!$D$2:$F$121,3, FALSE)</f>
        <v>L'indicateur de carrière est sur la valeur "Accueil".</v>
      </c>
      <c r="BN259" s="13" t="s">
        <v>138</v>
      </c>
      <c r="BO259" s="15" t="str">
        <f>VLOOKUP(BN259,'Axe 2 Règles de gestion'!$D$2:$F$121,3, FALSE)</f>
        <v>La date de début de position est à J+1 de la date de fin de position de l'occurrence précédente.</v>
      </c>
      <c r="BP259" s="13" t="s">
        <v>140</v>
      </c>
      <c r="BQ259" s="15" t="str">
        <f>VLOOKUP(BP259,'Axe 2 Règles de gestion'!$D$2:$F$121,3, FALSE)</f>
        <v>Les champs "Type d'organisme d'origine", "Catégorie statutaire d'origine" et "Pays" de l'organisme d'origine doivent être renseignés.</v>
      </c>
      <c r="BR259" s="13" t="s">
        <v>142</v>
      </c>
      <c r="BS259" s="15" t="str">
        <f>VLOOKUP(BR259,'Axe 2 Règles de gestion'!$D$2:$F$121,3, FALSE)</f>
        <v>Les champs "Ministère (ou institution de la République) d'origine", "Corps d'origine", "Grade d'origine", "Echelon d'origine" sont renseignés si le "Type d'organisme d'origine" est valorisé à FPE.</v>
      </c>
      <c r="BT259" s="13" t="s">
        <v>144</v>
      </c>
      <c r="BU259" s="15" t="str">
        <f>VLOOKUP(BT259,'Axe 2 Règles de gestion'!$D$2:$F$121,3, FALSE)</f>
        <v>Le champ "Organisme d'origine" doit être alimenté si le type d'organisme d'origine est égal à 'Autre organisme', 'Fonction publique d'un état de l'Union Européenne' ou 'Fonction publique Européenne'.</v>
      </c>
      <c r="BV259" s="13" t="s">
        <v>146</v>
      </c>
      <c r="BW259" s="15" t="str">
        <f>VLOOKUP(BV259,'Axe 2 Règles de gestion'!$D$2:$F$121,3, FALSE)</f>
        <v>Le champ "Code emploi statutaire FPT (NET)" est renseigné si le "Type d'organisme d'origine" est valorisé à FPT.</v>
      </c>
      <c r="BX259" s="13" t="s">
        <v>148</v>
      </c>
      <c r="BY259" s="15" t="str">
        <f>VLOOKUP(BX259,'Axe 2 Règles de gestion'!$D$2:$F$121,3, FALSE)</f>
        <v>Le champ "Code emploi statutaire FPH (NEH)" est renseigné si le "Type d'organisme d'origine" est valorisé à FPH.</v>
      </c>
      <c r="BZ259" s="13" t="s">
        <v>150</v>
      </c>
      <c r="CA259" s="15" t="str">
        <f>VLOOKUP(BZ259,'Axe 2 Règles de gestion'!$D$2:$F$121,3, FALSE)</f>
        <v>La date de fin ou la date de fin prévisionnelle doit être saisie.</v>
      </c>
      <c r="CB259" s="13"/>
      <c r="CC259" s="15"/>
      <c r="CD259" s="13"/>
      <c r="CE259" s="15"/>
      <c r="CF259" s="13"/>
      <c r="CG259" s="13"/>
    </row>
    <row r="260" spans="1:85" ht="135" x14ac:dyDescent="0.25">
      <c r="A260" s="13" t="s">
        <v>438</v>
      </c>
      <c r="B260" s="13" t="s">
        <v>153</v>
      </c>
      <c r="C260" s="14">
        <v>44300.5</v>
      </c>
      <c r="D260" s="13" t="s">
        <v>88</v>
      </c>
      <c r="E260" s="15" t="s">
        <v>89</v>
      </c>
      <c r="F260" s="13" t="s">
        <v>90</v>
      </c>
      <c r="G260" s="15" t="s">
        <v>91</v>
      </c>
      <c r="H260" s="13" t="s">
        <v>422</v>
      </c>
      <c r="I260" s="15" t="s">
        <v>423</v>
      </c>
      <c r="J260" s="15" t="s">
        <v>424</v>
      </c>
      <c r="K260" s="15" t="s">
        <v>425</v>
      </c>
      <c r="L260" s="13" t="s">
        <v>434</v>
      </c>
      <c r="M260" s="15" t="s">
        <v>435</v>
      </c>
      <c r="N260" s="13" t="s">
        <v>188</v>
      </c>
      <c r="O260" s="15" t="s">
        <v>436</v>
      </c>
      <c r="P260" s="15" t="s">
        <v>437</v>
      </c>
      <c r="Q260" s="15" t="s">
        <v>206</v>
      </c>
      <c r="R260" s="13" t="s">
        <v>207</v>
      </c>
      <c r="S260" s="13" t="s">
        <v>103</v>
      </c>
      <c r="T260" s="13" t="s">
        <v>104</v>
      </c>
      <c r="U260" s="14">
        <v>40725</v>
      </c>
      <c r="V260" s="14"/>
      <c r="W260" s="15" t="s">
        <v>442</v>
      </c>
      <c r="X260" s="13" t="s">
        <v>440</v>
      </c>
      <c r="Y260" s="15" t="str">
        <f>VLOOKUP(X260,'Axe 2 Règles de gestion'!$D$2:$F$121,3, FALSE)</f>
        <v>L'agent ne peut être détaché que par nécessité de service et seulement dans un emploi qui n'est pas, par la nature et les conditions d'exercice des fonctions qu'il comporte, incompatible avec sa situation de stagiaire.</v>
      </c>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t="s">
        <v>126</v>
      </c>
      <c r="BC260" s="15" t="str">
        <f>VLOOKUP(BB260,'Axe 2 Règles de gestion'!$D$2:$F$121,3, FALSE)</f>
        <v>La date de début de position doit être antérieure ou égale à la date de fin prévisionnelle de position.</v>
      </c>
      <c r="BD260" s="13" t="s">
        <v>130</v>
      </c>
      <c r="BE260" s="15" t="str">
        <f>VLOOKUP(BD260,'Axe 2 Règles de gestion'!$D$2:$F$121,3, FALSE)</f>
        <v>La date de fin réelle de la position doit être antérieure à la date limite de départ à la retraite.</v>
      </c>
      <c r="BF260" s="13" t="s">
        <v>132</v>
      </c>
      <c r="BG260" s="15" t="str">
        <f>VLOOKUP(BF260,'Axe 2 Règles de gestion'!$D$2:$F$121,3, FALSE)</f>
        <v>La date de début de position doit être antérieure ou égale à la date de fin réelle de position.</v>
      </c>
      <c r="BH260" s="13" t="s">
        <v>134</v>
      </c>
      <c r="BI260" s="15" t="str">
        <f>VLOOKUP(BH260,'Axe 2 Règles de gestion'!$D$2:$F$121,3, FALSE)</f>
        <v>La date de fin prévisionnelle de la position doit être antérieure à la date limite de départ à la retraite.</v>
      </c>
      <c r="BJ260" s="13" t="s">
        <v>140</v>
      </c>
      <c r="BK260" s="15" t="str">
        <f>VLOOKUP(BJ260,'Axe 2 Règles de gestion'!$D$2:$F$121,3, FALSE)</f>
        <v>Les champs "Type d'organisme d'origine", "Catégorie statutaire d'origine" et "Pays" de l'organisme d'origine doivent être renseignés.</v>
      </c>
      <c r="BL260" s="13" t="s">
        <v>142</v>
      </c>
      <c r="BM260" s="15" t="str">
        <f>VLOOKUP(BL260,'Axe 2 Règles de gestion'!$D$2:$F$121,3, FALSE)</f>
        <v>Les champs "Ministère (ou institution de la République) d'origine", "Corps d'origine", "Grade d'origine", "Echelon d'origine" sont renseignés si le "Type d'organisme d'origine" est valorisé à FPE.</v>
      </c>
      <c r="BN260" s="13" t="s">
        <v>144</v>
      </c>
      <c r="BO260" s="15" t="str">
        <f>VLOOKUP(BN260,'Axe 2 Règles de gestion'!$D$2:$F$121,3, FALSE)</f>
        <v>Le champ "Organisme d'origine" doit être alimenté si le type d'organisme d'origine est égal à 'Autre organisme', 'Fonction publique d'un état de l'Union Européenne' ou 'Fonction publique Européenne'.</v>
      </c>
      <c r="BP260" s="13" t="s">
        <v>146</v>
      </c>
      <c r="BQ260" s="15" t="str">
        <f>VLOOKUP(BP260,'Axe 2 Règles de gestion'!$D$2:$F$121,3, FALSE)</f>
        <v>Le champ "Code emploi statutaire FPT (NET)" est renseigné si le "Type d'organisme d'origine" est valorisé à FPT.</v>
      </c>
      <c r="BR260" s="13" t="s">
        <v>148</v>
      </c>
      <c r="BS260" s="15" t="str">
        <f>VLOOKUP(BR260,'Axe 2 Règles de gestion'!$D$2:$F$121,3, FALSE)</f>
        <v>Le champ "Code emploi statutaire FPH (NEH)" est renseigné si le "Type d'organisme d'origine" est valorisé à FPH.</v>
      </c>
      <c r="BT260" s="13" t="s">
        <v>150</v>
      </c>
      <c r="BU260" s="15" t="str">
        <f>VLOOKUP(BT260,'Axe 2 Règles de gestion'!$D$2:$F$121,3, FALSE)</f>
        <v>La date de fin ou la date de fin prévisionnelle doit être saisie.</v>
      </c>
      <c r="BV260" s="13"/>
      <c r="BW260" s="15"/>
      <c r="BX260" s="13"/>
      <c r="BY260" s="15"/>
      <c r="BZ260" s="13"/>
      <c r="CA260" s="15"/>
      <c r="CB260" s="13"/>
      <c r="CC260" s="15"/>
      <c r="CD260" s="13"/>
      <c r="CE260" s="15"/>
      <c r="CF260" s="13"/>
      <c r="CG260" s="13"/>
    </row>
    <row r="261" spans="1:85" ht="120" x14ac:dyDescent="0.25">
      <c r="A261" s="13" t="s">
        <v>202</v>
      </c>
      <c r="B261" s="13" t="s">
        <v>153</v>
      </c>
      <c r="C261" s="14">
        <v>43152.5</v>
      </c>
      <c r="D261" s="13" t="s">
        <v>88</v>
      </c>
      <c r="E261" s="15" t="s">
        <v>89</v>
      </c>
      <c r="F261" s="13" t="s">
        <v>90</v>
      </c>
      <c r="G261" s="15" t="s">
        <v>91</v>
      </c>
      <c r="H261" s="13" t="s">
        <v>422</v>
      </c>
      <c r="I261" s="15" t="s">
        <v>423</v>
      </c>
      <c r="J261" s="15" t="s">
        <v>424</v>
      </c>
      <c r="K261" s="15" t="s">
        <v>425</v>
      </c>
      <c r="L261" s="13" t="s">
        <v>426</v>
      </c>
      <c r="M261" s="15" t="s">
        <v>427</v>
      </c>
      <c r="N261" s="13" t="s">
        <v>98</v>
      </c>
      <c r="O261" s="15" t="s">
        <v>428</v>
      </c>
      <c r="P261" s="15" t="s">
        <v>429</v>
      </c>
      <c r="Q261" s="15" t="s">
        <v>208</v>
      </c>
      <c r="R261" s="13" t="s">
        <v>209</v>
      </c>
      <c r="S261" s="13" t="s">
        <v>103</v>
      </c>
      <c r="T261" s="13" t="s">
        <v>205</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3"/>
    </row>
    <row r="262" spans="1:85" ht="120" x14ac:dyDescent="0.25">
      <c r="A262" s="13" t="s">
        <v>202</v>
      </c>
      <c r="B262" s="13" t="s">
        <v>153</v>
      </c>
      <c r="C262" s="14">
        <v>43152.5</v>
      </c>
      <c r="D262" s="13" t="s">
        <v>88</v>
      </c>
      <c r="E262" s="15" t="s">
        <v>89</v>
      </c>
      <c r="F262" s="13" t="s">
        <v>90</v>
      </c>
      <c r="G262" s="15" t="s">
        <v>91</v>
      </c>
      <c r="H262" s="13" t="s">
        <v>422</v>
      </c>
      <c r="I262" s="15" t="s">
        <v>423</v>
      </c>
      <c r="J262" s="15" t="s">
        <v>424</v>
      </c>
      <c r="K262" s="15" t="s">
        <v>425</v>
      </c>
      <c r="L262" s="13" t="s">
        <v>434</v>
      </c>
      <c r="M262" s="15" t="s">
        <v>435</v>
      </c>
      <c r="N262" s="13" t="s">
        <v>188</v>
      </c>
      <c r="O262" s="15" t="s">
        <v>436</v>
      </c>
      <c r="P262" s="15" t="s">
        <v>437</v>
      </c>
      <c r="Q262" s="15" t="s">
        <v>208</v>
      </c>
      <c r="R262" s="13" t="s">
        <v>209</v>
      </c>
      <c r="S262" s="13" t="s">
        <v>103</v>
      </c>
      <c r="T262" s="13" t="s">
        <v>205</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c r="CE262" s="15"/>
      <c r="CF262" s="13"/>
      <c r="CG262" s="13"/>
    </row>
    <row r="263" spans="1:85" ht="120" x14ac:dyDescent="0.25">
      <c r="A263" s="13" t="s">
        <v>202</v>
      </c>
      <c r="B263" s="13" t="s">
        <v>153</v>
      </c>
      <c r="C263" s="14">
        <v>43152.5</v>
      </c>
      <c r="D263" s="13" t="s">
        <v>88</v>
      </c>
      <c r="E263" s="15" t="s">
        <v>89</v>
      </c>
      <c r="F263" s="13" t="s">
        <v>90</v>
      </c>
      <c r="G263" s="15" t="s">
        <v>91</v>
      </c>
      <c r="H263" s="13" t="s">
        <v>422</v>
      </c>
      <c r="I263" s="15" t="s">
        <v>423</v>
      </c>
      <c r="J263" s="15" t="s">
        <v>424</v>
      </c>
      <c r="K263" s="15" t="s">
        <v>425</v>
      </c>
      <c r="L263" s="13" t="s">
        <v>426</v>
      </c>
      <c r="M263" s="15" t="s">
        <v>427</v>
      </c>
      <c r="N263" s="13" t="s">
        <v>98</v>
      </c>
      <c r="O263" s="15" t="s">
        <v>428</v>
      </c>
      <c r="P263" s="15" t="s">
        <v>429</v>
      </c>
      <c r="Q263" s="15" t="s">
        <v>366</v>
      </c>
      <c r="R263" s="13" t="s">
        <v>367</v>
      </c>
      <c r="S263" s="13" t="s">
        <v>212</v>
      </c>
      <c r="T263" s="13" t="s">
        <v>205</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c r="CE263" s="15"/>
      <c r="CF263" s="13"/>
      <c r="CG263" s="13"/>
    </row>
    <row r="264" spans="1:85" ht="120" x14ac:dyDescent="0.25">
      <c r="A264" s="13" t="s">
        <v>202</v>
      </c>
      <c r="B264" s="13" t="s">
        <v>153</v>
      </c>
      <c r="C264" s="14">
        <v>43152.5</v>
      </c>
      <c r="D264" s="13" t="s">
        <v>88</v>
      </c>
      <c r="E264" s="15" t="s">
        <v>89</v>
      </c>
      <c r="F264" s="13" t="s">
        <v>90</v>
      </c>
      <c r="G264" s="15" t="s">
        <v>91</v>
      </c>
      <c r="H264" s="13" t="s">
        <v>422</v>
      </c>
      <c r="I264" s="15" t="s">
        <v>423</v>
      </c>
      <c r="J264" s="15" t="s">
        <v>424</v>
      </c>
      <c r="K264" s="15" t="s">
        <v>425</v>
      </c>
      <c r="L264" s="13" t="s">
        <v>434</v>
      </c>
      <c r="M264" s="15" t="s">
        <v>435</v>
      </c>
      <c r="N264" s="13" t="s">
        <v>188</v>
      </c>
      <c r="O264" s="15" t="s">
        <v>436</v>
      </c>
      <c r="P264" s="15" t="s">
        <v>437</v>
      </c>
      <c r="Q264" s="15" t="s">
        <v>366</v>
      </c>
      <c r="R264" s="13" t="s">
        <v>367</v>
      </c>
      <c r="S264" s="13" t="s">
        <v>212</v>
      </c>
      <c r="T264" s="13" t="s">
        <v>205</v>
      </c>
      <c r="U264" s="14">
        <v>40725</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c r="BT264" s="13"/>
      <c r="BU264" s="15"/>
      <c r="BV264" s="13"/>
      <c r="BW264" s="15"/>
      <c r="BX264" s="13"/>
      <c r="BY264" s="15"/>
      <c r="BZ264" s="13"/>
      <c r="CA264" s="15"/>
      <c r="CB264" s="13"/>
      <c r="CC264" s="15"/>
      <c r="CD264" s="13"/>
      <c r="CE264" s="15"/>
      <c r="CF264" s="13"/>
      <c r="CG264" s="13"/>
    </row>
    <row r="265" spans="1:85" ht="120" x14ac:dyDescent="0.25">
      <c r="A265" s="13" t="s">
        <v>202</v>
      </c>
      <c r="B265" s="13" t="s">
        <v>153</v>
      </c>
      <c r="C265" s="14">
        <v>43152.5</v>
      </c>
      <c r="D265" s="13" t="s">
        <v>88</v>
      </c>
      <c r="E265" s="15" t="s">
        <v>89</v>
      </c>
      <c r="F265" s="13" t="s">
        <v>90</v>
      </c>
      <c r="G265" s="15" t="s">
        <v>91</v>
      </c>
      <c r="H265" s="13" t="s">
        <v>422</v>
      </c>
      <c r="I265" s="15" t="s">
        <v>423</v>
      </c>
      <c r="J265" s="15" t="s">
        <v>424</v>
      </c>
      <c r="K265" s="15" t="s">
        <v>425</v>
      </c>
      <c r="L265" s="13" t="s">
        <v>426</v>
      </c>
      <c r="M265" s="15" t="s">
        <v>427</v>
      </c>
      <c r="N265" s="13" t="s">
        <v>98</v>
      </c>
      <c r="O265" s="15" t="s">
        <v>428</v>
      </c>
      <c r="P265" s="15" t="s">
        <v>429</v>
      </c>
      <c r="Q265" s="15" t="s">
        <v>219</v>
      </c>
      <c r="R265" s="13" t="s">
        <v>220</v>
      </c>
      <c r="S265" s="13" t="s">
        <v>212</v>
      </c>
      <c r="T265" s="13" t="s">
        <v>205</v>
      </c>
      <c r="U265" s="14">
        <v>40725</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c r="BC265" s="15"/>
      <c r="BD265" s="13"/>
      <c r="BE265" s="15"/>
      <c r="BF265" s="13"/>
      <c r="BG265" s="15"/>
      <c r="BH265" s="13"/>
      <c r="BI265" s="15"/>
      <c r="BJ265" s="13"/>
      <c r="BK265" s="15"/>
      <c r="BL265" s="13"/>
      <c r="BM265" s="15"/>
      <c r="BN265" s="13"/>
      <c r="BO265" s="15"/>
      <c r="BP265" s="13"/>
      <c r="BQ265" s="15"/>
      <c r="BR265" s="13"/>
      <c r="BS265" s="15"/>
      <c r="BT265" s="13"/>
      <c r="BU265" s="15"/>
      <c r="BV265" s="13"/>
      <c r="BW265" s="15"/>
      <c r="BX265" s="13"/>
      <c r="BY265" s="15"/>
      <c r="BZ265" s="13"/>
      <c r="CA265" s="15"/>
      <c r="CB265" s="13"/>
      <c r="CC265" s="15"/>
      <c r="CD265" s="13"/>
      <c r="CE265" s="15"/>
      <c r="CF265" s="13"/>
      <c r="CG265" s="13"/>
    </row>
    <row r="266" spans="1:85" ht="120" x14ac:dyDescent="0.25">
      <c r="A266" s="13" t="s">
        <v>202</v>
      </c>
      <c r="B266" s="13" t="s">
        <v>153</v>
      </c>
      <c r="C266" s="14">
        <v>43152.5</v>
      </c>
      <c r="D266" s="13" t="s">
        <v>88</v>
      </c>
      <c r="E266" s="15" t="s">
        <v>89</v>
      </c>
      <c r="F266" s="13" t="s">
        <v>90</v>
      </c>
      <c r="G266" s="15" t="s">
        <v>91</v>
      </c>
      <c r="H266" s="13" t="s">
        <v>422</v>
      </c>
      <c r="I266" s="15" t="s">
        <v>423</v>
      </c>
      <c r="J266" s="15" t="s">
        <v>424</v>
      </c>
      <c r="K266" s="15" t="s">
        <v>425</v>
      </c>
      <c r="L266" s="13" t="s">
        <v>434</v>
      </c>
      <c r="M266" s="15" t="s">
        <v>435</v>
      </c>
      <c r="N266" s="13" t="s">
        <v>188</v>
      </c>
      <c r="O266" s="15" t="s">
        <v>436</v>
      </c>
      <c r="P266" s="15" t="s">
        <v>437</v>
      </c>
      <c r="Q266" s="15" t="s">
        <v>219</v>
      </c>
      <c r="R266" s="13" t="s">
        <v>220</v>
      </c>
      <c r="S266" s="13" t="s">
        <v>212</v>
      </c>
      <c r="T266" s="13" t="s">
        <v>205</v>
      </c>
      <c r="U266" s="14">
        <v>40725</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c r="BM266" s="15"/>
      <c r="BN266" s="13"/>
      <c r="BO266" s="15"/>
      <c r="BP266" s="13"/>
      <c r="BQ266" s="15"/>
      <c r="BR266" s="13"/>
      <c r="BS266" s="15"/>
      <c r="BT266" s="13"/>
      <c r="BU266" s="15"/>
      <c r="BV266" s="13"/>
      <c r="BW266" s="15"/>
      <c r="BX266" s="13"/>
      <c r="BY266" s="15"/>
      <c r="BZ266" s="13"/>
      <c r="CA266" s="15"/>
      <c r="CB266" s="13"/>
      <c r="CC266" s="15"/>
      <c r="CD266" s="13"/>
      <c r="CE266" s="15"/>
      <c r="CF266" s="13"/>
      <c r="CG266" s="13"/>
    </row>
    <row r="267" spans="1:85" ht="135" x14ac:dyDescent="0.25">
      <c r="A267" s="13" t="s">
        <v>86</v>
      </c>
      <c r="B267" s="13" t="s">
        <v>87</v>
      </c>
      <c r="C267" s="14">
        <v>44007.720833333333</v>
      </c>
      <c r="D267" s="13" t="s">
        <v>88</v>
      </c>
      <c r="E267" s="15" t="s">
        <v>89</v>
      </c>
      <c r="F267" s="13" t="s">
        <v>90</v>
      </c>
      <c r="G267" s="15" t="s">
        <v>91</v>
      </c>
      <c r="H267" s="13" t="s">
        <v>443</v>
      </c>
      <c r="I267" s="15" t="s">
        <v>444</v>
      </c>
      <c r="J267" s="15" t="s">
        <v>445</v>
      </c>
      <c r="K267" s="15" t="s">
        <v>446</v>
      </c>
      <c r="L267" s="13" t="s">
        <v>447</v>
      </c>
      <c r="M267" s="15" t="s">
        <v>448</v>
      </c>
      <c r="N267" s="13" t="s">
        <v>98</v>
      </c>
      <c r="O267" s="15" t="s">
        <v>428</v>
      </c>
      <c r="P267" s="15" t="s">
        <v>429</v>
      </c>
      <c r="Q267" s="15" t="s">
        <v>101</v>
      </c>
      <c r="R267" s="13" t="s">
        <v>102</v>
      </c>
      <c r="S267" s="13" t="s">
        <v>103</v>
      </c>
      <c r="T267" s="13" t="s">
        <v>104</v>
      </c>
      <c r="U267" s="14">
        <v>40725</v>
      </c>
      <c r="V267" s="14">
        <v>43830</v>
      </c>
      <c r="W267" s="15" t="s">
        <v>430</v>
      </c>
      <c r="X267" s="13" t="s">
        <v>431</v>
      </c>
      <c r="Y267" s="15" t="str">
        <f>VLOOKUP(X267,'Axe 2 Règles de gestion'!$D$2:$F$121,3, FALSE)</f>
        <v>Le détachement peut être prononcé d'office après avis des commissions administratives paritaires et à condition que le nouvel emploi soit équivalent à l'ancien.</v>
      </c>
      <c r="Z267" s="13"/>
      <c r="AA267" s="15"/>
      <c r="AB267" s="13"/>
      <c r="AC267" s="15"/>
      <c r="AD267" s="13"/>
      <c r="AE267" s="15"/>
      <c r="AF267" s="13"/>
      <c r="AG267" s="15"/>
      <c r="AH267" s="13"/>
      <c r="AI267" s="15"/>
      <c r="AJ267" s="13"/>
      <c r="AK267" s="15"/>
      <c r="AL267" s="13"/>
      <c r="AM267" s="15"/>
      <c r="AN267" s="13"/>
      <c r="AO267" s="15"/>
      <c r="AP267" s="13" t="s">
        <v>114</v>
      </c>
      <c r="AQ267" s="15" t="str">
        <f>VLOOKUP(AP267,'Axe 2 Règles de gestion'!$D$2:$F$121,3, FALSE)</f>
        <v>Un détachement de courte durée à l'étranger ou dans les TOM ne peut excéder 1 an entre la date de début et la date de fin prévisionnelle.</v>
      </c>
      <c r="AR267" s="13" t="s">
        <v>116</v>
      </c>
      <c r="AS267" s="15" t="str">
        <f>VLOOKUP(AR267,'Axe 2 Règles de gestion'!$D$2:$F$121,3, FALSE)</f>
        <v>Un détachement de courte durée à l'étranger ou dans les TOM ne peut excéder 1 an entre la date de début et la date de fin réelle.</v>
      </c>
      <c r="AT267" s="13" t="s">
        <v>118</v>
      </c>
      <c r="AU267" s="15" t="str">
        <f>VLOOKUP(AT267,'Axe 2 Règles de gestion'!$D$2:$F$121,3, FALSE)</f>
        <v>Un détachement de courte durée n'ayant pas lieu à l'étranger ou dans les TOM ne peut excéder six mois entre la date de début et la date de fin prévisionnelle.</v>
      </c>
      <c r="AV267" s="13" t="s">
        <v>120</v>
      </c>
      <c r="AW267" s="15" t="str">
        <f>VLOOKUP(AV267,'Axe 2 Règles de gestion'!$D$2:$F$121,3, FALSE)</f>
        <v>Un détachement de courte durée n'ayant pas lieu à l'étranger ou dans les TOM ne peut excéder six mois entre la date de début et la date de fin réelle.</v>
      </c>
      <c r="AX267" s="13" t="s">
        <v>122</v>
      </c>
      <c r="AY267" s="15" t="str">
        <f>VLOOKUP(AX267,'Axe 2 Règles de gestion'!$D$2:$F$121,3, FALSE)</f>
        <v>Un détachement de longue durée ne peut excéder 5 ans entre la date de début et la date de fin prévisionnelle.</v>
      </c>
      <c r="AZ267" s="13" t="s">
        <v>124</v>
      </c>
      <c r="BA267" s="15" t="str">
        <f>VLOOKUP(AZ267,'Axe 2 Règles de gestion'!$D$2:$F$121,3, FALSE)</f>
        <v>Un détachement de longue durée ne peut excéder 5 ans entre la date de début et la date de fin réelle.</v>
      </c>
      <c r="BB267" s="13" t="s">
        <v>126</v>
      </c>
      <c r="BC267" s="15" t="str">
        <f>VLOOKUP(BB267,'Axe 2 Règles de gestion'!$D$2:$F$121,3, FALSE)</f>
        <v>La date de début de position doit être antérieure ou égale à la date de fin prévisionnelle de position.</v>
      </c>
      <c r="BD267" s="13" t="s">
        <v>128</v>
      </c>
      <c r="BE267" s="15" t="str">
        <f>VLOOKUP(BD267,'Axe 2 Règles de gestion'!$D$2:$F$121,3, FALSE)</f>
        <v>La date de début de la position doit être postérieure ou égale à la date d'entrée dans la FPE ou dans la carrière militaire.</v>
      </c>
      <c r="BF267" s="13" t="s">
        <v>130</v>
      </c>
      <c r="BG267" s="15" t="str">
        <f>VLOOKUP(BF267,'Axe 2 Règles de gestion'!$D$2:$F$121,3, FALSE)</f>
        <v>La date de fin réelle de la position doit être antérieure à la date limite de départ à la retraite.</v>
      </c>
      <c r="BH267" s="13" t="s">
        <v>132</v>
      </c>
      <c r="BI267" s="15" t="str">
        <f>VLOOKUP(BH267,'Axe 2 Règles de gestion'!$D$2:$F$121,3, FALSE)</f>
        <v>La date de début de position doit être antérieure ou égale à la date de fin réelle de position.</v>
      </c>
      <c r="BJ267" s="13" t="s">
        <v>134</v>
      </c>
      <c r="BK267" s="15" t="str">
        <f>VLOOKUP(BJ267,'Axe 2 Règles de gestion'!$D$2:$F$121,3, FALSE)</f>
        <v>La date de fin prévisionnelle de la position doit être antérieure à la date limite de départ à la retraite.</v>
      </c>
      <c r="BL267" s="13" t="s">
        <v>136</v>
      </c>
      <c r="BM267" s="15" t="str">
        <f>VLOOKUP(BL267,'Axe 2 Règles de gestion'!$D$2:$F$121,3, FALSE)</f>
        <v>L'indicateur de carrière est sur la valeur "Accueil".</v>
      </c>
      <c r="BN267" s="13" t="s">
        <v>138</v>
      </c>
      <c r="BO267" s="15" t="str">
        <f>VLOOKUP(BN267,'Axe 2 Règles de gestion'!$D$2:$F$121,3, FALSE)</f>
        <v>La date de début de position est à J+1 de la date de fin de position de l'occurrence précédente.</v>
      </c>
      <c r="BP267" s="13" t="s">
        <v>140</v>
      </c>
      <c r="BQ267" s="15" t="str">
        <f>VLOOKUP(BP267,'Axe 2 Règles de gestion'!$D$2:$F$121,3, FALSE)</f>
        <v>Les champs "Type d'organisme d'origine", "Catégorie statutaire d'origine" et "Pays" de l'organisme d'origine doivent être renseignés.</v>
      </c>
      <c r="BR267" s="13" t="s">
        <v>142</v>
      </c>
      <c r="BS267" s="15" t="str">
        <f>VLOOKUP(BR267,'Axe 2 Règles de gestion'!$D$2:$F$121,3, FALSE)</f>
        <v>Les champs "Ministère (ou institution de la République) d'origine", "Corps d'origine", "Grade d'origine", "Echelon d'origine" sont renseignés si le "Type d'organisme d'origine" est valorisé à FPE.</v>
      </c>
      <c r="BT267" s="13" t="s">
        <v>144</v>
      </c>
      <c r="BU267" s="15" t="str">
        <f>VLOOKUP(BT267,'Axe 2 Règles de gestion'!$D$2:$F$121,3, FALSE)</f>
        <v>Le champ "Organisme d'origine" doit être alimenté si le type d'organisme d'origine est égal à 'Autre organisme', 'Fonction publique d'un état de l'Union Européenne' ou 'Fonction publique Européenne'.</v>
      </c>
      <c r="BV267" s="13" t="s">
        <v>146</v>
      </c>
      <c r="BW267" s="15" t="str">
        <f>VLOOKUP(BV267,'Axe 2 Règles de gestion'!$D$2:$F$121,3, FALSE)</f>
        <v>Le champ "Code emploi statutaire FPT (NET)" est renseigné si le "Type d'organisme d'origine" est valorisé à FPT.</v>
      </c>
      <c r="BX267" s="13" t="s">
        <v>148</v>
      </c>
      <c r="BY267" s="15" t="str">
        <f>VLOOKUP(BX267,'Axe 2 Règles de gestion'!$D$2:$F$121,3, FALSE)</f>
        <v>Le champ "Code emploi statutaire FPH (NEH)" est renseigné si le "Type d'organisme d'origine" est valorisé à FPH.</v>
      </c>
      <c r="BZ267" s="13" t="s">
        <v>150</v>
      </c>
      <c r="CA267" s="15" t="str">
        <f>VLOOKUP(BZ267,'Axe 2 Règles de gestion'!$D$2:$F$121,3, FALSE)</f>
        <v>La date de fin ou la date de fin prévisionnelle doit être saisie.</v>
      </c>
      <c r="CB267" s="13"/>
      <c r="CC267" s="15"/>
      <c r="CD267" s="13"/>
      <c r="CE267" s="15"/>
      <c r="CF267" s="13"/>
      <c r="CG267" s="13"/>
    </row>
    <row r="268" spans="1:85" ht="135" x14ac:dyDescent="0.25">
      <c r="A268" s="13" t="s">
        <v>86</v>
      </c>
      <c r="B268" s="13" t="s">
        <v>153</v>
      </c>
      <c r="C268" s="14">
        <v>44007.731944444444</v>
      </c>
      <c r="D268" s="13" t="s">
        <v>88</v>
      </c>
      <c r="E268" s="15" t="s">
        <v>89</v>
      </c>
      <c r="F268" s="13" t="s">
        <v>90</v>
      </c>
      <c r="G268" s="15" t="s">
        <v>91</v>
      </c>
      <c r="H268" s="13" t="s">
        <v>443</v>
      </c>
      <c r="I268" s="15" t="s">
        <v>444</v>
      </c>
      <c r="J268" s="15" t="s">
        <v>445</v>
      </c>
      <c r="K268" s="15" t="s">
        <v>446</v>
      </c>
      <c r="L268" s="13" t="s">
        <v>447</v>
      </c>
      <c r="M268" s="15" t="s">
        <v>448</v>
      </c>
      <c r="N268" s="13" t="s">
        <v>98</v>
      </c>
      <c r="O268" s="15" t="s">
        <v>428</v>
      </c>
      <c r="P268" s="15" t="s">
        <v>429</v>
      </c>
      <c r="Q268" s="15" t="s">
        <v>101</v>
      </c>
      <c r="R268" s="13" t="s">
        <v>102</v>
      </c>
      <c r="S268" s="13" t="s">
        <v>103</v>
      </c>
      <c r="T268" s="13" t="s">
        <v>104</v>
      </c>
      <c r="U268" s="14">
        <v>43831</v>
      </c>
      <c r="V268" s="14"/>
      <c r="W268" s="15" t="s">
        <v>433</v>
      </c>
      <c r="X268" s="13"/>
      <c r="Y268" s="15"/>
      <c r="Z268" s="13"/>
      <c r="AA268" s="15"/>
      <c r="AB268" s="13"/>
      <c r="AC268" s="15"/>
      <c r="AD268" s="13"/>
      <c r="AE268" s="15"/>
      <c r="AF268" s="13"/>
      <c r="AG268" s="15"/>
      <c r="AH268" s="13"/>
      <c r="AI268" s="15"/>
      <c r="AJ268" s="13"/>
      <c r="AK268" s="15"/>
      <c r="AL268" s="13"/>
      <c r="AM268" s="15"/>
      <c r="AN268" s="13"/>
      <c r="AO268" s="15"/>
      <c r="AP268" s="13" t="s">
        <v>114</v>
      </c>
      <c r="AQ268" s="15" t="str">
        <f>VLOOKUP(AP268,'Axe 2 Règles de gestion'!$D$2:$F$121,3, FALSE)</f>
        <v>Un détachement de courte durée à l'étranger ou dans les TOM ne peut excéder 1 an entre la date de début et la date de fin prévisionnelle.</v>
      </c>
      <c r="AR268" s="13" t="s">
        <v>116</v>
      </c>
      <c r="AS268" s="15" t="str">
        <f>VLOOKUP(AR268,'Axe 2 Règles de gestion'!$D$2:$F$121,3, FALSE)</f>
        <v>Un détachement de courte durée à l'étranger ou dans les TOM ne peut excéder 1 an entre la date de début et la date de fin réelle.</v>
      </c>
      <c r="AT268" s="13" t="s">
        <v>118</v>
      </c>
      <c r="AU268" s="15" t="str">
        <f>VLOOKUP(AT268,'Axe 2 Règles de gestion'!$D$2:$F$121,3, FALSE)</f>
        <v>Un détachement de courte durée n'ayant pas lieu à l'étranger ou dans les TOM ne peut excéder six mois entre la date de début et la date de fin prévisionnelle.</v>
      </c>
      <c r="AV268" s="13" t="s">
        <v>120</v>
      </c>
      <c r="AW268" s="15" t="str">
        <f>VLOOKUP(AV268,'Axe 2 Règles de gestion'!$D$2:$F$121,3, FALSE)</f>
        <v>Un détachement de courte durée n'ayant pas lieu à l'étranger ou dans les TOM ne peut excéder six mois entre la date de début et la date de fin réelle.</v>
      </c>
      <c r="AX268" s="13" t="s">
        <v>122</v>
      </c>
      <c r="AY268" s="15" t="str">
        <f>VLOOKUP(AX268,'Axe 2 Règles de gestion'!$D$2:$F$121,3, FALSE)</f>
        <v>Un détachement de longue durée ne peut excéder 5 ans entre la date de début et la date de fin prévisionnelle.</v>
      </c>
      <c r="AZ268" s="13" t="s">
        <v>124</v>
      </c>
      <c r="BA268" s="15" t="str">
        <f>VLOOKUP(AZ268,'Axe 2 Règles de gestion'!$D$2:$F$121,3, FALSE)</f>
        <v>Un détachement de longue durée ne peut excéder 5 ans entre la date de début et la date de fin réelle.</v>
      </c>
      <c r="BB268" s="13" t="s">
        <v>126</v>
      </c>
      <c r="BC268" s="15" t="str">
        <f>VLOOKUP(BB268,'Axe 2 Règles de gestion'!$D$2:$F$121,3, FALSE)</f>
        <v>La date de début de position doit être antérieure ou égale à la date de fin prévisionnelle de position.</v>
      </c>
      <c r="BD268" s="13" t="s">
        <v>128</v>
      </c>
      <c r="BE268" s="15" t="str">
        <f>VLOOKUP(BD268,'Axe 2 Règles de gestion'!$D$2:$F$121,3, FALSE)</f>
        <v>La date de début de la position doit être postérieure ou égale à la date d'entrée dans la FPE ou dans la carrière militaire.</v>
      </c>
      <c r="BF268" s="13" t="s">
        <v>130</v>
      </c>
      <c r="BG268" s="15" t="str">
        <f>VLOOKUP(BF268,'Axe 2 Règles de gestion'!$D$2:$F$121,3, FALSE)</f>
        <v>La date de fin réelle de la position doit être antérieure à la date limite de départ à la retraite.</v>
      </c>
      <c r="BH268" s="13" t="s">
        <v>132</v>
      </c>
      <c r="BI268" s="15" t="str">
        <f>VLOOKUP(BH268,'Axe 2 Règles de gestion'!$D$2:$F$121,3, FALSE)</f>
        <v>La date de début de position doit être antérieure ou égale à la date de fin réelle de position.</v>
      </c>
      <c r="BJ268" s="13" t="s">
        <v>134</v>
      </c>
      <c r="BK268" s="15" t="str">
        <f>VLOOKUP(BJ268,'Axe 2 Règles de gestion'!$D$2:$F$121,3, FALSE)</f>
        <v>La date de fin prévisionnelle de la position doit être antérieure à la date limite de départ à la retraite.</v>
      </c>
      <c r="BL268" s="13" t="s">
        <v>136</v>
      </c>
      <c r="BM268" s="15" t="str">
        <f>VLOOKUP(BL268,'Axe 2 Règles de gestion'!$D$2:$F$121,3, FALSE)</f>
        <v>L'indicateur de carrière est sur la valeur "Accueil".</v>
      </c>
      <c r="BN268" s="13" t="s">
        <v>138</v>
      </c>
      <c r="BO268" s="15" t="str">
        <f>VLOOKUP(BN268,'Axe 2 Règles de gestion'!$D$2:$F$121,3, FALSE)</f>
        <v>La date de début de position est à J+1 de la date de fin de position de l'occurrence précédente.</v>
      </c>
      <c r="BP268" s="13" t="s">
        <v>140</v>
      </c>
      <c r="BQ268" s="15" t="str">
        <f>VLOOKUP(BP268,'Axe 2 Règles de gestion'!$D$2:$F$121,3, FALSE)</f>
        <v>Les champs "Type d'organisme d'origine", "Catégorie statutaire d'origine" et "Pays" de l'organisme d'origine doivent être renseignés.</v>
      </c>
      <c r="BR268" s="13" t="s">
        <v>142</v>
      </c>
      <c r="BS268" s="15" t="str">
        <f>VLOOKUP(BR268,'Axe 2 Règles de gestion'!$D$2:$F$121,3, FALSE)</f>
        <v>Les champs "Ministère (ou institution de la République) d'origine", "Corps d'origine", "Grade d'origine", "Echelon d'origine" sont renseignés si le "Type d'organisme d'origine" est valorisé à FPE.</v>
      </c>
      <c r="BT268" s="13" t="s">
        <v>144</v>
      </c>
      <c r="BU268" s="15" t="str">
        <f>VLOOKUP(BT268,'Axe 2 Règles de gestion'!$D$2:$F$121,3, FALSE)</f>
        <v>Le champ "Organisme d'origine" doit être alimenté si le type d'organisme d'origine est égal à 'Autre organisme', 'Fonction publique d'un état de l'Union Européenne' ou 'Fonction publique Européenne'.</v>
      </c>
      <c r="BV268" s="13" t="s">
        <v>146</v>
      </c>
      <c r="BW268" s="15" t="str">
        <f>VLOOKUP(BV268,'Axe 2 Règles de gestion'!$D$2:$F$121,3, FALSE)</f>
        <v>Le champ "Code emploi statutaire FPT (NET)" est renseigné si le "Type d'organisme d'origine" est valorisé à FPT.</v>
      </c>
      <c r="BX268" s="13" t="s">
        <v>148</v>
      </c>
      <c r="BY268" s="15" t="str">
        <f>VLOOKUP(BX268,'Axe 2 Règles de gestion'!$D$2:$F$121,3, FALSE)</f>
        <v>Le champ "Code emploi statutaire FPH (NEH)" est renseigné si le "Type d'organisme d'origine" est valorisé à FPH.</v>
      </c>
      <c r="BZ268" s="13" t="s">
        <v>150</v>
      </c>
      <c r="CA268" s="15" t="str">
        <f>VLOOKUP(BZ268,'Axe 2 Règles de gestion'!$D$2:$F$121,3, FALSE)</f>
        <v>La date de fin ou la date de fin prévisionnelle doit être saisie.</v>
      </c>
      <c r="CB268" s="13"/>
      <c r="CC268" s="15"/>
      <c r="CD268" s="13"/>
      <c r="CE268" s="15"/>
      <c r="CF268" s="13"/>
      <c r="CG268" s="13"/>
    </row>
    <row r="269" spans="1:85" ht="150" x14ac:dyDescent="0.25">
      <c r="A269" s="13" t="s">
        <v>86</v>
      </c>
      <c r="B269" s="13" t="s">
        <v>87</v>
      </c>
      <c r="C269" s="14">
        <v>43850.552083333336</v>
      </c>
      <c r="D269" s="13" t="s">
        <v>88</v>
      </c>
      <c r="E269" s="15" t="s">
        <v>89</v>
      </c>
      <c r="F269" s="13" t="s">
        <v>90</v>
      </c>
      <c r="G269" s="15" t="s">
        <v>91</v>
      </c>
      <c r="H269" s="13" t="s">
        <v>443</v>
      </c>
      <c r="I269" s="15" t="s">
        <v>444</v>
      </c>
      <c r="J269" s="15" t="s">
        <v>445</v>
      </c>
      <c r="K269" s="15" t="s">
        <v>446</v>
      </c>
      <c r="L269" s="13" t="s">
        <v>449</v>
      </c>
      <c r="M269" s="15" t="s">
        <v>450</v>
      </c>
      <c r="N269" s="13" t="s">
        <v>188</v>
      </c>
      <c r="O269" s="15" t="s">
        <v>436</v>
      </c>
      <c r="P269" s="15" t="s">
        <v>437</v>
      </c>
      <c r="Q269" s="15" t="s">
        <v>101</v>
      </c>
      <c r="R269" s="13" t="s">
        <v>102</v>
      </c>
      <c r="S269" s="13" t="s">
        <v>103</v>
      </c>
      <c r="T269" s="13" t="s">
        <v>104</v>
      </c>
      <c r="U269" s="14">
        <v>40725</v>
      </c>
      <c r="V269" s="14"/>
      <c r="W269" s="15" t="s">
        <v>191</v>
      </c>
      <c r="X269" s="13" t="s">
        <v>192</v>
      </c>
      <c r="Y269" s="15" t="str">
        <f>VLOOKUP(X269,'Axe 2 Règles de gestion'!$D$2:$F$121,3, FALSE)</f>
        <v>Le détachement peut prendre fin de manière anticipée à l'initiative de l'administration d'accueil, de l'administration d'origine ou de l'agent.</v>
      </c>
      <c r="Z269" s="13" t="s">
        <v>194</v>
      </c>
      <c r="AA269" s="15" t="str">
        <f>VLOOKUP(Z269,'Axe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269" s="13" t="s">
        <v>196</v>
      </c>
      <c r="AC269" s="15" t="str">
        <f>VLOOKUP(AB269,'Axe 2 Règles de gestion'!$D$2:$F$121,3, FALSE)</f>
        <v>L'agent doit adresser une demande de réintégration à l'administration d'origine 3 mois au moins avant l'expiration de la période de détachement de longue durée.</v>
      </c>
      <c r="AD269" s="13" t="s">
        <v>175</v>
      </c>
      <c r="AE269" s="15" t="str">
        <f>VLOOKUP(AD269,'Axe 2 Règles de gestion'!$D$2:$F$121,3, FALSE)</f>
        <v>L'organisme d'accueil adresse sa décision à l'agent et à l'administration d'origine 2 mois au moins avant l'expiration de la période de détachement.</v>
      </c>
      <c r="AF269" s="13" t="s">
        <v>198</v>
      </c>
      <c r="AG269" s="15" t="str">
        <f>VLOOKUP(AF269,'Axe 2 Règles de gestion'!$D$2:$F$121,3, FALSE)</f>
        <v>Si l'agent n'adresse pas sa demande dans les délais, il est obligatoirement réintégré à la première vacance dans son corps d'origine et affecté à un emploi correspondant à son grade.</v>
      </c>
      <c r="AH269" s="13" t="s">
        <v>200</v>
      </c>
      <c r="AI269" s="15" t="str">
        <f>VLOOKUP(AH269,'Axe 2 Règles de gestion'!$D$2:$F$121,3, FALSE)</f>
        <v>Les dispositions relatives à la réintégration au terme d'un détachement de longue durée ne sont pas applicables aux préfets et sous-préfets.</v>
      </c>
      <c r="AJ269" s="13"/>
      <c r="AK269" s="15"/>
      <c r="AL269" s="13"/>
      <c r="AM269" s="15"/>
      <c r="AN269" s="13"/>
      <c r="AO269" s="15"/>
      <c r="AP269" s="13" t="s">
        <v>114</v>
      </c>
      <c r="AQ269" s="15" t="str">
        <f>VLOOKUP(AP269,'Axe 2 Règles de gestion'!$D$2:$F$121,3, FALSE)</f>
        <v>Un détachement de courte durée à l'étranger ou dans les TOM ne peut excéder 1 an entre la date de début et la date de fin prévisionnelle.</v>
      </c>
      <c r="AR269" s="13" t="s">
        <v>116</v>
      </c>
      <c r="AS269" s="15" t="str">
        <f>VLOOKUP(AR269,'Axe 2 Règles de gestion'!$D$2:$F$121,3, FALSE)</f>
        <v>Un détachement de courte durée à l'étranger ou dans les TOM ne peut excéder 1 an entre la date de début et la date de fin réelle.</v>
      </c>
      <c r="AT269" s="13" t="s">
        <v>118</v>
      </c>
      <c r="AU269" s="15" t="str">
        <f>VLOOKUP(AT269,'Axe 2 Règles de gestion'!$D$2:$F$121,3, FALSE)</f>
        <v>Un détachement de courte durée n'ayant pas lieu à l'étranger ou dans les TOM ne peut excéder six mois entre la date de début et la date de fin prévisionnelle.</v>
      </c>
      <c r="AV269" s="13" t="s">
        <v>120</v>
      </c>
      <c r="AW269" s="15" t="str">
        <f>VLOOKUP(AV269,'Axe 2 Règles de gestion'!$D$2:$F$121,3, FALSE)</f>
        <v>Un détachement de courte durée n'ayant pas lieu à l'étranger ou dans les TOM ne peut excéder six mois entre la date de début et la date de fin réelle.</v>
      </c>
      <c r="AX269" s="13" t="s">
        <v>122</v>
      </c>
      <c r="AY269" s="15" t="str">
        <f>VLOOKUP(AX269,'Axe 2 Règles de gestion'!$D$2:$F$121,3, FALSE)</f>
        <v>Un détachement de longue durée ne peut excéder 5 ans entre la date de début et la date de fin prévisionnelle.</v>
      </c>
      <c r="AZ269" s="13" t="s">
        <v>124</v>
      </c>
      <c r="BA269" s="15" t="str">
        <f>VLOOKUP(AZ269,'Axe 2 Règles de gestion'!$D$2:$F$121,3, FALSE)</f>
        <v>Un détachement de longue durée ne peut excéder 5 ans entre la date de début et la date de fin réelle.</v>
      </c>
      <c r="BB269" s="13" t="s">
        <v>126</v>
      </c>
      <c r="BC269" s="15" t="str">
        <f>VLOOKUP(BB269,'Axe 2 Règles de gestion'!$D$2:$F$121,3, FALSE)</f>
        <v>La date de début de position doit être antérieure ou égale à la date de fin prévisionnelle de position.</v>
      </c>
      <c r="BD269" s="13" t="s">
        <v>130</v>
      </c>
      <c r="BE269" s="15" t="str">
        <f>VLOOKUP(BD269,'Axe 2 Règles de gestion'!$D$2:$F$121,3, FALSE)</f>
        <v>La date de fin réelle de la position doit être antérieure à la date limite de départ à la retraite.</v>
      </c>
      <c r="BF269" s="13" t="s">
        <v>132</v>
      </c>
      <c r="BG269" s="15" t="str">
        <f>VLOOKUP(BF269,'Axe 2 Règles de gestion'!$D$2:$F$121,3, FALSE)</f>
        <v>La date de début de position doit être antérieure ou égale à la date de fin réelle de position.</v>
      </c>
      <c r="BH269" s="13" t="s">
        <v>134</v>
      </c>
      <c r="BI269" s="15" t="str">
        <f>VLOOKUP(BH269,'Axe 2 Règles de gestion'!$D$2:$F$121,3, FALSE)</f>
        <v>La date de fin prévisionnelle de la position doit être antérieure à la date limite de départ à la retraite.</v>
      </c>
      <c r="BJ269" s="13" t="s">
        <v>140</v>
      </c>
      <c r="BK269" s="15" t="str">
        <f>VLOOKUP(BJ269,'Axe 2 Règles de gestion'!$D$2:$F$121,3, FALSE)</f>
        <v>Les champs "Type d'organisme d'origine", "Catégorie statutaire d'origine" et "Pays" de l'organisme d'origine doivent être renseignés.</v>
      </c>
      <c r="BL269" s="13" t="s">
        <v>142</v>
      </c>
      <c r="BM269" s="15" t="str">
        <f>VLOOKUP(BL269,'Axe 2 Règles de gestion'!$D$2:$F$121,3, FALSE)</f>
        <v>Les champs "Ministère (ou institution de la République) d'origine", "Corps d'origine", "Grade d'origine", "Echelon d'origine" sont renseignés si le "Type d'organisme d'origine" est valorisé à FPE.</v>
      </c>
      <c r="BN269" s="13" t="s">
        <v>144</v>
      </c>
      <c r="BO269" s="15" t="str">
        <f>VLOOKUP(BN269,'Axe 2 Règles de gestion'!$D$2:$F$121,3, FALSE)</f>
        <v>Le champ "Organisme d'origine" doit être alimenté si le type d'organisme d'origine est égal à 'Autre organisme', 'Fonction publique d'un état de l'Union Européenne' ou 'Fonction publique Européenne'.</v>
      </c>
      <c r="BP269" s="13" t="s">
        <v>146</v>
      </c>
      <c r="BQ269" s="15" t="str">
        <f>VLOOKUP(BP269,'Axe 2 Règles de gestion'!$D$2:$F$121,3, FALSE)</f>
        <v>Le champ "Code emploi statutaire FPT (NET)" est renseigné si le "Type d'organisme d'origine" est valorisé à FPT.</v>
      </c>
      <c r="BR269" s="13" t="s">
        <v>148</v>
      </c>
      <c r="BS269" s="15" t="str">
        <f>VLOOKUP(BR269,'Axe 2 Règles de gestion'!$D$2:$F$121,3, FALSE)</f>
        <v>Le champ "Code emploi statutaire FPH (NEH)" est renseigné si le "Type d'organisme d'origine" est valorisé à FPH.</v>
      </c>
      <c r="BT269" s="13" t="s">
        <v>150</v>
      </c>
      <c r="BU269" s="15" t="str">
        <f>VLOOKUP(BT269,'Axe 2 Règles de gestion'!$D$2:$F$121,3, FALSE)</f>
        <v>La date de fin ou la date de fin prévisionnelle doit être saisie.</v>
      </c>
      <c r="BV269" s="13"/>
      <c r="BW269" s="15"/>
      <c r="BX269" s="13"/>
      <c r="BY269" s="15"/>
      <c r="BZ269" s="13"/>
      <c r="CA269" s="15"/>
      <c r="CB269" s="13"/>
      <c r="CC269" s="15"/>
      <c r="CD269" s="13"/>
      <c r="CE269" s="15"/>
      <c r="CF269" s="13"/>
      <c r="CG269" s="13"/>
    </row>
    <row r="270" spans="1:85" ht="135" x14ac:dyDescent="0.25">
      <c r="A270" s="13" t="s">
        <v>202</v>
      </c>
      <c r="B270" s="13" t="s">
        <v>153</v>
      </c>
      <c r="C270" s="14">
        <v>43152.5</v>
      </c>
      <c r="D270" s="13" t="s">
        <v>88</v>
      </c>
      <c r="E270" s="15" t="s">
        <v>89</v>
      </c>
      <c r="F270" s="13" t="s">
        <v>90</v>
      </c>
      <c r="G270" s="15" t="s">
        <v>91</v>
      </c>
      <c r="H270" s="13" t="s">
        <v>443</v>
      </c>
      <c r="I270" s="15" t="s">
        <v>444</v>
      </c>
      <c r="J270" s="15" t="s">
        <v>445</v>
      </c>
      <c r="K270" s="15" t="s">
        <v>446</v>
      </c>
      <c r="L270" s="13" t="s">
        <v>447</v>
      </c>
      <c r="M270" s="15" t="s">
        <v>448</v>
      </c>
      <c r="N270" s="13" t="s">
        <v>98</v>
      </c>
      <c r="O270" s="15" t="s">
        <v>428</v>
      </c>
      <c r="P270" s="15" t="s">
        <v>429</v>
      </c>
      <c r="Q270" s="15" t="s">
        <v>203</v>
      </c>
      <c r="R270" s="13" t="s">
        <v>204</v>
      </c>
      <c r="S270" s="13" t="s">
        <v>103</v>
      </c>
      <c r="T270" s="13" t="s">
        <v>205</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3"/>
    </row>
    <row r="271" spans="1:85" ht="135" x14ac:dyDescent="0.25">
      <c r="A271" s="13" t="s">
        <v>202</v>
      </c>
      <c r="B271" s="13" t="s">
        <v>153</v>
      </c>
      <c r="C271" s="14">
        <v>43152.5</v>
      </c>
      <c r="D271" s="13" t="s">
        <v>88</v>
      </c>
      <c r="E271" s="15" t="s">
        <v>89</v>
      </c>
      <c r="F271" s="13" t="s">
        <v>90</v>
      </c>
      <c r="G271" s="15" t="s">
        <v>91</v>
      </c>
      <c r="H271" s="13" t="s">
        <v>443</v>
      </c>
      <c r="I271" s="15" t="s">
        <v>444</v>
      </c>
      <c r="J271" s="15" t="s">
        <v>445</v>
      </c>
      <c r="K271" s="15" t="s">
        <v>446</v>
      </c>
      <c r="L271" s="13" t="s">
        <v>449</v>
      </c>
      <c r="M271" s="15" t="s">
        <v>450</v>
      </c>
      <c r="N271" s="13" t="s">
        <v>188</v>
      </c>
      <c r="O271" s="15" t="s">
        <v>436</v>
      </c>
      <c r="P271" s="15" t="s">
        <v>437</v>
      </c>
      <c r="Q271" s="15" t="s">
        <v>203</v>
      </c>
      <c r="R271" s="13" t="s">
        <v>204</v>
      </c>
      <c r="S271" s="13" t="s">
        <v>103</v>
      </c>
      <c r="T271" s="13" t="s">
        <v>205</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3"/>
    </row>
    <row r="272" spans="1:85" ht="135" x14ac:dyDescent="0.25">
      <c r="A272" s="13" t="s">
        <v>438</v>
      </c>
      <c r="B272" s="13" t="s">
        <v>87</v>
      </c>
      <c r="C272" s="14">
        <v>44300.59097222222</v>
      </c>
      <c r="D272" s="13" t="s">
        <v>88</v>
      </c>
      <c r="E272" s="15" t="s">
        <v>89</v>
      </c>
      <c r="F272" s="13" t="s">
        <v>90</v>
      </c>
      <c r="G272" s="15" t="s">
        <v>91</v>
      </c>
      <c r="H272" s="13" t="s">
        <v>443</v>
      </c>
      <c r="I272" s="15" t="s">
        <v>444</v>
      </c>
      <c r="J272" s="15" t="s">
        <v>445</v>
      </c>
      <c r="K272" s="15" t="s">
        <v>446</v>
      </c>
      <c r="L272" s="13" t="s">
        <v>447</v>
      </c>
      <c r="M272" s="15" t="s">
        <v>448</v>
      </c>
      <c r="N272" s="13" t="s">
        <v>98</v>
      </c>
      <c r="O272" s="15" t="s">
        <v>428</v>
      </c>
      <c r="P272" s="15" t="s">
        <v>429</v>
      </c>
      <c r="Q272" s="15" t="s">
        <v>206</v>
      </c>
      <c r="R272" s="13" t="s">
        <v>207</v>
      </c>
      <c r="S272" s="13" t="s">
        <v>103</v>
      </c>
      <c r="T272" s="13" t="s">
        <v>104</v>
      </c>
      <c r="U272" s="14">
        <v>40725</v>
      </c>
      <c r="V272" s="14"/>
      <c r="W272" s="15" t="s">
        <v>439</v>
      </c>
      <c r="X272" s="13" t="s">
        <v>440</v>
      </c>
      <c r="Y272" s="15" t="str">
        <f>VLOOKUP(X272,'Axe 2 Règles de gestion'!$D$2:$F$121,3, FALSE)</f>
        <v>L'agent ne peut être détaché que par nécessité de service et seulement dans un emploi qui n'est pas, par la nature et les conditions d'exercice des fonctions qu'il comporte, incompatible avec sa situation de stagiaire.</v>
      </c>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t="s">
        <v>126</v>
      </c>
      <c r="BC272" s="15" t="str">
        <f>VLOOKUP(BB272,'Axe 2 Règles de gestion'!$D$2:$F$121,3, FALSE)</f>
        <v>La date de début de position doit être antérieure ou égale à la date de fin prévisionnelle de position.</v>
      </c>
      <c r="BD272" s="13" t="s">
        <v>128</v>
      </c>
      <c r="BE272" s="15" t="str">
        <f>VLOOKUP(BD272,'Axe 2 Règles de gestion'!$D$2:$F$121,3, FALSE)</f>
        <v>La date de début de la position doit être postérieure ou égale à la date d'entrée dans la FPE ou dans la carrière militaire.</v>
      </c>
      <c r="BF272" s="13" t="s">
        <v>130</v>
      </c>
      <c r="BG272" s="15" t="str">
        <f>VLOOKUP(BF272,'Axe 2 Règles de gestion'!$D$2:$F$121,3, FALSE)</f>
        <v>La date de fin réelle de la position doit être antérieure à la date limite de départ à la retraite.</v>
      </c>
      <c r="BH272" s="13" t="s">
        <v>132</v>
      </c>
      <c r="BI272" s="15" t="str">
        <f>VLOOKUP(BH272,'Axe 2 Règles de gestion'!$D$2:$F$121,3, FALSE)</f>
        <v>La date de début de position doit être antérieure ou égale à la date de fin réelle de position.</v>
      </c>
      <c r="BJ272" s="13" t="s">
        <v>134</v>
      </c>
      <c r="BK272" s="15" t="str">
        <f>VLOOKUP(BJ272,'Axe 2 Règles de gestion'!$D$2:$F$121,3, FALSE)</f>
        <v>La date de fin prévisionnelle de la position doit être antérieure à la date limite de départ à la retraite.</v>
      </c>
      <c r="BL272" s="13" t="s">
        <v>136</v>
      </c>
      <c r="BM272" s="15" t="str">
        <f>VLOOKUP(BL272,'Axe 2 Règles de gestion'!$D$2:$F$121,3, FALSE)</f>
        <v>L'indicateur de carrière est sur la valeur "Accueil".</v>
      </c>
      <c r="BN272" s="13" t="s">
        <v>138</v>
      </c>
      <c r="BO272" s="15" t="str">
        <f>VLOOKUP(BN272,'Axe 2 Règles de gestion'!$D$2:$F$121,3, FALSE)</f>
        <v>La date de début de position est à J+1 de la date de fin de position de l'occurrence précédente.</v>
      </c>
      <c r="BP272" s="13" t="s">
        <v>140</v>
      </c>
      <c r="BQ272" s="15" t="str">
        <f>VLOOKUP(BP272,'Axe 2 Règles de gestion'!$D$2:$F$121,3, FALSE)</f>
        <v>Les champs "Type d'organisme d'origine", "Catégorie statutaire d'origine" et "Pays" de l'organisme d'origine doivent être renseignés.</v>
      </c>
      <c r="BR272" s="13" t="s">
        <v>142</v>
      </c>
      <c r="BS272" s="15" t="str">
        <f>VLOOKUP(BR272,'Axe 2 Règles de gestion'!$D$2:$F$121,3, FALSE)</f>
        <v>Les champs "Ministère (ou institution de la République) d'origine", "Corps d'origine", "Grade d'origine", "Echelon d'origine" sont renseignés si le "Type d'organisme d'origine" est valorisé à FPE.</v>
      </c>
      <c r="BT272" s="13" t="s">
        <v>144</v>
      </c>
      <c r="BU272" s="15" t="str">
        <f>VLOOKUP(BT272,'Axe 2 Règles de gestion'!$D$2:$F$121,3, FALSE)</f>
        <v>Le champ "Organisme d'origine" doit être alimenté si le type d'organisme d'origine est égal à 'Autre organisme', 'Fonction publique d'un état de l'Union Européenne' ou 'Fonction publique Européenne'.</v>
      </c>
      <c r="BV272" s="13" t="s">
        <v>146</v>
      </c>
      <c r="BW272" s="15" t="str">
        <f>VLOOKUP(BV272,'Axe 2 Règles de gestion'!$D$2:$F$121,3, FALSE)</f>
        <v>Le champ "Code emploi statutaire FPT (NET)" est renseigné si le "Type d'organisme d'origine" est valorisé à FPT.</v>
      </c>
      <c r="BX272" s="13" t="s">
        <v>148</v>
      </c>
      <c r="BY272" s="15" t="str">
        <f>VLOOKUP(BX272,'Axe 2 Règles de gestion'!$D$2:$F$121,3, FALSE)</f>
        <v>Le champ "Code emploi statutaire FPH (NEH)" est renseigné si le "Type d'organisme d'origine" est valorisé à FPH.</v>
      </c>
      <c r="BZ272" s="13" t="s">
        <v>150</v>
      </c>
      <c r="CA272" s="15" t="str">
        <f>VLOOKUP(BZ272,'Axe 2 Règles de gestion'!$D$2:$F$121,3, FALSE)</f>
        <v>La date de fin ou la date de fin prévisionnelle doit être saisie.</v>
      </c>
      <c r="CB272" s="13"/>
      <c r="CC272" s="15"/>
      <c r="CD272" s="13"/>
      <c r="CE272" s="15"/>
      <c r="CF272" s="13"/>
      <c r="CG272" s="13"/>
    </row>
    <row r="273" spans="1:85" ht="135" x14ac:dyDescent="0.25">
      <c r="A273" s="13" t="s">
        <v>438</v>
      </c>
      <c r="B273" s="13" t="s">
        <v>153</v>
      </c>
      <c r="C273" s="14">
        <v>44300.591666666667</v>
      </c>
      <c r="D273" s="13" t="s">
        <v>88</v>
      </c>
      <c r="E273" s="15" t="s">
        <v>89</v>
      </c>
      <c r="F273" s="13" t="s">
        <v>90</v>
      </c>
      <c r="G273" s="15" t="s">
        <v>91</v>
      </c>
      <c r="H273" s="13" t="s">
        <v>443</v>
      </c>
      <c r="I273" s="15" t="s">
        <v>444</v>
      </c>
      <c r="J273" s="15" t="s">
        <v>445</v>
      </c>
      <c r="K273" s="15" t="s">
        <v>446</v>
      </c>
      <c r="L273" s="13" t="s">
        <v>449</v>
      </c>
      <c r="M273" s="15" t="s">
        <v>450</v>
      </c>
      <c r="N273" s="13" t="s">
        <v>188</v>
      </c>
      <c r="O273" s="15" t="s">
        <v>436</v>
      </c>
      <c r="P273" s="15" t="s">
        <v>437</v>
      </c>
      <c r="Q273" s="15" t="s">
        <v>206</v>
      </c>
      <c r="R273" s="13" t="s">
        <v>207</v>
      </c>
      <c r="S273" s="13" t="s">
        <v>103</v>
      </c>
      <c r="T273" s="13" t="s">
        <v>104</v>
      </c>
      <c r="U273" s="14">
        <v>40725</v>
      </c>
      <c r="V273" s="14"/>
      <c r="W273" s="15" t="s">
        <v>442</v>
      </c>
      <c r="X273" s="13" t="s">
        <v>440</v>
      </c>
      <c r="Y273" s="15" t="str">
        <f>VLOOKUP(X273,'Axe 2 Règles de gestion'!$D$2:$F$121,3, FALSE)</f>
        <v>L'agent ne peut être détaché que par nécessité de service et seulement dans un emploi qui n'est pas, par la nature et les conditions d'exercice des fonctions qu'il comporte, incompatible avec sa situation de stagiaire.</v>
      </c>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t="s">
        <v>126</v>
      </c>
      <c r="BC273" s="15" t="str">
        <f>VLOOKUP(BB273,'Axe 2 Règles de gestion'!$D$2:$F$121,3, FALSE)</f>
        <v>La date de début de position doit être antérieure ou égale à la date de fin prévisionnelle de position.</v>
      </c>
      <c r="BD273" s="13" t="s">
        <v>130</v>
      </c>
      <c r="BE273" s="15" t="str">
        <f>VLOOKUP(BD273,'Axe 2 Règles de gestion'!$D$2:$F$121,3, FALSE)</f>
        <v>La date de fin réelle de la position doit être antérieure à la date limite de départ à la retraite.</v>
      </c>
      <c r="BF273" s="13" t="s">
        <v>132</v>
      </c>
      <c r="BG273" s="15" t="str">
        <f>VLOOKUP(BF273,'Axe 2 Règles de gestion'!$D$2:$F$121,3, FALSE)</f>
        <v>La date de début de position doit être antérieure ou égale à la date de fin réelle de position.</v>
      </c>
      <c r="BH273" s="13" t="s">
        <v>134</v>
      </c>
      <c r="BI273" s="15" t="str">
        <f>VLOOKUP(BH273,'Axe 2 Règles de gestion'!$D$2:$F$121,3, FALSE)</f>
        <v>La date de fin prévisionnelle de la position doit être antérieure à la date limite de départ à la retraite.</v>
      </c>
      <c r="BJ273" s="13" t="s">
        <v>140</v>
      </c>
      <c r="BK273" s="15" t="str">
        <f>VLOOKUP(BJ273,'Axe 2 Règles de gestion'!$D$2:$F$121,3, FALSE)</f>
        <v>Les champs "Type d'organisme d'origine", "Catégorie statutaire d'origine" et "Pays" de l'organisme d'origine doivent être renseignés.</v>
      </c>
      <c r="BL273" s="13" t="s">
        <v>142</v>
      </c>
      <c r="BM273" s="15" t="str">
        <f>VLOOKUP(BL273,'Axe 2 Règles de gestion'!$D$2:$F$121,3, FALSE)</f>
        <v>Les champs "Ministère (ou institution de la République) d'origine", "Corps d'origine", "Grade d'origine", "Echelon d'origine" sont renseignés si le "Type d'organisme d'origine" est valorisé à FPE.</v>
      </c>
      <c r="BN273" s="13" t="s">
        <v>144</v>
      </c>
      <c r="BO273" s="15" t="str">
        <f>VLOOKUP(BN273,'Axe 2 Règles de gestion'!$D$2:$F$121,3, FALSE)</f>
        <v>Le champ "Organisme d'origine" doit être alimenté si le type d'organisme d'origine est égal à 'Autre organisme', 'Fonction publique d'un état de l'Union Européenne' ou 'Fonction publique Européenne'.</v>
      </c>
      <c r="BP273" s="13" t="s">
        <v>146</v>
      </c>
      <c r="BQ273" s="15" t="str">
        <f>VLOOKUP(BP273,'Axe 2 Règles de gestion'!$D$2:$F$121,3, FALSE)</f>
        <v>Le champ "Code emploi statutaire FPT (NET)" est renseigné si le "Type d'organisme d'origine" est valorisé à FPT.</v>
      </c>
      <c r="BR273" s="13" t="s">
        <v>148</v>
      </c>
      <c r="BS273" s="15" t="str">
        <f>VLOOKUP(BR273,'Axe 2 Règles de gestion'!$D$2:$F$121,3, FALSE)</f>
        <v>Le champ "Code emploi statutaire FPH (NEH)" est renseigné si le "Type d'organisme d'origine" est valorisé à FPH.</v>
      </c>
      <c r="BT273" s="13" t="s">
        <v>150</v>
      </c>
      <c r="BU273" s="15" t="str">
        <f>VLOOKUP(BT273,'Axe 2 Règles de gestion'!$D$2:$F$121,3, FALSE)</f>
        <v>La date de fin ou la date de fin prévisionnelle doit être saisie.</v>
      </c>
      <c r="BV273" s="13"/>
      <c r="BW273" s="15"/>
      <c r="BX273" s="13"/>
      <c r="BY273" s="15"/>
      <c r="BZ273" s="13"/>
      <c r="CA273" s="15"/>
      <c r="CB273" s="13"/>
      <c r="CC273" s="15"/>
      <c r="CD273" s="13"/>
      <c r="CE273" s="15"/>
      <c r="CF273" s="13"/>
      <c r="CG273" s="13"/>
    </row>
    <row r="274" spans="1:85" ht="135" x14ac:dyDescent="0.25">
      <c r="A274" s="13" t="s">
        <v>202</v>
      </c>
      <c r="B274" s="13" t="s">
        <v>153</v>
      </c>
      <c r="C274" s="14">
        <v>43152.5</v>
      </c>
      <c r="D274" s="13" t="s">
        <v>88</v>
      </c>
      <c r="E274" s="15" t="s">
        <v>89</v>
      </c>
      <c r="F274" s="13" t="s">
        <v>90</v>
      </c>
      <c r="G274" s="15" t="s">
        <v>91</v>
      </c>
      <c r="H274" s="13" t="s">
        <v>443</v>
      </c>
      <c r="I274" s="15" t="s">
        <v>444</v>
      </c>
      <c r="J274" s="15" t="s">
        <v>445</v>
      </c>
      <c r="K274" s="15" t="s">
        <v>446</v>
      </c>
      <c r="L274" s="13" t="s">
        <v>447</v>
      </c>
      <c r="M274" s="15" t="s">
        <v>448</v>
      </c>
      <c r="N274" s="13" t="s">
        <v>98</v>
      </c>
      <c r="O274" s="15" t="s">
        <v>428</v>
      </c>
      <c r="P274" s="15" t="s">
        <v>429</v>
      </c>
      <c r="Q274" s="15" t="s">
        <v>208</v>
      </c>
      <c r="R274" s="13" t="s">
        <v>209</v>
      </c>
      <c r="S274" s="13" t="s">
        <v>103</v>
      </c>
      <c r="T274" s="13" t="s">
        <v>205</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3"/>
    </row>
    <row r="275" spans="1:85" ht="135" x14ac:dyDescent="0.25">
      <c r="A275" s="13" t="s">
        <v>202</v>
      </c>
      <c r="B275" s="13" t="s">
        <v>153</v>
      </c>
      <c r="C275" s="14">
        <v>43152.5</v>
      </c>
      <c r="D275" s="13" t="s">
        <v>88</v>
      </c>
      <c r="E275" s="15" t="s">
        <v>89</v>
      </c>
      <c r="F275" s="13" t="s">
        <v>90</v>
      </c>
      <c r="G275" s="15" t="s">
        <v>91</v>
      </c>
      <c r="H275" s="13" t="s">
        <v>443</v>
      </c>
      <c r="I275" s="15" t="s">
        <v>444</v>
      </c>
      <c r="J275" s="15" t="s">
        <v>445</v>
      </c>
      <c r="K275" s="15" t="s">
        <v>446</v>
      </c>
      <c r="L275" s="13" t="s">
        <v>449</v>
      </c>
      <c r="M275" s="15" t="s">
        <v>450</v>
      </c>
      <c r="N275" s="13" t="s">
        <v>188</v>
      </c>
      <c r="O275" s="15" t="s">
        <v>436</v>
      </c>
      <c r="P275" s="15" t="s">
        <v>437</v>
      </c>
      <c r="Q275" s="15" t="s">
        <v>208</v>
      </c>
      <c r="R275" s="13" t="s">
        <v>209</v>
      </c>
      <c r="S275" s="13" t="s">
        <v>103</v>
      </c>
      <c r="T275" s="13" t="s">
        <v>205</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3"/>
    </row>
    <row r="276" spans="1:85" ht="135" x14ac:dyDescent="0.25">
      <c r="A276" s="13" t="s">
        <v>202</v>
      </c>
      <c r="B276" s="13" t="s">
        <v>153</v>
      </c>
      <c r="C276" s="14">
        <v>43152.5</v>
      </c>
      <c r="D276" s="13" t="s">
        <v>88</v>
      </c>
      <c r="E276" s="15" t="s">
        <v>89</v>
      </c>
      <c r="F276" s="13" t="s">
        <v>90</v>
      </c>
      <c r="G276" s="15" t="s">
        <v>91</v>
      </c>
      <c r="H276" s="13" t="s">
        <v>443</v>
      </c>
      <c r="I276" s="15" t="s">
        <v>444</v>
      </c>
      <c r="J276" s="15" t="s">
        <v>445</v>
      </c>
      <c r="K276" s="15" t="s">
        <v>446</v>
      </c>
      <c r="L276" s="13" t="s">
        <v>447</v>
      </c>
      <c r="M276" s="15" t="s">
        <v>448</v>
      </c>
      <c r="N276" s="13" t="s">
        <v>98</v>
      </c>
      <c r="O276" s="15" t="s">
        <v>428</v>
      </c>
      <c r="P276" s="15" t="s">
        <v>429</v>
      </c>
      <c r="Q276" s="15" t="s">
        <v>366</v>
      </c>
      <c r="R276" s="13" t="s">
        <v>367</v>
      </c>
      <c r="S276" s="13" t="s">
        <v>212</v>
      </c>
      <c r="T276" s="13" t="s">
        <v>205</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3"/>
    </row>
    <row r="277" spans="1:85" ht="135" x14ac:dyDescent="0.25">
      <c r="A277" s="13" t="s">
        <v>202</v>
      </c>
      <c r="B277" s="13" t="s">
        <v>153</v>
      </c>
      <c r="C277" s="14">
        <v>43152.5</v>
      </c>
      <c r="D277" s="13" t="s">
        <v>88</v>
      </c>
      <c r="E277" s="15" t="s">
        <v>89</v>
      </c>
      <c r="F277" s="13" t="s">
        <v>90</v>
      </c>
      <c r="G277" s="15" t="s">
        <v>91</v>
      </c>
      <c r="H277" s="13" t="s">
        <v>443</v>
      </c>
      <c r="I277" s="15" t="s">
        <v>444</v>
      </c>
      <c r="J277" s="15" t="s">
        <v>445</v>
      </c>
      <c r="K277" s="15" t="s">
        <v>446</v>
      </c>
      <c r="L277" s="13" t="s">
        <v>449</v>
      </c>
      <c r="M277" s="15" t="s">
        <v>450</v>
      </c>
      <c r="N277" s="13" t="s">
        <v>188</v>
      </c>
      <c r="O277" s="15" t="s">
        <v>436</v>
      </c>
      <c r="P277" s="15" t="s">
        <v>437</v>
      </c>
      <c r="Q277" s="15" t="s">
        <v>366</v>
      </c>
      <c r="R277" s="13" t="s">
        <v>367</v>
      </c>
      <c r="S277" s="13" t="s">
        <v>212</v>
      </c>
      <c r="T277" s="13" t="s">
        <v>205</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3"/>
    </row>
    <row r="278" spans="1:85" ht="135" x14ac:dyDescent="0.25">
      <c r="A278" s="13" t="s">
        <v>202</v>
      </c>
      <c r="B278" s="13" t="s">
        <v>153</v>
      </c>
      <c r="C278" s="14">
        <v>43152.5</v>
      </c>
      <c r="D278" s="13" t="s">
        <v>88</v>
      </c>
      <c r="E278" s="15" t="s">
        <v>89</v>
      </c>
      <c r="F278" s="13" t="s">
        <v>90</v>
      </c>
      <c r="G278" s="15" t="s">
        <v>91</v>
      </c>
      <c r="H278" s="13" t="s">
        <v>443</v>
      </c>
      <c r="I278" s="15" t="s">
        <v>444</v>
      </c>
      <c r="J278" s="15" t="s">
        <v>445</v>
      </c>
      <c r="K278" s="15" t="s">
        <v>446</v>
      </c>
      <c r="L278" s="13" t="s">
        <v>447</v>
      </c>
      <c r="M278" s="15" t="s">
        <v>448</v>
      </c>
      <c r="N278" s="13" t="s">
        <v>98</v>
      </c>
      <c r="O278" s="15" t="s">
        <v>428</v>
      </c>
      <c r="P278" s="15" t="s">
        <v>429</v>
      </c>
      <c r="Q278" s="15" t="s">
        <v>219</v>
      </c>
      <c r="R278" s="13" t="s">
        <v>220</v>
      </c>
      <c r="S278" s="13" t="s">
        <v>212</v>
      </c>
      <c r="T278" s="13" t="s">
        <v>205</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3"/>
    </row>
    <row r="279" spans="1:85" ht="135" x14ac:dyDescent="0.25">
      <c r="A279" s="13" t="s">
        <v>202</v>
      </c>
      <c r="B279" s="13" t="s">
        <v>153</v>
      </c>
      <c r="C279" s="14">
        <v>43152.5</v>
      </c>
      <c r="D279" s="13" t="s">
        <v>88</v>
      </c>
      <c r="E279" s="15" t="s">
        <v>89</v>
      </c>
      <c r="F279" s="13" t="s">
        <v>90</v>
      </c>
      <c r="G279" s="15" t="s">
        <v>91</v>
      </c>
      <c r="H279" s="13" t="s">
        <v>443</v>
      </c>
      <c r="I279" s="15" t="s">
        <v>444</v>
      </c>
      <c r="J279" s="15" t="s">
        <v>445</v>
      </c>
      <c r="K279" s="15" t="s">
        <v>446</v>
      </c>
      <c r="L279" s="13" t="s">
        <v>449</v>
      </c>
      <c r="M279" s="15" t="s">
        <v>450</v>
      </c>
      <c r="N279" s="13" t="s">
        <v>188</v>
      </c>
      <c r="O279" s="15" t="s">
        <v>436</v>
      </c>
      <c r="P279" s="15" t="s">
        <v>437</v>
      </c>
      <c r="Q279" s="15" t="s">
        <v>219</v>
      </c>
      <c r="R279" s="13" t="s">
        <v>220</v>
      </c>
      <c r="S279" s="13" t="s">
        <v>212</v>
      </c>
      <c r="T279" s="13" t="s">
        <v>205</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3"/>
    </row>
    <row r="280" spans="1:85" ht="210" x14ac:dyDescent="0.25">
      <c r="A280" s="13" t="s">
        <v>86</v>
      </c>
      <c r="B280" s="13" t="s">
        <v>87</v>
      </c>
      <c r="C280" s="14">
        <v>43850.552083333336</v>
      </c>
      <c r="D280" s="13" t="s">
        <v>88</v>
      </c>
      <c r="E280" s="15" t="s">
        <v>89</v>
      </c>
      <c r="F280" s="13" t="s">
        <v>90</v>
      </c>
      <c r="G280" s="15" t="s">
        <v>91</v>
      </c>
      <c r="H280" s="13" t="s">
        <v>451</v>
      </c>
      <c r="I280" s="15" t="s">
        <v>452</v>
      </c>
      <c r="J280" s="15" t="s">
        <v>453</v>
      </c>
      <c r="K280" s="15" t="s">
        <v>454</v>
      </c>
      <c r="L280" s="13" t="s">
        <v>455</v>
      </c>
      <c r="M280" s="15" t="s">
        <v>456</v>
      </c>
      <c r="N280" s="13" t="s">
        <v>98</v>
      </c>
      <c r="O280" s="15" t="s">
        <v>428</v>
      </c>
      <c r="P280" s="15" t="s">
        <v>429</v>
      </c>
      <c r="Q280" s="15" t="s">
        <v>101</v>
      </c>
      <c r="R280" s="13" t="s">
        <v>102</v>
      </c>
      <c r="S280" s="13" t="s">
        <v>103</v>
      </c>
      <c r="T280" s="13" t="s">
        <v>104</v>
      </c>
      <c r="U280" s="14">
        <v>40725</v>
      </c>
      <c r="V280" s="14"/>
      <c r="W280" s="15" t="s">
        <v>457</v>
      </c>
      <c r="X280" s="13" t="s">
        <v>458</v>
      </c>
      <c r="Y280" s="15" t="str">
        <f>VLOOKUP(X280,'Axe 2 Règles de gestion'!$D$2:$F$121,3, FALSE)</f>
        <v>L'agent est fonctionnaire affecté en position d'activité dans les services de la gendarmerie nationale. Cela n'est pas possible s'il appartient à un corps dont l'indice terminal est égal à l'indice brut 638.</v>
      </c>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t="s">
        <v>126</v>
      </c>
      <c r="BC280" s="15" t="str">
        <f>VLOOKUP(BB280,'Axe 2 Règles de gestion'!$D$2:$F$121,3, FALSE)</f>
        <v>La date de début de position doit être antérieure ou égale à la date de fin prévisionnelle de position.</v>
      </c>
      <c r="BD280" s="13" t="s">
        <v>128</v>
      </c>
      <c r="BE280" s="15" t="str">
        <f>VLOOKUP(BD280,'Axe 2 Règles de gestion'!$D$2:$F$121,3, FALSE)</f>
        <v>La date de début de la position doit être postérieure ou égale à la date d'entrée dans la FPE ou dans la carrière militaire.</v>
      </c>
      <c r="BF280" s="13" t="s">
        <v>130</v>
      </c>
      <c r="BG280" s="15" t="str">
        <f>VLOOKUP(BF280,'Axe 2 Règles de gestion'!$D$2:$F$121,3, FALSE)</f>
        <v>La date de fin réelle de la position doit être antérieure à la date limite de départ à la retraite.</v>
      </c>
      <c r="BH280" s="13" t="s">
        <v>132</v>
      </c>
      <c r="BI280" s="15" t="str">
        <f>VLOOKUP(BH280,'Axe 2 Règles de gestion'!$D$2:$F$121,3, FALSE)</f>
        <v>La date de début de position doit être antérieure ou égale à la date de fin réelle de position.</v>
      </c>
      <c r="BJ280" s="13" t="s">
        <v>134</v>
      </c>
      <c r="BK280" s="15" t="str">
        <f>VLOOKUP(BJ280,'Axe 2 Règles de gestion'!$D$2:$F$121,3, FALSE)</f>
        <v>La date de fin prévisionnelle de la position doit être antérieure à la date limite de départ à la retraite.</v>
      </c>
      <c r="BL280" s="13" t="s">
        <v>136</v>
      </c>
      <c r="BM280" s="15" t="str">
        <f>VLOOKUP(BL280,'Axe 2 Règles de gestion'!$D$2:$F$121,3, FALSE)</f>
        <v>L'indicateur de carrière est sur la valeur "Accueil".</v>
      </c>
      <c r="BN280" s="13" t="s">
        <v>138</v>
      </c>
      <c r="BO280" s="15" t="str">
        <f>VLOOKUP(BN280,'Axe 2 Règles de gestion'!$D$2:$F$121,3, FALSE)</f>
        <v>La date de début de position est à J+1 de la date de fin de position de l'occurrence précédente.</v>
      </c>
      <c r="BP280" s="13" t="s">
        <v>140</v>
      </c>
      <c r="BQ280" s="15" t="str">
        <f>VLOOKUP(BP280,'Axe 2 Règles de gestion'!$D$2:$F$121,3, FALSE)</f>
        <v>Les champs "Type d'organisme d'origine", "Catégorie statutaire d'origine" et "Pays" de l'organisme d'origine doivent être renseignés.</v>
      </c>
      <c r="BR280" s="13" t="s">
        <v>142</v>
      </c>
      <c r="BS280" s="15" t="str">
        <f>VLOOKUP(BR280,'Axe 2 Règles de gestion'!$D$2:$F$121,3, FALSE)</f>
        <v>Les champs "Ministère (ou institution de la République) d'origine", "Corps d'origine", "Grade d'origine", "Echelon d'origine" sont renseignés si le "Type d'organisme d'origine" est valorisé à FPE.</v>
      </c>
      <c r="BT280" s="13" t="s">
        <v>144</v>
      </c>
      <c r="BU280" s="15" t="str">
        <f>VLOOKUP(BT280,'Axe 2 Règles de gestion'!$D$2:$F$121,3, FALSE)</f>
        <v>Le champ "Organisme d'origine" doit être alimenté si le type d'organisme d'origine est égal à 'Autre organisme', 'Fonction publique d'un état de l'Union Européenne' ou 'Fonction publique Européenne'.</v>
      </c>
      <c r="BV280" s="13" t="s">
        <v>146</v>
      </c>
      <c r="BW280" s="15" t="str">
        <f>VLOOKUP(BV280,'Axe 2 Règles de gestion'!$D$2:$F$121,3, FALSE)</f>
        <v>Le champ "Code emploi statutaire FPT (NET)" est renseigné si le "Type d'organisme d'origine" est valorisé à FPT.</v>
      </c>
      <c r="BX280" s="13" t="s">
        <v>148</v>
      </c>
      <c r="BY280" s="15" t="str">
        <f>VLOOKUP(BX280,'Axe 2 Règles de gestion'!$D$2:$F$121,3, FALSE)</f>
        <v>Le champ "Code emploi statutaire FPH (NEH)" est renseigné si le "Type d'organisme d'origine" est valorisé à FPH.</v>
      </c>
      <c r="BZ280" s="13" t="s">
        <v>460</v>
      </c>
      <c r="CA280" s="15" t="str">
        <f>VLOOKUP(BZ280,'Axe 2 Règles de gestion'!$D$2:$F$121,3,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CB280" s="13"/>
      <c r="CC280" s="15"/>
      <c r="CD280" s="13"/>
      <c r="CE280" s="15"/>
      <c r="CF280" s="13"/>
      <c r="CG280" s="13"/>
    </row>
    <row r="281" spans="1:85" ht="210" x14ac:dyDescent="0.25">
      <c r="A281" s="13" t="s">
        <v>86</v>
      </c>
      <c r="B281" s="13" t="s">
        <v>87</v>
      </c>
      <c r="C281" s="14">
        <v>43850.552083333336</v>
      </c>
      <c r="D281" s="13" t="s">
        <v>88</v>
      </c>
      <c r="E281" s="15" t="s">
        <v>89</v>
      </c>
      <c r="F281" s="13" t="s">
        <v>90</v>
      </c>
      <c r="G281" s="15" t="s">
        <v>91</v>
      </c>
      <c r="H281" s="13" t="s">
        <v>451</v>
      </c>
      <c r="I281" s="15" t="s">
        <v>452</v>
      </c>
      <c r="J281" s="15" t="s">
        <v>453</v>
      </c>
      <c r="K281" s="15" t="s">
        <v>454</v>
      </c>
      <c r="L281" s="13" t="s">
        <v>462</v>
      </c>
      <c r="M281" s="15" t="s">
        <v>463</v>
      </c>
      <c r="N281" s="13" t="s">
        <v>188</v>
      </c>
      <c r="O281" s="15" t="s">
        <v>464</v>
      </c>
      <c r="P281" s="15" t="s">
        <v>437</v>
      </c>
      <c r="Q281" s="15" t="s">
        <v>101</v>
      </c>
      <c r="R281" s="13" t="s">
        <v>102</v>
      </c>
      <c r="S281" s="13" t="s">
        <v>103</v>
      </c>
      <c r="T281" s="13" t="s">
        <v>104</v>
      </c>
      <c r="U281" s="14">
        <v>40725</v>
      </c>
      <c r="V281" s="14"/>
      <c r="W281" s="15" t="s">
        <v>465</v>
      </c>
      <c r="X281" s="13" t="s">
        <v>466</v>
      </c>
      <c r="Y281" s="15" t="str">
        <f>VLOOKUP(X281,'Axe 2 Règles de gestion'!$D$2:$F$121,3, FALSE)</f>
        <v>Le détachement peut prendre fin de manière anticipée à l'initiative de l'administration d'accueil, de l'administration d'origine ou de l'agent.</v>
      </c>
      <c r="Z281" s="13" t="s">
        <v>200</v>
      </c>
      <c r="AA281" s="15" t="str">
        <f>VLOOKUP(Z281,'Axe 2 Règles de gestion'!$D$2:$F$121,3, FALSE)</f>
        <v>Les dispositions relatives à la réintégration au terme d'un détachement de longue durée ne sont pas applicables aux préfets et sous-préfets.</v>
      </c>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t="s">
        <v>126</v>
      </c>
      <c r="BC281" s="15" t="str">
        <f>VLOOKUP(BB281,'Axe 2 Règles de gestion'!$D$2:$F$121,3, FALSE)</f>
        <v>La date de début de position doit être antérieure ou égale à la date de fin prévisionnelle de position.</v>
      </c>
      <c r="BD281" s="13" t="s">
        <v>130</v>
      </c>
      <c r="BE281" s="15" t="str">
        <f>VLOOKUP(BD281,'Axe 2 Règles de gestion'!$D$2:$F$121,3, FALSE)</f>
        <v>La date de fin réelle de la position doit être antérieure à la date limite de départ à la retraite.</v>
      </c>
      <c r="BF281" s="13" t="s">
        <v>132</v>
      </c>
      <c r="BG281" s="15" t="str">
        <f>VLOOKUP(BF281,'Axe 2 Règles de gestion'!$D$2:$F$121,3, FALSE)</f>
        <v>La date de début de position doit être antérieure ou égale à la date de fin réelle de position.</v>
      </c>
      <c r="BH281" s="13" t="s">
        <v>134</v>
      </c>
      <c r="BI281" s="15" t="str">
        <f>VLOOKUP(BH281,'Axe 2 Règles de gestion'!$D$2:$F$121,3, FALSE)</f>
        <v>La date de fin prévisionnelle de la position doit être antérieure à la date limite de départ à la retraite.</v>
      </c>
      <c r="BJ281" s="13" t="s">
        <v>140</v>
      </c>
      <c r="BK281" s="15" t="str">
        <f>VLOOKUP(BJ281,'Axe 2 Règles de gestion'!$D$2:$F$121,3, FALSE)</f>
        <v>Les champs "Type d'organisme d'origine", "Catégorie statutaire d'origine" et "Pays" de l'organisme d'origine doivent être renseignés.</v>
      </c>
      <c r="BL281" s="13" t="s">
        <v>142</v>
      </c>
      <c r="BM281" s="15" t="str">
        <f>VLOOKUP(BL281,'Axe 2 Règles de gestion'!$D$2:$F$121,3, FALSE)</f>
        <v>Les champs "Ministère (ou institution de la République) d'origine", "Corps d'origine", "Grade d'origine", "Echelon d'origine" sont renseignés si le "Type d'organisme d'origine" est valorisé à FPE.</v>
      </c>
      <c r="BN281" s="13" t="s">
        <v>144</v>
      </c>
      <c r="BO281" s="15" t="str">
        <f>VLOOKUP(BN281,'Axe 2 Règles de gestion'!$D$2:$F$121,3, FALSE)</f>
        <v>Le champ "Organisme d'origine" doit être alimenté si le type d'organisme d'origine est égal à 'Autre organisme', 'Fonction publique d'un état de l'Union Européenne' ou 'Fonction publique Européenne'.</v>
      </c>
      <c r="BP281" s="13" t="s">
        <v>146</v>
      </c>
      <c r="BQ281" s="15" t="str">
        <f>VLOOKUP(BP281,'Axe 2 Règles de gestion'!$D$2:$F$121,3, FALSE)</f>
        <v>Le champ "Code emploi statutaire FPT (NET)" est renseigné si le "Type d'organisme d'origine" est valorisé à FPT.</v>
      </c>
      <c r="BR281" s="13" t="s">
        <v>148</v>
      </c>
      <c r="BS281" s="15" t="str">
        <f>VLOOKUP(BR281,'Axe 2 Règles de gestion'!$D$2:$F$121,3, FALSE)</f>
        <v>Le champ "Code emploi statutaire FPH (NEH)" est renseigné si le "Type d'organisme d'origine" est valorisé à FPH.</v>
      </c>
      <c r="BT281" s="13" t="s">
        <v>460</v>
      </c>
      <c r="BU281" s="15" t="str">
        <f>VLOOKUP(BT281,'Axe 2 Règles de gestion'!$D$2:$F$121,3,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BV281" s="13"/>
      <c r="BW281" s="15"/>
      <c r="BX281" s="13"/>
      <c r="BY281" s="15"/>
      <c r="BZ281" s="13"/>
      <c r="CA281" s="15"/>
      <c r="CB281" s="13"/>
      <c r="CC281" s="15"/>
      <c r="CD281" s="13"/>
      <c r="CE281" s="15"/>
      <c r="CF281" s="13"/>
      <c r="CG281" s="13"/>
    </row>
    <row r="282" spans="1:85" ht="120" x14ac:dyDescent="0.25">
      <c r="A282" s="13" t="s">
        <v>202</v>
      </c>
      <c r="B282" s="13" t="s">
        <v>153</v>
      </c>
      <c r="C282" s="14">
        <v>43152.5</v>
      </c>
      <c r="D282" s="13" t="s">
        <v>88</v>
      </c>
      <c r="E282" s="15" t="s">
        <v>89</v>
      </c>
      <c r="F282" s="13" t="s">
        <v>90</v>
      </c>
      <c r="G282" s="15" t="s">
        <v>91</v>
      </c>
      <c r="H282" s="13" t="s">
        <v>451</v>
      </c>
      <c r="I282" s="15" t="s">
        <v>452</v>
      </c>
      <c r="J282" s="15" t="s">
        <v>453</v>
      </c>
      <c r="K282" s="15" t="s">
        <v>454</v>
      </c>
      <c r="L282" s="13" t="s">
        <v>455</v>
      </c>
      <c r="M282" s="15" t="s">
        <v>456</v>
      </c>
      <c r="N282" s="13" t="s">
        <v>98</v>
      </c>
      <c r="O282" s="15" t="s">
        <v>428</v>
      </c>
      <c r="P282" s="15" t="s">
        <v>429</v>
      </c>
      <c r="Q282" s="15" t="s">
        <v>203</v>
      </c>
      <c r="R282" s="13" t="s">
        <v>204</v>
      </c>
      <c r="S282" s="13" t="s">
        <v>103</v>
      </c>
      <c r="T282" s="13" t="s">
        <v>205</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3"/>
    </row>
    <row r="283" spans="1:85" ht="120" x14ac:dyDescent="0.25">
      <c r="A283" s="13" t="s">
        <v>202</v>
      </c>
      <c r="B283" s="13" t="s">
        <v>153</v>
      </c>
      <c r="C283" s="14">
        <v>43152.5</v>
      </c>
      <c r="D283" s="13" t="s">
        <v>88</v>
      </c>
      <c r="E283" s="15" t="s">
        <v>89</v>
      </c>
      <c r="F283" s="13" t="s">
        <v>90</v>
      </c>
      <c r="G283" s="15" t="s">
        <v>91</v>
      </c>
      <c r="H283" s="13" t="s">
        <v>451</v>
      </c>
      <c r="I283" s="15" t="s">
        <v>452</v>
      </c>
      <c r="J283" s="15" t="s">
        <v>453</v>
      </c>
      <c r="K283" s="15" t="s">
        <v>454</v>
      </c>
      <c r="L283" s="13" t="s">
        <v>462</v>
      </c>
      <c r="M283" s="15" t="s">
        <v>463</v>
      </c>
      <c r="N283" s="13" t="s">
        <v>188</v>
      </c>
      <c r="O283" s="15" t="s">
        <v>464</v>
      </c>
      <c r="P283" s="15" t="s">
        <v>437</v>
      </c>
      <c r="Q283" s="15" t="s">
        <v>203</v>
      </c>
      <c r="R283" s="13" t="s">
        <v>204</v>
      </c>
      <c r="S283" s="13" t="s">
        <v>103</v>
      </c>
      <c r="T283" s="13" t="s">
        <v>205</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3"/>
    </row>
    <row r="284" spans="1:85" ht="120" x14ac:dyDescent="0.25">
      <c r="A284" s="13" t="s">
        <v>202</v>
      </c>
      <c r="B284" s="13" t="s">
        <v>153</v>
      </c>
      <c r="C284" s="14">
        <v>43152.5</v>
      </c>
      <c r="D284" s="13" t="s">
        <v>88</v>
      </c>
      <c r="E284" s="15" t="s">
        <v>89</v>
      </c>
      <c r="F284" s="13" t="s">
        <v>90</v>
      </c>
      <c r="G284" s="15" t="s">
        <v>91</v>
      </c>
      <c r="H284" s="13" t="s">
        <v>451</v>
      </c>
      <c r="I284" s="15" t="s">
        <v>452</v>
      </c>
      <c r="J284" s="15" t="s">
        <v>453</v>
      </c>
      <c r="K284" s="15" t="s">
        <v>454</v>
      </c>
      <c r="L284" s="13" t="s">
        <v>455</v>
      </c>
      <c r="M284" s="15" t="s">
        <v>456</v>
      </c>
      <c r="N284" s="13" t="s">
        <v>98</v>
      </c>
      <c r="O284" s="15" t="s">
        <v>428</v>
      </c>
      <c r="P284" s="15" t="s">
        <v>429</v>
      </c>
      <c r="Q284" s="15" t="s">
        <v>206</v>
      </c>
      <c r="R284" s="13" t="s">
        <v>207</v>
      </c>
      <c r="S284" s="13" t="s">
        <v>103</v>
      </c>
      <c r="T284" s="13" t="s">
        <v>205</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3"/>
    </row>
    <row r="285" spans="1:85" ht="120" x14ac:dyDescent="0.25">
      <c r="A285" s="13" t="s">
        <v>202</v>
      </c>
      <c r="B285" s="13" t="s">
        <v>153</v>
      </c>
      <c r="C285" s="14">
        <v>43152.5</v>
      </c>
      <c r="D285" s="13" t="s">
        <v>88</v>
      </c>
      <c r="E285" s="15" t="s">
        <v>89</v>
      </c>
      <c r="F285" s="13" t="s">
        <v>90</v>
      </c>
      <c r="G285" s="15" t="s">
        <v>91</v>
      </c>
      <c r="H285" s="13" t="s">
        <v>451</v>
      </c>
      <c r="I285" s="15" t="s">
        <v>452</v>
      </c>
      <c r="J285" s="15" t="s">
        <v>453</v>
      </c>
      <c r="K285" s="15" t="s">
        <v>454</v>
      </c>
      <c r="L285" s="13" t="s">
        <v>462</v>
      </c>
      <c r="M285" s="15" t="s">
        <v>463</v>
      </c>
      <c r="N285" s="13" t="s">
        <v>188</v>
      </c>
      <c r="O285" s="15" t="s">
        <v>464</v>
      </c>
      <c r="P285" s="15" t="s">
        <v>437</v>
      </c>
      <c r="Q285" s="15" t="s">
        <v>206</v>
      </c>
      <c r="R285" s="13" t="s">
        <v>207</v>
      </c>
      <c r="S285" s="13" t="s">
        <v>103</v>
      </c>
      <c r="T285" s="13" t="s">
        <v>205</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3"/>
    </row>
    <row r="286" spans="1:85" ht="120" x14ac:dyDescent="0.25">
      <c r="A286" s="13" t="s">
        <v>202</v>
      </c>
      <c r="B286" s="13" t="s">
        <v>153</v>
      </c>
      <c r="C286" s="14">
        <v>43152.5</v>
      </c>
      <c r="D286" s="13" t="s">
        <v>88</v>
      </c>
      <c r="E286" s="15" t="s">
        <v>89</v>
      </c>
      <c r="F286" s="13" t="s">
        <v>90</v>
      </c>
      <c r="G286" s="15" t="s">
        <v>91</v>
      </c>
      <c r="H286" s="13" t="s">
        <v>451</v>
      </c>
      <c r="I286" s="15" t="s">
        <v>452</v>
      </c>
      <c r="J286" s="15" t="s">
        <v>453</v>
      </c>
      <c r="K286" s="15" t="s">
        <v>454</v>
      </c>
      <c r="L286" s="13" t="s">
        <v>455</v>
      </c>
      <c r="M286" s="15" t="s">
        <v>456</v>
      </c>
      <c r="N286" s="13" t="s">
        <v>98</v>
      </c>
      <c r="O286" s="15" t="s">
        <v>428</v>
      </c>
      <c r="P286" s="15" t="s">
        <v>429</v>
      </c>
      <c r="Q286" s="15" t="s">
        <v>208</v>
      </c>
      <c r="R286" s="13" t="s">
        <v>209</v>
      </c>
      <c r="S286" s="13" t="s">
        <v>103</v>
      </c>
      <c r="T286" s="13" t="s">
        <v>205</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3"/>
    </row>
    <row r="287" spans="1:85" ht="120" x14ac:dyDescent="0.25">
      <c r="A287" s="13" t="s">
        <v>202</v>
      </c>
      <c r="B287" s="13" t="s">
        <v>153</v>
      </c>
      <c r="C287" s="14">
        <v>43152.5</v>
      </c>
      <c r="D287" s="13" t="s">
        <v>88</v>
      </c>
      <c r="E287" s="15" t="s">
        <v>89</v>
      </c>
      <c r="F287" s="13" t="s">
        <v>90</v>
      </c>
      <c r="G287" s="15" t="s">
        <v>91</v>
      </c>
      <c r="H287" s="13" t="s">
        <v>451</v>
      </c>
      <c r="I287" s="15" t="s">
        <v>452</v>
      </c>
      <c r="J287" s="15" t="s">
        <v>453</v>
      </c>
      <c r="K287" s="15" t="s">
        <v>454</v>
      </c>
      <c r="L287" s="13" t="s">
        <v>462</v>
      </c>
      <c r="M287" s="15" t="s">
        <v>463</v>
      </c>
      <c r="N287" s="13" t="s">
        <v>188</v>
      </c>
      <c r="O287" s="15" t="s">
        <v>464</v>
      </c>
      <c r="P287" s="15" t="s">
        <v>437</v>
      </c>
      <c r="Q287" s="15" t="s">
        <v>208</v>
      </c>
      <c r="R287" s="13" t="s">
        <v>209</v>
      </c>
      <c r="S287" s="13" t="s">
        <v>103</v>
      </c>
      <c r="T287" s="13" t="s">
        <v>205</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3"/>
    </row>
    <row r="288" spans="1:85" ht="210" x14ac:dyDescent="0.25">
      <c r="A288" s="13" t="s">
        <v>86</v>
      </c>
      <c r="B288" s="13" t="s">
        <v>87</v>
      </c>
      <c r="C288" s="14">
        <v>43850.552083333336</v>
      </c>
      <c r="D288" s="13" t="s">
        <v>88</v>
      </c>
      <c r="E288" s="15" t="s">
        <v>89</v>
      </c>
      <c r="F288" s="13" t="s">
        <v>90</v>
      </c>
      <c r="G288" s="15" t="s">
        <v>91</v>
      </c>
      <c r="H288" s="13" t="s">
        <v>467</v>
      </c>
      <c r="I288" s="15" t="s">
        <v>468</v>
      </c>
      <c r="J288" s="15" t="s">
        <v>469</v>
      </c>
      <c r="K288" s="15" t="s">
        <v>470</v>
      </c>
      <c r="L288" s="13" t="s">
        <v>471</v>
      </c>
      <c r="M288" s="15" t="s">
        <v>472</v>
      </c>
      <c r="N288" s="13" t="s">
        <v>98</v>
      </c>
      <c r="O288" s="15" t="s">
        <v>428</v>
      </c>
      <c r="P288" s="15" t="s">
        <v>429</v>
      </c>
      <c r="Q288" s="15" t="s">
        <v>101</v>
      </c>
      <c r="R288" s="13" t="s">
        <v>102</v>
      </c>
      <c r="S288" s="13" t="s">
        <v>103</v>
      </c>
      <c r="T288" s="13" t="s">
        <v>104</v>
      </c>
      <c r="U288" s="14">
        <v>40725</v>
      </c>
      <c r="V288" s="14"/>
      <c r="W288" s="15" t="s">
        <v>457</v>
      </c>
      <c r="X288" s="13" t="s">
        <v>458</v>
      </c>
      <c r="Y288" s="15" t="str">
        <f>VLOOKUP(X288,'Axe 2 Règles de gestion'!$D$2:$F$121,3, FALSE)</f>
        <v>L'agent est fonctionnaire affecté en position d'activité dans les services de la gendarmerie nationale. Cela n'est pas possible s'il appartient à un corps dont l'indice terminal est égal à l'indice brut 638.</v>
      </c>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t="s">
        <v>126</v>
      </c>
      <c r="BC288" s="15" t="str">
        <f>VLOOKUP(BB288,'Axe 2 Règles de gestion'!$D$2:$F$121,3, FALSE)</f>
        <v>La date de début de position doit être antérieure ou égale à la date de fin prévisionnelle de position.</v>
      </c>
      <c r="BD288" s="13" t="s">
        <v>128</v>
      </c>
      <c r="BE288" s="15" t="str">
        <f>VLOOKUP(BD288,'Axe 2 Règles de gestion'!$D$2:$F$121,3, FALSE)</f>
        <v>La date de début de la position doit être postérieure ou égale à la date d'entrée dans la FPE ou dans la carrière militaire.</v>
      </c>
      <c r="BF288" s="13" t="s">
        <v>130</v>
      </c>
      <c r="BG288" s="15" t="str">
        <f>VLOOKUP(BF288,'Axe 2 Règles de gestion'!$D$2:$F$121,3, FALSE)</f>
        <v>La date de fin réelle de la position doit être antérieure à la date limite de départ à la retraite.</v>
      </c>
      <c r="BH288" s="13" t="s">
        <v>132</v>
      </c>
      <c r="BI288" s="15" t="str">
        <f>VLOOKUP(BH288,'Axe 2 Règles de gestion'!$D$2:$F$121,3, FALSE)</f>
        <v>La date de début de position doit être antérieure ou égale à la date de fin réelle de position.</v>
      </c>
      <c r="BJ288" s="13" t="s">
        <v>134</v>
      </c>
      <c r="BK288" s="15" t="str">
        <f>VLOOKUP(BJ288,'Axe 2 Règles de gestion'!$D$2:$F$121,3, FALSE)</f>
        <v>La date de fin prévisionnelle de la position doit être antérieure à la date limite de départ à la retraite.</v>
      </c>
      <c r="BL288" s="13" t="s">
        <v>136</v>
      </c>
      <c r="BM288" s="15" t="str">
        <f>VLOOKUP(BL288,'Axe 2 Règles de gestion'!$D$2:$F$121,3, FALSE)</f>
        <v>L'indicateur de carrière est sur la valeur "Accueil".</v>
      </c>
      <c r="BN288" s="13" t="s">
        <v>138</v>
      </c>
      <c r="BO288" s="15" t="str">
        <f>VLOOKUP(BN288,'Axe 2 Règles de gestion'!$D$2:$F$121,3, FALSE)</f>
        <v>La date de début de position est à J+1 de la date de fin de position de l'occurrence précédente.</v>
      </c>
      <c r="BP288" s="13" t="s">
        <v>140</v>
      </c>
      <c r="BQ288" s="15" t="str">
        <f>VLOOKUP(BP288,'Axe 2 Règles de gestion'!$D$2:$F$121,3, FALSE)</f>
        <v>Les champs "Type d'organisme d'origine", "Catégorie statutaire d'origine" et "Pays" de l'organisme d'origine doivent être renseignés.</v>
      </c>
      <c r="BR288" s="13" t="s">
        <v>142</v>
      </c>
      <c r="BS288" s="15" t="str">
        <f>VLOOKUP(BR288,'Axe 2 Règles de gestion'!$D$2:$F$121,3, FALSE)</f>
        <v>Les champs "Ministère (ou institution de la République) d'origine", "Corps d'origine", "Grade d'origine", "Echelon d'origine" sont renseignés si le "Type d'organisme d'origine" est valorisé à FPE.</v>
      </c>
      <c r="BT288" s="13" t="s">
        <v>144</v>
      </c>
      <c r="BU288" s="15" t="str">
        <f>VLOOKUP(BT288,'Axe 2 Règles de gestion'!$D$2:$F$121,3, FALSE)</f>
        <v>Le champ "Organisme d'origine" doit être alimenté si le type d'organisme d'origine est égal à 'Autre organisme', 'Fonction publique d'un état de l'Union Européenne' ou 'Fonction publique Européenne'.</v>
      </c>
      <c r="BV288" s="13" t="s">
        <v>146</v>
      </c>
      <c r="BW288" s="15" t="str">
        <f>VLOOKUP(BV288,'Axe 2 Règles de gestion'!$D$2:$F$121,3, FALSE)</f>
        <v>Le champ "Code emploi statutaire FPT (NET)" est renseigné si le "Type d'organisme d'origine" est valorisé à FPT.</v>
      </c>
      <c r="BX288" s="13" t="s">
        <v>148</v>
      </c>
      <c r="BY288" s="15" t="str">
        <f>VLOOKUP(BX288,'Axe 2 Règles de gestion'!$D$2:$F$121,3, FALSE)</f>
        <v>Le champ "Code emploi statutaire FPH (NEH)" est renseigné si le "Type d'organisme d'origine" est valorisé à FPH.</v>
      </c>
      <c r="BZ288" s="13" t="s">
        <v>460</v>
      </c>
      <c r="CA288" s="15" t="str">
        <f>VLOOKUP(BZ288,'Axe 2 Règles de gestion'!$D$2:$F$121,3,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CB288" s="13"/>
      <c r="CC288" s="15"/>
      <c r="CD288" s="13"/>
      <c r="CE288" s="15"/>
      <c r="CF288" s="13"/>
      <c r="CG288" s="13"/>
    </row>
    <row r="289" spans="1:85" ht="210" x14ac:dyDescent="0.25">
      <c r="A289" s="13" t="s">
        <v>86</v>
      </c>
      <c r="B289" s="13" t="s">
        <v>87</v>
      </c>
      <c r="C289" s="14">
        <v>43850.552083333336</v>
      </c>
      <c r="D289" s="13" t="s">
        <v>88</v>
      </c>
      <c r="E289" s="15" t="s">
        <v>89</v>
      </c>
      <c r="F289" s="13" t="s">
        <v>90</v>
      </c>
      <c r="G289" s="15" t="s">
        <v>91</v>
      </c>
      <c r="H289" s="13" t="s">
        <v>467</v>
      </c>
      <c r="I289" s="15" t="s">
        <v>468</v>
      </c>
      <c r="J289" s="15" t="s">
        <v>469</v>
      </c>
      <c r="K289" s="15" t="s">
        <v>470</v>
      </c>
      <c r="L289" s="13" t="s">
        <v>473</v>
      </c>
      <c r="M289" s="15" t="s">
        <v>474</v>
      </c>
      <c r="N289" s="13" t="s">
        <v>188</v>
      </c>
      <c r="O289" s="15" t="s">
        <v>464</v>
      </c>
      <c r="P289" s="15" t="s">
        <v>437</v>
      </c>
      <c r="Q289" s="15" t="s">
        <v>101</v>
      </c>
      <c r="R289" s="13" t="s">
        <v>102</v>
      </c>
      <c r="S289" s="13" t="s">
        <v>103</v>
      </c>
      <c r="T289" s="13" t="s">
        <v>104</v>
      </c>
      <c r="U289" s="14">
        <v>40725</v>
      </c>
      <c r="V289" s="14"/>
      <c r="W289" s="15" t="s">
        <v>465</v>
      </c>
      <c r="X289" s="13" t="s">
        <v>466</v>
      </c>
      <c r="Y289" s="15" t="str">
        <f>VLOOKUP(X289,'Axe 2 Règles de gestion'!$D$2:$F$121,3, FALSE)</f>
        <v>Le détachement peut prendre fin de manière anticipée à l'initiative de l'administration d'accueil, de l'administration d'origine ou de l'agent.</v>
      </c>
      <c r="Z289" s="13" t="s">
        <v>200</v>
      </c>
      <c r="AA289" s="15" t="str">
        <f>VLOOKUP(Z289,'Axe 2 Règles de gestion'!$D$2:$F$121,3, FALSE)</f>
        <v>Les dispositions relatives à la réintégration au terme d'un détachement de longue durée ne sont pas applicables aux préfets et sous-préfets.</v>
      </c>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t="s">
        <v>126</v>
      </c>
      <c r="BC289" s="15" t="str">
        <f>VLOOKUP(BB289,'Axe 2 Règles de gestion'!$D$2:$F$121,3, FALSE)</f>
        <v>La date de début de position doit être antérieure ou égale à la date de fin prévisionnelle de position.</v>
      </c>
      <c r="BD289" s="13" t="s">
        <v>130</v>
      </c>
      <c r="BE289" s="15" t="str">
        <f>VLOOKUP(BD289,'Axe 2 Règles de gestion'!$D$2:$F$121,3, FALSE)</f>
        <v>La date de fin réelle de la position doit être antérieure à la date limite de départ à la retraite.</v>
      </c>
      <c r="BF289" s="13" t="s">
        <v>132</v>
      </c>
      <c r="BG289" s="15" t="str">
        <f>VLOOKUP(BF289,'Axe 2 Règles de gestion'!$D$2:$F$121,3, FALSE)</f>
        <v>La date de début de position doit être antérieure ou égale à la date de fin réelle de position.</v>
      </c>
      <c r="BH289" s="13" t="s">
        <v>134</v>
      </c>
      <c r="BI289" s="15" t="str">
        <f>VLOOKUP(BH289,'Axe 2 Règles de gestion'!$D$2:$F$121,3, FALSE)</f>
        <v>La date de fin prévisionnelle de la position doit être antérieure à la date limite de départ à la retraite.</v>
      </c>
      <c r="BJ289" s="13" t="s">
        <v>140</v>
      </c>
      <c r="BK289" s="15" t="str">
        <f>VLOOKUP(BJ289,'Axe 2 Règles de gestion'!$D$2:$F$121,3, FALSE)</f>
        <v>Les champs "Type d'organisme d'origine", "Catégorie statutaire d'origine" et "Pays" de l'organisme d'origine doivent être renseignés.</v>
      </c>
      <c r="BL289" s="13" t="s">
        <v>142</v>
      </c>
      <c r="BM289" s="15" t="str">
        <f>VLOOKUP(BL289,'Axe 2 Règles de gestion'!$D$2:$F$121,3, FALSE)</f>
        <v>Les champs "Ministère (ou institution de la République) d'origine", "Corps d'origine", "Grade d'origine", "Echelon d'origine" sont renseignés si le "Type d'organisme d'origine" est valorisé à FPE.</v>
      </c>
      <c r="BN289" s="13" t="s">
        <v>144</v>
      </c>
      <c r="BO289" s="15" t="str">
        <f>VLOOKUP(BN289,'Axe 2 Règles de gestion'!$D$2:$F$121,3, FALSE)</f>
        <v>Le champ "Organisme d'origine" doit être alimenté si le type d'organisme d'origine est égal à 'Autre organisme', 'Fonction publique d'un état de l'Union Européenne' ou 'Fonction publique Européenne'.</v>
      </c>
      <c r="BP289" s="13" t="s">
        <v>146</v>
      </c>
      <c r="BQ289" s="15" t="str">
        <f>VLOOKUP(BP289,'Axe 2 Règles de gestion'!$D$2:$F$121,3, FALSE)</f>
        <v>Le champ "Code emploi statutaire FPT (NET)" est renseigné si le "Type d'organisme d'origine" est valorisé à FPT.</v>
      </c>
      <c r="BR289" s="13" t="s">
        <v>148</v>
      </c>
      <c r="BS289" s="15" t="str">
        <f>VLOOKUP(BR289,'Axe 2 Règles de gestion'!$D$2:$F$121,3, FALSE)</f>
        <v>Le champ "Code emploi statutaire FPH (NEH)" est renseigné si le "Type d'organisme d'origine" est valorisé à FPH.</v>
      </c>
      <c r="BT289" s="13" t="s">
        <v>460</v>
      </c>
      <c r="BU289" s="15" t="str">
        <f>VLOOKUP(BT289,'Axe 2 Règles de gestion'!$D$2:$F$121,3,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BV289" s="13"/>
      <c r="BW289" s="15"/>
      <c r="BX289" s="13"/>
      <c r="BY289" s="15"/>
      <c r="BZ289" s="13"/>
      <c r="CA289" s="15"/>
      <c r="CB289" s="13"/>
      <c r="CC289" s="15"/>
      <c r="CD289" s="13"/>
      <c r="CE289" s="15"/>
      <c r="CF289" s="13"/>
      <c r="CG289" s="13"/>
    </row>
    <row r="290" spans="1:85" ht="120" x14ac:dyDescent="0.25">
      <c r="A290" s="13" t="s">
        <v>202</v>
      </c>
      <c r="B290" s="13" t="s">
        <v>153</v>
      </c>
      <c r="C290" s="14">
        <v>43152.5</v>
      </c>
      <c r="D290" s="13" t="s">
        <v>88</v>
      </c>
      <c r="E290" s="15" t="s">
        <v>89</v>
      </c>
      <c r="F290" s="13" t="s">
        <v>90</v>
      </c>
      <c r="G290" s="15" t="s">
        <v>91</v>
      </c>
      <c r="H290" s="13" t="s">
        <v>467</v>
      </c>
      <c r="I290" s="15" t="s">
        <v>468</v>
      </c>
      <c r="J290" s="15" t="s">
        <v>469</v>
      </c>
      <c r="K290" s="15" t="s">
        <v>470</v>
      </c>
      <c r="L290" s="13" t="s">
        <v>471</v>
      </c>
      <c r="M290" s="15" t="s">
        <v>472</v>
      </c>
      <c r="N290" s="13" t="s">
        <v>98</v>
      </c>
      <c r="O290" s="15" t="s">
        <v>428</v>
      </c>
      <c r="P290" s="15" t="s">
        <v>429</v>
      </c>
      <c r="Q290" s="15" t="s">
        <v>203</v>
      </c>
      <c r="R290" s="13" t="s">
        <v>204</v>
      </c>
      <c r="S290" s="13" t="s">
        <v>103</v>
      </c>
      <c r="T290" s="13" t="s">
        <v>205</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3"/>
    </row>
    <row r="291" spans="1:85" ht="120" x14ac:dyDescent="0.25">
      <c r="A291" s="13" t="s">
        <v>202</v>
      </c>
      <c r="B291" s="13" t="s">
        <v>153</v>
      </c>
      <c r="C291" s="14">
        <v>43152.5</v>
      </c>
      <c r="D291" s="13" t="s">
        <v>88</v>
      </c>
      <c r="E291" s="15" t="s">
        <v>89</v>
      </c>
      <c r="F291" s="13" t="s">
        <v>90</v>
      </c>
      <c r="G291" s="15" t="s">
        <v>91</v>
      </c>
      <c r="H291" s="13" t="s">
        <v>467</v>
      </c>
      <c r="I291" s="15" t="s">
        <v>468</v>
      </c>
      <c r="J291" s="15" t="s">
        <v>469</v>
      </c>
      <c r="K291" s="15" t="s">
        <v>470</v>
      </c>
      <c r="L291" s="13" t="s">
        <v>473</v>
      </c>
      <c r="M291" s="15" t="s">
        <v>474</v>
      </c>
      <c r="N291" s="13" t="s">
        <v>188</v>
      </c>
      <c r="O291" s="15" t="s">
        <v>464</v>
      </c>
      <c r="P291" s="15" t="s">
        <v>437</v>
      </c>
      <c r="Q291" s="15" t="s">
        <v>203</v>
      </c>
      <c r="R291" s="13" t="s">
        <v>204</v>
      </c>
      <c r="S291" s="13" t="s">
        <v>103</v>
      </c>
      <c r="T291" s="13" t="s">
        <v>205</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3"/>
    </row>
    <row r="292" spans="1:85" ht="120" x14ac:dyDescent="0.25">
      <c r="A292" s="13" t="s">
        <v>202</v>
      </c>
      <c r="B292" s="13" t="s">
        <v>153</v>
      </c>
      <c r="C292" s="14">
        <v>43152.5</v>
      </c>
      <c r="D292" s="13" t="s">
        <v>88</v>
      </c>
      <c r="E292" s="15" t="s">
        <v>89</v>
      </c>
      <c r="F292" s="13" t="s">
        <v>90</v>
      </c>
      <c r="G292" s="15" t="s">
        <v>91</v>
      </c>
      <c r="H292" s="13" t="s">
        <v>467</v>
      </c>
      <c r="I292" s="15" t="s">
        <v>468</v>
      </c>
      <c r="J292" s="15" t="s">
        <v>469</v>
      </c>
      <c r="K292" s="15" t="s">
        <v>470</v>
      </c>
      <c r="L292" s="13" t="s">
        <v>471</v>
      </c>
      <c r="M292" s="15" t="s">
        <v>472</v>
      </c>
      <c r="N292" s="13" t="s">
        <v>98</v>
      </c>
      <c r="O292" s="15" t="s">
        <v>428</v>
      </c>
      <c r="P292" s="15" t="s">
        <v>429</v>
      </c>
      <c r="Q292" s="15" t="s">
        <v>206</v>
      </c>
      <c r="R292" s="13" t="s">
        <v>207</v>
      </c>
      <c r="S292" s="13" t="s">
        <v>103</v>
      </c>
      <c r="T292" s="13" t="s">
        <v>205</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3"/>
    </row>
    <row r="293" spans="1:85" ht="120" x14ac:dyDescent="0.25">
      <c r="A293" s="13" t="s">
        <v>202</v>
      </c>
      <c r="B293" s="13" t="s">
        <v>153</v>
      </c>
      <c r="C293" s="14">
        <v>43152.5</v>
      </c>
      <c r="D293" s="13" t="s">
        <v>88</v>
      </c>
      <c r="E293" s="15" t="s">
        <v>89</v>
      </c>
      <c r="F293" s="13" t="s">
        <v>90</v>
      </c>
      <c r="G293" s="15" t="s">
        <v>91</v>
      </c>
      <c r="H293" s="13" t="s">
        <v>467</v>
      </c>
      <c r="I293" s="15" t="s">
        <v>468</v>
      </c>
      <c r="J293" s="15" t="s">
        <v>469</v>
      </c>
      <c r="K293" s="15" t="s">
        <v>470</v>
      </c>
      <c r="L293" s="13" t="s">
        <v>473</v>
      </c>
      <c r="M293" s="15" t="s">
        <v>474</v>
      </c>
      <c r="N293" s="13" t="s">
        <v>188</v>
      </c>
      <c r="O293" s="15" t="s">
        <v>464</v>
      </c>
      <c r="P293" s="15" t="s">
        <v>437</v>
      </c>
      <c r="Q293" s="15" t="s">
        <v>206</v>
      </c>
      <c r="R293" s="13" t="s">
        <v>207</v>
      </c>
      <c r="S293" s="13" t="s">
        <v>103</v>
      </c>
      <c r="T293" s="13" t="s">
        <v>205</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3"/>
    </row>
    <row r="294" spans="1:85" ht="120" x14ac:dyDescent="0.25">
      <c r="A294" s="13" t="s">
        <v>202</v>
      </c>
      <c r="B294" s="13" t="s">
        <v>153</v>
      </c>
      <c r="C294" s="14">
        <v>43152.5</v>
      </c>
      <c r="D294" s="13" t="s">
        <v>88</v>
      </c>
      <c r="E294" s="15" t="s">
        <v>89</v>
      </c>
      <c r="F294" s="13" t="s">
        <v>90</v>
      </c>
      <c r="G294" s="15" t="s">
        <v>91</v>
      </c>
      <c r="H294" s="13" t="s">
        <v>467</v>
      </c>
      <c r="I294" s="15" t="s">
        <v>468</v>
      </c>
      <c r="J294" s="15" t="s">
        <v>469</v>
      </c>
      <c r="K294" s="15" t="s">
        <v>470</v>
      </c>
      <c r="L294" s="13" t="s">
        <v>471</v>
      </c>
      <c r="M294" s="15" t="s">
        <v>472</v>
      </c>
      <c r="N294" s="13" t="s">
        <v>98</v>
      </c>
      <c r="O294" s="15" t="s">
        <v>428</v>
      </c>
      <c r="P294" s="15" t="s">
        <v>429</v>
      </c>
      <c r="Q294" s="15" t="s">
        <v>208</v>
      </c>
      <c r="R294" s="13" t="s">
        <v>209</v>
      </c>
      <c r="S294" s="13" t="s">
        <v>103</v>
      </c>
      <c r="T294" s="13" t="s">
        <v>205</v>
      </c>
      <c r="U294" s="14">
        <v>40725</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3"/>
    </row>
    <row r="295" spans="1:85" ht="120" x14ac:dyDescent="0.25">
      <c r="A295" s="13" t="s">
        <v>202</v>
      </c>
      <c r="B295" s="13" t="s">
        <v>153</v>
      </c>
      <c r="C295" s="14">
        <v>43152.5</v>
      </c>
      <c r="D295" s="13" t="s">
        <v>88</v>
      </c>
      <c r="E295" s="15" t="s">
        <v>89</v>
      </c>
      <c r="F295" s="13" t="s">
        <v>90</v>
      </c>
      <c r="G295" s="15" t="s">
        <v>91</v>
      </c>
      <c r="H295" s="13" t="s">
        <v>467</v>
      </c>
      <c r="I295" s="15" t="s">
        <v>468</v>
      </c>
      <c r="J295" s="15" t="s">
        <v>469</v>
      </c>
      <c r="K295" s="15" t="s">
        <v>470</v>
      </c>
      <c r="L295" s="13" t="s">
        <v>473</v>
      </c>
      <c r="M295" s="15" t="s">
        <v>474</v>
      </c>
      <c r="N295" s="13" t="s">
        <v>188</v>
      </c>
      <c r="O295" s="15" t="s">
        <v>464</v>
      </c>
      <c r="P295" s="15" t="s">
        <v>437</v>
      </c>
      <c r="Q295" s="15" t="s">
        <v>208</v>
      </c>
      <c r="R295" s="13" t="s">
        <v>209</v>
      </c>
      <c r="S295" s="13" t="s">
        <v>103</v>
      </c>
      <c r="T295" s="13" t="s">
        <v>205</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3"/>
    </row>
    <row r="296" spans="1:85" ht="90" x14ac:dyDescent="0.25">
      <c r="A296" s="13" t="s">
        <v>202</v>
      </c>
      <c r="B296" s="13" t="s">
        <v>153</v>
      </c>
      <c r="C296" s="14">
        <v>43152.5</v>
      </c>
      <c r="D296" s="13" t="s">
        <v>88</v>
      </c>
      <c r="E296" s="15" t="s">
        <v>89</v>
      </c>
      <c r="F296" s="13" t="s">
        <v>90</v>
      </c>
      <c r="G296" s="15" t="s">
        <v>91</v>
      </c>
      <c r="H296" s="13" t="s">
        <v>475</v>
      </c>
      <c r="I296" s="15" t="s">
        <v>476</v>
      </c>
      <c r="J296" s="15" t="s">
        <v>477</v>
      </c>
      <c r="K296" s="15" t="s">
        <v>478</v>
      </c>
      <c r="L296" s="13" t="s">
        <v>479</v>
      </c>
      <c r="M296" s="15" t="s">
        <v>480</v>
      </c>
      <c r="N296" s="13" t="s">
        <v>98</v>
      </c>
      <c r="O296" s="15" t="s">
        <v>428</v>
      </c>
      <c r="P296" s="15" t="s">
        <v>429</v>
      </c>
      <c r="Q296" s="15" t="s">
        <v>101</v>
      </c>
      <c r="R296" s="13" t="s">
        <v>102</v>
      </c>
      <c r="S296" s="13" t="s">
        <v>103</v>
      </c>
      <c r="T296" s="13" t="s">
        <v>205</v>
      </c>
      <c r="U296" s="14">
        <v>40725</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c r="CE296" s="15"/>
      <c r="CF296" s="13"/>
      <c r="CG296" s="13"/>
    </row>
    <row r="297" spans="1:85" ht="90" x14ac:dyDescent="0.25">
      <c r="A297" s="13" t="s">
        <v>202</v>
      </c>
      <c r="B297" s="13" t="s">
        <v>153</v>
      </c>
      <c r="C297" s="14">
        <v>43152.5</v>
      </c>
      <c r="D297" s="13" t="s">
        <v>88</v>
      </c>
      <c r="E297" s="15" t="s">
        <v>89</v>
      </c>
      <c r="F297" s="13" t="s">
        <v>90</v>
      </c>
      <c r="G297" s="15" t="s">
        <v>91</v>
      </c>
      <c r="H297" s="13" t="s">
        <v>475</v>
      </c>
      <c r="I297" s="15" t="s">
        <v>476</v>
      </c>
      <c r="J297" s="15" t="s">
        <v>477</v>
      </c>
      <c r="K297" s="15" t="s">
        <v>478</v>
      </c>
      <c r="L297" s="13" t="s">
        <v>481</v>
      </c>
      <c r="M297" s="15" t="s">
        <v>482</v>
      </c>
      <c r="N297" s="13" t="s">
        <v>188</v>
      </c>
      <c r="O297" s="15" t="s">
        <v>436</v>
      </c>
      <c r="P297" s="15" t="s">
        <v>437</v>
      </c>
      <c r="Q297" s="15" t="s">
        <v>101</v>
      </c>
      <c r="R297" s="13" t="s">
        <v>102</v>
      </c>
      <c r="S297" s="13" t="s">
        <v>103</v>
      </c>
      <c r="T297" s="13" t="s">
        <v>205</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3"/>
    </row>
    <row r="298" spans="1:85" ht="90" x14ac:dyDescent="0.25">
      <c r="A298" s="13" t="s">
        <v>202</v>
      </c>
      <c r="B298" s="13" t="s">
        <v>153</v>
      </c>
      <c r="C298" s="14">
        <v>43152.5</v>
      </c>
      <c r="D298" s="13" t="s">
        <v>88</v>
      </c>
      <c r="E298" s="15" t="s">
        <v>89</v>
      </c>
      <c r="F298" s="13" t="s">
        <v>90</v>
      </c>
      <c r="G298" s="15" t="s">
        <v>91</v>
      </c>
      <c r="H298" s="13" t="s">
        <v>475</v>
      </c>
      <c r="I298" s="15" t="s">
        <v>476</v>
      </c>
      <c r="J298" s="15" t="s">
        <v>477</v>
      </c>
      <c r="K298" s="15" t="s">
        <v>478</v>
      </c>
      <c r="L298" s="13" t="s">
        <v>479</v>
      </c>
      <c r="M298" s="15" t="s">
        <v>480</v>
      </c>
      <c r="N298" s="13" t="s">
        <v>98</v>
      </c>
      <c r="O298" s="15" t="s">
        <v>428</v>
      </c>
      <c r="P298" s="15" t="s">
        <v>429</v>
      </c>
      <c r="Q298" s="15" t="s">
        <v>203</v>
      </c>
      <c r="R298" s="13" t="s">
        <v>204</v>
      </c>
      <c r="S298" s="13" t="s">
        <v>103</v>
      </c>
      <c r="T298" s="13" t="s">
        <v>205</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c r="CE298" s="15"/>
      <c r="CF298" s="13"/>
      <c r="CG298" s="13"/>
    </row>
    <row r="299" spans="1:85" ht="90" x14ac:dyDescent="0.25">
      <c r="A299" s="13" t="s">
        <v>202</v>
      </c>
      <c r="B299" s="13" t="s">
        <v>153</v>
      </c>
      <c r="C299" s="14">
        <v>43152.5</v>
      </c>
      <c r="D299" s="13" t="s">
        <v>88</v>
      </c>
      <c r="E299" s="15" t="s">
        <v>89</v>
      </c>
      <c r="F299" s="13" t="s">
        <v>90</v>
      </c>
      <c r="G299" s="15" t="s">
        <v>91</v>
      </c>
      <c r="H299" s="13" t="s">
        <v>475</v>
      </c>
      <c r="I299" s="15" t="s">
        <v>476</v>
      </c>
      <c r="J299" s="15" t="s">
        <v>477</v>
      </c>
      <c r="K299" s="15" t="s">
        <v>478</v>
      </c>
      <c r="L299" s="13" t="s">
        <v>481</v>
      </c>
      <c r="M299" s="15" t="s">
        <v>482</v>
      </c>
      <c r="N299" s="13" t="s">
        <v>188</v>
      </c>
      <c r="O299" s="15" t="s">
        <v>436</v>
      </c>
      <c r="P299" s="15" t="s">
        <v>437</v>
      </c>
      <c r="Q299" s="15" t="s">
        <v>203</v>
      </c>
      <c r="R299" s="13" t="s">
        <v>204</v>
      </c>
      <c r="S299" s="13" t="s">
        <v>103</v>
      </c>
      <c r="T299" s="13" t="s">
        <v>205</v>
      </c>
      <c r="U299" s="14">
        <v>40725</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3"/>
    </row>
    <row r="300" spans="1:85" ht="90" x14ac:dyDescent="0.25">
      <c r="A300" s="13" t="s">
        <v>202</v>
      </c>
      <c r="B300" s="13" t="s">
        <v>153</v>
      </c>
      <c r="C300" s="14">
        <v>43152.5</v>
      </c>
      <c r="D300" s="13" t="s">
        <v>88</v>
      </c>
      <c r="E300" s="15" t="s">
        <v>89</v>
      </c>
      <c r="F300" s="13" t="s">
        <v>90</v>
      </c>
      <c r="G300" s="15" t="s">
        <v>91</v>
      </c>
      <c r="H300" s="13" t="s">
        <v>475</v>
      </c>
      <c r="I300" s="15" t="s">
        <v>476</v>
      </c>
      <c r="J300" s="15" t="s">
        <v>477</v>
      </c>
      <c r="K300" s="15" t="s">
        <v>478</v>
      </c>
      <c r="L300" s="13" t="s">
        <v>479</v>
      </c>
      <c r="M300" s="15" t="s">
        <v>480</v>
      </c>
      <c r="N300" s="13" t="s">
        <v>98</v>
      </c>
      <c r="O300" s="15" t="s">
        <v>428</v>
      </c>
      <c r="P300" s="15" t="s">
        <v>429</v>
      </c>
      <c r="Q300" s="15" t="s">
        <v>206</v>
      </c>
      <c r="R300" s="13" t="s">
        <v>207</v>
      </c>
      <c r="S300" s="13" t="s">
        <v>103</v>
      </c>
      <c r="T300" s="13" t="s">
        <v>205</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3"/>
    </row>
    <row r="301" spans="1:85" ht="90" x14ac:dyDescent="0.25">
      <c r="A301" s="13" t="s">
        <v>202</v>
      </c>
      <c r="B301" s="13" t="s">
        <v>153</v>
      </c>
      <c r="C301" s="14">
        <v>43152.5</v>
      </c>
      <c r="D301" s="13" t="s">
        <v>88</v>
      </c>
      <c r="E301" s="15" t="s">
        <v>89</v>
      </c>
      <c r="F301" s="13" t="s">
        <v>90</v>
      </c>
      <c r="G301" s="15" t="s">
        <v>91</v>
      </c>
      <c r="H301" s="13" t="s">
        <v>475</v>
      </c>
      <c r="I301" s="15" t="s">
        <v>476</v>
      </c>
      <c r="J301" s="15" t="s">
        <v>477</v>
      </c>
      <c r="K301" s="15" t="s">
        <v>478</v>
      </c>
      <c r="L301" s="13" t="s">
        <v>481</v>
      </c>
      <c r="M301" s="15" t="s">
        <v>482</v>
      </c>
      <c r="N301" s="13" t="s">
        <v>188</v>
      </c>
      <c r="O301" s="15" t="s">
        <v>436</v>
      </c>
      <c r="P301" s="15" t="s">
        <v>437</v>
      </c>
      <c r="Q301" s="15" t="s">
        <v>206</v>
      </c>
      <c r="R301" s="13" t="s">
        <v>207</v>
      </c>
      <c r="S301" s="13" t="s">
        <v>103</v>
      </c>
      <c r="T301" s="13" t="s">
        <v>205</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3"/>
    </row>
    <row r="302" spans="1:85" ht="90" x14ac:dyDescent="0.25">
      <c r="A302" s="13" t="s">
        <v>202</v>
      </c>
      <c r="B302" s="13" t="s">
        <v>153</v>
      </c>
      <c r="C302" s="14">
        <v>43152.5</v>
      </c>
      <c r="D302" s="13" t="s">
        <v>88</v>
      </c>
      <c r="E302" s="15" t="s">
        <v>89</v>
      </c>
      <c r="F302" s="13" t="s">
        <v>90</v>
      </c>
      <c r="G302" s="15" t="s">
        <v>91</v>
      </c>
      <c r="H302" s="13" t="s">
        <v>475</v>
      </c>
      <c r="I302" s="15" t="s">
        <v>476</v>
      </c>
      <c r="J302" s="15" t="s">
        <v>477</v>
      </c>
      <c r="K302" s="15" t="s">
        <v>478</v>
      </c>
      <c r="L302" s="13" t="s">
        <v>479</v>
      </c>
      <c r="M302" s="15" t="s">
        <v>480</v>
      </c>
      <c r="N302" s="13" t="s">
        <v>98</v>
      </c>
      <c r="O302" s="15" t="s">
        <v>428</v>
      </c>
      <c r="P302" s="15" t="s">
        <v>429</v>
      </c>
      <c r="Q302" s="15" t="s">
        <v>208</v>
      </c>
      <c r="R302" s="13" t="s">
        <v>209</v>
      </c>
      <c r="S302" s="13" t="s">
        <v>103</v>
      </c>
      <c r="T302" s="13" t="s">
        <v>205</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3"/>
    </row>
    <row r="303" spans="1:85" ht="90" x14ac:dyDescent="0.25">
      <c r="A303" s="13" t="s">
        <v>202</v>
      </c>
      <c r="B303" s="13" t="s">
        <v>153</v>
      </c>
      <c r="C303" s="14">
        <v>43152.5</v>
      </c>
      <c r="D303" s="13" t="s">
        <v>88</v>
      </c>
      <c r="E303" s="15" t="s">
        <v>89</v>
      </c>
      <c r="F303" s="13" t="s">
        <v>90</v>
      </c>
      <c r="G303" s="15" t="s">
        <v>91</v>
      </c>
      <c r="H303" s="13" t="s">
        <v>475</v>
      </c>
      <c r="I303" s="15" t="s">
        <v>476</v>
      </c>
      <c r="J303" s="15" t="s">
        <v>477</v>
      </c>
      <c r="K303" s="15" t="s">
        <v>478</v>
      </c>
      <c r="L303" s="13" t="s">
        <v>481</v>
      </c>
      <c r="M303" s="15" t="s">
        <v>482</v>
      </c>
      <c r="N303" s="13" t="s">
        <v>188</v>
      </c>
      <c r="O303" s="15" t="s">
        <v>436</v>
      </c>
      <c r="P303" s="15" t="s">
        <v>437</v>
      </c>
      <c r="Q303" s="15" t="s">
        <v>208</v>
      </c>
      <c r="R303" s="13" t="s">
        <v>209</v>
      </c>
      <c r="S303" s="13" t="s">
        <v>103</v>
      </c>
      <c r="T303" s="13" t="s">
        <v>205</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3"/>
    </row>
    <row r="304" spans="1:85" ht="135" x14ac:dyDescent="0.25">
      <c r="A304" s="13" t="s">
        <v>86</v>
      </c>
      <c r="B304" s="13" t="s">
        <v>87</v>
      </c>
      <c r="C304" s="14">
        <v>43850.552083333336</v>
      </c>
      <c r="D304" s="13" t="s">
        <v>88</v>
      </c>
      <c r="E304" s="15" t="s">
        <v>89</v>
      </c>
      <c r="F304" s="13" t="s">
        <v>90</v>
      </c>
      <c r="G304" s="15" t="s">
        <v>91</v>
      </c>
      <c r="H304" s="13" t="s">
        <v>475</v>
      </c>
      <c r="I304" s="15" t="s">
        <v>476</v>
      </c>
      <c r="J304" s="15" t="s">
        <v>477</v>
      </c>
      <c r="K304" s="15" t="s">
        <v>478</v>
      </c>
      <c r="L304" s="13" t="s">
        <v>479</v>
      </c>
      <c r="M304" s="15" t="s">
        <v>480</v>
      </c>
      <c r="N304" s="13" t="s">
        <v>98</v>
      </c>
      <c r="O304" s="15" t="s">
        <v>428</v>
      </c>
      <c r="P304" s="15" t="s">
        <v>429</v>
      </c>
      <c r="Q304" s="15" t="s">
        <v>366</v>
      </c>
      <c r="R304" s="13" t="s">
        <v>367</v>
      </c>
      <c r="S304" s="13" t="s">
        <v>212</v>
      </c>
      <c r="T304" s="13" t="s">
        <v>104</v>
      </c>
      <c r="U304" s="14">
        <v>40725</v>
      </c>
      <c r="V304" s="14"/>
      <c r="W304" s="15" t="s">
        <v>483</v>
      </c>
      <c r="X304" s="13" t="s">
        <v>106</v>
      </c>
      <c r="Y304" s="15" t="str">
        <f>VLOOKUP(X304,'Axe 2 Règles de gestion'!$D$2:$F$121,3, FALSE)</f>
        <v>L'agent doit détenir le titre ou le diplôme requis pour l'exercice des fonctions du corps d'accueil.</v>
      </c>
      <c r="Z304" s="13" t="s">
        <v>484</v>
      </c>
      <c r="AA304" s="15" t="str">
        <f>VLOOKUP(Z304,'Axe 2 Règles de gestion'!$D$2:$F$121,3, FALSE)</f>
        <v>L'agent est membre d'un corps recruté par la voie de l'Ecole nationale d'administration, professeur ou maître de conférences des universités.</v>
      </c>
      <c r="AB304" s="13" t="s">
        <v>486</v>
      </c>
      <c r="AC304" s="15" t="str">
        <f>VLOOKUP(AB304,'Axe 2 Règles de gestion'!$D$2:$F$121,3, FALSE)</f>
        <v>L'agent appartient à un corps ou un grade d'emploi de même niveau de recrutement.</v>
      </c>
      <c r="AD304" s="13" t="s">
        <v>488</v>
      </c>
      <c r="AE304" s="15" t="str">
        <f>VLOOKUP(AD304,'Axe 2 Règles de gestion'!$D$2:$F$121,3, FALSE)</f>
        <v>Le détachement est possible dans les fonctions des premier et second grades au sein du corps judiciaire.</v>
      </c>
      <c r="AF304" s="13" t="s">
        <v>490</v>
      </c>
      <c r="AG304" s="15" t="str">
        <f>VLOOKUP(AF304,'Axe 2 Règles de gestion'!$D$2:$F$121,3, FALSE)</f>
        <v>Un stage d'une durée de 6 mois doit avoir été accompli par l'agent préalablement à l'exercice de fonctions judiciaires.</v>
      </c>
      <c r="AH304" s="13" t="s">
        <v>108</v>
      </c>
      <c r="AI304" s="15" t="str">
        <f>VLOOKUP(AH304,'Axe 2 Règles de gestion'!$D$2:$F$121,3, FALSE)</f>
        <v>L'agent doit formuler une demande.</v>
      </c>
      <c r="AJ304" s="13" t="s">
        <v>492</v>
      </c>
      <c r="AK304" s="15" t="str">
        <f>VLOOKUP(AJ304,'Axe 2 Règles de gestion'!$D$2:$F$121,3, FALSE)</f>
        <v>Le détachement est prononcé après avis conforme de la commission d'avancement.</v>
      </c>
      <c r="AL304" s="13"/>
      <c r="AM304" s="15"/>
      <c r="AN304" s="13"/>
      <c r="AO304" s="15"/>
      <c r="AP304" s="13" t="s">
        <v>494</v>
      </c>
      <c r="AQ304" s="15" t="str">
        <f>VLOOKUP(AP304,'Axe 2 Règles de gestion'!$D$2:$F$121,3, FALSE)</f>
        <v>Le détachement judiciaire ne peut pas excéder cinq ans entre la date de début et la date de fin prévisionnelle.</v>
      </c>
      <c r="AR304" s="13" t="s">
        <v>496</v>
      </c>
      <c r="AS304" s="15" t="str">
        <f>VLOOKUP(AR304,'Axe 2 Règles de gestion'!$D$2:$F$121,3, FALSE)</f>
        <v>Le détachement judiciaire ne peut pas excéder cinq ans entre la date de début et la date de fin réelle.</v>
      </c>
      <c r="AT304" s="13" t="s">
        <v>214</v>
      </c>
      <c r="AU304" s="15" t="str">
        <f>VLOOKUP(AT304,'Axe 2 Règles de gestion'!$D$2:$F$121,3, FALSE)</f>
        <v>Le détachement de courte durée est interdit.</v>
      </c>
      <c r="AV304" s="13"/>
      <c r="AW304" s="15"/>
      <c r="AX304" s="13"/>
      <c r="AY304" s="15"/>
      <c r="AZ304" s="13"/>
      <c r="BA304" s="15"/>
      <c r="BB304" s="13" t="s">
        <v>126</v>
      </c>
      <c r="BC304" s="15" t="str">
        <f>VLOOKUP(BB304,'Axe 2 Règles de gestion'!$D$2:$F$121,3, FALSE)</f>
        <v>La date de début de position doit être antérieure ou égale à la date de fin prévisionnelle de position.</v>
      </c>
      <c r="BD304" s="13" t="s">
        <v>128</v>
      </c>
      <c r="BE304" s="15" t="str">
        <f>VLOOKUP(BD304,'Axe 2 Règles de gestion'!$D$2:$F$121,3, FALSE)</f>
        <v>La date de début de la position doit être postérieure ou égale à la date d'entrée dans la FPE ou dans la carrière militaire.</v>
      </c>
      <c r="BF304" s="13" t="s">
        <v>130</v>
      </c>
      <c r="BG304" s="15" t="str">
        <f>VLOOKUP(BF304,'Axe 2 Règles de gestion'!$D$2:$F$121,3, FALSE)</f>
        <v>La date de fin réelle de la position doit être antérieure à la date limite de départ à la retraite.</v>
      </c>
      <c r="BH304" s="13" t="s">
        <v>132</v>
      </c>
      <c r="BI304" s="15" t="str">
        <f>VLOOKUP(BH304,'Axe 2 Règles de gestion'!$D$2:$F$121,3, FALSE)</f>
        <v>La date de début de position doit être antérieure ou égale à la date de fin réelle de position.</v>
      </c>
      <c r="BJ304" s="13" t="s">
        <v>134</v>
      </c>
      <c r="BK304" s="15" t="str">
        <f>VLOOKUP(BJ304,'Axe 2 Règles de gestion'!$D$2:$F$121,3, FALSE)</f>
        <v>La date de fin prévisionnelle de la position doit être antérieure à la date limite de départ à la retraite.</v>
      </c>
      <c r="BL304" s="13" t="s">
        <v>136</v>
      </c>
      <c r="BM304" s="15" t="str">
        <f>VLOOKUP(BL304,'Axe 2 Règles de gestion'!$D$2:$F$121,3, FALSE)</f>
        <v>L'indicateur de carrière est sur la valeur "Accueil".</v>
      </c>
      <c r="BN304" s="13" t="s">
        <v>138</v>
      </c>
      <c r="BO304" s="15" t="str">
        <f>VLOOKUP(BN304,'Axe 2 Règles de gestion'!$D$2:$F$121,3, FALSE)</f>
        <v>La date de début de position est à J+1 de la date de fin de position de l'occurrence précédente.</v>
      </c>
      <c r="BP304" s="13" t="s">
        <v>140</v>
      </c>
      <c r="BQ304" s="15" t="str">
        <f>VLOOKUP(BP304,'Axe 2 Règles de gestion'!$D$2:$F$121,3, FALSE)</f>
        <v>Les champs "Type d'organisme d'origine", "Catégorie statutaire d'origine" et "Pays" de l'organisme d'origine doivent être renseignés.</v>
      </c>
      <c r="BR304" s="13" t="s">
        <v>142</v>
      </c>
      <c r="BS304" s="15" t="str">
        <f>VLOOKUP(BR304,'Axe 2 Règles de gestion'!$D$2:$F$121,3, FALSE)</f>
        <v>Les champs "Ministère (ou institution de la République) d'origine", "Corps d'origine", "Grade d'origine", "Echelon d'origine" sont renseignés si le "Type d'organisme d'origine" est valorisé à FPE.</v>
      </c>
      <c r="BT304" s="13" t="s">
        <v>144</v>
      </c>
      <c r="BU304" s="15" t="str">
        <f>VLOOKUP(BT304,'Axe 2 Règles de gestion'!$D$2:$F$121,3, FALSE)</f>
        <v>Le champ "Organisme d'origine" doit être alimenté si le type d'organisme d'origine est égal à 'Autre organisme', 'Fonction publique d'un état de l'Union Européenne' ou 'Fonction publique Européenne'.</v>
      </c>
      <c r="BV304" s="13" t="s">
        <v>146</v>
      </c>
      <c r="BW304" s="15" t="str">
        <f>VLOOKUP(BV304,'Axe 2 Règles de gestion'!$D$2:$F$121,3, FALSE)</f>
        <v>Le champ "Code emploi statutaire FPT (NET)" est renseigné si le "Type d'organisme d'origine" est valorisé à FPT.</v>
      </c>
      <c r="BX304" s="13" t="s">
        <v>148</v>
      </c>
      <c r="BY304" s="15" t="str">
        <f>VLOOKUP(BX304,'Axe 2 Règles de gestion'!$D$2:$F$121,3, FALSE)</f>
        <v>Le champ "Code emploi statutaire FPH (NEH)" est renseigné si le "Type d'organisme d'origine" est valorisé à FPH.</v>
      </c>
      <c r="BZ304" s="13" t="s">
        <v>150</v>
      </c>
      <c r="CA304" s="15" t="str">
        <f>VLOOKUP(BZ304,'Axe 2 Règles de gestion'!$D$2:$F$121,3, FALSE)</f>
        <v>La date de fin ou la date de fin prévisionnelle doit être saisie.</v>
      </c>
      <c r="CB304" s="13"/>
      <c r="CC304" s="15"/>
      <c r="CD304" s="13"/>
      <c r="CE304" s="15"/>
      <c r="CF304" s="13"/>
      <c r="CG304" s="13"/>
    </row>
    <row r="305" spans="1:85" ht="135" x14ac:dyDescent="0.25">
      <c r="A305" s="13" t="s">
        <v>86</v>
      </c>
      <c r="B305" s="13" t="s">
        <v>87</v>
      </c>
      <c r="C305" s="14">
        <v>43850.552083333336</v>
      </c>
      <c r="D305" s="13" t="s">
        <v>88</v>
      </c>
      <c r="E305" s="15" t="s">
        <v>89</v>
      </c>
      <c r="F305" s="13" t="s">
        <v>90</v>
      </c>
      <c r="G305" s="15" t="s">
        <v>91</v>
      </c>
      <c r="H305" s="13" t="s">
        <v>475</v>
      </c>
      <c r="I305" s="15" t="s">
        <v>476</v>
      </c>
      <c r="J305" s="15" t="s">
        <v>477</v>
      </c>
      <c r="K305" s="15" t="s">
        <v>478</v>
      </c>
      <c r="L305" s="13" t="s">
        <v>481</v>
      </c>
      <c r="M305" s="15" t="s">
        <v>482</v>
      </c>
      <c r="N305" s="13" t="s">
        <v>188</v>
      </c>
      <c r="O305" s="15" t="s">
        <v>436</v>
      </c>
      <c r="P305" s="15" t="s">
        <v>437</v>
      </c>
      <c r="Q305" s="15" t="s">
        <v>366</v>
      </c>
      <c r="R305" s="13" t="s">
        <v>367</v>
      </c>
      <c r="S305" s="13" t="s">
        <v>212</v>
      </c>
      <c r="T305" s="13" t="s">
        <v>104</v>
      </c>
      <c r="U305" s="14">
        <v>40725</v>
      </c>
      <c r="V305" s="14"/>
      <c r="W305" s="15" t="s">
        <v>498</v>
      </c>
      <c r="X305" s="13" t="s">
        <v>499</v>
      </c>
      <c r="Y305" s="15" t="str">
        <f>VLOOKUP(X305,'Axe 2 Règles de gestion'!$D$2:$F$121,3, FALSE)</f>
        <v>Il peut être mis fin au détachement sur demande de l'agent.</v>
      </c>
      <c r="Z305" s="13" t="s">
        <v>501</v>
      </c>
      <c r="AA305" s="15" t="str">
        <f>VLOOKUP(Z305,'Axe 2 Règles de gestion'!$D$2:$F$121,3, FALSE)</f>
        <v>L'autorité judiciaire peut mettre fin au détachement avant terme s'il a été prononcé à l'encontre de l'agent une des sanctions suivantes : la mise à la retraite d'office, la révocation ou la fin du détachement judiciaire.</v>
      </c>
      <c r="AB305" s="13"/>
      <c r="AC305" s="15"/>
      <c r="AD305" s="13"/>
      <c r="AE305" s="15"/>
      <c r="AF305" s="13"/>
      <c r="AG305" s="15"/>
      <c r="AH305" s="13"/>
      <c r="AI305" s="15"/>
      <c r="AJ305" s="13"/>
      <c r="AK305" s="15"/>
      <c r="AL305" s="13"/>
      <c r="AM305" s="15"/>
      <c r="AN305" s="13"/>
      <c r="AO305" s="15"/>
      <c r="AP305" s="13" t="s">
        <v>494</v>
      </c>
      <c r="AQ305" s="15" t="str">
        <f>VLOOKUP(AP305,'Axe 2 Règles de gestion'!$D$2:$F$121,3, FALSE)</f>
        <v>Le détachement judiciaire ne peut pas excéder cinq ans entre la date de début et la date de fin prévisionnelle.</v>
      </c>
      <c r="AR305" s="13" t="s">
        <v>496</v>
      </c>
      <c r="AS305" s="15" t="str">
        <f>VLOOKUP(AR305,'Axe 2 Règles de gestion'!$D$2:$F$121,3, FALSE)</f>
        <v>Le détachement judiciaire ne peut pas excéder cinq ans entre la date de début et la date de fin réelle.</v>
      </c>
      <c r="AT305" s="13" t="s">
        <v>214</v>
      </c>
      <c r="AU305" s="15" t="str">
        <f>VLOOKUP(AT305,'Axe 2 Règles de gestion'!$D$2:$F$121,3, FALSE)</f>
        <v>Le détachement de courte durée est interdit.</v>
      </c>
      <c r="AV305" s="13"/>
      <c r="AW305" s="15"/>
      <c r="AX305" s="13"/>
      <c r="AY305" s="15"/>
      <c r="AZ305" s="13"/>
      <c r="BA305" s="15"/>
      <c r="BB305" s="13" t="s">
        <v>126</v>
      </c>
      <c r="BC305" s="15" t="str">
        <f>VLOOKUP(BB305,'Axe 2 Règles de gestion'!$D$2:$F$121,3, FALSE)</f>
        <v>La date de début de position doit être antérieure ou égale à la date de fin prévisionnelle de position.</v>
      </c>
      <c r="BD305" s="13" t="s">
        <v>130</v>
      </c>
      <c r="BE305" s="15" t="str">
        <f>VLOOKUP(BD305,'Axe 2 Règles de gestion'!$D$2:$F$121,3, FALSE)</f>
        <v>La date de fin réelle de la position doit être antérieure à la date limite de départ à la retraite.</v>
      </c>
      <c r="BF305" s="13" t="s">
        <v>132</v>
      </c>
      <c r="BG305" s="15" t="str">
        <f>VLOOKUP(BF305,'Axe 2 Règles de gestion'!$D$2:$F$121,3, FALSE)</f>
        <v>La date de début de position doit être antérieure ou égale à la date de fin réelle de position.</v>
      </c>
      <c r="BH305" s="13" t="s">
        <v>134</v>
      </c>
      <c r="BI305" s="15" t="str">
        <f>VLOOKUP(BH305,'Axe 2 Règles de gestion'!$D$2:$F$121,3, FALSE)</f>
        <v>La date de fin prévisionnelle de la position doit être antérieure à la date limite de départ à la retraite.</v>
      </c>
      <c r="BJ305" s="13" t="s">
        <v>140</v>
      </c>
      <c r="BK305" s="15" t="str">
        <f>VLOOKUP(BJ305,'Axe 2 Règles de gestion'!$D$2:$F$121,3, FALSE)</f>
        <v>Les champs "Type d'organisme d'origine", "Catégorie statutaire d'origine" et "Pays" de l'organisme d'origine doivent être renseignés.</v>
      </c>
      <c r="BL305" s="13" t="s">
        <v>142</v>
      </c>
      <c r="BM305" s="15" t="str">
        <f>VLOOKUP(BL305,'Axe 2 Règles de gestion'!$D$2:$F$121,3, FALSE)</f>
        <v>Les champs "Ministère (ou institution de la République) d'origine", "Corps d'origine", "Grade d'origine", "Echelon d'origine" sont renseignés si le "Type d'organisme d'origine" est valorisé à FPE.</v>
      </c>
      <c r="BN305" s="13" t="s">
        <v>144</v>
      </c>
      <c r="BO305" s="15" t="str">
        <f>VLOOKUP(BN305,'Axe 2 Règles de gestion'!$D$2:$F$121,3, FALSE)</f>
        <v>Le champ "Organisme d'origine" doit être alimenté si le type d'organisme d'origine est égal à 'Autre organisme', 'Fonction publique d'un état de l'Union Européenne' ou 'Fonction publique Européenne'.</v>
      </c>
      <c r="BP305" s="13" t="s">
        <v>146</v>
      </c>
      <c r="BQ305" s="15" t="str">
        <f>VLOOKUP(BP305,'Axe 2 Règles de gestion'!$D$2:$F$121,3, FALSE)</f>
        <v>Le champ "Code emploi statutaire FPT (NET)" est renseigné si le "Type d'organisme d'origine" est valorisé à FPT.</v>
      </c>
      <c r="BR305" s="13" t="s">
        <v>148</v>
      </c>
      <c r="BS305" s="15" t="str">
        <f>VLOOKUP(BR305,'Axe 2 Règles de gestion'!$D$2:$F$121,3, FALSE)</f>
        <v>Le champ "Code emploi statutaire FPH (NEH)" est renseigné si le "Type d'organisme d'origine" est valorisé à FPH.</v>
      </c>
      <c r="BT305" s="13" t="s">
        <v>150</v>
      </c>
      <c r="BU305" s="15" t="str">
        <f>VLOOKUP(BT305,'Axe 2 Règles de gestion'!$D$2:$F$121,3, FALSE)</f>
        <v>La date de fin ou la date de fin prévisionnelle doit être saisie.</v>
      </c>
      <c r="BV305" s="13"/>
      <c r="BW305" s="15"/>
      <c r="BX305" s="13"/>
      <c r="BY305" s="15"/>
      <c r="BZ305" s="13"/>
      <c r="CA305" s="15"/>
      <c r="CB305" s="13"/>
      <c r="CC305" s="15"/>
      <c r="CD305" s="13"/>
      <c r="CE305" s="15"/>
      <c r="CF305" s="13"/>
      <c r="CG305" s="13"/>
    </row>
    <row r="306" spans="1:85" ht="90" x14ac:dyDescent="0.25">
      <c r="A306" s="13" t="s">
        <v>202</v>
      </c>
      <c r="B306" s="13" t="s">
        <v>153</v>
      </c>
      <c r="C306" s="14">
        <v>43152.5</v>
      </c>
      <c r="D306" s="13" t="s">
        <v>88</v>
      </c>
      <c r="E306" s="15" t="s">
        <v>89</v>
      </c>
      <c r="F306" s="13" t="s">
        <v>90</v>
      </c>
      <c r="G306" s="15" t="s">
        <v>91</v>
      </c>
      <c r="H306" s="13" t="s">
        <v>503</v>
      </c>
      <c r="I306" s="15" t="s">
        <v>504</v>
      </c>
      <c r="J306" s="15" t="s">
        <v>505</v>
      </c>
      <c r="K306" s="15" t="s">
        <v>506</v>
      </c>
      <c r="L306" s="13" t="s">
        <v>507</v>
      </c>
      <c r="M306" s="15" t="s">
        <v>508</v>
      </c>
      <c r="N306" s="13" t="s">
        <v>98</v>
      </c>
      <c r="O306" s="15" t="s">
        <v>428</v>
      </c>
      <c r="P306" s="15" t="s">
        <v>429</v>
      </c>
      <c r="Q306" s="15" t="s">
        <v>101</v>
      </c>
      <c r="R306" s="13" t="s">
        <v>102</v>
      </c>
      <c r="S306" s="13" t="s">
        <v>103</v>
      </c>
      <c r="T306" s="13" t="s">
        <v>205</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3"/>
    </row>
    <row r="307" spans="1:85" ht="90" x14ac:dyDescent="0.25">
      <c r="A307" s="13" t="s">
        <v>202</v>
      </c>
      <c r="B307" s="13" t="s">
        <v>153</v>
      </c>
      <c r="C307" s="14">
        <v>43152.5</v>
      </c>
      <c r="D307" s="13" t="s">
        <v>88</v>
      </c>
      <c r="E307" s="15" t="s">
        <v>89</v>
      </c>
      <c r="F307" s="13" t="s">
        <v>90</v>
      </c>
      <c r="G307" s="15" t="s">
        <v>91</v>
      </c>
      <c r="H307" s="13" t="s">
        <v>503</v>
      </c>
      <c r="I307" s="15" t="s">
        <v>504</v>
      </c>
      <c r="J307" s="15" t="s">
        <v>505</v>
      </c>
      <c r="K307" s="15" t="s">
        <v>506</v>
      </c>
      <c r="L307" s="13" t="s">
        <v>509</v>
      </c>
      <c r="M307" s="15" t="s">
        <v>510</v>
      </c>
      <c r="N307" s="13" t="s">
        <v>188</v>
      </c>
      <c r="O307" s="15" t="s">
        <v>436</v>
      </c>
      <c r="P307" s="15" t="s">
        <v>437</v>
      </c>
      <c r="Q307" s="15" t="s">
        <v>101</v>
      </c>
      <c r="R307" s="13" t="s">
        <v>102</v>
      </c>
      <c r="S307" s="13" t="s">
        <v>103</v>
      </c>
      <c r="T307" s="13" t="s">
        <v>205</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3"/>
    </row>
    <row r="308" spans="1:85" ht="90" x14ac:dyDescent="0.25">
      <c r="A308" s="13" t="s">
        <v>202</v>
      </c>
      <c r="B308" s="13" t="s">
        <v>153</v>
      </c>
      <c r="C308" s="14">
        <v>43152.5</v>
      </c>
      <c r="D308" s="13" t="s">
        <v>88</v>
      </c>
      <c r="E308" s="15" t="s">
        <v>89</v>
      </c>
      <c r="F308" s="13" t="s">
        <v>90</v>
      </c>
      <c r="G308" s="15" t="s">
        <v>91</v>
      </c>
      <c r="H308" s="13" t="s">
        <v>503</v>
      </c>
      <c r="I308" s="15" t="s">
        <v>504</v>
      </c>
      <c r="J308" s="15" t="s">
        <v>505</v>
      </c>
      <c r="K308" s="15" t="s">
        <v>506</v>
      </c>
      <c r="L308" s="13" t="s">
        <v>507</v>
      </c>
      <c r="M308" s="15" t="s">
        <v>508</v>
      </c>
      <c r="N308" s="13" t="s">
        <v>98</v>
      </c>
      <c r="O308" s="15" t="s">
        <v>428</v>
      </c>
      <c r="P308" s="15" t="s">
        <v>429</v>
      </c>
      <c r="Q308" s="15" t="s">
        <v>203</v>
      </c>
      <c r="R308" s="13" t="s">
        <v>204</v>
      </c>
      <c r="S308" s="13" t="s">
        <v>103</v>
      </c>
      <c r="T308" s="13" t="s">
        <v>205</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3"/>
    </row>
    <row r="309" spans="1:85" ht="90" x14ac:dyDescent="0.25">
      <c r="A309" s="13" t="s">
        <v>202</v>
      </c>
      <c r="B309" s="13" t="s">
        <v>153</v>
      </c>
      <c r="C309" s="14">
        <v>43152.5</v>
      </c>
      <c r="D309" s="13" t="s">
        <v>88</v>
      </c>
      <c r="E309" s="15" t="s">
        <v>89</v>
      </c>
      <c r="F309" s="13" t="s">
        <v>90</v>
      </c>
      <c r="G309" s="15" t="s">
        <v>91</v>
      </c>
      <c r="H309" s="13" t="s">
        <v>503</v>
      </c>
      <c r="I309" s="15" t="s">
        <v>504</v>
      </c>
      <c r="J309" s="15" t="s">
        <v>505</v>
      </c>
      <c r="K309" s="15" t="s">
        <v>506</v>
      </c>
      <c r="L309" s="13" t="s">
        <v>509</v>
      </c>
      <c r="M309" s="15" t="s">
        <v>510</v>
      </c>
      <c r="N309" s="13" t="s">
        <v>188</v>
      </c>
      <c r="O309" s="15" t="s">
        <v>436</v>
      </c>
      <c r="P309" s="15" t="s">
        <v>437</v>
      </c>
      <c r="Q309" s="15" t="s">
        <v>203</v>
      </c>
      <c r="R309" s="13" t="s">
        <v>204</v>
      </c>
      <c r="S309" s="13" t="s">
        <v>103</v>
      </c>
      <c r="T309" s="13" t="s">
        <v>205</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3"/>
    </row>
    <row r="310" spans="1:85" ht="90" x14ac:dyDescent="0.25">
      <c r="A310" s="13" t="s">
        <v>202</v>
      </c>
      <c r="B310" s="13" t="s">
        <v>153</v>
      </c>
      <c r="C310" s="14">
        <v>43152.5</v>
      </c>
      <c r="D310" s="13" t="s">
        <v>88</v>
      </c>
      <c r="E310" s="15" t="s">
        <v>89</v>
      </c>
      <c r="F310" s="13" t="s">
        <v>90</v>
      </c>
      <c r="G310" s="15" t="s">
        <v>91</v>
      </c>
      <c r="H310" s="13" t="s">
        <v>503</v>
      </c>
      <c r="I310" s="15" t="s">
        <v>504</v>
      </c>
      <c r="J310" s="15" t="s">
        <v>505</v>
      </c>
      <c r="K310" s="15" t="s">
        <v>506</v>
      </c>
      <c r="L310" s="13" t="s">
        <v>507</v>
      </c>
      <c r="M310" s="15" t="s">
        <v>508</v>
      </c>
      <c r="N310" s="13" t="s">
        <v>98</v>
      </c>
      <c r="O310" s="15" t="s">
        <v>428</v>
      </c>
      <c r="P310" s="15" t="s">
        <v>429</v>
      </c>
      <c r="Q310" s="15" t="s">
        <v>206</v>
      </c>
      <c r="R310" s="13" t="s">
        <v>207</v>
      </c>
      <c r="S310" s="13" t="s">
        <v>103</v>
      </c>
      <c r="T310" s="13" t="s">
        <v>205</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3"/>
    </row>
    <row r="311" spans="1:85" ht="90" x14ac:dyDescent="0.25">
      <c r="A311" s="13" t="s">
        <v>202</v>
      </c>
      <c r="B311" s="13" t="s">
        <v>153</v>
      </c>
      <c r="C311" s="14">
        <v>43152.5</v>
      </c>
      <c r="D311" s="13" t="s">
        <v>88</v>
      </c>
      <c r="E311" s="15" t="s">
        <v>89</v>
      </c>
      <c r="F311" s="13" t="s">
        <v>90</v>
      </c>
      <c r="G311" s="15" t="s">
        <v>91</v>
      </c>
      <c r="H311" s="13" t="s">
        <v>503</v>
      </c>
      <c r="I311" s="15" t="s">
        <v>504</v>
      </c>
      <c r="J311" s="15" t="s">
        <v>505</v>
      </c>
      <c r="K311" s="15" t="s">
        <v>506</v>
      </c>
      <c r="L311" s="13" t="s">
        <v>509</v>
      </c>
      <c r="M311" s="15" t="s">
        <v>510</v>
      </c>
      <c r="N311" s="13" t="s">
        <v>188</v>
      </c>
      <c r="O311" s="15" t="s">
        <v>436</v>
      </c>
      <c r="P311" s="15" t="s">
        <v>437</v>
      </c>
      <c r="Q311" s="15" t="s">
        <v>206</v>
      </c>
      <c r="R311" s="13" t="s">
        <v>207</v>
      </c>
      <c r="S311" s="13" t="s">
        <v>103</v>
      </c>
      <c r="T311" s="13" t="s">
        <v>205</v>
      </c>
      <c r="U311" s="14">
        <v>40725</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3"/>
    </row>
    <row r="312" spans="1:85" ht="90" x14ac:dyDescent="0.25">
      <c r="A312" s="13" t="s">
        <v>202</v>
      </c>
      <c r="B312" s="13" t="s">
        <v>153</v>
      </c>
      <c r="C312" s="14">
        <v>43152.5</v>
      </c>
      <c r="D312" s="13" t="s">
        <v>88</v>
      </c>
      <c r="E312" s="15" t="s">
        <v>89</v>
      </c>
      <c r="F312" s="13" t="s">
        <v>90</v>
      </c>
      <c r="G312" s="15" t="s">
        <v>91</v>
      </c>
      <c r="H312" s="13" t="s">
        <v>503</v>
      </c>
      <c r="I312" s="15" t="s">
        <v>504</v>
      </c>
      <c r="J312" s="15" t="s">
        <v>505</v>
      </c>
      <c r="K312" s="15" t="s">
        <v>506</v>
      </c>
      <c r="L312" s="13" t="s">
        <v>507</v>
      </c>
      <c r="M312" s="15" t="s">
        <v>508</v>
      </c>
      <c r="N312" s="13" t="s">
        <v>98</v>
      </c>
      <c r="O312" s="15" t="s">
        <v>428</v>
      </c>
      <c r="P312" s="15" t="s">
        <v>429</v>
      </c>
      <c r="Q312" s="15" t="s">
        <v>208</v>
      </c>
      <c r="R312" s="13" t="s">
        <v>209</v>
      </c>
      <c r="S312" s="13" t="s">
        <v>103</v>
      </c>
      <c r="T312" s="13" t="s">
        <v>205</v>
      </c>
      <c r="U312" s="14">
        <v>40725</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3"/>
    </row>
    <row r="313" spans="1:85" ht="90" x14ac:dyDescent="0.25">
      <c r="A313" s="13" t="s">
        <v>202</v>
      </c>
      <c r="B313" s="13" t="s">
        <v>153</v>
      </c>
      <c r="C313" s="14">
        <v>43152.5</v>
      </c>
      <c r="D313" s="13" t="s">
        <v>88</v>
      </c>
      <c r="E313" s="15" t="s">
        <v>89</v>
      </c>
      <c r="F313" s="13" t="s">
        <v>90</v>
      </c>
      <c r="G313" s="15" t="s">
        <v>91</v>
      </c>
      <c r="H313" s="13" t="s">
        <v>503</v>
      </c>
      <c r="I313" s="15" t="s">
        <v>504</v>
      </c>
      <c r="J313" s="15" t="s">
        <v>505</v>
      </c>
      <c r="K313" s="15" t="s">
        <v>506</v>
      </c>
      <c r="L313" s="13" t="s">
        <v>509</v>
      </c>
      <c r="M313" s="15" t="s">
        <v>510</v>
      </c>
      <c r="N313" s="13" t="s">
        <v>188</v>
      </c>
      <c r="O313" s="15" t="s">
        <v>436</v>
      </c>
      <c r="P313" s="15" t="s">
        <v>437</v>
      </c>
      <c r="Q313" s="15" t="s">
        <v>208</v>
      </c>
      <c r="R313" s="13" t="s">
        <v>209</v>
      </c>
      <c r="S313" s="13" t="s">
        <v>103</v>
      </c>
      <c r="T313" s="13" t="s">
        <v>205</v>
      </c>
      <c r="U313" s="14">
        <v>40725</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3"/>
    </row>
    <row r="314" spans="1:85" ht="135" x14ac:dyDescent="0.25">
      <c r="A314" s="13" t="s">
        <v>86</v>
      </c>
      <c r="B314" s="13" t="s">
        <v>87</v>
      </c>
      <c r="C314" s="14">
        <v>43850.552083333336</v>
      </c>
      <c r="D314" s="13" t="s">
        <v>88</v>
      </c>
      <c r="E314" s="15" t="s">
        <v>89</v>
      </c>
      <c r="F314" s="13" t="s">
        <v>90</v>
      </c>
      <c r="G314" s="15" t="s">
        <v>91</v>
      </c>
      <c r="H314" s="13" t="s">
        <v>503</v>
      </c>
      <c r="I314" s="15" t="s">
        <v>504</v>
      </c>
      <c r="J314" s="15" t="s">
        <v>505</v>
      </c>
      <c r="K314" s="15" t="s">
        <v>506</v>
      </c>
      <c r="L314" s="13" t="s">
        <v>507</v>
      </c>
      <c r="M314" s="15" t="s">
        <v>508</v>
      </c>
      <c r="N314" s="13" t="s">
        <v>98</v>
      </c>
      <c r="O314" s="15" t="s">
        <v>428</v>
      </c>
      <c r="P314" s="15" t="s">
        <v>429</v>
      </c>
      <c r="Q314" s="15" t="s">
        <v>366</v>
      </c>
      <c r="R314" s="13" t="s">
        <v>367</v>
      </c>
      <c r="S314" s="13" t="s">
        <v>212</v>
      </c>
      <c r="T314" s="13" t="s">
        <v>104</v>
      </c>
      <c r="U314" s="14">
        <v>40725</v>
      </c>
      <c r="V314" s="14"/>
      <c r="W314" s="15" t="s">
        <v>483</v>
      </c>
      <c r="X314" s="13" t="s">
        <v>106</v>
      </c>
      <c r="Y314" s="15" t="str">
        <f>VLOOKUP(X314,'Axe 2 Règles de gestion'!$D$2:$F$121,3, FALSE)</f>
        <v>L'agent doit détenir le titre ou le diplôme requis pour l'exercice des fonctions du corps d'accueil.</v>
      </c>
      <c r="Z314" s="13" t="s">
        <v>484</v>
      </c>
      <c r="AA314" s="15" t="str">
        <f>VLOOKUP(Z314,'Axe 2 Règles de gestion'!$D$2:$F$121,3, FALSE)</f>
        <v>L'agent est membre d'un corps recruté par la voie de l'Ecole nationale d'administration, professeur ou maître de conférences des universités.</v>
      </c>
      <c r="AB314" s="13" t="s">
        <v>486</v>
      </c>
      <c r="AC314" s="15" t="str">
        <f>VLOOKUP(AB314,'Axe 2 Règles de gestion'!$D$2:$F$121,3, FALSE)</f>
        <v>L'agent appartient à un corps ou un grade d'emploi de même niveau de recrutement.</v>
      </c>
      <c r="AD314" s="13" t="s">
        <v>488</v>
      </c>
      <c r="AE314" s="15" t="str">
        <f>VLOOKUP(AD314,'Axe 2 Règles de gestion'!$D$2:$F$121,3, FALSE)</f>
        <v>Le détachement est possible dans les fonctions des premier et second grades au sein du corps judiciaire.</v>
      </c>
      <c r="AF314" s="13" t="s">
        <v>490</v>
      </c>
      <c r="AG314" s="15" t="str">
        <f>VLOOKUP(AF314,'Axe 2 Règles de gestion'!$D$2:$F$121,3, FALSE)</f>
        <v>Un stage d'une durée de 6 mois doit avoir été accompli par l'agent préalablement à l'exercice de fonctions judiciaires.</v>
      </c>
      <c r="AH314" s="13" t="s">
        <v>108</v>
      </c>
      <c r="AI314" s="15" t="str">
        <f>VLOOKUP(AH314,'Axe 2 Règles de gestion'!$D$2:$F$121,3, FALSE)</f>
        <v>L'agent doit formuler une demande.</v>
      </c>
      <c r="AJ314" s="13" t="s">
        <v>492</v>
      </c>
      <c r="AK314" s="15" t="str">
        <f>VLOOKUP(AJ314,'Axe 2 Règles de gestion'!$D$2:$F$121,3, FALSE)</f>
        <v>Le détachement est prononcé après avis conforme de la commission d'avancement.</v>
      </c>
      <c r="AL314" s="13"/>
      <c r="AM314" s="15"/>
      <c r="AN314" s="13"/>
      <c r="AO314" s="15"/>
      <c r="AP314" s="13" t="s">
        <v>494</v>
      </c>
      <c r="AQ314" s="15" t="str">
        <f>VLOOKUP(AP314,'Axe 2 Règles de gestion'!$D$2:$F$121,3, FALSE)</f>
        <v>Le détachement judiciaire ne peut pas excéder cinq ans entre la date de début et la date de fin prévisionnelle.</v>
      </c>
      <c r="AR314" s="13" t="s">
        <v>496</v>
      </c>
      <c r="AS314" s="15" t="str">
        <f>VLOOKUP(AR314,'Axe 2 Règles de gestion'!$D$2:$F$121,3, FALSE)</f>
        <v>Le détachement judiciaire ne peut pas excéder cinq ans entre la date de début et la date de fin réelle.</v>
      </c>
      <c r="AT314" s="13" t="s">
        <v>214</v>
      </c>
      <c r="AU314" s="15" t="str">
        <f>VLOOKUP(AT314,'Axe 2 Règles de gestion'!$D$2:$F$121,3, FALSE)</f>
        <v>Le détachement de courte durée est interdit.</v>
      </c>
      <c r="AV314" s="13"/>
      <c r="AW314" s="15"/>
      <c r="AX314" s="13"/>
      <c r="AY314" s="15"/>
      <c r="AZ314" s="13"/>
      <c r="BA314" s="15"/>
      <c r="BB314" s="13" t="s">
        <v>126</v>
      </c>
      <c r="BC314" s="15" t="str">
        <f>VLOOKUP(BB314,'Axe 2 Règles de gestion'!$D$2:$F$121,3, FALSE)</f>
        <v>La date de début de position doit être antérieure ou égale à la date de fin prévisionnelle de position.</v>
      </c>
      <c r="BD314" s="13" t="s">
        <v>128</v>
      </c>
      <c r="BE314" s="15" t="str">
        <f>VLOOKUP(BD314,'Axe 2 Règles de gestion'!$D$2:$F$121,3, FALSE)</f>
        <v>La date de début de la position doit être postérieure ou égale à la date d'entrée dans la FPE ou dans la carrière militaire.</v>
      </c>
      <c r="BF314" s="13" t="s">
        <v>130</v>
      </c>
      <c r="BG314" s="15" t="str">
        <f>VLOOKUP(BF314,'Axe 2 Règles de gestion'!$D$2:$F$121,3, FALSE)</f>
        <v>La date de fin réelle de la position doit être antérieure à la date limite de départ à la retraite.</v>
      </c>
      <c r="BH314" s="13" t="s">
        <v>132</v>
      </c>
      <c r="BI314" s="15" t="str">
        <f>VLOOKUP(BH314,'Axe 2 Règles de gestion'!$D$2:$F$121,3, FALSE)</f>
        <v>La date de début de position doit être antérieure ou égale à la date de fin réelle de position.</v>
      </c>
      <c r="BJ314" s="13" t="s">
        <v>134</v>
      </c>
      <c r="BK314" s="15" t="str">
        <f>VLOOKUP(BJ314,'Axe 2 Règles de gestion'!$D$2:$F$121,3, FALSE)</f>
        <v>La date de fin prévisionnelle de la position doit être antérieure à la date limite de départ à la retraite.</v>
      </c>
      <c r="BL314" s="13" t="s">
        <v>136</v>
      </c>
      <c r="BM314" s="15" t="str">
        <f>VLOOKUP(BL314,'Axe 2 Règles de gestion'!$D$2:$F$121,3, FALSE)</f>
        <v>L'indicateur de carrière est sur la valeur "Accueil".</v>
      </c>
      <c r="BN314" s="13" t="s">
        <v>138</v>
      </c>
      <c r="BO314" s="15" t="str">
        <f>VLOOKUP(BN314,'Axe 2 Règles de gestion'!$D$2:$F$121,3, FALSE)</f>
        <v>La date de début de position est à J+1 de la date de fin de position de l'occurrence précédente.</v>
      </c>
      <c r="BP314" s="13" t="s">
        <v>140</v>
      </c>
      <c r="BQ314" s="15" t="str">
        <f>VLOOKUP(BP314,'Axe 2 Règles de gestion'!$D$2:$F$121,3, FALSE)</f>
        <v>Les champs "Type d'organisme d'origine", "Catégorie statutaire d'origine" et "Pays" de l'organisme d'origine doivent être renseignés.</v>
      </c>
      <c r="BR314" s="13" t="s">
        <v>142</v>
      </c>
      <c r="BS314" s="15" t="str">
        <f>VLOOKUP(BR314,'Axe 2 Règles de gestion'!$D$2:$F$121,3, FALSE)</f>
        <v>Les champs "Ministère (ou institution de la République) d'origine", "Corps d'origine", "Grade d'origine", "Echelon d'origine" sont renseignés si le "Type d'organisme d'origine" est valorisé à FPE.</v>
      </c>
      <c r="BT314" s="13" t="s">
        <v>144</v>
      </c>
      <c r="BU314" s="15" t="str">
        <f>VLOOKUP(BT314,'Axe 2 Règles de gestion'!$D$2:$F$121,3, FALSE)</f>
        <v>Le champ "Organisme d'origine" doit être alimenté si le type d'organisme d'origine est égal à 'Autre organisme', 'Fonction publique d'un état de l'Union Européenne' ou 'Fonction publique Européenne'.</v>
      </c>
      <c r="BV314" s="13" t="s">
        <v>146</v>
      </c>
      <c r="BW314" s="15" t="str">
        <f>VLOOKUP(BV314,'Axe 2 Règles de gestion'!$D$2:$F$121,3, FALSE)</f>
        <v>Le champ "Code emploi statutaire FPT (NET)" est renseigné si le "Type d'organisme d'origine" est valorisé à FPT.</v>
      </c>
      <c r="BX314" s="13" t="s">
        <v>148</v>
      </c>
      <c r="BY314" s="15" t="str">
        <f>VLOOKUP(BX314,'Axe 2 Règles de gestion'!$D$2:$F$121,3, FALSE)</f>
        <v>Le champ "Code emploi statutaire FPH (NEH)" est renseigné si le "Type d'organisme d'origine" est valorisé à FPH.</v>
      </c>
      <c r="BZ314" s="13" t="s">
        <v>150</v>
      </c>
      <c r="CA314" s="15" t="str">
        <f>VLOOKUP(BZ314,'Axe 2 Règles de gestion'!$D$2:$F$121,3, FALSE)</f>
        <v>La date de fin ou la date de fin prévisionnelle doit être saisie.</v>
      </c>
      <c r="CB314" s="13"/>
      <c r="CC314" s="15"/>
      <c r="CD314" s="13"/>
      <c r="CE314" s="15"/>
      <c r="CF314" s="13"/>
      <c r="CG314" s="13"/>
    </row>
    <row r="315" spans="1:85" ht="135" x14ac:dyDescent="0.25">
      <c r="A315" s="13" t="s">
        <v>86</v>
      </c>
      <c r="B315" s="13" t="s">
        <v>87</v>
      </c>
      <c r="C315" s="14">
        <v>43850.552083333336</v>
      </c>
      <c r="D315" s="13" t="s">
        <v>88</v>
      </c>
      <c r="E315" s="15" t="s">
        <v>89</v>
      </c>
      <c r="F315" s="13" t="s">
        <v>90</v>
      </c>
      <c r="G315" s="15" t="s">
        <v>91</v>
      </c>
      <c r="H315" s="13" t="s">
        <v>503</v>
      </c>
      <c r="I315" s="15" t="s">
        <v>504</v>
      </c>
      <c r="J315" s="15" t="s">
        <v>505</v>
      </c>
      <c r="K315" s="15" t="s">
        <v>506</v>
      </c>
      <c r="L315" s="13" t="s">
        <v>509</v>
      </c>
      <c r="M315" s="15" t="s">
        <v>510</v>
      </c>
      <c r="N315" s="13" t="s">
        <v>188</v>
      </c>
      <c r="O315" s="15" t="s">
        <v>436</v>
      </c>
      <c r="P315" s="15" t="s">
        <v>437</v>
      </c>
      <c r="Q315" s="15" t="s">
        <v>366</v>
      </c>
      <c r="R315" s="13" t="s">
        <v>367</v>
      </c>
      <c r="S315" s="13" t="s">
        <v>212</v>
      </c>
      <c r="T315" s="13" t="s">
        <v>104</v>
      </c>
      <c r="U315" s="14">
        <v>40725</v>
      </c>
      <c r="V315" s="14"/>
      <c r="W315" s="15" t="s">
        <v>498</v>
      </c>
      <c r="X315" s="13" t="s">
        <v>499</v>
      </c>
      <c r="Y315" s="15" t="str">
        <f>VLOOKUP(X315,'Axe 2 Règles de gestion'!$D$2:$F$121,3, FALSE)</f>
        <v>Il peut être mis fin au détachement sur demande de l'agent.</v>
      </c>
      <c r="Z315" s="13" t="s">
        <v>501</v>
      </c>
      <c r="AA315" s="15" t="str">
        <f>VLOOKUP(Z315,'Axe 2 Règles de gestion'!$D$2:$F$121,3, FALSE)</f>
        <v>L'autorité judiciaire peut mettre fin au détachement avant terme s'il a été prononcé à l'encontre de l'agent une des sanctions suivantes : la mise à la retraite d'office, la révocation ou la fin du détachement judiciaire.</v>
      </c>
      <c r="AB315" s="13"/>
      <c r="AC315" s="15"/>
      <c r="AD315" s="13"/>
      <c r="AE315" s="15"/>
      <c r="AF315" s="13"/>
      <c r="AG315" s="15"/>
      <c r="AH315" s="13"/>
      <c r="AI315" s="15"/>
      <c r="AJ315" s="13"/>
      <c r="AK315" s="15"/>
      <c r="AL315" s="13"/>
      <c r="AM315" s="15"/>
      <c r="AN315" s="13"/>
      <c r="AO315" s="15"/>
      <c r="AP315" s="13" t="s">
        <v>494</v>
      </c>
      <c r="AQ315" s="15" t="str">
        <f>VLOOKUP(AP315,'Axe 2 Règles de gestion'!$D$2:$F$121,3, FALSE)</f>
        <v>Le détachement judiciaire ne peut pas excéder cinq ans entre la date de début et la date de fin prévisionnelle.</v>
      </c>
      <c r="AR315" s="13" t="s">
        <v>496</v>
      </c>
      <c r="AS315" s="15" t="str">
        <f>VLOOKUP(AR315,'Axe 2 Règles de gestion'!$D$2:$F$121,3, FALSE)</f>
        <v>Le détachement judiciaire ne peut pas excéder cinq ans entre la date de début et la date de fin réelle.</v>
      </c>
      <c r="AT315" s="13" t="s">
        <v>214</v>
      </c>
      <c r="AU315" s="15" t="str">
        <f>VLOOKUP(AT315,'Axe 2 Règles de gestion'!$D$2:$F$121,3, FALSE)</f>
        <v>Le détachement de courte durée est interdit.</v>
      </c>
      <c r="AV315" s="13"/>
      <c r="AW315" s="15"/>
      <c r="AX315" s="13"/>
      <c r="AY315" s="15"/>
      <c r="AZ315" s="13"/>
      <c r="BA315" s="15"/>
      <c r="BB315" s="13" t="s">
        <v>126</v>
      </c>
      <c r="BC315" s="15" t="str">
        <f>VLOOKUP(BB315,'Axe 2 Règles de gestion'!$D$2:$F$121,3, FALSE)</f>
        <v>La date de début de position doit être antérieure ou égale à la date de fin prévisionnelle de position.</v>
      </c>
      <c r="BD315" s="13" t="s">
        <v>130</v>
      </c>
      <c r="BE315" s="15" t="str">
        <f>VLOOKUP(BD315,'Axe 2 Règles de gestion'!$D$2:$F$121,3, FALSE)</f>
        <v>La date de fin réelle de la position doit être antérieure à la date limite de départ à la retraite.</v>
      </c>
      <c r="BF315" s="13" t="s">
        <v>132</v>
      </c>
      <c r="BG315" s="15" t="str">
        <f>VLOOKUP(BF315,'Axe 2 Règles de gestion'!$D$2:$F$121,3, FALSE)</f>
        <v>La date de début de position doit être antérieure ou égale à la date de fin réelle de position.</v>
      </c>
      <c r="BH315" s="13" t="s">
        <v>134</v>
      </c>
      <c r="BI315" s="15" t="str">
        <f>VLOOKUP(BH315,'Axe 2 Règles de gestion'!$D$2:$F$121,3, FALSE)</f>
        <v>La date de fin prévisionnelle de la position doit être antérieure à la date limite de départ à la retraite.</v>
      </c>
      <c r="BJ315" s="13" t="s">
        <v>140</v>
      </c>
      <c r="BK315" s="15" t="str">
        <f>VLOOKUP(BJ315,'Axe 2 Règles de gestion'!$D$2:$F$121,3, FALSE)</f>
        <v>Les champs "Type d'organisme d'origine", "Catégorie statutaire d'origine" et "Pays" de l'organisme d'origine doivent être renseignés.</v>
      </c>
      <c r="BL315" s="13" t="s">
        <v>142</v>
      </c>
      <c r="BM315" s="15" t="str">
        <f>VLOOKUP(BL315,'Axe 2 Règles de gestion'!$D$2:$F$121,3, FALSE)</f>
        <v>Les champs "Ministère (ou institution de la République) d'origine", "Corps d'origine", "Grade d'origine", "Echelon d'origine" sont renseignés si le "Type d'organisme d'origine" est valorisé à FPE.</v>
      </c>
      <c r="BN315" s="13" t="s">
        <v>144</v>
      </c>
      <c r="BO315" s="15" t="str">
        <f>VLOOKUP(BN315,'Axe 2 Règles de gestion'!$D$2:$F$121,3, FALSE)</f>
        <v>Le champ "Organisme d'origine" doit être alimenté si le type d'organisme d'origine est égal à 'Autre organisme', 'Fonction publique d'un état de l'Union Européenne' ou 'Fonction publique Européenne'.</v>
      </c>
      <c r="BP315" s="13" t="s">
        <v>146</v>
      </c>
      <c r="BQ315" s="15" t="str">
        <f>VLOOKUP(BP315,'Axe 2 Règles de gestion'!$D$2:$F$121,3, FALSE)</f>
        <v>Le champ "Code emploi statutaire FPT (NET)" est renseigné si le "Type d'organisme d'origine" est valorisé à FPT.</v>
      </c>
      <c r="BR315" s="13" t="s">
        <v>148</v>
      </c>
      <c r="BS315" s="15" t="str">
        <f>VLOOKUP(BR315,'Axe 2 Règles de gestion'!$D$2:$F$121,3, FALSE)</f>
        <v>Le champ "Code emploi statutaire FPH (NEH)" est renseigné si le "Type d'organisme d'origine" est valorisé à FPH.</v>
      </c>
      <c r="BT315" s="13" t="s">
        <v>150</v>
      </c>
      <c r="BU315" s="15" t="str">
        <f>VLOOKUP(BT315,'Axe 2 Règles de gestion'!$D$2:$F$121,3, FALSE)</f>
        <v>La date de fin ou la date de fin prévisionnelle doit être saisie.</v>
      </c>
      <c r="BV315" s="13"/>
      <c r="BW315" s="15"/>
      <c r="BX315" s="13"/>
      <c r="BY315" s="15"/>
      <c r="BZ315" s="13"/>
      <c r="CA315" s="15"/>
      <c r="CB315" s="13"/>
      <c r="CC315" s="15"/>
      <c r="CD315" s="13"/>
      <c r="CE315" s="15"/>
      <c r="CF315" s="13"/>
      <c r="CG315" s="13"/>
    </row>
    <row r="316" spans="1:85" ht="165" x14ac:dyDescent="0.25">
      <c r="A316" s="13" t="s">
        <v>86</v>
      </c>
      <c r="B316" s="13" t="s">
        <v>87</v>
      </c>
      <c r="C316" s="14">
        <v>44006.450694444444</v>
      </c>
      <c r="D316" s="13" t="s">
        <v>88</v>
      </c>
      <c r="E316" s="15" t="s">
        <v>89</v>
      </c>
      <c r="F316" s="13" t="s">
        <v>90</v>
      </c>
      <c r="G316" s="15" t="s">
        <v>91</v>
      </c>
      <c r="H316" s="13" t="s">
        <v>511</v>
      </c>
      <c r="I316" s="15" t="s">
        <v>512</v>
      </c>
      <c r="J316" s="15" t="s">
        <v>513</v>
      </c>
      <c r="K316" s="15" t="s">
        <v>514</v>
      </c>
      <c r="L316" s="13" t="s">
        <v>515</v>
      </c>
      <c r="M316" s="15" t="s">
        <v>512</v>
      </c>
      <c r="N316" s="13" t="s">
        <v>98</v>
      </c>
      <c r="O316" s="15"/>
      <c r="P316" s="15"/>
      <c r="Q316" s="15" t="s">
        <v>101</v>
      </c>
      <c r="R316" s="13" t="s">
        <v>102</v>
      </c>
      <c r="S316" s="13" t="s">
        <v>103</v>
      </c>
      <c r="T316" s="13" t="s">
        <v>104</v>
      </c>
      <c r="U316" s="14">
        <v>40725</v>
      </c>
      <c r="V316" s="14">
        <v>43825</v>
      </c>
      <c r="W316" s="15" t="s">
        <v>516</v>
      </c>
      <c r="X316" s="13" t="s">
        <v>517</v>
      </c>
      <c r="Y316" s="15" t="str">
        <f>VLOOKUP(X316,'Axe 2 Règles de gestion'!$D$2:$F$121,3, FALSE)</f>
        <v>Si l'agent a demandé le renouvellement de son détachement dans le délai mais que l'organisme d'accueil a fait connaître son refus hors délai, il est maintenu en détachement jusqu'à ce qu'il soit réintégré à la première vacance dans son corps d'origine.</v>
      </c>
      <c r="Z316" s="13" t="s">
        <v>200</v>
      </c>
      <c r="AA316" s="15" t="str">
        <f>VLOOKUP(Z316,'Axe 2 Règles de gestion'!$D$2:$F$121,3, FALSE)</f>
        <v>Les dispositions relatives à la réintégration au terme d'un détachement de longue durée ne sont pas applicables aux préfets et sous-préfets.</v>
      </c>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t="s">
        <v>126</v>
      </c>
      <c r="BC316" s="15" t="str">
        <f>VLOOKUP(BB316,'Axe 2 Règles de gestion'!$D$2:$F$121,3, FALSE)</f>
        <v>La date de début de position doit être antérieure ou égale à la date de fin prévisionnelle de position.</v>
      </c>
      <c r="BD316" s="13" t="s">
        <v>128</v>
      </c>
      <c r="BE316" s="15" t="str">
        <f>VLOOKUP(BD316,'Axe 2 Règles de gestion'!$D$2:$F$121,3, FALSE)</f>
        <v>La date de début de la position doit être postérieure ou égale à la date d'entrée dans la FPE ou dans la carrière militaire.</v>
      </c>
      <c r="BF316" s="13" t="s">
        <v>130</v>
      </c>
      <c r="BG316" s="15" t="str">
        <f>VLOOKUP(BF316,'Axe 2 Règles de gestion'!$D$2:$F$121,3, FALSE)</f>
        <v>La date de fin réelle de la position doit être antérieure à la date limite de départ à la retraite.</v>
      </c>
      <c r="BH316" s="13" t="s">
        <v>132</v>
      </c>
      <c r="BI316" s="15" t="str">
        <f>VLOOKUP(BH316,'Axe 2 Règles de gestion'!$D$2:$F$121,3, FALSE)</f>
        <v>La date de début de position doit être antérieure ou égale à la date de fin réelle de position.</v>
      </c>
      <c r="BJ316" s="13" t="s">
        <v>134</v>
      </c>
      <c r="BK316" s="15" t="str">
        <f>VLOOKUP(BJ316,'Axe 2 Règles de gestion'!$D$2:$F$121,3, FALSE)</f>
        <v>La date de fin prévisionnelle de la position doit être antérieure à la date limite de départ à la retraite.</v>
      </c>
      <c r="BL316" s="13" t="s">
        <v>138</v>
      </c>
      <c r="BM316" s="15" t="str">
        <f>VLOOKUP(BL316,'Axe 2 Règles de gestion'!$D$2:$F$121,3, FALSE)</f>
        <v>La date de début de position est à J+1 de la date de fin de position de l'occurrence précédente.</v>
      </c>
      <c r="BN316" s="13" t="s">
        <v>140</v>
      </c>
      <c r="BO316" s="15" t="str">
        <f>VLOOKUP(BN316,'Axe 2 Règles de gestion'!$D$2:$F$121,3, FALSE)</f>
        <v>Les champs "Type d'organisme d'origine", "Catégorie statutaire d'origine" et "Pays" de l'organisme d'origine doivent être renseignés.</v>
      </c>
      <c r="BP316" s="13" t="s">
        <v>142</v>
      </c>
      <c r="BQ316" s="15" t="str">
        <f>VLOOKUP(BP316,'Axe 2 Règles de gestion'!$D$2:$F$121,3, FALSE)</f>
        <v>Les champs "Ministère (ou institution de la République) d'origine", "Corps d'origine", "Grade d'origine", "Echelon d'origine" sont renseignés si le "Type d'organisme d'origine" est valorisé à FPE.</v>
      </c>
      <c r="BR316" s="13" t="s">
        <v>144</v>
      </c>
      <c r="BS316" s="15" t="str">
        <f>VLOOKUP(BR316,'Axe 2 Règles de gestion'!$D$2:$F$121,3, FALSE)</f>
        <v>Le champ "Organisme d'origine" doit être alimenté si le type d'organisme d'origine est égal à 'Autre organisme', 'Fonction publique d'un état de l'Union Européenne' ou 'Fonction publique Européenne'.</v>
      </c>
      <c r="BT316" s="13" t="s">
        <v>146</v>
      </c>
      <c r="BU316" s="15" t="str">
        <f>VLOOKUP(BT316,'Axe 2 Règles de gestion'!$D$2:$F$121,3, FALSE)</f>
        <v>Le champ "Code emploi statutaire FPT (NET)" est renseigné si le "Type d'organisme d'origine" est valorisé à FPT.</v>
      </c>
      <c r="BV316" s="13" t="s">
        <v>148</v>
      </c>
      <c r="BW316" s="15" t="str">
        <f>VLOOKUP(BV316,'Axe 2 Règles de gestion'!$D$2:$F$121,3, FALSE)</f>
        <v>Le champ "Code emploi statutaire FPH (NEH)" est renseigné si le "Type d'organisme d'origine" est valorisé à FPH.</v>
      </c>
      <c r="BX316" s="13" t="s">
        <v>519</v>
      </c>
      <c r="BY316" s="15" t="str">
        <f>VLOOKUP(BX316,'Axe 2 Règles de gestion'!$D$2:$F$121,3, FALSE)</f>
        <v>L'indicateur de renouvellement ne doit pas être positionné à Oui.</v>
      </c>
      <c r="BZ316" s="13" t="s">
        <v>521</v>
      </c>
      <c r="CA316" s="15" t="str">
        <f>VLOOKUP(BZ316,'Axe 2 Règles de gestion'!$D$2:$F$121,3, FALSE)</f>
        <v>En cas de maintien, la position saisie doit être identique à la position de l'occurrence précédente.</v>
      </c>
      <c r="CB316" s="13"/>
      <c r="CC316" s="15"/>
      <c r="CD316" s="13"/>
      <c r="CE316" s="15"/>
      <c r="CF316" s="13"/>
      <c r="CG316" s="13"/>
    </row>
    <row r="317" spans="1:85" ht="165" x14ac:dyDescent="0.25">
      <c r="A317" s="13" t="s">
        <v>86</v>
      </c>
      <c r="B317" s="13" t="s">
        <v>153</v>
      </c>
      <c r="C317" s="14">
        <v>44006.48541666667</v>
      </c>
      <c r="D317" s="13" t="s">
        <v>88</v>
      </c>
      <c r="E317" s="15" t="s">
        <v>89</v>
      </c>
      <c r="F317" s="13" t="s">
        <v>90</v>
      </c>
      <c r="G317" s="15" t="s">
        <v>91</v>
      </c>
      <c r="H317" s="13" t="s">
        <v>511</v>
      </c>
      <c r="I317" s="15" t="s">
        <v>512</v>
      </c>
      <c r="J317" s="15" t="s">
        <v>513</v>
      </c>
      <c r="K317" s="15" t="s">
        <v>514</v>
      </c>
      <c r="L317" s="13" t="s">
        <v>515</v>
      </c>
      <c r="M317" s="15" t="s">
        <v>512</v>
      </c>
      <c r="N317" s="13" t="s">
        <v>98</v>
      </c>
      <c r="O317" s="15"/>
      <c r="P317" s="15"/>
      <c r="Q317" s="15" t="s">
        <v>101</v>
      </c>
      <c r="R317" s="13" t="s">
        <v>102</v>
      </c>
      <c r="S317" s="13" t="s">
        <v>103</v>
      </c>
      <c r="T317" s="13" t="s">
        <v>104</v>
      </c>
      <c r="U317" s="14">
        <v>43826</v>
      </c>
      <c r="V317" s="14"/>
      <c r="W317" s="15" t="s">
        <v>523</v>
      </c>
      <c r="X317" s="13" t="s">
        <v>517</v>
      </c>
      <c r="Y317" s="15" t="str">
        <f>VLOOKUP(X317,'Axe 2 Règles de gestion'!$D$2:$F$121,3, FALSE)</f>
        <v>Si l'agent a demandé le renouvellement de son détachement dans le délai mais que l'organisme d'accueil a fait connaître son refus hors délai, il est maintenu en détachement jusqu'à ce qu'il soit réintégré à la première vacance dans son corps d'origine.</v>
      </c>
      <c r="Z317" s="13" t="s">
        <v>200</v>
      </c>
      <c r="AA317" s="15" t="str">
        <f>VLOOKUP(Z317,'Axe 2 Règles de gestion'!$D$2:$F$121,3, FALSE)</f>
        <v>Les dispositions relatives à la réintégration au terme d'un détachement de longue durée ne sont pas applicables aux préfets et sous-préfets.</v>
      </c>
      <c r="AB317" s="13"/>
      <c r="AC317" s="15"/>
      <c r="AD317" s="13"/>
      <c r="AE317" s="15"/>
      <c r="AF317" s="13"/>
      <c r="AG317" s="15"/>
      <c r="AH317" s="13"/>
      <c r="AI317" s="15"/>
      <c r="AJ317" s="13"/>
      <c r="AK317" s="15"/>
      <c r="AL317" s="13"/>
      <c r="AM317" s="15"/>
      <c r="AN317" s="13"/>
      <c r="AO317" s="15"/>
      <c r="AP317" s="13" t="s">
        <v>524</v>
      </c>
      <c r="AQ317" s="15" t="str">
        <f>VLOOKUP(AP317,'Axe 2 Règles de gestion'!$D$2:$F$121,3, FALSE)</f>
        <v>La durée du maintien en détachement d'un agent détaché sur un emploi fonctionnel ne peut excéder 3 ans entre la date de début et la date de fin prévisionnelle.</v>
      </c>
      <c r="AR317" s="13" t="s">
        <v>526</v>
      </c>
      <c r="AS317" s="15" t="str">
        <f>VLOOKUP(AR317,'Axe 2 Règles de gestion'!$D$2:$F$121,3, FALSE)</f>
        <v>La durée du maintien en détachement d'un agent détaché sur un emploi fonctionnel ne peut excéder 3 ans entre la date de début et la date de fin réelle.</v>
      </c>
      <c r="AT317" s="13"/>
      <c r="AU317" s="15"/>
      <c r="AV317" s="13"/>
      <c r="AW317" s="15"/>
      <c r="AX317" s="13"/>
      <c r="AY317" s="15"/>
      <c r="AZ317" s="13"/>
      <c r="BA317" s="15"/>
      <c r="BB317" s="13" t="s">
        <v>126</v>
      </c>
      <c r="BC317" s="15" t="str">
        <f>VLOOKUP(BB317,'Axe 2 Règles de gestion'!$D$2:$F$121,3, FALSE)</f>
        <v>La date de début de position doit être antérieure ou égale à la date de fin prévisionnelle de position.</v>
      </c>
      <c r="BD317" s="13" t="s">
        <v>128</v>
      </c>
      <c r="BE317" s="15" t="str">
        <f>VLOOKUP(BD317,'Axe 2 Règles de gestion'!$D$2:$F$121,3, FALSE)</f>
        <v>La date de début de la position doit être postérieure ou égale à la date d'entrée dans la FPE ou dans la carrière militaire.</v>
      </c>
      <c r="BF317" s="13" t="s">
        <v>130</v>
      </c>
      <c r="BG317" s="15" t="str">
        <f>VLOOKUP(BF317,'Axe 2 Règles de gestion'!$D$2:$F$121,3, FALSE)</f>
        <v>La date de fin réelle de la position doit être antérieure à la date limite de départ à la retraite.</v>
      </c>
      <c r="BH317" s="13" t="s">
        <v>132</v>
      </c>
      <c r="BI317" s="15" t="str">
        <f>VLOOKUP(BH317,'Axe 2 Règles de gestion'!$D$2:$F$121,3, FALSE)</f>
        <v>La date de début de position doit être antérieure ou égale à la date de fin réelle de position.</v>
      </c>
      <c r="BJ317" s="13" t="s">
        <v>134</v>
      </c>
      <c r="BK317" s="15" t="str">
        <f>VLOOKUP(BJ317,'Axe 2 Règles de gestion'!$D$2:$F$121,3, FALSE)</f>
        <v>La date de fin prévisionnelle de la position doit être antérieure à la date limite de départ à la retraite.</v>
      </c>
      <c r="BL317" s="13" t="s">
        <v>138</v>
      </c>
      <c r="BM317" s="15" t="str">
        <f>VLOOKUP(BL317,'Axe 2 Règles de gestion'!$D$2:$F$121,3, FALSE)</f>
        <v>La date de début de position est à J+1 de la date de fin de position de l'occurrence précédente.</v>
      </c>
      <c r="BN317" s="13" t="s">
        <v>140</v>
      </c>
      <c r="BO317" s="15" t="str">
        <f>VLOOKUP(BN317,'Axe 2 Règles de gestion'!$D$2:$F$121,3, FALSE)</f>
        <v>Les champs "Type d'organisme d'origine", "Catégorie statutaire d'origine" et "Pays" de l'organisme d'origine doivent être renseignés.</v>
      </c>
      <c r="BP317" s="13" t="s">
        <v>142</v>
      </c>
      <c r="BQ317" s="15" t="str">
        <f>VLOOKUP(BP317,'Axe 2 Règles de gestion'!$D$2:$F$121,3, FALSE)</f>
        <v>Les champs "Ministère (ou institution de la République) d'origine", "Corps d'origine", "Grade d'origine", "Echelon d'origine" sont renseignés si le "Type d'organisme d'origine" est valorisé à FPE.</v>
      </c>
      <c r="BR317" s="13" t="s">
        <v>144</v>
      </c>
      <c r="BS317" s="15" t="str">
        <f>VLOOKUP(BR317,'Axe 2 Règles de gestion'!$D$2:$F$121,3, FALSE)</f>
        <v>Le champ "Organisme d'origine" doit être alimenté si le type d'organisme d'origine est égal à 'Autre organisme', 'Fonction publique d'un état de l'Union Européenne' ou 'Fonction publique Européenne'.</v>
      </c>
      <c r="BT317" s="13" t="s">
        <v>146</v>
      </c>
      <c r="BU317" s="15" t="str">
        <f>VLOOKUP(BT317,'Axe 2 Règles de gestion'!$D$2:$F$121,3, FALSE)</f>
        <v>Le champ "Code emploi statutaire FPT (NET)" est renseigné si le "Type d'organisme d'origine" est valorisé à FPT.</v>
      </c>
      <c r="BV317" s="13" t="s">
        <v>148</v>
      </c>
      <c r="BW317" s="15" t="str">
        <f>VLOOKUP(BV317,'Axe 2 Règles de gestion'!$D$2:$F$121,3, FALSE)</f>
        <v>Le champ "Code emploi statutaire FPH (NEH)" est renseigné si le "Type d'organisme d'origine" est valorisé à FPH.</v>
      </c>
      <c r="BX317" s="13" t="s">
        <v>519</v>
      </c>
      <c r="BY317" s="15" t="str">
        <f>VLOOKUP(BX317,'Axe 2 Règles de gestion'!$D$2:$F$121,3, FALSE)</f>
        <v>L'indicateur de renouvellement ne doit pas être positionné à Oui.</v>
      </c>
      <c r="BZ317" s="13" t="s">
        <v>521</v>
      </c>
      <c r="CA317" s="15" t="str">
        <f>VLOOKUP(BZ317,'Axe 2 Règles de gestion'!$D$2:$F$121,3, FALSE)</f>
        <v>En cas de maintien, la position saisie doit être identique à la position de l'occurrence précédente.</v>
      </c>
      <c r="CB317" s="13"/>
      <c r="CC317" s="15"/>
      <c r="CD317" s="13"/>
      <c r="CE317" s="15"/>
      <c r="CF317" s="13"/>
      <c r="CG317" s="13"/>
    </row>
    <row r="318" spans="1:85" ht="165" x14ac:dyDescent="0.25">
      <c r="A318" s="13" t="s">
        <v>86</v>
      </c>
      <c r="B318" s="13" t="s">
        <v>153</v>
      </c>
      <c r="C318" s="14">
        <v>44006.453472222223</v>
      </c>
      <c r="D318" s="13" t="s">
        <v>88</v>
      </c>
      <c r="E318" s="15" t="s">
        <v>89</v>
      </c>
      <c r="F318" s="13" t="s">
        <v>90</v>
      </c>
      <c r="G318" s="15" t="s">
        <v>91</v>
      </c>
      <c r="H318" s="13" t="s">
        <v>511</v>
      </c>
      <c r="I318" s="15" t="s">
        <v>512</v>
      </c>
      <c r="J318" s="15" t="s">
        <v>513</v>
      </c>
      <c r="K318" s="15" t="s">
        <v>514</v>
      </c>
      <c r="L318" s="13" t="s">
        <v>515</v>
      </c>
      <c r="M318" s="15" t="s">
        <v>512</v>
      </c>
      <c r="N318" s="13" t="s">
        <v>98</v>
      </c>
      <c r="O318" s="15"/>
      <c r="P318" s="15"/>
      <c r="Q318" s="15" t="s">
        <v>203</v>
      </c>
      <c r="R318" s="13" t="s">
        <v>204</v>
      </c>
      <c r="S318" s="13" t="s">
        <v>103</v>
      </c>
      <c r="T318" s="13" t="s">
        <v>104</v>
      </c>
      <c r="U318" s="14">
        <v>40725</v>
      </c>
      <c r="V318" s="14"/>
      <c r="W318" s="15" t="s">
        <v>528</v>
      </c>
      <c r="X318" s="13" t="s">
        <v>517</v>
      </c>
      <c r="Y318" s="15" t="str">
        <f>VLOOKUP(X318,'Axe 2 Règles de gestion'!$D$2:$F$121,3, FALSE)</f>
        <v>Si l'agent a demandé le renouvellement de son détachement dans le délai mais que l'organisme d'accueil a fait connaître son refus hors délai, il est maintenu en détachement jusqu'à ce qu'il soit réintégré à la première vacance dans son corps d'origine.</v>
      </c>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t="s">
        <v>126</v>
      </c>
      <c r="BC318" s="15" t="str">
        <f>VLOOKUP(BB318,'Axe 2 Règles de gestion'!$D$2:$F$121,3, FALSE)</f>
        <v>La date de début de position doit être antérieure ou égale à la date de fin prévisionnelle de position.</v>
      </c>
      <c r="BD318" s="13" t="s">
        <v>250</v>
      </c>
      <c r="BE318" s="15" t="str">
        <f>VLOOKUP(BD318,'Axe 2 Règles de gestion'!$D$2:$F$121,3, FALSE)</f>
        <v>La date de fin réelle de la position doit être antérieure ou égale à la date de fin réelle ou prévisionnelle du lien juridique.</v>
      </c>
      <c r="BF318" s="13" t="s">
        <v>130</v>
      </c>
      <c r="BG318" s="15" t="str">
        <f>VLOOKUP(BF318,'Axe 2 Règles de gestion'!$D$2:$F$121,3, FALSE)</f>
        <v>La date de fin réelle de la position doit être antérieure à la date limite de départ à la retraite.</v>
      </c>
      <c r="BH318" s="13" t="s">
        <v>252</v>
      </c>
      <c r="BI318" s="15" t="str">
        <f>VLOOKUP(BH318,'Axe 2 Règles de gestion'!$D$2:$F$121,3, FALSE)</f>
        <v>La date de début de la position doit être postérieure ou égale à la date de début du lien juridique.</v>
      </c>
      <c r="BJ318" s="13" t="s">
        <v>132</v>
      </c>
      <c r="BK318" s="15" t="str">
        <f>VLOOKUP(BJ318,'Axe 2 Règles de gestion'!$D$2:$F$121,3, FALSE)</f>
        <v>La date de début de position doit être antérieure ou égale à la date de fin réelle de position.</v>
      </c>
      <c r="BL318" s="13" t="s">
        <v>134</v>
      </c>
      <c r="BM318" s="15" t="str">
        <f>VLOOKUP(BL318,'Axe 2 Règles de gestion'!$D$2:$F$121,3, FALSE)</f>
        <v>La date de fin prévisionnelle de la position doit être antérieure à la date limite de départ à la retraite.</v>
      </c>
      <c r="BN318" s="13" t="s">
        <v>138</v>
      </c>
      <c r="BO318" s="15" t="str">
        <f>VLOOKUP(BN318,'Axe 2 Règles de gestion'!$D$2:$F$121,3, FALSE)</f>
        <v>La date de début de position est à J+1 de la date de fin de position de l'occurrence précédente.</v>
      </c>
      <c r="BP318" s="13" t="s">
        <v>140</v>
      </c>
      <c r="BQ318" s="15" t="str">
        <f>VLOOKUP(BP318,'Axe 2 Règles de gestion'!$D$2:$F$121,3, FALSE)</f>
        <v>Les champs "Type d'organisme d'origine", "Catégorie statutaire d'origine" et "Pays" de l'organisme d'origine doivent être renseignés.</v>
      </c>
      <c r="BR318" s="13" t="s">
        <v>142</v>
      </c>
      <c r="BS318" s="15" t="str">
        <f>VLOOKUP(BR318,'Axe 2 Règles de gestion'!$D$2:$F$121,3, FALSE)</f>
        <v>Les champs "Ministère (ou institution de la République) d'origine", "Corps d'origine", "Grade d'origine", "Echelon d'origine" sont renseignés si le "Type d'organisme d'origine" est valorisé à FPE.</v>
      </c>
      <c r="BT318" s="13" t="s">
        <v>144</v>
      </c>
      <c r="BU318" s="15" t="str">
        <f>VLOOKUP(BT318,'Axe 2 Règles de gestion'!$D$2:$F$121,3, FALSE)</f>
        <v>Le champ "Organisme d'origine" doit être alimenté si le type d'organisme d'origine est égal à 'Autre organisme', 'Fonction publique d'un état de l'Union Européenne' ou 'Fonction publique Européenne'.</v>
      </c>
      <c r="BV318" s="13" t="s">
        <v>146</v>
      </c>
      <c r="BW318" s="15" t="str">
        <f>VLOOKUP(BV318,'Axe 2 Règles de gestion'!$D$2:$F$121,3, FALSE)</f>
        <v>Le champ "Code emploi statutaire FPT (NET)" est renseigné si le "Type d'organisme d'origine" est valorisé à FPT.</v>
      </c>
      <c r="BX318" s="13" t="s">
        <v>148</v>
      </c>
      <c r="BY318" s="15" t="str">
        <f>VLOOKUP(BX318,'Axe 2 Règles de gestion'!$D$2:$F$121,3, FALSE)</f>
        <v>Le champ "Code emploi statutaire FPH (NEH)" est renseigné si le "Type d'organisme d'origine" est valorisé à FPH.</v>
      </c>
      <c r="BZ318" s="13" t="s">
        <v>254</v>
      </c>
      <c r="CA318" s="15" t="str">
        <f>VLOOKUP(BZ318,'Axe 2 Règles de gestion'!$D$2:$F$121,3, FALSE)</f>
        <v>La date de fin prévisionnelle de la position doit être antérieure ou égale à la date de fin réelle ou prévisionnelle du lien juridique.</v>
      </c>
      <c r="CB318" s="13" t="s">
        <v>519</v>
      </c>
      <c r="CC318" s="15" t="str">
        <f>VLOOKUP(CB318,'Axe 2 Règles de gestion'!$D$2:$F$121,3, FALSE)</f>
        <v>L'indicateur de renouvellement ne doit pas être positionné à Oui.</v>
      </c>
      <c r="CD318" s="13" t="s">
        <v>521</v>
      </c>
      <c r="CE318" s="15" t="str">
        <f>VLOOKUP(CD318,'Axe 2 Règles de gestion'!$D$2:$F$121,3, FALSE)</f>
        <v>En cas de maintien, la position saisie doit être identique à la position de l'occurrence précédente.</v>
      </c>
      <c r="CF318" s="13"/>
      <c r="CG318" s="13"/>
    </row>
    <row r="319" spans="1:85" ht="165" x14ac:dyDescent="0.25">
      <c r="A319" s="13" t="s">
        <v>86</v>
      </c>
      <c r="B319" s="13" t="s">
        <v>87</v>
      </c>
      <c r="C319" s="14">
        <v>44006.450694444444</v>
      </c>
      <c r="D319" s="13" t="s">
        <v>88</v>
      </c>
      <c r="E319" s="15" t="s">
        <v>89</v>
      </c>
      <c r="F319" s="13" t="s">
        <v>90</v>
      </c>
      <c r="G319" s="15" t="s">
        <v>91</v>
      </c>
      <c r="H319" s="13" t="s">
        <v>511</v>
      </c>
      <c r="I319" s="15" t="s">
        <v>512</v>
      </c>
      <c r="J319" s="15" t="s">
        <v>513</v>
      </c>
      <c r="K319" s="15" t="s">
        <v>514</v>
      </c>
      <c r="L319" s="13" t="s">
        <v>515</v>
      </c>
      <c r="M319" s="15" t="s">
        <v>512</v>
      </c>
      <c r="N319" s="13" t="s">
        <v>98</v>
      </c>
      <c r="O319" s="15"/>
      <c r="P319" s="15"/>
      <c r="Q319" s="15" t="s">
        <v>206</v>
      </c>
      <c r="R319" s="13" t="s">
        <v>207</v>
      </c>
      <c r="S319" s="13" t="s">
        <v>103</v>
      </c>
      <c r="T319" s="13" t="s">
        <v>104</v>
      </c>
      <c r="U319" s="14">
        <v>40725</v>
      </c>
      <c r="V319" s="14">
        <v>43825</v>
      </c>
      <c r="W319" s="15" t="s">
        <v>529</v>
      </c>
      <c r="X319" s="13" t="s">
        <v>517</v>
      </c>
      <c r="Y319" s="15" t="str">
        <f>VLOOKUP(X319,'Axe 2 Règles de gestion'!$D$2:$F$121,3, FALSE)</f>
        <v>Si l'agent a demandé le renouvellement de son détachement dans le délai mais que l'organisme d'accueil a fait connaître son refus hors délai, il est maintenu en détachement jusqu'à ce qu'il soit réintégré à la première vacance dans son corps d'origine.</v>
      </c>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t="s">
        <v>126</v>
      </c>
      <c r="BC319" s="15" t="str">
        <f>VLOOKUP(BB319,'Axe 2 Règles de gestion'!$D$2:$F$121,3, FALSE)</f>
        <v>La date de début de position doit être antérieure ou égale à la date de fin prévisionnelle de position.</v>
      </c>
      <c r="BD319" s="13" t="s">
        <v>128</v>
      </c>
      <c r="BE319" s="15" t="str">
        <f>VLOOKUP(BD319,'Axe 2 Règles de gestion'!$D$2:$F$121,3, FALSE)</f>
        <v>La date de début de la position doit être postérieure ou égale à la date d'entrée dans la FPE ou dans la carrière militaire.</v>
      </c>
      <c r="BF319" s="13" t="s">
        <v>130</v>
      </c>
      <c r="BG319" s="15" t="str">
        <f>VLOOKUP(BF319,'Axe 2 Règles de gestion'!$D$2:$F$121,3, FALSE)</f>
        <v>La date de fin réelle de la position doit être antérieure à la date limite de départ à la retraite.</v>
      </c>
      <c r="BH319" s="13" t="s">
        <v>132</v>
      </c>
      <c r="BI319" s="15" t="str">
        <f>VLOOKUP(BH319,'Axe 2 Règles de gestion'!$D$2:$F$121,3, FALSE)</f>
        <v>La date de début de position doit être antérieure ou égale à la date de fin réelle de position.</v>
      </c>
      <c r="BJ319" s="13" t="s">
        <v>134</v>
      </c>
      <c r="BK319" s="15" t="str">
        <f>VLOOKUP(BJ319,'Axe 2 Règles de gestion'!$D$2:$F$121,3, FALSE)</f>
        <v>La date de fin prévisionnelle de la position doit être antérieure à la date limite de départ à la retraite.</v>
      </c>
      <c r="BL319" s="13" t="s">
        <v>138</v>
      </c>
      <c r="BM319" s="15" t="str">
        <f>VLOOKUP(BL319,'Axe 2 Règles de gestion'!$D$2:$F$121,3, FALSE)</f>
        <v>La date de début de position est à J+1 de la date de fin de position de l'occurrence précédente.</v>
      </c>
      <c r="BN319" s="13" t="s">
        <v>140</v>
      </c>
      <c r="BO319" s="15" t="str">
        <f>VLOOKUP(BN319,'Axe 2 Règles de gestion'!$D$2:$F$121,3, FALSE)</f>
        <v>Les champs "Type d'organisme d'origine", "Catégorie statutaire d'origine" et "Pays" de l'organisme d'origine doivent être renseignés.</v>
      </c>
      <c r="BP319" s="13" t="s">
        <v>142</v>
      </c>
      <c r="BQ319" s="15" t="str">
        <f>VLOOKUP(BP319,'Axe 2 Règles de gestion'!$D$2:$F$121,3, FALSE)</f>
        <v>Les champs "Ministère (ou institution de la République) d'origine", "Corps d'origine", "Grade d'origine", "Echelon d'origine" sont renseignés si le "Type d'organisme d'origine" est valorisé à FPE.</v>
      </c>
      <c r="BR319" s="13" t="s">
        <v>144</v>
      </c>
      <c r="BS319" s="15" t="str">
        <f>VLOOKUP(BR319,'Axe 2 Règles de gestion'!$D$2:$F$121,3, FALSE)</f>
        <v>Le champ "Organisme d'origine" doit être alimenté si le type d'organisme d'origine est égal à 'Autre organisme', 'Fonction publique d'un état de l'Union Européenne' ou 'Fonction publique Européenne'.</v>
      </c>
      <c r="BT319" s="13" t="s">
        <v>146</v>
      </c>
      <c r="BU319" s="15" t="str">
        <f>VLOOKUP(BT319,'Axe 2 Règles de gestion'!$D$2:$F$121,3, FALSE)</f>
        <v>Le champ "Code emploi statutaire FPT (NET)" est renseigné si le "Type d'organisme d'origine" est valorisé à FPT.</v>
      </c>
      <c r="BV319" s="13" t="s">
        <v>148</v>
      </c>
      <c r="BW319" s="15" t="str">
        <f>VLOOKUP(BV319,'Axe 2 Règles de gestion'!$D$2:$F$121,3, FALSE)</f>
        <v>Le champ "Code emploi statutaire FPH (NEH)" est renseigné si le "Type d'organisme d'origine" est valorisé à FPH.</v>
      </c>
      <c r="BX319" s="13" t="s">
        <v>519</v>
      </c>
      <c r="BY319" s="15" t="str">
        <f>VLOOKUP(BX319,'Axe 2 Règles de gestion'!$D$2:$F$121,3, FALSE)</f>
        <v>L'indicateur de renouvellement ne doit pas être positionné à Oui.</v>
      </c>
      <c r="BZ319" s="13" t="s">
        <v>521</v>
      </c>
      <c r="CA319" s="15" t="str">
        <f>VLOOKUP(BZ319,'Axe 2 Règles de gestion'!$D$2:$F$121,3, FALSE)</f>
        <v>En cas de maintien, la position saisie doit être identique à la position de l'occurrence précédente.</v>
      </c>
      <c r="CB319" s="13"/>
      <c r="CC319" s="15"/>
      <c r="CD319" s="13"/>
      <c r="CE319" s="15"/>
      <c r="CF319" s="13"/>
      <c r="CG319" s="13"/>
    </row>
    <row r="320" spans="1:85" ht="165" x14ac:dyDescent="0.25">
      <c r="A320" s="13" t="s">
        <v>86</v>
      </c>
      <c r="B320" s="13" t="s">
        <v>153</v>
      </c>
      <c r="C320" s="14">
        <v>44018.390972222223</v>
      </c>
      <c r="D320" s="13" t="s">
        <v>88</v>
      </c>
      <c r="E320" s="15" t="s">
        <v>89</v>
      </c>
      <c r="F320" s="13" t="s">
        <v>90</v>
      </c>
      <c r="G320" s="15" t="s">
        <v>91</v>
      </c>
      <c r="H320" s="13" t="s">
        <v>511</v>
      </c>
      <c r="I320" s="15" t="s">
        <v>512</v>
      </c>
      <c r="J320" s="15" t="s">
        <v>513</v>
      </c>
      <c r="K320" s="15" t="s">
        <v>514</v>
      </c>
      <c r="L320" s="13" t="s">
        <v>515</v>
      </c>
      <c r="M320" s="15" t="s">
        <v>512</v>
      </c>
      <c r="N320" s="13" t="s">
        <v>98</v>
      </c>
      <c r="O320" s="15"/>
      <c r="P320" s="15"/>
      <c r="Q320" s="15" t="s">
        <v>206</v>
      </c>
      <c r="R320" s="13" t="s">
        <v>207</v>
      </c>
      <c r="S320" s="13" t="s">
        <v>103</v>
      </c>
      <c r="T320" s="13" t="s">
        <v>104</v>
      </c>
      <c r="U320" s="14">
        <v>43826</v>
      </c>
      <c r="V320" s="14"/>
      <c r="W320" s="15" t="s">
        <v>530</v>
      </c>
      <c r="X320" s="13" t="s">
        <v>517</v>
      </c>
      <c r="Y320" s="15" t="str">
        <f>VLOOKUP(X320,'Axe 2 Règles de gestion'!$D$2:$F$121,3, FALSE)</f>
        <v>Si l'agent a demandé le renouvellement de son détachement dans le délai mais que l'organisme d'accueil a fait connaître son refus hors délai, il est maintenu en détachement jusqu'à ce qu'il soit réintégré à la première vacance dans son corps d'origine.</v>
      </c>
      <c r="Z320" s="13"/>
      <c r="AA320" s="15"/>
      <c r="AB320" s="13"/>
      <c r="AC320" s="15"/>
      <c r="AD320" s="13"/>
      <c r="AE320" s="15"/>
      <c r="AF320" s="13"/>
      <c r="AG320" s="15"/>
      <c r="AH320" s="13"/>
      <c r="AI320" s="15"/>
      <c r="AJ320" s="13"/>
      <c r="AK320" s="15"/>
      <c r="AL320" s="13"/>
      <c r="AM320" s="15"/>
      <c r="AN320" s="13"/>
      <c r="AO320" s="15"/>
      <c r="AP320" s="13" t="s">
        <v>524</v>
      </c>
      <c r="AQ320" s="15" t="str">
        <f>VLOOKUP(AP320,'Axe 2 Règles de gestion'!$D$2:$F$121,3, FALSE)</f>
        <v>La durée du maintien en détachement d'un agent détaché sur un emploi fonctionnel ne peut excéder 3 ans entre la date de début et la date de fin prévisionnelle.</v>
      </c>
      <c r="AR320" s="13" t="s">
        <v>526</v>
      </c>
      <c r="AS320" s="15" t="str">
        <f>VLOOKUP(AR320,'Axe 2 Règles de gestion'!$D$2:$F$121,3, FALSE)</f>
        <v>La durée du maintien en détachement d'un agent détaché sur un emploi fonctionnel ne peut excéder 3 ans entre la date de début et la date de fin réelle.</v>
      </c>
      <c r="AT320" s="13"/>
      <c r="AU320" s="15"/>
      <c r="AV320" s="13"/>
      <c r="AW320" s="15"/>
      <c r="AX320" s="13"/>
      <c r="AY320" s="15"/>
      <c r="AZ320" s="13"/>
      <c r="BA320" s="15"/>
      <c r="BB320" s="13" t="s">
        <v>126</v>
      </c>
      <c r="BC320" s="15" t="str">
        <f>VLOOKUP(BB320,'Axe 2 Règles de gestion'!$D$2:$F$121,3, FALSE)</f>
        <v>La date de début de position doit être antérieure ou égale à la date de fin prévisionnelle de position.</v>
      </c>
      <c r="BD320" s="13" t="s">
        <v>128</v>
      </c>
      <c r="BE320" s="15" t="str">
        <f>VLOOKUP(BD320,'Axe 2 Règles de gestion'!$D$2:$F$121,3, FALSE)</f>
        <v>La date de début de la position doit être postérieure ou égale à la date d'entrée dans la FPE ou dans la carrière militaire.</v>
      </c>
      <c r="BF320" s="13" t="s">
        <v>130</v>
      </c>
      <c r="BG320" s="15" t="str">
        <f>VLOOKUP(BF320,'Axe 2 Règles de gestion'!$D$2:$F$121,3, FALSE)</f>
        <v>La date de fin réelle de la position doit être antérieure à la date limite de départ à la retraite.</v>
      </c>
      <c r="BH320" s="13" t="s">
        <v>132</v>
      </c>
      <c r="BI320" s="15" t="str">
        <f>VLOOKUP(BH320,'Axe 2 Règles de gestion'!$D$2:$F$121,3, FALSE)</f>
        <v>La date de début de position doit être antérieure ou égale à la date de fin réelle de position.</v>
      </c>
      <c r="BJ320" s="13" t="s">
        <v>134</v>
      </c>
      <c r="BK320" s="15" t="str">
        <f>VLOOKUP(BJ320,'Axe 2 Règles de gestion'!$D$2:$F$121,3, FALSE)</f>
        <v>La date de fin prévisionnelle de la position doit être antérieure à la date limite de départ à la retraite.</v>
      </c>
      <c r="BL320" s="13" t="s">
        <v>138</v>
      </c>
      <c r="BM320" s="15" t="str">
        <f>VLOOKUP(BL320,'Axe 2 Règles de gestion'!$D$2:$F$121,3, FALSE)</f>
        <v>La date de début de position est à J+1 de la date de fin de position de l'occurrence précédente.</v>
      </c>
      <c r="BN320" s="13" t="s">
        <v>140</v>
      </c>
      <c r="BO320" s="15" t="str">
        <f>VLOOKUP(BN320,'Axe 2 Règles de gestion'!$D$2:$F$121,3, FALSE)</f>
        <v>Les champs "Type d'organisme d'origine", "Catégorie statutaire d'origine" et "Pays" de l'organisme d'origine doivent être renseignés.</v>
      </c>
      <c r="BP320" s="13" t="s">
        <v>142</v>
      </c>
      <c r="BQ320" s="15" t="str">
        <f>VLOOKUP(BP320,'Axe 2 Règles de gestion'!$D$2:$F$121,3, FALSE)</f>
        <v>Les champs "Ministère (ou institution de la République) d'origine", "Corps d'origine", "Grade d'origine", "Echelon d'origine" sont renseignés si le "Type d'organisme d'origine" est valorisé à FPE.</v>
      </c>
      <c r="BR320" s="13" t="s">
        <v>144</v>
      </c>
      <c r="BS320" s="15" t="str">
        <f>VLOOKUP(BR320,'Axe 2 Règles de gestion'!$D$2:$F$121,3, FALSE)</f>
        <v>Le champ "Organisme d'origine" doit être alimenté si le type d'organisme d'origine est égal à 'Autre organisme', 'Fonction publique d'un état de l'Union Européenne' ou 'Fonction publique Européenne'.</v>
      </c>
      <c r="BT320" s="13" t="s">
        <v>146</v>
      </c>
      <c r="BU320" s="15" t="str">
        <f>VLOOKUP(BT320,'Axe 2 Règles de gestion'!$D$2:$F$121,3, FALSE)</f>
        <v>Le champ "Code emploi statutaire FPT (NET)" est renseigné si le "Type d'organisme d'origine" est valorisé à FPT.</v>
      </c>
      <c r="BV320" s="13" t="s">
        <v>148</v>
      </c>
      <c r="BW320" s="15" t="str">
        <f>VLOOKUP(BV320,'Axe 2 Règles de gestion'!$D$2:$F$121,3, FALSE)</f>
        <v>Le champ "Code emploi statutaire FPH (NEH)" est renseigné si le "Type d'organisme d'origine" est valorisé à FPH.</v>
      </c>
      <c r="BX320" s="13" t="s">
        <v>519</v>
      </c>
      <c r="BY320" s="15" t="str">
        <f>VLOOKUP(BX320,'Axe 2 Règles de gestion'!$D$2:$F$121,3, FALSE)</f>
        <v>L'indicateur de renouvellement ne doit pas être positionné à Oui.</v>
      </c>
      <c r="BZ320" s="13" t="s">
        <v>521</v>
      </c>
      <c r="CA320" s="15" t="str">
        <f>VLOOKUP(BZ320,'Axe 2 Règles de gestion'!$D$2:$F$121,3, FALSE)</f>
        <v>En cas de maintien, la position saisie doit être identique à la position de l'occurrence précédente.</v>
      </c>
      <c r="CB320" s="13"/>
      <c r="CC320" s="15"/>
      <c r="CD320" s="13"/>
      <c r="CE320" s="15"/>
      <c r="CF320" s="13"/>
      <c r="CG320" s="13"/>
    </row>
    <row r="321" spans="1:85" ht="105" x14ac:dyDescent="0.25">
      <c r="A321" s="13" t="s">
        <v>202</v>
      </c>
      <c r="B321" s="13" t="s">
        <v>153</v>
      </c>
      <c r="C321" s="14">
        <v>43152.5</v>
      </c>
      <c r="D321" s="13" t="s">
        <v>88</v>
      </c>
      <c r="E321" s="15" t="s">
        <v>89</v>
      </c>
      <c r="F321" s="13" t="s">
        <v>90</v>
      </c>
      <c r="G321" s="15" t="s">
        <v>91</v>
      </c>
      <c r="H321" s="13" t="s">
        <v>511</v>
      </c>
      <c r="I321" s="15" t="s">
        <v>512</v>
      </c>
      <c r="J321" s="15" t="s">
        <v>513</v>
      </c>
      <c r="K321" s="15" t="s">
        <v>514</v>
      </c>
      <c r="L321" s="13" t="s">
        <v>515</v>
      </c>
      <c r="M321" s="15" t="s">
        <v>512</v>
      </c>
      <c r="N321" s="13" t="s">
        <v>98</v>
      </c>
      <c r="O321" s="15"/>
      <c r="P321" s="15"/>
      <c r="Q321" s="15" t="s">
        <v>208</v>
      </c>
      <c r="R321" s="13" t="s">
        <v>209</v>
      </c>
      <c r="S321" s="13" t="s">
        <v>103</v>
      </c>
      <c r="T321" s="13" t="s">
        <v>205</v>
      </c>
      <c r="U321" s="14">
        <v>40725</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c r="BO321" s="15"/>
      <c r="BP321" s="13"/>
      <c r="BQ321" s="15"/>
      <c r="BR321" s="13"/>
      <c r="BS321" s="15"/>
      <c r="BT321" s="13"/>
      <c r="BU321" s="15"/>
      <c r="BV321" s="13"/>
      <c r="BW321" s="15"/>
      <c r="BX321" s="13"/>
      <c r="BY321" s="15"/>
      <c r="BZ321" s="13"/>
      <c r="CA321" s="15"/>
      <c r="CB321" s="13"/>
      <c r="CC321" s="15"/>
      <c r="CD321" s="13"/>
      <c r="CE321" s="15"/>
      <c r="CF321" s="13"/>
      <c r="CG321" s="13"/>
    </row>
    <row r="322" spans="1:85" ht="165" x14ac:dyDescent="0.25">
      <c r="A322" s="13" t="s">
        <v>86</v>
      </c>
      <c r="B322" s="13" t="s">
        <v>87</v>
      </c>
      <c r="C322" s="14">
        <v>43850.552083333336</v>
      </c>
      <c r="D322" s="13" t="s">
        <v>88</v>
      </c>
      <c r="E322" s="15" t="s">
        <v>89</v>
      </c>
      <c r="F322" s="13" t="s">
        <v>90</v>
      </c>
      <c r="G322" s="15" t="s">
        <v>91</v>
      </c>
      <c r="H322" s="13" t="s">
        <v>531</v>
      </c>
      <c r="I322" s="15" t="s">
        <v>532</v>
      </c>
      <c r="J322" s="15" t="s">
        <v>533</v>
      </c>
      <c r="K322" s="15" t="s">
        <v>534</v>
      </c>
      <c r="L322" s="13" t="s">
        <v>535</v>
      </c>
      <c r="M322" s="15" t="s">
        <v>536</v>
      </c>
      <c r="N322" s="13" t="s">
        <v>98</v>
      </c>
      <c r="O322" s="15" t="s">
        <v>537</v>
      </c>
      <c r="P322" s="15" t="s">
        <v>429</v>
      </c>
      <c r="Q322" s="15" t="s">
        <v>101</v>
      </c>
      <c r="R322" s="13" t="s">
        <v>102</v>
      </c>
      <c r="S322" s="13" t="s">
        <v>103</v>
      </c>
      <c r="T322" s="13" t="s">
        <v>104</v>
      </c>
      <c r="U322" s="14">
        <v>42482</v>
      </c>
      <c r="V322" s="14"/>
      <c r="W322" s="15" t="s">
        <v>538</v>
      </c>
      <c r="X322" s="13" t="s">
        <v>539</v>
      </c>
      <c r="Y322" s="15" t="str">
        <f>VLOOKUP(X322,'Axe 2 Règles de gestion'!$D$2:$F$121,3, FALSE)</f>
        <v>L'agent faisant l'objet de poursuites pénales non rétabli dans ses fonctions dans un délai de 4 mois peut être placé provisoirement en détachement dans un autre corps ou cadre d'emplois pour occuper un emploi compatible avec les obligations judiciaires.</v>
      </c>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t="s">
        <v>126</v>
      </c>
      <c r="BC322" s="15" t="str">
        <f>VLOOKUP(BB322,'Axe 2 Règles de gestion'!$D$2:$F$121,3, FALSE)</f>
        <v>La date de début de position doit être antérieure ou égale à la date de fin prévisionnelle de position.</v>
      </c>
      <c r="BD322" s="13" t="s">
        <v>128</v>
      </c>
      <c r="BE322" s="15" t="str">
        <f>VLOOKUP(BD322,'Axe 2 Règles de gestion'!$D$2:$F$121,3, FALSE)</f>
        <v>La date de début de la position doit être postérieure ou égale à la date d'entrée dans la FPE ou dans la carrière militaire.</v>
      </c>
      <c r="BF322" s="13" t="s">
        <v>130</v>
      </c>
      <c r="BG322" s="15" t="str">
        <f>VLOOKUP(BF322,'Axe 2 Règles de gestion'!$D$2:$F$121,3, FALSE)</f>
        <v>La date de fin réelle de la position doit être antérieure à la date limite de départ à la retraite.</v>
      </c>
      <c r="BH322" s="13" t="s">
        <v>132</v>
      </c>
      <c r="BI322" s="15" t="str">
        <f>VLOOKUP(BH322,'Axe 2 Règles de gestion'!$D$2:$F$121,3, FALSE)</f>
        <v>La date de début de position doit être antérieure ou égale à la date de fin réelle de position.</v>
      </c>
      <c r="BJ322" s="13" t="s">
        <v>134</v>
      </c>
      <c r="BK322" s="15" t="str">
        <f>VLOOKUP(BJ322,'Axe 2 Règles de gestion'!$D$2:$F$121,3, FALSE)</f>
        <v>La date de fin prévisionnelle de la position doit être antérieure à la date limite de départ à la retraite.</v>
      </c>
      <c r="BL322" s="13" t="s">
        <v>136</v>
      </c>
      <c r="BM322" s="15" t="str">
        <f>VLOOKUP(BL322,'Axe 2 Règles de gestion'!$D$2:$F$121,3, FALSE)</f>
        <v>L'indicateur de carrière est sur la valeur "Accueil".</v>
      </c>
      <c r="BN322" s="13" t="s">
        <v>138</v>
      </c>
      <c r="BO322" s="15" t="str">
        <f>VLOOKUP(BN322,'Axe 2 Règles de gestion'!$D$2:$F$121,3, FALSE)</f>
        <v>La date de début de position est à J+1 de la date de fin de position de l'occurrence précédente.</v>
      </c>
      <c r="BP322" s="13" t="s">
        <v>140</v>
      </c>
      <c r="BQ322" s="15" t="str">
        <f>VLOOKUP(BP322,'Axe 2 Règles de gestion'!$D$2:$F$121,3, FALSE)</f>
        <v>Les champs "Type d'organisme d'origine", "Catégorie statutaire d'origine" et "Pays" de l'organisme d'origine doivent être renseignés.</v>
      </c>
      <c r="BR322" s="13" t="s">
        <v>142</v>
      </c>
      <c r="BS322" s="15" t="str">
        <f>VLOOKUP(BR322,'Axe 2 Règles de gestion'!$D$2:$F$121,3, FALSE)</f>
        <v>Les champs "Ministère (ou institution de la République) d'origine", "Corps d'origine", "Grade d'origine", "Echelon d'origine" sont renseignés si le "Type d'organisme d'origine" est valorisé à FPE.</v>
      </c>
      <c r="BT322" s="13" t="s">
        <v>144</v>
      </c>
      <c r="BU322" s="15" t="str">
        <f>VLOOKUP(BT322,'Axe 2 Règles de gestion'!$D$2:$F$121,3, FALSE)</f>
        <v>Le champ "Organisme d'origine" doit être alimenté si le type d'organisme d'origine est égal à 'Autre organisme', 'Fonction publique d'un état de l'Union Européenne' ou 'Fonction publique Européenne'.</v>
      </c>
      <c r="BV322" s="13" t="s">
        <v>146</v>
      </c>
      <c r="BW322" s="15" t="str">
        <f>VLOOKUP(BV322,'Axe 2 Règles de gestion'!$D$2:$F$121,3, FALSE)</f>
        <v>Le champ "Code emploi statutaire FPT (NET)" est renseigné si le "Type d'organisme d'origine" est valorisé à FPT.</v>
      </c>
      <c r="BX322" s="13" t="s">
        <v>148</v>
      </c>
      <c r="BY322" s="15" t="str">
        <f>VLOOKUP(BX322,'Axe 2 Règles de gestion'!$D$2:$F$121,3, FALSE)</f>
        <v>Le champ "Code emploi statutaire FPH (NEH)" est renseigné si le "Type d'organisme d'origine" est valorisé à FPH.</v>
      </c>
      <c r="BZ322" s="13"/>
      <c r="CA322" s="15"/>
      <c r="CB322" s="13"/>
      <c r="CC322" s="15"/>
      <c r="CD322" s="13"/>
      <c r="CE322" s="15"/>
      <c r="CF322" s="13"/>
      <c r="CG322" s="13"/>
    </row>
    <row r="323" spans="1:85" ht="135" x14ac:dyDescent="0.25">
      <c r="A323" s="13" t="s">
        <v>86</v>
      </c>
      <c r="B323" s="13" t="s">
        <v>87</v>
      </c>
      <c r="C323" s="14">
        <v>43850.552083333336</v>
      </c>
      <c r="D323" s="13" t="s">
        <v>88</v>
      </c>
      <c r="E323" s="15" t="s">
        <v>89</v>
      </c>
      <c r="F323" s="13" t="s">
        <v>90</v>
      </c>
      <c r="G323" s="15" t="s">
        <v>91</v>
      </c>
      <c r="H323" s="13" t="s">
        <v>531</v>
      </c>
      <c r="I323" s="15" t="s">
        <v>532</v>
      </c>
      <c r="J323" s="15" t="s">
        <v>533</v>
      </c>
      <c r="K323" s="15" t="s">
        <v>534</v>
      </c>
      <c r="L323" s="13" t="s">
        <v>541</v>
      </c>
      <c r="M323" s="15" t="s">
        <v>542</v>
      </c>
      <c r="N323" s="13" t="s">
        <v>188</v>
      </c>
      <c r="O323" s="15" t="s">
        <v>436</v>
      </c>
      <c r="P323" s="15" t="s">
        <v>437</v>
      </c>
      <c r="Q323" s="15" t="s">
        <v>101</v>
      </c>
      <c r="R323" s="13" t="s">
        <v>102</v>
      </c>
      <c r="S323" s="13" t="s">
        <v>103</v>
      </c>
      <c r="T323" s="13" t="s">
        <v>104</v>
      </c>
      <c r="U323" s="14">
        <v>42482</v>
      </c>
      <c r="V323" s="14"/>
      <c r="W323" s="15" t="s">
        <v>543</v>
      </c>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t="s">
        <v>126</v>
      </c>
      <c r="BC323" s="15" t="str">
        <f>VLOOKUP(BB323,'Axe 2 Règles de gestion'!$D$2:$F$121,3, FALSE)</f>
        <v>La date de début de position doit être antérieure ou égale à la date de fin prévisionnelle de position.</v>
      </c>
      <c r="BD323" s="13" t="s">
        <v>130</v>
      </c>
      <c r="BE323" s="15" t="str">
        <f>VLOOKUP(BD323,'Axe 2 Règles de gestion'!$D$2:$F$121,3, FALSE)</f>
        <v>La date de fin réelle de la position doit être antérieure à la date limite de départ à la retraite.</v>
      </c>
      <c r="BF323" s="13" t="s">
        <v>132</v>
      </c>
      <c r="BG323" s="15" t="str">
        <f>VLOOKUP(BF323,'Axe 2 Règles de gestion'!$D$2:$F$121,3, FALSE)</f>
        <v>La date de début de position doit être antérieure ou égale à la date de fin réelle de position.</v>
      </c>
      <c r="BH323" s="13" t="s">
        <v>134</v>
      </c>
      <c r="BI323" s="15" t="str">
        <f>VLOOKUP(BH323,'Axe 2 Règles de gestion'!$D$2:$F$121,3, FALSE)</f>
        <v>La date de fin prévisionnelle de la position doit être antérieure à la date limite de départ à la retraite.</v>
      </c>
      <c r="BJ323" s="13" t="s">
        <v>140</v>
      </c>
      <c r="BK323" s="15" t="str">
        <f>VLOOKUP(BJ323,'Axe 2 Règles de gestion'!$D$2:$F$121,3, FALSE)</f>
        <v>Les champs "Type d'organisme d'origine", "Catégorie statutaire d'origine" et "Pays" de l'organisme d'origine doivent être renseignés.</v>
      </c>
      <c r="BL323" s="13" t="s">
        <v>142</v>
      </c>
      <c r="BM323" s="15" t="str">
        <f>VLOOKUP(BL323,'Axe 2 Règles de gestion'!$D$2:$F$121,3, FALSE)</f>
        <v>Les champs "Ministère (ou institution de la République) d'origine", "Corps d'origine", "Grade d'origine", "Echelon d'origine" sont renseignés si le "Type d'organisme d'origine" est valorisé à FPE.</v>
      </c>
      <c r="BN323" s="13" t="s">
        <v>144</v>
      </c>
      <c r="BO323" s="15" t="str">
        <f>VLOOKUP(BN323,'Axe 2 Règles de gestion'!$D$2:$F$121,3, FALSE)</f>
        <v>Le champ "Organisme d'origine" doit être alimenté si le type d'organisme d'origine est égal à 'Autre organisme', 'Fonction publique d'un état de l'Union Européenne' ou 'Fonction publique Européenne'.</v>
      </c>
      <c r="BP323" s="13" t="s">
        <v>146</v>
      </c>
      <c r="BQ323" s="15" t="str">
        <f>VLOOKUP(BP323,'Axe 2 Règles de gestion'!$D$2:$F$121,3, FALSE)</f>
        <v>Le champ "Code emploi statutaire FPT (NET)" est renseigné si le "Type d'organisme d'origine" est valorisé à FPT.</v>
      </c>
      <c r="BR323" s="13" t="s">
        <v>148</v>
      </c>
      <c r="BS323" s="15" t="str">
        <f>VLOOKUP(BR323,'Axe 2 Règles de gestion'!$D$2:$F$121,3, FALSE)</f>
        <v>Le champ "Code emploi statutaire FPH (NEH)" est renseigné si le "Type d'organisme d'origine" est valorisé à FPH.</v>
      </c>
      <c r="BT323" s="13"/>
      <c r="BU323" s="15"/>
      <c r="BV323" s="13"/>
      <c r="BW323" s="15"/>
      <c r="BX323" s="13"/>
      <c r="BY323" s="15"/>
      <c r="BZ323" s="13"/>
      <c r="CA323" s="15"/>
      <c r="CB323" s="13"/>
      <c r="CC323" s="15"/>
      <c r="CD323" s="13"/>
      <c r="CE323" s="15"/>
      <c r="CF323" s="13"/>
      <c r="CG323" s="13"/>
    </row>
    <row r="324" spans="1:85" ht="120" x14ac:dyDescent="0.25">
      <c r="A324" s="13" t="s">
        <v>202</v>
      </c>
      <c r="B324" s="13" t="s">
        <v>153</v>
      </c>
      <c r="C324" s="14">
        <v>43152.5</v>
      </c>
      <c r="D324" s="13" t="s">
        <v>88</v>
      </c>
      <c r="E324" s="15" t="s">
        <v>89</v>
      </c>
      <c r="F324" s="13" t="s">
        <v>90</v>
      </c>
      <c r="G324" s="15" t="s">
        <v>91</v>
      </c>
      <c r="H324" s="13" t="s">
        <v>531</v>
      </c>
      <c r="I324" s="15" t="s">
        <v>532</v>
      </c>
      <c r="J324" s="15" t="s">
        <v>533</v>
      </c>
      <c r="K324" s="15" t="s">
        <v>534</v>
      </c>
      <c r="L324" s="13" t="s">
        <v>535</v>
      </c>
      <c r="M324" s="15" t="s">
        <v>536</v>
      </c>
      <c r="N324" s="13" t="s">
        <v>98</v>
      </c>
      <c r="O324" s="15" t="s">
        <v>537</v>
      </c>
      <c r="P324" s="15" t="s">
        <v>429</v>
      </c>
      <c r="Q324" s="15" t="s">
        <v>203</v>
      </c>
      <c r="R324" s="13" t="s">
        <v>204</v>
      </c>
      <c r="S324" s="13" t="s">
        <v>103</v>
      </c>
      <c r="T324" s="13" t="s">
        <v>205</v>
      </c>
      <c r="U324" s="14">
        <v>40725</v>
      </c>
      <c r="V324" s="14"/>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5"/>
      <c r="BZ324" s="13"/>
      <c r="CA324" s="15"/>
      <c r="CB324" s="13"/>
      <c r="CC324" s="15"/>
      <c r="CD324" s="13"/>
      <c r="CE324" s="15"/>
      <c r="CF324" s="13"/>
      <c r="CG324" s="13"/>
    </row>
    <row r="325" spans="1:85" ht="120" x14ac:dyDescent="0.25">
      <c r="A325" s="13" t="s">
        <v>202</v>
      </c>
      <c r="B325" s="13" t="s">
        <v>153</v>
      </c>
      <c r="C325" s="14">
        <v>43152.5</v>
      </c>
      <c r="D325" s="13" t="s">
        <v>88</v>
      </c>
      <c r="E325" s="15" t="s">
        <v>89</v>
      </c>
      <c r="F325" s="13" t="s">
        <v>90</v>
      </c>
      <c r="G325" s="15" t="s">
        <v>91</v>
      </c>
      <c r="H325" s="13" t="s">
        <v>531</v>
      </c>
      <c r="I325" s="15" t="s">
        <v>532</v>
      </c>
      <c r="J325" s="15" t="s">
        <v>533</v>
      </c>
      <c r="K325" s="15" t="s">
        <v>534</v>
      </c>
      <c r="L325" s="13" t="s">
        <v>541</v>
      </c>
      <c r="M325" s="15" t="s">
        <v>542</v>
      </c>
      <c r="N325" s="13" t="s">
        <v>188</v>
      </c>
      <c r="O325" s="15" t="s">
        <v>436</v>
      </c>
      <c r="P325" s="15" t="s">
        <v>437</v>
      </c>
      <c r="Q325" s="15" t="s">
        <v>203</v>
      </c>
      <c r="R325" s="13" t="s">
        <v>204</v>
      </c>
      <c r="S325" s="13" t="s">
        <v>103</v>
      </c>
      <c r="T325" s="13" t="s">
        <v>205</v>
      </c>
      <c r="U325" s="14">
        <v>40725</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c r="CE325" s="15"/>
      <c r="CF325" s="13"/>
      <c r="CG325" s="13"/>
    </row>
    <row r="326" spans="1:85" ht="120" x14ac:dyDescent="0.25">
      <c r="A326" s="13" t="s">
        <v>202</v>
      </c>
      <c r="B326" s="13" t="s">
        <v>153</v>
      </c>
      <c r="C326" s="14">
        <v>43152.5</v>
      </c>
      <c r="D326" s="13" t="s">
        <v>88</v>
      </c>
      <c r="E326" s="15" t="s">
        <v>89</v>
      </c>
      <c r="F326" s="13" t="s">
        <v>90</v>
      </c>
      <c r="G326" s="15" t="s">
        <v>91</v>
      </c>
      <c r="H326" s="13" t="s">
        <v>531</v>
      </c>
      <c r="I326" s="15" t="s">
        <v>532</v>
      </c>
      <c r="J326" s="15" t="s">
        <v>533</v>
      </c>
      <c r="K326" s="15" t="s">
        <v>534</v>
      </c>
      <c r="L326" s="13" t="s">
        <v>535</v>
      </c>
      <c r="M326" s="15" t="s">
        <v>536</v>
      </c>
      <c r="N326" s="13" t="s">
        <v>98</v>
      </c>
      <c r="O326" s="15" t="s">
        <v>537</v>
      </c>
      <c r="P326" s="15" t="s">
        <v>429</v>
      </c>
      <c r="Q326" s="15" t="s">
        <v>206</v>
      </c>
      <c r="R326" s="13" t="s">
        <v>207</v>
      </c>
      <c r="S326" s="13" t="s">
        <v>103</v>
      </c>
      <c r="T326" s="13" t="s">
        <v>205</v>
      </c>
      <c r="U326" s="14">
        <v>40725</v>
      </c>
      <c r="V326" s="14"/>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5"/>
      <c r="BZ326" s="13"/>
      <c r="CA326" s="15"/>
      <c r="CB326" s="13"/>
      <c r="CC326" s="15"/>
      <c r="CD326" s="13"/>
      <c r="CE326" s="15"/>
      <c r="CF326" s="13"/>
      <c r="CG326" s="13"/>
    </row>
    <row r="327" spans="1:85" ht="120" x14ac:dyDescent="0.25">
      <c r="A327" s="13" t="s">
        <v>202</v>
      </c>
      <c r="B327" s="13" t="s">
        <v>153</v>
      </c>
      <c r="C327" s="14">
        <v>43152.5</v>
      </c>
      <c r="D327" s="13" t="s">
        <v>88</v>
      </c>
      <c r="E327" s="15" t="s">
        <v>89</v>
      </c>
      <c r="F327" s="13" t="s">
        <v>90</v>
      </c>
      <c r="G327" s="15" t="s">
        <v>91</v>
      </c>
      <c r="H327" s="13" t="s">
        <v>531</v>
      </c>
      <c r="I327" s="15" t="s">
        <v>532</v>
      </c>
      <c r="J327" s="15" t="s">
        <v>533</v>
      </c>
      <c r="K327" s="15" t="s">
        <v>534</v>
      </c>
      <c r="L327" s="13" t="s">
        <v>541</v>
      </c>
      <c r="M327" s="15" t="s">
        <v>542</v>
      </c>
      <c r="N327" s="13" t="s">
        <v>188</v>
      </c>
      <c r="O327" s="15" t="s">
        <v>436</v>
      </c>
      <c r="P327" s="15" t="s">
        <v>437</v>
      </c>
      <c r="Q327" s="15" t="s">
        <v>206</v>
      </c>
      <c r="R327" s="13" t="s">
        <v>207</v>
      </c>
      <c r="S327" s="13" t="s">
        <v>103</v>
      </c>
      <c r="T327" s="13" t="s">
        <v>205</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3"/>
    </row>
    <row r="328" spans="1:85" ht="120" x14ac:dyDescent="0.25">
      <c r="A328" s="13" t="s">
        <v>202</v>
      </c>
      <c r="B328" s="13" t="s">
        <v>153</v>
      </c>
      <c r="C328" s="14">
        <v>43152.5</v>
      </c>
      <c r="D328" s="13" t="s">
        <v>88</v>
      </c>
      <c r="E328" s="15" t="s">
        <v>89</v>
      </c>
      <c r="F328" s="13" t="s">
        <v>90</v>
      </c>
      <c r="G328" s="15" t="s">
        <v>91</v>
      </c>
      <c r="H328" s="13" t="s">
        <v>531</v>
      </c>
      <c r="I328" s="15" t="s">
        <v>532</v>
      </c>
      <c r="J328" s="15" t="s">
        <v>533</v>
      </c>
      <c r="K328" s="15" t="s">
        <v>534</v>
      </c>
      <c r="L328" s="13" t="s">
        <v>535</v>
      </c>
      <c r="M328" s="15" t="s">
        <v>536</v>
      </c>
      <c r="N328" s="13" t="s">
        <v>98</v>
      </c>
      <c r="O328" s="15" t="s">
        <v>537</v>
      </c>
      <c r="P328" s="15" t="s">
        <v>429</v>
      </c>
      <c r="Q328" s="15" t="s">
        <v>208</v>
      </c>
      <c r="R328" s="13" t="s">
        <v>209</v>
      </c>
      <c r="S328" s="13" t="s">
        <v>103</v>
      </c>
      <c r="T328" s="13" t="s">
        <v>205</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3"/>
    </row>
    <row r="329" spans="1:85" ht="120" x14ac:dyDescent="0.25">
      <c r="A329" s="13" t="s">
        <v>202</v>
      </c>
      <c r="B329" s="13" t="s">
        <v>153</v>
      </c>
      <c r="C329" s="14">
        <v>43152.5</v>
      </c>
      <c r="D329" s="13" t="s">
        <v>88</v>
      </c>
      <c r="E329" s="15" t="s">
        <v>89</v>
      </c>
      <c r="F329" s="13" t="s">
        <v>90</v>
      </c>
      <c r="G329" s="15" t="s">
        <v>91</v>
      </c>
      <c r="H329" s="13" t="s">
        <v>531</v>
      </c>
      <c r="I329" s="15" t="s">
        <v>532</v>
      </c>
      <c r="J329" s="15" t="s">
        <v>533</v>
      </c>
      <c r="K329" s="15" t="s">
        <v>534</v>
      </c>
      <c r="L329" s="13" t="s">
        <v>541</v>
      </c>
      <c r="M329" s="15" t="s">
        <v>542</v>
      </c>
      <c r="N329" s="13" t="s">
        <v>188</v>
      </c>
      <c r="O329" s="15" t="s">
        <v>436</v>
      </c>
      <c r="P329" s="15" t="s">
        <v>437</v>
      </c>
      <c r="Q329" s="15" t="s">
        <v>208</v>
      </c>
      <c r="R329" s="13" t="s">
        <v>209</v>
      </c>
      <c r="S329" s="13" t="s">
        <v>103</v>
      </c>
      <c r="T329" s="13" t="s">
        <v>205</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3"/>
    </row>
    <row r="330" spans="1:85" ht="165" x14ac:dyDescent="0.25">
      <c r="A330" s="13" t="s">
        <v>86</v>
      </c>
      <c r="B330" s="13" t="s">
        <v>87</v>
      </c>
      <c r="C330" s="14">
        <v>43850.552083333336</v>
      </c>
      <c r="D330" s="13" t="s">
        <v>88</v>
      </c>
      <c r="E330" s="15" t="s">
        <v>89</v>
      </c>
      <c r="F330" s="13" t="s">
        <v>90</v>
      </c>
      <c r="G330" s="15" t="s">
        <v>91</v>
      </c>
      <c r="H330" s="13" t="s">
        <v>544</v>
      </c>
      <c r="I330" s="15" t="s">
        <v>545</v>
      </c>
      <c r="J330" s="15" t="s">
        <v>546</v>
      </c>
      <c r="K330" s="15" t="s">
        <v>547</v>
      </c>
      <c r="L330" s="13" t="s">
        <v>548</v>
      </c>
      <c r="M330" s="15" t="s">
        <v>549</v>
      </c>
      <c r="N330" s="13" t="s">
        <v>98</v>
      </c>
      <c r="O330" s="15" t="s">
        <v>537</v>
      </c>
      <c r="P330" s="15" t="s">
        <v>429</v>
      </c>
      <c r="Q330" s="15" t="s">
        <v>101</v>
      </c>
      <c r="R330" s="13" t="s">
        <v>102</v>
      </c>
      <c r="S330" s="13" t="s">
        <v>103</v>
      </c>
      <c r="T330" s="13" t="s">
        <v>104</v>
      </c>
      <c r="U330" s="14">
        <v>42482</v>
      </c>
      <c r="V330" s="14"/>
      <c r="W330" s="15" t="s">
        <v>538</v>
      </c>
      <c r="X330" s="13" t="s">
        <v>539</v>
      </c>
      <c r="Y330" s="15" t="str">
        <f>VLOOKUP(X330,'Axe 2 Règles de gestion'!$D$2:$F$121,3, FALSE)</f>
        <v>L'agent faisant l'objet de poursuites pénales non rétabli dans ses fonctions dans un délai de 4 mois peut être placé provisoirement en détachement dans un autre corps ou cadre d'emplois pour occuper un emploi compatible avec les obligations judiciaires.</v>
      </c>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t="s">
        <v>126</v>
      </c>
      <c r="BC330" s="15" t="str">
        <f>VLOOKUP(BB330,'Axe 2 Règles de gestion'!$D$2:$F$121,3, FALSE)</f>
        <v>La date de début de position doit être antérieure ou égale à la date de fin prévisionnelle de position.</v>
      </c>
      <c r="BD330" s="13" t="s">
        <v>128</v>
      </c>
      <c r="BE330" s="15" t="str">
        <f>VLOOKUP(BD330,'Axe 2 Règles de gestion'!$D$2:$F$121,3, FALSE)</f>
        <v>La date de début de la position doit être postérieure ou égale à la date d'entrée dans la FPE ou dans la carrière militaire.</v>
      </c>
      <c r="BF330" s="13" t="s">
        <v>130</v>
      </c>
      <c r="BG330" s="15" t="str">
        <f>VLOOKUP(BF330,'Axe 2 Règles de gestion'!$D$2:$F$121,3, FALSE)</f>
        <v>La date de fin réelle de la position doit être antérieure à la date limite de départ à la retraite.</v>
      </c>
      <c r="BH330" s="13" t="s">
        <v>132</v>
      </c>
      <c r="BI330" s="15" t="str">
        <f>VLOOKUP(BH330,'Axe 2 Règles de gestion'!$D$2:$F$121,3, FALSE)</f>
        <v>La date de début de position doit être antérieure ou égale à la date de fin réelle de position.</v>
      </c>
      <c r="BJ330" s="13" t="s">
        <v>134</v>
      </c>
      <c r="BK330" s="15" t="str">
        <f>VLOOKUP(BJ330,'Axe 2 Règles de gestion'!$D$2:$F$121,3, FALSE)</f>
        <v>La date de fin prévisionnelle de la position doit être antérieure à la date limite de départ à la retraite.</v>
      </c>
      <c r="BL330" s="13" t="s">
        <v>136</v>
      </c>
      <c r="BM330" s="15" t="str">
        <f>VLOOKUP(BL330,'Axe 2 Règles de gestion'!$D$2:$F$121,3, FALSE)</f>
        <v>L'indicateur de carrière est sur la valeur "Accueil".</v>
      </c>
      <c r="BN330" s="13" t="s">
        <v>138</v>
      </c>
      <c r="BO330" s="15" t="str">
        <f>VLOOKUP(BN330,'Axe 2 Règles de gestion'!$D$2:$F$121,3, FALSE)</f>
        <v>La date de début de position est à J+1 de la date de fin de position de l'occurrence précédente.</v>
      </c>
      <c r="BP330" s="13" t="s">
        <v>140</v>
      </c>
      <c r="BQ330" s="15" t="str">
        <f>VLOOKUP(BP330,'Axe 2 Règles de gestion'!$D$2:$F$121,3, FALSE)</f>
        <v>Les champs "Type d'organisme d'origine", "Catégorie statutaire d'origine" et "Pays" de l'organisme d'origine doivent être renseignés.</v>
      </c>
      <c r="BR330" s="13" t="s">
        <v>142</v>
      </c>
      <c r="BS330" s="15" t="str">
        <f>VLOOKUP(BR330,'Axe 2 Règles de gestion'!$D$2:$F$121,3, FALSE)</f>
        <v>Les champs "Ministère (ou institution de la République) d'origine", "Corps d'origine", "Grade d'origine", "Echelon d'origine" sont renseignés si le "Type d'organisme d'origine" est valorisé à FPE.</v>
      </c>
      <c r="BT330" s="13" t="s">
        <v>144</v>
      </c>
      <c r="BU330" s="15" t="str">
        <f>VLOOKUP(BT330,'Axe 2 Règles de gestion'!$D$2:$F$121,3, FALSE)</f>
        <v>Le champ "Organisme d'origine" doit être alimenté si le type d'organisme d'origine est égal à 'Autre organisme', 'Fonction publique d'un état de l'Union Européenne' ou 'Fonction publique Européenne'.</v>
      </c>
      <c r="BV330" s="13" t="s">
        <v>146</v>
      </c>
      <c r="BW330" s="15" t="str">
        <f>VLOOKUP(BV330,'Axe 2 Règles de gestion'!$D$2:$F$121,3, FALSE)</f>
        <v>Le champ "Code emploi statutaire FPT (NET)" est renseigné si le "Type d'organisme d'origine" est valorisé à FPT.</v>
      </c>
      <c r="BX330" s="13" t="s">
        <v>148</v>
      </c>
      <c r="BY330" s="15" t="str">
        <f>VLOOKUP(BX330,'Axe 2 Règles de gestion'!$D$2:$F$121,3, FALSE)</f>
        <v>Le champ "Code emploi statutaire FPH (NEH)" est renseigné si le "Type d'organisme d'origine" est valorisé à FPH.</v>
      </c>
      <c r="BZ330" s="13"/>
      <c r="CA330" s="15"/>
      <c r="CB330" s="13"/>
      <c r="CC330" s="15"/>
      <c r="CD330" s="13"/>
      <c r="CE330" s="15"/>
      <c r="CF330" s="13"/>
      <c r="CG330" s="13"/>
    </row>
    <row r="331" spans="1:85" ht="135" x14ac:dyDescent="0.25">
      <c r="A331" s="13" t="s">
        <v>86</v>
      </c>
      <c r="B331" s="13" t="s">
        <v>87</v>
      </c>
      <c r="C331" s="14">
        <v>43850.552083333336</v>
      </c>
      <c r="D331" s="13" t="s">
        <v>88</v>
      </c>
      <c r="E331" s="15" t="s">
        <v>89</v>
      </c>
      <c r="F331" s="13" t="s">
        <v>90</v>
      </c>
      <c r="G331" s="15" t="s">
        <v>91</v>
      </c>
      <c r="H331" s="13" t="s">
        <v>544</v>
      </c>
      <c r="I331" s="15" t="s">
        <v>545</v>
      </c>
      <c r="J331" s="15" t="s">
        <v>546</v>
      </c>
      <c r="K331" s="15" t="s">
        <v>547</v>
      </c>
      <c r="L331" s="13" t="s">
        <v>550</v>
      </c>
      <c r="M331" s="15" t="s">
        <v>551</v>
      </c>
      <c r="N331" s="13" t="s">
        <v>188</v>
      </c>
      <c r="O331" s="15" t="s">
        <v>436</v>
      </c>
      <c r="P331" s="15" t="s">
        <v>437</v>
      </c>
      <c r="Q331" s="15" t="s">
        <v>101</v>
      </c>
      <c r="R331" s="13" t="s">
        <v>102</v>
      </c>
      <c r="S331" s="13" t="s">
        <v>103</v>
      </c>
      <c r="T331" s="13" t="s">
        <v>104</v>
      </c>
      <c r="U331" s="14">
        <v>42482</v>
      </c>
      <c r="V331" s="14"/>
      <c r="W331" s="15" t="s">
        <v>543</v>
      </c>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t="s">
        <v>126</v>
      </c>
      <c r="BC331" s="15" t="str">
        <f>VLOOKUP(BB331,'Axe 2 Règles de gestion'!$D$2:$F$121,3, FALSE)</f>
        <v>La date de début de position doit être antérieure ou égale à la date de fin prévisionnelle de position.</v>
      </c>
      <c r="BD331" s="13" t="s">
        <v>130</v>
      </c>
      <c r="BE331" s="15" t="str">
        <f>VLOOKUP(BD331,'Axe 2 Règles de gestion'!$D$2:$F$121,3, FALSE)</f>
        <v>La date de fin réelle de la position doit être antérieure à la date limite de départ à la retraite.</v>
      </c>
      <c r="BF331" s="13" t="s">
        <v>132</v>
      </c>
      <c r="BG331" s="15" t="str">
        <f>VLOOKUP(BF331,'Axe 2 Règles de gestion'!$D$2:$F$121,3, FALSE)</f>
        <v>La date de début de position doit être antérieure ou égale à la date de fin réelle de position.</v>
      </c>
      <c r="BH331" s="13" t="s">
        <v>134</v>
      </c>
      <c r="BI331" s="15" t="str">
        <f>VLOOKUP(BH331,'Axe 2 Règles de gestion'!$D$2:$F$121,3, FALSE)</f>
        <v>La date de fin prévisionnelle de la position doit être antérieure à la date limite de départ à la retraite.</v>
      </c>
      <c r="BJ331" s="13" t="s">
        <v>140</v>
      </c>
      <c r="BK331" s="15" t="str">
        <f>VLOOKUP(BJ331,'Axe 2 Règles de gestion'!$D$2:$F$121,3, FALSE)</f>
        <v>Les champs "Type d'organisme d'origine", "Catégorie statutaire d'origine" et "Pays" de l'organisme d'origine doivent être renseignés.</v>
      </c>
      <c r="BL331" s="13" t="s">
        <v>142</v>
      </c>
      <c r="BM331" s="15" t="str">
        <f>VLOOKUP(BL331,'Axe 2 Règles de gestion'!$D$2:$F$121,3, FALSE)</f>
        <v>Les champs "Ministère (ou institution de la République) d'origine", "Corps d'origine", "Grade d'origine", "Echelon d'origine" sont renseignés si le "Type d'organisme d'origine" est valorisé à FPE.</v>
      </c>
      <c r="BN331" s="13" t="s">
        <v>144</v>
      </c>
      <c r="BO331" s="15" t="str">
        <f>VLOOKUP(BN331,'Axe 2 Règles de gestion'!$D$2:$F$121,3, FALSE)</f>
        <v>Le champ "Organisme d'origine" doit être alimenté si le type d'organisme d'origine est égal à 'Autre organisme', 'Fonction publique d'un état de l'Union Européenne' ou 'Fonction publique Européenne'.</v>
      </c>
      <c r="BP331" s="13" t="s">
        <v>146</v>
      </c>
      <c r="BQ331" s="15" t="str">
        <f>VLOOKUP(BP331,'Axe 2 Règles de gestion'!$D$2:$F$121,3, FALSE)</f>
        <v>Le champ "Code emploi statutaire FPT (NET)" est renseigné si le "Type d'organisme d'origine" est valorisé à FPT.</v>
      </c>
      <c r="BR331" s="13" t="s">
        <v>148</v>
      </c>
      <c r="BS331" s="15" t="str">
        <f>VLOOKUP(BR331,'Axe 2 Règles de gestion'!$D$2:$F$121,3, FALSE)</f>
        <v>Le champ "Code emploi statutaire FPH (NEH)" est renseigné si le "Type d'organisme d'origine" est valorisé à FPH.</v>
      </c>
      <c r="BT331" s="13"/>
      <c r="BU331" s="15"/>
      <c r="BV331" s="13"/>
      <c r="BW331" s="15"/>
      <c r="BX331" s="13"/>
      <c r="BY331" s="15"/>
      <c r="BZ331" s="13"/>
      <c r="CA331" s="15"/>
      <c r="CB331" s="13"/>
      <c r="CC331" s="15"/>
      <c r="CD331" s="13"/>
      <c r="CE331" s="15"/>
      <c r="CF331" s="13"/>
      <c r="CG331" s="13"/>
    </row>
    <row r="332" spans="1:85" ht="135" x14ac:dyDescent="0.25">
      <c r="A332" s="13" t="s">
        <v>202</v>
      </c>
      <c r="B332" s="13" t="s">
        <v>153</v>
      </c>
      <c r="C332" s="14">
        <v>43152.5</v>
      </c>
      <c r="D332" s="13" t="s">
        <v>88</v>
      </c>
      <c r="E332" s="15" t="s">
        <v>89</v>
      </c>
      <c r="F332" s="13" t="s">
        <v>90</v>
      </c>
      <c r="G332" s="15" t="s">
        <v>91</v>
      </c>
      <c r="H332" s="13" t="s">
        <v>544</v>
      </c>
      <c r="I332" s="15" t="s">
        <v>545</v>
      </c>
      <c r="J332" s="15" t="s">
        <v>546</v>
      </c>
      <c r="K332" s="15" t="s">
        <v>547</v>
      </c>
      <c r="L332" s="13" t="s">
        <v>548</v>
      </c>
      <c r="M332" s="15" t="s">
        <v>549</v>
      </c>
      <c r="N332" s="13" t="s">
        <v>98</v>
      </c>
      <c r="O332" s="15" t="s">
        <v>537</v>
      </c>
      <c r="P332" s="15" t="s">
        <v>429</v>
      </c>
      <c r="Q332" s="15" t="s">
        <v>203</v>
      </c>
      <c r="R332" s="13" t="s">
        <v>204</v>
      </c>
      <c r="S332" s="13" t="s">
        <v>103</v>
      </c>
      <c r="T332" s="13" t="s">
        <v>205</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3"/>
    </row>
    <row r="333" spans="1:85" ht="135" x14ac:dyDescent="0.25">
      <c r="A333" s="13" t="s">
        <v>202</v>
      </c>
      <c r="B333" s="13" t="s">
        <v>153</v>
      </c>
      <c r="C333" s="14">
        <v>43152.5</v>
      </c>
      <c r="D333" s="13" t="s">
        <v>88</v>
      </c>
      <c r="E333" s="15" t="s">
        <v>89</v>
      </c>
      <c r="F333" s="13" t="s">
        <v>90</v>
      </c>
      <c r="G333" s="15" t="s">
        <v>91</v>
      </c>
      <c r="H333" s="13" t="s">
        <v>544</v>
      </c>
      <c r="I333" s="15" t="s">
        <v>545</v>
      </c>
      <c r="J333" s="15" t="s">
        <v>546</v>
      </c>
      <c r="K333" s="15" t="s">
        <v>547</v>
      </c>
      <c r="L333" s="13" t="s">
        <v>550</v>
      </c>
      <c r="M333" s="15" t="s">
        <v>551</v>
      </c>
      <c r="N333" s="13" t="s">
        <v>188</v>
      </c>
      <c r="O333" s="15" t="s">
        <v>436</v>
      </c>
      <c r="P333" s="15" t="s">
        <v>437</v>
      </c>
      <c r="Q333" s="15" t="s">
        <v>203</v>
      </c>
      <c r="R333" s="13" t="s">
        <v>204</v>
      </c>
      <c r="S333" s="13" t="s">
        <v>103</v>
      </c>
      <c r="T333" s="13" t="s">
        <v>205</v>
      </c>
      <c r="U333" s="14">
        <v>40725</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3"/>
    </row>
    <row r="334" spans="1:85" ht="135" x14ac:dyDescent="0.25">
      <c r="A334" s="13" t="s">
        <v>202</v>
      </c>
      <c r="B334" s="13" t="s">
        <v>153</v>
      </c>
      <c r="C334" s="14">
        <v>43152.5</v>
      </c>
      <c r="D334" s="13" t="s">
        <v>88</v>
      </c>
      <c r="E334" s="15" t="s">
        <v>89</v>
      </c>
      <c r="F334" s="13" t="s">
        <v>90</v>
      </c>
      <c r="G334" s="15" t="s">
        <v>91</v>
      </c>
      <c r="H334" s="13" t="s">
        <v>544</v>
      </c>
      <c r="I334" s="15" t="s">
        <v>545</v>
      </c>
      <c r="J334" s="15" t="s">
        <v>546</v>
      </c>
      <c r="K334" s="15" t="s">
        <v>547</v>
      </c>
      <c r="L334" s="13" t="s">
        <v>548</v>
      </c>
      <c r="M334" s="15" t="s">
        <v>549</v>
      </c>
      <c r="N334" s="13" t="s">
        <v>98</v>
      </c>
      <c r="O334" s="15" t="s">
        <v>537</v>
      </c>
      <c r="P334" s="15" t="s">
        <v>429</v>
      </c>
      <c r="Q334" s="15" t="s">
        <v>206</v>
      </c>
      <c r="R334" s="13" t="s">
        <v>207</v>
      </c>
      <c r="S334" s="13" t="s">
        <v>103</v>
      </c>
      <c r="T334" s="13" t="s">
        <v>205</v>
      </c>
      <c r="U334" s="14">
        <v>40725</v>
      </c>
      <c r="V334" s="14"/>
      <c r="W334" s="15"/>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c r="BG334" s="15"/>
      <c r="BH334" s="13"/>
      <c r="BI334" s="15"/>
      <c r="BJ334" s="13"/>
      <c r="BK334" s="15"/>
      <c r="BL334" s="13"/>
      <c r="BM334" s="15"/>
      <c r="BN334" s="13"/>
      <c r="BO334" s="15"/>
      <c r="BP334" s="13"/>
      <c r="BQ334" s="15"/>
      <c r="BR334" s="13"/>
      <c r="BS334" s="15"/>
      <c r="BT334" s="13"/>
      <c r="BU334" s="15"/>
      <c r="BV334" s="13"/>
      <c r="BW334" s="15"/>
      <c r="BX334" s="13"/>
      <c r="BY334" s="15"/>
      <c r="BZ334" s="13"/>
      <c r="CA334" s="15"/>
      <c r="CB334" s="13"/>
      <c r="CC334" s="15"/>
      <c r="CD334" s="13"/>
      <c r="CE334" s="15"/>
      <c r="CF334" s="13"/>
      <c r="CG334" s="13"/>
    </row>
    <row r="335" spans="1:85" ht="135" x14ac:dyDescent="0.25">
      <c r="A335" s="13" t="s">
        <v>202</v>
      </c>
      <c r="B335" s="13" t="s">
        <v>153</v>
      </c>
      <c r="C335" s="14">
        <v>43152.5</v>
      </c>
      <c r="D335" s="13" t="s">
        <v>88</v>
      </c>
      <c r="E335" s="15" t="s">
        <v>89</v>
      </c>
      <c r="F335" s="13" t="s">
        <v>90</v>
      </c>
      <c r="G335" s="15" t="s">
        <v>91</v>
      </c>
      <c r="H335" s="13" t="s">
        <v>544</v>
      </c>
      <c r="I335" s="15" t="s">
        <v>545</v>
      </c>
      <c r="J335" s="15" t="s">
        <v>546</v>
      </c>
      <c r="K335" s="15" t="s">
        <v>547</v>
      </c>
      <c r="L335" s="13" t="s">
        <v>550</v>
      </c>
      <c r="M335" s="15" t="s">
        <v>551</v>
      </c>
      <c r="N335" s="13" t="s">
        <v>188</v>
      </c>
      <c r="O335" s="15" t="s">
        <v>436</v>
      </c>
      <c r="P335" s="15" t="s">
        <v>437</v>
      </c>
      <c r="Q335" s="15" t="s">
        <v>206</v>
      </c>
      <c r="R335" s="13" t="s">
        <v>207</v>
      </c>
      <c r="S335" s="13" t="s">
        <v>103</v>
      </c>
      <c r="T335" s="13" t="s">
        <v>205</v>
      </c>
      <c r="U335" s="14">
        <v>40725</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c r="CE335" s="15"/>
      <c r="CF335" s="13"/>
      <c r="CG335" s="13"/>
    </row>
    <row r="336" spans="1:85" ht="135" x14ac:dyDescent="0.25">
      <c r="A336" s="13" t="s">
        <v>202</v>
      </c>
      <c r="B336" s="13" t="s">
        <v>153</v>
      </c>
      <c r="C336" s="14">
        <v>43152.5</v>
      </c>
      <c r="D336" s="13" t="s">
        <v>88</v>
      </c>
      <c r="E336" s="15" t="s">
        <v>89</v>
      </c>
      <c r="F336" s="13" t="s">
        <v>90</v>
      </c>
      <c r="G336" s="15" t="s">
        <v>91</v>
      </c>
      <c r="H336" s="13" t="s">
        <v>544</v>
      </c>
      <c r="I336" s="15" t="s">
        <v>545</v>
      </c>
      <c r="J336" s="15" t="s">
        <v>546</v>
      </c>
      <c r="K336" s="15" t="s">
        <v>547</v>
      </c>
      <c r="L336" s="13" t="s">
        <v>548</v>
      </c>
      <c r="M336" s="15" t="s">
        <v>549</v>
      </c>
      <c r="N336" s="13" t="s">
        <v>98</v>
      </c>
      <c r="O336" s="15" t="s">
        <v>537</v>
      </c>
      <c r="P336" s="15" t="s">
        <v>429</v>
      </c>
      <c r="Q336" s="15" t="s">
        <v>208</v>
      </c>
      <c r="R336" s="13" t="s">
        <v>209</v>
      </c>
      <c r="S336" s="13" t="s">
        <v>103</v>
      </c>
      <c r="T336" s="13" t="s">
        <v>205</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3"/>
    </row>
    <row r="337" spans="1:85" ht="135" x14ac:dyDescent="0.25">
      <c r="A337" s="13" t="s">
        <v>202</v>
      </c>
      <c r="B337" s="13" t="s">
        <v>153</v>
      </c>
      <c r="C337" s="14">
        <v>43152.5</v>
      </c>
      <c r="D337" s="13" t="s">
        <v>88</v>
      </c>
      <c r="E337" s="15" t="s">
        <v>89</v>
      </c>
      <c r="F337" s="13" t="s">
        <v>90</v>
      </c>
      <c r="G337" s="15" t="s">
        <v>91</v>
      </c>
      <c r="H337" s="13" t="s">
        <v>544</v>
      </c>
      <c r="I337" s="15" t="s">
        <v>545</v>
      </c>
      <c r="J337" s="15" t="s">
        <v>546</v>
      </c>
      <c r="K337" s="15" t="s">
        <v>547</v>
      </c>
      <c r="L337" s="13" t="s">
        <v>550</v>
      </c>
      <c r="M337" s="15" t="s">
        <v>551</v>
      </c>
      <c r="N337" s="13" t="s">
        <v>188</v>
      </c>
      <c r="O337" s="15" t="s">
        <v>436</v>
      </c>
      <c r="P337" s="15" t="s">
        <v>437</v>
      </c>
      <c r="Q337" s="15" t="s">
        <v>208</v>
      </c>
      <c r="R337" s="13" t="s">
        <v>209</v>
      </c>
      <c r="S337" s="13" t="s">
        <v>103</v>
      </c>
      <c r="T337" s="13" t="s">
        <v>205</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3"/>
    </row>
    <row r="338" spans="1:85" ht="120" x14ac:dyDescent="0.25">
      <c r="A338" s="13" t="s">
        <v>202</v>
      </c>
      <c r="B338" s="13" t="s">
        <v>153</v>
      </c>
      <c r="C338" s="14">
        <v>43152.5</v>
      </c>
      <c r="D338" s="13" t="s">
        <v>88</v>
      </c>
      <c r="E338" s="15" t="s">
        <v>89</v>
      </c>
      <c r="F338" s="13" t="s">
        <v>90</v>
      </c>
      <c r="G338" s="15" t="s">
        <v>91</v>
      </c>
      <c r="H338" s="13" t="s">
        <v>552</v>
      </c>
      <c r="I338" s="15" t="s">
        <v>553</v>
      </c>
      <c r="J338" s="15" t="s">
        <v>554</v>
      </c>
      <c r="K338" s="15" t="s">
        <v>555</v>
      </c>
      <c r="L338" s="13" t="s">
        <v>556</v>
      </c>
      <c r="M338" s="15" t="s">
        <v>557</v>
      </c>
      <c r="N338" s="13" t="s">
        <v>98</v>
      </c>
      <c r="O338" s="15" t="s">
        <v>99</v>
      </c>
      <c r="P338" s="15" t="s">
        <v>100</v>
      </c>
      <c r="Q338" s="15" t="s">
        <v>101</v>
      </c>
      <c r="R338" s="13" t="s">
        <v>102</v>
      </c>
      <c r="S338" s="13" t="s">
        <v>103</v>
      </c>
      <c r="T338" s="13" t="s">
        <v>205</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3"/>
    </row>
    <row r="339" spans="1:85" ht="120" x14ac:dyDescent="0.25">
      <c r="A339" s="13" t="s">
        <v>202</v>
      </c>
      <c r="B339" s="13" t="s">
        <v>153</v>
      </c>
      <c r="C339" s="14">
        <v>43152.5</v>
      </c>
      <c r="D339" s="13" t="s">
        <v>88</v>
      </c>
      <c r="E339" s="15" t="s">
        <v>89</v>
      </c>
      <c r="F339" s="13" t="s">
        <v>90</v>
      </c>
      <c r="G339" s="15" t="s">
        <v>91</v>
      </c>
      <c r="H339" s="13" t="s">
        <v>552</v>
      </c>
      <c r="I339" s="15" t="s">
        <v>553</v>
      </c>
      <c r="J339" s="15" t="s">
        <v>554</v>
      </c>
      <c r="K339" s="15" t="s">
        <v>555</v>
      </c>
      <c r="L339" s="13" t="s">
        <v>558</v>
      </c>
      <c r="M339" s="15" t="s">
        <v>559</v>
      </c>
      <c r="N339" s="13" t="s">
        <v>98</v>
      </c>
      <c r="O339" s="15" t="s">
        <v>170</v>
      </c>
      <c r="P339" s="15" t="s">
        <v>171</v>
      </c>
      <c r="Q339" s="15" t="s">
        <v>101</v>
      </c>
      <c r="R339" s="13" t="s">
        <v>102</v>
      </c>
      <c r="S339" s="13" t="s">
        <v>103</v>
      </c>
      <c r="T339" s="13" t="s">
        <v>205</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3"/>
    </row>
    <row r="340" spans="1:85" ht="120" x14ac:dyDescent="0.25">
      <c r="A340" s="13" t="s">
        <v>202</v>
      </c>
      <c r="B340" s="13" t="s">
        <v>153</v>
      </c>
      <c r="C340" s="14">
        <v>43152.5</v>
      </c>
      <c r="D340" s="13" t="s">
        <v>88</v>
      </c>
      <c r="E340" s="15" t="s">
        <v>89</v>
      </c>
      <c r="F340" s="13" t="s">
        <v>90</v>
      </c>
      <c r="G340" s="15" t="s">
        <v>91</v>
      </c>
      <c r="H340" s="13" t="s">
        <v>552</v>
      </c>
      <c r="I340" s="15" t="s">
        <v>553</v>
      </c>
      <c r="J340" s="15" t="s">
        <v>554</v>
      </c>
      <c r="K340" s="15" t="s">
        <v>555</v>
      </c>
      <c r="L340" s="13" t="s">
        <v>560</v>
      </c>
      <c r="M340" s="15" t="s">
        <v>561</v>
      </c>
      <c r="N340" s="13" t="s">
        <v>188</v>
      </c>
      <c r="O340" s="15" t="s">
        <v>189</v>
      </c>
      <c r="P340" s="15" t="s">
        <v>190</v>
      </c>
      <c r="Q340" s="15" t="s">
        <v>101</v>
      </c>
      <c r="R340" s="13" t="s">
        <v>102</v>
      </c>
      <c r="S340" s="13" t="s">
        <v>103</v>
      </c>
      <c r="T340" s="13" t="s">
        <v>205</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3"/>
    </row>
    <row r="341" spans="1:85" ht="120" x14ac:dyDescent="0.25">
      <c r="A341" s="13" t="s">
        <v>202</v>
      </c>
      <c r="B341" s="13" t="s">
        <v>153</v>
      </c>
      <c r="C341" s="14">
        <v>43152.5</v>
      </c>
      <c r="D341" s="13" t="s">
        <v>88</v>
      </c>
      <c r="E341" s="15" t="s">
        <v>89</v>
      </c>
      <c r="F341" s="13" t="s">
        <v>90</v>
      </c>
      <c r="G341" s="15" t="s">
        <v>91</v>
      </c>
      <c r="H341" s="13" t="s">
        <v>552</v>
      </c>
      <c r="I341" s="15" t="s">
        <v>553</v>
      </c>
      <c r="J341" s="15" t="s">
        <v>554</v>
      </c>
      <c r="K341" s="15" t="s">
        <v>555</v>
      </c>
      <c r="L341" s="13" t="s">
        <v>556</v>
      </c>
      <c r="M341" s="15" t="s">
        <v>557</v>
      </c>
      <c r="N341" s="13" t="s">
        <v>98</v>
      </c>
      <c r="O341" s="15" t="s">
        <v>99</v>
      </c>
      <c r="P341" s="15" t="s">
        <v>100</v>
      </c>
      <c r="Q341" s="15" t="s">
        <v>203</v>
      </c>
      <c r="R341" s="13" t="s">
        <v>204</v>
      </c>
      <c r="S341" s="13" t="s">
        <v>103</v>
      </c>
      <c r="T341" s="13" t="s">
        <v>205</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3"/>
    </row>
    <row r="342" spans="1:85" ht="120" x14ac:dyDescent="0.25">
      <c r="A342" s="13" t="s">
        <v>202</v>
      </c>
      <c r="B342" s="13" t="s">
        <v>153</v>
      </c>
      <c r="C342" s="14">
        <v>43152.5</v>
      </c>
      <c r="D342" s="13" t="s">
        <v>88</v>
      </c>
      <c r="E342" s="15" t="s">
        <v>89</v>
      </c>
      <c r="F342" s="13" t="s">
        <v>90</v>
      </c>
      <c r="G342" s="15" t="s">
        <v>91</v>
      </c>
      <c r="H342" s="13" t="s">
        <v>552</v>
      </c>
      <c r="I342" s="15" t="s">
        <v>553</v>
      </c>
      <c r="J342" s="15" t="s">
        <v>554</v>
      </c>
      <c r="K342" s="15" t="s">
        <v>555</v>
      </c>
      <c r="L342" s="13" t="s">
        <v>558</v>
      </c>
      <c r="M342" s="15" t="s">
        <v>559</v>
      </c>
      <c r="N342" s="13" t="s">
        <v>98</v>
      </c>
      <c r="O342" s="15" t="s">
        <v>170</v>
      </c>
      <c r="P342" s="15" t="s">
        <v>171</v>
      </c>
      <c r="Q342" s="15" t="s">
        <v>203</v>
      </c>
      <c r="R342" s="13" t="s">
        <v>204</v>
      </c>
      <c r="S342" s="13" t="s">
        <v>103</v>
      </c>
      <c r="T342" s="13" t="s">
        <v>205</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3"/>
    </row>
    <row r="343" spans="1:85" ht="120" x14ac:dyDescent="0.25">
      <c r="A343" s="13" t="s">
        <v>202</v>
      </c>
      <c r="B343" s="13" t="s">
        <v>153</v>
      </c>
      <c r="C343" s="14">
        <v>43152.5</v>
      </c>
      <c r="D343" s="13" t="s">
        <v>88</v>
      </c>
      <c r="E343" s="15" t="s">
        <v>89</v>
      </c>
      <c r="F343" s="13" t="s">
        <v>90</v>
      </c>
      <c r="G343" s="15" t="s">
        <v>91</v>
      </c>
      <c r="H343" s="13" t="s">
        <v>552</v>
      </c>
      <c r="I343" s="15" t="s">
        <v>553</v>
      </c>
      <c r="J343" s="15" t="s">
        <v>554</v>
      </c>
      <c r="K343" s="15" t="s">
        <v>555</v>
      </c>
      <c r="L343" s="13" t="s">
        <v>560</v>
      </c>
      <c r="M343" s="15" t="s">
        <v>561</v>
      </c>
      <c r="N343" s="13" t="s">
        <v>188</v>
      </c>
      <c r="O343" s="15" t="s">
        <v>189</v>
      </c>
      <c r="P343" s="15" t="s">
        <v>190</v>
      </c>
      <c r="Q343" s="15" t="s">
        <v>203</v>
      </c>
      <c r="R343" s="13" t="s">
        <v>204</v>
      </c>
      <c r="S343" s="13" t="s">
        <v>103</v>
      </c>
      <c r="T343" s="13" t="s">
        <v>205</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3"/>
    </row>
    <row r="344" spans="1:85" ht="120" x14ac:dyDescent="0.25">
      <c r="A344" s="13" t="s">
        <v>202</v>
      </c>
      <c r="B344" s="13" t="s">
        <v>153</v>
      </c>
      <c r="C344" s="14">
        <v>43152.5</v>
      </c>
      <c r="D344" s="13" t="s">
        <v>88</v>
      </c>
      <c r="E344" s="15" t="s">
        <v>89</v>
      </c>
      <c r="F344" s="13" t="s">
        <v>90</v>
      </c>
      <c r="G344" s="15" t="s">
        <v>91</v>
      </c>
      <c r="H344" s="13" t="s">
        <v>552</v>
      </c>
      <c r="I344" s="15" t="s">
        <v>553</v>
      </c>
      <c r="J344" s="15" t="s">
        <v>554</v>
      </c>
      <c r="K344" s="15" t="s">
        <v>555</v>
      </c>
      <c r="L344" s="13" t="s">
        <v>556</v>
      </c>
      <c r="M344" s="15" t="s">
        <v>557</v>
      </c>
      <c r="N344" s="13" t="s">
        <v>98</v>
      </c>
      <c r="O344" s="15" t="s">
        <v>99</v>
      </c>
      <c r="P344" s="15" t="s">
        <v>100</v>
      </c>
      <c r="Q344" s="15" t="s">
        <v>206</v>
      </c>
      <c r="R344" s="13" t="s">
        <v>207</v>
      </c>
      <c r="S344" s="13" t="s">
        <v>103</v>
      </c>
      <c r="T344" s="13" t="s">
        <v>205</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c r="CG344" s="13"/>
    </row>
    <row r="345" spans="1:85" ht="120" x14ac:dyDescent="0.25">
      <c r="A345" s="13" t="s">
        <v>202</v>
      </c>
      <c r="B345" s="13" t="s">
        <v>153</v>
      </c>
      <c r="C345" s="14">
        <v>43152.5</v>
      </c>
      <c r="D345" s="13" t="s">
        <v>88</v>
      </c>
      <c r="E345" s="15" t="s">
        <v>89</v>
      </c>
      <c r="F345" s="13" t="s">
        <v>90</v>
      </c>
      <c r="G345" s="15" t="s">
        <v>91</v>
      </c>
      <c r="H345" s="13" t="s">
        <v>552</v>
      </c>
      <c r="I345" s="15" t="s">
        <v>553</v>
      </c>
      <c r="J345" s="15" t="s">
        <v>554</v>
      </c>
      <c r="K345" s="15" t="s">
        <v>555</v>
      </c>
      <c r="L345" s="13" t="s">
        <v>558</v>
      </c>
      <c r="M345" s="15" t="s">
        <v>559</v>
      </c>
      <c r="N345" s="13" t="s">
        <v>98</v>
      </c>
      <c r="O345" s="15" t="s">
        <v>170</v>
      </c>
      <c r="P345" s="15" t="s">
        <v>171</v>
      </c>
      <c r="Q345" s="15" t="s">
        <v>206</v>
      </c>
      <c r="R345" s="13" t="s">
        <v>207</v>
      </c>
      <c r="S345" s="13" t="s">
        <v>103</v>
      </c>
      <c r="T345" s="13" t="s">
        <v>205</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c r="BO345" s="15"/>
      <c r="BP345" s="13"/>
      <c r="BQ345" s="15"/>
      <c r="BR345" s="13"/>
      <c r="BS345" s="15"/>
      <c r="BT345" s="13"/>
      <c r="BU345" s="15"/>
      <c r="BV345" s="13"/>
      <c r="BW345" s="15"/>
      <c r="BX345" s="13"/>
      <c r="BY345" s="15"/>
      <c r="BZ345" s="13"/>
      <c r="CA345" s="15"/>
      <c r="CB345" s="13"/>
      <c r="CC345" s="15"/>
      <c r="CD345" s="13"/>
      <c r="CE345" s="15"/>
      <c r="CF345" s="13"/>
      <c r="CG345" s="13"/>
    </row>
    <row r="346" spans="1:85" ht="120" x14ac:dyDescent="0.25">
      <c r="A346" s="13" t="s">
        <v>202</v>
      </c>
      <c r="B346" s="13" t="s">
        <v>153</v>
      </c>
      <c r="C346" s="14">
        <v>43152.5</v>
      </c>
      <c r="D346" s="13" t="s">
        <v>88</v>
      </c>
      <c r="E346" s="15" t="s">
        <v>89</v>
      </c>
      <c r="F346" s="13" t="s">
        <v>90</v>
      </c>
      <c r="G346" s="15" t="s">
        <v>91</v>
      </c>
      <c r="H346" s="13" t="s">
        <v>552</v>
      </c>
      <c r="I346" s="15" t="s">
        <v>553</v>
      </c>
      <c r="J346" s="15" t="s">
        <v>554</v>
      </c>
      <c r="K346" s="15" t="s">
        <v>555</v>
      </c>
      <c r="L346" s="13" t="s">
        <v>560</v>
      </c>
      <c r="M346" s="15" t="s">
        <v>561</v>
      </c>
      <c r="N346" s="13" t="s">
        <v>188</v>
      </c>
      <c r="O346" s="15" t="s">
        <v>189</v>
      </c>
      <c r="P346" s="15" t="s">
        <v>190</v>
      </c>
      <c r="Q346" s="15" t="s">
        <v>206</v>
      </c>
      <c r="R346" s="13" t="s">
        <v>207</v>
      </c>
      <c r="S346" s="13" t="s">
        <v>103</v>
      </c>
      <c r="T346" s="13" t="s">
        <v>205</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3"/>
    </row>
    <row r="347" spans="1:85" ht="120" x14ac:dyDescent="0.25">
      <c r="A347" s="13" t="s">
        <v>202</v>
      </c>
      <c r="B347" s="13" t="s">
        <v>153</v>
      </c>
      <c r="C347" s="14">
        <v>43152.5</v>
      </c>
      <c r="D347" s="13" t="s">
        <v>88</v>
      </c>
      <c r="E347" s="15" t="s">
        <v>89</v>
      </c>
      <c r="F347" s="13" t="s">
        <v>90</v>
      </c>
      <c r="G347" s="15" t="s">
        <v>91</v>
      </c>
      <c r="H347" s="13" t="s">
        <v>552</v>
      </c>
      <c r="I347" s="15" t="s">
        <v>553</v>
      </c>
      <c r="J347" s="15" t="s">
        <v>554</v>
      </c>
      <c r="K347" s="15" t="s">
        <v>555</v>
      </c>
      <c r="L347" s="13" t="s">
        <v>556</v>
      </c>
      <c r="M347" s="15" t="s">
        <v>557</v>
      </c>
      <c r="N347" s="13" t="s">
        <v>98</v>
      </c>
      <c r="O347" s="15" t="s">
        <v>99</v>
      </c>
      <c r="P347" s="15" t="s">
        <v>100</v>
      </c>
      <c r="Q347" s="15" t="s">
        <v>208</v>
      </c>
      <c r="R347" s="13" t="s">
        <v>209</v>
      </c>
      <c r="S347" s="13" t="s">
        <v>103</v>
      </c>
      <c r="T347" s="13" t="s">
        <v>205</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3"/>
    </row>
    <row r="348" spans="1:85" ht="120" x14ac:dyDescent="0.25">
      <c r="A348" s="13" t="s">
        <v>202</v>
      </c>
      <c r="B348" s="13" t="s">
        <v>153</v>
      </c>
      <c r="C348" s="14">
        <v>43152.5</v>
      </c>
      <c r="D348" s="13" t="s">
        <v>88</v>
      </c>
      <c r="E348" s="15" t="s">
        <v>89</v>
      </c>
      <c r="F348" s="13" t="s">
        <v>90</v>
      </c>
      <c r="G348" s="15" t="s">
        <v>91</v>
      </c>
      <c r="H348" s="13" t="s">
        <v>552</v>
      </c>
      <c r="I348" s="15" t="s">
        <v>553</v>
      </c>
      <c r="J348" s="15" t="s">
        <v>554</v>
      </c>
      <c r="K348" s="15" t="s">
        <v>555</v>
      </c>
      <c r="L348" s="13" t="s">
        <v>558</v>
      </c>
      <c r="M348" s="15" t="s">
        <v>559</v>
      </c>
      <c r="N348" s="13" t="s">
        <v>98</v>
      </c>
      <c r="O348" s="15" t="s">
        <v>170</v>
      </c>
      <c r="P348" s="15" t="s">
        <v>171</v>
      </c>
      <c r="Q348" s="15" t="s">
        <v>208</v>
      </c>
      <c r="R348" s="13" t="s">
        <v>209</v>
      </c>
      <c r="S348" s="13" t="s">
        <v>103</v>
      </c>
      <c r="T348" s="13" t="s">
        <v>205</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3"/>
    </row>
    <row r="349" spans="1:85" ht="120" x14ac:dyDescent="0.25">
      <c r="A349" s="13" t="s">
        <v>202</v>
      </c>
      <c r="B349" s="13" t="s">
        <v>153</v>
      </c>
      <c r="C349" s="14">
        <v>43152.5</v>
      </c>
      <c r="D349" s="13" t="s">
        <v>88</v>
      </c>
      <c r="E349" s="15" t="s">
        <v>89</v>
      </c>
      <c r="F349" s="13" t="s">
        <v>90</v>
      </c>
      <c r="G349" s="15" t="s">
        <v>91</v>
      </c>
      <c r="H349" s="13" t="s">
        <v>552</v>
      </c>
      <c r="I349" s="15" t="s">
        <v>553</v>
      </c>
      <c r="J349" s="15" t="s">
        <v>554</v>
      </c>
      <c r="K349" s="15" t="s">
        <v>555</v>
      </c>
      <c r="L349" s="13" t="s">
        <v>560</v>
      </c>
      <c r="M349" s="15" t="s">
        <v>561</v>
      </c>
      <c r="N349" s="13" t="s">
        <v>188</v>
      </c>
      <c r="O349" s="15" t="s">
        <v>189</v>
      </c>
      <c r="P349" s="15" t="s">
        <v>190</v>
      </c>
      <c r="Q349" s="15" t="s">
        <v>208</v>
      </c>
      <c r="R349" s="13" t="s">
        <v>209</v>
      </c>
      <c r="S349" s="13" t="s">
        <v>103</v>
      </c>
      <c r="T349" s="13" t="s">
        <v>205</v>
      </c>
      <c r="U349" s="14">
        <v>40725</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3"/>
    </row>
    <row r="350" spans="1:85" ht="135" x14ac:dyDescent="0.25">
      <c r="A350" s="13" t="s">
        <v>86</v>
      </c>
      <c r="B350" s="13" t="s">
        <v>87</v>
      </c>
      <c r="C350" s="14">
        <v>43850.552083333336</v>
      </c>
      <c r="D350" s="13" t="s">
        <v>88</v>
      </c>
      <c r="E350" s="15" t="s">
        <v>89</v>
      </c>
      <c r="F350" s="13" t="s">
        <v>90</v>
      </c>
      <c r="G350" s="15" t="s">
        <v>91</v>
      </c>
      <c r="H350" s="13" t="s">
        <v>552</v>
      </c>
      <c r="I350" s="15" t="s">
        <v>553</v>
      </c>
      <c r="J350" s="15" t="s">
        <v>554</v>
      </c>
      <c r="K350" s="15" t="s">
        <v>555</v>
      </c>
      <c r="L350" s="13" t="s">
        <v>556</v>
      </c>
      <c r="M350" s="15" t="s">
        <v>557</v>
      </c>
      <c r="N350" s="13" t="s">
        <v>98</v>
      </c>
      <c r="O350" s="15" t="s">
        <v>99</v>
      </c>
      <c r="P350" s="15" t="s">
        <v>100</v>
      </c>
      <c r="Q350" s="15" t="s">
        <v>366</v>
      </c>
      <c r="R350" s="13" t="s">
        <v>367</v>
      </c>
      <c r="S350" s="13" t="s">
        <v>212</v>
      </c>
      <c r="T350" s="13" t="s">
        <v>104</v>
      </c>
      <c r="U350" s="14">
        <v>40725</v>
      </c>
      <c r="V350" s="14"/>
      <c r="W350" s="15" t="s">
        <v>562</v>
      </c>
      <c r="X350" s="13" t="s">
        <v>106</v>
      </c>
      <c r="Y350" s="15" t="str">
        <f>VLOOKUP(X350,'Axe 2 Règles de gestion'!$D$2:$F$121,3, FALSE)</f>
        <v>L'agent doit détenir le titre ou le diplôme requis pour l'exercice des fonctions du corps d'accueil.</v>
      </c>
      <c r="Z350" s="13" t="s">
        <v>563</v>
      </c>
      <c r="AA350" s="15" t="str">
        <f>VLOOKUP(Z350,'Axe 2 Règles de gestion'!$D$2:$F$121,3, FALSE)</f>
        <v>L'agent doit avoir accompli 4 années de services effectifs dans le corps judiciaire depuis son entrée dans la magistrature.</v>
      </c>
      <c r="AB350" s="13" t="s">
        <v>108</v>
      </c>
      <c r="AC350" s="15" t="str">
        <f>VLOOKUP(AB350,'Axe 2 Règles de gestion'!$D$2:$F$121,3, FALSE)</f>
        <v>L'agent doit formuler une demande.</v>
      </c>
      <c r="AD350" s="13"/>
      <c r="AE350" s="15"/>
      <c r="AF350" s="13"/>
      <c r="AG350" s="15"/>
      <c r="AH350" s="13"/>
      <c r="AI350" s="15"/>
      <c r="AJ350" s="13"/>
      <c r="AK350" s="15"/>
      <c r="AL350" s="13"/>
      <c r="AM350" s="15"/>
      <c r="AN350" s="13"/>
      <c r="AO350" s="15"/>
      <c r="AP350" s="13" t="s">
        <v>565</v>
      </c>
      <c r="AQ350" s="15" t="str">
        <f>VLOOKUP(AP350,'Axe 2 Règles de gestion'!$D$2:$F$121,3, FALSE)</f>
        <v>La durée du détachement ne peut excéder 5 ans entre la date de début et la date de fin prévisionnelle.</v>
      </c>
      <c r="AR350" s="13" t="s">
        <v>567</v>
      </c>
      <c r="AS350" s="15" t="str">
        <f>VLOOKUP(AR350,'Axe 2 Règles de gestion'!$D$2:$F$121,3, FALSE)</f>
        <v>La durée du détachement ne peut excéder 5 ans entre la date de début et la date de fin réelle.</v>
      </c>
      <c r="AT350" s="13" t="s">
        <v>214</v>
      </c>
      <c r="AU350" s="15" t="str">
        <f>VLOOKUP(AT350,'Axe 2 Règles de gestion'!$D$2:$F$121,3, FALSE)</f>
        <v>Le détachement de courte durée est interdit.</v>
      </c>
      <c r="AV350" s="13" t="s">
        <v>569</v>
      </c>
      <c r="AW350" s="15" t="str">
        <f>VLOOKUP(AV350,'Axe 2 Règles de gestion'!$D$2:$F$121,3, FALSE)</f>
        <v>Le ministère d'origine saisi est celui de la Justice.</v>
      </c>
      <c r="AX350" s="13" t="s">
        <v>571</v>
      </c>
      <c r="AY350" s="15" t="str">
        <f>VLOOKUP(AX350,'Axe 2 Règles de gestion'!$D$2:$F$121,3, FALSE)</f>
        <v>Le nouveau ministère est celui de la Défense.</v>
      </c>
      <c r="AZ350" s="13"/>
      <c r="BA350" s="15"/>
      <c r="BB350" s="13" t="s">
        <v>126</v>
      </c>
      <c r="BC350" s="15" t="str">
        <f>VLOOKUP(BB350,'Axe 2 Règles de gestion'!$D$2:$F$121,3, FALSE)</f>
        <v>La date de début de position doit être antérieure ou égale à la date de fin prévisionnelle de position.</v>
      </c>
      <c r="BD350" s="13" t="s">
        <v>128</v>
      </c>
      <c r="BE350" s="15" t="str">
        <f>VLOOKUP(BD350,'Axe 2 Règles de gestion'!$D$2:$F$121,3, FALSE)</f>
        <v>La date de début de la position doit être postérieure ou égale à la date d'entrée dans la FPE ou dans la carrière militaire.</v>
      </c>
      <c r="BF350" s="13" t="s">
        <v>130</v>
      </c>
      <c r="BG350" s="15" t="str">
        <f>VLOOKUP(BF350,'Axe 2 Règles de gestion'!$D$2:$F$121,3, FALSE)</f>
        <v>La date de fin réelle de la position doit être antérieure à la date limite de départ à la retraite.</v>
      </c>
      <c r="BH350" s="13" t="s">
        <v>132</v>
      </c>
      <c r="BI350" s="15" t="str">
        <f>VLOOKUP(BH350,'Axe 2 Règles de gestion'!$D$2:$F$121,3, FALSE)</f>
        <v>La date de début de position doit être antérieure ou égale à la date de fin réelle de position.</v>
      </c>
      <c r="BJ350" s="13" t="s">
        <v>134</v>
      </c>
      <c r="BK350" s="15" t="str">
        <f>VLOOKUP(BJ350,'Axe 2 Règles de gestion'!$D$2:$F$121,3, FALSE)</f>
        <v>La date de fin prévisionnelle de la position doit être antérieure à la date limite de départ à la retraite.</v>
      </c>
      <c r="BL350" s="13" t="s">
        <v>136</v>
      </c>
      <c r="BM350" s="15" t="str">
        <f>VLOOKUP(BL350,'Axe 2 Règles de gestion'!$D$2:$F$121,3, FALSE)</f>
        <v>L'indicateur de carrière est sur la valeur "Accueil".</v>
      </c>
      <c r="BN350" s="13" t="s">
        <v>138</v>
      </c>
      <c r="BO350" s="15" t="str">
        <f>VLOOKUP(BN350,'Axe 2 Règles de gestion'!$D$2:$F$121,3, FALSE)</f>
        <v>La date de début de position est à J+1 de la date de fin de position de l'occurrence précédente.</v>
      </c>
      <c r="BP350" s="13" t="s">
        <v>140</v>
      </c>
      <c r="BQ350" s="15" t="str">
        <f>VLOOKUP(BP350,'Axe 2 Règles de gestion'!$D$2:$F$121,3, FALSE)</f>
        <v>Les champs "Type d'organisme d'origine", "Catégorie statutaire d'origine" et "Pays" de l'organisme d'origine doivent être renseignés.</v>
      </c>
      <c r="BR350" s="13" t="s">
        <v>142</v>
      </c>
      <c r="BS350" s="15" t="str">
        <f>VLOOKUP(BR350,'Axe 2 Règles de gestion'!$D$2:$F$121,3, FALSE)</f>
        <v>Les champs "Ministère (ou institution de la République) d'origine", "Corps d'origine", "Grade d'origine", "Echelon d'origine" sont renseignés si le "Type d'organisme d'origine" est valorisé à FPE.</v>
      </c>
      <c r="BT350" s="13" t="s">
        <v>144</v>
      </c>
      <c r="BU350" s="15" t="str">
        <f>VLOOKUP(BT350,'Axe 2 Règles de gestion'!$D$2:$F$121,3, FALSE)</f>
        <v>Le champ "Organisme d'origine" doit être alimenté si le type d'organisme d'origine est égal à 'Autre organisme', 'Fonction publique d'un état de l'Union Européenne' ou 'Fonction publique Européenne'.</v>
      </c>
      <c r="BV350" s="13" t="s">
        <v>146</v>
      </c>
      <c r="BW350" s="15" t="str">
        <f>VLOOKUP(BV350,'Axe 2 Règles de gestion'!$D$2:$F$121,3, FALSE)</f>
        <v>Le champ "Code emploi statutaire FPT (NET)" est renseigné si le "Type d'organisme d'origine" est valorisé à FPT.</v>
      </c>
      <c r="BX350" s="13" t="s">
        <v>148</v>
      </c>
      <c r="BY350" s="15" t="str">
        <f>VLOOKUP(BX350,'Axe 2 Règles de gestion'!$D$2:$F$121,3, FALSE)</f>
        <v>Le champ "Code emploi statutaire FPH (NEH)" est renseigné si le "Type d'organisme d'origine" est valorisé à FPH.</v>
      </c>
      <c r="BZ350" s="13" t="s">
        <v>150</v>
      </c>
      <c r="CA350" s="15" t="str">
        <f>VLOOKUP(BZ350,'Axe 2 Règles de gestion'!$D$2:$F$121,3, FALSE)</f>
        <v>La date de fin ou la date de fin prévisionnelle doit être saisie.</v>
      </c>
      <c r="CB350" s="13"/>
      <c r="CC350" s="15"/>
      <c r="CD350" s="13"/>
      <c r="CE350" s="15"/>
      <c r="CF350" s="13"/>
      <c r="CG350" s="13"/>
    </row>
    <row r="351" spans="1:85" ht="135" x14ac:dyDescent="0.25">
      <c r="A351" s="13" t="s">
        <v>86</v>
      </c>
      <c r="B351" s="13" t="s">
        <v>87</v>
      </c>
      <c r="C351" s="14">
        <v>43850.552083333336</v>
      </c>
      <c r="D351" s="13" t="s">
        <v>88</v>
      </c>
      <c r="E351" s="15" t="s">
        <v>89</v>
      </c>
      <c r="F351" s="13" t="s">
        <v>90</v>
      </c>
      <c r="G351" s="15" t="s">
        <v>91</v>
      </c>
      <c r="H351" s="13" t="s">
        <v>552</v>
      </c>
      <c r="I351" s="15" t="s">
        <v>553</v>
      </c>
      <c r="J351" s="15" t="s">
        <v>554</v>
      </c>
      <c r="K351" s="15" t="s">
        <v>555</v>
      </c>
      <c r="L351" s="13" t="s">
        <v>558</v>
      </c>
      <c r="M351" s="15" t="s">
        <v>559</v>
      </c>
      <c r="N351" s="13" t="s">
        <v>98</v>
      </c>
      <c r="O351" s="15" t="s">
        <v>170</v>
      </c>
      <c r="P351" s="15" t="s">
        <v>171</v>
      </c>
      <c r="Q351" s="15" t="s">
        <v>366</v>
      </c>
      <c r="R351" s="13" t="s">
        <v>367</v>
      </c>
      <c r="S351" s="13" t="s">
        <v>212</v>
      </c>
      <c r="T351" s="13" t="s">
        <v>104</v>
      </c>
      <c r="U351" s="14">
        <v>40725</v>
      </c>
      <c r="V351" s="14"/>
      <c r="W351" s="15" t="s">
        <v>573</v>
      </c>
      <c r="X351" s="13"/>
      <c r="Y351" s="15"/>
      <c r="Z351" s="13"/>
      <c r="AA351" s="15"/>
      <c r="AB351" s="13"/>
      <c r="AC351" s="15"/>
      <c r="AD351" s="13"/>
      <c r="AE351" s="15"/>
      <c r="AF351" s="13"/>
      <c r="AG351" s="15"/>
      <c r="AH351" s="13"/>
      <c r="AI351" s="15"/>
      <c r="AJ351" s="13"/>
      <c r="AK351" s="15"/>
      <c r="AL351" s="13"/>
      <c r="AM351" s="15"/>
      <c r="AN351" s="13"/>
      <c r="AO351" s="15"/>
      <c r="AP351" s="13" t="s">
        <v>565</v>
      </c>
      <c r="AQ351" s="15" t="str">
        <f>VLOOKUP(AP351,'Axe 2 Règles de gestion'!$D$2:$F$121,3, FALSE)</f>
        <v>La durée du détachement ne peut excéder 5 ans entre la date de début et la date de fin prévisionnelle.</v>
      </c>
      <c r="AR351" s="13" t="s">
        <v>567</v>
      </c>
      <c r="AS351" s="15" t="str">
        <f>VLOOKUP(AR351,'Axe 2 Règles de gestion'!$D$2:$F$121,3, FALSE)</f>
        <v>La durée du détachement ne peut excéder 5 ans entre la date de début et la date de fin réelle.</v>
      </c>
      <c r="AT351" s="13" t="s">
        <v>569</v>
      </c>
      <c r="AU351" s="15" t="str">
        <f>VLOOKUP(AT351,'Axe 2 Règles de gestion'!$D$2:$F$121,3, FALSE)</f>
        <v>Le ministère d'origine saisi est celui de la Justice.</v>
      </c>
      <c r="AV351" s="13" t="s">
        <v>571</v>
      </c>
      <c r="AW351" s="15" t="str">
        <f>VLOOKUP(AV351,'Axe 2 Règles de gestion'!$D$2:$F$121,3, FALSE)</f>
        <v>Le nouveau ministère est celui de la Défense.</v>
      </c>
      <c r="AX351" s="13"/>
      <c r="AY351" s="15"/>
      <c r="AZ351" s="13"/>
      <c r="BA351" s="15"/>
      <c r="BB351" s="13" t="s">
        <v>126</v>
      </c>
      <c r="BC351" s="15" t="str">
        <f>VLOOKUP(BB351,'Axe 2 Règles de gestion'!$D$2:$F$121,3, FALSE)</f>
        <v>La date de début de position doit être antérieure ou égale à la date de fin prévisionnelle de position.</v>
      </c>
      <c r="BD351" s="13" t="s">
        <v>128</v>
      </c>
      <c r="BE351" s="15" t="str">
        <f>VLOOKUP(BD351,'Axe 2 Règles de gestion'!$D$2:$F$121,3, FALSE)</f>
        <v>La date de début de la position doit être postérieure ou égale à la date d'entrée dans la FPE ou dans la carrière militaire.</v>
      </c>
      <c r="BF351" s="13" t="s">
        <v>130</v>
      </c>
      <c r="BG351" s="15" t="str">
        <f>VLOOKUP(BF351,'Axe 2 Règles de gestion'!$D$2:$F$121,3, FALSE)</f>
        <v>La date de fin réelle de la position doit être antérieure à la date limite de départ à la retraite.</v>
      </c>
      <c r="BH351" s="13" t="s">
        <v>132</v>
      </c>
      <c r="BI351" s="15" t="str">
        <f>VLOOKUP(BH351,'Axe 2 Règles de gestion'!$D$2:$F$121,3, FALSE)</f>
        <v>La date de début de position doit être antérieure ou égale à la date de fin réelle de position.</v>
      </c>
      <c r="BJ351" s="13" t="s">
        <v>134</v>
      </c>
      <c r="BK351" s="15" t="str">
        <f>VLOOKUP(BJ351,'Axe 2 Règles de gestion'!$D$2:$F$121,3, FALSE)</f>
        <v>La date de fin prévisionnelle de la position doit être antérieure à la date limite de départ à la retraite.</v>
      </c>
      <c r="BL351" s="13" t="s">
        <v>136</v>
      </c>
      <c r="BM351" s="15" t="str">
        <f>VLOOKUP(BL351,'Axe 2 Règles de gestion'!$D$2:$F$121,3, FALSE)</f>
        <v>L'indicateur de carrière est sur la valeur "Accueil".</v>
      </c>
      <c r="BN351" s="13" t="s">
        <v>138</v>
      </c>
      <c r="BO351" s="15" t="str">
        <f>VLOOKUP(BN351,'Axe 2 Règles de gestion'!$D$2:$F$121,3, FALSE)</f>
        <v>La date de début de position est à J+1 de la date de fin de position de l'occurrence précédente.</v>
      </c>
      <c r="BP351" s="13" t="s">
        <v>140</v>
      </c>
      <c r="BQ351" s="15" t="str">
        <f>VLOOKUP(BP351,'Axe 2 Règles de gestion'!$D$2:$F$121,3, FALSE)</f>
        <v>Les champs "Type d'organisme d'origine", "Catégorie statutaire d'origine" et "Pays" de l'organisme d'origine doivent être renseignés.</v>
      </c>
      <c r="BR351" s="13" t="s">
        <v>142</v>
      </c>
      <c r="BS351" s="15" t="str">
        <f>VLOOKUP(BR351,'Axe 2 Règles de gestion'!$D$2:$F$121,3, FALSE)</f>
        <v>Les champs "Ministère (ou institution de la République) d'origine", "Corps d'origine", "Grade d'origine", "Echelon d'origine" sont renseignés si le "Type d'organisme d'origine" est valorisé à FPE.</v>
      </c>
      <c r="BT351" s="13" t="s">
        <v>144</v>
      </c>
      <c r="BU351" s="15" t="str">
        <f>VLOOKUP(BT351,'Axe 2 Règles de gestion'!$D$2:$F$121,3, FALSE)</f>
        <v>Le champ "Organisme d'origine" doit être alimenté si le type d'organisme d'origine est égal à 'Autre organisme', 'Fonction publique d'un état de l'Union Européenne' ou 'Fonction publique Européenne'.</v>
      </c>
      <c r="BV351" s="13" t="s">
        <v>146</v>
      </c>
      <c r="BW351" s="15" t="str">
        <f>VLOOKUP(BV351,'Axe 2 Règles de gestion'!$D$2:$F$121,3, FALSE)</f>
        <v>Le champ "Code emploi statutaire FPT (NET)" est renseigné si le "Type d'organisme d'origine" est valorisé à FPT.</v>
      </c>
      <c r="BX351" s="13" t="s">
        <v>148</v>
      </c>
      <c r="BY351" s="15" t="str">
        <f>VLOOKUP(BX351,'Axe 2 Règles de gestion'!$D$2:$F$121,3, FALSE)</f>
        <v>Le champ "Code emploi statutaire FPH (NEH)" est renseigné si le "Type d'organisme d'origine" est valorisé à FPH.</v>
      </c>
      <c r="BZ351" s="13" t="s">
        <v>150</v>
      </c>
      <c r="CA351" s="15" t="str">
        <f>VLOOKUP(BZ351,'Axe 2 Règles de gestion'!$D$2:$F$121,3, FALSE)</f>
        <v>La date de fin ou la date de fin prévisionnelle doit être saisie.</v>
      </c>
      <c r="CB351" s="13"/>
      <c r="CC351" s="15"/>
      <c r="CD351" s="13"/>
      <c r="CE351" s="15"/>
      <c r="CF351" s="13"/>
      <c r="CG351" s="13"/>
    </row>
    <row r="352" spans="1:85" ht="135" x14ac:dyDescent="0.25">
      <c r="A352" s="13" t="s">
        <v>86</v>
      </c>
      <c r="B352" s="13" t="s">
        <v>87</v>
      </c>
      <c r="C352" s="14">
        <v>43850.552083333336</v>
      </c>
      <c r="D352" s="13" t="s">
        <v>88</v>
      </c>
      <c r="E352" s="15" t="s">
        <v>89</v>
      </c>
      <c r="F352" s="13" t="s">
        <v>90</v>
      </c>
      <c r="G352" s="15" t="s">
        <v>91</v>
      </c>
      <c r="H352" s="13" t="s">
        <v>552</v>
      </c>
      <c r="I352" s="15" t="s">
        <v>553</v>
      </c>
      <c r="J352" s="15" t="s">
        <v>554</v>
      </c>
      <c r="K352" s="15" t="s">
        <v>555</v>
      </c>
      <c r="L352" s="13" t="s">
        <v>560</v>
      </c>
      <c r="M352" s="15" t="s">
        <v>561</v>
      </c>
      <c r="N352" s="13" t="s">
        <v>188</v>
      </c>
      <c r="O352" s="15" t="s">
        <v>189</v>
      </c>
      <c r="P352" s="15" t="s">
        <v>190</v>
      </c>
      <c r="Q352" s="15" t="s">
        <v>366</v>
      </c>
      <c r="R352" s="13" t="s">
        <v>367</v>
      </c>
      <c r="S352" s="13" t="s">
        <v>212</v>
      </c>
      <c r="T352" s="13" t="s">
        <v>104</v>
      </c>
      <c r="U352" s="14">
        <v>40725</v>
      </c>
      <c r="V352" s="14"/>
      <c r="W352" s="15" t="s">
        <v>574</v>
      </c>
      <c r="X352" s="13" t="s">
        <v>575</v>
      </c>
      <c r="Y352" s="15" t="str">
        <f>VLOOKUP(X352,'Axe 2 Règles de gestion'!$D$2:$F$121,3, FALSE)</f>
        <v>Le détachement peut prendre fin de manière anticipée à l'initiative du ministre de la défense après accord du ministre de la justice.</v>
      </c>
      <c r="Z352" s="13" t="s">
        <v>577</v>
      </c>
      <c r="AA352" s="15" t="str">
        <f>VLOOKUP(Z352,'Axe 2 Règles de gestion'!$D$2:$F$121,3, FALSE)</f>
        <v>Le détachement peut prendre fin de manière anticipée à l'initiative de l'agent lorsqu'il est nommé hors hiérarchie ou promu au premier grade du corps judiciaire.</v>
      </c>
      <c r="AB352" s="13"/>
      <c r="AC352" s="15"/>
      <c r="AD352" s="13"/>
      <c r="AE352" s="15"/>
      <c r="AF352" s="13"/>
      <c r="AG352" s="15"/>
      <c r="AH352" s="13"/>
      <c r="AI352" s="15"/>
      <c r="AJ352" s="13"/>
      <c r="AK352" s="15"/>
      <c r="AL352" s="13"/>
      <c r="AM352" s="15"/>
      <c r="AN352" s="13"/>
      <c r="AO352" s="15"/>
      <c r="AP352" s="13" t="s">
        <v>565</v>
      </c>
      <c r="AQ352" s="15" t="str">
        <f>VLOOKUP(AP352,'Axe 2 Règles de gestion'!$D$2:$F$121,3, FALSE)</f>
        <v>La durée du détachement ne peut excéder 5 ans entre la date de début et la date de fin prévisionnelle.</v>
      </c>
      <c r="AR352" s="13" t="s">
        <v>567</v>
      </c>
      <c r="AS352" s="15" t="str">
        <f>VLOOKUP(AR352,'Axe 2 Règles de gestion'!$D$2:$F$121,3, FALSE)</f>
        <v>La durée du détachement ne peut excéder 5 ans entre la date de début et la date de fin réelle.</v>
      </c>
      <c r="AT352" s="13" t="s">
        <v>214</v>
      </c>
      <c r="AU352" s="15" t="str">
        <f>VLOOKUP(AT352,'Axe 2 Règles de gestion'!$D$2:$F$121,3, FALSE)</f>
        <v>Le détachement de courte durée est interdit.</v>
      </c>
      <c r="AV352" s="13" t="s">
        <v>569</v>
      </c>
      <c r="AW352" s="15" t="str">
        <f>VLOOKUP(AV352,'Axe 2 Règles de gestion'!$D$2:$F$121,3, FALSE)</f>
        <v>Le ministère d'origine saisi est celui de la Justice.</v>
      </c>
      <c r="AX352" s="13" t="s">
        <v>571</v>
      </c>
      <c r="AY352" s="15" t="str">
        <f>VLOOKUP(AX352,'Axe 2 Règles de gestion'!$D$2:$F$121,3, FALSE)</f>
        <v>Le nouveau ministère est celui de la Défense.</v>
      </c>
      <c r="AZ352" s="13"/>
      <c r="BA352" s="15"/>
      <c r="BB352" s="13" t="s">
        <v>126</v>
      </c>
      <c r="BC352" s="15" t="str">
        <f>VLOOKUP(BB352,'Axe 2 Règles de gestion'!$D$2:$F$121,3, FALSE)</f>
        <v>La date de début de position doit être antérieure ou égale à la date de fin prévisionnelle de position.</v>
      </c>
      <c r="BD352" s="13" t="s">
        <v>130</v>
      </c>
      <c r="BE352" s="15" t="str">
        <f>VLOOKUP(BD352,'Axe 2 Règles de gestion'!$D$2:$F$121,3, FALSE)</f>
        <v>La date de fin réelle de la position doit être antérieure à la date limite de départ à la retraite.</v>
      </c>
      <c r="BF352" s="13" t="s">
        <v>132</v>
      </c>
      <c r="BG352" s="15" t="str">
        <f>VLOOKUP(BF352,'Axe 2 Règles de gestion'!$D$2:$F$121,3, FALSE)</f>
        <v>La date de début de position doit être antérieure ou égale à la date de fin réelle de position.</v>
      </c>
      <c r="BH352" s="13" t="s">
        <v>134</v>
      </c>
      <c r="BI352" s="15" t="str">
        <f>VLOOKUP(BH352,'Axe 2 Règles de gestion'!$D$2:$F$121,3, FALSE)</f>
        <v>La date de fin prévisionnelle de la position doit être antérieure à la date limite de départ à la retraite.</v>
      </c>
      <c r="BJ352" s="13" t="s">
        <v>140</v>
      </c>
      <c r="BK352" s="15" t="str">
        <f>VLOOKUP(BJ352,'Axe 2 Règles de gestion'!$D$2:$F$121,3, FALSE)</f>
        <v>Les champs "Type d'organisme d'origine", "Catégorie statutaire d'origine" et "Pays" de l'organisme d'origine doivent être renseignés.</v>
      </c>
      <c r="BL352" s="13" t="s">
        <v>142</v>
      </c>
      <c r="BM352" s="15" t="str">
        <f>VLOOKUP(BL352,'Axe 2 Règles de gestion'!$D$2:$F$121,3, FALSE)</f>
        <v>Les champs "Ministère (ou institution de la République) d'origine", "Corps d'origine", "Grade d'origine", "Echelon d'origine" sont renseignés si le "Type d'organisme d'origine" est valorisé à FPE.</v>
      </c>
      <c r="BN352" s="13" t="s">
        <v>144</v>
      </c>
      <c r="BO352" s="15" t="str">
        <f>VLOOKUP(BN352,'Axe 2 Règles de gestion'!$D$2:$F$121,3, FALSE)</f>
        <v>Le champ "Organisme d'origine" doit être alimenté si le type d'organisme d'origine est égal à 'Autre organisme', 'Fonction publique d'un état de l'Union Européenne' ou 'Fonction publique Européenne'.</v>
      </c>
      <c r="BP352" s="13" t="s">
        <v>146</v>
      </c>
      <c r="BQ352" s="15" t="str">
        <f>VLOOKUP(BP352,'Axe 2 Règles de gestion'!$D$2:$F$121,3, FALSE)</f>
        <v>Le champ "Code emploi statutaire FPT (NET)" est renseigné si le "Type d'organisme d'origine" est valorisé à FPT.</v>
      </c>
      <c r="BR352" s="13" t="s">
        <v>148</v>
      </c>
      <c r="BS352" s="15" t="str">
        <f>VLOOKUP(BR352,'Axe 2 Règles de gestion'!$D$2:$F$121,3, FALSE)</f>
        <v>Le champ "Code emploi statutaire FPH (NEH)" est renseigné si le "Type d'organisme d'origine" est valorisé à FPH.</v>
      </c>
      <c r="BT352" s="13" t="s">
        <v>150</v>
      </c>
      <c r="BU352" s="15" t="str">
        <f>VLOOKUP(BT352,'Axe 2 Règles de gestion'!$D$2:$F$121,3, FALSE)</f>
        <v>La date de fin ou la date de fin prévisionnelle doit être saisie.</v>
      </c>
      <c r="BV352" s="13"/>
      <c r="BW352" s="15"/>
      <c r="BX352" s="13"/>
      <c r="BY352" s="15"/>
      <c r="BZ352" s="13"/>
      <c r="CA352" s="15"/>
      <c r="CB352" s="13"/>
      <c r="CC352" s="15"/>
      <c r="CD352" s="13"/>
      <c r="CE352" s="15"/>
      <c r="CF352" s="13"/>
      <c r="CG352" s="13"/>
    </row>
    <row r="353" spans="1:85" ht="225" x14ac:dyDescent="0.25">
      <c r="A353" s="13" t="s">
        <v>301</v>
      </c>
      <c r="B353" s="13" t="s">
        <v>87</v>
      </c>
      <c r="C353" s="14">
        <v>44713.636805555558</v>
      </c>
      <c r="D353" s="13" t="s">
        <v>88</v>
      </c>
      <c r="E353" s="15" t="s">
        <v>89</v>
      </c>
      <c r="F353" s="13" t="s">
        <v>90</v>
      </c>
      <c r="G353" s="15" t="s">
        <v>91</v>
      </c>
      <c r="H353" s="13" t="s">
        <v>579</v>
      </c>
      <c r="I353" s="15" t="s">
        <v>580</v>
      </c>
      <c r="J353" s="15" t="s">
        <v>581</v>
      </c>
      <c r="K353" s="15" t="s">
        <v>582</v>
      </c>
      <c r="L353" s="13" t="s">
        <v>583</v>
      </c>
      <c r="M353" s="15" t="s">
        <v>584</v>
      </c>
      <c r="N353" s="13" t="s">
        <v>98</v>
      </c>
      <c r="O353" s="15" t="s">
        <v>99</v>
      </c>
      <c r="P353" s="15" t="s">
        <v>171</v>
      </c>
      <c r="Q353" s="15" t="s">
        <v>101</v>
      </c>
      <c r="R353" s="13" t="s">
        <v>102</v>
      </c>
      <c r="S353" s="13" t="s">
        <v>103</v>
      </c>
      <c r="T353" s="13" t="s">
        <v>104</v>
      </c>
      <c r="U353" s="14">
        <v>43274</v>
      </c>
      <c r="V353" s="14">
        <v>44681</v>
      </c>
      <c r="W353" s="15" t="s">
        <v>585</v>
      </c>
      <c r="X353" s="13" t="s">
        <v>586</v>
      </c>
      <c r="Y353" s="15" t="str">
        <f>VLOOKUP(X353,'Axe 2 Règles de gestion'!$D$2:$F$121,3, FALSE)</f>
        <v>L'administration propose à l'agent plusieurs emplois pouvant être pourvus par la voie du détachement.</v>
      </c>
      <c r="Z353" s="13" t="s">
        <v>588</v>
      </c>
      <c r="AA353" s="15" t="str">
        <f>VLOOKUP(Z353,'Axe 2 Règles de gestion'!$D$2:$F$121,3, FALSE)</f>
        <v>L'impossibilité pour l'administration de proposer de tels emplois doit faire l'objet d'une décision motivée.</v>
      </c>
      <c r="AB353" s="13" t="s">
        <v>590</v>
      </c>
      <c r="AC353" s="15" t="str">
        <f>VLOOKUP(AB353,'Axe 2 Règles de gestion'!$D$2:$F$121,3, FALSE)</f>
        <v>L'agent présente une demande de reclassement dans un autre corps par la voie du détachement.</v>
      </c>
      <c r="AD353" s="13"/>
      <c r="AE353" s="15"/>
      <c r="AF353" s="13"/>
      <c r="AG353" s="15"/>
      <c r="AH353" s="13"/>
      <c r="AI353" s="15"/>
      <c r="AJ353" s="13"/>
      <c r="AK353" s="15"/>
      <c r="AL353" s="13"/>
      <c r="AM353" s="15"/>
      <c r="AN353" s="13"/>
      <c r="AO353" s="15"/>
      <c r="AP353" s="13" t="s">
        <v>114</v>
      </c>
      <c r="AQ353" s="15" t="str">
        <f>VLOOKUP(AP353,'Axe 2 Règles de gestion'!$D$2:$F$121,3, FALSE)</f>
        <v>Un détachement de courte durée à l'étranger ou dans les TOM ne peut excéder 1 an entre la date de début et la date de fin prévisionnelle.</v>
      </c>
      <c r="AR353" s="13" t="s">
        <v>116</v>
      </c>
      <c r="AS353" s="15" t="str">
        <f>VLOOKUP(AR353,'Axe 2 Règles de gestion'!$D$2:$F$121,3, FALSE)</f>
        <v>Un détachement de courte durée à l'étranger ou dans les TOM ne peut excéder 1 an entre la date de début et la date de fin réelle.</v>
      </c>
      <c r="AT353" s="13" t="s">
        <v>118</v>
      </c>
      <c r="AU353" s="15" t="str">
        <f>VLOOKUP(AT353,'Axe 2 Règles de gestion'!$D$2:$F$121,3, FALSE)</f>
        <v>Un détachement de courte durée n'ayant pas lieu à l'étranger ou dans les TOM ne peut excéder six mois entre la date de début et la date de fin prévisionnelle.</v>
      </c>
      <c r="AV353" s="13" t="s">
        <v>120</v>
      </c>
      <c r="AW353" s="15" t="str">
        <f>VLOOKUP(AV353,'Axe 2 Règles de gestion'!$D$2:$F$121,3, FALSE)</f>
        <v>Un détachement de courte durée n'ayant pas lieu à l'étranger ou dans les TOM ne peut excéder six mois entre la date de début et la date de fin réelle.</v>
      </c>
      <c r="AX353" s="13" t="s">
        <v>122</v>
      </c>
      <c r="AY353" s="15" t="str">
        <f>VLOOKUP(AX353,'Axe 2 Règles de gestion'!$D$2:$F$121,3, FALSE)</f>
        <v>Un détachement de longue durée ne peut excéder 5 ans entre la date de début et la date de fin prévisionnelle.</v>
      </c>
      <c r="AZ353" s="13" t="s">
        <v>124</v>
      </c>
      <c r="BA353" s="15" t="str">
        <f>VLOOKUP(AZ353,'Axe 2 Règles de gestion'!$D$2:$F$121,3, FALSE)</f>
        <v>Un détachement de longue durée ne peut excéder 5 ans entre la date de début et la date de fin réelle.</v>
      </c>
      <c r="BB353" s="13" t="s">
        <v>126</v>
      </c>
      <c r="BC353" s="15" t="str">
        <f>VLOOKUP(BB353,'Axe 2 Règles de gestion'!$D$2:$F$121,3, FALSE)</f>
        <v>La date de début de position doit être antérieure ou égale à la date de fin prévisionnelle de position.</v>
      </c>
      <c r="BD353" s="13" t="s">
        <v>128</v>
      </c>
      <c r="BE353" s="15" t="str">
        <f>VLOOKUP(BD353,'Axe 2 Règles de gestion'!$D$2:$F$121,3, FALSE)</f>
        <v>La date de début de la position doit être postérieure ou égale à la date d'entrée dans la FPE ou dans la carrière militaire.</v>
      </c>
      <c r="BF353" s="13" t="s">
        <v>130</v>
      </c>
      <c r="BG353" s="15" t="str">
        <f>VLOOKUP(BF353,'Axe 2 Règles de gestion'!$D$2:$F$121,3, FALSE)</f>
        <v>La date de fin réelle de la position doit être antérieure à la date limite de départ à la retraite.</v>
      </c>
      <c r="BH353" s="13" t="s">
        <v>132</v>
      </c>
      <c r="BI353" s="15" t="str">
        <f>VLOOKUP(BH353,'Axe 2 Règles de gestion'!$D$2:$F$121,3, FALSE)</f>
        <v>La date de début de position doit être antérieure ou égale à la date de fin réelle de position.</v>
      </c>
      <c r="BJ353" s="13" t="s">
        <v>134</v>
      </c>
      <c r="BK353" s="15" t="str">
        <f>VLOOKUP(BJ353,'Axe 2 Règles de gestion'!$D$2:$F$121,3, FALSE)</f>
        <v>La date de fin prévisionnelle de la position doit être antérieure à la date limite de départ à la retraite.</v>
      </c>
      <c r="BL353" s="13" t="s">
        <v>136</v>
      </c>
      <c r="BM353" s="15" t="str">
        <f>VLOOKUP(BL353,'Axe 2 Règles de gestion'!$D$2:$F$121,3, FALSE)</f>
        <v>L'indicateur de carrière est sur la valeur "Accueil".</v>
      </c>
      <c r="BN353" s="13" t="s">
        <v>138</v>
      </c>
      <c r="BO353" s="15" t="str">
        <f>VLOOKUP(BN353,'Axe 2 Règles de gestion'!$D$2:$F$121,3, FALSE)</f>
        <v>La date de début de position est à J+1 de la date de fin de position de l'occurrence précédente.</v>
      </c>
      <c r="BP353" s="13" t="s">
        <v>140</v>
      </c>
      <c r="BQ353" s="15" t="str">
        <f>VLOOKUP(BP353,'Axe 2 Règles de gestion'!$D$2:$F$121,3, FALSE)</f>
        <v>Les champs "Type d'organisme d'origine", "Catégorie statutaire d'origine" et "Pays" de l'organisme d'origine doivent être renseignés.</v>
      </c>
      <c r="BR353" s="13" t="s">
        <v>142</v>
      </c>
      <c r="BS353" s="15" t="str">
        <f>VLOOKUP(BR353,'Axe 2 Règles de gestion'!$D$2:$F$121,3, FALSE)</f>
        <v>Les champs "Ministère (ou institution de la République) d'origine", "Corps d'origine", "Grade d'origine", "Echelon d'origine" sont renseignés si le "Type d'organisme d'origine" est valorisé à FPE.</v>
      </c>
      <c r="BT353" s="13" t="s">
        <v>144</v>
      </c>
      <c r="BU353" s="15" t="str">
        <f>VLOOKUP(BT353,'Axe 2 Règles de gestion'!$D$2:$F$121,3, FALSE)</f>
        <v>Le champ "Organisme d'origine" doit être alimenté si le type d'organisme d'origine est égal à 'Autre organisme', 'Fonction publique d'un état de l'Union Européenne' ou 'Fonction publique Européenne'.</v>
      </c>
      <c r="BV353" s="13" t="s">
        <v>146</v>
      </c>
      <c r="BW353" s="15" t="str">
        <f>VLOOKUP(BV353,'Axe 2 Règles de gestion'!$D$2:$F$121,3, FALSE)</f>
        <v>Le champ "Code emploi statutaire FPT (NET)" est renseigné si le "Type d'organisme d'origine" est valorisé à FPT.</v>
      </c>
      <c r="BX353" s="13" t="s">
        <v>148</v>
      </c>
      <c r="BY353" s="15" t="str">
        <f>VLOOKUP(BX353,'Axe 2 Règles de gestion'!$D$2:$F$121,3, FALSE)</f>
        <v>Le champ "Code emploi statutaire FPH (NEH)" est renseigné si le "Type d'organisme d'origine" est valorisé à FPH.</v>
      </c>
      <c r="BZ353" s="13" t="s">
        <v>150</v>
      </c>
      <c r="CA353" s="15" t="str">
        <f>VLOOKUP(BZ353,'Axe 2 Règles de gestion'!$D$2:$F$121,3, FALSE)</f>
        <v>La date de fin ou la date de fin prévisionnelle doit être saisie.</v>
      </c>
      <c r="CB353" s="13" t="s">
        <v>592</v>
      </c>
      <c r="CC353" s="15" t="str">
        <f>VLOOKUP(CB353,'Axe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53" s="13" t="s">
        <v>594</v>
      </c>
      <c r="CE353" s="15" t="str">
        <f>VLOOKUP(CD353,'Axe 2 Règles de gestion'!$D$2:$F$121,3, FALSE)</f>
        <v>Si la date de fin de la situation particulière est renseignée pour la valeur 'Période de préparation au reclassement" alors la date de fin de la situation particulière est égale à la date de fin réelle de la position saisie.</v>
      </c>
      <c r="CF353" s="13"/>
      <c r="CG353" s="13"/>
    </row>
    <row r="354" spans="1:85" ht="225" x14ac:dyDescent="0.25">
      <c r="A354" s="13" t="s">
        <v>301</v>
      </c>
      <c r="B354" s="13" t="s">
        <v>153</v>
      </c>
      <c r="C354" s="14">
        <v>44713.638888888891</v>
      </c>
      <c r="D354" s="13" t="s">
        <v>88</v>
      </c>
      <c r="E354" s="15" t="s">
        <v>89</v>
      </c>
      <c r="F354" s="13" t="s">
        <v>90</v>
      </c>
      <c r="G354" s="15" t="s">
        <v>91</v>
      </c>
      <c r="H354" s="13" t="s">
        <v>579</v>
      </c>
      <c r="I354" s="15" t="s">
        <v>580</v>
      </c>
      <c r="J354" s="15" t="s">
        <v>581</v>
      </c>
      <c r="K354" s="15" t="s">
        <v>582</v>
      </c>
      <c r="L354" s="13" t="s">
        <v>583</v>
      </c>
      <c r="M354" s="15" t="s">
        <v>584</v>
      </c>
      <c r="N354" s="13" t="s">
        <v>98</v>
      </c>
      <c r="O354" s="15" t="s">
        <v>99</v>
      </c>
      <c r="P354" s="15" t="s">
        <v>171</v>
      </c>
      <c r="Q354" s="15" t="s">
        <v>101</v>
      </c>
      <c r="R354" s="13" t="s">
        <v>102</v>
      </c>
      <c r="S354" s="13" t="s">
        <v>103</v>
      </c>
      <c r="T354" s="13" t="s">
        <v>104</v>
      </c>
      <c r="U354" s="14">
        <v>44682</v>
      </c>
      <c r="V354" s="14"/>
      <c r="W354" s="15" t="s">
        <v>596</v>
      </c>
      <c r="X354" s="13" t="s">
        <v>586</v>
      </c>
      <c r="Y354" s="15" t="str">
        <f>VLOOKUP(X354,'Axe 2 Règles de gestion'!$D$2:$F$121,3, FALSE)</f>
        <v>L'administration propose à l'agent plusieurs emplois pouvant être pourvus par la voie du détachement.</v>
      </c>
      <c r="Z354" s="13" t="s">
        <v>588</v>
      </c>
      <c r="AA354" s="15" t="str">
        <f>VLOOKUP(Z354,'Axe 2 Règles de gestion'!$D$2:$F$121,3, FALSE)</f>
        <v>L'impossibilité pour l'administration de proposer de tels emplois doit faire l'objet d'une décision motivée.</v>
      </c>
      <c r="AB354" s="13" t="s">
        <v>597</v>
      </c>
      <c r="AC354" s="15" t="str">
        <f>VLOOKUP(AB354,'Axe 2 Règles de gestion'!$D$2:$F$121,3, FALSE)</f>
        <v>L'agent présente une demande de reclassement dans un autre corps ou cadre d'emplois par la voie du détachement.</v>
      </c>
      <c r="AD354" s="13"/>
      <c r="AE354" s="15"/>
      <c r="AF354" s="13"/>
      <c r="AG354" s="15"/>
      <c r="AH354" s="13"/>
      <c r="AI354" s="15"/>
      <c r="AJ354" s="13"/>
      <c r="AK354" s="15"/>
      <c r="AL354" s="13"/>
      <c r="AM354" s="15"/>
      <c r="AN354" s="13"/>
      <c r="AO354" s="15"/>
      <c r="AP354" s="13" t="s">
        <v>114</v>
      </c>
      <c r="AQ354" s="15" t="str">
        <f>VLOOKUP(AP354,'Axe 2 Règles de gestion'!$D$2:$F$121,3, FALSE)</f>
        <v>Un détachement de courte durée à l'étranger ou dans les TOM ne peut excéder 1 an entre la date de début et la date de fin prévisionnelle.</v>
      </c>
      <c r="AR354" s="13" t="s">
        <v>116</v>
      </c>
      <c r="AS354" s="15" t="str">
        <f>VLOOKUP(AR354,'Axe 2 Règles de gestion'!$D$2:$F$121,3, FALSE)</f>
        <v>Un détachement de courte durée à l'étranger ou dans les TOM ne peut excéder 1 an entre la date de début et la date de fin réelle.</v>
      </c>
      <c r="AT354" s="13" t="s">
        <v>118</v>
      </c>
      <c r="AU354" s="15" t="str">
        <f>VLOOKUP(AT354,'Axe 2 Règles de gestion'!$D$2:$F$121,3, FALSE)</f>
        <v>Un détachement de courte durée n'ayant pas lieu à l'étranger ou dans les TOM ne peut excéder six mois entre la date de début et la date de fin prévisionnelle.</v>
      </c>
      <c r="AV354" s="13" t="s">
        <v>120</v>
      </c>
      <c r="AW354" s="15" t="str">
        <f>VLOOKUP(AV354,'Axe 2 Règles de gestion'!$D$2:$F$121,3, FALSE)</f>
        <v>Un détachement de courte durée n'ayant pas lieu à l'étranger ou dans les TOM ne peut excéder six mois entre la date de début et la date de fin réelle.</v>
      </c>
      <c r="AX354" s="13" t="s">
        <v>122</v>
      </c>
      <c r="AY354" s="15" t="str">
        <f>VLOOKUP(AX354,'Axe 2 Règles de gestion'!$D$2:$F$121,3, FALSE)</f>
        <v>Un détachement de longue durée ne peut excéder 5 ans entre la date de début et la date de fin prévisionnelle.</v>
      </c>
      <c r="AZ354" s="13" t="s">
        <v>124</v>
      </c>
      <c r="BA354" s="15" t="str">
        <f>VLOOKUP(AZ354,'Axe 2 Règles de gestion'!$D$2:$F$121,3, FALSE)</f>
        <v>Un détachement de longue durée ne peut excéder 5 ans entre la date de début et la date de fin réelle.</v>
      </c>
      <c r="BB354" s="13" t="s">
        <v>126</v>
      </c>
      <c r="BC354" s="15" t="str">
        <f>VLOOKUP(BB354,'Axe 2 Règles de gestion'!$D$2:$F$121,3, FALSE)</f>
        <v>La date de début de position doit être antérieure ou égale à la date de fin prévisionnelle de position.</v>
      </c>
      <c r="BD354" s="13" t="s">
        <v>128</v>
      </c>
      <c r="BE354" s="15" t="str">
        <f>VLOOKUP(BD354,'Axe 2 Règles de gestion'!$D$2:$F$121,3, FALSE)</f>
        <v>La date de début de la position doit être postérieure ou égale à la date d'entrée dans la FPE ou dans la carrière militaire.</v>
      </c>
      <c r="BF354" s="13" t="s">
        <v>130</v>
      </c>
      <c r="BG354" s="15" t="str">
        <f>VLOOKUP(BF354,'Axe 2 Règles de gestion'!$D$2:$F$121,3, FALSE)</f>
        <v>La date de fin réelle de la position doit être antérieure à la date limite de départ à la retraite.</v>
      </c>
      <c r="BH354" s="13" t="s">
        <v>132</v>
      </c>
      <c r="BI354" s="15" t="str">
        <f>VLOOKUP(BH354,'Axe 2 Règles de gestion'!$D$2:$F$121,3, FALSE)</f>
        <v>La date de début de position doit être antérieure ou égale à la date de fin réelle de position.</v>
      </c>
      <c r="BJ354" s="13" t="s">
        <v>134</v>
      </c>
      <c r="BK354" s="15" t="str">
        <f>VLOOKUP(BJ354,'Axe 2 Règles de gestion'!$D$2:$F$121,3, FALSE)</f>
        <v>La date de fin prévisionnelle de la position doit être antérieure à la date limite de départ à la retraite.</v>
      </c>
      <c r="BL354" s="13" t="s">
        <v>136</v>
      </c>
      <c r="BM354" s="15" t="str">
        <f>VLOOKUP(BL354,'Axe 2 Règles de gestion'!$D$2:$F$121,3, FALSE)</f>
        <v>L'indicateur de carrière est sur la valeur "Accueil".</v>
      </c>
      <c r="BN354" s="13" t="s">
        <v>138</v>
      </c>
      <c r="BO354" s="15" t="str">
        <f>VLOOKUP(BN354,'Axe 2 Règles de gestion'!$D$2:$F$121,3, FALSE)</f>
        <v>La date de début de position est à J+1 de la date de fin de position de l'occurrence précédente.</v>
      </c>
      <c r="BP354" s="13" t="s">
        <v>140</v>
      </c>
      <c r="BQ354" s="15" t="str">
        <f>VLOOKUP(BP354,'Axe 2 Règles de gestion'!$D$2:$F$121,3, FALSE)</f>
        <v>Les champs "Type d'organisme d'origine", "Catégorie statutaire d'origine" et "Pays" de l'organisme d'origine doivent être renseignés.</v>
      </c>
      <c r="BR354" s="13" t="s">
        <v>142</v>
      </c>
      <c r="BS354" s="15" t="str">
        <f>VLOOKUP(BR354,'Axe 2 Règles de gestion'!$D$2:$F$121,3, FALSE)</f>
        <v>Les champs "Ministère (ou institution de la République) d'origine", "Corps d'origine", "Grade d'origine", "Echelon d'origine" sont renseignés si le "Type d'organisme d'origine" est valorisé à FPE.</v>
      </c>
      <c r="BT354" s="13" t="s">
        <v>144</v>
      </c>
      <c r="BU354" s="15" t="str">
        <f>VLOOKUP(BT354,'Axe 2 Règles de gestion'!$D$2:$F$121,3, FALSE)</f>
        <v>Le champ "Organisme d'origine" doit être alimenté si le type d'organisme d'origine est égal à 'Autre organisme', 'Fonction publique d'un état de l'Union Européenne' ou 'Fonction publique Européenne'.</v>
      </c>
      <c r="BV354" s="13" t="s">
        <v>146</v>
      </c>
      <c r="BW354" s="15" t="str">
        <f>VLOOKUP(BV354,'Axe 2 Règles de gestion'!$D$2:$F$121,3, FALSE)</f>
        <v>Le champ "Code emploi statutaire FPT (NET)" est renseigné si le "Type d'organisme d'origine" est valorisé à FPT.</v>
      </c>
      <c r="BX354" s="13" t="s">
        <v>148</v>
      </c>
      <c r="BY354" s="15" t="str">
        <f>VLOOKUP(BX354,'Axe 2 Règles de gestion'!$D$2:$F$121,3, FALSE)</f>
        <v>Le champ "Code emploi statutaire FPH (NEH)" est renseigné si le "Type d'organisme d'origine" est valorisé à FPH.</v>
      </c>
      <c r="BZ354" s="13" t="s">
        <v>150</v>
      </c>
      <c r="CA354" s="15" t="str">
        <f>VLOOKUP(BZ354,'Axe 2 Règles de gestion'!$D$2:$F$121,3, FALSE)</f>
        <v>La date de fin ou la date de fin prévisionnelle doit être saisie.</v>
      </c>
      <c r="CB354" s="13" t="s">
        <v>592</v>
      </c>
      <c r="CC354" s="15" t="str">
        <f>VLOOKUP(CB354,'Axe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54" s="13" t="s">
        <v>594</v>
      </c>
      <c r="CE354" s="15" t="str">
        <f>VLOOKUP(CD354,'Axe 2 Règles de gestion'!$D$2:$F$121,3, FALSE)</f>
        <v>Si la date de fin de la situation particulière est renseignée pour la valeur 'Période de préparation au reclassement" alors la date de fin de la situation particulière est égale à la date de fin réelle de la position saisie.</v>
      </c>
      <c r="CF354" s="13"/>
      <c r="CG354" s="13"/>
    </row>
    <row r="355" spans="1:85" ht="225" x14ac:dyDescent="0.25">
      <c r="A355" s="13" t="s">
        <v>301</v>
      </c>
      <c r="B355" s="13" t="s">
        <v>87</v>
      </c>
      <c r="C355" s="14">
        <v>44713.64166666667</v>
      </c>
      <c r="D355" s="13" t="s">
        <v>88</v>
      </c>
      <c r="E355" s="15" t="s">
        <v>89</v>
      </c>
      <c r="F355" s="13" t="s">
        <v>90</v>
      </c>
      <c r="G355" s="15" t="s">
        <v>91</v>
      </c>
      <c r="H355" s="13" t="s">
        <v>579</v>
      </c>
      <c r="I355" s="15" t="s">
        <v>580</v>
      </c>
      <c r="J355" s="15" t="s">
        <v>581</v>
      </c>
      <c r="K355" s="15" t="s">
        <v>582</v>
      </c>
      <c r="L355" s="13" t="s">
        <v>599</v>
      </c>
      <c r="M355" s="15" t="s">
        <v>600</v>
      </c>
      <c r="N355" s="13" t="s">
        <v>98</v>
      </c>
      <c r="O355" s="15" t="s">
        <v>170</v>
      </c>
      <c r="P355" s="15" t="s">
        <v>171</v>
      </c>
      <c r="Q355" s="15" t="s">
        <v>101</v>
      </c>
      <c r="R355" s="13" t="s">
        <v>102</v>
      </c>
      <c r="S355" s="13" t="s">
        <v>103</v>
      </c>
      <c r="T355" s="13" t="s">
        <v>104</v>
      </c>
      <c r="U355" s="14">
        <v>43274</v>
      </c>
      <c r="V355" s="14">
        <v>44681</v>
      </c>
      <c r="W355" s="15" t="s">
        <v>601</v>
      </c>
      <c r="X355" s="13" t="s">
        <v>602</v>
      </c>
      <c r="Y355" s="15" t="str">
        <f>VLOOKUP(X355,'Axe 2 Règles de gestion'!$D$2:$F$121,3, FALSE)</f>
        <v>Le comité médical se prononce, à l'issue de chaque période de détachement, sur l'aptitude de l'intéressé à reprendre ses fonctions initiales dans son corps d'origine.</v>
      </c>
      <c r="Z355" s="13" t="s">
        <v>604</v>
      </c>
      <c r="AA355" s="15" t="str">
        <f>VLOOKUP(Z355,'Axe 2 Règles de gestion'!$D$2:$F$121,3, FALSE)</f>
        <v>Si l'inaptitude antérieurement constatée demeure sans que son caractère définitif puisse être affirmé, le comité médical propose le maintien en détachement de l'agent.</v>
      </c>
      <c r="AB355" s="13"/>
      <c r="AC355" s="15"/>
      <c r="AD355" s="13"/>
      <c r="AE355" s="15"/>
      <c r="AF355" s="13"/>
      <c r="AG355" s="15"/>
      <c r="AH355" s="13"/>
      <c r="AI355" s="15"/>
      <c r="AJ355" s="13"/>
      <c r="AK355" s="15"/>
      <c r="AL355" s="13"/>
      <c r="AM355" s="15"/>
      <c r="AN355" s="13"/>
      <c r="AO355" s="15"/>
      <c r="AP355" s="13" t="s">
        <v>122</v>
      </c>
      <c r="AQ355" s="15" t="str">
        <f>VLOOKUP(AP355,'Axe 2 Règles de gestion'!$D$2:$F$121,3, FALSE)</f>
        <v>Un détachement de longue durée ne peut excéder 5 ans entre la date de début et la date de fin prévisionnelle.</v>
      </c>
      <c r="AR355" s="13" t="s">
        <v>124</v>
      </c>
      <c r="AS355" s="15" t="str">
        <f>VLOOKUP(AR355,'Axe 2 Règles de gestion'!$D$2:$F$121,3, FALSE)</f>
        <v>Un détachement de longue durée ne peut excéder 5 ans entre la date de début et la date de fin réelle.</v>
      </c>
      <c r="AT355" s="13" t="s">
        <v>177</v>
      </c>
      <c r="AU355" s="15" t="str">
        <f>VLOOKUP(AT355,'Axe 2 Règles de gestion'!$D$2:$F$121,3, FALSE)</f>
        <v>Le renouvellement d'un détachement de courte durée est interdit.</v>
      </c>
      <c r="AV355" s="13"/>
      <c r="AW355" s="15"/>
      <c r="AX355" s="13"/>
      <c r="AY355" s="15"/>
      <c r="AZ355" s="13"/>
      <c r="BA355" s="15"/>
      <c r="BB355" s="13" t="s">
        <v>126</v>
      </c>
      <c r="BC355" s="15" t="str">
        <f>VLOOKUP(BB355,'Axe 2 Règles de gestion'!$D$2:$F$121,3, FALSE)</f>
        <v>La date de début de position doit être antérieure ou égale à la date de fin prévisionnelle de position.</v>
      </c>
      <c r="BD355" s="13" t="s">
        <v>128</v>
      </c>
      <c r="BE355" s="15" t="str">
        <f>VLOOKUP(BD355,'Axe 2 Règles de gestion'!$D$2:$F$121,3, FALSE)</f>
        <v>La date de début de la position doit être postérieure ou égale à la date d'entrée dans la FPE ou dans la carrière militaire.</v>
      </c>
      <c r="BF355" s="13" t="s">
        <v>130</v>
      </c>
      <c r="BG355" s="15" t="str">
        <f>VLOOKUP(BF355,'Axe 2 Règles de gestion'!$D$2:$F$121,3, FALSE)</f>
        <v>La date de fin réelle de la position doit être antérieure à la date limite de départ à la retraite.</v>
      </c>
      <c r="BH355" s="13" t="s">
        <v>132</v>
      </c>
      <c r="BI355" s="15" t="str">
        <f>VLOOKUP(BH355,'Axe 2 Règles de gestion'!$D$2:$F$121,3, FALSE)</f>
        <v>La date de début de position doit être antérieure ou égale à la date de fin réelle de position.</v>
      </c>
      <c r="BJ355" s="13" t="s">
        <v>134</v>
      </c>
      <c r="BK355" s="15" t="str">
        <f>VLOOKUP(BJ355,'Axe 2 Règles de gestion'!$D$2:$F$121,3, FALSE)</f>
        <v>La date de fin prévisionnelle de la position doit être antérieure à la date limite de départ à la retraite.</v>
      </c>
      <c r="BL355" s="13" t="s">
        <v>136</v>
      </c>
      <c r="BM355" s="15" t="str">
        <f>VLOOKUP(BL355,'Axe 2 Règles de gestion'!$D$2:$F$121,3, FALSE)</f>
        <v>L'indicateur de carrière est sur la valeur "Accueil".</v>
      </c>
      <c r="BN355" s="13" t="s">
        <v>138</v>
      </c>
      <c r="BO355" s="15" t="str">
        <f>VLOOKUP(BN355,'Axe 2 Règles de gestion'!$D$2:$F$121,3, FALSE)</f>
        <v>La date de début de position est à J+1 de la date de fin de position de l'occurrence précédente.</v>
      </c>
      <c r="BP355" s="13" t="s">
        <v>140</v>
      </c>
      <c r="BQ355" s="15" t="str">
        <f>VLOOKUP(BP355,'Axe 2 Règles de gestion'!$D$2:$F$121,3, FALSE)</f>
        <v>Les champs "Type d'organisme d'origine", "Catégorie statutaire d'origine" et "Pays" de l'organisme d'origine doivent être renseignés.</v>
      </c>
      <c r="BR355" s="13" t="s">
        <v>142</v>
      </c>
      <c r="BS355" s="15" t="str">
        <f>VLOOKUP(BR355,'Axe 2 Règles de gestion'!$D$2:$F$121,3, FALSE)</f>
        <v>Les champs "Ministère (ou institution de la République) d'origine", "Corps d'origine", "Grade d'origine", "Echelon d'origine" sont renseignés si le "Type d'organisme d'origine" est valorisé à FPE.</v>
      </c>
      <c r="BT355" s="13" t="s">
        <v>144</v>
      </c>
      <c r="BU355" s="15" t="str">
        <f>VLOOKUP(BT355,'Axe 2 Règles de gestion'!$D$2:$F$121,3, FALSE)</f>
        <v>Le champ "Organisme d'origine" doit être alimenté si le type d'organisme d'origine est égal à 'Autre organisme', 'Fonction publique d'un état de l'Union Européenne' ou 'Fonction publique Européenne'.</v>
      </c>
      <c r="BV355" s="13" t="s">
        <v>146</v>
      </c>
      <c r="BW355" s="15" t="str">
        <f>VLOOKUP(BV355,'Axe 2 Règles de gestion'!$D$2:$F$121,3, FALSE)</f>
        <v>Le champ "Code emploi statutaire FPT (NET)" est renseigné si le "Type d'organisme d'origine" est valorisé à FPT.</v>
      </c>
      <c r="BX355" s="13" t="s">
        <v>148</v>
      </c>
      <c r="BY355" s="15" t="str">
        <f>VLOOKUP(BX355,'Axe 2 Règles de gestion'!$D$2:$F$121,3, FALSE)</f>
        <v>Le champ "Code emploi statutaire FPH (NEH)" est renseigné si le "Type d'organisme d'origine" est valorisé à FPH.</v>
      </c>
      <c r="BZ355" s="13" t="s">
        <v>150</v>
      </c>
      <c r="CA355" s="15" t="str">
        <f>VLOOKUP(BZ355,'Axe 2 Règles de gestion'!$D$2:$F$121,3, FALSE)</f>
        <v>La date de fin ou la date de fin prévisionnelle doit être saisie.</v>
      </c>
      <c r="CB355" s="13" t="s">
        <v>592</v>
      </c>
      <c r="CC355" s="15" t="str">
        <f>VLOOKUP(CB355,'Axe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55" s="13" t="s">
        <v>594</v>
      </c>
      <c r="CE355" s="15" t="str">
        <f>VLOOKUP(CD355,'Axe 2 Règles de gestion'!$D$2:$F$121,3, FALSE)</f>
        <v>Si la date de fin de la situation particulière est renseignée pour la valeur 'Période de préparation au reclassement" alors la date de fin de la situation particulière est égale à la date de fin réelle de la position saisie.</v>
      </c>
      <c r="CF355" s="13"/>
      <c r="CG355" s="13"/>
    </row>
    <row r="356" spans="1:85" ht="225" x14ac:dyDescent="0.25">
      <c r="A356" s="13" t="s">
        <v>301</v>
      </c>
      <c r="B356" s="13" t="s">
        <v>153</v>
      </c>
      <c r="C356" s="14">
        <v>44713.643055555556</v>
      </c>
      <c r="D356" s="13" t="s">
        <v>88</v>
      </c>
      <c r="E356" s="15" t="s">
        <v>89</v>
      </c>
      <c r="F356" s="13" t="s">
        <v>90</v>
      </c>
      <c r="G356" s="15" t="s">
        <v>91</v>
      </c>
      <c r="H356" s="13" t="s">
        <v>579</v>
      </c>
      <c r="I356" s="15" t="s">
        <v>580</v>
      </c>
      <c r="J356" s="15" t="s">
        <v>581</v>
      </c>
      <c r="K356" s="15" t="s">
        <v>582</v>
      </c>
      <c r="L356" s="13" t="s">
        <v>599</v>
      </c>
      <c r="M356" s="15" t="s">
        <v>600</v>
      </c>
      <c r="N356" s="13" t="s">
        <v>98</v>
      </c>
      <c r="O356" s="15" t="s">
        <v>170</v>
      </c>
      <c r="P356" s="15" t="s">
        <v>171</v>
      </c>
      <c r="Q356" s="15" t="s">
        <v>101</v>
      </c>
      <c r="R356" s="13" t="s">
        <v>102</v>
      </c>
      <c r="S356" s="13" t="s">
        <v>103</v>
      </c>
      <c r="T356" s="13" t="s">
        <v>104</v>
      </c>
      <c r="U356" s="14">
        <v>44682</v>
      </c>
      <c r="V356" s="14"/>
      <c r="W356" s="15" t="s">
        <v>606</v>
      </c>
      <c r="X356" s="13" t="s">
        <v>607</v>
      </c>
      <c r="Y356" s="15" t="str">
        <f>VLOOKUP(X356,'Axe 2 Règles de gestion'!$D$2:$F$121,3, FALSE)</f>
        <v>Le conseil médical se prononce, à l'issue de chaque période de détachement, sur l'aptitude de l'agent à reprendre ses fonctions initiales dans son corps d'origine.</v>
      </c>
      <c r="Z356" s="13" t="s">
        <v>609</v>
      </c>
      <c r="AA356" s="15" t="str">
        <f>VLOOKUP(Z356,'Axe 2 Règles de gestion'!$D$2:$F$121,3, FALSE)</f>
        <v>Si l'inaptitude antérieurement constatée demeure sans que son caractère définitif puisse être affirmé, le conseil médical propose le maintien en détachement de l'agent.</v>
      </c>
      <c r="AB356" s="13"/>
      <c r="AC356" s="15"/>
      <c r="AD356" s="13"/>
      <c r="AE356" s="15"/>
      <c r="AF356" s="13"/>
      <c r="AG356" s="15"/>
      <c r="AH356" s="13"/>
      <c r="AI356" s="15"/>
      <c r="AJ356" s="13"/>
      <c r="AK356" s="15"/>
      <c r="AL356" s="13"/>
      <c r="AM356" s="15"/>
      <c r="AN356" s="13"/>
      <c r="AO356" s="15"/>
      <c r="AP356" s="13" t="s">
        <v>122</v>
      </c>
      <c r="AQ356" s="15" t="str">
        <f>VLOOKUP(AP356,'Axe 2 Règles de gestion'!$D$2:$F$121,3, FALSE)</f>
        <v>Un détachement de longue durée ne peut excéder 5 ans entre la date de début et la date de fin prévisionnelle.</v>
      </c>
      <c r="AR356" s="13" t="s">
        <v>124</v>
      </c>
      <c r="AS356" s="15" t="str">
        <f>VLOOKUP(AR356,'Axe 2 Règles de gestion'!$D$2:$F$121,3, FALSE)</f>
        <v>Un détachement de longue durée ne peut excéder 5 ans entre la date de début et la date de fin réelle.</v>
      </c>
      <c r="AT356" s="13" t="s">
        <v>177</v>
      </c>
      <c r="AU356" s="15" t="str">
        <f>VLOOKUP(AT356,'Axe 2 Règles de gestion'!$D$2:$F$121,3, FALSE)</f>
        <v>Le renouvellement d'un détachement de courte durée est interdit.</v>
      </c>
      <c r="AV356" s="13"/>
      <c r="AW356" s="15"/>
      <c r="AX356" s="13"/>
      <c r="AY356" s="15"/>
      <c r="AZ356" s="13"/>
      <c r="BA356" s="15"/>
      <c r="BB356" s="13" t="s">
        <v>126</v>
      </c>
      <c r="BC356" s="15" t="str">
        <f>VLOOKUP(BB356,'Axe 2 Règles de gestion'!$D$2:$F$121,3, FALSE)</f>
        <v>La date de début de position doit être antérieure ou égale à la date de fin prévisionnelle de position.</v>
      </c>
      <c r="BD356" s="13" t="s">
        <v>128</v>
      </c>
      <c r="BE356" s="15" t="str">
        <f>VLOOKUP(BD356,'Axe 2 Règles de gestion'!$D$2:$F$121,3, FALSE)</f>
        <v>La date de début de la position doit être postérieure ou égale à la date d'entrée dans la FPE ou dans la carrière militaire.</v>
      </c>
      <c r="BF356" s="13" t="s">
        <v>130</v>
      </c>
      <c r="BG356" s="15" t="str">
        <f>VLOOKUP(BF356,'Axe 2 Règles de gestion'!$D$2:$F$121,3, FALSE)</f>
        <v>La date de fin réelle de la position doit être antérieure à la date limite de départ à la retraite.</v>
      </c>
      <c r="BH356" s="13" t="s">
        <v>132</v>
      </c>
      <c r="BI356" s="15" t="str">
        <f>VLOOKUP(BH356,'Axe 2 Règles de gestion'!$D$2:$F$121,3, FALSE)</f>
        <v>La date de début de position doit être antérieure ou égale à la date de fin réelle de position.</v>
      </c>
      <c r="BJ356" s="13" t="s">
        <v>134</v>
      </c>
      <c r="BK356" s="15" t="str">
        <f>VLOOKUP(BJ356,'Axe 2 Règles de gestion'!$D$2:$F$121,3, FALSE)</f>
        <v>La date de fin prévisionnelle de la position doit être antérieure à la date limite de départ à la retraite.</v>
      </c>
      <c r="BL356" s="13" t="s">
        <v>136</v>
      </c>
      <c r="BM356" s="15" t="str">
        <f>VLOOKUP(BL356,'Axe 2 Règles de gestion'!$D$2:$F$121,3, FALSE)</f>
        <v>L'indicateur de carrière est sur la valeur "Accueil".</v>
      </c>
      <c r="BN356" s="13" t="s">
        <v>138</v>
      </c>
      <c r="BO356" s="15" t="str">
        <f>VLOOKUP(BN356,'Axe 2 Règles de gestion'!$D$2:$F$121,3, FALSE)</f>
        <v>La date de début de position est à J+1 de la date de fin de position de l'occurrence précédente.</v>
      </c>
      <c r="BP356" s="13" t="s">
        <v>140</v>
      </c>
      <c r="BQ356" s="15" t="str">
        <f>VLOOKUP(BP356,'Axe 2 Règles de gestion'!$D$2:$F$121,3, FALSE)</f>
        <v>Les champs "Type d'organisme d'origine", "Catégorie statutaire d'origine" et "Pays" de l'organisme d'origine doivent être renseignés.</v>
      </c>
      <c r="BR356" s="13" t="s">
        <v>142</v>
      </c>
      <c r="BS356" s="15" t="str">
        <f>VLOOKUP(BR356,'Axe 2 Règles de gestion'!$D$2:$F$121,3, FALSE)</f>
        <v>Les champs "Ministère (ou institution de la République) d'origine", "Corps d'origine", "Grade d'origine", "Echelon d'origine" sont renseignés si le "Type d'organisme d'origine" est valorisé à FPE.</v>
      </c>
      <c r="BT356" s="13" t="s">
        <v>144</v>
      </c>
      <c r="BU356" s="15" t="str">
        <f>VLOOKUP(BT356,'Axe 2 Règles de gestion'!$D$2:$F$121,3, FALSE)</f>
        <v>Le champ "Organisme d'origine" doit être alimenté si le type d'organisme d'origine est égal à 'Autre organisme', 'Fonction publique d'un état de l'Union Européenne' ou 'Fonction publique Européenne'.</v>
      </c>
      <c r="BV356" s="13" t="s">
        <v>146</v>
      </c>
      <c r="BW356" s="15" t="str">
        <f>VLOOKUP(BV356,'Axe 2 Règles de gestion'!$D$2:$F$121,3, FALSE)</f>
        <v>Le champ "Code emploi statutaire FPT (NET)" est renseigné si le "Type d'organisme d'origine" est valorisé à FPT.</v>
      </c>
      <c r="BX356" s="13" t="s">
        <v>148</v>
      </c>
      <c r="BY356" s="15" t="str">
        <f>VLOOKUP(BX356,'Axe 2 Règles de gestion'!$D$2:$F$121,3, FALSE)</f>
        <v>Le champ "Code emploi statutaire FPH (NEH)" est renseigné si le "Type d'organisme d'origine" est valorisé à FPH.</v>
      </c>
      <c r="BZ356" s="13" t="s">
        <v>150</v>
      </c>
      <c r="CA356" s="15" t="str">
        <f>VLOOKUP(BZ356,'Axe 2 Règles de gestion'!$D$2:$F$121,3, FALSE)</f>
        <v>La date de fin ou la date de fin prévisionnelle doit être saisie.</v>
      </c>
      <c r="CB356" s="13" t="s">
        <v>592</v>
      </c>
      <c r="CC356" s="15" t="str">
        <f>VLOOKUP(CB356,'Axe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56" s="13" t="s">
        <v>594</v>
      </c>
      <c r="CE356" s="15" t="str">
        <f>VLOOKUP(CD356,'Axe 2 Règles de gestion'!$D$2:$F$121,3, FALSE)</f>
        <v>Si la date de fin de la situation particulière est renseignée pour la valeur 'Période de préparation au reclassement" alors la date de fin de la situation particulière est égale à la date de fin réelle de la position saisie.</v>
      </c>
      <c r="CF356" s="13"/>
      <c r="CG356" s="13"/>
    </row>
    <row r="357" spans="1:85" ht="225" x14ac:dyDescent="0.25">
      <c r="A357" s="13" t="s">
        <v>86</v>
      </c>
      <c r="B357" s="13" t="s">
        <v>87</v>
      </c>
      <c r="C357" s="14">
        <v>43850.552083333336</v>
      </c>
      <c r="D357" s="13" t="s">
        <v>88</v>
      </c>
      <c r="E357" s="15" t="s">
        <v>89</v>
      </c>
      <c r="F357" s="13" t="s">
        <v>90</v>
      </c>
      <c r="G357" s="15" t="s">
        <v>91</v>
      </c>
      <c r="H357" s="13" t="s">
        <v>579</v>
      </c>
      <c r="I357" s="15" t="s">
        <v>580</v>
      </c>
      <c r="J357" s="15" t="s">
        <v>581</v>
      </c>
      <c r="K357" s="15" t="s">
        <v>582</v>
      </c>
      <c r="L357" s="13" t="s">
        <v>611</v>
      </c>
      <c r="M357" s="15" t="s">
        <v>612</v>
      </c>
      <c r="N357" s="13" t="s">
        <v>188</v>
      </c>
      <c r="O357" s="15" t="s">
        <v>189</v>
      </c>
      <c r="P357" s="15" t="s">
        <v>190</v>
      </c>
      <c r="Q357" s="15" t="s">
        <v>101</v>
      </c>
      <c r="R357" s="13" t="s">
        <v>102</v>
      </c>
      <c r="S357" s="13" t="s">
        <v>103</v>
      </c>
      <c r="T357" s="13" t="s">
        <v>104</v>
      </c>
      <c r="U357" s="14">
        <v>43274</v>
      </c>
      <c r="V357" s="14"/>
      <c r="W357" s="15" t="s">
        <v>613</v>
      </c>
      <c r="X357" s="13" t="s">
        <v>192</v>
      </c>
      <c r="Y357" s="15" t="str">
        <f>VLOOKUP(X357,'Axe 2 Règles de gestion'!$D$2:$F$121,3, FALSE)</f>
        <v>Le détachement peut prendre fin de manière anticipée à l'initiative de l'administration d'accueil, de l'administration d'origine ou de l'agent.</v>
      </c>
      <c r="Z357" s="13" t="s">
        <v>194</v>
      </c>
      <c r="AA357" s="15" t="str">
        <f>VLOOKUP(Z357,'Axe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357" s="13" t="s">
        <v>196</v>
      </c>
      <c r="AC357" s="15" t="str">
        <f>VLOOKUP(AB357,'Axe 2 Règles de gestion'!$D$2:$F$121,3, FALSE)</f>
        <v>L'agent doit adresser une demande de réintégration à l'administration d'origine 3 mois au moins avant l'expiration de la période de détachement de longue durée.</v>
      </c>
      <c r="AD357" s="13" t="s">
        <v>175</v>
      </c>
      <c r="AE357" s="15" t="str">
        <f>VLOOKUP(AD357,'Axe 2 Règles de gestion'!$D$2:$F$121,3, FALSE)</f>
        <v>L'organisme d'accueil adresse sa décision à l'agent et à l'administration d'origine 2 mois au moins avant l'expiration de la période de détachement.</v>
      </c>
      <c r="AF357" s="13" t="s">
        <v>198</v>
      </c>
      <c r="AG357" s="15" t="str">
        <f>VLOOKUP(AF357,'Axe 2 Règles de gestion'!$D$2:$F$121,3, FALSE)</f>
        <v>Si l'agent n'adresse pas sa demande dans les délais, il est obligatoirement réintégré à la première vacance dans son corps d'origine et affecté à un emploi correspondant à son grade.</v>
      </c>
      <c r="AH357" s="13" t="s">
        <v>200</v>
      </c>
      <c r="AI357" s="15" t="str">
        <f>VLOOKUP(AH357,'Axe 2 Règles de gestion'!$D$2:$F$121,3, FALSE)</f>
        <v>Les dispositions relatives à la réintégration au terme d'un détachement de longue durée ne sont pas applicables aux préfets et sous-préfets.</v>
      </c>
      <c r="AJ357" s="13"/>
      <c r="AK357" s="15"/>
      <c r="AL357" s="13"/>
      <c r="AM357" s="15"/>
      <c r="AN357" s="13"/>
      <c r="AO357" s="15"/>
      <c r="AP357" s="13" t="s">
        <v>114</v>
      </c>
      <c r="AQ357" s="15" t="str">
        <f>VLOOKUP(AP357,'Axe 2 Règles de gestion'!$D$2:$F$121,3, FALSE)</f>
        <v>Un détachement de courte durée à l'étranger ou dans les TOM ne peut excéder 1 an entre la date de début et la date de fin prévisionnelle.</v>
      </c>
      <c r="AR357" s="13" t="s">
        <v>116</v>
      </c>
      <c r="AS357" s="15" t="str">
        <f>VLOOKUP(AR357,'Axe 2 Règles de gestion'!$D$2:$F$121,3, FALSE)</f>
        <v>Un détachement de courte durée à l'étranger ou dans les TOM ne peut excéder 1 an entre la date de début et la date de fin réelle.</v>
      </c>
      <c r="AT357" s="13" t="s">
        <v>118</v>
      </c>
      <c r="AU357" s="15" t="str">
        <f>VLOOKUP(AT357,'Axe 2 Règles de gestion'!$D$2:$F$121,3, FALSE)</f>
        <v>Un détachement de courte durée n'ayant pas lieu à l'étranger ou dans les TOM ne peut excéder six mois entre la date de début et la date de fin prévisionnelle.</v>
      </c>
      <c r="AV357" s="13" t="s">
        <v>120</v>
      </c>
      <c r="AW357" s="15" t="str">
        <f>VLOOKUP(AV357,'Axe 2 Règles de gestion'!$D$2:$F$121,3, FALSE)</f>
        <v>Un détachement de courte durée n'ayant pas lieu à l'étranger ou dans les TOM ne peut excéder six mois entre la date de début et la date de fin réelle.</v>
      </c>
      <c r="AX357" s="13" t="s">
        <v>122</v>
      </c>
      <c r="AY357" s="15" t="str">
        <f>VLOOKUP(AX357,'Axe 2 Règles de gestion'!$D$2:$F$121,3, FALSE)</f>
        <v>Un détachement de longue durée ne peut excéder 5 ans entre la date de début et la date de fin prévisionnelle.</v>
      </c>
      <c r="AZ357" s="13" t="s">
        <v>124</v>
      </c>
      <c r="BA357" s="15" t="str">
        <f>VLOOKUP(AZ357,'Axe 2 Règles de gestion'!$D$2:$F$121,3, FALSE)</f>
        <v>Un détachement de longue durée ne peut excéder 5 ans entre la date de début et la date de fin réelle.</v>
      </c>
      <c r="BB357" s="13" t="s">
        <v>126</v>
      </c>
      <c r="BC357" s="15" t="str">
        <f>VLOOKUP(BB357,'Axe 2 Règles de gestion'!$D$2:$F$121,3, FALSE)</f>
        <v>La date de début de position doit être antérieure ou égale à la date de fin prévisionnelle de position.</v>
      </c>
      <c r="BD357" s="13" t="s">
        <v>130</v>
      </c>
      <c r="BE357" s="15" t="str">
        <f>VLOOKUP(BD357,'Axe 2 Règles de gestion'!$D$2:$F$121,3, FALSE)</f>
        <v>La date de fin réelle de la position doit être antérieure à la date limite de départ à la retraite.</v>
      </c>
      <c r="BF357" s="13" t="s">
        <v>132</v>
      </c>
      <c r="BG357" s="15" t="str">
        <f>VLOOKUP(BF357,'Axe 2 Règles de gestion'!$D$2:$F$121,3, FALSE)</f>
        <v>La date de début de position doit être antérieure ou égale à la date de fin réelle de position.</v>
      </c>
      <c r="BH357" s="13" t="s">
        <v>134</v>
      </c>
      <c r="BI357" s="15" t="str">
        <f>VLOOKUP(BH357,'Axe 2 Règles de gestion'!$D$2:$F$121,3, FALSE)</f>
        <v>La date de fin prévisionnelle de la position doit être antérieure à la date limite de départ à la retraite.</v>
      </c>
      <c r="BJ357" s="13" t="s">
        <v>140</v>
      </c>
      <c r="BK357" s="15" t="str">
        <f>VLOOKUP(BJ357,'Axe 2 Règles de gestion'!$D$2:$F$121,3, FALSE)</f>
        <v>Les champs "Type d'organisme d'origine", "Catégorie statutaire d'origine" et "Pays" de l'organisme d'origine doivent être renseignés.</v>
      </c>
      <c r="BL357" s="13" t="s">
        <v>142</v>
      </c>
      <c r="BM357" s="15" t="str">
        <f>VLOOKUP(BL357,'Axe 2 Règles de gestion'!$D$2:$F$121,3, FALSE)</f>
        <v>Les champs "Ministère (ou institution de la République) d'origine", "Corps d'origine", "Grade d'origine", "Echelon d'origine" sont renseignés si le "Type d'organisme d'origine" est valorisé à FPE.</v>
      </c>
      <c r="BN357" s="13" t="s">
        <v>144</v>
      </c>
      <c r="BO357" s="15" t="str">
        <f>VLOOKUP(BN357,'Axe 2 Règles de gestion'!$D$2:$F$121,3, FALSE)</f>
        <v>Le champ "Organisme d'origine" doit être alimenté si le type d'organisme d'origine est égal à 'Autre organisme', 'Fonction publique d'un état de l'Union Européenne' ou 'Fonction publique Européenne'.</v>
      </c>
      <c r="BP357" s="13" t="s">
        <v>146</v>
      </c>
      <c r="BQ357" s="15" t="str">
        <f>VLOOKUP(BP357,'Axe 2 Règles de gestion'!$D$2:$F$121,3, FALSE)</f>
        <v>Le champ "Code emploi statutaire FPT (NET)" est renseigné si le "Type d'organisme d'origine" est valorisé à FPT.</v>
      </c>
      <c r="BR357" s="13" t="s">
        <v>148</v>
      </c>
      <c r="BS357" s="15" t="str">
        <f>VLOOKUP(BR357,'Axe 2 Règles de gestion'!$D$2:$F$121,3, FALSE)</f>
        <v>Le champ "Code emploi statutaire FPH (NEH)" est renseigné si le "Type d'organisme d'origine" est valorisé à FPH.</v>
      </c>
      <c r="BT357" s="13" t="s">
        <v>150</v>
      </c>
      <c r="BU357" s="15" t="str">
        <f>VLOOKUP(BT357,'Axe 2 Règles de gestion'!$D$2:$F$121,3, FALSE)</f>
        <v>La date de fin ou la date de fin prévisionnelle doit être saisie.</v>
      </c>
      <c r="BV357" s="13" t="s">
        <v>592</v>
      </c>
      <c r="BW357" s="15" t="str">
        <f>VLOOKUP(BV357,'Axe 2 Règles de gestion'!$D$2:$F$121,3, FALSE)</f>
        <v>Si la date de début de la situation particulière est renseignée pour la valeur 'Période de préparation au reclassement" alors la date de début de la situation particulière est égale à la date de début de la position saisie.</v>
      </c>
      <c r="BX357" s="13" t="s">
        <v>594</v>
      </c>
      <c r="BY357" s="15" t="str">
        <f>VLOOKUP(BX357,'Axe 2 Règles de gestion'!$D$2:$F$121,3, FALSE)</f>
        <v>Si la date de fin de la situation particulière est renseignée pour la valeur 'Période de préparation au reclassement" alors la date de fin de la situation particulière est égale à la date de fin réelle de la position saisie.</v>
      </c>
      <c r="BZ357" s="13"/>
      <c r="CA357" s="15"/>
      <c r="CB357" s="13"/>
      <c r="CC357" s="15"/>
      <c r="CD357" s="13"/>
      <c r="CE357" s="15"/>
      <c r="CF357" s="13"/>
      <c r="CG357" s="13"/>
    </row>
    <row r="358" spans="1:85" ht="225" x14ac:dyDescent="0.25">
      <c r="A358" s="13" t="s">
        <v>614</v>
      </c>
      <c r="B358" s="13" t="s">
        <v>153</v>
      </c>
      <c r="C358" s="14">
        <v>43649.741666666669</v>
      </c>
      <c r="D358" s="13" t="s">
        <v>88</v>
      </c>
      <c r="E358" s="15" t="s">
        <v>89</v>
      </c>
      <c r="F358" s="13" t="s">
        <v>90</v>
      </c>
      <c r="G358" s="15" t="s">
        <v>91</v>
      </c>
      <c r="H358" s="13" t="s">
        <v>579</v>
      </c>
      <c r="I358" s="15" t="s">
        <v>580</v>
      </c>
      <c r="J358" s="15" t="s">
        <v>581</v>
      </c>
      <c r="K358" s="15" t="s">
        <v>582</v>
      </c>
      <c r="L358" s="13" t="s">
        <v>583</v>
      </c>
      <c r="M358" s="15" t="s">
        <v>584</v>
      </c>
      <c r="N358" s="13" t="s">
        <v>98</v>
      </c>
      <c r="O358" s="15" t="s">
        <v>99</v>
      </c>
      <c r="P358" s="15" t="s">
        <v>171</v>
      </c>
      <c r="Q358" s="15" t="s">
        <v>615</v>
      </c>
      <c r="R358" s="13" t="s">
        <v>616</v>
      </c>
      <c r="S358" s="13" t="s">
        <v>103</v>
      </c>
      <c r="T358" s="13" t="s">
        <v>205</v>
      </c>
      <c r="U358" s="14">
        <v>43274</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3"/>
    </row>
    <row r="359" spans="1:85" ht="225" x14ac:dyDescent="0.25">
      <c r="A359" s="13" t="s">
        <v>614</v>
      </c>
      <c r="B359" s="13" t="s">
        <v>153</v>
      </c>
      <c r="C359" s="14">
        <v>43649.742361111108</v>
      </c>
      <c r="D359" s="13" t="s">
        <v>88</v>
      </c>
      <c r="E359" s="15" t="s">
        <v>89</v>
      </c>
      <c r="F359" s="13" t="s">
        <v>90</v>
      </c>
      <c r="G359" s="15" t="s">
        <v>91</v>
      </c>
      <c r="H359" s="13" t="s">
        <v>579</v>
      </c>
      <c r="I359" s="15" t="s">
        <v>580</v>
      </c>
      <c r="J359" s="15" t="s">
        <v>581</v>
      </c>
      <c r="K359" s="15" t="s">
        <v>582</v>
      </c>
      <c r="L359" s="13" t="s">
        <v>599</v>
      </c>
      <c r="M359" s="15" t="s">
        <v>600</v>
      </c>
      <c r="N359" s="13" t="s">
        <v>98</v>
      </c>
      <c r="O359" s="15" t="s">
        <v>170</v>
      </c>
      <c r="P359" s="15" t="s">
        <v>171</v>
      </c>
      <c r="Q359" s="15" t="s">
        <v>615</v>
      </c>
      <c r="R359" s="13" t="s">
        <v>616</v>
      </c>
      <c r="S359" s="13" t="s">
        <v>103</v>
      </c>
      <c r="T359" s="13" t="s">
        <v>205</v>
      </c>
      <c r="U359" s="14">
        <v>43274</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3"/>
    </row>
    <row r="360" spans="1:85" ht="225" x14ac:dyDescent="0.25">
      <c r="A360" s="13" t="s">
        <v>614</v>
      </c>
      <c r="B360" s="13" t="s">
        <v>153</v>
      </c>
      <c r="C360" s="14">
        <v>43649.743750000001</v>
      </c>
      <c r="D360" s="13" t="s">
        <v>88</v>
      </c>
      <c r="E360" s="15" t="s">
        <v>89</v>
      </c>
      <c r="F360" s="13" t="s">
        <v>90</v>
      </c>
      <c r="G360" s="15" t="s">
        <v>91</v>
      </c>
      <c r="H360" s="13" t="s">
        <v>579</v>
      </c>
      <c r="I360" s="15" t="s">
        <v>580</v>
      </c>
      <c r="J360" s="15" t="s">
        <v>581</v>
      </c>
      <c r="K360" s="15" t="s">
        <v>582</v>
      </c>
      <c r="L360" s="13" t="s">
        <v>611</v>
      </c>
      <c r="M360" s="15" t="s">
        <v>612</v>
      </c>
      <c r="N360" s="13" t="s">
        <v>188</v>
      </c>
      <c r="O360" s="15" t="s">
        <v>189</v>
      </c>
      <c r="P360" s="15" t="s">
        <v>190</v>
      </c>
      <c r="Q360" s="15" t="s">
        <v>615</v>
      </c>
      <c r="R360" s="13" t="s">
        <v>616</v>
      </c>
      <c r="S360" s="13" t="s">
        <v>103</v>
      </c>
      <c r="T360" s="13" t="s">
        <v>205</v>
      </c>
      <c r="U360" s="14">
        <v>43274</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3"/>
    </row>
    <row r="361" spans="1:85" ht="225" x14ac:dyDescent="0.25">
      <c r="A361" s="13" t="s">
        <v>614</v>
      </c>
      <c r="B361" s="13" t="s">
        <v>153</v>
      </c>
      <c r="C361" s="14">
        <v>43649.740277777775</v>
      </c>
      <c r="D361" s="13" t="s">
        <v>88</v>
      </c>
      <c r="E361" s="15" t="s">
        <v>89</v>
      </c>
      <c r="F361" s="13" t="s">
        <v>90</v>
      </c>
      <c r="G361" s="15" t="s">
        <v>91</v>
      </c>
      <c r="H361" s="13" t="s">
        <v>579</v>
      </c>
      <c r="I361" s="15" t="s">
        <v>580</v>
      </c>
      <c r="J361" s="15" t="s">
        <v>581</v>
      </c>
      <c r="K361" s="15" t="s">
        <v>582</v>
      </c>
      <c r="L361" s="13" t="s">
        <v>583</v>
      </c>
      <c r="M361" s="15" t="s">
        <v>584</v>
      </c>
      <c r="N361" s="13" t="s">
        <v>98</v>
      </c>
      <c r="O361" s="15" t="s">
        <v>99</v>
      </c>
      <c r="P361" s="15" t="s">
        <v>171</v>
      </c>
      <c r="Q361" s="15" t="s">
        <v>203</v>
      </c>
      <c r="R361" s="13" t="s">
        <v>204</v>
      </c>
      <c r="S361" s="13" t="s">
        <v>103</v>
      </c>
      <c r="T361" s="13" t="s">
        <v>205</v>
      </c>
      <c r="U361" s="14">
        <v>43274</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3"/>
    </row>
    <row r="362" spans="1:85" ht="225" x14ac:dyDescent="0.25">
      <c r="A362" s="13" t="s">
        <v>614</v>
      </c>
      <c r="B362" s="13" t="s">
        <v>153</v>
      </c>
      <c r="C362" s="14">
        <v>43649.741666666669</v>
      </c>
      <c r="D362" s="13" t="s">
        <v>88</v>
      </c>
      <c r="E362" s="15" t="s">
        <v>89</v>
      </c>
      <c r="F362" s="13" t="s">
        <v>90</v>
      </c>
      <c r="G362" s="15" t="s">
        <v>91</v>
      </c>
      <c r="H362" s="13" t="s">
        <v>579</v>
      </c>
      <c r="I362" s="15" t="s">
        <v>580</v>
      </c>
      <c r="J362" s="15" t="s">
        <v>581</v>
      </c>
      <c r="K362" s="15" t="s">
        <v>582</v>
      </c>
      <c r="L362" s="13" t="s">
        <v>599</v>
      </c>
      <c r="M362" s="15" t="s">
        <v>600</v>
      </c>
      <c r="N362" s="13" t="s">
        <v>98</v>
      </c>
      <c r="O362" s="15" t="s">
        <v>170</v>
      </c>
      <c r="P362" s="15" t="s">
        <v>171</v>
      </c>
      <c r="Q362" s="15" t="s">
        <v>203</v>
      </c>
      <c r="R362" s="13" t="s">
        <v>204</v>
      </c>
      <c r="S362" s="13" t="s">
        <v>103</v>
      </c>
      <c r="T362" s="13" t="s">
        <v>205</v>
      </c>
      <c r="U362" s="14">
        <v>43274</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3"/>
    </row>
    <row r="363" spans="1:85" ht="225" x14ac:dyDescent="0.25">
      <c r="A363" s="13" t="s">
        <v>614</v>
      </c>
      <c r="B363" s="13" t="s">
        <v>153</v>
      </c>
      <c r="C363" s="14">
        <v>43649.743055555555</v>
      </c>
      <c r="D363" s="13" t="s">
        <v>88</v>
      </c>
      <c r="E363" s="15" t="s">
        <v>89</v>
      </c>
      <c r="F363" s="13" t="s">
        <v>90</v>
      </c>
      <c r="G363" s="15" t="s">
        <v>91</v>
      </c>
      <c r="H363" s="13" t="s">
        <v>579</v>
      </c>
      <c r="I363" s="15" t="s">
        <v>580</v>
      </c>
      <c r="J363" s="15" t="s">
        <v>581</v>
      </c>
      <c r="K363" s="15" t="s">
        <v>582</v>
      </c>
      <c r="L363" s="13" t="s">
        <v>611</v>
      </c>
      <c r="M363" s="15" t="s">
        <v>612</v>
      </c>
      <c r="N363" s="13" t="s">
        <v>188</v>
      </c>
      <c r="O363" s="15" t="s">
        <v>189</v>
      </c>
      <c r="P363" s="15" t="s">
        <v>190</v>
      </c>
      <c r="Q363" s="15" t="s">
        <v>203</v>
      </c>
      <c r="R363" s="13" t="s">
        <v>204</v>
      </c>
      <c r="S363" s="13" t="s">
        <v>103</v>
      </c>
      <c r="T363" s="13" t="s">
        <v>205</v>
      </c>
      <c r="U363" s="14">
        <v>43274</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3"/>
    </row>
    <row r="364" spans="1:85" ht="225" x14ac:dyDescent="0.25">
      <c r="A364" s="13" t="s">
        <v>614</v>
      </c>
      <c r="B364" s="13" t="s">
        <v>153</v>
      </c>
      <c r="C364" s="14">
        <v>43649.740277777775</v>
      </c>
      <c r="D364" s="13" t="s">
        <v>88</v>
      </c>
      <c r="E364" s="15" t="s">
        <v>89</v>
      </c>
      <c r="F364" s="13" t="s">
        <v>90</v>
      </c>
      <c r="G364" s="15" t="s">
        <v>91</v>
      </c>
      <c r="H364" s="13" t="s">
        <v>579</v>
      </c>
      <c r="I364" s="15" t="s">
        <v>580</v>
      </c>
      <c r="J364" s="15" t="s">
        <v>581</v>
      </c>
      <c r="K364" s="15" t="s">
        <v>582</v>
      </c>
      <c r="L364" s="13" t="s">
        <v>583</v>
      </c>
      <c r="M364" s="15" t="s">
        <v>584</v>
      </c>
      <c r="N364" s="13" t="s">
        <v>98</v>
      </c>
      <c r="O364" s="15" t="s">
        <v>99</v>
      </c>
      <c r="P364" s="15" t="s">
        <v>171</v>
      </c>
      <c r="Q364" s="15" t="s">
        <v>206</v>
      </c>
      <c r="R364" s="13" t="s">
        <v>207</v>
      </c>
      <c r="S364" s="13" t="s">
        <v>103</v>
      </c>
      <c r="T364" s="13" t="s">
        <v>205</v>
      </c>
      <c r="U364" s="14">
        <v>43274</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3"/>
    </row>
    <row r="365" spans="1:85" ht="225" x14ac:dyDescent="0.25">
      <c r="A365" s="13" t="s">
        <v>614</v>
      </c>
      <c r="B365" s="13" t="s">
        <v>153</v>
      </c>
      <c r="C365" s="14">
        <v>43649.741666666669</v>
      </c>
      <c r="D365" s="13" t="s">
        <v>88</v>
      </c>
      <c r="E365" s="15" t="s">
        <v>89</v>
      </c>
      <c r="F365" s="13" t="s">
        <v>90</v>
      </c>
      <c r="G365" s="15" t="s">
        <v>91</v>
      </c>
      <c r="H365" s="13" t="s">
        <v>579</v>
      </c>
      <c r="I365" s="15" t="s">
        <v>580</v>
      </c>
      <c r="J365" s="15" t="s">
        <v>581</v>
      </c>
      <c r="K365" s="15" t="s">
        <v>582</v>
      </c>
      <c r="L365" s="13" t="s">
        <v>599</v>
      </c>
      <c r="M365" s="15" t="s">
        <v>600</v>
      </c>
      <c r="N365" s="13" t="s">
        <v>98</v>
      </c>
      <c r="O365" s="15" t="s">
        <v>170</v>
      </c>
      <c r="P365" s="15" t="s">
        <v>171</v>
      </c>
      <c r="Q365" s="15" t="s">
        <v>206</v>
      </c>
      <c r="R365" s="13" t="s">
        <v>207</v>
      </c>
      <c r="S365" s="13" t="s">
        <v>103</v>
      </c>
      <c r="T365" s="13" t="s">
        <v>205</v>
      </c>
      <c r="U365" s="14">
        <v>43639</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3"/>
    </row>
    <row r="366" spans="1:85" ht="225" x14ac:dyDescent="0.25">
      <c r="A366" s="13" t="s">
        <v>614</v>
      </c>
      <c r="B366" s="13" t="s">
        <v>153</v>
      </c>
      <c r="C366" s="14">
        <v>43649.743055555555</v>
      </c>
      <c r="D366" s="13" t="s">
        <v>88</v>
      </c>
      <c r="E366" s="15" t="s">
        <v>89</v>
      </c>
      <c r="F366" s="13" t="s">
        <v>90</v>
      </c>
      <c r="G366" s="15" t="s">
        <v>91</v>
      </c>
      <c r="H366" s="13" t="s">
        <v>579</v>
      </c>
      <c r="I366" s="15" t="s">
        <v>580</v>
      </c>
      <c r="J366" s="15" t="s">
        <v>581</v>
      </c>
      <c r="K366" s="15" t="s">
        <v>582</v>
      </c>
      <c r="L366" s="13" t="s">
        <v>611</v>
      </c>
      <c r="M366" s="15" t="s">
        <v>612</v>
      </c>
      <c r="N366" s="13" t="s">
        <v>188</v>
      </c>
      <c r="O366" s="15" t="s">
        <v>189</v>
      </c>
      <c r="P366" s="15" t="s">
        <v>190</v>
      </c>
      <c r="Q366" s="15" t="s">
        <v>206</v>
      </c>
      <c r="R366" s="13" t="s">
        <v>207</v>
      </c>
      <c r="S366" s="13" t="s">
        <v>103</v>
      </c>
      <c r="T366" s="13" t="s">
        <v>205</v>
      </c>
      <c r="U366" s="14">
        <v>43274</v>
      </c>
      <c r="V366" s="14"/>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3"/>
    </row>
    <row r="367" spans="1:85" ht="225" x14ac:dyDescent="0.25">
      <c r="A367" s="13" t="s">
        <v>614</v>
      </c>
      <c r="B367" s="13" t="s">
        <v>153</v>
      </c>
      <c r="C367" s="14">
        <v>43649.740972222222</v>
      </c>
      <c r="D367" s="13" t="s">
        <v>88</v>
      </c>
      <c r="E367" s="15" t="s">
        <v>89</v>
      </c>
      <c r="F367" s="13" t="s">
        <v>90</v>
      </c>
      <c r="G367" s="15" t="s">
        <v>91</v>
      </c>
      <c r="H367" s="13" t="s">
        <v>579</v>
      </c>
      <c r="I367" s="15" t="s">
        <v>580</v>
      </c>
      <c r="J367" s="15" t="s">
        <v>581</v>
      </c>
      <c r="K367" s="15" t="s">
        <v>582</v>
      </c>
      <c r="L367" s="13" t="s">
        <v>583</v>
      </c>
      <c r="M367" s="15" t="s">
        <v>584</v>
      </c>
      <c r="N367" s="13" t="s">
        <v>98</v>
      </c>
      <c r="O367" s="15" t="s">
        <v>99</v>
      </c>
      <c r="P367" s="15" t="s">
        <v>171</v>
      </c>
      <c r="Q367" s="15" t="s">
        <v>208</v>
      </c>
      <c r="R367" s="13" t="s">
        <v>209</v>
      </c>
      <c r="S367" s="13" t="s">
        <v>103</v>
      </c>
      <c r="T367" s="13" t="s">
        <v>205</v>
      </c>
      <c r="U367" s="14">
        <v>43274</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3"/>
    </row>
    <row r="368" spans="1:85" ht="225" x14ac:dyDescent="0.25">
      <c r="A368" s="13" t="s">
        <v>614</v>
      </c>
      <c r="B368" s="13" t="s">
        <v>153</v>
      </c>
      <c r="C368" s="14">
        <v>43649.742361111108</v>
      </c>
      <c r="D368" s="13" t="s">
        <v>88</v>
      </c>
      <c r="E368" s="15" t="s">
        <v>89</v>
      </c>
      <c r="F368" s="13" t="s">
        <v>90</v>
      </c>
      <c r="G368" s="15" t="s">
        <v>91</v>
      </c>
      <c r="H368" s="13" t="s">
        <v>579</v>
      </c>
      <c r="I368" s="15" t="s">
        <v>580</v>
      </c>
      <c r="J368" s="15" t="s">
        <v>581</v>
      </c>
      <c r="K368" s="15" t="s">
        <v>582</v>
      </c>
      <c r="L368" s="13" t="s">
        <v>599</v>
      </c>
      <c r="M368" s="15" t="s">
        <v>600</v>
      </c>
      <c r="N368" s="13" t="s">
        <v>98</v>
      </c>
      <c r="O368" s="15" t="s">
        <v>170</v>
      </c>
      <c r="P368" s="15" t="s">
        <v>171</v>
      </c>
      <c r="Q368" s="15" t="s">
        <v>208</v>
      </c>
      <c r="R368" s="13" t="s">
        <v>209</v>
      </c>
      <c r="S368" s="13" t="s">
        <v>103</v>
      </c>
      <c r="T368" s="13" t="s">
        <v>205</v>
      </c>
      <c r="U368" s="14">
        <v>43274</v>
      </c>
      <c r="V368" s="14"/>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3"/>
    </row>
    <row r="369" spans="1:85" ht="225" x14ac:dyDescent="0.25">
      <c r="A369" s="13" t="s">
        <v>614</v>
      </c>
      <c r="B369" s="13" t="s">
        <v>153</v>
      </c>
      <c r="C369" s="14">
        <v>43649.743750000001</v>
      </c>
      <c r="D369" s="13" t="s">
        <v>88</v>
      </c>
      <c r="E369" s="15" t="s">
        <v>89</v>
      </c>
      <c r="F369" s="13" t="s">
        <v>90</v>
      </c>
      <c r="G369" s="15" t="s">
        <v>91</v>
      </c>
      <c r="H369" s="13" t="s">
        <v>579</v>
      </c>
      <c r="I369" s="15" t="s">
        <v>580</v>
      </c>
      <c r="J369" s="15" t="s">
        <v>581</v>
      </c>
      <c r="K369" s="15" t="s">
        <v>582</v>
      </c>
      <c r="L369" s="13" t="s">
        <v>611</v>
      </c>
      <c r="M369" s="15" t="s">
        <v>612</v>
      </c>
      <c r="N369" s="13" t="s">
        <v>188</v>
      </c>
      <c r="O369" s="15" t="s">
        <v>189</v>
      </c>
      <c r="P369" s="15" t="s">
        <v>190</v>
      </c>
      <c r="Q369" s="15" t="s">
        <v>208</v>
      </c>
      <c r="R369" s="13" t="s">
        <v>209</v>
      </c>
      <c r="S369" s="13" t="s">
        <v>103</v>
      </c>
      <c r="T369" s="13" t="s">
        <v>205</v>
      </c>
      <c r="U369" s="14">
        <v>43274</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3"/>
    </row>
    <row r="370" spans="1:85" ht="210" x14ac:dyDescent="0.25">
      <c r="A370" s="13" t="s">
        <v>301</v>
      </c>
      <c r="B370" s="13" t="s">
        <v>87</v>
      </c>
      <c r="C370" s="14">
        <v>44713.644444444442</v>
      </c>
      <c r="D370" s="13" t="s">
        <v>88</v>
      </c>
      <c r="E370" s="15" t="s">
        <v>89</v>
      </c>
      <c r="F370" s="13" t="s">
        <v>90</v>
      </c>
      <c r="G370" s="15" t="s">
        <v>91</v>
      </c>
      <c r="H370" s="13" t="s">
        <v>617</v>
      </c>
      <c r="I370" s="15" t="s">
        <v>618</v>
      </c>
      <c r="J370" s="15" t="s">
        <v>619</v>
      </c>
      <c r="K370" s="15" t="s">
        <v>620</v>
      </c>
      <c r="L370" s="13" t="s">
        <v>621</v>
      </c>
      <c r="M370" s="15" t="s">
        <v>622</v>
      </c>
      <c r="N370" s="13" t="s">
        <v>98</v>
      </c>
      <c r="O370" s="15" t="s">
        <v>99</v>
      </c>
      <c r="P370" s="15" t="s">
        <v>100</v>
      </c>
      <c r="Q370" s="15" t="s">
        <v>101</v>
      </c>
      <c r="R370" s="13" t="s">
        <v>102</v>
      </c>
      <c r="S370" s="13" t="s">
        <v>103</v>
      </c>
      <c r="T370" s="13" t="s">
        <v>104</v>
      </c>
      <c r="U370" s="14">
        <v>43274</v>
      </c>
      <c r="V370" s="14">
        <v>44681</v>
      </c>
      <c r="W370" s="15" t="s">
        <v>585</v>
      </c>
      <c r="X370" s="13" t="s">
        <v>586</v>
      </c>
      <c r="Y370" s="15" t="str">
        <f>VLOOKUP(X370,'Axe 2 Règles de gestion'!$D$2:$F$121,3, FALSE)</f>
        <v>L'administration propose à l'agent plusieurs emplois pouvant être pourvus par la voie du détachement.</v>
      </c>
      <c r="Z370" s="13" t="s">
        <v>588</v>
      </c>
      <c r="AA370" s="15" t="str">
        <f>VLOOKUP(Z370,'Axe 2 Règles de gestion'!$D$2:$F$121,3, FALSE)</f>
        <v>L'impossibilité pour l'administration de proposer de tels emplois doit faire l'objet d'une décision motivée.</v>
      </c>
      <c r="AB370" s="13" t="s">
        <v>590</v>
      </c>
      <c r="AC370" s="15" t="str">
        <f>VLOOKUP(AB370,'Axe 2 Règles de gestion'!$D$2:$F$121,3, FALSE)</f>
        <v>L'agent présente une demande de reclassement dans un autre corps par la voie du détachement.</v>
      </c>
      <c r="AD370" s="13"/>
      <c r="AE370" s="15"/>
      <c r="AF370" s="13"/>
      <c r="AG370" s="15"/>
      <c r="AH370" s="13"/>
      <c r="AI370" s="15"/>
      <c r="AJ370" s="13"/>
      <c r="AK370" s="15"/>
      <c r="AL370" s="13"/>
      <c r="AM370" s="15"/>
      <c r="AN370" s="13"/>
      <c r="AO370" s="15"/>
      <c r="AP370" s="13" t="s">
        <v>114</v>
      </c>
      <c r="AQ370" s="15" t="str">
        <f>VLOOKUP(AP370,'Axe 2 Règles de gestion'!$D$2:$F$121,3, FALSE)</f>
        <v>Un détachement de courte durée à l'étranger ou dans les TOM ne peut excéder 1 an entre la date de début et la date de fin prévisionnelle.</v>
      </c>
      <c r="AR370" s="13" t="s">
        <v>116</v>
      </c>
      <c r="AS370" s="15" t="str">
        <f>VLOOKUP(AR370,'Axe 2 Règles de gestion'!$D$2:$F$121,3, FALSE)</f>
        <v>Un détachement de courte durée à l'étranger ou dans les TOM ne peut excéder 1 an entre la date de début et la date de fin réelle.</v>
      </c>
      <c r="AT370" s="13" t="s">
        <v>118</v>
      </c>
      <c r="AU370" s="15" t="str">
        <f>VLOOKUP(AT370,'Axe 2 Règles de gestion'!$D$2:$F$121,3, FALSE)</f>
        <v>Un détachement de courte durée n'ayant pas lieu à l'étranger ou dans les TOM ne peut excéder six mois entre la date de début et la date de fin prévisionnelle.</v>
      </c>
      <c r="AV370" s="13" t="s">
        <v>120</v>
      </c>
      <c r="AW370" s="15" t="str">
        <f>VLOOKUP(AV370,'Axe 2 Règles de gestion'!$D$2:$F$121,3, FALSE)</f>
        <v>Un détachement de courte durée n'ayant pas lieu à l'étranger ou dans les TOM ne peut excéder six mois entre la date de début et la date de fin réelle.</v>
      </c>
      <c r="AX370" s="13" t="s">
        <v>122</v>
      </c>
      <c r="AY370" s="15" t="str">
        <f>VLOOKUP(AX370,'Axe 2 Règles de gestion'!$D$2:$F$121,3, FALSE)</f>
        <v>Un détachement de longue durée ne peut excéder 5 ans entre la date de début et la date de fin prévisionnelle.</v>
      </c>
      <c r="AZ370" s="13" t="s">
        <v>124</v>
      </c>
      <c r="BA370" s="15" t="str">
        <f>VLOOKUP(AZ370,'Axe 2 Règles de gestion'!$D$2:$F$121,3, FALSE)</f>
        <v>Un détachement de longue durée ne peut excéder 5 ans entre la date de début et la date de fin réelle.</v>
      </c>
      <c r="BB370" s="13" t="s">
        <v>126</v>
      </c>
      <c r="BC370" s="15" t="str">
        <f>VLOOKUP(BB370,'Axe 2 Règles de gestion'!$D$2:$F$121,3, FALSE)</f>
        <v>La date de début de position doit être antérieure ou égale à la date de fin prévisionnelle de position.</v>
      </c>
      <c r="BD370" s="13" t="s">
        <v>128</v>
      </c>
      <c r="BE370" s="15" t="str">
        <f>VLOOKUP(BD370,'Axe 2 Règles de gestion'!$D$2:$F$121,3, FALSE)</f>
        <v>La date de début de la position doit être postérieure ou égale à la date d'entrée dans la FPE ou dans la carrière militaire.</v>
      </c>
      <c r="BF370" s="13" t="s">
        <v>130</v>
      </c>
      <c r="BG370" s="15" t="str">
        <f>VLOOKUP(BF370,'Axe 2 Règles de gestion'!$D$2:$F$121,3, FALSE)</f>
        <v>La date de fin réelle de la position doit être antérieure à la date limite de départ à la retraite.</v>
      </c>
      <c r="BH370" s="13" t="s">
        <v>132</v>
      </c>
      <c r="BI370" s="15" t="str">
        <f>VLOOKUP(BH370,'Axe 2 Règles de gestion'!$D$2:$F$121,3, FALSE)</f>
        <v>La date de début de position doit être antérieure ou égale à la date de fin réelle de position.</v>
      </c>
      <c r="BJ370" s="13" t="s">
        <v>134</v>
      </c>
      <c r="BK370" s="15" t="str">
        <f>VLOOKUP(BJ370,'Axe 2 Règles de gestion'!$D$2:$F$121,3, FALSE)</f>
        <v>La date de fin prévisionnelle de la position doit être antérieure à la date limite de départ à la retraite.</v>
      </c>
      <c r="BL370" s="13" t="s">
        <v>136</v>
      </c>
      <c r="BM370" s="15" t="str">
        <f>VLOOKUP(BL370,'Axe 2 Règles de gestion'!$D$2:$F$121,3, FALSE)</f>
        <v>L'indicateur de carrière est sur la valeur "Accueil".</v>
      </c>
      <c r="BN370" s="13" t="s">
        <v>138</v>
      </c>
      <c r="BO370" s="15" t="str">
        <f>VLOOKUP(BN370,'Axe 2 Règles de gestion'!$D$2:$F$121,3, FALSE)</f>
        <v>La date de début de position est à J+1 de la date de fin de position de l'occurrence précédente.</v>
      </c>
      <c r="BP370" s="13" t="s">
        <v>140</v>
      </c>
      <c r="BQ370" s="15" t="str">
        <f>VLOOKUP(BP370,'Axe 2 Règles de gestion'!$D$2:$F$121,3, FALSE)</f>
        <v>Les champs "Type d'organisme d'origine", "Catégorie statutaire d'origine" et "Pays" de l'organisme d'origine doivent être renseignés.</v>
      </c>
      <c r="BR370" s="13" t="s">
        <v>142</v>
      </c>
      <c r="BS370" s="15" t="str">
        <f>VLOOKUP(BR370,'Axe 2 Règles de gestion'!$D$2:$F$121,3, FALSE)</f>
        <v>Les champs "Ministère (ou institution de la République) d'origine", "Corps d'origine", "Grade d'origine", "Echelon d'origine" sont renseignés si le "Type d'organisme d'origine" est valorisé à FPE.</v>
      </c>
      <c r="BT370" s="13" t="s">
        <v>144</v>
      </c>
      <c r="BU370" s="15" t="str">
        <f>VLOOKUP(BT370,'Axe 2 Règles de gestion'!$D$2:$F$121,3, FALSE)</f>
        <v>Le champ "Organisme d'origine" doit être alimenté si le type d'organisme d'origine est égal à 'Autre organisme', 'Fonction publique d'un état de l'Union Européenne' ou 'Fonction publique Européenne'.</v>
      </c>
      <c r="BV370" s="13" t="s">
        <v>146</v>
      </c>
      <c r="BW370" s="15" t="str">
        <f>VLOOKUP(BV370,'Axe 2 Règles de gestion'!$D$2:$F$121,3, FALSE)</f>
        <v>Le champ "Code emploi statutaire FPT (NET)" est renseigné si le "Type d'organisme d'origine" est valorisé à FPT.</v>
      </c>
      <c r="BX370" s="13" t="s">
        <v>148</v>
      </c>
      <c r="BY370" s="15" t="str">
        <f>VLOOKUP(BX370,'Axe 2 Règles de gestion'!$D$2:$F$121,3, FALSE)</f>
        <v>Le champ "Code emploi statutaire FPH (NEH)" est renseigné si le "Type d'organisme d'origine" est valorisé à FPH.</v>
      </c>
      <c r="BZ370" s="13" t="s">
        <v>150</v>
      </c>
      <c r="CA370" s="15" t="str">
        <f>VLOOKUP(BZ370,'Axe 2 Règles de gestion'!$D$2:$F$121,3, FALSE)</f>
        <v>La date de fin ou la date de fin prévisionnelle doit être saisie.</v>
      </c>
      <c r="CB370" s="13" t="s">
        <v>592</v>
      </c>
      <c r="CC370" s="15" t="str">
        <f>VLOOKUP(CB370,'Axe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70" s="13" t="s">
        <v>594</v>
      </c>
      <c r="CE370" s="15" t="str">
        <f>VLOOKUP(CD370,'Axe 2 Règles de gestion'!$D$2:$F$121,3, FALSE)</f>
        <v>Si la date de fin de la situation particulière est renseignée pour la valeur 'Période de préparation au reclassement" alors la date de fin de la situation particulière est égale à la date de fin réelle de la position saisie.</v>
      </c>
      <c r="CF370" s="13"/>
      <c r="CG370" s="13"/>
    </row>
    <row r="371" spans="1:85" ht="210" x14ac:dyDescent="0.25">
      <c r="A371" s="13" t="s">
        <v>301</v>
      </c>
      <c r="B371" s="13" t="s">
        <v>153</v>
      </c>
      <c r="C371" s="14">
        <v>44713.645138888889</v>
      </c>
      <c r="D371" s="13" t="s">
        <v>88</v>
      </c>
      <c r="E371" s="15" t="s">
        <v>89</v>
      </c>
      <c r="F371" s="13" t="s">
        <v>90</v>
      </c>
      <c r="G371" s="15" t="s">
        <v>91</v>
      </c>
      <c r="H371" s="13" t="s">
        <v>617</v>
      </c>
      <c r="I371" s="15" t="s">
        <v>618</v>
      </c>
      <c r="J371" s="15" t="s">
        <v>619</v>
      </c>
      <c r="K371" s="15" t="s">
        <v>620</v>
      </c>
      <c r="L371" s="13" t="s">
        <v>621</v>
      </c>
      <c r="M371" s="15" t="s">
        <v>622</v>
      </c>
      <c r="N371" s="13" t="s">
        <v>98</v>
      </c>
      <c r="O371" s="15" t="s">
        <v>99</v>
      </c>
      <c r="P371" s="15" t="s">
        <v>100</v>
      </c>
      <c r="Q371" s="15" t="s">
        <v>101</v>
      </c>
      <c r="R371" s="13" t="s">
        <v>102</v>
      </c>
      <c r="S371" s="13" t="s">
        <v>103</v>
      </c>
      <c r="T371" s="13" t="s">
        <v>104</v>
      </c>
      <c r="U371" s="14">
        <v>44682</v>
      </c>
      <c r="V371" s="14"/>
      <c r="W371" s="15" t="s">
        <v>596</v>
      </c>
      <c r="X371" s="13" t="s">
        <v>586</v>
      </c>
      <c r="Y371" s="15" t="str">
        <f>VLOOKUP(X371,'Axe 2 Règles de gestion'!$D$2:$F$121,3, FALSE)</f>
        <v>L'administration propose à l'agent plusieurs emplois pouvant être pourvus par la voie du détachement.</v>
      </c>
      <c r="Z371" s="13" t="s">
        <v>588</v>
      </c>
      <c r="AA371" s="15" t="str">
        <f>VLOOKUP(Z371,'Axe 2 Règles de gestion'!$D$2:$F$121,3, FALSE)</f>
        <v>L'impossibilité pour l'administration de proposer de tels emplois doit faire l'objet d'une décision motivée.</v>
      </c>
      <c r="AB371" s="13" t="s">
        <v>597</v>
      </c>
      <c r="AC371" s="15" t="str">
        <f>VLOOKUP(AB371,'Axe 2 Règles de gestion'!$D$2:$F$121,3, FALSE)</f>
        <v>L'agent présente une demande de reclassement dans un autre corps ou cadre d'emplois par la voie du détachement.</v>
      </c>
      <c r="AD371" s="13"/>
      <c r="AE371" s="15"/>
      <c r="AF371" s="13"/>
      <c r="AG371" s="15"/>
      <c r="AH371" s="13"/>
      <c r="AI371" s="15"/>
      <c r="AJ371" s="13"/>
      <c r="AK371" s="15"/>
      <c r="AL371" s="13"/>
      <c r="AM371" s="15"/>
      <c r="AN371" s="13"/>
      <c r="AO371" s="15"/>
      <c r="AP371" s="13" t="s">
        <v>114</v>
      </c>
      <c r="AQ371" s="15" t="str">
        <f>VLOOKUP(AP371,'Axe 2 Règles de gestion'!$D$2:$F$121,3, FALSE)</f>
        <v>Un détachement de courte durée à l'étranger ou dans les TOM ne peut excéder 1 an entre la date de début et la date de fin prévisionnelle.</v>
      </c>
      <c r="AR371" s="13" t="s">
        <v>116</v>
      </c>
      <c r="AS371" s="15" t="str">
        <f>VLOOKUP(AR371,'Axe 2 Règles de gestion'!$D$2:$F$121,3, FALSE)</f>
        <v>Un détachement de courte durée à l'étranger ou dans les TOM ne peut excéder 1 an entre la date de début et la date de fin réelle.</v>
      </c>
      <c r="AT371" s="13" t="s">
        <v>118</v>
      </c>
      <c r="AU371" s="15" t="str">
        <f>VLOOKUP(AT371,'Axe 2 Règles de gestion'!$D$2:$F$121,3, FALSE)</f>
        <v>Un détachement de courte durée n'ayant pas lieu à l'étranger ou dans les TOM ne peut excéder six mois entre la date de début et la date de fin prévisionnelle.</v>
      </c>
      <c r="AV371" s="13" t="s">
        <v>120</v>
      </c>
      <c r="AW371" s="15" t="str">
        <f>VLOOKUP(AV371,'Axe 2 Règles de gestion'!$D$2:$F$121,3, FALSE)</f>
        <v>Un détachement de courte durée n'ayant pas lieu à l'étranger ou dans les TOM ne peut excéder six mois entre la date de début et la date de fin réelle.</v>
      </c>
      <c r="AX371" s="13" t="s">
        <v>122</v>
      </c>
      <c r="AY371" s="15" t="str">
        <f>VLOOKUP(AX371,'Axe 2 Règles de gestion'!$D$2:$F$121,3, FALSE)</f>
        <v>Un détachement de longue durée ne peut excéder 5 ans entre la date de début et la date de fin prévisionnelle.</v>
      </c>
      <c r="AZ371" s="13" t="s">
        <v>124</v>
      </c>
      <c r="BA371" s="15" t="str">
        <f>VLOOKUP(AZ371,'Axe 2 Règles de gestion'!$D$2:$F$121,3, FALSE)</f>
        <v>Un détachement de longue durée ne peut excéder 5 ans entre la date de début et la date de fin réelle.</v>
      </c>
      <c r="BB371" s="13" t="s">
        <v>126</v>
      </c>
      <c r="BC371" s="15" t="str">
        <f>VLOOKUP(BB371,'Axe 2 Règles de gestion'!$D$2:$F$121,3, FALSE)</f>
        <v>La date de début de position doit être antérieure ou égale à la date de fin prévisionnelle de position.</v>
      </c>
      <c r="BD371" s="13" t="s">
        <v>128</v>
      </c>
      <c r="BE371" s="15" t="str">
        <f>VLOOKUP(BD371,'Axe 2 Règles de gestion'!$D$2:$F$121,3, FALSE)</f>
        <v>La date de début de la position doit être postérieure ou égale à la date d'entrée dans la FPE ou dans la carrière militaire.</v>
      </c>
      <c r="BF371" s="13" t="s">
        <v>130</v>
      </c>
      <c r="BG371" s="15" t="str">
        <f>VLOOKUP(BF371,'Axe 2 Règles de gestion'!$D$2:$F$121,3, FALSE)</f>
        <v>La date de fin réelle de la position doit être antérieure à la date limite de départ à la retraite.</v>
      </c>
      <c r="BH371" s="13" t="s">
        <v>132</v>
      </c>
      <c r="BI371" s="15" t="str">
        <f>VLOOKUP(BH371,'Axe 2 Règles de gestion'!$D$2:$F$121,3, FALSE)</f>
        <v>La date de début de position doit être antérieure ou égale à la date de fin réelle de position.</v>
      </c>
      <c r="BJ371" s="13" t="s">
        <v>134</v>
      </c>
      <c r="BK371" s="15" t="str">
        <f>VLOOKUP(BJ371,'Axe 2 Règles de gestion'!$D$2:$F$121,3, FALSE)</f>
        <v>La date de fin prévisionnelle de la position doit être antérieure à la date limite de départ à la retraite.</v>
      </c>
      <c r="BL371" s="13" t="s">
        <v>136</v>
      </c>
      <c r="BM371" s="15" t="str">
        <f>VLOOKUP(BL371,'Axe 2 Règles de gestion'!$D$2:$F$121,3, FALSE)</f>
        <v>L'indicateur de carrière est sur la valeur "Accueil".</v>
      </c>
      <c r="BN371" s="13" t="s">
        <v>138</v>
      </c>
      <c r="BO371" s="15" t="str">
        <f>VLOOKUP(BN371,'Axe 2 Règles de gestion'!$D$2:$F$121,3, FALSE)</f>
        <v>La date de début de position est à J+1 de la date de fin de position de l'occurrence précédente.</v>
      </c>
      <c r="BP371" s="13" t="s">
        <v>140</v>
      </c>
      <c r="BQ371" s="15" t="str">
        <f>VLOOKUP(BP371,'Axe 2 Règles de gestion'!$D$2:$F$121,3, FALSE)</f>
        <v>Les champs "Type d'organisme d'origine", "Catégorie statutaire d'origine" et "Pays" de l'organisme d'origine doivent être renseignés.</v>
      </c>
      <c r="BR371" s="13" t="s">
        <v>142</v>
      </c>
      <c r="BS371" s="15" t="str">
        <f>VLOOKUP(BR371,'Axe 2 Règles de gestion'!$D$2:$F$121,3, FALSE)</f>
        <v>Les champs "Ministère (ou institution de la République) d'origine", "Corps d'origine", "Grade d'origine", "Echelon d'origine" sont renseignés si le "Type d'organisme d'origine" est valorisé à FPE.</v>
      </c>
      <c r="BT371" s="13" t="s">
        <v>144</v>
      </c>
      <c r="BU371" s="15" t="str">
        <f>VLOOKUP(BT371,'Axe 2 Règles de gestion'!$D$2:$F$121,3, FALSE)</f>
        <v>Le champ "Organisme d'origine" doit être alimenté si le type d'organisme d'origine est égal à 'Autre organisme', 'Fonction publique d'un état de l'Union Européenne' ou 'Fonction publique Européenne'.</v>
      </c>
      <c r="BV371" s="13" t="s">
        <v>146</v>
      </c>
      <c r="BW371" s="15" t="str">
        <f>VLOOKUP(BV371,'Axe 2 Règles de gestion'!$D$2:$F$121,3, FALSE)</f>
        <v>Le champ "Code emploi statutaire FPT (NET)" est renseigné si le "Type d'organisme d'origine" est valorisé à FPT.</v>
      </c>
      <c r="BX371" s="13" t="s">
        <v>148</v>
      </c>
      <c r="BY371" s="15" t="str">
        <f>VLOOKUP(BX371,'Axe 2 Règles de gestion'!$D$2:$F$121,3, FALSE)</f>
        <v>Le champ "Code emploi statutaire FPH (NEH)" est renseigné si le "Type d'organisme d'origine" est valorisé à FPH.</v>
      </c>
      <c r="BZ371" s="13" t="s">
        <v>150</v>
      </c>
      <c r="CA371" s="15" t="str">
        <f>VLOOKUP(BZ371,'Axe 2 Règles de gestion'!$D$2:$F$121,3, FALSE)</f>
        <v>La date de fin ou la date de fin prévisionnelle doit être saisie.</v>
      </c>
      <c r="CB371" s="13" t="s">
        <v>592</v>
      </c>
      <c r="CC371" s="15" t="str">
        <f>VLOOKUP(CB371,'Axe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71" s="13" t="s">
        <v>594</v>
      </c>
      <c r="CE371" s="15" t="str">
        <f>VLOOKUP(CD371,'Axe 2 Règles de gestion'!$D$2:$F$121,3, FALSE)</f>
        <v>Si la date de fin de la situation particulière est renseignée pour la valeur 'Période de préparation au reclassement" alors la date de fin de la situation particulière est égale à la date de fin réelle de la position saisie.</v>
      </c>
      <c r="CF371" s="13"/>
      <c r="CG371" s="13"/>
    </row>
    <row r="372" spans="1:85" ht="210" x14ac:dyDescent="0.25">
      <c r="A372" s="13" t="s">
        <v>301</v>
      </c>
      <c r="B372" s="13" t="s">
        <v>87</v>
      </c>
      <c r="C372" s="14">
        <v>44713.645833333336</v>
      </c>
      <c r="D372" s="13" t="s">
        <v>88</v>
      </c>
      <c r="E372" s="15" t="s">
        <v>89</v>
      </c>
      <c r="F372" s="13" t="s">
        <v>90</v>
      </c>
      <c r="G372" s="15" t="s">
        <v>91</v>
      </c>
      <c r="H372" s="13" t="s">
        <v>617</v>
      </c>
      <c r="I372" s="15" t="s">
        <v>618</v>
      </c>
      <c r="J372" s="15" t="s">
        <v>619</v>
      </c>
      <c r="K372" s="15" t="s">
        <v>620</v>
      </c>
      <c r="L372" s="13" t="s">
        <v>623</v>
      </c>
      <c r="M372" s="15" t="s">
        <v>624</v>
      </c>
      <c r="N372" s="13" t="s">
        <v>98</v>
      </c>
      <c r="O372" s="15" t="s">
        <v>170</v>
      </c>
      <c r="P372" s="15" t="s">
        <v>171</v>
      </c>
      <c r="Q372" s="15" t="s">
        <v>101</v>
      </c>
      <c r="R372" s="13" t="s">
        <v>102</v>
      </c>
      <c r="S372" s="13" t="s">
        <v>103</v>
      </c>
      <c r="T372" s="13" t="s">
        <v>104</v>
      </c>
      <c r="U372" s="14">
        <v>43274</v>
      </c>
      <c r="V372" s="14">
        <v>44681</v>
      </c>
      <c r="W372" s="15" t="s">
        <v>601</v>
      </c>
      <c r="X372" s="13" t="s">
        <v>602</v>
      </c>
      <c r="Y372" s="15" t="str">
        <f>VLOOKUP(X372,'Axe 2 Règles de gestion'!$D$2:$F$121,3, FALSE)</f>
        <v>Le comité médical se prononce, à l'issue de chaque période de détachement, sur l'aptitude de l'intéressé à reprendre ses fonctions initiales dans son corps d'origine.</v>
      </c>
      <c r="Z372" s="13" t="s">
        <v>604</v>
      </c>
      <c r="AA372" s="15" t="str">
        <f>VLOOKUP(Z372,'Axe 2 Règles de gestion'!$D$2:$F$121,3, FALSE)</f>
        <v>Si l'inaptitude antérieurement constatée demeure sans que son caractère définitif puisse être affirmé, le comité médical propose le maintien en détachement de l'agent.</v>
      </c>
      <c r="AB372" s="13"/>
      <c r="AC372" s="15"/>
      <c r="AD372" s="13"/>
      <c r="AE372" s="15"/>
      <c r="AF372" s="13"/>
      <c r="AG372" s="15"/>
      <c r="AH372" s="13"/>
      <c r="AI372" s="15"/>
      <c r="AJ372" s="13"/>
      <c r="AK372" s="15"/>
      <c r="AL372" s="13"/>
      <c r="AM372" s="15"/>
      <c r="AN372" s="13"/>
      <c r="AO372" s="15"/>
      <c r="AP372" s="13" t="s">
        <v>122</v>
      </c>
      <c r="AQ372" s="15" t="str">
        <f>VLOOKUP(AP372,'Axe 2 Règles de gestion'!$D$2:$F$121,3, FALSE)</f>
        <v>Un détachement de longue durée ne peut excéder 5 ans entre la date de début et la date de fin prévisionnelle.</v>
      </c>
      <c r="AR372" s="13" t="s">
        <v>124</v>
      </c>
      <c r="AS372" s="15" t="str">
        <f>VLOOKUP(AR372,'Axe 2 Règles de gestion'!$D$2:$F$121,3, FALSE)</f>
        <v>Un détachement de longue durée ne peut excéder 5 ans entre la date de début et la date de fin réelle.</v>
      </c>
      <c r="AT372" s="13" t="s">
        <v>177</v>
      </c>
      <c r="AU372" s="15" t="str">
        <f>VLOOKUP(AT372,'Axe 2 Règles de gestion'!$D$2:$F$121,3, FALSE)</f>
        <v>Le renouvellement d'un détachement de courte durée est interdit.</v>
      </c>
      <c r="AV372" s="13"/>
      <c r="AW372" s="15"/>
      <c r="AX372" s="13"/>
      <c r="AY372" s="15"/>
      <c r="AZ372" s="13"/>
      <c r="BA372" s="15"/>
      <c r="BB372" s="13" t="s">
        <v>126</v>
      </c>
      <c r="BC372" s="15" t="str">
        <f>VLOOKUP(BB372,'Axe 2 Règles de gestion'!$D$2:$F$121,3, FALSE)</f>
        <v>La date de début de position doit être antérieure ou égale à la date de fin prévisionnelle de position.</v>
      </c>
      <c r="BD372" s="13" t="s">
        <v>128</v>
      </c>
      <c r="BE372" s="15" t="str">
        <f>VLOOKUP(BD372,'Axe 2 Règles de gestion'!$D$2:$F$121,3, FALSE)</f>
        <v>La date de début de la position doit être postérieure ou égale à la date d'entrée dans la FPE ou dans la carrière militaire.</v>
      </c>
      <c r="BF372" s="13" t="s">
        <v>130</v>
      </c>
      <c r="BG372" s="15" t="str">
        <f>VLOOKUP(BF372,'Axe 2 Règles de gestion'!$D$2:$F$121,3, FALSE)</f>
        <v>La date de fin réelle de la position doit être antérieure à la date limite de départ à la retraite.</v>
      </c>
      <c r="BH372" s="13" t="s">
        <v>132</v>
      </c>
      <c r="BI372" s="15" t="str">
        <f>VLOOKUP(BH372,'Axe 2 Règles de gestion'!$D$2:$F$121,3, FALSE)</f>
        <v>La date de début de position doit être antérieure ou égale à la date de fin réelle de position.</v>
      </c>
      <c r="BJ372" s="13" t="s">
        <v>134</v>
      </c>
      <c r="BK372" s="15" t="str">
        <f>VLOOKUP(BJ372,'Axe 2 Règles de gestion'!$D$2:$F$121,3, FALSE)</f>
        <v>La date de fin prévisionnelle de la position doit être antérieure à la date limite de départ à la retraite.</v>
      </c>
      <c r="BL372" s="13" t="s">
        <v>136</v>
      </c>
      <c r="BM372" s="15" t="str">
        <f>VLOOKUP(BL372,'Axe 2 Règles de gestion'!$D$2:$F$121,3, FALSE)</f>
        <v>L'indicateur de carrière est sur la valeur "Accueil".</v>
      </c>
      <c r="BN372" s="13" t="s">
        <v>138</v>
      </c>
      <c r="BO372" s="15" t="str">
        <f>VLOOKUP(BN372,'Axe 2 Règles de gestion'!$D$2:$F$121,3, FALSE)</f>
        <v>La date de début de position est à J+1 de la date de fin de position de l'occurrence précédente.</v>
      </c>
      <c r="BP372" s="13" t="s">
        <v>140</v>
      </c>
      <c r="BQ372" s="15" t="str">
        <f>VLOOKUP(BP372,'Axe 2 Règles de gestion'!$D$2:$F$121,3, FALSE)</f>
        <v>Les champs "Type d'organisme d'origine", "Catégorie statutaire d'origine" et "Pays" de l'organisme d'origine doivent être renseignés.</v>
      </c>
      <c r="BR372" s="13" t="s">
        <v>142</v>
      </c>
      <c r="BS372" s="15" t="str">
        <f>VLOOKUP(BR372,'Axe 2 Règles de gestion'!$D$2:$F$121,3, FALSE)</f>
        <v>Les champs "Ministère (ou institution de la République) d'origine", "Corps d'origine", "Grade d'origine", "Echelon d'origine" sont renseignés si le "Type d'organisme d'origine" est valorisé à FPE.</v>
      </c>
      <c r="BT372" s="13" t="s">
        <v>144</v>
      </c>
      <c r="BU372" s="15" t="str">
        <f>VLOOKUP(BT372,'Axe 2 Règles de gestion'!$D$2:$F$121,3, FALSE)</f>
        <v>Le champ "Organisme d'origine" doit être alimenté si le type d'organisme d'origine est égal à 'Autre organisme', 'Fonction publique d'un état de l'Union Européenne' ou 'Fonction publique Européenne'.</v>
      </c>
      <c r="BV372" s="13" t="s">
        <v>146</v>
      </c>
      <c r="BW372" s="15" t="str">
        <f>VLOOKUP(BV372,'Axe 2 Règles de gestion'!$D$2:$F$121,3, FALSE)</f>
        <v>Le champ "Code emploi statutaire FPT (NET)" est renseigné si le "Type d'organisme d'origine" est valorisé à FPT.</v>
      </c>
      <c r="BX372" s="13" t="s">
        <v>148</v>
      </c>
      <c r="BY372" s="15" t="str">
        <f>VLOOKUP(BX372,'Axe 2 Règles de gestion'!$D$2:$F$121,3, FALSE)</f>
        <v>Le champ "Code emploi statutaire FPH (NEH)" est renseigné si le "Type d'organisme d'origine" est valorisé à FPH.</v>
      </c>
      <c r="BZ372" s="13" t="s">
        <v>150</v>
      </c>
      <c r="CA372" s="15" t="str">
        <f>VLOOKUP(BZ372,'Axe 2 Règles de gestion'!$D$2:$F$121,3, FALSE)</f>
        <v>La date de fin ou la date de fin prévisionnelle doit être saisie.</v>
      </c>
      <c r="CB372" s="13" t="s">
        <v>592</v>
      </c>
      <c r="CC372" s="15" t="str">
        <f>VLOOKUP(CB372,'Axe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72" s="13" t="s">
        <v>594</v>
      </c>
      <c r="CE372" s="15" t="str">
        <f>VLOOKUP(CD372,'Axe 2 Règles de gestion'!$D$2:$F$121,3, FALSE)</f>
        <v>Si la date de fin de la situation particulière est renseignée pour la valeur 'Période de préparation au reclassement" alors la date de fin de la situation particulière est égale à la date de fin réelle de la position saisie.</v>
      </c>
      <c r="CF372" s="13"/>
      <c r="CG372" s="13"/>
    </row>
    <row r="373" spans="1:85" ht="210" x14ac:dyDescent="0.25">
      <c r="A373" s="13" t="s">
        <v>301</v>
      </c>
      <c r="B373" s="13" t="s">
        <v>153</v>
      </c>
      <c r="C373" s="14">
        <v>44713.646527777775</v>
      </c>
      <c r="D373" s="13" t="s">
        <v>88</v>
      </c>
      <c r="E373" s="15" t="s">
        <v>89</v>
      </c>
      <c r="F373" s="13" t="s">
        <v>90</v>
      </c>
      <c r="G373" s="15" t="s">
        <v>91</v>
      </c>
      <c r="H373" s="13" t="s">
        <v>617</v>
      </c>
      <c r="I373" s="15" t="s">
        <v>618</v>
      </c>
      <c r="J373" s="15" t="s">
        <v>619</v>
      </c>
      <c r="K373" s="15" t="s">
        <v>620</v>
      </c>
      <c r="L373" s="13" t="s">
        <v>623</v>
      </c>
      <c r="M373" s="15" t="s">
        <v>624</v>
      </c>
      <c r="N373" s="13" t="s">
        <v>98</v>
      </c>
      <c r="O373" s="15" t="s">
        <v>170</v>
      </c>
      <c r="P373" s="15" t="s">
        <v>171</v>
      </c>
      <c r="Q373" s="15" t="s">
        <v>101</v>
      </c>
      <c r="R373" s="13" t="s">
        <v>102</v>
      </c>
      <c r="S373" s="13" t="s">
        <v>103</v>
      </c>
      <c r="T373" s="13" t="s">
        <v>104</v>
      </c>
      <c r="U373" s="14">
        <v>44682</v>
      </c>
      <c r="V373" s="14"/>
      <c r="W373" s="15" t="s">
        <v>606</v>
      </c>
      <c r="X373" s="13" t="s">
        <v>607</v>
      </c>
      <c r="Y373" s="15" t="str">
        <f>VLOOKUP(X373,'Axe 2 Règles de gestion'!$D$2:$F$121,3, FALSE)</f>
        <v>Le conseil médical se prononce, à l'issue de chaque période de détachement, sur l'aptitude de l'agent à reprendre ses fonctions initiales dans son corps d'origine.</v>
      </c>
      <c r="Z373" s="13" t="s">
        <v>609</v>
      </c>
      <c r="AA373" s="15" t="str">
        <f>VLOOKUP(Z373,'Axe 2 Règles de gestion'!$D$2:$F$121,3, FALSE)</f>
        <v>Si l'inaptitude antérieurement constatée demeure sans que son caractère définitif puisse être affirmé, le conseil médical propose le maintien en détachement de l'agent.</v>
      </c>
      <c r="AB373" s="13"/>
      <c r="AC373" s="15"/>
      <c r="AD373" s="13"/>
      <c r="AE373" s="15"/>
      <c r="AF373" s="13"/>
      <c r="AG373" s="15"/>
      <c r="AH373" s="13"/>
      <c r="AI373" s="15"/>
      <c r="AJ373" s="13"/>
      <c r="AK373" s="15"/>
      <c r="AL373" s="13"/>
      <c r="AM373" s="15"/>
      <c r="AN373" s="13"/>
      <c r="AO373" s="15"/>
      <c r="AP373" s="13" t="s">
        <v>122</v>
      </c>
      <c r="AQ373" s="15" t="str">
        <f>VLOOKUP(AP373,'Axe 2 Règles de gestion'!$D$2:$F$121,3, FALSE)</f>
        <v>Un détachement de longue durée ne peut excéder 5 ans entre la date de début et la date de fin prévisionnelle.</v>
      </c>
      <c r="AR373" s="13" t="s">
        <v>124</v>
      </c>
      <c r="AS373" s="15" t="str">
        <f>VLOOKUP(AR373,'Axe 2 Règles de gestion'!$D$2:$F$121,3, FALSE)</f>
        <v>Un détachement de longue durée ne peut excéder 5 ans entre la date de début et la date de fin réelle.</v>
      </c>
      <c r="AT373" s="13" t="s">
        <v>177</v>
      </c>
      <c r="AU373" s="15" t="str">
        <f>VLOOKUP(AT373,'Axe 2 Règles de gestion'!$D$2:$F$121,3, FALSE)</f>
        <v>Le renouvellement d'un détachement de courte durée est interdit.</v>
      </c>
      <c r="AV373" s="13"/>
      <c r="AW373" s="15"/>
      <c r="AX373" s="13"/>
      <c r="AY373" s="15"/>
      <c r="AZ373" s="13"/>
      <c r="BA373" s="15"/>
      <c r="BB373" s="13" t="s">
        <v>126</v>
      </c>
      <c r="BC373" s="15" t="str">
        <f>VLOOKUP(BB373,'Axe 2 Règles de gestion'!$D$2:$F$121,3, FALSE)</f>
        <v>La date de début de position doit être antérieure ou égale à la date de fin prévisionnelle de position.</v>
      </c>
      <c r="BD373" s="13" t="s">
        <v>128</v>
      </c>
      <c r="BE373" s="15" t="str">
        <f>VLOOKUP(BD373,'Axe 2 Règles de gestion'!$D$2:$F$121,3, FALSE)</f>
        <v>La date de début de la position doit être postérieure ou égale à la date d'entrée dans la FPE ou dans la carrière militaire.</v>
      </c>
      <c r="BF373" s="13" t="s">
        <v>130</v>
      </c>
      <c r="BG373" s="15" t="str">
        <f>VLOOKUP(BF373,'Axe 2 Règles de gestion'!$D$2:$F$121,3, FALSE)</f>
        <v>La date de fin réelle de la position doit être antérieure à la date limite de départ à la retraite.</v>
      </c>
      <c r="BH373" s="13" t="s">
        <v>132</v>
      </c>
      <c r="BI373" s="15" t="str">
        <f>VLOOKUP(BH373,'Axe 2 Règles de gestion'!$D$2:$F$121,3, FALSE)</f>
        <v>La date de début de position doit être antérieure ou égale à la date de fin réelle de position.</v>
      </c>
      <c r="BJ373" s="13" t="s">
        <v>134</v>
      </c>
      <c r="BK373" s="15" t="str">
        <f>VLOOKUP(BJ373,'Axe 2 Règles de gestion'!$D$2:$F$121,3, FALSE)</f>
        <v>La date de fin prévisionnelle de la position doit être antérieure à la date limite de départ à la retraite.</v>
      </c>
      <c r="BL373" s="13" t="s">
        <v>136</v>
      </c>
      <c r="BM373" s="15" t="str">
        <f>VLOOKUP(BL373,'Axe 2 Règles de gestion'!$D$2:$F$121,3, FALSE)</f>
        <v>L'indicateur de carrière est sur la valeur "Accueil".</v>
      </c>
      <c r="BN373" s="13" t="s">
        <v>138</v>
      </c>
      <c r="BO373" s="15" t="str">
        <f>VLOOKUP(BN373,'Axe 2 Règles de gestion'!$D$2:$F$121,3, FALSE)</f>
        <v>La date de début de position est à J+1 de la date de fin de position de l'occurrence précédente.</v>
      </c>
      <c r="BP373" s="13" t="s">
        <v>140</v>
      </c>
      <c r="BQ373" s="15" t="str">
        <f>VLOOKUP(BP373,'Axe 2 Règles de gestion'!$D$2:$F$121,3, FALSE)</f>
        <v>Les champs "Type d'organisme d'origine", "Catégorie statutaire d'origine" et "Pays" de l'organisme d'origine doivent être renseignés.</v>
      </c>
      <c r="BR373" s="13" t="s">
        <v>142</v>
      </c>
      <c r="BS373" s="15" t="str">
        <f>VLOOKUP(BR373,'Axe 2 Règles de gestion'!$D$2:$F$121,3, FALSE)</f>
        <v>Les champs "Ministère (ou institution de la République) d'origine", "Corps d'origine", "Grade d'origine", "Echelon d'origine" sont renseignés si le "Type d'organisme d'origine" est valorisé à FPE.</v>
      </c>
      <c r="BT373" s="13" t="s">
        <v>144</v>
      </c>
      <c r="BU373" s="15" t="str">
        <f>VLOOKUP(BT373,'Axe 2 Règles de gestion'!$D$2:$F$121,3, FALSE)</f>
        <v>Le champ "Organisme d'origine" doit être alimenté si le type d'organisme d'origine est égal à 'Autre organisme', 'Fonction publique d'un état de l'Union Européenne' ou 'Fonction publique Européenne'.</v>
      </c>
      <c r="BV373" s="13" t="s">
        <v>146</v>
      </c>
      <c r="BW373" s="15" t="str">
        <f>VLOOKUP(BV373,'Axe 2 Règles de gestion'!$D$2:$F$121,3, FALSE)</f>
        <v>Le champ "Code emploi statutaire FPT (NET)" est renseigné si le "Type d'organisme d'origine" est valorisé à FPT.</v>
      </c>
      <c r="BX373" s="13" t="s">
        <v>148</v>
      </c>
      <c r="BY373" s="15" t="str">
        <f>VLOOKUP(BX373,'Axe 2 Règles de gestion'!$D$2:$F$121,3, FALSE)</f>
        <v>Le champ "Code emploi statutaire FPH (NEH)" est renseigné si le "Type d'organisme d'origine" est valorisé à FPH.</v>
      </c>
      <c r="BZ373" s="13" t="s">
        <v>150</v>
      </c>
      <c r="CA373" s="15" t="str">
        <f>VLOOKUP(BZ373,'Axe 2 Règles de gestion'!$D$2:$F$121,3, FALSE)</f>
        <v>La date de fin ou la date de fin prévisionnelle doit être saisie.</v>
      </c>
      <c r="CB373" s="13" t="s">
        <v>592</v>
      </c>
      <c r="CC373" s="15" t="str">
        <f>VLOOKUP(CB373,'Axe 2 Règles de gestion'!$D$2:$F$121,3, FALSE)</f>
        <v>Si la date de début de la situation particulière est renseignée pour la valeur 'Période de préparation au reclassement" alors la date de début de la situation particulière est égale à la date de début de la position saisie.</v>
      </c>
      <c r="CD373" s="13" t="s">
        <v>594</v>
      </c>
      <c r="CE373" s="15" t="str">
        <f>VLOOKUP(CD373,'Axe 2 Règles de gestion'!$D$2:$F$121,3, FALSE)</f>
        <v>Si la date de fin de la situation particulière est renseignée pour la valeur 'Période de préparation au reclassement" alors la date de fin de la situation particulière est égale à la date de fin réelle de la position saisie.</v>
      </c>
      <c r="CF373" s="13"/>
      <c r="CG373" s="13"/>
    </row>
    <row r="374" spans="1:85" ht="210" x14ac:dyDescent="0.25">
      <c r="A374" s="13" t="s">
        <v>86</v>
      </c>
      <c r="B374" s="13" t="s">
        <v>87</v>
      </c>
      <c r="C374" s="14">
        <v>43850.552083333336</v>
      </c>
      <c r="D374" s="13" t="s">
        <v>88</v>
      </c>
      <c r="E374" s="15" t="s">
        <v>89</v>
      </c>
      <c r="F374" s="13" t="s">
        <v>90</v>
      </c>
      <c r="G374" s="15" t="s">
        <v>91</v>
      </c>
      <c r="H374" s="13" t="s">
        <v>617</v>
      </c>
      <c r="I374" s="15" t="s">
        <v>618</v>
      </c>
      <c r="J374" s="15" t="s">
        <v>619</v>
      </c>
      <c r="K374" s="15" t="s">
        <v>620</v>
      </c>
      <c r="L374" s="13" t="s">
        <v>625</v>
      </c>
      <c r="M374" s="15" t="s">
        <v>626</v>
      </c>
      <c r="N374" s="13" t="s">
        <v>188</v>
      </c>
      <c r="O374" s="15" t="s">
        <v>189</v>
      </c>
      <c r="P374" s="15" t="s">
        <v>190</v>
      </c>
      <c r="Q374" s="15" t="s">
        <v>101</v>
      </c>
      <c r="R374" s="13" t="s">
        <v>102</v>
      </c>
      <c r="S374" s="13" t="s">
        <v>103</v>
      </c>
      <c r="T374" s="13" t="s">
        <v>104</v>
      </c>
      <c r="U374" s="14">
        <v>43274</v>
      </c>
      <c r="V374" s="14"/>
      <c r="W374" s="15" t="s">
        <v>613</v>
      </c>
      <c r="X374" s="13" t="s">
        <v>192</v>
      </c>
      <c r="Y374" s="15" t="str">
        <f>VLOOKUP(X374,'Axe 2 Règles de gestion'!$D$2:$F$121,3, FALSE)</f>
        <v>Le détachement peut prendre fin de manière anticipée à l'initiative de l'administration d'accueil, de l'administration d'origine ou de l'agent.</v>
      </c>
      <c r="Z374" s="13" t="s">
        <v>194</v>
      </c>
      <c r="AA374" s="15" t="str">
        <f>VLOOKUP(Z374,'Axe 2 Règles de gestion'!$D$2:$F$121,3, FALSE)</f>
        <v>En cas de réintégration anticipée à l'initiative de l'organisme d'accueil, si l'administration d'origine ne peut pas réintégrer l'agent immédiatement, il reste en détachement jusqu'à ce qu'il soit réintégré à la première vacance.</v>
      </c>
      <c r="AB374" s="13" t="s">
        <v>196</v>
      </c>
      <c r="AC374" s="15" t="str">
        <f>VLOOKUP(AB374,'Axe 2 Règles de gestion'!$D$2:$F$121,3, FALSE)</f>
        <v>L'agent doit adresser une demande de réintégration à l'administration d'origine 3 mois au moins avant l'expiration de la période de détachement de longue durée.</v>
      </c>
      <c r="AD374" s="13" t="s">
        <v>175</v>
      </c>
      <c r="AE374" s="15" t="str">
        <f>VLOOKUP(AD374,'Axe 2 Règles de gestion'!$D$2:$F$121,3, FALSE)</f>
        <v>L'organisme d'accueil adresse sa décision à l'agent et à l'administration d'origine 2 mois au moins avant l'expiration de la période de détachement.</v>
      </c>
      <c r="AF374" s="13" t="s">
        <v>198</v>
      </c>
      <c r="AG374" s="15" t="str">
        <f>VLOOKUP(AF374,'Axe 2 Règles de gestion'!$D$2:$F$121,3, FALSE)</f>
        <v>Si l'agent n'adresse pas sa demande dans les délais, il est obligatoirement réintégré à la première vacance dans son corps d'origine et affecté à un emploi correspondant à son grade.</v>
      </c>
      <c r="AH374" s="13" t="s">
        <v>200</v>
      </c>
      <c r="AI374" s="15" t="str">
        <f>VLOOKUP(AH374,'Axe 2 Règles de gestion'!$D$2:$F$121,3, FALSE)</f>
        <v>Les dispositions relatives à la réintégration au terme d'un détachement de longue durée ne sont pas applicables aux préfets et sous-préfets.</v>
      </c>
      <c r="AJ374" s="13"/>
      <c r="AK374" s="15"/>
      <c r="AL374" s="13"/>
      <c r="AM374" s="15"/>
      <c r="AN374" s="13"/>
      <c r="AO374" s="15"/>
      <c r="AP374" s="13" t="s">
        <v>114</v>
      </c>
      <c r="AQ374" s="15" t="str">
        <f>VLOOKUP(AP374,'Axe 2 Règles de gestion'!$D$2:$F$121,3, FALSE)</f>
        <v>Un détachement de courte durée à l'étranger ou dans les TOM ne peut excéder 1 an entre la date de début et la date de fin prévisionnelle.</v>
      </c>
      <c r="AR374" s="13" t="s">
        <v>116</v>
      </c>
      <c r="AS374" s="15" t="str">
        <f>VLOOKUP(AR374,'Axe 2 Règles de gestion'!$D$2:$F$121,3, FALSE)</f>
        <v>Un détachement de courte durée à l'étranger ou dans les TOM ne peut excéder 1 an entre la date de début et la date de fin réelle.</v>
      </c>
      <c r="AT374" s="13" t="s">
        <v>118</v>
      </c>
      <c r="AU374" s="15" t="str">
        <f>VLOOKUP(AT374,'Axe 2 Règles de gestion'!$D$2:$F$121,3, FALSE)</f>
        <v>Un détachement de courte durée n'ayant pas lieu à l'étranger ou dans les TOM ne peut excéder six mois entre la date de début et la date de fin prévisionnelle.</v>
      </c>
      <c r="AV374" s="13" t="s">
        <v>120</v>
      </c>
      <c r="AW374" s="15" t="str">
        <f>VLOOKUP(AV374,'Axe 2 Règles de gestion'!$D$2:$F$121,3, FALSE)</f>
        <v>Un détachement de courte durée n'ayant pas lieu à l'étranger ou dans les TOM ne peut excéder six mois entre la date de début et la date de fin réelle.</v>
      </c>
      <c r="AX374" s="13" t="s">
        <v>122</v>
      </c>
      <c r="AY374" s="15" t="str">
        <f>VLOOKUP(AX374,'Axe 2 Règles de gestion'!$D$2:$F$121,3, FALSE)</f>
        <v>Un détachement de longue durée ne peut excéder 5 ans entre la date de début et la date de fin prévisionnelle.</v>
      </c>
      <c r="AZ374" s="13" t="s">
        <v>124</v>
      </c>
      <c r="BA374" s="15" t="str">
        <f>VLOOKUP(AZ374,'Axe 2 Règles de gestion'!$D$2:$F$121,3, FALSE)</f>
        <v>Un détachement de longue durée ne peut excéder 5 ans entre la date de début et la date de fin réelle.</v>
      </c>
      <c r="BB374" s="13" t="s">
        <v>126</v>
      </c>
      <c r="BC374" s="15" t="str">
        <f>VLOOKUP(BB374,'Axe 2 Règles de gestion'!$D$2:$F$121,3, FALSE)</f>
        <v>La date de début de position doit être antérieure ou égale à la date de fin prévisionnelle de position.</v>
      </c>
      <c r="BD374" s="13" t="s">
        <v>130</v>
      </c>
      <c r="BE374" s="15" t="str">
        <f>VLOOKUP(BD374,'Axe 2 Règles de gestion'!$D$2:$F$121,3, FALSE)</f>
        <v>La date de fin réelle de la position doit être antérieure à la date limite de départ à la retraite.</v>
      </c>
      <c r="BF374" s="13" t="s">
        <v>132</v>
      </c>
      <c r="BG374" s="15" t="str">
        <f>VLOOKUP(BF374,'Axe 2 Règles de gestion'!$D$2:$F$121,3, FALSE)</f>
        <v>La date de début de position doit être antérieure ou égale à la date de fin réelle de position.</v>
      </c>
      <c r="BH374" s="13" t="s">
        <v>134</v>
      </c>
      <c r="BI374" s="15" t="str">
        <f>VLOOKUP(BH374,'Axe 2 Règles de gestion'!$D$2:$F$121,3, FALSE)</f>
        <v>La date de fin prévisionnelle de la position doit être antérieure à la date limite de départ à la retraite.</v>
      </c>
      <c r="BJ374" s="13" t="s">
        <v>140</v>
      </c>
      <c r="BK374" s="15" t="str">
        <f>VLOOKUP(BJ374,'Axe 2 Règles de gestion'!$D$2:$F$121,3, FALSE)</f>
        <v>Les champs "Type d'organisme d'origine", "Catégorie statutaire d'origine" et "Pays" de l'organisme d'origine doivent être renseignés.</v>
      </c>
      <c r="BL374" s="13" t="s">
        <v>142</v>
      </c>
      <c r="BM374" s="15" t="str">
        <f>VLOOKUP(BL374,'Axe 2 Règles de gestion'!$D$2:$F$121,3, FALSE)</f>
        <v>Les champs "Ministère (ou institution de la République) d'origine", "Corps d'origine", "Grade d'origine", "Echelon d'origine" sont renseignés si le "Type d'organisme d'origine" est valorisé à FPE.</v>
      </c>
      <c r="BN374" s="13" t="s">
        <v>144</v>
      </c>
      <c r="BO374" s="15" t="str">
        <f>VLOOKUP(BN374,'Axe 2 Règles de gestion'!$D$2:$F$121,3, FALSE)</f>
        <v>Le champ "Organisme d'origine" doit être alimenté si le type d'organisme d'origine est égal à 'Autre organisme', 'Fonction publique d'un état de l'Union Européenne' ou 'Fonction publique Européenne'.</v>
      </c>
      <c r="BP374" s="13" t="s">
        <v>146</v>
      </c>
      <c r="BQ374" s="15" t="str">
        <f>VLOOKUP(BP374,'Axe 2 Règles de gestion'!$D$2:$F$121,3, FALSE)</f>
        <v>Le champ "Code emploi statutaire FPT (NET)" est renseigné si le "Type d'organisme d'origine" est valorisé à FPT.</v>
      </c>
      <c r="BR374" s="13" t="s">
        <v>148</v>
      </c>
      <c r="BS374" s="15" t="str">
        <f>VLOOKUP(BR374,'Axe 2 Règles de gestion'!$D$2:$F$121,3, FALSE)</f>
        <v>Le champ "Code emploi statutaire FPH (NEH)" est renseigné si le "Type d'organisme d'origine" est valorisé à FPH.</v>
      </c>
      <c r="BT374" s="13" t="s">
        <v>150</v>
      </c>
      <c r="BU374" s="15" t="str">
        <f>VLOOKUP(BT374,'Axe 2 Règles de gestion'!$D$2:$F$121,3, FALSE)</f>
        <v>La date de fin ou la date de fin prévisionnelle doit être saisie.</v>
      </c>
      <c r="BV374" s="13" t="s">
        <v>592</v>
      </c>
      <c r="BW374" s="15" t="str">
        <f>VLOOKUP(BV374,'Axe 2 Règles de gestion'!$D$2:$F$121,3, FALSE)</f>
        <v>Si la date de début de la situation particulière est renseignée pour la valeur 'Période de préparation au reclassement" alors la date de début de la situation particulière est égale à la date de début de la position saisie.</v>
      </c>
      <c r="BX374" s="13" t="s">
        <v>594</v>
      </c>
      <c r="BY374" s="15" t="str">
        <f>VLOOKUP(BX374,'Axe 2 Règles de gestion'!$D$2:$F$121,3, FALSE)</f>
        <v>Si la date de fin de la situation particulière est renseignée pour la valeur 'Période de préparation au reclassement" alors la date de fin de la situation particulière est égale à la date de fin réelle de la position saisie.</v>
      </c>
      <c r="BZ374" s="13"/>
      <c r="CA374" s="15"/>
      <c r="CB374" s="13"/>
      <c r="CC374" s="15"/>
      <c r="CD374" s="13"/>
      <c r="CE374" s="15"/>
      <c r="CF374" s="13"/>
      <c r="CG374" s="13"/>
    </row>
    <row r="375" spans="1:85" ht="210" x14ac:dyDescent="0.25">
      <c r="A375" s="13" t="s">
        <v>614</v>
      </c>
      <c r="B375" s="13" t="s">
        <v>153</v>
      </c>
      <c r="C375" s="14">
        <v>43649.745138888888</v>
      </c>
      <c r="D375" s="13" t="s">
        <v>88</v>
      </c>
      <c r="E375" s="15" t="s">
        <v>89</v>
      </c>
      <c r="F375" s="13" t="s">
        <v>90</v>
      </c>
      <c r="G375" s="15" t="s">
        <v>91</v>
      </c>
      <c r="H375" s="13" t="s">
        <v>617</v>
      </c>
      <c r="I375" s="15" t="s">
        <v>618</v>
      </c>
      <c r="J375" s="15" t="s">
        <v>619</v>
      </c>
      <c r="K375" s="15" t="s">
        <v>620</v>
      </c>
      <c r="L375" s="13" t="s">
        <v>621</v>
      </c>
      <c r="M375" s="15" t="s">
        <v>622</v>
      </c>
      <c r="N375" s="13" t="s">
        <v>98</v>
      </c>
      <c r="O375" s="15" t="s">
        <v>99</v>
      </c>
      <c r="P375" s="15" t="s">
        <v>100</v>
      </c>
      <c r="Q375" s="15" t="s">
        <v>615</v>
      </c>
      <c r="R375" s="13" t="s">
        <v>616</v>
      </c>
      <c r="S375" s="13" t="s">
        <v>103</v>
      </c>
      <c r="T375" s="13" t="s">
        <v>205</v>
      </c>
      <c r="U375" s="14">
        <v>43274</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3"/>
    </row>
    <row r="376" spans="1:85" ht="210" x14ac:dyDescent="0.25">
      <c r="A376" s="13" t="s">
        <v>614</v>
      </c>
      <c r="B376" s="13" t="s">
        <v>153</v>
      </c>
      <c r="C376" s="14">
        <v>43649.746527777781</v>
      </c>
      <c r="D376" s="13" t="s">
        <v>88</v>
      </c>
      <c r="E376" s="15" t="s">
        <v>89</v>
      </c>
      <c r="F376" s="13" t="s">
        <v>90</v>
      </c>
      <c r="G376" s="15" t="s">
        <v>91</v>
      </c>
      <c r="H376" s="13" t="s">
        <v>617</v>
      </c>
      <c r="I376" s="15" t="s">
        <v>618</v>
      </c>
      <c r="J376" s="15" t="s">
        <v>619</v>
      </c>
      <c r="K376" s="15" t="s">
        <v>620</v>
      </c>
      <c r="L376" s="13" t="s">
        <v>623</v>
      </c>
      <c r="M376" s="15" t="s">
        <v>624</v>
      </c>
      <c r="N376" s="13" t="s">
        <v>98</v>
      </c>
      <c r="O376" s="15" t="s">
        <v>170</v>
      </c>
      <c r="P376" s="15" t="s">
        <v>171</v>
      </c>
      <c r="Q376" s="15" t="s">
        <v>615</v>
      </c>
      <c r="R376" s="13" t="s">
        <v>616</v>
      </c>
      <c r="S376" s="13" t="s">
        <v>103</v>
      </c>
      <c r="T376" s="13" t="s">
        <v>205</v>
      </c>
      <c r="U376" s="14">
        <v>43274</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3"/>
    </row>
    <row r="377" spans="1:85" ht="210" x14ac:dyDescent="0.25">
      <c r="A377" s="13" t="s">
        <v>614</v>
      </c>
      <c r="B377" s="13" t="s">
        <v>153</v>
      </c>
      <c r="C377" s="14">
        <v>43649.748611111114</v>
      </c>
      <c r="D377" s="13" t="s">
        <v>88</v>
      </c>
      <c r="E377" s="15" t="s">
        <v>89</v>
      </c>
      <c r="F377" s="13" t="s">
        <v>90</v>
      </c>
      <c r="G377" s="15" t="s">
        <v>91</v>
      </c>
      <c r="H377" s="13" t="s">
        <v>617</v>
      </c>
      <c r="I377" s="15" t="s">
        <v>618</v>
      </c>
      <c r="J377" s="15" t="s">
        <v>619</v>
      </c>
      <c r="K377" s="15" t="s">
        <v>620</v>
      </c>
      <c r="L377" s="13" t="s">
        <v>625</v>
      </c>
      <c r="M377" s="15" t="s">
        <v>626</v>
      </c>
      <c r="N377" s="13" t="s">
        <v>188</v>
      </c>
      <c r="O377" s="15" t="s">
        <v>189</v>
      </c>
      <c r="P377" s="15" t="s">
        <v>190</v>
      </c>
      <c r="Q377" s="15" t="s">
        <v>615</v>
      </c>
      <c r="R377" s="13" t="s">
        <v>616</v>
      </c>
      <c r="S377" s="13" t="s">
        <v>103</v>
      </c>
      <c r="T377" s="13" t="s">
        <v>205</v>
      </c>
      <c r="U377" s="14">
        <v>43274</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3"/>
    </row>
    <row r="378" spans="1:85" ht="210" x14ac:dyDescent="0.25">
      <c r="A378" s="13" t="s">
        <v>614</v>
      </c>
      <c r="B378" s="13" t="s">
        <v>153</v>
      </c>
      <c r="C378" s="14">
        <v>43649.744444444441</v>
      </c>
      <c r="D378" s="13" t="s">
        <v>88</v>
      </c>
      <c r="E378" s="15" t="s">
        <v>89</v>
      </c>
      <c r="F378" s="13" t="s">
        <v>90</v>
      </c>
      <c r="G378" s="15" t="s">
        <v>91</v>
      </c>
      <c r="H378" s="13" t="s">
        <v>617</v>
      </c>
      <c r="I378" s="15" t="s">
        <v>618</v>
      </c>
      <c r="J378" s="15" t="s">
        <v>619</v>
      </c>
      <c r="K378" s="15" t="s">
        <v>620</v>
      </c>
      <c r="L378" s="13" t="s">
        <v>621</v>
      </c>
      <c r="M378" s="15" t="s">
        <v>622</v>
      </c>
      <c r="N378" s="13" t="s">
        <v>98</v>
      </c>
      <c r="O378" s="15" t="s">
        <v>99</v>
      </c>
      <c r="P378" s="15" t="s">
        <v>100</v>
      </c>
      <c r="Q378" s="15" t="s">
        <v>203</v>
      </c>
      <c r="R378" s="13" t="s">
        <v>204</v>
      </c>
      <c r="S378" s="13" t="s">
        <v>103</v>
      </c>
      <c r="T378" s="13" t="s">
        <v>205</v>
      </c>
      <c r="U378" s="14">
        <v>43274</v>
      </c>
      <c r="V378" s="14"/>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c r="CE378" s="15"/>
      <c r="CF378" s="13"/>
      <c r="CG378" s="13"/>
    </row>
    <row r="379" spans="1:85" ht="210" x14ac:dyDescent="0.25">
      <c r="A379" s="13" t="s">
        <v>614</v>
      </c>
      <c r="B379" s="13" t="s">
        <v>153</v>
      </c>
      <c r="C379" s="14">
        <v>43649.745833333334</v>
      </c>
      <c r="D379" s="13" t="s">
        <v>88</v>
      </c>
      <c r="E379" s="15" t="s">
        <v>89</v>
      </c>
      <c r="F379" s="13" t="s">
        <v>90</v>
      </c>
      <c r="G379" s="15" t="s">
        <v>91</v>
      </c>
      <c r="H379" s="13" t="s">
        <v>617</v>
      </c>
      <c r="I379" s="15" t="s">
        <v>618</v>
      </c>
      <c r="J379" s="15" t="s">
        <v>619</v>
      </c>
      <c r="K379" s="15" t="s">
        <v>620</v>
      </c>
      <c r="L379" s="13" t="s">
        <v>623</v>
      </c>
      <c r="M379" s="15" t="s">
        <v>624</v>
      </c>
      <c r="N379" s="13" t="s">
        <v>98</v>
      </c>
      <c r="O379" s="15" t="s">
        <v>170</v>
      </c>
      <c r="P379" s="15" t="s">
        <v>171</v>
      </c>
      <c r="Q379" s="15" t="s">
        <v>203</v>
      </c>
      <c r="R379" s="13" t="s">
        <v>204</v>
      </c>
      <c r="S379" s="13" t="s">
        <v>103</v>
      </c>
      <c r="T379" s="13" t="s">
        <v>205</v>
      </c>
      <c r="U379" s="14">
        <v>43274</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3"/>
    </row>
    <row r="380" spans="1:85" ht="210" x14ac:dyDescent="0.25">
      <c r="A380" s="13" t="s">
        <v>614</v>
      </c>
      <c r="B380" s="13" t="s">
        <v>153</v>
      </c>
      <c r="C380" s="14">
        <v>43649.74722222222</v>
      </c>
      <c r="D380" s="13" t="s">
        <v>88</v>
      </c>
      <c r="E380" s="15" t="s">
        <v>89</v>
      </c>
      <c r="F380" s="13" t="s">
        <v>90</v>
      </c>
      <c r="G380" s="15" t="s">
        <v>91</v>
      </c>
      <c r="H380" s="13" t="s">
        <v>617</v>
      </c>
      <c r="I380" s="15" t="s">
        <v>618</v>
      </c>
      <c r="J380" s="15" t="s">
        <v>619</v>
      </c>
      <c r="K380" s="15" t="s">
        <v>620</v>
      </c>
      <c r="L380" s="13" t="s">
        <v>625</v>
      </c>
      <c r="M380" s="15" t="s">
        <v>626</v>
      </c>
      <c r="N380" s="13" t="s">
        <v>188</v>
      </c>
      <c r="O380" s="15" t="s">
        <v>189</v>
      </c>
      <c r="P380" s="15" t="s">
        <v>190</v>
      </c>
      <c r="Q380" s="15" t="s">
        <v>203</v>
      </c>
      <c r="R380" s="13" t="s">
        <v>204</v>
      </c>
      <c r="S380" s="13" t="s">
        <v>103</v>
      </c>
      <c r="T380" s="13" t="s">
        <v>205</v>
      </c>
      <c r="U380" s="14">
        <v>43274</v>
      </c>
      <c r="V380" s="14"/>
      <c r="W380" s="15"/>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c r="BC380" s="15"/>
      <c r="BD380" s="13"/>
      <c r="BE380" s="15"/>
      <c r="BF380" s="13"/>
      <c r="BG380" s="15"/>
      <c r="BH380" s="13"/>
      <c r="BI380" s="15"/>
      <c r="BJ380" s="13"/>
      <c r="BK380" s="15"/>
      <c r="BL380" s="13"/>
      <c r="BM380" s="15"/>
      <c r="BN380" s="13"/>
      <c r="BO380" s="15"/>
      <c r="BP380" s="13"/>
      <c r="BQ380" s="15"/>
      <c r="BR380" s="13"/>
      <c r="BS380" s="15"/>
      <c r="BT380" s="13"/>
      <c r="BU380" s="15"/>
      <c r="BV380" s="13"/>
      <c r="BW380" s="15"/>
      <c r="BX380" s="13"/>
      <c r="BY380" s="15"/>
      <c r="BZ380" s="13"/>
      <c r="CA380" s="15"/>
      <c r="CB380" s="13"/>
      <c r="CC380" s="15"/>
      <c r="CD380" s="13"/>
      <c r="CE380" s="15"/>
      <c r="CF380" s="13"/>
      <c r="CG380" s="13"/>
    </row>
    <row r="381" spans="1:85" ht="210" x14ac:dyDescent="0.25">
      <c r="A381" s="13" t="s">
        <v>614</v>
      </c>
      <c r="B381" s="13" t="s">
        <v>153</v>
      </c>
      <c r="C381" s="14">
        <v>43649.744444444441</v>
      </c>
      <c r="D381" s="13" t="s">
        <v>88</v>
      </c>
      <c r="E381" s="15" t="s">
        <v>89</v>
      </c>
      <c r="F381" s="13" t="s">
        <v>90</v>
      </c>
      <c r="G381" s="15" t="s">
        <v>91</v>
      </c>
      <c r="H381" s="13" t="s">
        <v>617</v>
      </c>
      <c r="I381" s="15" t="s">
        <v>618</v>
      </c>
      <c r="J381" s="15" t="s">
        <v>619</v>
      </c>
      <c r="K381" s="15" t="s">
        <v>620</v>
      </c>
      <c r="L381" s="13" t="s">
        <v>621</v>
      </c>
      <c r="M381" s="15" t="s">
        <v>622</v>
      </c>
      <c r="N381" s="13" t="s">
        <v>98</v>
      </c>
      <c r="O381" s="15" t="s">
        <v>99</v>
      </c>
      <c r="P381" s="15" t="s">
        <v>100</v>
      </c>
      <c r="Q381" s="15" t="s">
        <v>206</v>
      </c>
      <c r="R381" s="13" t="s">
        <v>207</v>
      </c>
      <c r="S381" s="13" t="s">
        <v>103</v>
      </c>
      <c r="T381" s="13" t="s">
        <v>205</v>
      </c>
      <c r="U381" s="14">
        <v>43274</v>
      </c>
      <c r="V381" s="14"/>
      <c r="W381" s="15"/>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c r="BG381" s="15"/>
      <c r="BH381" s="13"/>
      <c r="BI381" s="15"/>
      <c r="BJ381" s="13"/>
      <c r="BK381" s="15"/>
      <c r="BL381" s="13"/>
      <c r="BM381" s="15"/>
      <c r="BN381" s="13"/>
      <c r="BO381" s="15"/>
      <c r="BP381" s="13"/>
      <c r="BQ381" s="15"/>
      <c r="BR381" s="13"/>
      <c r="BS381" s="15"/>
      <c r="BT381" s="13"/>
      <c r="BU381" s="15"/>
      <c r="BV381" s="13"/>
      <c r="BW381" s="15"/>
      <c r="BX381" s="13"/>
      <c r="BY381" s="15"/>
      <c r="BZ381" s="13"/>
      <c r="CA381" s="15"/>
      <c r="CB381" s="13"/>
      <c r="CC381" s="15"/>
      <c r="CD381" s="13"/>
      <c r="CE381" s="15"/>
      <c r="CF381" s="13"/>
      <c r="CG381" s="13"/>
    </row>
    <row r="382" spans="1:85" ht="210" x14ac:dyDescent="0.25">
      <c r="A382" s="13" t="s">
        <v>614</v>
      </c>
      <c r="B382" s="13" t="s">
        <v>153</v>
      </c>
      <c r="C382" s="14">
        <v>43649.745833333334</v>
      </c>
      <c r="D382" s="13" t="s">
        <v>88</v>
      </c>
      <c r="E382" s="15" t="s">
        <v>89</v>
      </c>
      <c r="F382" s="13" t="s">
        <v>90</v>
      </c>
      <c r="G382" s="15" t="s">
        <v>91</v>
      </c>
      <c r="H382" s="13" t="s">
        <v>617</v>
      </c>
      <c r="I382" s="15" t="s">
        <v>618</v>
      </c>
      <c r="J382" s="15" t="s">
        <v>619</v>
      </c>
      <c r="K382" s="15" t="s">
        <v>620</v>
      </c>
      <c r="L382" s="13" t="s">
        <v>623</v>
      </c>
      <c r="M382" s="15" t="s">
        <v>624</v>
      </c>
      <c r="N382" s="13" t="s">
        <v>98</v>
      </c>
      <c r="O382" s="15" t="s">
        <v>170</v>
      </c>
      <c r="P382" s="15" t="s">
        <v>171</v>
      </c>
      <c r="Q382" s="15" t="s">
        <v>206</v>
      </c>
      <c r="R382" s="13" t="s">
        <v>207</v>
      </c>
      <c r="S382" s="13" t="s">
        <v>103</v>
      </c>
      <c r="T382" s="13" t="s">
        <v>205</v>
      </c>
      <c r="U382" s="14">
        <v>43274</v>
      </c>
      <c r="V382" s="14"/>
      <c r="W382" s="15"/>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c r="BG382" s="15"/>
      <c r="BH382" s="13"/>
      <c r="BI382" s="15"/>
      <c r="BJ382" s="13"/>
      <c r="BK382" s="15"/>
      <c r="BL382" s="13"/>
      <c r="BM382" s="15"/>
      <c r="BN382" s="13"/>
      <c r="BO382" s="15"/>
      <c r="BP382" s="13"/>
      <c r="BQ382" s="15"/>
      <c r="BR382" s="13"/>
      <c r="BS382" s="15"/>
      <c r="BT382" s="13"/>
      <c r="BU382" s="15"/>
      <c r="BV382" s="13"/>
      <c r="BW382" s="15"/>
      <c r="BX382" s="13"/>
      <c r="BY382" s="15"/>
      <c r="BZ382" s="13"/>
      <c r="CA382" s="15"/>
      <c r="CB382" s="13"/>
      <c r="CC382" s="15"/>
      <c r="CD382" s="13"/>
      <c r="CE382" s="15"/>
      <c r="CF382" s="13"/>
      <c r="CG382" s="13"/>
    </row>
    <row r="383" spans="1:85" ht="210" x14ac:dyDescent="0.25">
      <c r="A383" s="13" t="s">
        <v>614</v>
      </c>
      <c r="B383" s="13" t="s">
        <v>153</v>
      </c>
      <c r="C383" s="14">
        <v>43649.746527777781</v>
      </c>
      <c r="D383" s="13" t="s">
        <v>88</v>
      </c>
      <c r="E383" s="15" t="s">
        <v>89</v>
      </c>
      <c r="F383" s="13" t="s">
        <v>90</v>
      </c>
      <c r="G383" s="15" t="s">
        <v>91</v>
      </c>
      <c r="H383" s="13" t="s">
        <v>617</v>
      </c>
      <c r="I383" s="15" t="s">
        <v>618</v>
      </c>
      <c r="J383" s="15" t="s">
        <v>619</v>
      </c>
      <c r="K383" s="15" t="s">
        <v>620</v>
      </c>
      <c r="L383" s="13" t="s">
        <v>625</v>
      </c>
      <c r="M383" s="15" t="s">
        <v>626</v>
      </c>
      <c r="N383" s="13" t="s">
        <v>188</v>
      </c>
      <c r="O383" s="15" t="s">
        <v>189</v>
      </c>
      <c r="P383" s="15" t="s">
        <v>190</v>
      </c>
      <c r="Q383" s="15" t="s">
        <v>206</v>
      </c>
      <c r="R383" s="13" t="s">
        <v>207</v>
      </c>
      <c r="S383" s="13" t="s">
        <v>103</v>
      </c>
      <c r="T383" s="13" t="s">
        <v>205</v>
      </c>
      <c r="U383" s="14">
        <v>43274</v>
      </c>
      <c r="V383" s="14"/>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3"/>
    </row>
    <row r="384" spans="1:85" ht="210" x14ac:dyDescent="0.25">
      <c r="A384" s="13" t="s">
        <v>614</v>
      </c>
      <c r="B384" s="13" t="s">
        <v>153</v>
      </c>
      <c r="C384" s="14">
        <v>43649.745138888888</v>
      </c>
      <c r="D384" s="13" t="s">
        <v>88</v>
      </c>
      <c r="E384" s="15" t="s">
        <v>89</v>
      </c>
      <c r="F384" s="13" t="s">
        <v>90</v>
      </c>
      <c r="G384" s="15" t="s">
        <v>91</v>
      </c>
      <c r="H384" s="13" t="s">
        <v>617</v>
      </c>
      <c r="I384" s="15" t="s">
        <v>618</v>
      </c>
      <c r="J384" s="15" t="s">
        <v>619</v>
      </c>
      <c r="K384" s="15" t="s">
        <v>620</v>
      </c>
      <c r="L384" s="13" t="s">
        <v>621</v>
      </c>
      <c r="M384" s="15" t="s">
        <v>622</v>
      </c>
      <c r="N384" s="13" t="s">
        <v>98</v>
      </c>
      <c r="O384" s="15" t="s">
        <v>99</v>
      </c>
      <c r="P384" s="15" t="s">
        <v>100</v>
      </c>
      <c r="Q384" s="15" t="s">
        <v>208</v>
      </c>
      <c r="R384" s="13" t="s">
        <v>209</v>
      </c>
      <c r="S384" s="13" t="s">
        <v>103</v>
      </c>
      <c r="T384" s="13" t="s">
        <v>205</v>
      </c>
      <c r="U384" s="14">
        <v>43274</v>
      </c>
      <c r="V384" s="14"/>
      <c r="W384" s="15"/>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c r="BM384" s="15"/>
      <c r="BN384" s="13"/>
      <c r="BO384" s="15"/>
      <c r="BP384" s="13"/>
      <c r="BQ384" s="15"/>
      <c r="BR384" s="13"/>
      <c r="BS384" s="15"/>
      <c r="BT384" s="13"/>
      <c r="BU384" s="15"/>
      <c r="BV384" s="13"/>
      <c r="BW384" s="15"/>
      <c r="BX384" s="13"/>
      <c r="BY384" s="15"/>
      <c r="BZ384" s="13"/>
      <c r="CA384" s="15"/>
      <c r="CB384" s="13"/>
      <c r="CC384" s="15"/>
      <c r="CD384" s="13"/>
      <c r="CE384" s="15"/>
      <c r="CF384" s="13"/>
      <c r="CG384" s="13"/>
    </row>
    <row r="385" spans="1:85" ht="210" x14ac:dyDescent="0.25">
      <c r="A385" s="13" t="s">
        <v>614</v>
      </c>
      <c r="B385" s="13" t="s">
        <v>153</v>
      </c>
      <c r="C385" s="14">
        <v>43649.746527777781</v>
      </c>
      <c r="D385" s="13" t="s">
        <v>88</v>
      </c>
      <c r="E385" s="15" t="s">
        <v>89</v>
      </c>
      <c r="F385" s="13" t="s">
        <v>90</v>
      </c>
      <c r="G385" s="15" t="s">
        <v>91</v>
      </c>
      <c r="H385" s="13" t="s">
        <v>617</v>
      </c>
      <c r="I385" s="15" t="s">
        <v>618</v>
      </c>
      <c r="J385" s="15" t="s">
        <v>619</v>
      </c>
      <c r="K385" s="15" t="s">
        <v>620</v>
      </c>
      <c r="L385" s="13" t="s">
        <v>623</v>
      </c>
      <c r="M385" s="15" t="s">
        <v>624</v>
      </c>
      <c r="N385" s="13" t="s">
        <v>98</v>
      </c>
      <c r="O385" s="15" t="s">
        <v>170</v>
      </c>
      <c r="P385" s="15" t="s">
        <v>171</v>
      </c>
      <c r="Q385" s="15" t="s">
        <v>208</v>
      </c>
      <c r="R385" s="13" t="s">
        <v>209</v>
      </c>
      <c r="S385" s="13" t="s">
        <v>103</v>
      </c>
      <c r="T385" s="13" t="s">
        <v>205</v>
      </c>
      <c r="U385" s="14">
        <v>43274</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c r="CE385" s="15"/>
      <c r="CF385" s="13"/>
      <c r="CG385" s="13"/>
    </row>
    <row r="386" spans="1:85" ht="210" x14ac:dyDescent="0.25">
      <c r="A386" s="13" t="s">
        <v>614</v>
      </c>
      <c r="B386" s="13" t="s">
        <v>153</v>
      </c>
      <c r="C386" s="14">
        <v>43649.747916666667</v>
      </c>
      <c r="D386" s="13" t="s">
        <v>88</v>
      </c>
      <c r="E386" s="15" t="s">
        <v>89</v>
      </c>
      <c r="F386" s="13" t="s">
        <v>90</v>
      </c>
      <c r="G386" s="15" t="s">
        <v>91</v>
      </c>
      <c r="H386" s="13" t="s">
        <v>617</v>
      </c>
      <c r="I386" s="15" t="s">
        <v>618</v>
      </c>
      <c r="J386" s="15" t="s">
        <v>619</v>
      </c>
      <c r="K386" s="15" t="s">
        <v>620</v>
      </c>
      <c r="L386" s="13" t="s">
        <v>625</v>
      </c>
      <c r="M386" s="15" t="s">
        <v>626</v>
      </c>
      <c r="N386" s="13" t="s">
        <v>188</v>
      </c>
      <c r="O386" s="15" t="s">
        <v>189</v>
      </c>
      <c r="P386" s="15" t="s">
        <v>190</v>
      </c>
      <c r="Q386" s="15" t="s">
        <v>208</v>
      </c>
      <c r="R386" s="13" t="s">
        <v>209</v>
      </c>
      <c r="S386" s="13" t="s">
        <v>103</v>
      </c>
      <c r="T386" s="13" t="s">
        <v>205</v>
      </c>
      <c r="U386" s="14">
        <v>43274</v>
      </c>
      <c r="V386" s="14"/>
      <c r="W386" s="15"/>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c r="BM386" s="15"/>
      <c r="BN386" s="13"/>
      <c r="BO386" s="15"/>
      <c r="BP386" s="13"/>
      <c r="BQ386" s="15"/>
      <c r="BR386" s="13"/>
      <c r="BS386" s="15"/>
      <c r="BT386" s="13"/>
      <c r="BU386" s="15"/>
      <c r="BV386" s="13"/>
      <c r="BW386" s="15"/>
      <c r="BX386" s="13"/>
      <c r="BY386" s="15"/>
      <c r="BZ386" s="13"/>
      <c r="CA386" s="15"/>
      <c r="CB386" s="13"/>
      <c r="CC386" s="15"/>
      <c r="CD386" s="13"/>
      <c r="CE386" s="15"/>
      <c r="CF386" s="13"/>
      <c r="CG386" s="13"/>
    </row>
    <row r="387" spans="1:85" ht="165" x14ac:dyDescent="0.25">
      <c r="A387" s="13" t="s">
        <v>627</v>
      </c>
      <c r="B387" s="13" t="s">
        <v>153</v>
      </c>
      <c r="C387" s="14">
        <v>45084.673611111109</v>
      </c>
      <c r="D387" s="13" t="s">
        <v>88</v>
      </c>
      <c r="E387" s="15" t="s">
        <v>89</v>
      </c>
      <c r="F387" s="13" t="s">
        <v>90</v>
      </c>
      <c r="G387" s="15" t="s">
        <v>91</v>
      </c>
      <c r="H387" s="13" t="s">
        <v>628</v>
      </c>
      <c r="I387" s="15" t="s">
        <v>629</v>
      </c>
      <c r="J387" s="15" t="s">
        <v>630</v>
      </c>
      <c r="K387" s="15" t="s">
        <v>631</v>
      </c>
      <c r="L387" s="13" t="s">
        <v>632</v>
      </c>
      <c r="M387" s="15" t="s">
        <v>633</v>
      </c>
      <c r="N387" s="13" t="s">
        <v>98</v>
      </c>
      <c r="O387" s="15" t="s">
        <v>99</v>
      </c>
      <c r="P387" s="15" t="s">
        <v>100</v>
      </c>
      <c r="Q387" s="15" t="s">
        <v>101</v>
      </c>
      <c r="R387" s="13" t="s">
        <v>102</v>
      </c>
      <c r="S387" s="13" t="s">
        <v>103</v>
      </c>
      <c r="T387" s="13" t="s">
        <v>104</v>
      </c>
      <c r="U387" s="14">
        <v>43831</v>
      </c>
      <c r="V387" s="14"/>
      <c r="W387" s="15" t="s">
        <v>634</v>
      </c>
      <c r="X387" s="13" t="s">
        <v>635</v>
      </c>
      <c r="Y387" s="15" t="str">
        <f>VLOOKUP(X387,'Axe 2 Règles de gestion'!$D$2:$F$121,3, FALSE)</f>
        <v>L'agent doit remplir les conditions de grade et d'ancienneté du corps ou un cadre d'emplois de fonctionnaire civil relevant d'une administration de l'Etat, d'une collectivité territoriale ou d'un établissement public dans lequel il est détaché.</v>
      </c>
      <c r="Z387" s="13" t="s">
        <v>637</v>
      </c>
      <c r="AA387" s="15" t="str">
        <f>VLOOKUP(Z387,'Axe 2 Règles de gestion'!$D$2:$F$121,3, FALSE)</f>
        <v>L'agent doit avoir effectué une demande.</v>
      </c>
      <c r="AB387" s="13" t="s">
        <v>639</v>
      </c>
      <c r="AC387" s="15" t="str">
        <f>VLOOKUP(AB387,'Axe 2 Règles de gestion'!$D$2:$F$121,3, FALSE)</f>
        <v>La demande doit avoir été agréée par l'autorité compétente.</v>
      </c>
      <c r="AD387" s="13" t="s">
        <v>641</v>
      </c>
      <c r="AE387" s="15" t="str">
        <f>VLOOKUP(AD387,'Axe 2 Règles de gestion'!$D$2:$F$121,3, FALSE)</f>
        <v>S'il a donné satisfaction, l'agent est placé à la suite du stage probatoire en position de détachement, par décision conjointe de l'autorité compétence et de l'autorité chargée de la gestion du corps d'accueil.</v>
      </c>
      <c r="AF387" s="13" t="s">
        <v>643</v>
      </c>
      <c r="AG387" s="15" t="str">
        <f>VLOOKUP(AF387,'Axe 2 Règles de gestion'!$D$2:$F$121,3, FALSE)</f>
        <v>La condition de nationalité n'est pas opposable à l'agent ayant servi à titre étranger pendant une durée fixée.</v>
      </c>
      <c r="AH387" s="13" t="s">
        <v>645</v>
      </c>
      <c r="AI387" s="15" t="str">
        <f>VLOOKUP(AH387,'Axe 2 Règles de gestion'!$D$2:$F$121,3, FALSE)</f>
        <v>L'agent ayant servi à titre étranger n'a pas accès aux emplois dont les attributions ne sont pas séparables de l'exercice de la souveraineté ou comportent une participation directe ou indirecte à l'exercice de prérogatives de puissance publique.</v>
      </c>
      <c r="AJ387" s="13"/>
      <c r="AK387" s="15"/>
      <c r="AL387" s="13"/>
      <c r="AM387" s="15"/>
      <c r="AN387" s="13"/>
      <c r="AO387" s="15"/>
      <c r="AP387" s="13" t="s">
        <v>647</v>
      </c>
      <c r="AQ387" s="15" t="str">
        <f>VLOOKUP(AP387,'Axe 2 Règles de gestion'!$D$2:$F$121,3, FALSE)</f>
        <v>La durée du détachement est égale à 1 an entre la date de début et la date de fin prévisionnelle. Elle peut éventuellement être prolongée pour finaliser la procédure d'intégration de l'agent.</v>
      </c>
      <c r="AR387" s="13" t="s">
        <v>649</v>
      </c>
      <c r="AS387" s="15" t="str">
        <f>VLOOKUP(AR387,'Axe 2 Règles de gestion'!$D$2:$F$121,3, FALSE)</f>
        <v>La durée du détachement est égale à 1 an entre la date de début et la date de fin réelle. Elle peut éventuellement être prolongée pour finaliser la procédure d'intégration de l'agent.</v>
      </c>
      <c r="AT387" s="13" t="s">
        <v>651</v>
      </c>
      <c r="AU387" s="15" t="str">
        <f>VLOOKUP(AT387,'Axe 2 Règles de gestion'!$D$2:$F$121,3, FALSE)</f>
        <v>La durée du détachement dans un corps enseignant est égale à 2 ans entre la date de début et la date de fin prévisionnelle. Elle peut éventuellement être prolongée pour finaliser la procédure d'intégration de l'agent.</v>
      </c>
      <c r="AV387" s="13" t="s">
        <v>653</v>
      </c>
      <c r="AW387" s="15" t="str">
        <f>VLOOKUP(AV387,'Axe 2 Règles de gestion'!$D$2:$F$121,3, FALSE)</f>
        <v>La durée du détachement dans un corps enseignant est égale à 2 ans entre la date de début et la date de fin réelle. Elle peut éventuellement être prolongée pour finaliser la procédure d'intégration de l'agent.</v>
      </c>
      <c r="AX387" s="13"/>
      <c r="AY387" s="15"/>
      <c r="AZ387" s="13"/>
      <c r="BA387" s="15"/>
      <c r="BB387" s="13" t="s">
        <v>126</v>
      </c>
      <c r="BC387" s="15" t="str">
        <f>VLOOKUP(BB387,'Axe 2 Règles de gestion'!$D$2:$F$121,3, FALSE)</f>
        <v>La date de début de position doit être antérieure ou égale à la date de fin prévisionnelle de position.</v>
      </c>
      <c r="BD387" s="13" t="s">
        <v>128</v>
      </c>
      <c r="BE387" s="15" t="str">
        <f>VLOOKUP(BD387,'Axe 2 Règles de gestion'!$D$2:$F$121,3, FALSE)</f>
        <v>La date de début de la position doit être postérieure ou égale à la date d'entrée dans la FPE ou dans la carrière militaire.</v>
      </c>
      <c r="BF387" s="13" t="s">
        <v>130</v>
      </c>
      <c r="BG387" s="15" t="str">
        <f>VLOOKUP(BF387,'Axe 2 Règles de gestion'!$D$2:$F$121,3, FALSE)</f>
        <v>La date de fin réelle de la position doit être antérieure à la date limite de départ à la retraite.</v>
      </c>
      <c r="BH387" s="13" t="s">
        <v>132</v>
      </c>
      <c r="BI387" s="15" t="str">
        <f>VLOOKUP(BH387,'Axe 2 Règles de gestion'!$D$2:$F$121,3, FALSE)</f>
        <v>La date de début de position doit être antérieure ou égale à la date de fin réelle de position.</v>
      </c>
      <c r="BJ387" s="13" t="s">
        <v>134</v>
      </c>
      <c r="BK387" s="15" t="str">
        <f>VLOOKUP(BJ387,'Axe 2 Règles de gestion'!$D$2:$F$121,3, FALSE)</f>
        <v>La date de fin prévisionnelle de la position doit être antérieure à la date limite de départ à la retraite.</v>
      </c>
      <c r="BL387" s="13" t="s">
        <v>136</v>
      </c>
      <c r="BM387" s="15" t="str">
        <f>VLOOKUP(BL387,'Axe 2 Règles de gestion'!$D$2:$F$121,3, FALSE)</f>
        <v>L'indicateur de carrière est sur la valeur "Accueil".</v>
      </c>
      <c r="BN387" s="13" t="s">
        <v>138</v>
      </c>
      <c r="BO387" s="15" t="str">
        <f>VLOOKUP(BN387,'Axe 2 Règles de gestion'!$D$2:$F$121,3, FALSE)</f>
        <v>La date de début de position est à J+1 de la date de fin de position de l'occurrence précédente.</v>
      </c>
      <c r="BP387" s="13" t="s">
        <v>140</v>
      </c>
      <c r="BQ387" s="15" t="str">
        <f>VLOOKUP(BP387,'Axe 2 Règles de gestion'!$D$2:$F$121,3, FALSE)</f>
        <v>Les champs "Type d'organisme d'origine", "Catégorie statutaire d'origine" et "Pays" de l'organisme d'origine doivent être renseignés.</v>
      </c>
      <c r="BR387" s="13" t="s">
        <v>142</v>
      </c>
      <c r="BS387" s="15" t="str">
        <f>VLOOKUP(BR387,'Axe 2 Règles de gestion'!$D$2:$F$121,3, FALSE)</f>
        <v>Les champs "Ministère (ou institution de la République) d'origine", "Corps d'origine", "Grade d'origine", "Echelon d'origine" sont renseignés si le "Type d'organisme d'origine" est valorisé à FPE.</v>
      </c>
      <c r="BT387" s="13" t="s">
        <v>144</v>
      </c>
      <c r="BU387" s="15" t="str">
        <f>VLOOKUP(BT387,'Axe 2 Règles de gestion'!$D$2:$F$121,3, FALSE)</f>
        <v>Le champ "Organisme d'origine" doit être alimenté si le type d'organisme d'origine est égal à 'Autre organisme', 'Fonction publique d'un état de l'Union Européenne' ou 'Fonction publique Européenne'.</v>
      </c>
      <c r="BV387" s="13" t="s">
        <v>146</v>
      </c>
      <c r="BW387" s="15" t="str">
        <f>VLOOKUP(BV387,'Axe 2 Règles de gestion'!$D$2:$F$121,3, FALSE)</f>
        <v>Le champ "Code emploi statutaire FPT (NET)" est renseigné si le "Type d'organisme d'origine" est valorisé à FPT.</v>
      </c>
      <c r="BX387" s="13" t="s">
        <v>148</v>
      </c>
      <c r="BY387" s="15" t="str">
        <f>VLOOKUP(BX387,'Axe 2 Règles de gestion'!$D$2:$F$121,3, FALSE)</f>
        <v>Le champ "Code emploi statutaire FPH (NEH)" est renseigné si le "Type d'organisme d'origine" est valorisé à FPH.</v>
      </c>
      <c r="BZ387" s="13" t="s">
        <v>150</v>
      </c>
      <c r="CA387" s="15" t="str">
        <f>VLOOKUP(BZ387,'Axe 2 Règles de gestion'!$D$2:$F$121,3, FALSE)</f>
        <v>La date de fin ou la date de fin prévisionnelle doit être saisie.</v>
      </c>
      <c r="CB387" s="13"/>
      <c r="CC387" s="15"/>
      <c r="CD387" s="13"/>
      <c r="CE387" s="15"/>
      <c r="CF387" s="13"/>
      <c r="CG387" s="13"/>
    </row>
    <row r="388" spans="1:85" ht="135" x14ac:dyDescent="0.25">
      <c r="A388" s="13" t="s">
        <v>627</v>
      </c>
      <c r="B388" s="13" t="s">
        <v>153</v>
      </c>
      <c r="C388" s="14">
        <v>45084.45208333333</v>
      </c>
      <c r="D388" s="13" t="s">
        <v>88</v>
      </c>
      <c r="E388" s="15" t="s">
        <v>89</v>
      </c>
      <c r="F388" s="13" t="s">
        <v>90</v>
      </c>
      <c r="G388" s="15" t="s">
        <v>91</v>
      </c>
      <c r="H388" s="13" t="s">
        <v>628</v>
      </c>
      <c r="I388" s="15" t="s">
        <v>629</v>
      </c>
      <c r="J388" s="15" t="s">
        <v>630</v>
      </c>
      <c r="K388" s="15" t="s">
        <v>631</v>
      </c>
      <c r="L388" s="13" t="s">
        <v>655</v>
      </c>
      <c r="M388" s="15" t="s">
        <v>656</v>
      </c>
      <c r="N388" s="13" t="s">
        <v>98</v>
      </c>
      <c r="O388" s="15" t="s">
        <v>170</v>
      </c>
      <c r="P388" s="15" t="s">
        <v>171</v>
      </c>
      <c r="Q388" s="15" t="s">
        <v>101</v>
      </c>
      <c r="R388" s="13" t="s">
        <v>102</v>
      </c>
      <c r="S388" s="13" t="s">
        <v>103</v>
      </c>
      <c r="T388" s="13" t="s">
        <v>104</v>
      </c>
      <c r="U388" s="14">
        <v>43831</v>
      </c>
      <c r="V388" s="14"/>
      <c r="W388" s="15" t="s">
        <v>657</v>
      </c>
      <c r="X388" s="13"/>
      <c r="Y388" s="15"/>
      <c r="Z388" s="13"/>
      <c r="AA388" s="15"/>
      <c r="AB388" s="13"/>
      <c r="AC388" s="15"/>
      <c r="AD388" s="13"/>
      <c r="AE388" s="15"/>
      <c r="AF388" s="13"/>
      <c r="AG388" s="15"/>
      <c r="AH388" s="13"/>
      <c r="AI388" s="15"/>
      <c r="AJ388" s="13"/>
      <c r="AK388" s="15"/>
      <c r="AL388" s="13"/>
      <c r="AM388" s="15"/>
      <c r="AN388" s="13"/>
      <c r="AO388" s="15"/>
      <c r="AP388" s="13" t="s">
        <v>647</v>
      </c>
      <c r="AQ388" s="15" t="str">
        <f>VLOOKUP(AP388,'Axe 2 Règles de gestion'!$D$2:$F$121,3, FALSE)</f>
        <v>La durée du détachement est égale à 1 an entre la date de début et la date de fin prévisionnelle. Elle peut éventuellement être prolongée pour finaliser la procédure d'intégration de l'agent.</v>
      </c>
      <c r="AR388" s="13" t="s">
        <v>649</v>
      </c>
      <c r="AS388" s="15" t="str">
        <f>VLOOKUP(AR388,'Axe 2 Règles de gestion'!$D$2:$F$121,3, FALSE)</f>
        <v>La durée du détachement est égale à 1 an entre la date de début et la date de fin réelle. Elle peut éventuellement être prolongée pour finaliser la procédure d'intégration de l'agent.</v>
      </c>
      <c r="AT388" s="13" t="s">
        <v>651</v>
      </c>
      <c r="AU388" s="15" t="str">
        <f>VLOOKUP(AT388,'Axe 2 Règles de gestion'!$D$2:$F$121,3, FALSE)</f>
        <v>La durée du détachement dans un corps enseignant est égale à 2 ans entre la date de début et la date de fin prévisionnelle. Elle peut éventuellement être prolongée pour finaliser la procédure d'intégration de l'agent.</v>
      </c>
      <c r="AV388" s="13" t="s">
        <v>653</v>
      </c>
      <c r="AW388" s="15" t="str">
        <f>VLOOKUP(AV388,'Axe 2 Règles de gestion'!$D$2:$F$121,3, FALSE)</f>
        <v>La durée du détachement dans un corps enseignant est égale à 2 ans entre la date de début et la date de fin réelle. Elle peut éventuellement être prolongée pour finaliser la procédure d'intégration de l'agent.</v>
      </c>
      <c r="AX388" s="13"/>
      <c r="AY388" s="15"/>
      <c r="AZ388" s="13"/>
      <c r="BA388" s="15"/>
      <c r="BB388" s="13" t="s">
        <v>128</v>
      </c>
      <c r="BC388" s="15" t="str">
        <f>VLOOKUP(BB388,'Axe 2 Règles de gestion'!$D$2:$F$121,3, FALSE)</f>
        <v>La date de début de la position doit être postérieure ou égale à la date d'entrée dans la FPE ou dans la carrière militaire.</v>
      </c>
      <c r="BD388" s="13" t="s">
        <v>130</v>
      </c>
      <c r="BE388" s="15" t="str">
        <f>VLOOKUP(BD388,'Axe 2 Règles de gestion'!$D$2:$F$121,3, FALSE)</f>
        <v>La date de fin réelle de la position doit être antérieure à la date limite de départ à la retraite.</v>
      </c>
      <c r="BF388" s="13" t="s">
        <v>132</v>
      </c>
      <c r="BG388" s="15" t="str">
        <f>VLOOKUP(BF388,'Axe 2 Règles de gestion'!$D$2:$F$121,3, FALSE)</f>
        <v>La date de début de position doit être antérieure ou égale à la date de fin réelle de position.</v>
      </c>
      <c r="BH388" s="13" t="s">
        <v>134</v>
      </c>
      <c r="BI388" s="15" t="str">
        <f>VLOOKUP(BH388,'Axe 2 Règles de gestion'!$D$2:$F$121,3, FALSE)</f>
        <v>La date de fin prévisionnelle de la position doit être antérieure à la date limite de départ à la retraite.</v>
      </c>
      <c r="BJ388" s="13" t="s">
        <v>136</v>
      </c>
      <c r="BK388" s="15" t="str">
        <f>VLOOKUP(BJ388,'Axe 2 Règles de gestion'!$D$2:$F$121,3, FALSE)</f>
        <v>L'indicateur de carrière est sur la valeur "Accueil".</v>
      </c>
      <c r="BL388" s="13" t="s">
        <v>138</v>
      </c>
      <c r="BM388" s="15" t="str">
        <f>VLOOKUP(BL388,'Axe 2 Règles de gestion'!$D$2:$F$121,3, FALSE)</f>
        <v>La date de début de position est à J+1 de la date de fin de position de l'occurrence précédente.</v>
      </c>
      <c r="BN388" s="13" t="s">
        <v>140</v>
      </c>
      <c r="BO388" s="15" t="str">
        <f>VLOOKUP(BN388,'Axe 2 Règles de gestion'!$D$2:$F$121,3, FALSE)</f>
        <v>Les champs "Type d'organisme d'origine", "Catégorie statutaire d'origine" et "Pays" de l'organisme d'origine doivent être renseignés.</v>
      </c>
      <c r="BP388" s="13" t="s">
        <v>142</v>
      </c>
      <c r="BQ388" s="15" t="str">
        <f>VLOOKUP(BP388,'Axe 2 Règles de gestion'!$D$2:$F$121,3, FALSE)</f>
        <v>Les champs "Ministère (ou institution de la République) d'origine", "Corps d'origine", "Grade d'origine", "Echelon d'origine" sont renseignés si le "Type d'organisme d'origine" est valorisé à FPE.</v>
      </c>
      <c r="BR388" s="13" t="s">
        <v>144</v>
      </c>
      <c r="BS388" s="15" t="str">
        <f>VLOOKUP(BR388,'Axe 2 Règles de gestion'!$D$2:$F$121,3, FALSE)</f>
        <v>Le champ "Organisme d'origine" doit être alimenté si le type d'organisme d'origine est égal à 'Autre organisme', 'Fonction publique d'un état de l'Union Européenne' ou 'Fonction publique Européenne'.</v>
      </c>
      <c r="BT388" s="13" t="s">
        <v>146</v>
      </c>
      <c r="BU388" s="15" t="str">
        <f>VLOOKUP(BT388,'Axe 2 Règles de gestion'!$D$2:$F$121,3, FALSE)</f>
        <v>Le champ "Code emploi statutaire FPT (NET)" est renseigné si le "Type d'organisme d'origine" est valorisé à FPT.</v>
      </c>
      <c r="BV388" s="13" t="s">
        <v>148</v>
      </c>
      <c r="BW388" s="15" t="str">
        <f>VLOOKUP(BV388,'Axe 2 Règles de gestion'!$D$2:$F$121,3, FALSE)</f>
        <v>Le champ "Code emploi statutaire FPH (NEH)" est renseigné si le "Type d'organisme d'origine" est valorisé à FPH.</v>
      </c>
      <c r="BX388" s="13" t="s">
        <v>150</v>
      </c>
      <c r="BY388" s="15" t="str">
        <f>VLOOKUP(BX388,'Axe 2 Règles de gestion'!$D$2:$F$121,3, FALSE)</f>
        <v>La date de fin ou la date de fin prévisionnelle doit être saisie.</v>
      </c>
      <c r="BZ388" s="13"/>
      <c r="CA388" s="15"/>
      <c r="CB388" s="13"/>
      <c r="CC388" s="15"/>
      <c r="CD388" s="13"/>
      <c r="CE388" s="15"/>
      <c r="CF388" s="13"/>
      <c r="CG388" s="13"/>
    </row>
    <row r="389" spans="1:85" ht="135" x14ac:dyDescent="0.25">
      <c r="A389" s="13" t="s">
        <v>627</v>
      </c>
      <c r="B389" s="13" t="s">
        <v>153</v>
      </c>
      <c r="C389" s="14">
        <v>45084.458333333336</v>
      </c>
      <c r="D389" s="13" t="s">
        <v>88</v>
      </c>
      <c r="E389" s="15" t="s">
        <v>89</v>
      </c>
      <c r="F389" s="13" t="s">
        <v>90</v>
      </c>
      <c r="G389" s="15" t="s">
        <v>91</v>
      </c>
      <c r="H389" s="13" t="s">
        <v>628</v>
      </c>
      <c r="I389" s="15" t="s">
        <v>629</v>
      </c>
      <c r="J389" s="15" t="s">
        <v>630</v>
      </c>
      <c r="K389" s="15" t="s">
        <v>631</v>
      </c>
      <c r="L389" s="13" t="s">
        <v>658</v>
      </c>
      <c r="M389" s="15" t="s">
        <v>659</v>
      </c>
      <c r="N389" s="13" t="s">
        <v>188</v>
      </c>
      <c r="O389" s="15" t="s">
        <v>189</v>
      </c>
      <c r="P389" s="15" t="s">
        <v>190</v>
      </c>
      <c r="Q389" s="15" t="s">
        <v>101</v>
      </c>
      <c r="R389" s="13" t="s">
        <v>102</v>
      </c>
      <c r="S389" s="13" t="s">
        <v>103</v>
      </c>
      <c r="T389" s="13" t="s">
        <v>104</v>
      </c>
      <c r="U389" s="14">
        <v>43831</v>
      </c>
      <c r="V389" s="14"/>
      <c r="W389" s="15" t="s">
        <v>660</v>
      </c>
      <c r="X389" s="13" t="s">
        <v>661</v>
      </c>
      <c r="Y389" s="15" t="str">
        <f>VLOOKUP(X389,'Axe 2 Règles de gestion'!$D$2:$F$121,3, FALSE)</f>
        <v>A la fin de la période de détachement, l'agent peut être intégré dans le corps ou le cadre d'emplois d'accueil.</v>
      </c>
      <c r="Z389" s="13"/>
      <c r="AA389" s="15"/>
      <c r="AB389" s="13"/>
      <c r="AC389" s="15"/>
      <c r="AD389" s="13"/>
      <c r="AE389" s="15"/>
      <c r="AF389" s="13"/>
      <c r="AG389" s="15"/>
      <c r="AH389" s="13"/>
      <c r="AI389" s="15"/>
      <c r="AJ389" s="13"/>
      <c r="AK389" s="15"/>
      <c r="AL389" s="13"/>
      <c r="AM389" s="15"/>
      <c r="AN389" s="13"/>
      <c r="AO389" s="15"/>
      <c r="AP389" s="13" t="s">
        <v>647</v>
      </c>
      <c r="AQ389" s="15" t="str">
        <f>VLOOKUP(AP389,'Axe 2 Règles de gestion'!$D$2:$F$121,3, FALSE)</f>
        <v>La durée du détachement est égale à 1 an entre la date de début et la date de fin prévisionnelle. Elle peut éventuellement être prolongée pour finaliser la procédure d'intégration de l'agent.</v>
      </c>
      <c r="AR389" s="13" t="s">
        <v>649</v>
      </c>
      <c r="AS389" s="15" t="str">
        <f>VLOOKUP(AR389,'Axe 2 Règles de gestion'!$D$2:$F$121,3, FALSE)</f>
        <v>La durée du détachement est égale à 1 an entre la date de début et la date de fin réelle. Elle peut éventuellement être prolongée pour finaliser la procédure d'intégration de l'agent.</v>
      </c>
      <c r="AT389" s="13" t="s">
        <v>651</v>
      </c>
      <c r="AU389" s="15" t="str">
        <f>VLOOKUP(AT389,'Axe 2 Règles de gestion'!$D$2:$F$121,3, FALSE)</f>
        <v>La durée du détachement dans un corps enseignant est égale à 2 ans entre la date de début et la date de fin prévisionnelle. Elle peut éventuellement être prolongée pour finaliser la procédure d'intégration de l'agent.</v>
      </c>
      <c r="AV389" s="13" t="s">
        <v>653</v>
      </c>
      <c r="AW389" s="15" t="str">
        <f>VLOOKUP(AV389,'Axe 2 Règles de gestion'!$D$2:$F$121,3, FALSE)</f>
        <v>La durée du détachement dans un corps enseignant est égale à 2 ans entre la date de début et la date de fin réelle. Elle peut éventuellement être prolongée pour finaliser la procédure d'intégration de l'agent.</v>
      </c>
      <c r="AX389" s="13"/>
      <c r="AY389" s="15"/>
      <c r="AZ389" s="13"/>
      <c r="BA389" s="15"/>
      <c r="BB389" s="13" t="s">
        <v>126</v>
      </c>
      <c r="BC389" s="15" t="str">
        <f>VLOOKUP(BB389,'Axe 2 Règles de gestion'!$D$2:$F$121,3, FALSE)</f>
        <v>La date de début de position doit être antérieure ou égale à la date de fin prévisionnelle de position.</v>
      </c>
      <c r="BD389" s="13" t="s">
        <v>130</v>
      </c>
      <c r="BE389" s="15" t="str">
        <f>VLOOKUP(BD389,'Axe 2 Règles de gestion'!$D$2:$F$121,3, FALSE)</f>
        <v>La date de fin réelle de la position doit être antérieure à la date limite de départ à la retraite.</v>
      </c>
      <c r="BF389" s="13" t="s">
        <v>132</v>
      </c>
      <c r="BG389" s="15" t="str">
        <f>VLOOKUP(BF389,'Axe 2 Règles de gestion'!$D$2:$F$121,3, FALSE)</f>
        <v>La date de début de position doit être antérieure ou égale à la date de fin réelle de position.</v>
      </c>
      <c r="BH389" s="13" t="s">
        <v>134</v>
      </c>
      <c r="BI389" s="15" t="str">
        <f>VLOOKUP(BH389,'Axe 2 Règles de gestion'!$D$2:$F$121,3, FALSE)</f>
        <v>La date de fin prévisionnelle de la position doit être antérieure à la date limite de départ à la retraite.</v>
      </c>
      <c r="BJ389" s="13" t="s">
        <v>140</v>
      </c>
      <c r="BK389" s="15" t="str">
        <f>VLOOKUP(BJ389,'Axe 2 Règles de gestion'!$D$2:$F$121,3, FALSE)</f>
        <v>Les champs "Type d'organisme d'origine", "Catégorie statutaire d'origine" et "Pays" de l'organisme d'origine doivent être renseignés.</v>
      </c>
      <c r="BL389" s="13" t="s">
        <v>142</v>
      </c>
      <c r="BM389" s="15" t="str">
        <f>VLOOKUP(BL389,'Axe 2 Règles de gestion'!$D$2:$F$121,3, FALSE)</f>
        <v>Les champs "Ministère (ou institution de la République) d'origine", "Corps d'origine", "Grade d'origine", "Echelon d'origine" sont renseignés si le "Type d'organisme d'origine" est valorisé à FPE.</v>
      </c>
      <c r="BN389" s="13" t="s">
        <v>144</v>
      </c>
      <c r="BO389" s="15" t="str">
        <f>VLOOKUP(BN389,'Axe 2 Règles de gestion'!$D$2:$F$121,3, FALSE)</f>
        <v>Le champ "Organisme d'origine" doit être alimenté si le type d'organisme d'origine est égal à 'Autre organisme', 'Fonction publique d'un état de l'Union Européenne' ou 'Fonction publique Européenne'.</v>
      </c>
      <c r="BP389" s="13" t="s">
        <v>146</v>
      </c>
      <c r="BQ389" s="15" t="str">
        <f>VLOOKUP(BP389,'Axe 2 Règles de gestion'!$D$2:$F$121,3, FALSE)</f>
        <v>Le champ "Code emploi statutaire FPT (NET)" est renseigné si le "Type d'organisme d'origine" est valorisé à FPT.</v>
      </c>
      <c r="BR389" s="13" t="s">
        <v>148</v>
      </c>
      <c r="BS389" s="15" t="str">
        <f>VLOOKUP(BR389,'Axe 2 Règles de gestion'!$D$2:$F$121,3, FALSE)</f>
        <v>Le champ "Code emploi statutaire FPH (NEH)" est renseigné si le "Type d'organisme d'origine" est valorisé à FPH.</v>
      </c>
      <c r="BT389" s="13" t="s">
        <v>150</v>
      </c>
      <c r="BU389" s="15" t="str">
        <f>VLOOKUP(BT389,'Axe 2 Règles de gestion'!$D$2:$F$121,3, FALSE)</f>
        <v>La date de fin ou la date de fin prévisionnelle doit être saisie.</v>
      </c>
      <c r="BV389" s="13"/>
      <c r="BW389" s="15"/>
      <c r="BX389" s="13"/>
      <c r="BY389" s="15"/>
      <c r="BZ389" s="13"/>
      <c r="CA389" s="15"/>
      <c r="CB389" s="13"/>
      <c r="CC389" s="15"/>
      <c r="CD389" s="13"/>
      <c r="CE389" s="15"/>
      <c r="CF389" s="13"/>
      <c r="CG389" s="13"/>
    </row>
    <row r="390" spans="1:85" ht="120" x14ac:dyDescent="0.25">
      <c r="A390" s="13" t="s">
        <v>627</v>
      </c>
      <c r="B390" s="13" t="s">
        <v>153</v>
      </c>
      <c r="C390" s="14">
        <v>45084.449305555558</v>
      </c>
      <c r="D390" s="13" t="s">
        <v>88</v>
      </c>
      <c r="E390" s="15" t="s">
        <v>89</v>
      </c>
      <c r="F390" s="13" t="s">
        <v>90</v>
      </c>
      <c r="G390" s="15" t="s">
        <v>91</v>
      </c>
      <c r="H390" s="13" t="s">
        <v>628</v>
      </c>
      <c r="I390" s="15" t="s">
        <v>629</v>
      </c>
      <c r="J390" s="15" t="s">
        <v>630</v>
      </c>
      <c r="K390" s="15" t="s">
        <v>631</v>
      </c>
      <c r="L390" s="13" t="s">
        <v>632</v>
      </c>
      <c r="M390" s="15" t="s">
        <v>633</v>
      </c>
      <c r="N390" s="13" t="s">
        <v>98</v>
      </c>
      <c r="O390" s="15" t="s">
        <v>99</v>
      </c>
      <c r="P390" s="15" t="s">
        <v>100</v>
      </c>
      <c r="Q390" s="15" t="s">
        <v>615</v>
      </c>
      <c r="R390" s="13" t="s">
        <v>616</v>
      </c>
      <c r="S390" s="13" t="s">
        <v>103</v>
      </c>
      <c r="T390" s="13" t="s">
        <v>205</v>
      </c>
      <c r="U390" s="14">
        <v>43831</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3"/>
    </row>
    <row r="391" spans="1:85" ht="120" x14ac:dyDescent="0.25">
      <c r="A391" s="13" t="s">
        <v>627</v>
      </c>
      <c r="B391" s="13" t="s">
        <v>153</v>
      </c>
      <c r="C391" s="14">
        <v>45084.456250000003</v>
      </c>
      <c r="D391" s="13" t="s">
        <v>88</v>
      </c>
      <c r="E391" s="15" t="s">
        <v>89</v>
      </c>
      <c r="F391" s="13" t="s">
        <v>90</v>
      </c>
      <c r="G391" s="15" t="s">
        <v>91</v>
      </c>
      <c r="H391" s="13" t="s">
        <v>628</v>
      </c>
      <c r="I391" s="15" t="s">
        <v>629</v>
      </c>
      <c r="J391" s="15" t="s">
        <v>630</v>
      </c>
      <c r="K391" s="15" t="s">
        <v>631</v>
      </c>
      <c r="L391" s="13" t="s">
        <v>655</v>
      </c>
      <c r="M391" s="15" t="s">
        <v>656</v>
      </c>
      <c r="N391" s="13" t="s">
        <v>98</v>
      </c>
      <c r="O391" s="15" t="s">
        <v>170</v>
      </c>
      <c r="P391" s="15" t="s">
        <v>171</v>
      </c>
      <c r="Q391" s="15" t="s">
        <v>615</v>
      </c>
      <c r="R391" s="13" t="s">
        <v>616</v>
      </c>
      <c r="S391" s="13" t="s">
        <v>103</v>
      </c>
      <c r="T391" s="13" t="s">
        <v>205</v>
      </c>
      <c r="U391" s="14">
        <v>43831</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3"/>
    </row>
    <row r="392" spans="1:85" ht="105" x14ac:dyDescent="0.25">
      <c r="A392" s="13" t="s">
        <v>627</v>
      </c>
      <c r="B392" s="13" t="s">
        <v>153</v>
      </c>
      <c r="C392" s="14">
        <v>45084.46597222222</v>
      </c>
      <c r="D392" s="13" t="s">
        <v>88</v>
      </c>
      <c r="E392" s="15" t="s">
        <v>89</v>
      </c>
      <c r="F392" s="13" t="s">
        <v>90</v>
      </c>
      <c r="G392" s="15" t="s">
        <v>91</v>
      </c>
      <c r="H392" s="13" t="s">
        <v>628</v>
      </c>
      <c r="I392" s="15" t="s">
        <v>629</v>
      </c>
      <c r="J392" s="15" t="s">
        <v>630</v>
      </c>
      <c r="K392" s="15" t="s">
        <v>631</v>
      </c>
      <c r="L392" s="13" t="s">
        <v>658</v>
      </c>
      <c r="M392" s="15" t="s">
        <v>659</v>
      </c>
      <c r="N392" s="13" t="s">
        <v>188</v>
      </c>
      <c r="O392" s="15" t="s">
        <v>189</v>
      </c>
      <c r="P392" s="15" t="s">
        <v>190</v>
      </c>
      <c r="Q392" s="15" t="s">
        <v>615</v>
      </c>
      <c r="R392" s="13" t="s">
        <v>616</v>
      </c>
      <c r="S392" s="13" t="s">
        <v>103</v>
      </c>
      <c r="T392" s="13" t="s">
        <v>205</v>
      </c>
      <c r="U392" s="14">
        <v>43831</v>
      </c>
      <c r="V392" s="14"/>
      <c r="W392" s="15"/>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c r="BO392" s="15"/>
      <c r="BP392" s="13"/>
      <c r="BQ392" s="15"/>
      <c r="BR392" s="13"/>
      <c r="BS392" s="15"/>
      <c r="BT392" s="13"/>
      <c r="BU392" s="15"/>
      <c r="BV392" s="13"/>
      <c r="BW392" s="15"/>
      <c r="BX392" s="13"/>
      <c r="BY392" s="15"/>
      <c r="BZ392" s="13"/>
      <c r="CA392" s="15"/>
      <c r="CB392" s="13"/>
      <c r="CC392" s="15"/>
      <c r="CD392" s="13"/>
      <c r="CE392" s="15"/>
      <c r="CF392" s="13"/>
      <c r="CG392" s="13"/>
    </row>
    <row r="393" spans="1:85" ht="120" x14ac:dyDescent="0.25">
      <c r="A393" s="13" t="s">
        <v>627</v>
      </c>
      <c r="B393" s="13" t="s">
        <v>153</v>
      </c>
      <c r="C393" s="14">
        <v>45084.447916666664</v>
      </c>
      <c r="D393" s="13" t="s">
        <v>88</v>
      </c>
      <c r="E393" s="15" t="s">
        <v>89</v>
      </c>
      <c r="F393" s="13" t="s">
        <v>90</v>
      </c>
      <c r="G393" s="15" t="s">
        <v>91</v>
      </c>
      <c r="H393" s="13" t="s">
        <v>628</v>
      </c>
      <c r="I393" s="15" t="s">
        <v>629</v>
      </c>
      <c r="J393" s="15" t="s">
        <v>630</v>
      </c>
      <c r="K393" s="15" t="s">
        <v>631</v>
      </c>
      <c r="L393" s="13" t="s">
        <v>632</v>
      </c>
      <c r="M393" s="15" t="s">
        <v>633</v>
      </c>
      <c r="N393" s="13" t="s">
        <v>98</v>
      </c>
      <c r="O393" s="15" t="s">
        <v>99</v>
      </c>
      <c r="P393" s="15" t="s">
        <v>100</v>
      </c>
      <c r="Q393" s="15" t="s">
        <v>203</v>
      </c>
      <c r="R393" s="13" t="s">
        <v>204</v>
      </c>
      <c r="S393" s="13" t="s">
        <v>103</v>
      </c>
      <c r="T393" s="13" t="s">
        <v>205</v>
      </c>
      <c r="U393" s="14">
        <v>43831</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c r="CE393" s="15"/>
      <c r="CF393" s="13"/>
      <c r="CG393" s="13"/>
    </row>
    <row r="394" spans="1:85" ht="120" x14ac:dyDescent="0.25">
      <c r="A394" s="13" t="s">
        <v>627</v>
      </c>
      <c r="B394" s="13" t="s">
        <v>153</v>
      </c>
      <c r="C394" s="14">
        <v>45084.453472222223</v>
      </c>
      <c r="D394" s="13" t="s">
        <v>88</v>
      </c>
      <c r="E394" s="15" t="s">
        <v>89</v>
      </c>
      <c r="F394" s="13" t="s">
        <v>90</v>
      </c>
      <c r="G394" s="15" t="s">
        <v>91</v>
      </c>
      <c r="H394" s="13" t="s">
        <v>628</v>
      </c>
      <c r="I394" s="15" t="s">
        <v>629</v>
      </c>
      <c r="J394" s="15" t="s">
        <v>630</v>
      </c>
      <c r="K394" s="15" t="s">
        <v>631</v>
      </c>
      <c r="L394" s="13" t="s">
        <v>655</v>
      </c>
      <c r="M394" s="15" t="s">
        <v>656</v>
      </c>
      <c r="N394" s="13" t="s">
        <v>98</v>
      </c>
      <c r="O394" s="15" t="s">
        <v>170</v>
      </c>
      <c r="P394" s="15" t="s">
        <v>171</v>
      </c>
      <c r="Q394" s="15" t="s">
        <v>203</v>
      </c>
      <c r="R394" s="13" t="s">
        <v>204</v>
      </c>
      <c r="S394" s="13" t="s">
        <v>103</v>
      </c>
      <c r="T394" s="13" t="s">
        <v>205</v>
      </c>
      <c r="U394" s="14">
        <v>43831</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3"/>
    </row>
    <row r="395" spans="1:85" ht="105" x14ac:dyDescent="0.25">
      <c r="A395" s="13" t="s">
        <v>627</v>
      </c>
      <c r="B395" s="13" t="s">
        <v>153</v>
      </c>
      <c r="C395" s="14">
        <v>45084.463888888888</v>
      </c>
      <c r="D395" s="13" t="s">
        <v>88</v>
      </c>
      <c r="E395" s="15" t="s">
        <v>89</v>
      </c>
      <c r="F395" s="13" t="s">
        <v>90</v>
      </c>
      <c r="G395" s="15" t="s">
        <v>91</v>
      </c>
      <c r="H395" s="13" t="s">
        <v>628</v>
      </c>
      <c r="I395" s="15" t="s">
        <v>629</v>
      </c>
      <c r="J395" s="15" t="s">
        <v>630</v>
      </c>
      <c r="K395" s="15" t="s">
        <v>631</v>
      </c>
      <c r="L395" s="13" t="s">
        <v>658</v>
      </c>
      <c r="M395" s="15" t="s">
        <v>659</v>
      </c>
      <c r="N395" s="13" t="s">
        <v>188</v>
      </c>
      <c r="O395" s="15" t="s">
        <v>189</v>
      </c>
      <c r="P395" s="15" t="s">
        <v>190</v>
      </c>
      <c r="Q395" s="15" t="s">
        <v>203</v>
      </c>
      <c r="R395" s="13" t="s">
        <v>204</v>
      </c>
      <c r="S395" s="13" t="s">
        <v>103</v>
      </c>
      <c r="T395" s="13" t="s">
        <v>205</v>
      </c>
      <c r="U395" s="14">
        <v>43831</v>
      </c>
      <c r="V395" s="14"/>
      <c r="W395" s="15"/>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5"/>
      <c r="BZ395" s="13"/>
      <c r="CA395" s="15"/>
      <c r="CB395" s="13"/>
      <c r="CC395" s="15"/>
      <c r="CD395" s="13"/>
      <c r="CE395" s="15"/>
      <c r="CF395" s="13"/>
      <c r="CG395" s="13"/>
    </row>
    <row r="396" spans="1:85" ht="120" x14ac:dyDescent="0.25">
      <c r="A396" s="13" t="s">
        <v>627</v>
      </c>
      <c r="B396" s="13" t="s">
        <v>153</v>
      </c>
      <c r="C396" s="14">
        <v>45084.447916666664</v>
      </c>
      <c r="D396" s="13" t="s">
        <v>88</v>
      </c>
      <c r="E396" s="15" t="s">
        <v>89</v>
      </c>
      <c r="F396" s="13" t="s">
        <v>90</v>
      </c>
      <c r="G396" s="15" t="s">
        <v>91</v>
      </c>
      <c r="H396" s="13" t="s">
        <v>628</v>
      </c>
      <c r="I396" s="15" t="s">
        <v>629</v>
      </c>
      <c r="J396" s="15" t="s">
        <v>630</v>
      </c>
      <c r="K396" s="15" t="s">
        <v>631</v>
      </c>
      <c r="L396" s="13" t="s">
        <v>632</v>
      </c>
      <c r="M396" s="15" t="s">
        <v>633</v>
      </c>
      <c r="N396" s="13" t="s">
        <v>98</v>
      </c>
      <c r="O396" s="15" t="s">
        <v>99</v>
      </c>
      <c r="P396" s="15" t="s">
        <v>100</v>
      </c>
      <c r="Q396" s="15" t="s">
        <v>206</v>
      </c>
      <c r="R396" s="13" t="s">
        <v>207</v>
      </c>
      <c r="S396" s="13" t="s">
        <v>103</v>
      </c>
      <c r="T396" s="13" t="s">
        <v>205</v>
      </c>
      <c r="U396" s="14">
        <v>43831</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c r="CE396" s="15"/>
      <c r="CF396" s="13"/>
      <c r="CG396" s="13"/>
    </row>
    <row r="397" spans="1:85" ht="120" x14ac:dyDescent="0.25">
      <c r="A397" s="13" t="s">
        <v>627</v>
      </c>
      <c r="B397" s="13" t="s">
        <v>153</v>
      </c>
      <c r="C397" s="14">
        <v>45084.452777777777</v>
      </c>
      <c r="D397" s="13" t="s">
        <v>88</v>
      </c>
      <c r="E397" s="15" t="s">
        <v>89</v>
      </c>
      <c r="F397" s="13" t="s">
        <v>90</v>
      </c>
      <c r="G397" s="15" t="s">
        <v>91</v>
      </c>
      <c r="H397" s="13" t="s">
        <v>628</v>
      </c>
      <c r="I397" s="15" t="s">
        <v>629</v>
      </c>
      <c r="J397" s="15" t="s">
        <v>630</v>
      </c>
      <c r="K397" s="15" t="s">
        <v>631</v>
      </c>
      <c r="L397" s="13" t="s">
        <v>655</v>
      </c>
      <c r="M397" s="15" t="s">
        <v>656</v>
      </c>
      <c r="N397" s="13" t="s">
        <v>98</v>
      </c>
      <c r="O397" s="15" t="s">
        <v>170</v>
      </c>
      <c r="P397" s="15" t="s">
        <v>171</v>
      </c>
      <c r="Q397" s="15" t="s">
        <v>206</v>
      </c>
      <c r="R397" s="13" t="s">
        <v>207</v>
      </c>
      <c r="S397" s="13" t="s">
        <v>103</v>
      </c>
      <c r="T397" s="13" t="s">
        <v>205</v>
      </c>
      <c r="U397" s="14">
        <v>43831</v>
      </c>
      <c r="V397" s="14"/>
      <c r="W397" s="15"/>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c r="BM397" s="15"/>
      <c r="BN397" s="13"/>
      <c r="BO397" s="15"/>
      <c r="BP397" s="13"/>
      <c r="BQ397" s="15"/>
      <c r="BR397" s="13"/>
      <c r="BS397" s="15"/>
      <c r="BT397" s="13"/>
      <c r="BU397" s="15"/>
      <c r="BV397" s="13"/>
      <c r="BW397" s="15"/>
      <c r="BX397" s="13"/>
      <c r="BY397" s="15"/>
      <c r="BZ397" s="13"/>
      <c r="CA397" s="15"/>
      <c r="CB397" s="13"/>
      <c r="CC397" s="15"/>
      <c r="CD397" s="13"/>
      <c r="CE397" s="15"/>
      <c r="CF397" s="13"/>
      <c r="CG397" s="13"/>
    </row>
    <row r="398" spans="1:85" ht="105" x14ac:dyDescent="0.25">
      <c r="A398" s="13" t="s">
        <v>627</v>
      </c>
      <c r="B398" s="13" t="s">
        <v>153</v>
      </c>
      <c r="C398" s="14">
        <v>45084.459027777775</v>
      </c>
      <c r="D398" s="13" t="s">
        <v>88</v>
      </c>
      <c r="E398" s="15" t="s">
        <v>89</v>
      </c>
      <c r="F398" s="13" t="s">
        <v>90</v>
      </c>
      <c r="G398" s="15" t="s">
        <v>91</v>
      </c>
      <c r="H398" s="13" t="s">
        <v>628</v>
      </c>
      <c r="I398" s="15" t="s">
        <v>629</v>
      </c>
      <c r="J398" s="15" t="s">
        <v>630</v>
      </c>
      <c r="K398" s="15" t="s">
        <v>631</v>
      </c>
      <c r="L398" s="13" t="s">
        <v>658</v>
      </c>
      <c r="M398" s="15" t="s">
        <v>659</v>
      </c>
      <c r="N398" s="13" t="s">
        <v>188</v>
      </c>
      <c r="O398" s="15" t="s">
        <v>189</v>
      </c>
      <c r="P398" s="15" t="s">
        <v>190</v>
      </c>
      <c r="Q398" s="15" t="s">
        <v>206</v>
      </c>
      <c r="R398" s="13" t="s">
        <v>207</v>
      </c>
      <c r="S398" s="13" t="s">
        <v>103</v>
      </c>
      <c r="T398" s="13" t="s">
        <v>205</v>
      </c>
      <c r="U398" s="14">
        <v>43831</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5"/>
      <c r="BZ398" s="13"/>
      <c r="CA398" s="15"/>
      <c r="CB398" s="13"/>
      <c r="CC398" s="15"/>
      <c r="CD398" s="13"/>
      <c r="CE398" s="15"/>
      <c r="CF398" s="13"/>
      <c r="CG398" s="13"/>
    </row>
    <row r="399" spans="1:85" ht="120" x14ac:dyDescent="0.25">
      <c r="A399" s="13" t="s">
        <v>627</v>
      </c>
      <c r="B399" s="13" t="s">
        <v>153</v>
      </c>
      <c r="C399" s="14">
        <v>45084.448611111111</v>
      </c>
      <c r="D399" s="13" t="s">
        <v>88</v>
      </c>
      <c r="E399" s="15" t="s">
        <v>89</v>
      </c>
      <c r="F399" s="13" t="s">
        <v>90</v>
      </c>
      <c r="G399" s="15" t="s">
        <v>91</v>
      </c>
      <c r="H399" s="13" t="s">
        <v>628</v>
      </c>
      <c r="I399" s="15" t="s">
        <v>629</v>
      </c>
      <c r="J399" s="15" t="s">
        <v>630</v>
      </c>
      <c r="K399" s="15" t="s">
        <v>631</v>
      </c>
      <c r="L399" s="13" t="s">
        <v>632</v>
      </c>
      <c r="M399" s="15" t="s">
        <v>633</v>
      </c>
      <c r="N399" s="13" t="s">
        <v>98</v>
      </c>
      <c r="O399" s="15" t="s">
        <v>99</v>
      </c>
      <c r="P399" s="15" t="s">
        <v>100</v>
      </c>
      <c r="Q399" s="15" t="s">
        <v>208</v>
      </c>
      <c r="R399" s="13" t="s">
        <v>209</v>
      </c>
      <c r="S399" s="13" t="s">
        <v>103</v>
      </c>
      <c r="T399" s="13" t="s">
        <v>205</v>
      </c>
      <c r="U399" s="14">
        <v>43831</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3"/>
    </row>
    <row r="400" spans="1:85" ht="120" x14ac:dyDescent="0.25">
      <c r="A400" s="13" t="s">
        <v>627</v>
      </c>
      <c r="B400" s="13" t="s">
        <v>153</v>
      </c>
      <c r="C400" s="14">
        <v>45084.455555555556</v>
      </c>
      <c r="D400" s="13" t="s">
        <v>88</v>
      </c>
      <c r="E400" s="15" t="s">
        <v>89</v>
      </c>
      <c r="F400" s="13" t="s">
        <v>90</v>
      </c>
      <c r="G400" s="15" t="s">
        <v>91</v>
      </c>
      <c r="H400" s="13" t="s">
        <v>628</v>
      </c>
      <c r="I400" s="15" t="s">
        <v>629</v>
      </c>
      <c r="J400" s="15" t="s">
        <v>630</v>
      </c>
      <c r="K400" s="15" t="s">
        <v>631</v>
      </c>
      <c r="L400" s="13" t="s">
        <v>655</v>
      </c>
      <c r="M400" s="15" t="s">
        <v>656</v>
      </c>
      <c r="N400" s="13" t="s">
        <v>98</v>
      </c>
      <c r="O400" s="15" t="s">
        <v>170</v>
      </c>
      <c r="P400" s="15" t="s">
        <v>171</v>
      </c>
      <c r="Q400" s="15" t="s">
        <v>208</v>
      </c>
      <c r="R400" s="13" t="s">
        <v>209</v>
      </c>
      <c r="S400" s="13" t="s">
        <v>103</v>
      </c>
      <c r="T400" s="13" t="s">
        <v>205</v>
      </c>
      <c r="U400" s="14">
        <v>43831</v>
      </c>
      <c r="V400" s="14"/>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c r="CE400" s="15"/>
      <c r="CF400" s="13"/>
      <c r="CG400" s="13"/>
    </row>
    <row r="401" spans="1:85" ht="105" x14ac:dyDescent="0.25">
      <c r="A401" s="13" t="s">
        <v>627</v>
      </c>
      <c r="B401" s="13" t="s">
        <v>153</v>
      </c>
      <c r="C401" s="14">
        <v>45084.465277777781</v>
      </c>
      <c r="D401" s="13" t="s">
        <v>88</v>
      </c>
      <c r="E401" s="15" t="s">
        <v>89</v>
      </c>
      <c r="F401" s="13" t="s">
        <v>90</v>
      </c>
      <c r="G401" s="15" t="s">
        <v>91</v>
      </c>
      <c r="H401" s="13" t="s">
        <v>628</v>
      </c>
      <c r="I401" s="15" t="s">
        <v>629</v>
      </c>
      <c r="J401" s="15" t="s">
        <v>630</v>
      </c>
      <c r="K401" s="15" t="s">
        <v>631</v>
      </c>
      <c r="L401" s="13" t="s">
        <v>658</v>
      </c>
      <c r="M401" s="15" t="s">
        <v>659</v>
      </c>
      <c r="N401" s="13" t="s">
        <v>188</v>
      </c>
      <c r="O401" s="15" t="s">
        <v>189</v>
      </c>
      <c r="P401" s="15" t="s">
        <v>190</v>
      </c>
      <c r="Q401" s="15" t="s">
        <v>208</v>
      </c>
      <c r="R401" s="13" t="s">
        <v>209</v>
      </c>
      <c r="S401" s="13" t="s">
        <v>103</v>
      </c>
      <c r="T401" s="13" t="s">
        <v>205</v>
      </c>
      <c r="U401" s="14">
        <v>43831</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3"/>
    </row>
    <row r="402" spans="1:85" ht="165" x14ac:dyDescent="0.25">
      <c r="A402" s="13" t="s">
        <v>627</v>
      </c>
      <c r="B402" s="13" t="s">
        <v>153</v>
      </c>
      <c r="C402" s="14">
        <v>45084.675694444442</v>
      </c>
      <c r="D402" s="13" t="s">
        <v>88</v>
      </c>
      <c r="E402" s="15" t="s">
        <v>89</v>
      </c>
      <c r="F402" s="13" t="s">
        <v>90</v>
      </c>
      <c r="G402" s="15" t="s">
        <v>91</v>
      </c>
      <c r="H402" s="13" t="s">
        <v>663</v>
      </c>
      <c r="I402" s="15" t="s">
        <v>664</v>
      </c>
      <c r="J402" s="15" t="s">
        <v>665</v>
      </c>
      <c r="K402" s="15" t="s">
        <v>666</v>
      </c>
      <c r="L402" s="13" t="s">
        <v>667</v>
      </c>
      <c r="M402" s="15" t="s">
        <v>668</v>
      </c>
      <c r="N402" s="13" t="s">
        <v>98</v>
      </c>
      <c r="O402" s="15" t="s">
        <v>99</v>
      </c>
      <c r="P402" s="15" t="s">
        <v>100</v>
      </c>
      <c r="Q402" s="15" t="s">
        <v>101</v>
      </c>
      <c r="R402" s="13" t="s">
        <v>102</v>
      </c>
      <c r="S402" s="13" t="s">
        <v>103</v>
      </c>
      <c r="T402" s="13" t="s">
        <v>104</v>
      </c>
      <c r="U402" s="14">
        <v>43831</v>
      </c>
      <c r="V402" s="14"/>
      <c r="W402" s="15" t="s">
        <v>634</v>
      </c>
      <c r="X402" s="13" t="s">
        <v>635</v>
      </c>
      <c r="Y402" s="15" t="str">
        <f>VLOOKUP(X402,'Axe 2 Règles de gestion'!$D$2:$F$121,3, FALSE)</f>
        <v>L'agent doit remplir les conditions de grade et d'ancienneté du corps ou un cadre d'emplois de fonctionnaire civil relevant d'une administration de l'Etat, d'une collectivité territoriale ou d'un établissement public dans lequel il est détaché.</v>
      </c>
      <c r="Z402" s="13" t="s">
        <v>637</v>
      </c>
      <c r="AA402" s="15" t="str">
        <f>VLOOKUP(Z402,'Axe 2 Règles de gestion'!$D$2:$F$121,3, FALSE)</f>
        <v>L'agent doit avoir effectué une demande.</v>
      </c>
      <c r="AB402" s="13" t="s">
        <v>639</v>
      </c>
      <c r="AC402" s="15" t="str">
        <f>VLOOKUP(AB402,'Axe 2 Règles de gestion'!$D$2:$F$121,3, FALSE)</f>
        <v>La demande doit avoir été agréée par l'autorité compétente.</v>
      </c>
      <c r="AD402" s="13" t="s">
        <v>641</v>
      </c>
      <c r="AE402" s="15" t="str">
        <f>VLOOKUP(AD402,'Axe 2 Règles de gestion'!$D$2:$F$121,3, FALSE)</f>
        <v>S'il a donné satisfaction, l'agent est placé à la suite du stage probatoire en position de détachement, par décision conjointe de l'autorité compétence et de l'autorité chargée de la gestion du corps d'accueil.</v>
      </c>
      <c r="AF402" s="13" t="s">
        <v>643</v>
      </c>
      <c r="AG402" s="15" t="str">
        <f>VLOOKUP(AF402,'Axe 2 Règles de gestion'!$D$2:$F$121,3, FALSE)</f>
        <v>La condition de nationalité n'est pas opposable à l'agent ayant servi à titre étranger pendant une durée fixée.</v>
      </c>
      <c r="AH402" s="13" t="s">
        <v>645</v>
      </c>
      <c r="AI402" s="15" t="str">
        <f>VLOOKUP(AH402,'Axe 2 Règles de gestion'!$D$2:$F$121,3, FALSE)</f>
        <v>L'agent ayant servi à titre étranger n'a pas accès aux emplois dont les attributions ne sont pas séparables de l'exercice de la souveraineté ou comportent une participation directe ou indirecte à l'exercice de prérogatives de puissance publique.</v>
      </c>
      <c r="AJ402" s="13"/>
      <c r="AK402" s="15"/>
      <c r="AL402" s="13"/>
      <c r="AM402" s="15"/>
      <c r="AN402" s="13"/>
      <c r="AO402" s="15"/>
      <c r="AP402" s="13" t="s">
        <v>647</v>
      </c>
      <c r="AQ402" s="15" t="str">
        <f>VLOOKUP(AP402,'Axe 2 Règles de gestion'!$D$2:$F$121,3, FALSE)</f>
        <v>La durée du détachement est égale à 1 an entre la date de début et la date de fin prévisionnelle. Elle peut éventuellement être prolongée pour finaliser la procédure d'intégration de l'agent.</v>
      </c>
      <c r="AR402" s="13" t="s">
        <v>649</v>
      </c>
      <c r="AS402" s="15" t="str">
        <f>VLOOKUP(AR402,'Axe 2 Règles de gestion'!$D$2:$F$121,3, FALSE)</f>
        <v>La durée du détachement est égale à 1 an entre la date de début et la date de fin réelle. Elle peut éventuellement être prolongée pour finaliser la procédure d'intégration de l'agent.</v>
      </c>
      <c r="AT402" s="13" t="s">
        <v>651</v>
      </c>
      <c r="AU402" s="15" t="str">
        <f>VLOOKUP(AT402,'Axe 2 Règles de gestion'!$D$2:$F$121,3, FALSE)</f>
        <v>La durée du détachement dans un corps enseignant est égale à 2 ans entre la date de début et la date de fin prévisionnelle. Elle peut éventuellement être prolongée pour finaliser la procédure d'intégration de l'agent.</v>
      </c>
      <c r="AV402" s="13" t="s">
        <v>653</v>
      </c>
      <c r="AW402" s="15" t="str">
        <f>VLOOKUP(AV402,'Axe 2 Règles de gestion'!$D$2:$F$121,3, FALSE)</f>
        <v>La durée du détachement dans un corps enseignant est égale à 2 ans entre la date de début et la date de fin réelle. Elle peut éventuellement être prolongée pour finaliser la procédure d'intégration de l'agent.</v>
      </c>
      <c r="AX402" s="13"/>
      <c r="AY402" s="15"/>
      <c r="AZ402" s="13"/>
      <c r="BA402" s="15"/>
      <c r="BB402" s="13" t="s">
        <v>126</v>
      </c>
      <c r="BC402" s="15" t="str">
        <f>VLOOKUP(BB402,'Axe 2 Règles de gestion'!$D$2:$F$121,3, FALSE)</f>
        <v>La date de début de position doit être antérieure ou égale à la date de fin prévisionnelle de position.</v>
      </c>
      <c r="BD402" s="13" t="s">
        <v>128</v>
      </c>
      <c r="BE402" s="15" t="str">
        <f>VLOOKUP(BD402,'Axe 2 Règles de gestion'!$D$2:$F$121,3, FALSE)</f>
        <v>La date de début de la position doit être postérieure ou égale à la date d'entrée dans la FPE ou dans la carrière militaire.</v>
      </c>
      <c r="BF402" s="13" t="s">
        <v>130</v>
      </c>
      <c r="BG402" s="15" t="str">
        <f>VLOOKUP(BF402,'Axe 2 Règles de gestion'!$D$2:$F$121,3, FALSE)</f>
        <v>La date de fin réelle de la position doit être antérieure à la date limite de départ à la retraite.</v>
      </c>
      <c r="BH402" s="13" t="s">
        <v>132</v>
      </c>
      <c r="BI402" s="15" t="str">
        <f>VLOOKUP(BH402,'Axe 2 Règles de gestion'!$D$2:$F$121,3, FALSE)</f>
        <v>La date de début de position doit être antérieure ou égale à la date de fin réelle de position.</v>
      </c>
      <c r="BJ402" s="13" t="s">
        <v>134</v>
      </c>
      <c r="BK402" s="15" t="str">
        <f>VLOOKUP(BJ402,'Axe 2 Règles de gestion'!$D$2:$F$121,3, FALSE)</f>
        <v>La date de fin prévisionnelle de la position doit être antérieure à la date limite de départ à la retraite.</v>
      </c>
      <c r="BL402" s="13" t="s">
        <v>136</v>
      </c>
      <c r="BM402" s="15" t="str">
        <f>VLOOKUP(BL402,'Axe 2 Règles de gestion'!$D$2:$F$121,3, FALSE)</f>
        <v>L'indicateur de carrière est sur la valeur "Accueil".</v>
      </c>
      <c r="BN402" s="13" t="s">
        <v>138</v>
      </c>
      <c r="BO402" s="15" t="str">
        <f>VLOOKUP(BN402,'Axe 2 Règles de gestion'!$D$2:$F$121,3, FALSE)</f>
        <v>La date de début de position est à J+1 de la date de fin de position de l'occurrence précédente.</v>
      </c>
      <c r="BP402" s="13" t="s">
        <v>140</v>
      </c>
      <c r="BQ402" s="15" t="str">
        <f>VLOOKUP(BP402,'Axe 2 Règles de gestion'!$D$2:$F$121,3, FALSE)</f>
        <v>Les champs "Type d'organisme d'origine", "Catégorie statutaire d'origine" et "Pays" de l'organisme d'origine doivent être renseignés.</v>
      </c>
      <c r="BR402" s="13" t="s">
        <v>142</v>
      </c>
      <c r="BS402" s="15" t="str">
        <f>VLOOKUP(BR402,'Axe 2 Règles de gestion'!$D$2:$F$121,3, FALSE)</f>
        <v>Les champs "Ministère (ou institution de la République) d'origine", "Corps d'origine", "Grade d'origine", "Echelon d'origine" sont renseignés si le "Type d'organisme d'origine" est valorisé à FPE.</v>
      </c>
      <c r="BT402" s="13" t="s">
        <v>144</v>
      </c>
      <c r="BU402" s="15" t="str">
        <f>VLOOKUP(BT402,'Axe 2 Règles de gestion'!$D$2:$F$121,3, FALSE)</f>
        <v>Le champ "Organisme d'origine" doit être alimenté si le type d'organisme d'origine est égal à 'Autre organisme', 'Fonction publique d'un état de l'Union Européenne' ou 'Fonction publique Européenne'.</v>
      </c>
      <c r="BV402" s="13" t="s">
        <v>146</v>
      </c>
      <c r="BW402" s="15" t="str">
        <f>VLOOKUP(BV402,'Axe 2 Règles de gestion'!$D$2:$F$121,3, FALSE)</f>
        <v>Le champ "Code emploi statutaire FPT (NET)" est renseigné si le "Type d'organisme d'origine" est valorisé à FPT.</v>
      </c>
      <c r="BX402" s="13" t="s">
        <v>148</v>
      </c>
      <c r="BY402" s="15" t="str">
        <f>VLOOKUP(BX402,'Axe 2 Règles de gestion'!$D$2:$F$121,3, FALSE)</f>
        <v>Le champ "Code emploi statutaire FPH (NEH)" est renseigné si le "Type d'organisme d'origine" est valorisé à FPH.</v>
      </c>
      <c r="BZ402" s="13" t="s">
        <v>150</v>
      </c>
      <c r="CA402" s="15" t="str">
        <f>VLOOKUP(BZ402,'Axe 2 Règles de gestion'!$D$2:$F$121,3, FALSE)</f>
        <v>La date de fin ou la date de fin prévisionnelle doit être saisie.</v>
      </c>
      <c r="CB402" s="13"/>
      <c r="CC402" s="15"/>
      <c r="CD402" s="13"/>
      <c r="CE402" s="15"/>
      <c r="CF402" s="13"/>
      <c r="CG402" s="13"/>
    </row>
    <row r="403" spans="1:85" ht="135" x14ac:dyDescent="0.25">
      <c r="A403" s="13" t="s">
        <v>627</v>
      </c>
      <c r="B403" s="13" t="s">
        <v>153</v>
      </c>
      <c r="C403" s="14">
        <v>45084.601388888892</v>
      </c>
      <c r="D403" s="13" t="s">
        <v>88</v>
      </c>
      <c r="E403" s="15" t="s">
        <v>89</v>
      </c>
      <c r="F403" s="13" t="s">
        <v>90</v>
      </c>
      <c r="G403" s="15" t="s">
        <v>91</v>
      </c>
      <c r="H403" s="13" t="s">
        <v>663</v>
      </c>
      <c r="I403" s="15" t="s">
        <v>664</v>
      </c>
      <c r="J403" s="15" t="s">
        <v>665</v>
      </c>
      <c r="K403" s="15" t="s">
        <v>666</v>
      </c>
      <c r="L403" s="13" t="s">
        <v>669</v>
      </c>
      <c r="M403" s="15" t="s">
        <v>670</v>
      </c>
      <c r="N403" s="13" t="s">
        <v>98</v>
      </c>
      <c r="O403" s="15" t="s">
        <v>170</v>
      </c>
      <c r="P403" s="15" t="s">
        <v>171</v>
      </c>
      <c r="Q403" s="15" t="s">
        <v>101</v>
      </c>
      <c r="R403" s="13" t="s">
        <v>102</v>
      </c>
      <c r="S403" s="13" t="s">
        <v>103</v>
      </c>
      <c r="T403" s="13" t="s">
        <v>104</v>
      </c>
      <c r="U403" s="14">
        <v>43831</v>
      </c>
      <c r="V403" s="14"/>
      <c r="W403" s="15" t="s">
        <v>657</v>
      </c>
      <c r="X403" s="13"/>
      <c r="Y403" s="15"/>
      <c r="Z403" s="13"/>
      <c r="AA403" s="15"/>
      <c r="AB403" s="13"/>
      <c r="AC403" s="15"/>
      <c r="AD403" s="13"/>
      <c r="AE403" s="15"/>
      <c r="AF403" s="13"/>
      <c r="AG403" s="15"/>
      <c r="AH403" s="13"/>
      <c r="AI403" s="15"/>
      <c r="AJ403" s="13"/>
      <c r="AK403" s="15"/>
      <c r="AL403" s="13"/>
      <c r="AM403" s="15"/>
      <c r="AN403" s="13"/>
      <c r="AO403" s="15"/>
      <c r="AP403" s="13" t="s">
        <v>647</v>
      </c>
      <c r="AQ403" s="15" t="str">
        <f>VLOOKUP(AP403,'Axe 2 Règles de gestion'!$D$2:$F$121,3, FALSE)</f>
        <v>La durée du détachement est égale à 1 an entre la date de début et la date de fin prévisionnelle. Elle peut éventuellement être prolongée pour finaliser la procédure d'intégration de l'agent.</v>
      </c>
      <c r="AR403" s="13" t="s">
        <v>649</v>
      </c>
      <c r="AS403" s="15" t="str">
        <f>VLOOKUP(AR403,'Axe 2 Règles de gestion'!$D$2:$F$121,3, FALSE)</f>
        <v>La durée du détachement est égale à 1 an entre la date de début et la date de fin réelle. Elle peut éventuellement être prolongée pour finaliser la procédure d'intégration de l'agent.</v>
      </c>
      <c r="AT403" s="13" t="s">
        <v>651</v>
      </c>
      <c r="AU403" s="15" t="str">
        <f>VLOOKUP(AT403,'Axe 2 Règles de gestion'!$D$2:$F$121,3, FALSE)</f>
        <v>La durée du détachement dans un corps enseignant est égale à 2 ans entre la date de début et la date de fin prévisionnelle. Elle peut éventuellement être prolongée pour finaliser la procédure d'intégration de l'agent.</v>
      </c>
      <c r="AV403" s="13" t="s">
        <v>653</v>
      </c>
      <c r="AW403" s="15" t="str">
        <f>VLOOKUP(AV403,'Axe 2 Règles de gestion'!$D$2:$F$121,3, FALSE)</f>
        <v>La durée du détachement dans un corps enseignant est égale à 2 ans entre la date de début et la date de fin réelle. Elle peut éventuellement être prolongée pour finaliser la procédure d'intégration de l'agent.</v>
      </c>
      <c r="AX403" s="13"/>
      <c r="AY403" s="15"/>
      <c r="AZ403" s="13"/>
      <c r="BA403" s="15"/>
      <c r="BB403" s="13" t="s">
        <v>128</v>
      </c>
      <c r="BC403" s="15" t="str">
        <f>VLOOKUP(BB403,'Axe 2 Règles de gestion'!$D$2:$F$121,3, FALSE)</f>
        <v>La date de début de la position doit être postérieure ou égale à la date d'entrée dans la FPE ou dans la carrière militaire.</v>
      </c>
      <c r="BD403" s="13" t="s">
        <v>130</v>
      </c>
      <c r="BE403" s="15" t="str">
        <f>VLOOKUP(BD403,'Axe 2 Règles de gestion'!$D$2:$F$121,3, FALSE)</f>
        <v>La date de fin réelle de la position doit être antérieure à la date limite de départ à la retraite.</v>
      </c>
      <c r="BF403" s="13" t="s">
        <v>132</v>
      </c>
      <c r="BG403" s="15" t="str">
        <f>VLOOKUP(BF403,'Axe 2 Règles de gestion'!$D$2:$F$121,3, FALSE)</f>
        <v>La date de début de position doit être antérieure ou égale à la date de fin réelle de position.</v>
      </c>
      <c r="BH403" s="13" t="s">
        <v>134</v>
      </c>
      <c r="BI403" s="15" t="str">
        <f>VLOOKUP(BH403,'Axe 2 Règles de gestion'!$D$2:$F$121,3, FALSE)</f>
        <v>La date de fin prévisionnelle de la position doit être antérieure à la date limite de départ à la retraite.</v>
      </c>
      <c r="BJ403" s="13" t="s">
        <v>136</v>
      </c>
      <c r="BK403" s="15" t="str">
        <f>VLOOKUP(BJ403,'Axe 2 Règles de gestion'!$D$2:$F$121,3, FALSE)</f>
        <v>L'indicateur de carrière est sur la valeur "Accueil".</v>
      </c>
      <c r="BL403" s="13" t="s">
        <v>138</v>
      </c>
      <c r="BM403" s="15" t="str">
        <f>VLOOKUP(BL403,'Axe 2 Règles de gestion'!$D$2:$F$121,3, FALSE)</f>
        <v>La date de début de position est à J+1 de la date de fin de position de l'occurrence précédente.</v>
      </c>
      <c r="BN403" s="13" t="s">
        <v>140</v>
      </c>
      <c r="BO403" s="15" t="str">
        <f>VLOOKUP(BN403,'Axe 2 Règles de gestion'!$D$2:$F$121,3, FALSE)</f>
        <v>Les champs "Type d'organisme d'origine", "Catégorie statutaire d'origine" et "Pays" de l'organisme d'origine doivent être renseignés.</v>
      </c>
      <c r="BP403" s="13" t="s">
        <v>142</v>
      </c>
      <c r="BQ403" s="15" t="str">
        <f>VLOOKUP(BP403,'Axe 2 Règles de gestion'!$D$2:$F$121,3, FALSE)</f>
        <v>Les champs "Ministère (ou institution de la République) d'origine", "Corps d'origine", "Grade d'origine", "Echelon d'origine" sont renseignés si le "Type d'organisme d'origine" est valorisé à FPE.</v>
      </c>
      <c r="BR403" s="13" t="s">
        <v>144</v>
      </c>
      <c r="BS403" s="15" t="str">
        <f>VLOOKUP(BR403,'Axe 2 Règles de gestion'!$D$2:$F$121,3, FALSE)</f>
        <v>Le champ "Organisme d'origine" doit être alimenté si le type d'organisme d'origine est égal à 'Autre organisme', 'Fonction publique d'un état de l'Union Européenne' ou 'Fonction publique Européenne'.</v>
      </c>
      <c r="BT403" s="13" t="s">
        <v>146</v>
      </c>
      <c r="BU403" s="15" t="str">
        <f>VLOOKUP(BT403,'Axe 2 Règles de gestion'!$D$2:$F$121,3, FALSE)</f>
        <v>Le champ "Code emploi statutaire FPT (NET)" est renseigné si le "Type d'organisme d'origine" est valorisé à FPT.</v>
      </c>
      <c r="BV403" s="13" t="s">
        <v>148</v>
      </c>
      <c r="BW403" s="15" t="str">
        <f>VLOOKUP(BV403,'Axe 2 Règles de gestion'!$D$2:$F$121,3, FALSE)</f>
        <v>Le champ "Code emploi statutaire FPH (NEH)" est renseigné si le "Type d'organisme d'origine" est valorisé à FPH.</v>
      </c>
      <c r="BX403" s="13" t="s">
        <v>150</v>
      </c>
      <c r="BY403" s="15" t="str">
        <f>VLOOKUP(BX403,'Axe 2 Règles de gestion'!$D$2:$F$121,3, FALSE)</f>
        <v>La date de fin ou la date de fin prévisionnelle doit être saisie.</v>
      </c>
      <c r="BZ403" s="13"/>
      <c r="CA403" s="15"/>
      <c r="CB403" s="13"/>
      <c r="CC403" s="15"/>
      <c r="CD403" s="13"/>
      <c r="CE403" s="15"/>
      <c r="CF403" s="13"/>
      <c r="CG403" s="13"/>
    </row>
    <row r="404" spans="1:85" ht="135" x14ac:dyDescent="0.25">
      <c r="A404" s="13" t="s">
        <v>627</v>
      </c>
      <c r="B404" s="13" t="s">
        <v>153</v>
      </c>
      <c r="C404" s="14">
        <v>45084.603472222225</v>
      </c>
      <c r="D404" s="13" t="s">
        <v>88</v>
      </c>
      <c r="E404" s="15" t="s">
        <v>89</v>
      </c>
      <c r="F404" s="13" t="s">
        <v>90</v>
      </c>
      <c r="G404" s="15" t="s">
        <v>91</v>
      </c>
      <c r="H404" s="13" t="s">
        <v>663</v>
      </c>
      <c r="I404" s="15" t="s">
        <v>664</v>
      </c>
      <c r="J404" s="15" t="s">
        <v>665</v>
      </c>
      <c r="K404" s="15" t="s">
        <v>666</v>
      </c>
      <c r="L404" s="13" t="s">
        <v>671</v>
      </c>
      <c r="M404" s="15" t="s">
        <v>672</v>
      </c>
      <c r="N404" s="13" t="s">
        <v>188</v>
      </c>
      <c r="O404" s="15" t="s">
        <v>189</v>
      </c>
      <c r="P404" s="15" t="s">
        <v>190</v>
      </c>
      <c r="Q404" s="15" t="s">
        <v>101</v>
      </c>
      <c r="R404" s="13" t="s">
        <v>102</v>
      </c>
      <c r="S404" s="13" t="s">
        <v>103</v>
      </c>
      <c r="T404" s="13" t="s">
        <v>104</v>
      </c>
      <c r="U404" s="14">
        <v>43831</v>
      </c>
      <c r="V404" s="14"/>
      <c r="W404" s="15" t="s">
        <v>660</v>
      </c>
      <c r="X404" s="13" t="s">
        <v>661</v>
      </c>
      <c r="Y404" s="15" t="str">
        <f>VLOOKUP(X404,'Axe 2 Règles de gestion'!$D$2:$F$121,3, FALSE)</f>
        <v>A la fin de la période de détachement, l'agent peut être intégré dans le corps ou le cadre d'emplois d'accueil.</v>
      </c>
      <c r="Z404" s="13"/>
      <c r="AA404" s="15"/>
      <c r="AB404" s="13"/>
      <c r="AC404" s="15"/>
      <c r="AD404" s="13"/>
      <c r="AE404" s="15"/>
      <c r="AF404" s="13"/>
      <c r="AG404" s="15"/>
      <c r="AH404" s="13"/>
      <c r="AI404" s="15"/>
      <c r="AJ404" s="13"/>
      <c r="AK404" s="15"/>
      <c r="AL404" s="13"/>
      <c r="AM404" s="15"/>
      <c r="AN404" s="13"/>
      <c r="AO404" s="15"/>
      <c r="AP404" s="13" t="s">
        <v>647</v>
      </c>
      <c r="AQ404" s="15" t="str">
        <f>VLOOKUP(AP404,'Axe 2 Règles de gestion'!$D$2:$F$121,3, FALSE)</f>
        <v>La durée du détachement est égale à 1 an entre la date de début et la date de fin prévisionnelle. Elle peut éventuellement être prolongée pour finaliser la procédure d'intégration de l'agent.</v>
      </c>
      <c r="AR404" s="13" t="s">
        <v>649</v>
      </c>
      <c r="AS404" s="15" t="str">
        <f>VLOOKUP(AR404,'Axe 2 Règles de gestion'!$D$2:$F$121,3, FALSE)</f>
        <v>La durée du détachement est égale à 1 an entre la date de début et la date de fin réelle. Elle peut éventuellement être prolongée pour finaliser la procédure d'intégration de l'agent.</v>
      </c>
      <c r="AT404" s="13" t="s">
        <v>651</v>
      </c>
      <c r="AU404" s="15" t="str">
        <f>VLOOKUP(AT404,'Axe 2 Règles de gestion'!$D$2:$F$121,3, FALSE)</f>
        <v>La durée du détachement dans un corps enseignant est égale à 2 ans entre la date de début et la date de fin prévisionnelle. Elle peut éventuellement être prolongée pour finaliser la procédure d'intégration de l'agent.</v>
      </c>
      <c r="AV404" s="13" t="s">
        <v>653</v>
      </c>
      <c r="AW404" s="15" t="str">
        <f>VLOOKUP(AV404,'Axe 2 Règles de gestion'!$D$2:$F$121,3, FALSE)</f>
        <v>La durée du détachement dans un corps enseignant est égale à 2 ans entre la date de début et la date de fin réelle. Elle peut éventuellement être prolongée pour finaliser la procédure d'intégration de l'agent.</v>
      </c>
      <c r="AX404" s="13"/>
      <c r="AY404" s="15"/>
      <c r="AZ404" s="13"/>
      <c r="BA404" s="15"/>
      <c r="BB404" s="13" t="s">
        <v>126</v>
      </c>
      <c r="BC404" s="15" t="str">
        <f>VLOOKUP(BB404,'Axe 2 Règles de gestion'!$D$2:$F$121,3, FALSE)</f>
        <v>La date de début de position doit être antérieure ou égale à la date de fin prévisionnelle de position.</v>
      </c>
      <c r="BD404" s="13" t="s">
        <v>130</v>
      </c>
      <c r="BE404" s="15" t="str">
        <f>VLOOKUP(BD404,'Axe 2 Règles de gestion'!$D$2:$F$121,3, FALSE)</f>
        <v>La date de fin réelle de la position doit être antérieure à la date limite de départ à la retraite.</v>
      </c>
      <c r="BF404" s="13" t="s">
        <v>132</v>
      </c>
      <c r="BG404" s="15" t="str">
        <f>VLOOKUP(BF404,'Axe 2 Règles de gestion'!$D$2:$F$121,3, FALSE)</f>
        <v>La date de début de position doit être antérieure ou égale à la date de fin réelle de position.</v>
      </c>
      <c r="BH404" s="13" t="s">
        <v>134</v>
      </c>
      <c r="BI404" s="15" t="str">
        <f>VLOOKUP(BH404,'Axe 2 Règles de gestion'!$D$2:$F$121,3, FALSE)</f>
        <v>La date de fin prévisionnelle de la position doit être antérieure à la date limite de départ à la retraite.</v>
      </c>
      <c r="BJ404" s="13" t="s">
        <v>140</v>
      </c>
      <c r="BK404" s="15" t="str">
        <f>VLOOKUP(BJ404,'Axe 2 Règles de gestion'!$D$2:$F$121,3, FALSE)</f>
        <v>Les champs "Type d'organisme d'origine", "Catégorie statutaire d'origine" et "Pays" de l'organisme d'origine doivent être renseignés.</v>
      </c>
      <c r="BL404" s="13" t="s">
        <v>142</v>
      </c>
      <c r="BM404" s="15" t="str">
        <f>VLOOKUP(BL404,'Axe 2 Règles de gestion'!$D$2:$F$121,3, FALSE)</f>
        <v>Les champs "Ministère (ou institution de la République) d'origine", "Corps d'origine", "Grade d'origine", "Echelon d'origine" sont renseignés si le "Type d'organisme d'origine" est valorisé à FPE.</v>
      </c>
      <c r="BN404" s="13" t="s">
        <v>144</v>
      </c>
      <c r="BO404" s="15" t="str">
        <f>VLOOKUP(BN404,'Axe 2 Règles de gestion'!$D$2:$F$121,3, FALSE)</f>
        <v>Le champ "Organisme d'origine" doit être alimenté si le type d'organisme d'origine est égal à 'Autre organisme', 'Fonction publique d'un état de l'Union Européenne' ou 'Fonction publique Européenne'.</v>
      </c>
      <c r="BP404" s="13" t="s">
        <v>146</v>
      </c>
      <c r="BQ404" s="15" t="str">
        <f>VLOOKUP(BP404,'Axe 2 Règles de gestion'!$D$2:$F$121,3, FALSE)</f>
        <v>Le champ "Code emploi statutaire FPT (NET)" est renseigné si le "Type d'organisme d'origine" est valorisé à FPT.</v>
      </c>
      <c r="BR404" s="13" t="s">
        <v>148</v>
      </c>
      <c r="BS404" s="15" t="str">
        <f>VLOOKUP(BR404,'Axe 2 Règles de gestion'!$D$2:$F$121,3, FALSE)</f>
        <v>Le champ "Code emploi statutaire FPH (NEH)" est renseigné si le "Type d'organisme d'origine" est valorisé à FPH.</v>
      </c>
      <c r="BT404" s="13" t="s">
        <v>150</v>
      </c>
      <c r="BU404" s="15" t="str">
        <f>VLOOKUP(BT404,'Axe 2 Règles de gestion'!$D$2:$F$121,3, FALSE)</f>
        <v>La date de fin ou la date de fin prévisionnelle doit être saisie.</v>
      </c>
      <c r="BV404" s="13"/>
      <c r="BW404" s="15"/>
      <c r="BX404" s="13"/>
      <c r="BY404" s="15"/>
      <c r="BZ404" s="13"/>
      <c r="CA404" s="15"/>
      <c r="CB404" s="13"/>
      <c r="CC404" s="15"/>
      <c r="CD404" s="13"/>
      <c r="CE404" s="15"/>
      <c r="CF404" s="13"/>
      <c r="CG404" s="13"/>
    </row>
    <row r="405" spans="1:85" ht="120" x14ac:dyDescent="0.25">
      <c r="A405" s="13" t="s">
        <v>627</v>
      </c>
      <c r="B405" s="13" t="s">
        <v>153</v>
      </c>
      <c r="C405" s="14">
        <v>45084.599305555559</v>
      </c>
      <c r="D405" s="13" t="s">
        <v>88</v>
      </c>
      <c r="E405" s="15" t="s">
        <v>89</v>
      </c>
      <c r="F405" s="13" t="s">
        <v>90</v>
      </c>
      <c r="G405" s="15" t="s">
        <v>91</v>
      </c>
      <c r="H405" s="13" t="s">
        <v>663</v>
      </c>
      <c r="I405" s="15" t="s">
        <v>664</v>
      </c>
      <c r="J405" s="15" t="s">
        <v>665</v>
      </c>
      <c r="K405" s="15" t="s">
        <v>666</v>
      </c>
      <c r="L405" s="13" t="s">
        <v>667</v>
      </c>
      <c r="M405" s="15" t="s">
        <v>668</v>
      </c>
      <c r="N405" s="13" t="s">
        <v>98</v>
      </c>
      <c r="O405" s="15" t="s">
        <v>99</v>
      </c>
      <c r="P405" s="15" t="s">
        <v>100</v>
      </c>
      <c r="Q405" s="15" t="s">
        <v>615</v>
      </c>
      <c r="R405" s="13" t="s">
        <v>616</v>
      </c>
      <c r="S405" s="13" t="s">
        <v>103</v>
      </c>
      <c r="T405" s="13" t="s">
        <v>205</v>
      </c>
      <c r="U405" s="14">
        <v>43831</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3"/>
    </row>
    <row r="406" spans="1:85" ht="120" x14ac:dyDescent="0.25">
      <c r="A406" s="13" t="s">
        <v>627</v>
      </c>
      <c r="B406" s="13" t="s">
        <v>153</v>
      </c>
      <c r="C406" s="14">
        <v>45084.602777777778</v>
      </c>
      <c r="D406" s="13" t="s">
        <v>88</v>
      </c>
      <c r="E406" s="15" t="s">
        <v>89</v>
      </c>
      <c r="F406" s="13" t="s">
        <v>90</v>
      </c>
      <c r="G406" s="15" t="s">
        <v>91</v>
      </c>
      <c r="H406" s="13" t="s">
        <v>663</v>
      </c>
      <c r="I406" s="15" t="s">
        <v>664</v>
      </c>
      <c r="J406" s="15" t="s">
        <v>665</v>
      </c>
      <c r="K406" s="15" t="s">
        <v>666</v>
      </c>
      <c r="L406" s="13" t="s">
        <v>669</v>
      </c>
      <c r="M406" s="15" t="s">
        <v>670</v>
      </c>
      <c r="N406" s="13" t="s">
        <v>98</v>
      </c>
      <c r="O406" s="15" t="s">
        <v>170</v>
      </c>
      <c r="P406" s="15" t="s">
        <v>171</v>
      </c>
      <c r="Q406" s="15" t="s">
        <v>615</v>
      </c>
      <c r="R406" s="13" t="s">
        <v>616</v>
      </c>
      <c r="S406" s="13" t="s">
        <v>103</v>
      </c>
      <c r="T406" s="13" t="s">
        <v>205</v>
      </c>
      <c r="U406" s="14">
        <v>43831</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3"/>
    </row>
    <row r="407" spans="1:85" ht="120" x14ac:dyDescent="0.25">
      <c r="A407" s="13" t="s">
        <v>627</v>
      </c>
      <c r="B407" s="13" t="s">
        <v>153</v>
      </c>
      <c r="C407" s="14">
        <v>45084.604861111111</v>
      </c>
      <c r="D407" s="13" t="s">
        <v>88</v>
      </c>
      <c r="E407" s="15" t="s">
        <v>89</v>
      </c>
      <c r="F407" s="13" t="s">
        <v>90</v>
      </c>
      <c r="G407" s="15" t="s">
        <v>91</v>
      </c>
      <c r="H407" s="13" t="s">
        <v>663</v>
      </c>
      <c r="I407" s="15" t="s">
        <v>664</v>
      </c>
      <c r="J407" s="15" t="s">
        <v>665</v>
      </c>
      <c r="K407" s="15" t="s">
        <v>666</v>
      </c>
      <c r="L407" s="13" t="s">
        <v>671</v>
      </c>
      <c r="M407" s="15" t="s">
        <v>672</v>
      </c>
      <c r="N407" s="13" t="s">
        <v>188</v>
      </c>
      <c r="O407" s="15" t="s">
        <v>189</v>
      </c>
      <c r="P407" s="15" t="s">
        <v>190</v>
      </c>
      <c r="Q407" s="15" t="s">
        <v>615</v>
      </c>
      <c r="R407" s="13" t="s">
        <v>616</v>
      </c>
      <c r="S407" s="13" t="s">
        <v>103</v>
      </c>
      <c r="T407" s="13" t="s">
        <v>205</v>
      </c>
      <c r="U407" s="14">
        <v>43831</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3"/>
    </row>
    <row r="408" spans="1:85" ht="120" x14ac:dyDescent="0.25">
      <c r="A408" s="13" t="s">
        <v>627</v>
      </c>
      <c r="B408" s="13" t="s">
        <v>153</v>
      </c>
      <c r="C408" s="14">
        <v>45084.598611111112</v>
      </c>
      <c r="D408" s="13" t="s">
        <v>88</v>
      </c>
      <c r="E408" s="15" t="s">
        <v>89</v>
      </c>
      <c r="F408" s="13" t="s">
        <v>90</v>
      </c>
      <c r="G408" s="15" t="s">
        <v>91</v>
      </c>
      <c r="H408" s="13" t="s">
        <v>663</v>
      </c>
      <c r="I408" s="15" t="s">
        <v>664</v>
      </c>
      <c r="J408" s="15" t="s">
        <v>665</v>
      </c>
      <c r="K408" s="15" t="s">
        <v>666</v>
      </c>
      <c r="L408" s="13" t="s">
        <v>667</v>
      </c>
      <c r="M408" s="15" t="s">
        <v>668</v>
      </c>
      <c r="N408" s="13" t="s">
        <v>98</v>
      </c>
      <c r="O408" s="15" t="s">
        <v>99</v>
      </c>
      <c r="P408" s="15" t="s">
        <v>100</v>
      </c>
      <c r="Q408" s="15" t="s">
        <v>203</v>
      </c>
      <c r="R408" s="13" t="s">
        <v>204</v>
      </c>
      <c r="S408" s="13" t="s">
        <v>103</v>
      </c>
      <c r="T408" s="13" t="s">
        <v>205</v>
      </c>
      <c r="U408" s="14">
        <v>43831</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3"/>
    </row>
    <row r="409" spans="1:85" ht="120" x14ac:dyDescent="0.25">
      <c r="A409" s="13" t="s">
        <v>627</v>
      </c>
      <c r="B409" s="13" t="s">
        <v>153</v>
      </c>
      <c r="C409" s="14">
        <v>45084.602083333331</v>
      </c>
      <c r="D409" s="13" t="s">
        <v>88</v>
      </c>
      <c r="E409" s="15" t="s">
        <v>89</v>
      </c>
      <c r="F409" s="13" t="s">
        <v>90</v>
      </c>
      <c r="G409" s="15" t="s">
        <v>91</v>
      </c>
      <c r="H409" s="13" t="s">
        <v>663</v>
      </c>
      <c r="I409" s="15" t="s">
        <v>664</v>
      </c>
      <c r="J409" s="15" t="s">
        <v>665</v>
      </c>
      <c r="K409" s="15" t="s">
        <v>666</v>
      </c>
      <c r="L409" s="13" t="s">
        <v>669</v>
      </c>
      <c r="M409" s="15" t="s">
        <v>670</v>
      </c>
      <c r="N409" s="13" t="s">
        <v>98</v>
      </c>
      <c r="O409" s="15" t="s">
        <v>170</v>
      </c>
      <c r="P409" s="15" t="s">
        <v>171</v>
      </c>
      <c r="Q409" s="15" t="s">
        <v>203</v>
      </c>
      <c r="R409" s="13" t="s">
        <v>204</v>
      </c>
      <c r="S409" s="13" t="s">
        <v>103</v>
      </c>
      <c r="T409" s="13" t="s">
        <v>205</v>
      </c>
      <c r="U409" s="14">
        <v>43831</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3"/>
    </row>
    <row r="410" spans="1:85" ht="120" x14ac:dyDescent="0.25">
      <c r="A410" s="13" t="s">
        <v>627</v>
      </c>
      <c r="B410" s="13" t="s">
        <v>153</v>
      </c>
      <c r="C410" s="14">
        <v>45084.604166666664</v>
      </c>
      <c r="D410" s="13" t="s">
        <v>88</v>
      </c>
      <c r="E410" s="15" t="s">
        <v>89</v>
      </c>
      <c r="F410" s="13" t="s">
        <v>90</v>
      </c>
      <c r="G410" s="15" t="s">
        <v>91</v>
      </c>
      <c r="H410" s="13" t="s">
        <v>663</v>
      </c>
      <c r="I410" s="15" t="s">
        <v>664</v>
      </c>
      <c r="J410" s="15" t="s">
        <v>665</v>
      </c>
      <c r="K410" s="15" t="s">
        <v>666</v>
      </c>
      <c r="L410" s="13" t="s">
        <v>671</v>
      </c>
      <c r="M410" s="15" t="s">
        <v>672</v>
      </c>
      <c r="N410" s="13" t="s">
        <v>188</v>
      </c>
      <c r="O410" s="15" t="s">
        <v>189</v>
      </c>
      <c r="P410" s="15" t="s">
        <v>190</v>
      </c>
      <c r="Q410" s="15" t="s">
        <v>203</v>
      </c>
      <c r="R410" s="13" t="s">
        <v>204</v>
      </c>
      <c r="S410" s="13" t="s">
        <v>103</v>
      </c>
      <c r="T410" s="13" t="s">
        <v>205</v>
      </c>
      <c r="U410" s="14">
        <v>43831</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3"/>
    </row>
    <row r="411" spans="1:85" ht="120" x14ac:dyDescent="0.25">
      <c r="A411" s="13" t="s">
        <v>627</v>
      </c>
      <c r="B411" s="13" t="s">
        <v>153</v>
      </c>
      <c r="C411" s="14">
        <v>45084.598611111112</v>
      </c>
      <c r="D411" s="13" t="s">
        <v>88</v>
      </c>
      <c r="E411" s="15" t="s">
        <v>89</v>
      </c>
      <c r="F411" s="13" t="s">
        <v>90</v>
      </c>
      <c r="G411" s="15" t="s">
        <v>91</v>
      </c>
      <c r="H411" s="13" t="s">
        <v>663</v>
      </c>
      <c r="I411" s="15" t="s">
        <v>664</v>
      </c>
      <c r="J411" s="15" t="s">
        <v>665</v>
      </c>
      <c r="K411" s="15" t="s">
        <v>666</v>
      </c>
      <c r="L411" s="13" t="s">
        <v>667</v>
      </c>
      <c r="M411" s="15" t="s">
        <v>668</v>
      </c>
      <c r="N411" s="13" t="s">
        <v>98</v>
      </c>
      <c r="O411" s="15" t="s">
        <v>99</v>
      </c>
      <c r="P411" s="15" t="s">
        <v>100</v>
      </c>
      <c r="Q411" s="15" t="s">
        <v>206</v>
      </c>
      <c r="R411" s="13" t="s">
        <v>207</v>
      </c>
      <c r="S411" s="13" t="s">
        <v>103</v>
      </c>
      <c r="T411" s="13" t="s">
        <v>205</v>
      </c>
      <c r="U411" s="14">
        <v>43831</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c r="CG411" s="13"/>
    </row>
    <row r="412" spans="1:85" ht="120" x14ac:dyDescent="0.25">
      <c r="A412" s="13" t="s">
        <v>627</v>
      </c>
      <c r="B412" s="13" t="s">
        <v>153</v>
      </c>
      <c r="C412" s="14">
        <v>45084.601388888892</v>
      </c>
      <c r="D412" s="13" t="s">
        <v>88</v>
      </c>
      <c r="E412" s="15" t="s">
        <v>89</v>
      </c>
      <c r="F412" s="13" t="s">
        <v>90</v>
      </c>
      <c r="G412" s="15" t="s">
        <v>91</v>
      </c>
      <c r="H412" s="13" t="s">
        <v>663</v>
      </c>
      <c r="I412" s="15" t="s">
        <v>664</v>
      </c>
      <c r="J412" s="15" t="s">
        <v>665</v>
      </c>
      <c r="K412" s="15" t="s">
        <v>666</v>
      </c>
      <c r="L412" s="13" t="s">
        <v>669</v>
      </c>
      <c r="M412" s="15" t="s">
        <v>670</v>
      </c>
      <c r="N412" s="13" t="s">
        <v>98</v>
      </c>
      <c r="O412" s="15" t="s">
        <v>170</v>
      </c>
      <c r="P412" s="15" t="s">
        <v>171</v>
      </c>
      <c r="Q412" s="15" t="s">
        <v>206</v>
      </c>
      <c r="R412" s="13" t="s">
        <v>207</v>
      </c>
      <c r="S412" s="13" t="s">
        <v>103</v>
      </c>
      <c r="T412" s="13" t="s">
        <v>205</v>
      </c>
      <c r="U412" s="14">
        <v>43831</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3"/>
    </row>
    <row r="413" spans="1:85" ht="120" x14ac:dyDescent="0.25">
      <c r="A413" s="13" t="s">
        <v>627</v>
      </c>
      <c r="B413" s="13" t="s">
        <v>153</v>
      </c>
      <c r="C413" s="14">
        <v>45084.604166666664</v>
      </c>
      <c r="D413" s="13" t="s">
        <v>88</v>
      </c>
      <c r="E413" s="15" t="s">
        <v>89</v>
      </c>
      <c r="F413" s="13" t="s">
        <v>90</v>
      </c>
      <c r="G413" s="15" t="s">
        <v>91</v>
      </c>
      <c r="H413" s="13" t="s">
        <v>663</v>
      </c>
      <c r="I413" s="15" t="s">
        <v>664</v>
      </c>
      <c r="J413" s="15" t="s">
        <v>665</v>
      </c>
      <c r="K413" s="15" t="s">
        <v>666</v>
      </c>
      <c r="L413" s="13" t="s">
        <v>671</v>
      </c>
      <c r="M413" s="15" t="s">
        <v>672</v>
      </c>
      <c r="N413" s="13" t="s">
        <v>188</v>
      </c>
      <c r="O413" s="15" t="s">
        <v>189</v>
      </c>
      <c r="P413" s="15" t="s">
        <v>190</v>
      </c>
      <c r="Q413" s="15" t="s">
        <v>206</v>
      </c>
      <c r="R413" s="13" t="s">
        <v>207</v>
      </c>
      <c r="S413" s="13" t="s">
        <v>103</v>
      </c>
      <c r="T413" s="13" t="s">
        <v>205</v>
      </c>
      <c r="U413" s="14">
        <v>43831</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c r="CG413" s="13"/>
    </row>
    <row r="414" spans="1:85" ht="120" x14ac:dyDescent="0.25">
      <c r="A414" s="13" t="s">
        <v>627</v>
      </c>
      <c r="B414" s="13" t="s">
        <v>153</v>
      </c>
      <c r="C414" s="14">
        <v>45084.598611111112</v>
      </c>
      <c r="D414" s="13" t="s">
        <v>88</v>
      </c>
      <c r="E414" s="15" t="s">
        <v>89</v>
      </c>
      <c r="F414" s="13" t="s">
        <v>90</v>
      </c>
      <c r="G414" s="15" t="s">
        <v>91</v>
      </c>
      <c r="H414" s="13" t="s">
        <v>663</v>
      </c>
      <c r="I414" s="15" t="s">
        <v>664</v>
      </c>
      <c r="J414" s="15" t="s">
        <v>665</v>
      </c>
      <c r="K414" s="15" t="s">
        <v>666</v>
      </c>
      <c r="L414" s="13" t="s">
        <v>667</v>
      </c>
      <c r="M414" s="15" t="s">
        <v>668</v>
      </c>
      <c r="N414" s="13" t="s">
        <v>98</v>
      </c>
      <c r="O414" s="15" t="s">
        <v>99</v>
      </c>
      <c r="P414" s="15" t="s">
        <v>100</v>
      </c>
      <c r="Q414" s="15" t="s">
        <v>208</v>
      </c>
      <c r="R414" s="13" t="s">
        <v>209</v>
      </c>
      <c r="S414" s="13" t="s">
        <v>103</v>
      </c>
      <c r="T414" s="13" t="s">
        <v>205</v>
      </c>
      <c r="U414" s="14">
        <v>43831</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3"/>
    </row>
    <row r="415" spans="1:85" ht="120" x14ac:dyDescent="0.25">
      <c r="A415" s="13" t="s">
        <v>627</v>
      </c>
      <c r="B415" s="13" t="s">
        <v>153</v>
      </c>
      <c r="C415" s="14">
        <v>45084.602777777778</v>
      </c>
      <c r="D415" s="13" t="s">
        <v>88</v>
      </c>
      <c r="E415" s="15" t="s">
        <v>89</v>
      </c>
      <c r="F415" s="13" t="s">
        <v>90</v>
      </c>
      <c r="G415" s="15" t="s">
        <v>91</v>
      </c>
      <c r="H415" s="13" t="s">
        <v>663</v>
      </c>
      <c r="I415" s="15" t="s">
        <v>664</v>
      </c>
      <c r="J415" s="15" t="s">
        <v>665</v>
      </c>
      <c r="K415" s="15" t="s">
        <v>666</v>
      </c>
      <c r="L415" s="13" t="s">
        <v>669</v>
      </c>
      <c r="M415" s="15" t="s">
        <v>670</v>
      </c>
      <c r="N415" s="13" t="s">
        <v>98</v>
      </c>
      <c r="O415" s="15" t="s">
        <v>170</v>
      </c>
      <c r="P415" s="15" t="s">
        <v>171</v>
      </c>
      <c r="Q415" s="15" t="s">
        <v>208</v>
      </c>
      <c r="R415" s="13" t="s">
        <v>209</v>
      </c>
      <c r="S415" s="13" t="s">
        <v>103</v>
      </c>
      <c r="T415" s="13" t="s">
        <v>205</v>
      </c>
      <c r="U415" s="14">
        <v>43831</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c r="CG415" s="13"/>
    </row>
    <row r="416" spans="1:85" ht="120" x14ac:dyDescent="0.25">
      <c r="A416" s="13" t="s">
        <v>627</v>
      </c>
      <c r="B416" s="13" t="s">
        <v>153</v>
      </c>
      <c r="C416" s="14">
        <v>45084.604166666664</v>
      </c>
      <c r="D416" s="13" t="s">
        <v>88</v>
      </c>
      <c r="E416" s="15" t="s">
        <v>89</v>
      </c>
      <c r="F416" s="13" t="s">
        <v>90</v>
      </c>
      <c r="G416" s="15" t="s">
        <v>91</v>
      </c>
      <c r="H416" s="13" t="s">
        <v>663</v>
      </c>
      <c r="I416" s="15" t="s">
        <v>664</v>
      </c>
      <c r="J416" s="15" t="s">
        <v>665</v>
      </c>
      <c r="K416" s="15" t="s">
        <v>666</v>
      </c>
      <c r="L416" s="13" t="s">
        <v>671</v>
      </c>
      <c r="M416" s="15" t="s">
        <v>672</v>
      </c>
      <c r="N416" s="13" t="s">
        <v>188</v>
      </c>
      <c r="O416" s="15" t="s">
        <v>189</v>
      </c>
      <c r="P416" s="15" t="s">
        <v>190</v>
      </c>
      <c r="Q416" s="15" t="s">
        <v>208</v>
      </c>
      <c r="R416" s="13" t="s">
        <v>209</v>
      </c>
      <c r="S416" s="13" t="s">
        <v>103</v>
      </c>
      <c r="T416" s="13" t="s">
        <v>205</v>
      </c>
      <c r="U416" s="14">
        <v>43831</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3"/>
    </row>
    <row r="417" spans="1:85" ht="135" x14ac:dyDescent="0.25">
      <c r="A417" s="13" t="s">
        <v>152</v>
      </c>
      <c r="B417" s="13" t="s">
        <v>153</v>
      </c>
      <c r="C417" s="14">
        <v>45799.686805555553</v>
      </c>
      <c r="D417" s="13" t="s">
        <v>88</v>
      </c>
      <c r="E417" s="15" t="s">
        <v>89</v>
      </c>
      <c r="F417" s="13" t="s">
        <v>90</v>
      </c>
      <c r="G417" s="15" t="s">
        <v>91</v>
      </c>
      <c r="H417" s="13" t="s">
        <v>673</v>
      </c>
      <c r="I417" s="15" t="s">
        <v>674</v>
      </c>
      <c r="J417" s="15" t="s">
        <v>675</v>
      </c>
      <c r="K417" s="15" t="s">
        <v>676</v>
      </c>
      <c r="L417" s="13" t="s">
        <v>677</v>
      </c>
      <c r="M417" s="15" t="s">
        <v>678</v>
      </c>
      <c r="N417" s="13" t="s">
        <v>98</v>
      </c>
      <c r="O417" s="15"/>
      <c r="P417" s="15"/>
      <c r="Q417" s="15" t="s">
        <v>101</v>
      </c>
      <c r="R417" s="13" t="s">
        <v>102</v>
      </c>
      <c r="S417" s="13" t="s">
        <v>103</v>
      </c>
      <c r="T417" s="13" t="s">
        <v>104</v>
      </c>
      <c r="U417" s="14">
        <v>45658</v>
      </c>
      <c r="V417" s="14"/>
      <c r="W417" s="15" t="s">
        <v>433</v>
      </c>
      <c r="X417" s="13"/>
      <c r="Y417" s="15"/>
      <c r="Z417" s="13"/>
      <c r="AA417" s="15"/>
      <c r="AB417" s="13"/>
      <c r="AC417" s="15"/>
      <c r="AD417" s="13"/>
      <c r="AE417" s="15"/>
      <c r="AF417" s="13"/>
      <c r="AG417" s="15"/>
      <c r="AH417" s="13"/>
      <c r="AI417" s="15"/>
      <c r="AJ417" s="13"/>
      <c r="AK417" s="15"/>
      <c r="AL417" s="13"/>
      <c r="AM417" s="15"/>
      <c r="AN417" s="13"/>
      <c r="AO417" s="15"/>
      <c r="AP417" s="13" t="s">
        <v>114</v>
      </c>
      <c r="AQ417" s="15" t="str">
        <f>VLOOKUP(AP417,'Axe 2 Règles de gestion'!$D$2:$F$121,3, FALSE)</f>
        <v>Un détachement de courte durée à l'étranger ou dans les TOM ne peut excéder 1 an entre la date de début et la date de fin prévisionnelle.</v>
      </c>
      <c r="AR417" s="13" t="s">
        <v>116</v>
      </c>
      <c r="AS417" s="15" t="str">
        <f>VLOOKUP(AR417,'Axe 2 Règles de gestion'!$D$2:$F$121,3, FALSE)</f>
        <v>Un détachement de courte durée à l'étranger ou dans les TOM ne peut excéder 1 an entre la date de début et la date de fin réelle.</v>
      </c>
      <c r="AT417" s="13" t="s">
        <v>118</v>
      </c>
      <c r="AU417" s="15" t="str">
        <f>VLOOKUP(AT417,'Axe 2 Règles de gestion'!$D$2:$F$121,3, FALSE)</f>
        <v>Un détachement de courte durée n'ayant pas lieu à l'étranger ou dans les TOM ne peut excéder six mois entre la date de début et la date de fin prévisionnelle.</v>
      </c>
      <c r="AV417" s="13" t="s">
        <v>120</v>
      </c>
      <c r="AW417" s="15" t="str">
        <f>VLOOKUP(AV417,'Axe 2 Règles de gestion'!$D$2:$F$121,3, FALSE)</f>
        <v>Un détachement de courte durée n'ayant pas lieu à l'étranger ou dans les TOM ne peut excéder six mois entre la date de début et la date de fin réelle.</v>
      </c>
      <c r="AX417" s="13" t="s">
        <v>122</v>
      </c>
      <c r="AY417" s="15" t="str">
        <f>VLOOKUP(AX417,'Axe 2 Règles de gestion'!$D$2:$F$121,3, FALSE)</f>
        <v>Un détachement de longue durée ne peut excéder 5 ans entre la date de début et la date de fin prévisionnelle.</v>
      </c>
      <c r="AZ417" s="13" t="s">
        <v>124</v>
      </c>
      <c r="BA417" s="15" t="str">
        <f>VLOOKUP(AZ417,'Axe 2 Règles de gestion'!$D$2:$F$121,3, FALSE)</f>
        <v>Un détachement de longue durée ne peut excéder 5 ans entre la date de début et la date de fin réelle.</v>
      </c>
      <c r="BB417" s="13" t="s">
        <v>126</v>
      </c>
      <c r="BC417" s="15" t="str">
        <f>VLOOKUP(BB417,'Axe 2 Règles de gestion'!$D$2:$F$121,3, FALSE)</f>
        <v>La date de début de position doit être antérieure ou égale à la date de fin prévisionnelle de position.</v>
      </c>
      <c r="BD417" s="13" t="s">
        <v>128</v>
      </c>
      <c r="BE417" s="15" t="str">
        <f>VLOOKUP(BD417,'Axe 2 Règles de gestion'!$D$2:$F$121,3, FALSE)</f>
        <v>La date de début de la position doit être postérieure ou égale à la date d'entrée dans la FPE ou dans la carrière militaire.</v>
      </c>
      <c r="BF417" s="13" t="s">
        <v>130</v>
      </c>
      <c r="BG417" s="15" t="str">
        <f>VLOOKUP(BF417,'Axe 2 Règles de gestion'!$D$2:$F$121,3, FALSE)</f>
        <v>La date de fin réelle de la position doit être antérieure à la date limite de départ à la retraite.</v>
      </c>
      <c r="BH417" s="13" t="s">
        <v>132</v>
      </c>
      <c r="BI417" s="15" t="str">
        <f>VLOOKUP(BH417,'Axe 2 Règles de gestion'!$D$2:$F$121,3, FALSE)</f>
        <v>La date de début de position doit être antérieure ou égale à la date de fin réelle de position.</v>
      </c>
      <c r="BJ417" s="13" t="s">
        <v>134</v>
      </c>
      <c r="BK417" s="15" t="str">
        <f>VLOOKUP(BJ417,'Axe 2 Règles de gestion'!$D$2:$F$121,3, FALSE)</f>
        <v>La date de fin prévisionnelle de la position doit être antérieure à la date limite de départ à la retraite.</v>
      </c>
      <c r="BL417" s="13" t="s">
        <v>136</v>
      </c>
      <c r="BM417" s="15" t="str">
        <f>VLOOKUP(BL417,'Axe 2 Règles de gestion'!$D$2:$F$121,3, FALSE)</f>
        <v>L'indicateur de carrière est sur la valeur "Accueil".</v>
      </c>
      <c r="BN417" s="13" t="s">
        <v>138</v>
      </c>
      <c r="BO417" s="15" t="str">
        <f>VLOOKUP(BN417,'Axe 2 Règles de gestion'!$D$2:$F$121,3, FALSE)</f>
        <v>La date de début de position est à J+1 de la date de fin de position de l'occurrence précédente.</v>
      </c>
      <c r="BP417" s="13" t="s">
        <v>140</v>
      </c>
      <c r="BQ417" s="15" t="str">
        <f>VLOOKUP(BP417,'Axe 2 Règles de gestion'!$D$2:$F$121,3, FALSE)</f>
        <v>Les champs "Type d'organisme d'origine", "Catégorie statutaire d'origine" et "Pays" de l'organisme d'origine doivent être renseignés.</v>
      </c>
      <c r="BR417" s="13" t="s">
        <v>142</v>
      </c>
      <c r="BS417" s="15" t="str">
        <f>VLOOKUP(BR417,'Axe 2 Règles de gestion'!$D$2:$F$121,3, FALSE)</f>
        <v>Les champs "Ministère (ou institution de la République) d'origine", "Corps d'origine", "Grade d'origine", "Echelon d'origine" sont renseignés si le "Type d'organisme d'origine" est valorisé à FPE.</v>
      </c>
      <c r="BT417" s="13" t="s">
        <v>144</v>
      </c>
      <c r="BU417" s="15" t="str">
        <f>VLOOKUP(BT417,'Axe 2 Règles de gestion'!$D$2:$F$121,3, FALSE)</f>
        <v>Le champ "Organisme d'origine" doit être alimenté si le type d'organisme d'origine est égal à 'Autre organisme', 'Fonction publique d'un état de l'Union Européenne' ou 'Fonction publique Européenne'.</v>
      </c>
      <c r="BV417" s="13" t="s">
        <v>146</v>
      </c>
      <c r="BW417" s="15" t="str">
        <f>VLOOKUP(BV417,'Axe 2 Règles de gestion'!$D$2:$F$121,3, FALSE)</f>
        <v>Le champ "Code emploi statutaire FPT (NET)" est renseigné si le "Type d'organisme d'origine" est valorisé à FPT.</v>
      </c>
      <c r="BX417" s="13" t="s">
        <v>148</v>
      </c>
      <c r="BY417" s="15" t="str">
        <f>VLOOKUP(BX417,'Axe 2 Règles de gestion'!$D$2:$F$121,3, FALSE)</f>
        <v>Le champ "Code emploi statutaire FPH (NEH)" est renseigné si le "Type d'organisme d'origine" est valorisé à FPH.</v>
      </c>
      <c r="BZ417" s="13" t="s">
        <v>150</v>
      </c>
      <c r="CA417" s="15" t="str">
        <f>VLOOKUP(BZ417,'Axe 2 Règles de gestion'!$D$2:$F$121,3, FALSE)</f>
        <v>La date de fin ou la date de fin prévisionnelle doit être saisie.</v>
      </c>
      <c r="CB417" s="13"/>
      <c r="CC417" s="15"/>
      <c r="CD417" s="13"/>
      <c r="CE417" s="15"/>
      <c r="CF417" s="13"/>
      <c r="CG417" s="13"/>
    </row>
    <row r="418" spans="1:85" ht="135" x14ac:dyDescent="0.25">
      <c r="A418" s="13" t="s">
        <v>152</v>
      </c>
      <c r="B418" s="13" t="s">
        <v>153</v>
      </c>
      <c r="C418" s="14">
        <v>45799.688194444447</v>
      </c>
      <c r="D418" s="13" t="s">
        <v>88</v>
      </c>
      <c r="E418" s="15" t="s">
        <v>89</v>
      </c>
      <c r="F418" s="13" t="s">
        <v>90</v>
      </c>
      <c r="G418" s="15" t="s">
        <v>91</v>
      </c>
      <c r="H418" s="13" t="s">
        <v>673</v>
      </c>
      <c r="I418" s="15" t="s">
        <v>674</v>
      </c>
      <c r="J418" s="15" t="s">
        <v>675</v>
      </c>
      <c r="K418" s="15" t="s">
        <v>676</v>
      </c>
      <c r="L418" s="13" t="s">
        <v>679</v>
      </c>
      <c r="M418" s="15" t="s">
        <v>680</v>
      </c>
      <c r="N418" s="13" t="s">
        <v>98</v>
      </c>
      <c r="O418" s="15"/>
      <c r="P418" s="15"/>
      <c r="Q418" s="15" t="s">
        <v>101</v>
      </c>
      <c r="R418" s="13" t="s">
        <v>102</v>
      </c>
      <c r="S418" s="13" t="s">
        <v>103</v>
      </c>
      <c r="T418" s="13" t="s">
        <v>104</v>
      </c>
      <c r="U418" s="14">
        <v>45658</v>
      </c>
      <c r="V418" s="14"/>
      <c r="W418" s="15" t="s">
        <v>681</v>
      </c>
      <c r="X418" s="13"/>
      <c r="Y418" s="15"/>
      <c r="Z418" s="13"/>
      <c r="AA418" s="15"/>
      <c r="AB418" s="13"/>
      <c r="AC418" s="15"/>
      <c r="AD418" s="13"/>
      <c r="AE418" s="15"/>
      <c r="AF418" s="13"/>
      <c r="AG418" s="15"/>
      <c r="AH418" s="13"/>
      <c r="AI418" s="15"/>
      <c r="AJ418" s="13"/>
      <c r="AK418" s="15"/>
      <c r="AL418" s="13"/>
      <c r="AM418" s="15"/>
      <c r="AN418" s="13"/>
      <c r="AO418" s="15"/>
      <c r="AP418" s="13" t="s">
        <v>122</v>
      </c>
      <c r="AQ418" s="15" t="str">
        <f>VLOOKUP(AP418,'Axe 2 Règles de gestion'!$D$2:$F$121,3, FALSE)</f>
        <v>Un détachement de longue durée ne peut excéder 5 ans entre la date de début et la date de fin prévisionnelle.</v>
      </c>
      <c r="AR418" s="13" t="s">
        <v>124</v>
      </c>
      <c r="AS418" s="15" t="str">
        <f>VLOOKUP(AR418,'Axe 2 Règles de gestion'!$D$2:$F$121,3, FALSE)</f>
        <v>Un détachement de longue durée ne peut excéder 5 ans entre la date de début et la date de fin réelle.</v>
      </c>
      <c r="AT418" s="13" t="s">
        <v>177</v>
      </c>
      <c r="AU418" s="15" t="str">
        <f>VLOOKUP(AT418,'Axe 2 Règles de gestion'!$D$2:$F$121,3, FALSE)</f>
        <v>Le renouvellement d'un détachement de courte durée est interdit.</v>
      </c>
      <c r="AV418" s="13"/>
      <c r="AW418" s="15"/>
      <c r="AX418" s="13"/>
      <c r="AY418" s="15"/>
      <c r="AZ418" s="13"/>
      <c r="BA418" s="15"/>
      <c r="BB418" s="13" t="s">
        <v>126</v>
      </c>
      <c r="BC418" s="15" t="str">
        <f>VLOOKUP(BB418,'Axe 2 Règles de gestion'!$D$2:$F$121,3, FALSE)</f>
        <v>La date de début de position doit être antérieure ou égale à la date de fin prévisionnelle de position.</v>
      </c>
      <c r="BD418" s="13" t="s">
        <v>128</v>
      </c>
      <c r="BE418" s="15" t="str">
        <f>VLOOKUP(BD418,'Axe 2 Règles de gestion'!$D$2:$F$121,3, FALSE)</f>
        <v>La date de début de la position doit être postérieure ou égale à la date d'entrée dans la FPE ou dans la carrière militaire.</v>
      </c>
      <c r="BF418" s="13" t="s">
        <v>130</v>
      </c>
      <c r="BG418" s="15" t="str">
        <f>VLOOKUP(BF418,'Axe 2 Règles de gestion'!$D$2:$F$121,3, FALSE)</f>
        <v>La date de fin réelle de la position doit être antérieure à la date limite de départ à la retraite.</v>
      </c>
      <c r="BH418" s="13" t="s">
        <v>132</v>
      </c>
      <c r="BI418" s="15" t="str">
        <f>VLOOKUP(BH418,'Axe 2 Règles de gestion'!$D$2:$F$121,3, FALSE)</f>
        <v>La date de début de position doit être antérieure ou égale à la date de fin réelle de position.</v>
      </c>
      <c r="BJ418" s="13" t="s">
        <v>134</v>
      </c>
      <c r="BK418" s="15" t="str">
        <f>VLOOKUP(BJ418,'Axe 2 Règles de gestion'!$D$2:$F$121,3, FALSE)</f>
        <v>La date de fin prévisionnelle de la position doit être antérieure à la date limite de départ à la retraite.</v>
      </c>
      <c r="BL418" s="13" t="s">
        <v>136</v>
      </c>
      <c r="BM418" s="15" t="str">
        <f>VLOOKUP(BL418,'Axe 2 Règles de gestion'!$D$2:$F$121,3, FALSE)</f>
        <v>L'indicateur de carrière est sur la valeur "Accueil".</v>
      </c>
      <c r="BN418" s="13" t="s">
        <v>138</v>
      </c>
      <c r="BO418" s="15" t="str">
        <f>VLOOKUP(BN418,'Axe 2 Règles de gestion'!$D$2:$F$121,3, FALSE)</f>
        <v>La date de début de position est à J+1 de la date de fin de position de l'occurrence précédente.</v>
      </c>
      <c r="BP418" s="13" t="s">
        <v>140</v>
      </c>
      <c r="BQ418" s="15" t="str">
        <f>VLOOKUP(BP418,'Axe 2 Règles de gestion'!$D$2:$F$121,3, FALSE)</f>
        <v>Les champs "Type d'organisme d'origine", "Catégorie statutaire d'origine" et "Pays" de l'organisme d'origine doivent être renseignés.</v>
      </c>
      <c r="BR418" s="13" t="s">
        <v>142</v>
      </c>
      <c r="BS418" s="15" t="str">
        <f>VLOOKUP(BR418,'Axe 2 Règles de gestion'!$D$2:$F$121,3, FALSE)</f>
        <v>Les champs "Ministère (ou institution de la République) d'origine", "Corps d'origine", "Grade d'origine", "Echelon d'origine" sont renseignés si le "Type d'organisme d'origine" est valorisé à FPE.</v>
      </c>
      <c r="BT418" s="13" t="s">
        <v>144</v>
      </c>
      <c r="BU418" s="15" t="str">
        <f>VLOOKUP(BT418,'Axe 2 Règles de gestion'!$D$2:$F$121,3, FALSE)</f>
        <v>Le champ "Organisme d'origine" doit être alimenté si le type d'organisme d'origine est égal à 'Autre organisme', 'Fonction publique d'un état de l'Union Européenne' ou 'Fonction publique Européenne'.</v>
      </c>
      <c r="BV418" s="13" t="s">
        <v>146</v>
      </c>
      <c r="BW418" s="15" t="str">
        <f>VLOOKUP(BV418,'Axe 2 Règles de gestion'!$D$2:$F$121,3, FALSE)</f>
        <v>Le champ "Code emploi statutaire FPT (NET)" est renseigné si le "Type d'organisme d'origine" est valorisé à FPT.</v>
      </c>
      <c r="BX418" s="13" t="s">
        <v>148</v>
      </c>
      <c r="BY418" s="15" t="str">
        <f>VLOOKUP(BX418,'Axe 2 Règles de gestion'!$D$2:$F$121,3, FALSE)</f>
        <v>Le champ "Code emploi statutaire FPH (NEH)" est renseigné si le "Type d'organisme d'origine" est valorisé à FPH.</v>
      </c>
      <c r="BZ418" s="13" t="s">
        <v>150</v>
      </c>
      <c r="CA418" s="15" t="str">
        <f>VLOOKUP(BZ418,'Axe 2 Règles de gestion'!$D$2:$F$121,3, FALSE)</f>
        <v>La date de fin ou la date de fin prévisionnelle doit être saisie.</v>
      </c>
      <c r="CB418" s="13"/>
      <c r="CC418" s="15"/>
      <c r="CD418" s="13"/>
      <c r="CE418" s="15"/>
      <c r="CF418" s="13"/>
      <c r="CG418" s="13"/>
    </row>
    <row r="419" spans="1:85" ht="135" x14ac:dyDescent="0.25">
      <c r="A419" s="13" t="s">
        <v>152</v>
      </c>
      <c r="B419" s="13" t="s">
        <v>153</v>
      </c>
      <c r="C419" s="14">
        <v>45799.689583333333</v>
      </c>
      <c r="D419" s="13" t="s">
        <v>88</v>
      </c>
      <c r="E419" s="15" t="s">
        <v>89</v>
      </c>
      <c r="F419" s="13" t="s">
        <v>90</v>
      </c>
      <c r="G419" s="15" t="s">
        <v>91</v>
      </c>
      <c r="H419" s="13" t="s">
        <v>673</v>
      </c>
      <c r="I419" s="15" t="s">
        <v>674</v>
      </c>
      <c r="J419" s="15" t="s">
        <v>675</v>
      </c>
      <c r="K419" s="15" t="s">
        <v>676</v>
      </c>
      <c r="L419" s="13" t="s">
        <v>682</v>
      </c>
      <c r="M419" s="15" t="s">
        <v>683</v>
      </c>
      <c r="N419" s="13" t="s">
        <v>188</v>
      </c>
      <c r="O419" s="15"/>
      <c r="P419" s="15"/>
      <c r="Q419" s="15" t="s">
        <v>101</v>
      </c>
      <c r="R419" s="13" t="s">
        <v>102</v>
      </c>
      <c r="S419" s="13" t="s">
        <v>103</v>
      </c>
      <c r="T419" s="13" t="s">
        <v>104</v>
      </c>
      <c r="U419" s="14">
        <v>45658</v>
      </c>
      <c r="V419" s="14"/>
      <c r="W419" s="15" t="s">
        <v>684</v>
      </c>
      <c r="X419" s="13"/>
      <c r="Y419" s="15"/>
      <c r="Z419" s="13"/>
      <c r="AA419" s="15"/>
      <c r="AB419" s="13"/>
      <c r="AC419" s="15"/>
      <c r="AD419" s="13"/>
      <c r="AE419" s="15"/>
      <c r="AF419" s="13"/>
      <c r="AG419" s="15"/>
      <c r="AH419" s="13"/>
      <c r="AI419" s="15"/>
      <c r="AJ419" s="13"/>
      <c r="AK419" s="15"/>
      <c r="AL419" s="13"/>
      <c r="AM419" s="15"/>
      <c r="AN419" s="13"/>
      <c r="AO419" s="15"/>
      <c r="AP419" s="13" t="s">
        <v>114</v>
      </c>
      <c r="AQ419" s="15" t="str">
        <f>VLOOKUP(AP419,'Axe 2 Règles de gestion'!$D$2:$F$121,3, FALSE)</f>
        <v>Un détachement de courte durée à l'étranger ou dans les TOM ne peut excéder 1 an entre la date de début et la date de fin prévisionnelle.</v>
      </c>
      <c r="AR419" s="13" t="s">
        <v>116</v>
      </c>
      <c r="AS419" s="15" t="str">
        <f>VLOOKUP(AR419,'Axe 2 Règles de gestion'!$D$2:$F$121,3, FALSE)</f>
        <v>Un détachement de courte durée à l'étranger ou dans les TOM ne peut excéder 1 an entre la date de début et la date de fin réelle.</v>
      </c>
      <c r="AT419" s="13" t="s">
        <v>118</v>
      </c>
      <c r="AU419" s="15" t="str">
        <f>VLOOKUP(AT419,'Axe 2 Règles de gestion'!$D$2:$F$121,3, FALSE)</f>
        <v>Un détachement de courte durée n'ayant pas lieu à l'étranger ou dans les TOM ne peut excéder six mois entre la date de début et la date de fin prévisionnelle.</v>
      </c>
      <c r="AV419" s="13" t="s">
        <v>120</v>
      </c>
      <c r="AW419" s="15" t="str">
        <f>VLOOKUP(AV419,'Axe 2 Règles de gestion'!$D$2:$F$121,3, FALSE)</f>
        <v>Un détachement de courte durée n'ayant pas lieu à l'étranger ou dans les TOM ne peut excéder six mois entre la date de début et la date de fin réelle.</v>
      </c>
      <c r="AX419" s="13" t="s">
        <v>122</v>
      </c>
      <c r="AY419" s="15" t="str">
        <f>VLOOKUP(AX419,'Axe 2 Règles de gestion'!$D$2:$F$121,3, FALSE)</f>
        <v>Un détachement de longue durée ne peut excéder 5 ans entre la date de début et la date de fin prévisionnelle.</v>
      </c>
      <c r="AZ419" s="13" t="s">
        <v>124</v>
      </c>
      <c r="BA419" s="15" t="str">
        <f>VLOOKUP(AZ419,'Axe 2 Règles de gestion'!$D$2:$F$121,3, FALSE)</f>
        <v>Un détachement de longue durée ne peut excéder 5 ans entre la date de début et la date de fin réelle.</v>
      </c>
      <c r="BB419" s="13" t="s">
        <v>126</v>
      </c>
      <c r="BC419" s="15" t="str">
        <f>VLOOKUP(BB419,'Axe 2 Règles de gestion'!$D$2:$F$121,3, FALSE)</f>
        <v>La date de début de position doit être antérieure ou égale à la date de fin prévisionnelle de position.</v>
      </c>
      <c r="BD419" s="13" t="s">
        <v>130</v>
      </c>
      <c r="BE419" s="15" t="str">
        <f>VLOOKUP(BD419,'Axe 2 Règles de gestion'!$D$2:$F$121,3, FALSE)</f>
        <v>La date de fin réelle de la position doit être antérieure à la date limite de départ à la retraite.</v>
      </c>
      <c r="BF419" s="13" t="s">
        <v>132</v>
      </c>
      <c r="BG419" s="15" t="str">
        <f>VLOOKUP(BF419,'Axe 2 Règles de gestion'!$D$2:$F$121,3, FALSE)</f>
        <v>La date de début de position doit être antérieure ou égale à la date de fin réelle de position.</v>
      </c>
      <c r="BH419" s="13" t="s">
        <v>134</v>
      </c>
      <c r="BI419" s="15" t="str">
        <f>VLOOKUP(BH419,'Axe 2 Règles de gestion'!$D$2:$F$121,3, FALSE)</f>
        <v>La date de fin prévisionnelle de la position doit être antérieure à la date limite de départ à la retraite.</v>
      </c>
      <c r="BJ419" s="13" t="s">
        <v>140</v>
      </c>
      <c r="BK419" s="15" t="str">
        <f>VLOOKUP(BJ419,'Axe 2 Règles de gestion'!$D$2:$F$121,3, FALSE)</f>
        <v>Les champs "Type d'organisme d'origine", "Catégorie statutaire d'origine" et "Pays" de l'organisme d'origine doivent être renseignés.</v>
      </c>
      <c r="BL419" s="13" t="s">
        <v>142</v>
      </c>
      <c r="BM419" s="15" t="str">
        <f>VLOOKUP(BL419,'Axe 2 Règles de gestion'!$D$2:$F$121,3, FALSE)</f>
        <v>Les champs "Ministère (ou institution de la République) d'origine", "Corps d'origine", "Grade d'origine", "Echelon d'origine" sont renseignés si le "Type d'organisme d'origine" est valorisé à FPE.</v>
      </c>
      <c r="BN419" s="13" t="s">
        <v>144</v>
      </c>
      <c r="BO419" s="15" t="str">
        <f>VLOOKUP(BN419,'Axe 2 Règles de gestion'!$D$2:$F$121,3, FALSE)</f>
        <v>Le champ "Organisme d'origine" doit être alimenté si le type d'organisme d'origine est égal à 'Autre organisme', 'Fonction publique d'un état de l'Union Européenne' ou 'Fonction publique Européenne'.</v>
      </c>
      <c r="BP419" s="13" t="s">
        <v>146</v>
      </c>
      <c r="BQ419" s="15" t="str">
        <f>VLOOKUP(BP419,'Axe 2 Règles de gestion'!$D$2:$F$121,3, FALSE)</f>
        <v>Le champ "Code emploi statutaire FPT (NET)" est renseigné si le "Type d'organisme d'origine" est valorisé à FPT.</v>
      </c>
      <c r="BR419" s="13" t="s">
        <v>148</v>
      </c>
      <c r="BS419" s="15" t="str">
        <f>VLOOKUP(BR419,'Axe 2 Règles de gestion'!$D$2:$F$121,3, FALSE)</f>
        <v>Le champ "Code emploi statutaire FPH (NEH)" est renseigné si le "Type d'organisme d'origine" est valorisé à FPH.</v>
      </c>
      <c r="BT419" s="13" t="s">
        <v>150</v>
      </c>
      <c r="BU419" s="15" t="str">
        <f>VLOOKUP(BT419,'Axe 2 Règles de gestion'!$D$2:$F$121,3, FALSE)</f>
        <v>La date de fin ou la date de fin prévisionnelle doit être saisie.</v>
      </c>
      <c r="BV419" s="13"/>
      <c r="BW419" s="15"/>
      <c r="BX419" s="13"/>
      <c r="BY419" s="15"/>
      <c r="BZ419" s="13"/>
      <c r="CA419" s="15"/>
      <c r="CB419" s="13"/>
      <c r="CC419" s="15"/>
      <c r="CD419" s="13"/>
      <c r="CE419" s="15"/>
      <c r="CF419" s="13"/>
      <c r="CG419" s="13"/>
    </row>
    <row r="420" spans="1:85" ht="75" x14ac:dyDescent="0.25">
      <c r="A420" s="13" t="s">
        <v>152</v>
      </c>
      <c r="B420" s="13" t="s">
        <v>153</v>
      </c>
      <c r="C420" s="14">
        <v>45799.6875</v>
      </c>
      <c r="D420" s="13" t="s">
        <v>88</v>
      </c>
      <c r="E420" s="15" t="s">
        <v>89</v>
      </c>
      <c r="F420" s="13" t="s">
        <v>90</v>
      </c>
      <c r="G420" s="15" t="s">
        <v>91</v>
      </c>
      <c r="H420" s="13" t="s">
        <v>673</v>
      </c>
      <c r="I420" s="15" t="s">
        <v>674</v>
      </c>
      <c r="J420" s="15" t="s">
        <v>675</v>
      </c>
      <c r="K420" s="15" t="s">
        <v>676</v>
      </c>
      <c r="L420" s="13" t="s">
        <v>677</v>
      </c>
      <c r="M420" s="15" t="s">
        <v>678</v>
      </c>
      <c r="N420" s="13" t="s">
        <v>98</v>
      </c>
      <c r="O420" s="15"/>
      <c r="P420" s="15"/>
      <c r="Q420" s="15" t="s">
        <v>615</v>
      </c>
      <c r="R420" s="13" t="s">
        <v>616</v>
      </c>
      <c r="S420" s="13" t="s">
        <v>103</v>
      </c>
      <c r="T420" s="13" t="s">
        <v>205</v>
      </c>
      <c r="U420" s="14">
        <v>45658</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c r="CG420" s="13"/>
    </row>
    <row r="421" spans="1:85" ht="75" x14ac:dyDescent="0.25">
      <c r="A421" s="13" t="s">
        <v>152</v>
      </c>
      <c r="B421" s="13" t="s">
        <v>153</v>
      </c>
      <c r="C421" s="14">
        <v>45799.688194444447</v>
      </c>
      <c r="D421" s="13" t="s">
        <v>88</v>
      </c>
      <c r="E421" s="15" t="s">
        <v>89</v>
      </c>
      <c r="F421" s="13" t="s">
        <v>90</v>
      </c>
      <c r="G421" s="15" t="s">
        <v>91</v>
      </c>
      <c r="H421" s="13" t="s">
        <v>673</v>
      </c>
      <c r="I421" s="15" t="s">
        <v>674</v>
      </c>
      <c r="J421" s="15" t="s">
        <v>675</v>
      </c>
      <c r="K421" s="15" t="s">
        <v>676</v>
      </c>
      <c r="L421" s="13" t="s">
        <v>679</v>
      </c>
      <c r="M421" s="15" t="s">
        <v>680</v>
      </c>
      <c r="N421" s="13" t="s">
        <v>98</v>
      </c>
      <c r="O421" s="15"/>
      <c r="P421" s="15"/>
      <c r="Q421" s="15" t="s">
        <v>615</v>
      </c>
      <c r="R421" s="13" t="s">
        <v>616</v>
      </c>
      <c r="S421" s="13" t="s">
        <v>103</v>
      </c>
      <c r="T421" s="13" t="s">
        <v>205</v>
      </c>
      <c r="U421" s="14">
        <v>45658</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3"/>
    </row>
    <row r="422" spans="1:85" ht="75" x14ac:dyDescent="0.25">
      <c r="A422" s="13" t="s">
        <v>152</v>
      </c>
      <c r="B422" s="13" t="s">
        <v>153</v>
      </c>
      <c r="C422" s="14">
        <v>45799.69027777778</v>
      </c>
      <c r="D422" s="13" t="s">
        <v>88</v>
      </c>
      <c r="E422" s="15" t="s">
        <v>89</v>
      </c>
      <c r="F422" s="13" t="s">
        <v>90</v>
      </c>
      <c r="G422" s="15" t="s">
        <v>91</v>
      </c>
      <c r="H422" s="13" t="s">
        <v>673</v>
      </c>
      <c r="I422" s="15" t="s">
        <v>674</v>
      </c>
      <c r="J422" s="15" t="s">
        <v>675</v>
      </c>
      <c r="K422" s="15" t="s">
        <v>676</v>
      </c>
      <c r="L422" s="13" t="s">
        <v>682</v>
      </c>
      <c r="M422" s="15" t="s">
        <v>683</v>
      </c>
      <c r="N422" s="13" t="s">
        <v>188</v>
      </c>
      <c r="O422" s="15"/>
      <c r="P422" s="15"/>
      <c r="Q422" s="15" t="s">
        <v>615</v>
      </c>
      <c r="R422" s="13" t="s">
        <v>616</v>
      </c>
      <c r="S422" s="13" t="s">
        <v>103</v>
      </c>
      <c r="T422" s="13" t="s">
        <v>205</v>
      </c>
      <c r="U422" s="14">
        <v>45658</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3"/>
    </row>
    <row r="423" spans="1:85" ht="75" x14ac:dyDescent="0.25">
      <c r="A423" s="13" t="s">
        <v>152</v>
      </c>
      <c r="B423" s="13" t="s">
        <v>153</v>
      </c>
      <c r="C423" s="14">
        <v>45799.6875</v>
      </c>
      <c r="D423" s="13" t="s">
        <v>88</v>
      </c>
      <c r="E423" s="15" t="s">
        <v>89</v>
      </c>
      <c r="F423" s="13" t="s">
        <v>90</v>
      </c>
      <c r="G423" s="15" t="s">
        <v>91</v>
      </c>
      <c r="H423" s="13" t="s">
        <v>673</v>
      </c>
      <c r="I423" s="15" t="s">
        <v>674</v>
      </c>
      <c r="J423" s="15" t="s">
        <v>675</v>
      </c>
      <c r="K423" s="15" t="s">
        <v>676</v>
      </c>
      <c r="L423" s="13" t="s">
        <v>677</v>
      </c>
      <c r="M423" s="15" t="s">
        <v>678</v>
      </c>
      <c r="N423" s="13" t="s">
        <v>98</v>
      </c>
      <c r="O423" s="15"/>
      <c r="P423" s="15"/>
      <c r="Q423" s="15" t="s">
        <v>203</v>
      </c>
      <c r="R423" s="13" t="s">
        <v>204</v>
      </c>
      <c r="S423" s="13" t="s">
        <v>103</v>
      </c>
      <c r="T423" s="13" t="s">
        <v>205</v>
      </c>
      <c r="U423" s="14">
        <v>45658</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3"/>
    </row>
    <row r="424" spans="1:85" ht="75" x14ac:dyDescent="0.25">
      <c r="A424" s="13" t="s">
        <v>152</v>
      </c>
      <c r="B424" s="13" t="s">
        <v>153</v>
      </c>
      <c r="C424" s="14">
        <v>45799.688888888886</v>
      </c>
      <c r="D424" s="13" t="s">
        <v>88</v>
      </c>
      <c r="E424" s="15" t="s">
        <v>89</v>
      </c>
      <c r="F424" s="13" t="s">
        <v>90</v>
      </c>
      <c r="G424" s="15" t="s">
        <v>91</v>
      </c>
      <c r="H424" s="13" t="s">
        <v>673</v>
      </c>
      <c r="I424" s="15" t="s">
        <v>674</v>
      </c>
      <c r="J424" s="15" t="s">
        <v>675</v>
      </c>
      <c r="K424" s="15" t="s">
        <v>676</v>
      </c>
      <c r="L424" s="13" t="s">
        <v>679</v>
      </c>
      <c r="M424" s="15" t="s">
        <v>680</v>
      </c>
      <c r="N424" s="13" t="s">
        <v>98</v>
      </c>
      <c r="O424" s="15"/>
      <c r="P424" s="15"/>
      <c r="Q424" s="15" t="s">
        <v>203</v>
      </c>
      <c r="R424" s="13" t="s">
        <v>204</v>
      </c>
      <c r="S424" s="13" t="s">
        <v>103</v>
      </c>
      <c r="T424" s="13" t="s">
        <v>205</v>
      </c>
      <c r="U424" s="14">
        <v>45658</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3"/>
    </row>
    <row r="425" spans="1:85" ht="75" x14ac:dyDescent="0.25">
      <c r="A425" s="13" t="s">
        <v>152</v>
      </c>
      <c r="B425" s="13" t="s">
        <v>153</v>
      </c>
      <c r="C425" s="14">
        <v>45799.69027777778</v>
      </c>
      <c r="D425" s="13" t="s">
        <v>88</v>
      </c>
      <c r="E425" s="15" t="s">
        <v>89</v>
      </c>
      <c r="F425" s="13" t="s">
        <v>90</v>
      </c>
      <c r="G425" s="15" t="s">
        <v>91</v>
      </c>
      <c r="H425" s="13" t="s">
        <v>673</v>
      </c>
      <c r="I425" s="15" t="s">
        <v>674</v>
      </c>
      <c r="J425" s="15" t="s">
        <v>675</v>
      </c>
      <c r="K425" s="15" t="s">
        <v>676</v>
      </c>
      <c r="L425" s="13" t="s">
        <v>682</v>
      </c>
      <c r="M425" s="15" t="s">
        <v>683</v>
      </c>
      <c r="N425" s="13" t="s">
        <v>188</v>
      </c>
      <c r="O425" s="15"/>
      <c r="P425" s="15"/>
      <c r="Q425" s="15" t="s">
        <v>203</v>
      </c>
      <c r="R425" s="13" t="s">
        <v>204</v>
      </c>
      <c r="S425" s="13" t="s">
        <v>103</v>
      </c>
      <c r="T425" s="13" t="s">
        <v>205</v>
      </c>
      <c r="U425" s="14">
        <v>45658</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3"/>
    </row>
    <row r="426" spans="1:85" ht="75" x14ac:dyDescent="0.25">
      <c r="A426" s="13" t="s">
        <v>152</v>
      </c>
      <c r="B426" s="13" t="s">
        <v>153</v>
      </c>
      <c r="C426" s="14">
        <v>45799.6875</v>
      </c>
      <c r="D426" s="13" t="s">
        <v>88</v>
      </c>
      <c r="E426" s="15" t="s">
        <v>89</v>
      </c>
      <c r="F426" s="13" t="s">
        <v>90</v>
      </c>
      <c r="G426" s="15" t="s">
        <v>91</v>
      </c>
      <c r="H426" s="13" t="s">
        <v>673</v>
      </c>
      <c r="I426" s="15" t="s">
        <v>674</v>
      </c>
      <c r="J426" s="15" t="s">
        <v>675</v>
      </c>
      <c r="K426" s="15" t="s">
        <v>676</v>
      </c>
      <c r="L426" s="13" t="s">
        <v>677</v>
      </c>
      <c r="M426" s="15" t="s">
        <v>678</v>
      </c>
      <c r="N426" s="13" t="s">
        <v>98</v>
      </c>
      <c r="O426" s="15"/>
      <c r="P426" s="15"/>
      <c r="Q426" s="15" t="s">
        <v>206</v>
      </c>
      <c r="R426" s="13" t="s">
        <v>207</v>
      </c>
      <c r="S426" s="13" t="s">
        <v>103</v>
      </c>
      <c r="T426" s="13" t="s">
        <v>205</v>
      </c>
      <c r="U426" s="14">
        <v>45658</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3"/>
    </row>
    <row r="427" spans="1:85" ht="75" x14ac:dyDescent="0.25">
      <c r="A427" s="13" t="s">
        <v>152</v>
      </c>
      <c r="B427" s="13" t="s">
        <v>153</v>
      </c>
      <c r="C427" s="14">
        <v>45799.688888888886</v>
      </c>
      <c r="D427" s="13" t="s">
        <v>88</v>
      </c>
      <c r="E427" s="15" t="s">
        <v>89</v>
      </c>
      <c r="F427" s="13" t="s">
        <v>90</v>
      </c>
      <c r="G427" s="15" t="s">
        <v>91</v>
      </c>
      <c r="H427" s="13" t="s">
        <v>673</v>
      </c>
      <c r="I427" s="15" t="s">
        <v>674</v>
      </c>
      <c r="J427" s="15" t="s">
        <v>675</v>
      </c>
      <c r="K427" s="15" t="s">
        <v>676</v>
      </c>
      <c r="L427" s="13" t="s">
        <v>679</v>
      </c>
      <c r="M427" s="15" t="s">
        <v>680</v>
      </c>
      <c r="N427" s="13" t="s">
        <v>98</v>
      </c>
      <c r="O427" s="15"/>
      <c r="P427" s="15"/>
      <c r="Q427" s="15" t="s">
        <v>206</v>
      </c>
      <c r="R427" s="13" t="s">
        <v>207</v>
      </c>
      <c r="S427" s="13" t="s">
        <v>103</v>
      </c>
      <c r="T427" s="13" t="s">
        <v>205</v>
      </c>
      <c r="U427" s="14">
        <v>45658</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3"/>
    </row>
    <row r="428" spans="1:85" ht="75" x14ac:dyDescent="0.25">
      <c r="A428" s="13" t="s">
        <v>152</v>
      </c>
      <c r="B428" s="13" t="s">
        <v>153</v>
      </c>
      <c r="C428" s="14">
        <v>45799.69027777778</v>
      </c>
      <c r="D428" s="13" t="s">
        <v>88</v>
      </c>
      <c r="E428" s="15" t="s">
        <v>89</v>
      </c>
      <c r="F428" s="13" t="s">
        <v>90</v>
      </c>
      <c r="G428" s="15" t="s">
        <v>91</v>
      </c>
      <c r="H428" s="13" t="s">
        <v>673</v>
      </c>
      <c r="I428" s="15" t="s">
        <v>674</v>
      </c>
      <c r="J428" s="15" t="s">
        <v>675</v>
      </c>
      <c r="K428" s="15" t="s">
        <v>676</v>
      </c>
      <c r="L428" s="13" t="s">
        <v>682</v>
      </c>
      <c r="M428" s="15" t="s">
        <v>683</v>
      </c>
      <c r="N428" s="13" t="s">
        <v>188</v>
      </c>
      <c r="O428" s="15"/>
      <c r="P428" s="15"/>
      <c r="Q428" s="15" t="s">
        <v>206</v>
      </c>
      <c r="R428" s="13" t="s">
        <v>207</v>
      </c>
      <c r="S428" s="13" t="s">
        <v>103</v>
      </c>
      <c r="T428" s="13" t="s">
        <v>205</v>
      </c>
      <c r="U428" s="14">
        <v>45658</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3"/>
    </row>
    <row r="429" spans="1:85" ht="75" x14ac:dyDescent="0.25">
      <c r="A429" s="13" t="s">
        <v>152</v>
      </c>
      <c r="B429" s="13" t="s">
        <v>153</v>
      </c>
      <c r="C429" s="14">
        <v>45799.6875</v>
      </c>
      <c r="D429" s="13" t="s">
        <v>88</v>
      </c>
      <c r="E429" s="15" t="s">
        <v>89</v>
      </c>
      <c r="F429" s="13" t="s">
        <v>90</v>
      </c>
      <c r="G429" s="15" t="s">
        <v>91</v>
      </c>
      <c r="H429" s="13" t="s">
        <v>673</v>
      </c>
      <c r="I429" s="15" t="s">
        <v>674</v>
      </c>
      <c r="J429" s="15" t="s">
        <v>675</v>
      </c>
      <c r="K429" s="15" t="s">
        <v>676</v>
      </c>
      <c r="L429" s="13" t="s">
        <v>677</v>
      </c>
      <c r="M429" s="15" t="s">
        <v>678</v>
      </c>
      <c r="N429" s="13" t="s">
        <v>98</v>
      </c>
      <c r="O429" s="15"/>
      <c r="P429" s="15"/>
      <c r="Q429" s="15" t="s">
        <v>208</v>
      </c>
      <c r="R429" s="13" t="s">
        <v>209</v>
      </c>
      <c r="S429" s="13" t="s">
        <v>103</v>
      </c>
      <c r="T429" s="13" t="s">
        <v>205</v>
      </c>
      <c r="U429" s="14">
        <v>45658</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3"/>
    </row>
    <row r="430" spans="1:85" ht="75" x14ac:dyDescent="0.25">
      <c r="A430" s="13" t="s">
        <v>152</v>
      </c>
      <c r="B430" s="13" t="s">
        <v>153</v>
      </c>
      <c r="C430" s="14">
        <v>45799.688888888886</v>
      </c>
      <c r="D430" s="13" t="s">
        <v>88</v>
      </c>
      <c r="E430" s="15" t="s">
        <v>89</v>
      </c>
      <c r="F430" s="13" t="s">
        <v>90</v>
      </c>
      <c r="G430" s="15" t="s">
        <v>91</v>
      </c>
      <c r="H430" s="13" t="s">
        <v>673</v>
      </c>
      <c r="I430" s="15" t="s">
        <v>674</v>
      </c>
      <c r="J430" s="15" t="s">
        <v>675</v>
      </c>
      <c r="K430" s="15" t="s">
        <v>676</v>
      </c>
      <c r="L430" s="13" t="s">
        <v>679</v>
      </c>
      <c r="M430" s="15" t="s">
        <v>680</v>
      </c>
      <c r="N430" s="13" t="s">
        <v>98</v>
      </c>
      <c r="O430" s="15"/>
      <c r="P430" s="15"/>
      <c r="Q430" s="15" t="s">
        <v>208</v>
      </c>
      <c r="R430" s="13" t="s">
        <v>209</v>
      </c>
      <c r="S430" s="13" t="s">
        <v>103</v>
      </c>
      <c r="T430" s="13" t="s">
        <v>205</v>
      </c>
      <c r="U430" s="14">
        <v>45658</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3"/>
    </row>
    <row r="431" spans="1:85" ht="75" x14ac:dyDescent="0.25">
      <c r="A431" s="13" t="s">
        <v>152</v>
      </c>
      <c r="B431" s="13" t="s">
        <v>153</v>
      </c>
      <c r="C431" s="14">
        <v>45799.69027777778</v>
      </c>
      <c r="D431" s="13" t="s">
        <v>88</v>
      </c>
      <c r="E431" s="15" t="s">
        <v>89</v>
      </c>
      <c r="F431" s="13" t="s">
        <v>90</v>
      </c>
      <c r="G431" s="15" t="s">
        <v>91</v>
      </c>
      <c r="H431" s="13" t="s">
        <v>673</v>
      </c>
      <c r="I431" s="15" t="s">
        <v>674</v>
      </c>
      <c r="J431" s="15" t="s">
        <v>675</v>
      </c>
      <c r="K431" s="15" t="s">
        <v>676</v>
      </c>
      <c r="L431" s="13" t="s">
        <v>682</v>
      </c>
      <c r="M431" s="15" t="s">
        <v>683</v>
      </c>
      <c r="N431" s="13" t="s">
        <v>188</v>
      </c>
      <c r="O431" s="15"/>
      <c r="P431" s="15"/>
      <c r="Q431" s="15" t="s">
        <v>208</v>
      </c>
      <c r="R431" s="13" t="s">
        <v>209</v>
      </c>
      <c r="S431" s="13" t="s">
        <v>103</v>
      </c>
      <c r="T431" s="13" t="s">
        <v>205</v>
      </c>
      <c r="U431" s="14">
        <v>45658</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3"/>
    </row>
    <row r="432" spans="1:85"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sheetData>
  <autoFilter ref="A1:OJ1" xr:uid="{7124AC21-BE88-4509-A476-96372D74C36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D87D-2D57-4042-B985-C0B065DA1CC3}">
  <dimension ref="A1:AM1029"/>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9.7109375" style="18" customWidth="1"/>
    <col min="39" max="39" width="15.7109375" style="17" customWidth="1"/>
    <col min="40" max="16384" width="11.42578125" style="12"/>
  </cols>
  <sheetData>
    <row r="1" spans="1:39"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685</v>
      </c>
      <c r="X1" s="10" t="s">
        <v>686</v>
      </c>
      <c r="Y1" s="10" t="s">
        <v>687</v>
      </c>
      <c r="Z1" s="10" t="s">
        <v>688</v>
      </c>
      <c r="AA1" s="10" t="s">
        <v>689</v>
      </c>
      <c r="AB1" s="10" t="s">
        <v>690</v>
      </c>
      <c r="AC1" s="10" t="s">
        <v>691</v>
      </c>
      <c r="AD1" s="10" t="s">
        <v>692</v>
      </c>
      <c r="AE1" s="10" t="s">
        <v>693</v>
      </c>
      <c r="AF1" s="10" t="s">
        <v>694</v>
      </c>
      <c r="AG1" s="10" t="s">
        <v>695</v>
      </c>
      <c r="AH1" s="10" t="s">
        <v>696</v>
      </c>
      <c r="AI1" s="10" t="s">
        <v>697</v>
      </c>
      <c r="AJ1" s="10" t="s">
        <v>698</v>
      </c>
      <c r="AK1" s="10" t="s">
        <v>699</v>
      </c>
      <c r="AL1" s="10" t="s">
        <v>84</v>
      </c>
      <c r="AM1" s="10" t="s">
        <v>85</v>
      </c>
    </row>
    <row r="2" spans="1:39" ht="165" x14ac:dyDescent="0.25">
      <c r="A2" s="13" t="s">
        <v>86</v>
      </c>
      <c r="B2" s="13" t="s">
        <v>87</v>
      </c>
      <c r="C2" s="14">
        <v>43850.552083333336</v>
      </c>
      <c r="D2" s="13" t="s">
        <v>88</v>
      </c>
      <c r="E2" s="15" t="s">
        <v>89</v>
      </c>
      <c r="F2" s="13" t="s">
        <v>90</v>
      </c>
      <c r="G2" s="15" t="s">
        <v>91</v>
      </c>
      <c r="H2" s="13" t="s">
        <v>92</v>
      </c>
      <c r="I2" s="15" t="s">
        <v>93</v>
      </c>
      <c r="J2" s="15" t="s">
        <v>94</v>
      </c>
      <c r="K2" s="15" t="s">
        <v>95</v>
      </c>
      <c r="L2" s="13" t="s">
        <v>96</v>
      </c>
      <c r="M2" s="15" t="s">
        <v>97</v>
      </c>
      <c r="N2" s="13" t="s">
        <v>98</v>
      </c>
      <c r="O2" s="15" t="s">
        <v>99</v>
      </c>
      <c r="P2" s="15" t="s">
        <v>100</v>
      </c>
      <c r="Q2" s="15" t="s">
        <v>101</v>
      </c>
      <c r="R2" s="13" t="s">
        <v>102</v>
      </c>
      <c r="S2" s="13" t="s">
        <v>103</v>
      </c>
      <c r="T2" s="13" t="s">
        <v>104</v>
      </c>
      <c r="U2" s="14">
        <v>40725</v>
      </c>
      <c r="V2" s="14">
        <v>43830</v>
      </c>
      <c r="W2" s="15" t="s">
        <v>700</v>
      </c>
      <c r="X2" s="13" t="s">
        <v>701</v>
      </c>
      <c r="Y2" s="15" t="str">
        <f>VLOOKUP(X2,'Axe 2 Règles de gestion'!$D$2:$F$121,3, FALSE)</f>
        <v>Rémunération : L'agent perçoit une rémunération statutaire et bénéficie du régime indemnitaire de son emploi d'accueil.</v>
      </c>
      <c r="Z2" s="13" t="s">
        <v>703</v>
      </c>
      <c r="AA2" s="15" t="str">
        <f>VLOOKUP(Z2,'Axe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 s="13" t="s">
        <v>705</v>
      </c>
      <c r="AC2" s="15" t="str">
        <f>VLOOKUP(AB2,'Axe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 s="13" t="s">
        <v>707</v>
      </c>
      <c r="AE2" s="15" t="str">
        <f>VLOOKUP(AD2,'Axe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 s="13" t="s">
        <v>709</v>
      </c>
      <c r="AG2" s="15" t="str">
        <f>VLOOKUP(AF2,'Axe 2 Règles de gestion'!$D$2:$F$121,3, FALSE)</f>
        <v>Congés annuels : L'agent cumule des droits à congé.</v>
      </c>
      <c r="AH2" s="13" t="s">
        <v>711</v>
      </c>
      <c r="AI2" s="15" t="str">
        <f>VLOOKUP(AH2,'Axe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 s="13" t="s">
        <v>713</v>
      </c>
      <c r="AK2" s="15" t="str">
        <f>VLOOKUP(AJ2,'Axe 2 Règles de gestion'!$D$2:$F$121,3, FALSE)</f>
        <v>Acte : Un acte administratif doit être produit.</v>
      </c>
      <c r="AL2" s="13"/>
      <c r="AM2" s="15"/>
    </row>
    <row r="3" spans="1:39" ht="165" x14ac:dyDescent="0.25">
      <c r="A3" s="13" t="s">
        <v>152</v>
      </c>
      <c r="B3" s="13" t="s">
        <v>153</v>
      </c>
      <c r="C3" s="14">
        <v>45807.448611111111</v>
      </c>
      <c r="D3" s="13" t="s">
        <v>88</v>
      </c>
      <c r="E3" s="15" t="s">
        <v>89</v>
      </c>
      <c r="F3" s="13" t="s">
        <v>90</v>
      </c>
      <c r="G3" s="15" t="s">
        <v>91</v>
      </c>
      <c r="H3" s="13" t="s">
        <v>92</v>
      </c>
      <c r="I3" s="15" t="s">
        <v>93</v>
      </c>
      <c r="J3" s="15" t="s">
        <v>94</v>
      </c>
      <c r="K3" s="15" t="s">
        <v>95</v>
      </c>
      <c r="L3" s="13" t="s">
        <v>96</v>
      </c>
      <c r="M3" s="15" t="s">
        <v>97</v>
      </c>
      <c r="N3" s="13" t="s">
        <v>98</v>
      </c>
      <c r="O3" s="15" t="s">
        <v>99</v>
      </c>
      <c r="P3" s="15" t="s">
        <v>100</v>
      </c>
      <c r="Q3" s="15" t="s">
        <v>101</v>
      </c>
      <c r="R3" s="13" t="s">
        <v>102</v>
      </c>
      <c r="S3" s="13" t="s">
        <v>103</v>
      </c>
      <c r="T3" s="13" t="s">
        <v>104</v>
      </c>
      <c r="U3" s="14">
        <v>43831</v>
      </c>
      <c r="V3" s="14"/>
      <c r="W3" s="15" t="s">
        <v>700</v>
      </c>
      <c r="X3" s="13" t="s">
        <v>701</v>
      </c>
      <c r="Y3" s="15" t="str">
        <f>VLOOKUP(X3,'Axe 2 Règles de gestion'!$D$2:$F$121,3, FALSE)</f>
        <v>Rémunération : L'agent perçoit une rémunération statutaire et bénéficie du régime indemnitaire de son emploi d'accueil.</v>
      </c>
      <c r="Z3" s="13" t="s">
        <v>703</v>
      </c>
      <c r="AA3" s="15" t="str">
        <f>VLOOKUP(Z3,'Axe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 s="13" t="s">
        <v>705</v>
      </c>
      <c r="AC3" s="15" t="str">
        <f>VLOOKUP(AB3,'Axe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 s="13" t="s">
        <v>707</v>
      </c>
      <c r="AE3" s="15" t="str">
        <f>VLOOKUP(AD3,'Axe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 s="13" t="s">
        <v>709</v>
      </c>
      <c r="AG3" s="15" t="str">
        <f>VLOOKUP(AF3,'Axe 2 Règles de gestion'!$D$2:$F$121,3, FALSE)</f>
        <v>Congés annuels : L'agent cumule des droits à congé.</v>
      </c>
      <c r="AH3" s="13" t="s">
        <v>711</v>
      </c>
      <c r="AI3" s="15" t="str">
        <f>VLOOKUP(AH3,'Axe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 s="13" t="s">
        <v>713</v>
      </c>
      <c r="AK3" s="15" t="str">
        <f>VLOOKUP(AJ3,'Axe 2 Règles de gestion'!$D$2:$F$121,3, FALSE)</f>
        <v>Acte : Un acte administratif doit être produit.</v>
      </c>
      <c r="AL3" s="13"/>
      <c r="AM3" s="15"/>
    </row>
    <row r="4" spans="1:39" ht="165" x14ac:dyDescent="0.25">
      <c r="A4" s="13" t="s">
        <v>167</v>
      </c>
      <c r="B4" s="13" t="s">
        <v>87</v>
      </c>
      <c r="C4" s="14">
        <v>44071.418055555558</v>
      </c>
      <c r="D4" s="13" t="s">
        <v>88</v>
      </c>
      <c r="E4" s="15" t="s">
        <v>89</v>
      </c>
      <c r="F4" s="13" t="s">
        <v>90</v>
      </c>
      <c r="G4" s="15" t="s">
        <v>91</v>
      </c>
      <c r="H4" s="13" t="s">
        <v>92</v>
      </c>
      <c r="I4" s="15" t="s">
        <v>93</v>
      </c>
      <c r="J4" s="15" t="s">
        <v>94</v>
      </c>
      <c r="K4" s="15" t="s">
        <v>95</v>
      </c>
      <c r="L4" s="13" t="s">
        <v>168</v>
      </c>
      <c r="M4" s="15" t="s">
        <v>169</v>
      </c>
      <c r="N4" s="13" t="s">
        <v>98</v>
      </c>
      <c r="O4" s="15" t="s">
        <v>170</v>
      </c>
      <c r="P4" s="15" t="s">
        <v>171</v>
      </c>
      <c r="Q4" s="15" t="s">
        <v>101</v>
      </c>
      <c r="R4" s="13" t="s">
        <v>102</v>
      </c>
      <c r="S4" s="13" t="s">
        <v>103</v>
      </c>
      <c r="T4" s="13" t="s">
        <v>104</v>
      </c>
      <c r="U4" s="14">
        <v>40725</v>
      </c>
      <c r="V4" s="14">
        <v>43830</v>
      </c>
      <c r="W4" s="15" t="s">
        <v>700</v>
      </c>
      <c r="X4" s="13" t="s">
        <v>701</v>
      </c>
      <c r="Y4" s="15" t="str">
        <f>VLOOKUP(X4,'Axe 2 Règles de gestion'!$D$2:$F$121,3, FALSE)</f>
        <v>Rémunération : L'agent perçoit une rémunération statutaire et bénéficie du régime indemnitaire de son emploi d'accueil.</v>
      </c>
      <c r="Z4" s="13" t="s">
        <v>703</v>
      </c>
      <c r="AA4" s="15" t="str">
        <f>VLOOKUP(Z4,'Axe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4" s="13" t="s">
        <v>705</v>
      </c>
      <c r="AC4" s="15" t="str">
        <f>VLOOKUP(AB4,'Axe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4" s="13" t="s">
        <v>707</v>
      </c>
      <c r="AE4" s="15" t="str">
        <f>VLOOKUP(AD4,'Axe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4" s="13" t="s">
        <v>709</v>
      </c>
      <c r="AG4" s="15" t="str">
        <f>VLOOKUP(AF4,'Axe 2 Règles de gestion'!$D$2:$F$121,3, FALSE)</f>
        <v>Congés annuels : L'agent cumule des droits à congé.</v>
      </c>
      <c r="AH4" s="13" t="s">
        <v>711</v>
      </c>
      <c r="AI4" s="15" t="str">
        <f>VLOOKUP(AH4,'Axe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4" s="13" t="s">
        <v>713</v>
      </c>
      <c r="AK4" s="15" t="str">
        <f>VLOOKUP(AJ4,'Axe 2 Règles de gestion'!$D$2:$F$121,3, FALSE)</f>
        <v>Acte : Un acte administratif doit être produit.</v>
      </c>
      <c r="AL4" s="13"/>
      <c r="AM4" s="15"/>
    </row>
    <row r="5" spans="1:39" ht="120" x14ac:dyDescent="0.25">
      <c r="A5" s="13" t="s">
        <v>167</v>
      </c>
      <c r="B5" s="13" t="s">
        <v>153</v>
      </c>
      <c r="C5" s="14">
        <v>44071.421527777777</v>
      </c>
      <c r="D5" s="13" t="s">
        <v>88</v>
      </c>
      <c r="E5" s="15" t="s">
        <v>89</v>
      </c>
      <c r="F5" s="13" t="s">
        <v>90</v>
      </c>
      <c r="G5" s="15" t="s">
        <v>91</v>
      </c>
      <c r="H5" s="13" t="s">
        <v>92</v>
      </c>
      <c r="I5" s="15" t="s">
        <v>93</v>
      </c>
      <c r="J5" s="15" t="s">
        <v>94</v>
      </c>
      <c r="K5" s="15" t="s">
        <v>95</v>
      </c>
      <c r="L5" s="13" t="s">
        <v>168</v>
      </c>
      <c r="M5" s="15" t="s">
        <v>169</v>
      </c>
      <c r="N5" s="13" t="s">
        <v>98</v>
      </c>
      <c r="O5" s="15" t="s">
        <v>170</v>
      </c>
      <c r="P5" s="15" t="s">
        <v>171</v>
      </c>
      <c r="Q5" s="15" t="s">
        <v>101</v>
      </c>
      <c r="R5" s="13" t="s">
        <v>102</v>
      </c>
      <c r="S5" s="13" t="s">
        <v>103</v>
      </c>
      <c r="T5" s="13" t="s">
        <v>104</v>
      </c>
      <c r="U5" s="14">
        <v>43831</v>
      </c>
      <c r="V5" s="14"/>
      <c r="W5" s="15"/>
      <c r="X5" s="13"/>
      <c r="Y5" s="15"/>
      <c r="Z5" s="13"/>
      <c r="AA5" s="15"/>
      <c r="AB5" s="13"/>
      <c r="AC5" s="15"/>
      <c r="AD5" s="13"/>
      <c r="AE5" s="15"/>
      <c r="AF5" s="13"/>
      <c r="AG5" s="15"/>
      <c r="AH5" s="13"/>
      <c r="AI5" s="15"/>
      <c r="AJ5" s="13"/>
      <c r="AK5" s="15"/>
      <c r="AL5" s="13"/>
      <c r="AM5" s="15"/>
    </row>
    <row r="6" spans="1:39" ht="120" x14ac:dyDescent="0.25">
      <c r="A6" s="13" t="s">
        <v>86</v>
      </c>
      <c r="B6" s="13" t="s">
        <v>87</v>
      </c>
      <c r="C6" s="14">
        <v>43850.552083333336</v>
      </c>
      <c r="D6" s="13" t="s">
        <v>88</v>
      </c>
      <c r="E6" s="15" t="s">
        <v>89</v>
      </c>
      <c r="F6" s="13" t="s">
        <v>90</v>
      </c>
      <c r="G6" s="15" t="s">
        <v>91</v>
      </c>
      <c r="H6" s="13" t="s">
        <v>92</v>
      </c>
      <c r="I6" s="15" t="s">
        <v>93</v>
      </c>
      <c r="J6" s="15" t="s">
        <v>94</v>
      </c>
      <c r="K6" s="15" t="s">
        <v>95</v>
      </c>
      <c r="L6" s="13" t="s">
        <v>186</v>
      </c>
      <c r="M6" s="15" t="s">
        <v>187</v>
      </c>
      <c r="N6" s="13" t="s">
        <v>188</v>
      </c>
      <c r="O6" s="15" t="s">
        <v>189</v>
      </c>
      <c r="P6" s="15" t="s">
        <v>190</v>
      </c>
      <c r="Q6" s="15" t="s">
        <v>101</v>
      </c>
      <c r="R6" s="13" t="s">
        <v>102</v>
      </c>
      <c r="S6" s="13" t="s">
        <v>103</v>
      </c>
      <c r="T6" s="13" t="s">
        <v>104</v>
      </c>
      <c r="U6" s="14">
        <v>40725</v>
      </c>
      <c r="V6" s="14"/>
      <c r="W6" s="15"/>
      <c r="X6" s="13"/>
      <c r="Y6" s="15"/>
      <c r="Z6" s="13"/>
      <c r="AA6" s="15"/>
      <c r="AB6" s="13"/>
      <c r="AC6" s="15"/>
      <c r="AD6" s="13"/>
      <c r="AE6" s="15"/>
      <c r="AF6" s="13"/>
      <c r="AG6" s="15"/>
      <c r="AH6" s="13"/>
      <c r="AI6" s="15"/>
      <c r="AJ6" s="13"/>
      <c r="AK6" s="15"/>
      <c r="AL6" s="13"/>
      <c r="AM6" s="15"/>
    </row>
    <row r="7" spans="1:39" ht="120" x14ac:dyDescent="0.25">
      <c r="A7" s="13" t="s">
        <v>202</v>
      </c>
      <c r="B7" s="13" t="s">
        <v>153</v>
      </c>
      <c r="C7" s="14">
        <v>43152.5</v>
      </c>
      <c r="D7" s="13" t="s">
        <v>88</v>
      </c>
      <c r="E7" s="15" t="s">
        <v>89</v>
      </c>
      <c r="F7" s="13" t="s">
        <v>90</v>
      </c>
      <c r="G7" s="15" t="s">
        <v>91</v>
      </c>
      <c r="H7" s="13" t="s">
        <v>92</v>
      </c>
      <c r="I7" s="15" t="s">
        <v>93</v>
      </c>
      <c r="J7" s="15" t="s">
        <v>94</v>
      </c>
      <c r="K7" s="15" t="s">
        <v>95</v>
      </c>
      <c r="L7" s="13" t="s">
        <v>96</v>
      </c>
      <c r="M7" s="15" t="s">
        <v>97</v>
      </c>
      <c r="N7" s="13" t="s">
        <v>98</v>
      </c>
      <c r="O7" s="15" t="s">
        <v>99</v>
      </c>
      <c r="P7" s="15" t="s">
        <v>100</v>
      </c>
      <c r="Q7" s="15" t="s">
        <v>203</v>
      </c>
      <c r="R7" s="13" t="s">
        <v>204</v>
      </c>
      <c r="S7" s="13" t="s">
        <v>103</v>
      </c>
      <c r="T7" s="13" t="s">
        <v>205</v>
      </c>
      <c r="U7" s="14">
        <v>40725</v>
      </c>
      <c r="V7" s="14"/>
      <c r="W7" s="15"/>
      <c r="X7" s="13"/>
      <c r="Y7" s="15"/>
      <c r="Z7" s="13"/>
      <c r="AA7" s="15"/>
      <c r="AB7" s="13"/>
      <c r="AC7" s="15"/>
      <c r="AD7" s="13"/>
      <c r="AE7" s="15"/>
      <c r="AF7" s="13"/>
      <c r="AG7" s="15"/>
      <c r="AH7" s="13"/>
      <c r="AI7" s="15"/>
      <c r="AJ7" s="13"/>
      <c r="AK7" s="15"/>
      <c r="AL7" s="13"/>
      <c r="AM7" s="15"/>
    </row>
    <row r="8" spans="1:39" ht="120" x14ac:dyDescent="0.25">
      <c r="A8" s="13" t="s">
        <v>202</v>
      </c>
      <c r="B8" s="13" t="s">
        <v>153</v>
      </c>
      <c r="C8" s="14">
        <v>43152.5</v>
      </c>
      <c r="D8" s="13" t="s">
        <v>88</v>
      </c>
      <c r="E8" s="15" t="s">
        <v>89</v>
      </c>
      <c r="F8" s="13" t="s">
        <v>90</v>
      </c>
      <c r="G8" s="15" t="s">
        <v>91</v>
      </c>
      <c r="H8" s="13" t="s">
        <v>92</v>
      </c>
      <c r="I8" s="15" t="s">
        <v>93</v>
      </c>
      <c r="J8" s="15" t="s">
        <v>94</v>
      </c>
      <c r="K8" s="15" t="s">
        <v>95</v>
      </c>
      <c r="L8" s="13" t="s">
        <v>168</v>
      </c>
      <c r="M8" s="15" t="s">
        <v>169</v>
      </c>
      <c r="N8" s="13" t="s">
        <v>98</v>
      </c>
      <c r="O8" s="15" t="s">
        <v>170</v>
      </c>
      <c r="P8" s="15" t="s">
        <v>171</v>
      </c>
      <c r="Q8" s="15" t="s">
        <v>203</v>
      </c>
      <c r="R8" s="13" t="s">
        <v>204</v>
      </c>
      <c r="S8" s="13" t="s">
        <v>103</v>
      </c>
      <c r="T8" s="13" t="s">
        <v>205</v>
      </c>
      <c r="U8" s="14">
        <v>40725</v>
      </c>
      <c r="V8" s="14"/>
      <c r="W8" s="15"/>
      <c r="X8" s="13"/>
      <c r="Y8" s="15"/>
      <c r="Z8" s="13"/>
      <c r="AA8" s="15"/>
      <c r="AB8" s="13"/>
      <c r="AC8" s="15"/>
      <c r="AD8" s="13"/>
      <c r="AE8" s="15"/>
      <c r="AF8" s="13"/>
      <c r="AG8" s="15"/>
      <c r="AH8" s="13"/>
      <c r="AI8" s="15"/>
      <c r="AJ8" s="13"/>
      <c r="AK8" s="15"/>
      <c r="AL8" s="13"/>
      <c r="AM8" s="15"/>
    </row>
    <row r="9" spans="1:39" ht="120" x14ac:dyDescent="0.25">
      <c r="A9" s="13" t="s">
        <v>202</v>
      </c>
      <c r="B9" s="13" t="s">
        <v>153</v>
      </c>
      <c r="C9" s="14">
        <v>43152.5</v>
      </c>
      <c r="D9" s="13" t="s">
        <v>88</v>
      </c>
      <c r="E9" s="15" t="s">
        <v>89</v>
      </c>
      <c r="F9" s="13" t="s">
        <v>90</v>
      </c>
      <c r="G9" s="15" t="s">
        <v>91</v>
      </c>
      <c r="H9" s="13" t="s">
        <v>92</v>
      </c>
      <c r="I9" s="15" t="s">
        <v>93</v>
      </c>
      <c r="J9" s="15" t="s">
        <v>94</v>
      </c>
      <c r="K9" s="15" t="s">
        <v>95</v>
      </c>
      <c r="L9" s="13" t="s">
        <v>186</v>
      </c>
      <c r="M9" s="15" t="s">
        <v>187</v>
      </c>
      <c r="N9" s="13" t="s">
        <v>188</v>
      </c>
      <c r="O9" s="15" t="s">
        <v>189</v>
      </c>
      <c r="P9" s="15" t="s">
        <v>190</v>
      </c>
      <c r="Q9" s="15" t="s">
        <v>203</v>
      </c>
      <c r="R9" s="13" t="s">
        <v>204</v>
      </c>
      <c r="S9" s="13" t="s">
        <v>103</v>
      </c>
      <c r="T9" s="13" t="s">
        <v>205</v>
      </c>
      <c r="U9" s="14">
        <v>40725</v>
      </c>
      <c r="V9" s="14"/>
      <c r="W9" s="15"/>
      <c r="X9" s="13"/>
      <c r="Y9" s="15"/>
      <c r="Z9" s="13"/>
      <c r="AA9" s="15"/>
      <c r="AB9" s="13"/>
      <c r="AC9" s="15"/>
      <c r="AD9" s="13"/>
      <c r="AE9" s="15"/>
      <c r="AF9" s="13"/>
      <c r="AG9" s="15"/>
      <c r="AH9" s="13"/>
      <c r="AI9" s="15"/>
      <c r="AJ9" s="13"/>
      <c r="AK9" s="15"/>
      <c r="AL9" s="13"/>
      <c r="AM9" s="15"/>
    </row>
    <row r="10" spans="1:39" ht="120" x14ac:dyDescent="0.25">
      <c r="A10" s="13" t="s">
        <v>202</v>
      </c>
      <c r="B10" s="13" t="s">
        <v>153</v>
      </c>
      <c r="C10" s="14">
        <v>43152.5</v>
      </c>
      <c r="D10" s="13" t="s">
        <v>88</v>
      </c>
      <c r="E10" s="15" t="s">
        <v>89</v>
      </c>
      <c r="F10" s="13" t="s">
        <v>90</v>
      </c>
      <c r="G10" s="15" t="s">
        <v>91</v>
      </c>
      <c r="H10" s="13" t="s">
        <v>92</v>
      </c>
      <c r="I10" s="15" t="s">
        <v>93</v>
      </c>
      <c r="J10" s="15" t="s">
        <v>94</v>
      </c>
      <c r="K10" s="15" t="s">
        <v>95</v>
      </c>
      <c r="L10" s="13" t="s">
        <v>96</v>
      </c>
      <c r="M10" s="15" t="s">
        <v>97</v>
      </c>
      <c r="N10" s="13" t="s">
        <v>98</v>
      </c>
      <c r="O10" s="15" t="s">
        <v>99</v>
      </c>
      <c r="P10" s="15" t="s">
        <v>100</v>
      </c>
      <c r="Q10" s="15" t="s">
        <v>206</v>
      </c>
      <c r="R10" s="13" t="s">
        <v>207</v>
      </c>
      <c r="S10" s="13" t="s">
        <v>103</v>
      </c>
      <c r="T10" s="13" t="s">
        <v>205</v>
      </c>
      <c r="U10" s="14">
        <v>40725</v>
      </c>
      <c r="V10" s="14"/>
      <c r="W10" s="15"/>
      <c r="X10" s="13"/>
      <c r="Y10" s="15"/>
      <c r="Z10" s="13"/>
      <c r="AA10" s="15"/>
      <c r="AB10" s="13"/>
      <c r="AC10" s="15"/>
      <c r="AD10" s="13"/>
      <c r="AE10" s="15"/>
      <c r="AF10" s="13"/>
      <c r="AG10" s="15"/>
      <c r="AH10" s="13"/>
      <c r="AI10" s="15"/>
      <c r="AJ10" s="13"/>
      <c r="AK10" s="15"/>
      <c r="AL10" s="13"/>
      <c r="AM10" s="15"/>
    </row>
    <row r="11" spans="1:39" ht="120" x14ac:dyDescent="0.25">
      <c r="A11" s="13" t="s">
        <v>202</v>
      </c>
      <c r="B11" s="13" t="s">
        <v>153</v>
      </c>
      <c r="C11" s="14">
        <v>43152.5</v>
      </c>
      <c r="D11" s="13" t="s">
        <v>88</v>
      </c>
      <c r="E11" s="15" t="s">
        <v>89</v>
      </c>
      <c r="F11" s="13" t="s">
        <v>90</v>
      </c>
      <c r="G11" s="15" t="s">
        <v>91</v>
      </c>
      <c r="H11" s="13" t="s">
        <v>92</v>
      </c>
      <c r="I11" s="15" t="s">
        <v>93</v>
      </c>
      <c r="J11" s="15" t="s">
        <v>94</v>
      </c>
      <c r="K11" s="15" t="s">
        <v>95</v>
      </c>
      <c r="L11" s="13" t="s">
        <v>168</v>
      </c>
      <c r="M11" s="15" t="s">
        <v>169</v>
      </c>
      <c r="N11" s="13" t="s">
        <v>98</v>
      </c>
      <c r="O11" s="15" t="s">
        <v>170</v>
      </c>
      <c r="P11" s="15" t="s">
        <v>171</v>
      </c>
      <c r="Q11" s="15" t="s">
        <v>206</v>
      </c>
      <c r="R11" s="13" t="s">
        <v>207</v>
      </c>
      <c r="S11" s="13" t="s">
        <v>103</v>
      </c>
      <c r="T11" s="13" t="s">
        <v>205</v>
      </c>
      <c r="U11" s="14">
        <v>40725</v>
      </c>
      <c r="V11" s="14"/>
      <c r="W11" s="15"/>
      <c r="X11" s="13"/>
      <c r="Y11" s="15"/>
      <c r="Z11" s="13"/>
      <c r="AA11" s="15"/>
      <c r="AB11" s="13"/>
      <c r="AC11" s="15"/>
      <c r="AD11" s="13"/>
      <c r="AE11" s="15"/>
      <c r="AF11" s="13"/>
      <c r="AG11" s="15"/>
      <c r="AH11" s="13"/>
      <c r="AI11" s="15"/>
      <c r="AJ11" s="13"/>
      <c r="AK11" s="15"/>
      <c r="AL11" s="13"/>
      <c r="AM11" s="15"/>
    </row>
    <row r="12" spans="1:39" ht="120" x14ac:dyDescent="0.25">
      <c r="A12" s="13" t="s">
        <v>202</v>
      </c>
      <c r="B12" s="13" t="s">
        <v>153</v>
      </c>
      <c r="C12" s="14">
        <v>43152.5</v>
      </c>
      <c r="D12" s="13" t="s">
        <v>88</v>
      </c>
      <c r="E12" s="15" t="s">
        <v>89</v>
      </c>
      <c r="F12" s="13" t="s">
        <v>90</v>
      </c>
      <c r="G12" s="15" t="s">
        <v>91</v>
      </c>
      <c r="H12" s="13" t="s">
        <v>92</v>
      </c>
      <c r="I12" s="15" t="s">
        <v>93</v>
      </c>
      <c r="J12" s="15" t="s">
        <v>94</v>
      </c>
      <c r="K12" s="15" t="s">
        <v>95</v>
      </c>
      <c r="L12" s="13" t="s">
        <v>186</v>
      </c>
      <c r="M12" s="15" t="s">
        <v>187</v>
      </c>
      <c r="N12" s="13" t="s">
        <v>188</v>
      </c>
      <c r="O12" s="15" t="s">
        <v>189</v>
      </c>
      <c r="P12" s="15" t="s">
        <v>190</v>
      </c>
      <c r="Q12" s="15" t="s">
        <v>206</v>
      </c>
      <c r="R12" s="13" t="s">
        <v>207</v>
      </c>
      <c r="S12" s="13" t="s">
        <v>103</v>
      </c>
      <c r="T12" s="13" t="s">
        <v>205</v>
      </c>
      <c r="U12" s="14">
        <v>40725</v>
      </c>
      <c r="V12" s="14"/>
      <c r="W12" s="15"/>
      <c r="X12" s="13"/>
      <c r="Y12" s="15"/>
      <c r="Z12" s="13"/>
      <c r="AA12" s="15"/>
      <c r="AB12" s="13"/>
      <c r="AC12" s="15"/>
      <c r="AD12" s="13"/>
      <c r="AE12" s="15"/>
      <c r="AF12" s="13"/>
      <c r="AG12" s="15"/>
      <c r="AH12" s="13"/>
      <c r="AI12" s="15"/>
      <c r="AJ12" s="13"/>
      <c r="AK12" s="15"/>
      <c r="AL12" s="13"/>
      <c r="AM12" s="15"/>
    </row>
    <row r="13" spans="1:39" ht="120" x14ac:dyDescent="0.25">
      <c r="A13" s="13" t="s">
        <v>202</v>
      </c>
      <c r="B13" s="13" t="s">
        <v>153</v>
      </c>
      <c r="C13" s="14">
        <v>43152.5</v>
      </c>
      <c r="D13" s="13" t="s">
        <v>88</v>
      </c>
      <c r="E13" s="15" t="s">
        <v>89</v>
      </c>
      <c r="F13" s="13" t="s">
        <v>90</v>
      </c>
      <c r="G13" s="15" t="s">
        <v>91</v>
      </c>
      <c r="H13" s="13" t="s">
        <v>92</v>
      </c>
      <c r="I13" s="15" t="s">
        <v>93</v>
      </c>
      <c r="J13" s="15" t="s">
        <v>94</v>
      </c>
      <c r="K13" s="15" t="s">
        <v>95</v>
      </c>
      <c r="L13" s="13" t="s">
        <v>96</v>
      </c>
      <c r="M13" s="15" t="s">
        <v>97</v>
      </c>
      <c r="N13" s="13" t="s">
        <v>98</v>
      </c>
      <c r="O13" s="15" t="s">
        <v>99</v>
      </c>
      <c r="P13" s="15" t="s">
        <v>100</v>
      </c>
      <c r="Q13" s="15" t="s">
        <v>208</v>
      </c>
      <c r="R13" s="13" t="s">
        <v>209</v>
      </c>
      <c r="S13" s="13" t="s">
        <v>103</v>
      </c>
      <c r="T13" s="13" t="s">
        <v>205</v>
      </c>
      <c r="U13" s="14">
        <v>40725</v>
      </c>
      <c r="V13" s="14"/>
      <c r="W13" s="15"/>
      <c r="X13" s="13"/>
      <c r="Y13" s="15"/>
      <c r="Z13" s="13"/>
      <c r="AA13" s="15"/>
      <c r="AB13" s="13"/>
      <c r="AC13" s="15"/>
      <c r="AD13" s="13"/>
      <c r="AE13" s="15"/>
      <c r="AF13" s="13"/>
      <c r="AG13" s="15"/>
      <c r="AH13" s="13"/>
      <c r="AI13" s="15"/>
      <c r="AJ13" s="13"/>
      <c r="AK13" s="15"/>
      <c r="AL13" s="13"/>
      <c r="AM13" s="15"/>
    </row>
    <row r="14" spans="1:39" ht="120" x14ac:dyDescent="0.25">
      <c r="A14" s="13" t="s">
        <v>202</v>
      </c>
      <c r="B14" s="13" t="s">
        <v>153</v>
      </c>
      <c r="C14" s="14">
        <v>43152.5</v>
      </c>
      <c r="D14" s="13" t="s">
        <v>88</v>
      </c>
      <c r="E14" s="15" t="s">
        <v>89</v>
      </c>
      <c r="F14" s="13" t="s">
        <v>90</v>
      </c>
      <c r="G14" s="15" t="s">
        <v>91</v>
      </c>
      <c r="H14" s="13" t="s">
        <v>92</v>
      </c>
      <c r="I14" s="15" t="s">
        <v>93</v>
      </c>
      <c r="J14" s="15" t="s">
        <v>94</v>
      </c>
      <c r="K14" s="15" t="s">
        <v>95</v>
      </c>
      <c r="L14" s="13" t="s">
        <v>168</v>
      </c>
      <c r="M14" s="15" t="s">
        <v>169</v>
      </c>
      <c r="N14" s="13" t="s">
        <v>98</v>
      </c>
      <c r="O14" s="15" t="s">
        <v>170</v>
      </c>
      <c r="P14" s="15" t="s">
        <v>171</v>
      </c>
      <c r="Q14" s="15" t="s">
        <v>208</v>
      </c>
      <c r="R14" s="13" t="s">
        <v>209</v>
      </c>
      <c r="S14" s="13" t="s">
        <v>103</v>
      </c>
      <c r="T14" s="13" t="s">
        <v>205</v>
      </c>
      <c r="U14" s="14">
        <v>40725</v>
      </c>
      <c r="V14" s="14"/>
      <c r="W14" s="15"/>
      <c r="X14" s="13"/>
      <c r="Y14" s="15"/>
      <c r="Z14" s="13"/>
      <c r="AA14" s="15"/>
      <c r="AB14" s="13"/>
      <c r="AC14" s="15"/>
      <c r="AD14" s="13"/>
      <c r="AE14" s="15"/>
      <c r="AF14" s="13"/>
      <c r="AG14" s="15"/>
      <c r="AH14" s="13"/>
      <c r="AI14" s="15"/>
      <c r="AJ14" s="13"/>
      <c r="AK14" s="15"/>
      <c r="AL14" s="13"/>
      <c r="AM14" s="15"/>
    </row>
    <row r="15" spans="1:39" ht="120" x14ac:dyDescent="0.25">
      <c r="A15" s="13" t="s">
        <v>202</v>
      </c>
      <c r="B15" s="13" t="s">
        <v>153</v>
      </c>
      <c r="C15" s="14">
        <v>43152.5</v>
      </c>
      <c r="D15" s="13" t="s">
        <v>88</v>
      </c>
      <c r="E15" s="15" t="s">
        <v>89</v>
      </c>
      <c r="F15" s="13" t="s">
        <v>90</v>
      </c>
      <c r="G15" s="15" t="s">
        <v>91</v>
      </c>
      <c r="H15" s="13" t="s">
        <v>92</v>
      </c>
      <c r="I15" s="15" t="s">
        <v>93</v>
      </c>
      <c r="J15" s="15" t="s">
        <v>94</v>
      </c>
      <c r="K15" s="15" t="s">
        <v>95</v>
      </c>
      <c r="L15" s="13" t="s">
        <v>186</v>
      </c>
      <c r="M15" s="15" t="s">
        <v>187</v>
      </c>
      <c r="N15" s="13" t="s">
        <v>188</v>
      </c>
      <c r="O15" s="15" t="s">
        <v>189</v>
      </c>
      <c r="P15" s="15" t="s">
        <v>190</v>
      </c>
      <c r="Q15" s="15" t="s">
        <v>208</v>
      </c>
      <c r="R15" s="13" t="s">
        <v>209</v>
      </c>
      <c r="S15" s="13" t="s">
        <v>103</v>
      </c>
      <c r="T15" s="13" t="s">
        <v>205</v>
      </c>
      <c r="U15" s="14">
        <v>40725</v>
      </c>
      <c r="V15" s="14"/>
      <c r="W15" s="15"/>
      <c r="X15" s="13"/>
      <c r="Y15" s="15"/>
      <c r="Z15" s="13"/>
      <c r="AA15" s="15"/>
      <c r="AB15" s="13"/>
      <c r="AC15" s="15"/>
      <c r="AD15" s="13"/>
      <c r="AE15" s="15"/>
      <c r="AF15" s="13"/>
      <c r="AG15" s="15"/>
      <c r="AH15" s="13"/>
      <c r="AI15" s="15"/>
      <c r="AJ15" s="13"/>
      <c r="AK15" s="15"/>
      <c r="AL15" s="13"/>
      <c r="AM15" s="15"/>
    </row>
    <row r="16" spans="1:39" ht="120" x14ac:dyDescent="0.25">
      <c r="A16" s="13" t="s">
        <v>86</v>
      </c>
      <c r="B16" s="13" t="s">
        <v>87</v>
      </c>
      <c r="C16" s="14">
        <v>43850.552083333336</v>
      </c>
      <c r="D16" s="13" t="s">
        <v>88</v>
      </c>
      <c r="E16" s="15" t="s">
        <v>89</v>
      </c>
      <c r="F16" s="13" t="s">
        <v>90</v>
      </c>
      <c r="G16" s="15" t="s">
        <v>91</v>
      </c>
      <c r="H16" s="13" t="s">
        <v>92</v>
      </c>
      <c r="I16" s="15" t="s">
        <v>93</v>
      </c>
      <c r="J16" s="15" t="s">
        <v>94</v>
      </c>
      <c r="K16" s="15" t="s">
        <v>95</v>
      </c>
      <c r="L16" s="13" t="s">
        <v>96</v>
      </c>
      <c r="M16" s="15" t="s">
        <v>97</v>
      </c>
      <c r="N16" s="13" t="s">
        <v>98</v>
      </c>
      <c r="O16" s="15" t="s">
        <v>99</v>
      </c>
      <c r="P16" s="15" t="s">
        <v>100</v>
      </c>
      <c r="Q16" s="15" t="s">
        <v>210</v>
      </c>
      <c r="R16" s="13" t="s">
        <v>211</v>
      </c>
      <c r="S16" s="13" t="s">
        <v>212</v>
      </c>
      <c r="T16" s="13" t="s">
        <v>104</v>
      </c>
      <c r="U16" s="14">
        <v>40725</v>
      </c>
      <c r="V16" s="14">
        <v>43830</v>
      </c>
      <c r="W16" s="15"/>
      <c r="X16" s="13"/>
      <c r="Y16" s="15"/>
      <c r="Z16" s="13"/>
      <c r="AA16" s="15"/>
      <c r="AB16" s="13"/>
      <c r="AC16" s="15"/>
      <c r="AD16" s="13"/>
      <c r="AE16" s="15"/>
      <c r="AF16" s="13"/>
      <c r="AG16" s="15"/>
      <c r="AH16" s="13"/>
      <c r="AI16" s="15"/>
      <c r="AJ16" s="13"/>
      <c r="AK16" s="15"/>
      <c r="AL16" s="13"/>
      <c r="AM16" s="15"/>
    </row>
    <row r="17" spans="1:39" ht="120" x14ac:dyDescent="0.25">
      <c r="A17" s="13" t="s">
        <v>86</v>
      </c>
      <c r="B17" s="13" t="s">
        <v>153</v>
      </c>
      <c r="C17" s="14">
        <v>44012.454861111109</v>
      </c>
      <c r="D17" s="13" t="s">
        <v>88</v>
      </c>
      <c r="E17" s="15" t="s">
        <v>89</v>
      </c>
      <c r="F17" s="13" t="s">
        <v>90</v>
      </c>
      <c r="G17" s="15" t="s">
        <v>91</v>
      </c>
      <c r="H17" s="13" t="s">
        <v>92</v>
      </c>
      <c r="I17" s="15" t="s">
        <v>93</v>
      </c>
      <c r="J17" s="15" t="s">
        <v>94</v>
      </c>
      <c r="K17" s="15" t="s">
        <v>95</v>
      </c>
      <c r="L17" s="13" t="s">
        <v>96</v>
      </c>
      <c r="M17" s="15" t="s">
        <v>97</v>
      </c>
      <c r="N17" s="13" t="s">
        <v>98</v>
      </c>
      <c r="O17" s="15" t="s">
        <v>99</v>
      </c>
      <c r="P17" s="15" t="s">
        <v>100</v>
      </c>
      <c r="Q17" s="15" t="s">
        <v>210</v>
      </c>
      <c r="R17" s="13" t="s">
        <v>211</v>
      </c>
      <c r="S17" s="13" t="s">
        <v>212</v>
      </c>
      <c r="T17" s="13" t="s">
        <v>104</v>
      </c>
      <c r="U17" s="14">
        <v>43831</v>
      </c>
      <c r="V17" s="14"/>
      <c r="W17" s="15"/>
      <c r="X17" s="13"/>
      <c r="Y17" s="15"/>
      <c r="Z17" s="13"/>
      <c r="AA17" s="15"/>
      <c r="AB17" s="13"/>
      <c r="AC17" s="15"/>
      <c r="AD17" s="13"/>
      <c r="AE17" s="15"/>
      <c r="AF17" s="13"/>
      <c r="AG17" s="15"/>
      <c r="AH17" s="13"/>
      <c r="AI17" s="15"/>
      <c r="AJ17" s="13"/>
      <c r="AK17" s="15"/>
      <c r="AL17" s="13"/>
      <c r="AM17" s="15"/>
    </row>
    <row r="18" spans="1:39" ht="120" x14ac:dyDescent="0.25">
      <c r="A18" s="13" t="s">
        <v>86</v>
      </c>
      <c r="B18" s="13" t="s">
        <v>87</v>
      </c>
      <c r="C18" s="14">
        <v>43850.552083333336</v>
      </c>
      <c r="D18" s="13" t="s">
        <v>88</v>
      </c>
      <c r="E18" s="15" t="s">
        <v>89</v>
      </c>
      <c r="F18" s="13" t="s">
        <v>90</v>
      </c>
      <c r="G18" s="15" t="s">
        <v>91</v>
      </c>
      <c r="H18" s="13" t="s">
        <v>92</v>
      </c>
      <c r="I18" s="15" t="s">
        <v>93</v>
      </c>
      <c r="J18" s="15" t="s">
        <v>94</v>
      </c>
      <c r="K18" s="15" t="s">
        <v>95</v>
      </c>
      <c r="L18" s="13" t="s">
        <v>168</v>
      </c>
      <c r="M18" s="15" t="s">
        <v>169</v>
      </c>
      <c r="N18" s="13" t="s">
        <v>98</v>
      </c>
      <c r="O18" s="15" t="s">
        <v>170</v>
      </c>
      <c r="P18" s="15" t="s">
        <v>171</v>
      </c>
      <c r="Q18" s="15" t="s">
        <v>210</v>
      </c>
      <c r="R18" s="13" t="s">
        <v>211</v>
      </c>
      <c r="S18" s="13" t="s">
        <v>212</v>
      </c>
      <c r="T18" s="13" t="s">
        <v>104</v>
      </c>
      <c r="U18" s="14">
        <v>40725</v>
      </c>
      <c r="V18" s="14"/>
      <c r="W18" s="15"/>
      <c r="X18" s="13"/>
      <c r="Y18" s="15"/>
      <c r="Z18" s="13"/>
      <c r="AA18" s="15"/>
      <c r="AB18" s="13"/>
      <c r="AC18" s="15"/>
      <c r="AD18" s="13"/>
      <c r="AE18" s="15"/>
      <c r="AF18" s="13"/>
      <c r="AG18" s="15"/>
      <c r="AH18" s="13"/>
      <c r="AI18" s="15"/>
      <c r="AJ18" s="13"/>
      <c r="AK18" s="15"/>
      <c r="AL18" s="13"/>
      <c r="AM18" s="15"/>
    </row>
    <row r="19" spans="1:39" ht="120" x14ac:dyDescent="0.25">
      <c r="A19" s="13" t="s">
        <v>86</v>
      </c>
      <c r="B19" s="13" t="s">
        <v>87</v>
      </c>
      <c r="C19" s="14">
        <v>43850.552083333336</v>
      </c>
      <c r="D19" s="13" t="s">
        <v>88</v>
      </c>
      <c r="E19" s="15" t="s">
        <v>89</v>
      </c>
      <c r="F19" s="13" t="s">
        <v>90</v>
      </c>
      <c r="G19" s="15" t="s">
        <v>91</v>
      </c>
      <c r="H19" s="13" t="s">
        <v>92</v>
      </c>
      <c r="I19" s="15" t="s">
        <v>93</v>
      </c>
      <c r="J19" s="15" t="s">
        <v>94</v>
      </c>
      <c r="K19" s="15" t="s">
        <v>95</v>
      </c>
      <c r="L19" s="13" t="s">
        <v>186</v>
      </c>
      <c r="M19" s="15" t="s">
        <v>187</v>
      </c>
      <c r="N19" s="13" t="s">
        <v>188</v>
      </c>
      <c r="O19" s="15" t="s">
        <v>189</v>
      </c>
      <c r="P19" s="15" t="s">
        <v>190</v>
      </c>
      <c r="Q19" s="15" t="s">
        <v>210</v>
      </c>
      <c r="R19" s="13" t="s">
        <v>211</v>
      </c>
      <c r="S19" s="13" t="s">
        <v>212</v>
      </c>
      <c r="T19" s="13" t="s">
        <v>104</v>
      </c>
      <c r="U19" s="14">
        <v>40725</v>
      </c>
      <c r="V19" s="14"/>
      <c r="W19" s="15"/>
      <c r="X19" s="13"/>
      <c r="Y19" s="15"/>
      <c r="Z19" s="13"/>
      <c r="AA19" s="15"/>
      <c r="AB19" s="13"/>
      <c r="AC19" s="15"/>
      <c r="AD19" s="13"/>
      <c r="AE19" s="15"/>
      <c r="AF19" s="13"/>
      <c r="AG19" s="15"/>
      <c r="AH19" s="13"/>
      <c r="AI19" s="15"/>
      <c r="AJ19" s="13"/>
      <c r="AK19" s="15"/>
      <c r="AL19" s="13"/>
      <c r="AM19" s="15"/>
    </row>
    <row r="20" spans="1:39" ht="120" x14ac:dyDescent="0.25">
      <c r="A20" s="13" t="s">
        <v>86</v>
      </c>
      <c r="B20" s="13" t="s">
        <v>87</v>
      </c>
      <c r="C20" s="14">
        <v>43850.552083333336</v>
      </c>
      <c r="D20" s="13" t="s">
        <v>88</v>
      </c>
      <c r="E20" s="15" t="s">
        <v>89</v>
      </c>
      <c r="F20" s="13" t="s">
        <v>90</v>
      </c>
      <c r="G20" s="15" t="s">
        <v>91</v>
      </c>
      <c r="H20" s="13" t="s">
        <v>92</v>
      </c>
      <c r="I20" s="15" t="s">
        <v>93</v>
      </c>
      <c r="J20" s="15" t="s">
        <v>94</v>
      </c>
      <c r="K20" s="15" t="s">
        <v>95</v>
      </c>
      <c r="L20" s="13" t="s">
        <v>96</v>
      </c>
      <c r="M20" s="15" t="s">
        <v>97</v>
      </c>
      <c r="N20" s="13" t="s">
        <v>98</v>
      </c>
      <c r="O20" s="15" t="s">
        <v>99</v>
      </c>
      <c r="P20" s="15" t="s">
        <v>100</v>
      </c>
      <c r="Q20" s="15" t="s">
        <v>219</v>
      </c>
      <c r="R20" s="13" t="s">
        <v>220</v>
      </c>
      <c r="S20" s="13" t="s">
        <v>212</v>
      </c>
      <c r="T20" s="13" t="s">
        <v>104</v>
      </c>
      <c r="U20" s="14">
        <v>40725</v>
      </c>
      <c r="V20" s="14">
        <v>43830</v>
      </c>
      <c r="W20" s="15"/>
      <c r="X20" s="13"/>
      <c r="Y20" s="15"/>
      <c r="Z20" s="13"/>
      <c r="AA20" s="15"/>
      <c r="AB20" s="13"/>
      <c r="AC20" s="15"/>
      <c r="AD20" s="13"/>
      <c r="AE20" s="15"/>
      <c r="AF20" s="13"/>
      <c r="AG20" s="15"/>
      <c r="AH20" s="13"/>
      <c r="AI20" s="15"/>
      <c r="AJ20" s="13"/>
      <c r="AK20" s="15"/>
      <c r="AL20" s="13"/>
      <c r="AM20" s="15"/>
    </row>
    <row r="21" spans="1:39" ht="120" x14ac:dyDescent="0.25">
      <c r="A21" s="13" t="s">
        <v>86</v>
      </c>
      <c r="B21" s="13" t="s">
        <v>153</v>
      </c>
      <c r="C21" s="14">
        <v>44012.455555555556</v>
      </c>
      <c r="D21" s="13" t="s">
        <v>88</v>
      </c>
      <c r="E21" s="15" t="s">
        <v>89</v>
      </c>
      <c r="F21" s="13" t="s">
        <v>90</v>
      </c>
      <c r="G21" s="15" t="s">
        <v>91</v>
      </c>
      <c r="H21" s="13" t="s">
        <v>92</v>
      </c>
      <c r="I21" s="15" t="s">
        <v>93</v>
      </c>
      <c r="J21" s="15" t="s">
        <v>94</v>
      </c>
      <c r="K21" s="15" t="s">
        <v>95</v>
      </c>
      <c r="L21" s="13" t="s">
        <v>96</v>
      </c>
      <c r="M21" s="15" t="s">
        <v>97</v>
      </c>
      <c r="N21" s="13" t="s">
        <v>98</v>
      </c>
      <c r="O21" s="15" t="s">
        <v>99</v>
      </c>
      <c r="P21" s="15" t="s">
        <v>100</v>
      </c>
      <c r="Q21" s="15" t="s">
        <v>219</v>
      </c>
      <c r="R21" s="13" t="s">
        <v>220</v>
      </c>
      <c r="S21" s="13" t="s">
        <v>212</v>
      </c>
      <c r="T21" s="13" t="s">
        <v>104</v>
      </c>
      <c r="U21" s="14">
        <v>43831</v>
      </c>
      <c r="V21" s="14"/>
      <c r="W21" s="15"/>
      <c r="X21" s="13"/>
      <c r="Y21" s="15"/>
      <c r="Z21" s="13"/>
      <c r="AA21" s="15"/>
      <c r="AB21" s="13"/>
      <c r="AC21" s="15"/>
      <c r="AD21" s="13"/>
      <c r="AE21" s="15"/>
      <c r="AF21" s="13"/>
      <c r="AG21" s="15"/>
      <c r="AH21" s="13"/>
      <c r="AI21" s="15"/>
      <c r="AJ21" s="13"/>
      <c r="AK21" s="15"/>
      <c r="AL21" s="13"/>
      <c r="AM21" s="15"/>
    </row>
    <row r="22" spans="1:39" ht="120" x14ac:dyDescent="0.25">
      <c r="A22" s="13" t="s">
        <v>86</v>
      </c>
      <c r="B22" s="13" t="s">
        <v>87</v>
      </c>
      <c r="C22" s="14">
        <v>43850.552083333336</v>
      </c>
      <c r="D22" s="13" t="s">
        <v>88</v>
      </c>
      <c r="E22" s="15" t="s">
        <v>89</v>
      </c>
      <c r="F22" s="13" t="s">
        <v>90</v>
      </c>
      <c r="G22" s="15" t="s">
        <v>91</v>
      </c>
      <c r="H22" s="13" t="s">
        <v>92</v>
      </c>
      <c r="I22" s="15" t="s">
        <v>93</v>
      </c>
      <c r="J22" s="15" t="s">
        <v>94</v>
      </c>
      <c r="K22" s="15" t="s">
        <v>95</v>
      </c>
      <c r="L22" s="13" t="s">
        <v>168</v>
      </c>
      <c r="M22" s="15" t="s">
        <v>169</v>
      </c>
      <c r="N22" s="13" t="s">
        <v>98</v>
      </c>
      <c r="O22" s="15" t="s">
        <v>170</v>
      </c>
      <c r="P22" s="15" t="s">
        <v>171</v>
      </c>
      <c r="Q22" s="15" t="s">
        <v>219</v>
      </c>
      <c r="R22" s="13" t="s">
        <v>220</v>
      </c>
      <c r="S22" s="13" t="s">
        <v>212</v>
      </c>
      <c r="T22" s="13" t="s">
        <v>104</v>
      </c>
      <c r="U22" s="14">
        <v>40725</v>
      </c>
      <c r="V22" s="14"/>
      <c r="W22" s="15"/>
      <c r="X22" s="13"/>
      <c r="Y22" s="15"/>
      <c r="Z22" s="13"/>
      <c r="AA22" s="15"/>
      <c r="AB22" s="13"/>
      <c r="AC22" s="15"/>
      <c r="AD22" s="13"/>
      <c r="AE22" s="15"/>
      <c r="AF22" s="13"/>
      <c r="AG22" s="15"/>
      <c r="AH22" s="13"/>
      <c r="AI22" s="15"/>
      <c r="AJ22" s="13"/>
      <c r="AK22" s="15"/>
      <c r="AL22" s="13"/>
      <c r="AM22" s="15"/>
    </row>
    <row r="23" spans="1:39" ht="120" x14ac:dyDescent="0.25">
      <c r="A23" s="13" t="s">
        <v>86</v>
      </c>
      <c r="B23" s="13" t="s">
        <v>87</v>
      </c>
      <c r="C23" s="14">
        <v>43850.552083333336</v>
      </c>
      <c r="D23" s="13" t="s">
        <v>88</v>
      </c>
      <c r="E23" s="15" t="s">
        <v>89</v>
      </c>
      <c r="F23" s="13" t="s">
        <v>90</v>
      </c>
      <c r="G23" s="15" t="s">
        <v>91</v>
      </c>
      <c r="H23" s="13" t="s">
        <v>92</v>
      </c>
      <c r="I23" s="15" t="s">
        <v>93</v>
      </c>
      <c r="J23" s="15" t="s">
        <v>94</v>
      </c>
      <c r="K23" s="15" t="s">
        <v>95</v>
      </c>
      <c r="L23" s="13" t="s">
        <v>186</v>
      </c>
      <c r="M23" s="15" t="s">
        <v>187</v>
      </c>
      <c r="N23" s="13" t="s">
        <v>188</v>
      </c>
      <c r="O23" s="15" t="s">
        <v>189</v>
      </c>
      <c r="P23" s="15" t="s">
        <v>190</v>
      </c>
      <c r="Q23" s="15" t="s">
        <v>219</v>
      </c>
      <c r="R23" s="13" t="s">
        <v>220</v>
      </c>
      <c r="S23" s="13" t="s">
        <v>212</v>
      </c>
      <c r="T23" s="13" t="s">
        <v>104</v>
      </c>
      <c r="U23" s="14">
        <v>40725</v>
      </c>
      <c r="V23" s="14"/>
      <c r="W23" s="15"/>
      <c r="X23" s="13"/>
      <c r="Y23" s="15"/>
      <c r="Z23" s="13"/>
      <c r="AA23" s="15"/>
      <c r="AB23" s="13"/>
      <c r="AC23" s="15"/>
      <c r="AD23" s="13"/>
      <c r="AE23" s="15"/>
      <c r="AF23" s="13"/>
      <c r="AG23" s="15"/>
      <c r="AH23" s="13"/>
      <c r="AI23" s="15"/>
      <c r="AJ23" s="13"/>
      <c r="AK23" s="15"/>
      <c r="AL23" s="13"/>
      <c r="AM23" s="15"/>
    </row>
    <row r="24" spans="1:39" ht="165" x14ac:dyDescent="0.25">
      <c r="A24" s="13" t="s">
        <v>86</v>
      </c>
      <c r="B24" s="13" t="s">
        <v>87</v>
      </c>
      <c r="C24" s="14">
        <v>43850.552083333336</v>
      </c>
      <c r="D24" s="13" t="s">
        <v>88</v>
      </c>
      <c r="E24" s="15" t="s">
        <v>89</v>
      </c>
      <c r="F24" s="13" t="s">
        <v>90</v>
      </c>
      <c r="G24" s="15" t="s">
        <v>91</v>
      </c>
      <c r="H24" s="13" t="s">
        <v>229</v>
      </c>
      <c r="I24" s="15" t="s">
        <v>230</v>
      </c>
      <c r="J24" s="15" t="s">
        <v>231</v>
      </c>
      <c r="K24" s="15" t="s">
        <v>232</v>
      </c>
      <c r="L24" s="13" t="s">
        <v>233</v>
      </c>
      <c r="M24" s="15" t="s">
        <v>234</v>
      </c>
      <c r="N24" s="13" t="s">
        <v>98</v>
      </c>
      <c r="O24" s="15" t="s">
        <v>99</v>
      </c>
      <c r="P24" s="15" t="s">
        <v>100</v>
      </c>
      <c r="Q24" s="15" t="s">
        <v>101</v>
      </c>
      <c r="R24" s="13" t="s">
        <v>102</v>
      </c>
      <c r="S24" s="13" t="s">
        <v>103</v>
      </c>
      <c r="T24" s="13" t="s">
        <v>104</v>
      </c>
      <c r="U24" s="14">
        <v>40725</v>
      </c>
      <c r="V24" s="14">
        <v>43830</v>
      </c>
      <c r="W24" s="15" t="s">
        <v>700</v>
      </c>
      <c r="X24" s="13" t="s">
        <v>701</v>
      </c>
      <c r="Y24" s="15" t="str">
        <f>VLOOKUP(X24,'Axe 2 Règles de gestion'!$D$2:$F$121,3, FALSE)</f>
        <v>Rémunération : L'agent perçoit une rémunération statutaire et bénéficie du régime indemnitaire de son emploi d'accueil.</v>
      </c>
      <c r="Z24" s="13" t="s">
        <v>703</v>
      </c>
      <c r="AA24" s="15" t="str">
        <f>VLOOKUP(Z24,'Axe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4" s="13" t="s">
        <v>705</v>
      </c>
      <c r="AC24" s="15" t="str">
        <f>VLOOKUP(AB24,'Axe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4" s="13" t="s">
        <v>707</v>
      </c>
      <c r="AE24" s="15" t="str">
        <f>VLOOKUP(AD24,'Axe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4" s="13" t="s">
        <v>709</v>
      </c>
      <c r="AG24" s="15" t="str">
        <f>VLOOKUP(AF24,'Axe 2 Règles de gestion'!$D$2:$F$121,3, FALSE)</f>
        <v>Congés annuels : L'agent cumule des droits à congé.</v>
      </c>
      <c r="AH24" s="13" t="s">
        <v>711</v>
      </c>
      <c r="AI24" s="15" t="str">
        <f>VLOOKUP(AH24,'Axe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4" s="13" t="s">
        <v>713</v>
      </c>
      <c r="AK24" s="15" t="str">
        <f>VLOOKUP(AJ24,'Axe 2 Règles de gestion'!$D$2:$F$121,3, FALSE)</f>
        <v>Acte : Un acte administratif doit être produit.</v>
      </c>
      <c r="AL24" s="13"/>
      <c r="AM24" s="15"/>
    </row>
    <row r="25" spans="1:39" ht="165" x14ac:dyDescent="0.25">
      <c r="A25" s="13" t="s">
        <v>152</v>
      </c>
      <c r="B25" s="13" t="s">
        <v>153</v>
      </c>
      <c r="C25" s="14">
        <v>45807.451388888891</v>
      </c>
      <c r="D25" s="13" t="s">
        <v>88</v>
      </c>
      <c r="E25" s="15" t="s">
        <v>89</v>
      </c>
      <c r="F25" s="13" t="s">
        <v>90</v>
      </c>
      <c r="G25" s="15" t="s">
        <v>91</v>
      </c>
      <c r="H25" s="13" t="s">
        <v>229</v>
      </c>
      <c r="I25" s="15" t="s">
        <v>230</v>
      </c>
      <c r="J25" s="15" t="s">
        <v>231</v>
      </c>
      <c r="K25" s="15" t="s">
        <v>232</v>
      </c>
      <c r="L25" s="13" t="s">
        <v>233</v>
      </c>
      <c r="M25" s="15" t="s">
        <v>234</v>
      </c>
      <c r="N25" s="13" t="s">
        <v>98</v>
      </c>
      <c r="O25" s="15" t="s">
        <v>99</v>
      </c>
      <c r="P25" s="15" t="s">
        <v>100</v>
      </c>
      <c r="Q25" s="15" t="s">
        <v>101</v>
      </c>
      <c r="R25" s="13" t="s">
        <v>102</v>
      </c>
      <c r="S25" s="13" t="s">
        <v>103</v>
      </c>
      <c r="T25" s="13" t="s">
        <v>104</v>
      </c>
      <c r="U25" s="14">
        <v>43831</v>
      </c>
      <c r="V25" s="14"/>
      <c r="W25" s="15" t="s">
        <v>700</v>
      </c>
      <c r="X25" s="13" t="s">
        <v>701</v>
      </c>
      <c r="Y25" s="15" t="str">
        <f>VLOOKUP(X25,'Axe 2 Règles de gestion'!$D$2:$F$121,3, FALSE)</f>
        <v>Rémunération : L'agent perçoit une rémunération statutaire et bénéficie du régime indemnitaire de son emploi d'accueil.</v>
      </c>
      <c r="Z25" s="13" t="s">
        <v>703</v>
      </c>
      <c r="AA25" s="15" t="str">
        <f>VLOOKUP(Z25,'Axe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5" s="13" t="s">
        <v>705</v>
      </c>
      <c r="AC25" s="15" t="str">
        <f>VLOOKUP(AB25,'Axe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5" s="13" t="s">
        <v>707</v>
      </c>
      <c r="AE25" s="15" t="str">
        <f>VLOOKUP(AD25,'Axe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5" s="13" t="s">
        <v>709</v>
      </c>
      <c r="AG25" s="15" t="str">
        <f>VLOOKUP(AF25,'Axe 2 Règles de gestion'!$D$2:$F$121,3, FALSE)</f>
        <v>Congés annuels : L'agent cumule des droits à congé.</v>
      </c>
      <c r="AH25" s="13" t="s">
        <v>711</v>
      </c>
      <c r="AI25" s="15" t="str">
        <f>VLOOKUP(AH25,'Axe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5" s="13" t="s">
        <v>713</v>
      </c>
      <c r="AK25" s="15" t="str">
        <f>VLOOKUP(AJ25,'Axe 2 Règles de gestion'!$D$2:$F$121,3, FALSE)</f>
        <v>Acte : Un acte administratif doit être produit.</v>
      </c>
      <c r="AL25" s="13"/>
      <c r="AM25" s="15"/>
    </row>
    <row r="26" spans="1:39" ht="165" x14ac:dyDescent="0.25">
      <c r="A26" s="13" t="s">
        <v>167</v>
      </c>
      <c r="B26" s="13" t="s">
        <v>87</v>
      </c>
      <c r="C26" s="14">
        <v>43850.552083333336</v>
      </c>
      <c r="D26" s="13" t="s">
        <v>88</v>
      </c>
      <c r="E26" s="15" t="s">
        <v>89</v>
      </c>
      <c r="F26" s="13" t="s">
        <v>90</v>
      </c>
      <c r="G26" s="15" t="s">
        <v>91</v>
      </c>
      <c r="H26" s="13" t="s">
        <v>229</v>
      </c>
      <c r="I26" s="15" t="s">
        <v>230</v>
      </c>
      <c r="J26" s="15" t="s">
        <v>231</v>
      </c>
      <c r="K26" s="15" t="s">
        <v>232</v>
      </c>
      <c r="L26" s="13" t="s">
        <v>235</v>
      </c>
      <c r="M26" s="15" t="s">
        <v>236</v>
      </c>
      <c r="N26" s="13" t="s">
        <v>98</v>
      </c>
      <c r="O26" s="15" t="s">
        <v>170</v>
      </c>
      <c r="P26" s="15" t="s">
        <v>171</v>
      </c>
      <c r="Q26" s="15" t="s">
        <v>101</v>
      </c>
      <c r="R26" s="13" t="s">
        <v>102</v>
      </c>
      <c r="S26" s="13" t="s">
        <v>103</v>
      </c>
      <c r="T26" s="13" t="s">
        <v>104</v>
      </c>
      <c r="U26" s="14">
        <v>40725</v>
      </c>
      <c r="V26" s="14">
        <v>43830</v>
      </c>
      <c r="W26" s="15" t="s">
        <v>700</v>
      </c>
      <c r="X26" s="13" t="s">
        <v>701</v>
      </c>
      <c r="Y26" s="15" t="str">
        <f>VLOOKUP(X26,'Axe 2 Règles de gestion'!$D$2:$F$121,3, FALSE)</f>
        <v>Rémunération : L'agent perçoit une rémunération statutaire et bénéficie du régime indemnitaire de son emploi d'accueil.</v>
      </c>
      <c r="Z26" s="13" t="s">
        <v>703</v>
      </c>
      <c r="AA26" s="15" t="str">
        <f>VLOOKUP(Z26,'Axe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6" s="13" t="s">
        <v>705</v>
      </c>
      <c r="AC26" s="15" t="str">
        <f>VLOOKUP(AB26,'Axe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6" s="13" t="s">
        <v>707</v>
      </c>
      <c r="AE26" s="15" t="str">
        <f>VLOOKUP(AD26,'Axe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6" s="13" t="s">
        <v>709</v>
      </c>
      <c r="AG26" s="15" t="str">
        <f>VLOOKUP(AF26,'Axe 2 Règles de gestion'!$D$2:$F$121,3, FALSE)</f>
        <v>Congés annuels : L'agent cumule des droits à congé.</v>
      </c>
      <c r="AH26" s="13" t="s">
        <v>711</v>
      </c>
      <c r="AI26" s="15" t="str">
        <f>VLOOKUP(AH26,'Axe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6" s="13" t="s">
        <v>713</v>
      </c>
      <c r="AK26" s="15" t="str">
        <f>VLOOKUP(AJ26,'Axe 2 Règles de gestion'!$D$2:$F$121,3, FALSE)</f>
        <v>Acte : Un acte administratif doit être produit.</v>
      </c>
      <c r="AL26" s="13"/>
      <c r="AM26" s="15"/>
    </row>
    <row r="27" spans="1:39" ht="135" x14ac:dyDescent="0.25">
      <c r="A27" s="13" t="s">
        <v>167</v>
      </c>
      <c r="B27" s="13" t="s">
        <v>153</v>
      </c>
      <c r="C27" s="14">
        <v>44071.427083333336</v>
      </c>
      <c r="D27" s="13" t="s">
        <v>88</v>
      </c>
      <c r="E27" s="15" t="s">
        <v>89</v>
      </c>
      <c r="F27" s="13" t="s">
        <v>90</v>
      </c>
      <c r="G27" s="15" t="s">
        <v>91</v>
      </c>
      <c r="H27" s="13" t="s">
        <v>229</v>
      </c>
      <c r="I27" s="15" t="s">
        <v>230</v>
      </c>
      <c r="J27" s="15" t="s">
        <v>231</v>
      </c>
      <c r="K27" s="15" t="s">
        <v>232</v>
      </c>
      <c r="L27" s="13" t="s">
        <v>235</v>
      </c>
      <c r="M27" s="15" t="s">
        <v>236</v>
      </c>
      <c r="N27" s="13" t="s">
        <v>98</v>
      </c>
      <c r="O27" s="15" t="s">
        <v>170</v>
      </c>
      <c r="P27" s="15" t="s">
        <v>171</v>
      </c>
      <c r="Q27" s="15" t="s">
        <v>101</v>
      </c>
      <c r="R27" s="13" t="s">
        <v>102</v>
      </c>
      <c r="S27" s="13" t="s">
        <v>103</v>
      </c>
      <c r="T27" s="13" t="s">
        <v>104</v>
      </c>
      <c r="U27" s="14">
        <v>43831</v>
      </c>
      <c r="V27" s="14"/>
      <c r="W27" s="15"/>
      <c r="X27" s="13"/>
      <c r="Y27" s="15"/>
      <c r="Z27" s="13"/>
      <c r="AA27" s="15"/>
      <c r="AB27" s="13"/>
      <c r="AC27" s="15"/>
      <c r="AD27" s="13"/>
      <c r="AE27" s="15"/>
      <c r="AF27" s="13"/>
      <c r="AG27" s="15"/>
      <c r="AH27" s="13"/>
      <c r="AI27" s="15"/>
      <c r="AJ27" s="13"/>
      <c r="AK27" s="15"/>
      <c r="AL27" s="13"/>
      <c r="AM27" s="15"/>
    </row>
    <row r="28" spans="1:39" ht="135" x14ac:dyDescent="0.25">
      <c r="A28" s="13" t="s">
        <v>86</v>
      </c>
      <c r="B28" s="13" t="s">
        <v>87</v>
      </c>
      <c r="C28" s="14">
        <v>43850.552083333336</v>
      </c>
      <c r="D28" s="13" t="s">
        <v>88</v>
      </c>
      <c r="E28" s="15" t="s">
        <v>89</v>
      </c>
      <c r="F28" s="13" t="s">
        <v>90</v>
      </c>
      <c r="G28" s="15" t="s">
        <v>91</v>
      </c>
      <c r="H28" s="13" t="s">
        <v>229</v>
      </c>
      <c r="I28" s="15" t="s">
        <v>230</v>
      </c>
      <c r="J28" s="15" t="s">
        <v>231</v>
      </c>
      <c r="K28" s="15" t="s">
        <v>232</v>
      </c>
      <c r="L28" s="13" t="s">
        <v>237</v>
      </c>
      <c r="M28" s="15" t="s">
        <v>238</v>
      </c>
      <c r="N28" s="13" t="s">
        <v>188</v>
      </c>
      <c r="O28" s="15" t="s">
        <v>189</v>
      </c>
      <c r="P28" s="15" t="s">
        <v>190</v>
      </c>
      <c r="Q28" s="15" t="s">
        <v>101</v>
      </c>
      <c r="R28" s="13" t="s">
        <v>102</v>
      </c>
      <c r="S28" s="13" t="s">
        <v>103</v>
      </c>
      <c r="T28" s="13" t="s">
        <v>104</v>
      </c>
      <c r="U28" s="14">
        <v>40725</v>
      </c>
      <c r="V28" s="14"/>
      <c r="W28" s="15"/>
      <c r="X28" s="13"/>
      <c r="Y28" s="15"/>
      <c r="Z28" s="13"/>
      <c r="AA28" s="15"/>
      <c r="AB28" s="13"/>
      <c r="AC28" s="15"/>
      <c r="AD28" s="13"/>
      <c r="AE28" s="15"/>
      <c r="AF28" s="13"/>
      <c r="AG28" s="15"/>
      <c r="AH28" s="13"/>
      <c r="AI28" s="15"/>
      <c r="AJ28" s="13"/>
      <c r="AK28" s="15"/>
      <c r="AL28" s="13"/>
      <c r="AM28" s="15"/>
    </row>
    <row r="29" spans="1:39" ht="135" x14ac:dyDescent="0.25">
      <c r="A29" s="13" t="s">
        <v>202</v>
      </c>
      <c r="B29" s="13" t="s">
        <v>153</v>
      </c>
      <c r="C29" s="14">
        <v>43152.5</v>
      </c>
      <c r="D29" s="13" t="s">
        <v>88</v>
      </c>
      <c r="E29" s="15" t="s">
        <v>89</v>
      </c>
      <c r="F29" s="13" t="s">
        <v>90</v>
      </c>
      <c r="G29" s="15" t="s">
        <v>91</v>
      </c>
      <c r="H29" s="13" t="s">
        <v>229</v>
      </c>
      <c r="I29" s="15" t="s">
        <v>230</v>
      </c>
      <c r="J29" s="15" t="s">
        <v>231</v>
      </c>
      <c r="K29" s="15" t="s">
        <v>232</v>
      </c>
      <c r="L29" s="13" t="s">
        <v>233</v>
      </c>
      <c r="M29" s="15" t="s">
        <v>234</v>
      </c>
      <c r="N29" s="13" t="s">
        <v>98</v>
      </c>
      <c r="O29" s="15" t="s">
        <v>99</v>
      </c>
      <c r="P29" s="15" t="s">
        <v>100</v>
      </c>
      <c r="Q29" s="15" t="s">
        <v>203</v>
      </c>
      <c r="R29" s="13" t="s">
        <v>204</v>
      </c>
      <c r="S29" s="13" t="s">
        <v>103</v>
      </c>
      <c r="T29" s="13" t="s">
        <v>205</v>
      </c>
      <c r="U29" s="14">
        <v>40725</v>
      </c>
      <c r="V29" s="14"/>
      <c r="W29" s="15"/>
      <c r="X29" s="13"/>
      <c r="Y29" s="15"/>
      <c r="Z29" s="13"/>
      <c r="AA29" s="15"/>
      <c r="AB29" s="13"/>
      <c r="AC29" s="15"/>
      <c r="AD29" s="13"/>
      <c r="AE29" s="15"/>
      <c r="AF29" s="13"/>
      <c r="AG29" s="15"/>
      <c r="AH29" s="13"/>
      <c r="AI29" s="15"/>
      <c r="AJ29" s="13"/>
      <c r="AK29" s="15"/>
      <c r="AL29" s="13"/>
      <c r="AM29" s="15"/>
    </row>
    <row r="30" spans="1:39" ht="135" x14ac:dyDescent="0.25">
      <c r="A30" s="13" t="s">
        <v>202</v>
      </c>
      <c r="B30" s="13" t="s">
        <v>153</v>
      </c>
      <c r="C30" s="14">
        <v>43152.5</v>
      </c>
      <c r="D30" s="13" t="s">
        <v>88</v>
      </c>
      <c r="E30" s="15" t="s">
        <v>89</v>
      </c>
      <c r="F30" s="13" t="s">
        <v>90</v>
      </c>
      <c r="G30" s="15" t="s">
        <v>91</v>
      </c>
      <c r="H30" s="13" t="s">
        <v>229</v>
      </c>
      <c r="I30" s="15" t="s">
        <v>230</v>
      </c>
      <c r="J30" s="15" t="s">
        <v>231</v>
      </c>
      <c r="K30" s="15" t="s">
        <v>232</v>
      </c>
      <c r="L30" s="13" t="s">
        <v>235</v>
      </c>
      <c r="M30" s="15" t="s">
        <v>236</v>
      </c>
      <c r="N30" s="13" t="s">
        <v>98</v>
      </c>
      <c r="O30" s="15" t="s">
        <v>170</v>
      </c>
      <c r="P30" s="15" t="s">
        <v>171</v>
      </c>
      <c r="Q30" s="15" t="s">
        <v>203</v>
      </c>
      <c r="R30" s="13" t="s">
        <v>204</v>
      </c>
      <c r="S30" s="13" t="s">
        <v>103</v>
      </c>
      <c r="T30" s="13" t="s">
        <v>205</v>
      </c>
      <c r="U30" s="14">
        <v>40725</v>
      </c>
      <c r="V30" s="14"/>
      <c r="W30" s="15"/>
      <c r="X30" s="13"/>
      <c r="Y30" s="15"/>
      <c r="Z30" s="13"/>
      <c r="AA30" s="15"/>
      <c r="AB30" s="13"/>
      <c r="AC30" s="15"/>
      <c r="AD30" s="13"/>
      <c r="AE30" s="15"/>
      <c r="AF30" s="13"/>
      <c r="AG30" s="15"/>
      <c r="AH30" s="13"/>
      <c r="AI30" s="15"/>
      <c r="AJ30" s="13"/>
      <c r="AK30" s="15"/>
      <c r="AL30" s="13"/>
      <c r="AM30" s="15"/>
    </row>
    <row r="31" spans="1:39" ht="135" x14ac:dyDescent="0.25">
      <c r="A31" s="13" t="s">
        <v>202</v>
      </c>
      <c r="B31" s="13" t="s">
        <v>153</v>
      </c>
      <c r="C31" s="14">
        <v>43152.5</v>
      </c>
      <c r="D31" s="13" t="s">
        <v>88</v>
      </c>
      <c r="E31" s="15" t="s">
        <v>89</v>
      </c>
      <c r="F31" s="13" t="s">
        <v>90</v>
      </c>
      <c r="G31" s="15" t="s">
        <v>91</v>
      </c>
      <c r="H31" s="13" t="s">
        <v>229</v>
      </c>
      <c r="I31" s="15" t="s">
        <v>230</v>
      </c>
      <c r="J31" s="15" t="s">
        <v>231</v>
      </c>
      <c r="K31" s="15" t="s">
        <v>232</v>
      </c>
      <c r="L31" s="13" t="s">
        <v>237</v>
      </c>
      <c r="M31" s="15" t="s">
        <v>238</v>
      </c>
      <c r="N31" s="13" t="s">
        <v>188</v>
      </c>
      <c r="O31" s="15" t="s">
        <v>189</v>
      </c>
      <c r="P31" s="15" t="s">
        <v>190</v>
      </c>
      <c r="Q31" s="15" t="s">
        <v>203</v>
      </c>
      <c r="R31" s="13" t="s">
        <v>204</v>
      </c>
      <c r="S31" s="13" t="s">
        <v>103</v>
      </c>
      <c r="T31" s="13" t="s">
        <v>205</v>
      </c>
      <c r="U31" s="14">
        <v>40725</v>
      </c>
      <c r="V31" s="14"/>
      <c r="W31" s="15"/>
      <c r="X31" s="13"/>
      <c r="Y31" s="15"/>
      <c r="Z31" s="13"/>
      <c r="AA31" s="15"/>
      <c r="AB31" s="13"/>
      <c r="AC31" s="15"/>
      <c r="AD31" s="13"/>
      <c r="AE31" s="15"/>
      <c r="AF31" s="13"/>
      <c r="AG31" s="15"/>
      <c r="AH31" s="13"/>
      <c r="AI31" s="15"/>
      <c r="AJ31" s="13"/>
      <c r="AK31" s="15"/>
      <c r="AL31" s="13"/>
      <c r="AM31" s="15"/>
    </row>
    <row r="32" spans="1:39" ht="135" x14ac:dyDescent="0.25">
      <c r="A32" s="13" t="s">
        <v>202</v>
      </c>
      <c r="B32" s="13" t="s">
        <v>153</v>
      </c>
      <c r="C32" s="14">
        <v>43152.5</v>
      </c>
      <c r="D32" s="13" t="s">
        <v>88</v>
      </c>
      <c r="E32" s="15" t="s">
        <v>89</v>
      </c>
      <c r="F32" s="13" t="s">
        <v>90</v>
      </c>
      <c r="G32" s="15" t="s">
        <v>91</v>
      </c>
      <c r="H32" s="13" t="s">
        <v>229</v>
      </c>
      <c r="I32" s="15" t="s">
        <v>230</v>
      </c>
      <c r="J32" s="15" t="s">
        <v>231</v>
      </c>
      <c r="K32" s="15" t="s">
        <v>232</v>
      </c>
      <c r="L32" s="13" t="s">
        <v>233</v>
      </c>
      <c r="M32" s="15" t="s">
        <v>234</v>
      </c>
      <c r="N32" s="13" t="s">
        <v>98</v>
      </c>
      <c r="O32" s="15" t="s">
        <v>99</v>
      </c>
      <c r="P32" s="15" t="s">
        <v>100</v>
      </c>
      <c r="Q32" s="15" t="s">
        <v>206</v>
      </c>
      <c r="R32" s="13" t="s">
        <v>207</v>
      </c>
      <c r="S32" s="13" t="s">
        <v>103</v>
      </c>
      <c r="T32" s="13" t="s">
        <v>205</v>
      </c>
      <c r="U32" s="14">
        <v>40725</v>
      </c>
      <c r="V32" s="14"/>
      <c r="W32" s="15"/>
      <c r="X32" s="13"/>
      <c r="Y32" s="15"/>
      <c r="Z32" s="13"/>
      <c r="AA32" s="15"/>
      <c r="AB32" s="13"/>
      <c r="AC32" s="15"/>
      <c r="AD32" s="13"/>
      <c r="AE32" s="15"/>
      <c r="AF32" s="13"/>
      <c r="AG32" s="15"/>
      <c r="AH32" s="13"/>
      <c r="AI32" s="15"/>
      <c r="AJ32" s="13"/>
      <c r="AK32" s="15"/>
      <c r="AL32" s="13"/>
      <c r="AM32" s="15"/>
    </row>
    <row r="33" spans="1:39" ht="135" x14ac:dyDescent="0.25">
      <c r="A33" s="13" t="s">
        <v>202</v>
      </c>
      <c r="B33" s="13" t="s">
        <v>153</v>
      </c>
      <c r="C33" s="14">
        <v>43152.5</v>
      </c>
      <c r="D33" s="13" t="s">
        <v>88</v>
      </c>
      <c r="E33" s="15" t="s">
        <v>89</v>
      </c>
      <c r="F33" s="13" t="s">
        <v>90</v>
      </c>
      <c r="G33" s="15" t="s">
        <v>91</v>
      </c>
      <c r="H33" s="13" t="s">
        <v>229</v>
      </c>
      <c r="I33" s="15" t="s">
        <v>230</v>
      </c>
      <c r="J33" s="15" t="s">
        <v>231</v>
      </c>
      <c r="K33" s="15" t="s">
        <v>232</v>
      </c>
      <c r="L33" s="13" t="s">
        <v>235</v>
      </c>
      <c r="M33" s="15" t="s">
        <v>236</v>
      </c>
      <c r="N33" s="13" t="s">
        <v>98</v>
      </c>
      <c r="O33" s="15" t="s">
        <v>170</v>
      </c>
      <c r="P33" s="15" t="s">
        <v>171</v>
      </c>
      <c r="Q33" s="15" t="s">
        <v>206</v>
      </c>
      <c r="R33" s="13" t="s">
        <v>207</v>
      </c>
      <c r="S33" s="13" t="s">
        <v>103</v>
      </c>
      <c r="T33" s="13" t="s">
        <v>205</v>
      </c>
      <c r="U33" s="14">
        <v>40725</v>
      </c>
      <c r="V33" s="14"/>
      <c r="W33" s="15"/>
      <c r="X33" s="13"/>
      <c r="Y33" s="15"/>
      <c r="Z33" s="13"/>
      <c r="AA33" s="15"/>
      <c r="AB33" s="13"/>
      <c r="AC33" s="15"/>
      <c r="AD33" s="13"/>
      <c r="AE33" s="15"/>
      <c r="AF33" s="13"/>
      <c r="AG33" s="15"/>
      <c r="AH33" s="13"/>
      <c r="AI33" s="15"/>
      <c r="AJ33" s="13"/>
      <c r="AK33" s="15"/>
      <c r="AL33" s="13"/>
      <c r="AM33" s="15"/>
    </row>
    <row r="34" spans="1:39" ht="135" x14ac:dyDescent="0.25">
      <c r="A34" s="13" t="s">
        <v>202</v>
      </c>
      <c r="B34" s="13" t="s">
        <v>153</v>
      </c>
      <c r="C34" s="14">
        <v>43152.5</v>
      </c>
      <c r="D34" s="13" t="s">
        <v>88</v>
      </c>
      <c r="E34" s="15" t="s">
        <v>89</v>
      </c>
      <c r="F34" s="13" t="s">
        <v>90</v>
      </c>
      <c r="G34" s="15" t="s">
        <v>91</v>
      </c>
      <c r="H34" s="13" t="s">
        <v>229</v>
      </c>
      <c r="I34" s="15" t="s">
        <v>230</v>
      </c>
      <c r="J34" s="15" t="s">
        <v>231</v>
      </c>
      <c r="K34" s="15" t="s">
        <v>232</v>
      </c>
      <c r="L34" s="13" t="s">
        <v>237</v>
      </c>
      <c r="M34" s="15" t="s">
        <v>238</v>
      </c>
      <c r="N34" s="13" t="s">
        <v>188</v>
      </c>
      <c r="O34" s="15" t="s">
        <v>189</v>
      </c>
      <c r="P34" s="15" t="s">
        <v>190</v>
      </c>
      <c r="Q34" s="15" t="s">
        <v>206</v>
      </c>
      <c r="R34" s="13" t="s">
        <v>207</v>
      </c>
      <c r="S34" s="13" t="s">
        <v>103</v>
      </c>
      <c r="T34" s="13" t="s">
        <v>205</v>
      </c>
      <c r="U34" s="14">
        <v>40725</v>
      </c>
      <c r="V34" s="14"/>
      <c r="W34" s="15"/>
      <c r="X34" s="13"/>
      <c r="Y34" s="15"/>
      <c r="Z34" s="13"/>
      <c r="AA34" s="15"/>
      <c r="AB34" s="13"/>
      <c r="AC34" s="15"/>
      <c r="AD34" s="13"/>
      <c r="AE34" s="15"/>
      <c r="AF34" s="13"/>
      <c r="AG34" s="15"/>
      <c r="AH34" s="13"/>
      <c r="AI34" s="15"/>
      <c r="AJ34" s="13"/>
      <c r="AK34" s="15"/>
      <c r="AL34" s="13"/>
      <c r="AM34" s="15"/>
    </row>
    <row r="35" spans="1:39" ht="135" x14ac:dyDescent="0.25">
      <c r="A35" s="13" t="s">
        <v>202</v>
      </c>
      <c r="B35" s="13" t="s">
        <v>153</v>
      </c>
      <c r="C35" s="14">
        <v>43152.5</v>
      </c>
      <c r="D35" s="13" t="s">
        <v>88</v>
      </c>
      <c r="E35" s="15" t="s">
        <v>89</v>
      </c>
      <c r="F35" s="13" t="s">
        <v>90</v>
      </c>
      <c r="G35" s="15" t="s">
        <v>91</v>
      </c>
      <c r="H35" s="13" t="s">
        <v>229</v>
      </c>
      <c r="I35" s="15" t="s">
        <v>230</v>
      </c>
      <c r="J35" s="15" t="s">
        <v>231</v>
      </c>
      <c r="K35" s="15" t="s">
        <v>232</v>
      </c>
      <c r="L35" s="13" t="s">
        <v>233</v>
      </c>
      <c r="M35" s="15" t="s">
        <v>234</v>
      </c>
      <c r="N35" s="13" t="s">
        <v>98</v>
      </c>
      <c r="O35" s="15" t="s">
        <v>99</v>
      </c>
      <c r="P35" s="15" t="s">
        <v>100</v>
      </c>
      <c r="Q35" s="15" t="s">
        <v>208</v>
      </c>
      <c r="R35" s="13" t="s">
        <v>209</v>
      </c>
      <c r="S35" s="13" t="s">
        <v>103</v>
      </c>
      <c r="T35" s="13" t="s">
        <v>205</v>
      </c>
      <c r="U35" s="14">
        <v>40725</v>
      </c>
      <c r="V35" s="14"/>
      <c r="W35" s="15"/>
      <c r="X35" s="13"/>
      <c r="Y35" s="15"/>
      <c r="Z35" s="13"/>
      <c r="AA35" s="15"/>
      <c r="AB35" s="13"/>
      <c r="AC35" s="15"/>
      <c r="AD35" s="13"/>
      <c r="AE35" s="15"/>
      <c r="AF35" s="13"/>
      <c r="AG35" s="15"/>
      <c r="AH35" s="13"/>
      <c r="AI35" s="15"/>
      <c r="AJ35" s="13"/>
      <c r="AK35" s="15"/>
      <c r="AL35" s="13"/>
      <c r="AM35" s="15"/>
    </row>
    <row r="36" spans="1:39" ht="135" x14ac:dyDescent="0.25">
      <c r="A36" s="13" t="s">
        <v>202</v>
      </c>
      <c r="B36" s="13" t="s">
        <v>153</v>
      </c>
      <c r="C36" s="14">
        <v>43152.5</v>
      </c>
      <c r="D36" s="13" t="s">
        <v>88</v>
      </c>
      <c r="E36" s="15" t="s">
        <v>89</v>
      </c>
      <c r="F36" s="13" t="s">
        <v>90</v>
      </c>
      <c r="G36" s="15" t="s">
        <v>91</v>
      </c>
      <c r="H36" s="13" t="s">
        <v>229</v>
      </c>
      <c r="I36" s="15" t="s">
        <v>230</v>
      </c>
      <c r="J36" s="15" t="s">
        <v>231</v>
      </c>
      <c r="K36" s="15" t="s">
        <v>232</v>
      </c>
      <c r="L36" s="13" t="s">
        <v>235</v>
      </c>
      <c r="M36" s="15" t="s">
        <v>236</v>
      </c>
      <c r="N36" s="13" t="s">
        <v>98</v>
      </c>
      <c r="O36" s="15" t="s">
        <v>170</v>
      </c>
      <c r="P36" s="15" t="s">
        <v>171</v>
      </c>
      <c r="Q36" s="15" t="s">
        <v>208</v>
      </c>
      <c r="R36" s="13" t="s">
        <v>209</v>
      </c>
      <c r="S36" s="13" t="s">
        <v>103</v>
      </c>
      <c r="T36" s="13" t="s">
        <v>205</v>
      </c>
      <c r="U36" s="14">
        <v>40725</v>
      </c>
      <c r="V36" s="14"/>
      <c r="W36" s="15"/>
      <c r="X36" s="13"/>
      <c r="Y36" s="15"/>
      <c r="Z36" s="13"/>
      <c r="AA36" s="15"/>
      <c r="AB36" s="13"/>
      <c r="AC36" s="15"/>
      <c r="AD36" s="13"/>
      <c r="AE36" s="15"/>
      <c r="AF36" s="13"/>
      <c r="AG36" s="15"/>
      <c r="AH36" s="13"/>
      <c r="AI36" s="15"/>
      <c r="AJ36" s="13"/>
      <c r="AK36" s="15"/>
      <c r="AL36" s="13"/>
      <c r="AM36" s="15"/>
    </row>
    <row r="37" spans="1:39" ht="135" x14ac:dyDescent="0.25">
      <c r="A37" s="13" t="s">
        <v>202</v>
      </c>
      <c r="B37" s="13" t="s">
        <v>153</v>
      </c>
      <c r="C37" s="14">
        <v>43152.5</v>
      </c>
      <c r="D37" s="13" t="s">
        <v>88</v>
      </c>
      <c r="E37" s="15" t="s">
        <v>89</v>
      </c>
      <c r="F37" s="13" t="s">
        <v>90</v>
      </c>
      <c r="G37" s="15" t="s">
        <v>91</v>
      </c>
      <c r="H37" s="13" t="s">
        <v>229</v>
      </c>
      <c r="I37" s="15" t="s">
        <v>230</v>
      </c>
      <c r="J37" s="15" t="s">
        <v>231</v>
      </c>
      <c r="K37" s="15" t="s">
        <v>232</v>
      </c>
      <c r="L37" s="13" t="s">
        <v>237</v>
      </c>
      <c r="M37" s="15" t="s">
        <v>238</v>
      </c>
      <c r="N37" s="13" t="s">
        <v>188</v>
      </c>
      <c r="O37" s="15" t="s">
        <v>189</v>
      </c>
      <c r="P37" s="15" t="s">
        <v>190</v>
      </c>
      <c r="Q37" s="15" t="s">
        <v>208</v>
      </c>
      <c r="R37" s="13" t="s">
        <v>209</v>
      </c>
      <c r="S37" s="13" t="s">
        <v>103</v>
      </c>
      <c r="T37" s="13" t="s">
        <v>205</v>
      </c>
      <c r="U37" s="14">
        <v>40725</v>
      </c>
      <c r="V37" s="14"/>
      <c r="W37" s="15"/>
      <c r="X37" s="13"/>
      <c r="Y37" s="15"/>
      <c r="Z37" s="13"/>
      <c r="AA37" s="15"/>
      <c r="AB37" s="13"/>
      <c r="AC37" s="15"/>
      <c r="AD37" s="13"/>
      <c r="AE37" s="15"/>
      <c r="AF37" s="13"/>
      <c r="AG37" s="15"/>
      <c r="AH37" s="13"/>
      <c r="AI37" s="15"/>
      <c r="AJ37" s="13"/>
      <c r="AK37" s="15"/>
      <c r="AL37" s="13"/>
      <c r="AM37" s="15"/>
    </row>
    <row r="38" spans="1:39" ht="135" x14ac:dyDescent="0.25">
      <c r="A38" s="13" t="s">
        <v>86</v>
      </c>
      <c r="B38" s="13" t="s">
        <v>87</v>
      </c>
      <c r="C38" s="14">
        <v>43850.552083333336</v>
      </c>
      <c r="D38" s="13" t="s">
        <v>88</v>
      </c>
      <c r="E38" s="15" t="s">
        <v>89</v>
      </c>
      <c r="F38" s="13" t="s">
        <v>90</v>
      </c>
      <c r="G38" s="15" t="s">
        <v>91</v>
      </c>
      <c r="H38" s="13" t="s">
        <v>229</v>
      </c>
      <c r="I38" s="15" t="s">
        <v>230</v>
      </c>
      <c r="J38" s="15" t="s">
        <v>231</v>
      </c>
      <c r="K38" s="15" t="s">
        <v>232</v>
      </c>
      <c r="L38" s="13" t="s">
        <v>233</v>
      </c>
      <c r="M38" s="15" t="s">
        <v>234</v>
      </c>
      <c r="N38" s="13" t="s">
        <v>98</v>
      </c>
      <c r="O38" s="15" t="s">
        <v>99</v>
      </c>
      <c r="P38" s="15" t="s">
        <v>100</v>
      </c>
      <c r="Q38" s="15" t="s">
        <v>219</v>
      </c>
      <c r="R38" s="13" t="s">
        <v>220</v>
      </c>
      <c r="S38" s="13" t="s">
        <v>212</v>
      </c>
      <c r="T38" s="13" t="s">
        <v>104</v>
      </c>
      <c r="U38" s="14">
        <v>40725</v>
      </c>
      <c r="V38" s="14">
        <v>43830</v>
      </c>
      <c r="W38" s="15"/>
      <c r="X38" s="13"/>
      <c r="Y38" s="15"/>
      <c r="Z38" s="13"/>
      <c r="AA38" s="15"/>
      <c r="AB38" s="13"/>
      <c r="AC38" s="15"/>
      <c r="AD38" s="13"/>
      <c r="AE38" s="15"/>
      <c r="AF38" s="13"/>
      <c r="AG38" s="15"/>
      <c r="AH38" s="13"/>
      <c r="AI38" s="15"/>
      <c r="AJ38" s="13"/>
      <c r="AK38" s="15"/>
      <c r="AL38" s="13"/>
      <c r="AM38" s="15"/>
    </row>
    <row r="39" spans="1:39" ht="135" x14ac:dyDescent="0.25">
      <c r="A39" s="13" t="s">
        <v>86</v>
      </c>
      <c r="B39" s="13" t="s">
        <v>153</v>
      </c>
      <c r="C39" s="14">
        <v>44012.456944444442</v>
      </c>
      <c r="D39" s="13" t="s">
        <v>88</v>
      </c>
      <c r="E39" s="15" t="s">
        <v>89</v>
      </c>
      <c r="F39" s="13" t="s">
        <v>90</v>
      </c>
      <c r="G39" s="15" t="s">
        <v>91</v>
      </c>
      <c r="H39" s="13" t="s">
        <v>229</v>
      </c>
      <c r="I39" s="15" t="s">
        <v>230</v>
      </c>
      <c r="J39" s="15" t="s">
        <v>231</v>
      </c>
      <c r="K39" s="15" t="s">
        <v>232</v>
      </c>
      <c r="L39" s="13" t="s">
        <v>233</v>
      </c>
      <c r="M39" s="15" t="s">
        <v>234</v>
      </c>
      <c r="N39" s="13" t="s">
        <v>98</v>
      </c>
      <c r="O39" s="15" t="s">
        <v>99</v>
      </c>
      <c r="P39" s="15" t="s">
        <v>100</v>
      </c>
      <c r="Q39" s="15" t="s">
        <v>219</v>
      </c>
      <c r="R39" s="13" t="s">
        <v>220</v>
      </c>
      <c r="S39" s="13" t="s">
        <v>212</v>
      </c>
      <c r="T39" s="13" t="s">
        <v>104</v>
      </c>
      <c r="U39" s="14">
        <v>43831</v>
      </c>
      <c r="V39" s="14"/>
      <c r="W39" s="15"/>
      <c r="X39" s="13"/>
      <c r="Y39" s="15"/>
      <c r="Z39" s="13"/>
      <c r="AA39" s="15"/>
      <c r="AB39" s="13"/>
      <c r="AC39" s="15"/>
      <c r="AD39" s="13"/>
      <c r="AE39" s="15"/>
      <c r="AF39" s="13"/>
      <c r="AG39" s="15"/>
      <c r="AH39" s="13"/>
      <c r="AI39" s="15"/>
      <c r="AJ39" s="13"/>
      <c r="AK39" s="15"/>
      <c r="AL39" s="13"/>
      <c r="AM39" s="15"/>
    </row>
    <row r="40" spans="1:39" ht="135" x14ac:dyDescent="0.25">
      <c r="A40" s="13" t="s">
        <v>86</v>
      </c>
      <c r="B40" s="13" t="s">
        <v>87</v>
      </c>
      <c r="C40" s="14">
        <v>43850.552083333336</v>
      </c>
      <c r="D40" s="13" t="s">
        <v>88</v>
      </c>
      <c r="E40" s="15" t="s">
        <v>89</v>
      </c>
      <c r="F40" s="13" t="s">
        <v>90</v>
      </c>
      <c r="G40" s="15" t="s">
        <v>91</v>
      </c>
      <c r="H40" s="13" t="s">
        <v>229</v>
      </c>
      <c r="I40" s="15" t="s">
        <v>230</v>
      </c>
      <c r="J40" s="15" t="s">
        <v>231</v>
      </c>
      <c r="K40" s="15" t="s">
        <v>232</v>
      </c>
      <c r="L40" s="13" t="s">
        <v>235</v>
      </c>
      <c r="M40" s="15" t="s">
        <v>236</v>
      </c>
      <c r="N40" s="13" t="s">
        <v>98</v>
      </c>
      <c r="O40" s="15" t="s">
        <v>170</v>
      </c>
      <c r="P40" s="15" t="s">
        <v>171</v>
      </c>
      <c r="Q40" s="15" t="s">
        <v>219</v>
      </c>
      <c r="R40" s="13" t="s">
        <v>220</v>
      </c>
      <c r="S40" s="13" t="s">
        <v>212</v>
      </c>
      <c r="T40" s="13" t="s">
        <v>104</v>
      </c>
      <c r="U40" s="14">
        <v>40725</v>
      </c>
      <c r="V40" s="14"/>
      <c r="W40" s="15"/>
      <c r="X40" s="13"/>
      <c r="Y40" s="15"/>
      <c r="Z40" s="13"/>
      <c r="AA40" s="15"/>
      <c r="AB40" s="13"/>
      <c r="AC40" s="15"/>
      <c r="AD40" s="13"/>
      <c r="AE40" s="15"/>
      <c r="AF40" s="13"/>
      <c r="AG40" s="15"/>
      <c r="AH40" s="13"/>
      <c r="AI40" s="15"/>
      <c r="AJ40" s="13"/>
      <c r="AK40" s="15"/>
      <c r="AL40" s="13"/>
      <c r="AM40" s="15"/>
    </row>
    <row r="41" spans="1:39" ht="135" x14ac:dyDescent="0.25">
      <c r="A41" s="13" t="s">
        <v>86</v>
      </c>
      <c r="B41" s="13" t="s">
        <v>87</v>
      </c>
      <c r="C41" s="14">
        <v>43850.552083333336</v>
      </c>
      <c r="D41" s="13" t="s">
        <v>88</v>
      </c>
      <c r="E41" s="15" t="s">
        <v>89</v>
      </c>
      <c r="F41" s="13" t="s">
        <v>90</v>
      </c>
      <c r="G41" s="15" t="s">
        <v>91</v>
      </c>
      <c r="H41" s="13" t="s">
        <v>229</v>
      </c>
      <c r="I41" s="15" t="s">
        <v>230</v>
      </c>
      <c r="J41" s="15" t="s">
        <v>231</v>
      </c>
      <c r="K41" s="15" t="s">
        <v>232</v>
      </c>
      <c r="L41" s="13" t="s">
        <v>237</v>
      </c>
      <c r="M41" s="15" t="s">
        <v>238</v>
      </c>
      <c r="N41" s="13" t="s">
        <v>188</v>
      </c>
      <c r="O41" s="15" t="s">
        <v>189</v>
      </c>
      <c r="P41" s="15" t="s">
        <v>190</v>
      </c>
      <c r="Q41" s="15" t="s">
        <v>219</v>
      </c>
      <c r="R41" s="13" t="s">
        <v>220</v>
      </c>
      <c r="S41" s="13" t="s">
        <v>212</v>
      </c>
      <c r="T41" s="13" t="s">
        <v>104</v>
      </c>
      <c r="U41" s="14">
        <v>40725</v>
      </c>
      <c r="V41" s="14"/>
      <c r="W41" s="15"/>
      <c r="X41" s="13"/>
      <c r="Y41" s="15"/>
      <c r="Z41" s="13"/>
      <c r="AA41" s="15"/>
      <c r="AB41" s="13"/>
      <c r="AC41" s="15"/>
      <c r="AD41" s="13"/>
      <c r="AE41" s="15"/>
      <c r="AF41" s="13"/>
      <c r="AG41" s="15"/>
      <c r="AH41" s="13"/>
      <c r="AI41" s="15"/>
      <c r="AJ41" s="13"/>
      <c r="AK41" s="15"/>
      <c r="AL41" s="13"/>
      <c r="AM41" s="15"/>
    </row>
    <row r="42" spans="1:39" ht="135" x14ac:dyDescent="0.25">
      <c r="A42" s="13" t="s">
        <v>202</v>
      </c>
      <c r="B42" s="13" t="s">
        <v>153</v>
      </c>
      <c r="C42" s="14">
        <v>43152.5</v>
      </c>
      <c r="D42" s="13" t="s">
        <v>88</v>
      </c>
      <c r="E42" s="15" t="s">
        <v>89</v>
      </c>
      <c r="F42" s="13" t="s">
        <v>90</v>
      </c>
      <c r="G42" s="15" t="s">
        <v>91</v>
      </c>
      <c r="H42" s="13" t="s">
        <v>239</v>
      </c>
      <c r="I42" s="15" t="s">
        <v>240</v>
      </c>
      <c r="J42" s="15" t="s">
        <v>241</v>
      </c>
      <c r="K42" s="15" t="s">
        <v>242</v>
      </c>
      <c r="L42" s="13" t="s">
        <v>243</v>
      </c>
      <c r="M42" s="15" t="s">
        <v>244</v>
      </c>
      <c r="N42" s="13" t="s">
        <v>98</v>
      </c>
      <c r="O42" s="15" t="s">
        <v>99</v>
      </c>
      <c r="P42" s="15" t="s">
        <v>100</v>
      </c>
      <c r="Q42" s="15" t="s">
        <v>101</v>
      </c>
      <c r="R42" s="13" t="s">
        <v>102</v>
      </c>
      <c r="S42" s="13" t="s">
        <v>103</v>
      </c>
      <c r="T42" s="13" t="s">
        <v>205</v>
      </c>
      <c r="U42" s="14">
        <v>40725</v>
      </c>
      <c r="V42" s="14"/>
      <c r="W42" s="15"/>
      <c r="X42" s="13"/>
      <c r="Y42" s="15"/>
      <c r="Z42" s="13"/>
      <c r="AA42" s="15"/>
      <c r="AB42" s="13"/>
      <c r="AC42" s="15"/>
      <c r="AD42" s="13"/>
      <c r="AE42" s="15"/>
      <c r="AF42" s="13"/>
      <c r="AG42" s="15"/>
      <c r="AH42" s="13"/>
      <c r="AI42" s="15"/>
      <c r="AJ42" s="13"/>
      <c r="AK42" s="15"/>
      <c r="AL42" s="13"/>
      <c r="AM42" s="15"/>
    </row>
    <row r="43" spans="1:39" ht="135" x14ac:dyDescent="0.25">
      <c r="A43" s="13" t="s">
        <v>202</v>
      </c>
      <c r="B43" s="13" t="s">
        <v>153</v>
      </c>
      <c r="C43" s="14">
        <v>43152.5</v>
      </c>
      <c r="D43" s="13" t="s">
        <v>88</v>
      </c>
      <c r="E43" s="15" t="s">
        <v>89</v>
      </c>
      <c r="F43" s="13" t="s">
        <v>90</v>
      </c>
      <c r="G43" s="15" t="s">
        <v>91</v>
      </c>
      <c r="H43" s="13" t="s">
        <v>239</v>
      </c>
      <c r="I43" s="15" t="s">
        <v>240</v>
      </c>
      <c r="J43" s="15" t="s">
        <v>241</v>
      </c>
      <c r="K43" s="15" t="s">
        <v>242</v>
      </c>
      <c r="L43" s="13" t="s">
        <v>245</v>
      </c>
      <c r="M43" s="15" t="s">
        <v>246</v>
      </c>
      <c r="N43" s="13" t="s">
        <v>98</v>
      </c>
      <c r="O43" s="15" t="s">
        <v>170</v>
      </c>
      <c r="P43" s="15" t="s">
        <v>171</v>
      </c>
      <c r="Q43" s="15" t="s">
        <v>101</v>
      </c>
      <c r="R43" s="13" t="s">
        <v>102</v>
      </c>
      <c r="S43" s="13" t="s">
        <v>103</v>
      </c>
      <c r="T43" s="13" t="s">
        <v>205</v>
      </c>
      <c r="U43" s="14">
        <v>40725</v>
      </c>
      <c r="V43" s="14"/>
      <c r="W43" s="15"/>
      <c r="X43" s="13"/>
      <c r="Y43" s="15"/>
      <c r="Z43" s="13"/>
      <c r="AA43" s="15"/>
      <c r="AB43" s="13"/>
      <c r="AC43" s="15"/>
      <c r="AD43" s="13"/>
      <c r="AE43" s="15"/>
      <c r="AF43" s="13"/>
      <c r="AG43" s="15"/>
      <c r="AH43" s="13"/>
      <c r="AI43" s="15"/>
      <c r="AJ43" s="13"/>
      <c r="AK43" s="15"/>
      <c r="AL43" s="13"/>
      <c r="AM43" s="15"/>
    </row>
    <row r="44" spans="1:39" ht="135" x14ac:dyDescent="0.25">
      <c r="A44" s="13" t="s">
        <v>202</v>
      </c>
      <c r="B44" s="13" t="s">
        <v>153</v>
      </c>
      <c r="C44" s="14">
        <v>43152.5</v>
      </c>
      <c r="D44" s="13" t="s">
        <v>88</v>
      </c>
      <c r="E44" s="15" t="s">
        <v>89</v>
      </c>
      <c r="F44" s="13" t="s">
        <v>90</v>
      </c>
      <c r="G44" s="15" t="s">
        <v>91</v>
      </c>
      <c r="H44" s="13" t="s">
        <v>239</v>
      </c>
      <c r="I44" s="15" t="s">
        <v>240</v>
      </c>
      <c r="J44" s="15" t="s">
        <v>241</v>
      </c>
      <c r="K44" s="15" t="s">
        <v>242</v>
      </c>
      <c r="L44" s="13" t="s">
        <v>247</v>
      </c>
      <c r="M44" s="15" t="s">
        <v>248</v>
      </c>
      <c r="N44" s="13" t="s">
        <v>188</v>
      </c>
      <c r="O44" s="15" t="s">
        <v>189</v>
      </c>
      <c r="P44" s="15" t="s">
        <v>190</v>
      </c>
      <c r="Q44" s="15" t="s">
        <v>101</v>
      </c>
      <c r="R44" s="13" t="s">
        <v>102</v>
      </c>
      <c r="S44" s="13" t="s">
        <v>103</v>
      </c>
      <c r="T44" s="13" t="s">
        <v>205</v>
      </c>
      <c r="U44" s="14">
        <v>40725</v>
      </c>
      <c r="V44" s="14"/>
      <c r="W44" s="15"/>
      <c r="X44" s="13"/>
      <c r="Y44" s="15"/>
      <c r="Z44" s="13"/>
      <c r="AA44" s="15"/>
      <c r="AB44" s="13"/>
      <c r="AC44" s="15"/>
      <c r="AD44" s="13"/>
      <c r="AE44" s="15"/>
      <c r="AF44" s="13"/>
      <c r="AG44" s="15"/>
      <c r="AH44" s="13"/>
      <c r="AI44" s="15"/>
      <c r="AJ44" s="13"/>
      <c r="AK44" s="15"/>
      <c r="AL44" s="13"/>
      <c r="AM44" s="15"/>
    </row>
    <row r="45" spans="1:39" ht="150" x14ac:dyDescent="0.25">
      <c r="A45" s="13" t="s">
        <v>86</v>
      </c>
      <c r="B45" s="13" t="s">
        <v>87</v>
      </c>
      <c r="C45" s="14">
        <v>43850.552083333336</v>
      </c>
      <c r="D45" s="13" t="s">
        <v>88</v>
      </c>
      <c r="E45" s="15" t="s">
        <v>89</v>
      </c>
      <c r="F45" s="13" t="s">
        <v>90</v>
      </c>
      <c r="G45" s="15" t="s">
        <v>91</v>
      </c>
      <c r="H45" s="13" t="s">
        <v>239</v>
      </c>
      <c r="I45" s="15" t="s">
        <v>240</v>
      </c>
      <c r="J45" s="15" t="s">
        <v>241</v>
      </c>
      <c r="K45" s="15" t="s">
        <v>242</v>
      </c>
      <c r="L45" s="13" t="s">
        <v>243</v>
      </c>
      <c r="M45" s="15" t="s">
        <v>244</v>
      </c>
      <c r="N45" s="13" t="s">
        <v>98</v>
      </c>
      <c r="O45" s="15" t="s">
        <v>99</v>
      </c>
      <c r="P45" s="15" t="s">
        <v>100</v>
      </c>
      <c r="Q45" s="15" t="s">
        <v>203</v>
      </c>
      <c r="R45" s="13" t="s">
        <v>204</v>
      </c>
      <c r="S45" s="13" t="s">
        <v>103</v>
      </c>
      <c r="T45" s="13" t="s">
        <v>104</v>
      </c>
      <c r="U45" s="14">
        <v>40725</v>
      </c>
      <c r="V45" s="14">
        <v>43830</v>
      </c>
      <c r="W45" s="15" t="s">
        <v>715</v>
      </c>
      <c r="X45" s="13" t="s">
        <v>716</v>
      </c>
      <c r="Y45" s="15" t="str">
        <f>VLOOKUP(X45,'Axe 2 Règles de gestion'!$D$2:$F$121,3, FALSE)</f>
        <v>Rémunération : L'agent perçoit la rémunération de son emploi d'accueil.</v>
      </c>
      <c r="Z45" s="13" t="s">
        <v>707</v>
      </c>
      <c r="AA45" s="15" t="str">
        <f>VLOOKUP(Z45,'Axe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B45" s="13" t="s">
        <v>709</v>
      </c>
      <c r="AC45" s="15" t="str">
        <f>VLOOKUP(AB45,'Axe 2 Règles de gestion'!$D$2:$F$121,3, FALSE)</f>
        <v>Congés annuels : L'agent cumule des droits à congé.</v>
      </c>
      <c r="AD45" s="13" t="s">
        <v>718</v>
      </c>
      <c r="AE45" s="15" t="str">
        <f>VLOOKUP(AD45,'Axe 2 Règles de gestion'!$D$2:$F$121,3, FALSE)</f>
        <v>Retraite : L'agent cumule de l'ancienneté. La mise à la retraite de l'agent intervient normalement lorsque celui-ci a atteint la limite d'âge prévue par les statuts de son corps d'origine. La cotisation est versée par l'organisme d'accueil.</v>
      </c>
      <c r="AF45" s="13" t="s">
        <v>713</v>
      </c>
      <c r="AG45" s="15" t="str">
        <f>VLOOKUP(AF45,'Axe 2 Règles de gestion'!$D$2:$F$121,3, FALSE)</f>
        <v>Acte : Un acte administratif doit être produit.</v>
      </c>
      <c r="AH45" s="13"/>
      <c r="AI45" s="15"/>
      <c r="AJ45" s="13"/>
      <c r="AK45" s="15"/>
      <c r="AL45" s="13"/>
      <c r="AM45" s="15"/>
    </row>
    <row r="46" spans="1:39" ht="150" x14ac:dyDescent="0.25">
      <c r="A46" s="13" t="s">
        <v>86</v>
      </c>
      <c r="B46" s="13" t="s">
        <v>153</v>
      </c>
      <c r="C46" s="14">
        <v>44008.569444444445</v>
      </c>
      <c r="D46" s="13" t="s">
        <v>88</v>
      </c>
      <c r="E46" s="15" t="s">
        <v>89</v>
      </c>
      <c r="F46" s="13" t="s">
        <v>90</v>
      </c>
      <c r="G46" s="15" t="s">
        <v>91</v>
      </c>
      <c r="H46" s="13" t="s">
        <v>239</v>
      </c>
      <c r="I46" s="15" t="s">
        <v>240</v>
      </c>
      <c r="J46" s="15" t="s">
        <v>241</v>
      </c>
      <c r="K46" s="15" t="s">
        <v>242</v>
      </c>
      <c r="L46" s="13" t="s">
        <v>243</v>
      </c>
      <c r="M46" s="15" t="s">
        <v>244</v>
      </c>
      <c r="N46" s="13" t="s">
        <v>98</v>
      </c>
      <c r="O46" s="15" t="s">
        <v>99</v>
      </c>
      <c r="P46" s="15" t="s">
        <v>100</v>
      </c>
      <c r="Q46" s="15" t="s">
        <v>203</v>
      </c>
      <c r="R46" s="13" t="s">
        <v>204</v>
      </c>
      <c r="S46" s="13" t="s">
        <v>103</v>
      </c>
      <c r="T46" s="13" t="s">
        <v>104</v>
      </c>
      <c r="U46" s="14">
        <v>43831</v>
      </c>
      <c r="V46" s="14"/>
      <c r="W46" s="15" t="s">
        <v>715</v>
      </c>
      <c r="X46" s="13" t="s">
        <v>716</v>
      </c>
      <c r="Y46" s="15" t="str">
        <f>VLOOKUP(X46,'Axe 2 Règles de gestion'!$D$2:$F$121,3, FALSE)</f>
        <v>Rémunération : L'agent perçoit la rémunération de son emploi d'accueil.</v>
      </c>
      <c r="Z46" s="13" t="s">
        <v>707</v>
      </c>
      <c r="AA46" s="15" t="str">
        <f>VLOOKUP(Z46,'Axe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B46" s="13" t="s">
        <v>709</v>
      </c>
      <c r="AC46" s="15" t="str">
        <f>VLOOKUP(AB46,'Axe 2 Règles de gestion'!$D$2:$F$121,3, FALSE)</f>
        <v>Congés annuels : L'agent cumule des droits à congé.</v>
      </c>
      <c r="AD46" s="13" t="s">
        <v>718</v>
      </c>
      <c r="AE46" s="15" t="str">
        <f>VLOOKUP(AD46,'Axe 2 Règles de gestion'!$D$2:$F$121,3, FALSE)</f>
        <v>Retraite : L'agent cumule de l'ancienneté. La mise à la retraite de l'agent intervient normalement lorsque celui-ci a atteint la limite d'âge prévue par les statuts de son corps d'origine. La cotisation est versée par l'organisme d'accueil.</v>
      </c>
      <c r="AF46" s="13" t="s">
        <v>713</v>
      </c>
      <c r="AG46" s="15" t="str">
        <f>VLOOKUP(AF46,'Axe 2 Règles de gestion'!$D$2:$F$121,3, FALSE)</f>
        <v>Acte : Un acte administratif doit être produit.</v>
      </c>
      <c r="AH46" s="13"/>
      <c r="AI46" s="15"/>
      <c r="AJ46" s="13"/>
      <c r="AK46" s="15"/>
      <c r="AL46" s="13"/>
      <c r="AM46" s="15"/>
    </row>
    <row r="47" spans="1:39" ht="150" x14ac:dyDescent="0.25">
      <c r="A47" s="13" t="s">
        <v>86</v>
      </c>
      <c r="B47" s="13" t="s">
        <v>87</v>
      </c>
      <c r="C47" s="14">
        <v>43850.552083333336</v>
      </c>
      <c r="D47" s="13" t="s">
        <v>88</v>
      </c>
      <c r="E47" s="15" t="s">
        <v>89</v>
      </c>
      <c r="F47" s="13" t="s">
        <v>90</v>
      </c>
      <c r="G47" s="15" t="s">
        <v>91</v>
      </c>
      <c r="H47" s="13" t="s">
        <v>239</v>
      </c>
      <c r="I47" s="15" t="s">
        <v>240</v>
      </c>
      <c r="J47" s="15" t="s">
        <v>241</v>
      </c>
      <c r="K47" s="15" t="s">
        <v>242</v>
      </c>
      <c r="L47" s="13" t="s">
        <v>245</v>
      </c>
      <c r="M47" s="15" t="s">
        <v>246</v>
      </c>
      <c r="N47" s="13" t="s">
        <v>98</v>
      </c>
      <c r="O47" s="15" t="s">
        <v>170</v>
      </c>
      <c r="P47" s="15" t="s">
        <v>171</v>
      </c>
      <c r="Q47" s="15" t="s">
        <v>203</v>
      </c>
      <c r="R47" s="13" t="s">
        <v>204</v>
      </c>
      <c r="S47" s="13" t="s">
        <v>103</v>
      </c>
      <c r="T47" s="13" t="s">
        <v>104</v>
      </c>
      <c r="U47" s="14">
        <v>40725</v>
      </c>
      <c r="V47" s="14"/>
      <c r="W47" s="15" t="s">
        <v>715</v>
      </c>
      <c r="X47" s="13" t="s">
        <v>716</v>
      </c>
      <c r="Y47" s="15" t="str">
        <f>VLOOKUP(X47,'Axe 2 Règles de gestion'!$D$2:$F$121,3, FALSE)</f>
        <v>Rémunération : L'agent perçoit la rémunération de son emploi d'accueil.</v>
      </c>
      <c r="Z47" s="13" t="s">
        <v>707</v>
      </c>
      <c r="AA47" s="15" t="str">
        <f>VLOOKUP(Z47,'Axe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B47" s="13" t="s">
        <v>709</v>
      </c>
      <c r="AC47" s="15" t="str">
        <f>VLOOKUP(AB47,'Axe 2 Règles de gestion'!$D$2:$F$121,3, FALSE)</f>
        <v>Congés annuels : L'agent cumule des droits à congé.</v>
      </c>
      <c r="AD47" s="13" t="s">
        <v>718</v>
      </c>
      <c r="AE47" s="15" t="str">
        <f>VLOOKUP(AD47,'Axe 2 Règles de gestion'!$D$2:$F$121,3, FALSE)</f>
        <v>Retraite : L'agent cumule de l'ancienneté. La mise à la retraite de l'agent intervient normalement lorsque celui-ci a atteint la limite d'âge prévue par les statuts de son corps d'origine. La cotisation est versée par l'organisme d'accueil.</v>
      </c>
      <c r="AF47" s="13" t="s">
        <v>713</v>
      </c>
      <c r="AG47" s="15" t="str">
        <f>VLOOKUP(AF47,'Axe 2 Règles de gestion'!$D$2:$F$121,3, FALSE)</f>
        <v>Acte : Un acte administratif doit être produit.</v>
      </c>
      <c r="AH47" s="13"/>
      <c r="AI47" s="15"/>
      <c r="AJ47" s="13"/>
      <c r="AK47" s="15"/>
      <c r="AL47" s="13"/>
      <c r="AM47" s="15"/>
    </row>
    <row r="48" spans="1:39" ht="135" x14ac:dyDescent="0.25">
      <c r="A48" s="13" t="s">
        <v>86</v>
      </c>
      <c r="B48" s="13" t="s">
        <v>87</v>
      </c>
      <c r="C48" s="14">
        <v>43850.552083333336</v>
      </c>
      <c r="D48" s="13" t="s">
        <v>88</v>
      </c>
      <c r="E48" s="15" t="s">
        <v>89</v>
      </c>
      <c r="F48" s="13" t="s">
        <v>90</v>
      </c>
      <c r="G48" s="15" t="s">
        <v>91</v>
      </c>
      <c r="H48" s="13" t="s">
        <v>239</v>
      </c>
      <c r="I48" s="15" t="s">
        <v>240</v>
      </c>
      <c r="J48" s="15" t="s">
        <v>241</v>
      </c>
      <c r="K48" s="15" t="s">
        <v>242</v>
      </c>
      <c r="L48" s="13" t="s">
        <v>247</v>
      </c>
      <c r="M48" s="15" t="s">
        <v>248</v>
      </c>
      <c r="N48" s="13" t="s">
        <v>188</v>
      </c>
      <c r="O48" s="15" t="s">
        <v>189</v>
      </c>
      <c r="P48" s="15" t="s">
        <v>190</v>
      </c>
      <c r="Q48" s="15" t="s">
        <v>203</v>
      </c>
      <c r="R48" s="13" t="s">
        <v>204</v>
      </c>
      <c r="S48" s="13" t="s">
        <v>103</v>
      </c>
      <c r="T48" s="13" t="s">
        <v>104</v>
      </c>
      <c r="U48" s="14">
        <v>40725</v>
      </c>
      <c r="V48" s="14"/>
      <c r="W48" s="15"/>
      <c r="X48" s="13"/>
      <c r="Y48" s="15"/>
      <c r="Z48" s="13"/>
      <c r="AA48" s="15"/>
      <c r="AB48" s="13"/>
      <c r="AC48" s="15"/>
      <c r="AD48" s="13"/>
      <c r="AE48" s="15"/>
      <c r="AF48" s="13"/>
      <c r="AG48" s="15"/>
      <c r="AH48" s="13"/>
      <c r="AI48" s="15"/>
      <c r="AJ48" s="13"/>
      <c r="AK48" s="15"/>
      <c r="AL48" s="13"/>
      <c r="AM48" s="15"/>
    </row>
    <row r="49" spans="1:39" ht="135" x14ac:dyDescent="0.25">
      <c r="A49" s="13" t="s">
        <v>202</v>
      </c>
      <c r="B49" s="13" t="s">
        <v>153</v>
      </c>
      <c r="C49" s="14">
        <v>43152.5</v>
      </c>
      <c r="D49" s="13" t="s">
        <v>88</v>
      </c>
      <c r="E49" s="15" t="s">
        <v>89</v>
      </c>
      <c r="F49" s="13" t="s">
        <v>90</v>
      </c>
      <c r="G49" s="15" t="s">
        <v>91</v>
      </c>
      <c r="H49" s="13" t="s">
        <v>239</v>
      </c>
      <c r="I49" s="15" t="s">
        <v>240</v>
      </c>
      <c r="J49" s="15" t="s">
        <v>241</v>
      </c>
      <c r="K49" s="15" t="s">
        <v>242</v>
      </c>
      <c r="L49" s="13" t="s">
        <v>243</v>
      </c>
      <c r="M49" s="15" t="s">
        <v>244</v>
      </c>
      <c r="N49" s="13" t="s">
        <v>98</v>
      </c>
      <c r="O49" s="15" t="s">
        <v>99</v>
      </c>
      <c r="P49" s="15" t="s">
        <v>100</v>
      </c>
      <c r="Q49" s="15" t="s">
        <v>206</v>
      </c>
      <c r="R49" s="13" t="s">
        <v>207</v>
      </c>
      <c r="S49" s="13" t="s">
        <v>103</v>
      </c>
      <c r="T49" s="13" t="s">
        <v>205</v>
      </c>
      <c r="U49" s="14">
        <v>40725</v>
      </c>
      <c r="V49" s="14"/>
      <c r="W49" s="15"/>
      <c r="X49" s="13"/>
      <c r="Y49" s="15"/>
      <c r="Z49" s="13"/>
      <c r="AA49" s="15"/>
      <c r="AB49" s="13"/>
      <c r="AC49" s="15"/>
      <c r="AD49" s="13"/>
      <c r="AE49" s="15"/>
      <c r="AF49" s="13"/>
      <c r="AG49" s="15"/>
      <c r="AH49" s="13"/>
      <c r="AI49" s="15"/>
      <c r="AJ49" s="13"/>
      <c r="AK49" s="15"/>
      <c r="AL49" s="13"/>
      <c r="AM49" s="15"/>
    </row>
    <row r="50" spans="1:39" ht="135" x14ac:dyDescent="0.25">
      <c r="A50" s="13" t="s">
        <v>202</v>
      </c>
      <c r="B50" s="13" t="s">
        <v>153</v>
      </c>
      <c r="C50" s="14">
        <v>43152.5</v>
      </c>
      <c r="D50" s="13" t="s">
        <v>88</v>
      </c>
      <c r="E50" s="15" t="s">
        <v>89</v>
      </c>
      <c r="F50" s="13" t="s">
        <v>90</v>
      </c>
      <c r="G50" s="15" t="s">
        <v>91</v>
      </c>
      <c r="H50" s="13" t="s">
        <v>239</v>
      </c>
      <c r="I50" s="15" t="s">
        <v>240</v>
      </c>
      <c r="J50" s="15" t="s">
        <v>241</v>
      </c>
      <c r="K50" s="15" t="s">
        <v>242</v>
      </c>
      <c r="L50" s="13" t="s">
        <v>245</v>
      </c>
      <c r="M50" s="15" t="s">
        <v>246</v>
      </c>
      <c r="N50" s="13" t="s">
        <v>98</v>
      </c>
      <c r="O50" s="15" t="s">
        <v>170</v>
      </c>
      <c r="P50" s="15" t="s">
        <v>171</v>
      </c>
      <c r="Q50" s="15" t="s">
        <v>206</v>
      </c>
      <c r="R50" s="13" t="s">
        <v>207</v>
      </c>
      <c r="S50" s="13" t="s">
        <v>103</v>
      </c>
      <c r="T50" s="13" t="s">
        <v>205</v>
      </c>
      <c r="U50" s="14">
        <v>40725</v>
      </c>
      <c r="V50" s="14"/>
      <c r="W50" s="15"/>
      <c r="X50" s="13"/>
      <c r="Y50" s="15"/>
      <c r="Z50" s="13"/>
      <c r="AA50" s="15"/>
      <c r="AB50" s="13"/>
      <c r="AC50" s="15"/>
      <c r="AD50" s="13"/>
      <c r="AE50" s="15"/>
      <c r="AF50" s="13"/>
      <c r="AG50" s="15"/>
      <c r="AH50" s="13"/>
      <c r="AI50" s="15"/>
      <c r="AJ50" s="13"/>
      <c r="AK50" s="15"/>
      <c r="AL50" s="13"/>
      <c r="AM50" s="15"/>
    </row>
    <row r="51" spans="1:39" ht="135" x14ac:dyDescent="0.25">
      <c r="A51" s="13" t="s">
        <v>202</v>
      </c>
      <c r="B51" s="13" t="s">
        <v>153</v>
      </c>
      <c r="C51" s="14">
        <v>43152.5</v>
      </c>
      <c r="D51" s="13" t="s">
        <v>88</v>
      </c>
      <c r="E51" s="15" t="s">
        <v>89</v>
      </c>
      <c r="F51" s="13" t="s">
        <v>90</v>
      </c>
      <c r="G51" s="15" t="s">
        <v>91</v>
      </c>
      <c r="H51" s="13" t="s">
        <v>239</v>
      </c>
      <c r="I51" s="15" t="s">
        <v>240</v>
      </c>
      <c r="J51" s="15" t="s">
        <v>241</v>
      </c>
      <c r="K51" s="15" t="s">
        <v>242</v>
      </c>
      <c r="L51" s="13" t="s">
        <v>247</v>
      </c>
      <c r="M51" s="15" t="s">
        <v>248</v>
      </c>
      <c r="N51" s="13" t="s">
        <v>188</v>
      </c>
      <c r="O51" s="15" t="s">
        <v>189</v>
      </c>
      <c r="P51" s="15" t="s">
        <v>190</v>
      </c>
      <c r="Q51" s="15" t="s">
        <v>206</v>
      </c>
      <c r="R51" s="13" t="s">
        <v>207</v>
      </c>
      <c r="S51" s="13" t="s">
        <v>103</v>
      </c>
      <c r="T51" s="13" t="s">
        <v>205</v>
      </c>
      <c r="U51" s="14">
        <v>40725</v>
      </c>
      <c r="V51" s="14"/>
      <c r="W51" s="15"/>
      <c r="X51" s="13"/>
      <c r="Y51" s="15"/>
      <c r="Z51" s="13"/>
      <c r="AA51" s="15"/>
      <c r="AB51" s="13"/>
      <c r="AC51" s="15"/>
      <c r="AD51" s="13"/>
      <c r="AE51" s="15"/>
      <c r="AF51" s="13"/>
      <c r="AG51" s="15"/>
      <c r="AH51" s="13"/>
      <c r="AI51" s="15"/>
      <c r="AJ51" s="13"/>
      <c r="AK51" s="15"/>
      <c r="AL51" s="13"/>
      <c r="AM51" s="15"/>
    </row>
    <row r="52" spans="1:39" ht="135" x14ac:dyDescent="0.25">
      <c r="A52" s="13" t="s">
        <v>202</v>
      </c>
      <c r="B52" s="13" t="s">
        <v>153</v>
      </c>
      <c r="C52" s="14">
        <v>43152.5</v>
      </c>
      <c r="D52" s="13" t="s">
        <v>88</v>
      </c>
      <c r="E52" s="15" t="s">
        <v>89</v>
      </c>
      <c r="F52" s="13" t="s">
        <v>90</v>
      </c>
      <c r="G52" s="15" t="s">
        <v>91</v>
      </c>
      <c r="H52" s="13" t="s">
        <v>239</v>
      </c>
      <c r="I52" s="15" t="s">
        <v>240</v>
      </c>
      <c r="J52" s="15" t="s">
        <v>241</v>
      </c>
      <c r="K52" s="15" t="s">
        <v>242</v>
      </c>
      <c r="L52" s="13" t="s">
        <v>243</v>
      </c>
      <c r="M52" s="15" t="s">
        <v>244</v>
      </c>
      <c r="N52" s="13" t="s">
        <v>98</v>
      </c>
      <c r="O52" s="15" t="s">
        <v>99</v>
      </c>
      <c r="P52" s="15" t="s">
        <v>100</v>
      </c>
      <c r="Q52" s="15" t="s">
        <v>208</v>
      </c>
      <c r="R52" s="13" t="s">
        <v>209</v>
      </c>
      <c r="S52" s="13" t="s">
        <v>103</v>
      </c>
      <c r="T52" s="13" t="s">
        <v>205</v>
      </c>
      <c r="U52" s="14">
        <v>40725</v>
      </c>
      <c r="V52" s="14"/>
      <c r="W52" s="15"/>
      <c r="X52" s="13"/>
      <c r="Y52" s="15"/>
      <c r="Z52" s="13"/>
      <c r="AA52" s="15"/>
      <c r="AB52" s="13"/>
      <c r="AC52" s="15"/>
      <c r="AD52" s="13"/>
      <c r="AE52" s="15"/>
      <c r="AF52" s="13"/>
      <c r="AG52" s="15"/>
      <c r="AH52" s="13"/>
      <c r="AI52" s="15"/>
      <c r="AJ52" s="13"/>
      <c r="AK52" s="15"/>
      <c r="AL52" s="13"/>
      <c r="AM52" s="15"/>
    </row>
    <row r="53" spans="1:39" ht="135" x14ac:dyDescent="0.25">
      <c r="A53" s="13" t="s">
        <v>202</v>
      </c>
      <c r="B53" s="13" t="s">
        <v>153</v>
      </c>
      <c r="C53" s="14">
        <v>43152.5</v>
      </c>
      <c r="D53" s="13" t="s">
        <v>88</v>
      </c>
      <c r="E53" s="15" t="s">
        <v>89</v>
      </c>
      <c r="F53" s="13" t="s">
        <v>90</v>
      </c>
      <c r="G53" s="15" t="s">
        <v>91</v>
      </c>
      <c r="H53" s="13" t="s">
        <v>239</v>
      </c>
      <c r="I53" s="15" t="s">
        <v>240</v>
      </c>
      <c r="J53" s="15" t="s">
        <v>241</v>
      </c>
      <c r="K53" s="15" t="s">
        <v>242</v>
      </c>
      <c r="L53" s="13" t="s">
        <v>245</v>
      </c>
      <c r="M53" s="15" t="s">
        <v>246</v>
      </c>
      <c r="N53" s="13" t="s">
        <v>98</v>
      </c>
      <c r="O53" s="15" t="s">
        <v>170</v>
      </c>
      <c r="P53" s="15" t="s">
        <v>171</v>
      </c>
      <c r="Q53" s="15" t="s">
        <v>208</v>
      </c>
      <c r="R53" s="13" t="s">
        <v>209</v>
      </c>
      <c r="S53" s="13" t="s">
        <v>103</v>
      </c>
      <c r="T53" s="13" t="s">
        <v>205</v>
      </c>
      <c r="U53" s="14">
        <v>40725</v>
      </c>
      <c r="V53" s="14"/>
      <c r="W53" s="15"/>
      <c r="X53" s="13"/>
      <c r="Y53" s="15"/>
      <c r="Z53" s="13"/>
      <c r="AA53" s="15"/>
      <c r="AB53" s="13"/>
      <c r="AC53" s="15"/>
      <c r="AD53" s="13"/>
      <c r="AE53" s="15"/>
      <c r="AF53" s="13"/>
      <c r="AG53" s="15"/>
      <c r="AH53" s="13"/>
      <c r="AI53" s="15"/>
      <c r="AJ53" s="13"/>
      <c r="AK53" s="15"/>
      <c r="AL53" s="13"/>
      <c r="AM53" s="15"/>
    </row>
    <row r="54" spans="1:39" ht="135" x14ac:dyDescent="0.25">
      <c r="A54" s="13" t="s">
        <v>202</v>
      </c>
      <c r="B54" s="13" t="s">
        <v>153</v>
      </c>
      <c r="C54" s="14">
        <v>43152.5</v>
      </c>
      <c r="D54" s="13" t="s">
        <v>88</v>
      </c>
      <c r="E54" s="15" t="s">
        <v>89</v>
      </c>
      <c r="F54" s="13" t="s">
        <v>90</v>
      </c>
      <c r="G54" s="15" t="s">
        <v>91</v>
      </c>
      <c r="H54" s="13" t="s">
        <v>239</v>
      </c>
      <c r="I54" s="15" t="s">
        <v>240</v>
      </c>
      <c r="J54" s="15" t="s">
        <v>241</v>
      </c>
      <c r="K54" s="15" t="s">
        <v>242</v>
      </c>
      <c r="L54" s="13" t="s">
        <v>247</v>
      </c>
      <c r="M54" s="15" t="s">
        <v>248</v>
      </c>
      <c r="N54" s="13" t="s">
        <v>188</v>
      </c>
      <c r="O54" s="15" t="s">
        <v>189</v>
      </c>
      <c r="P54" s="15" t="s">
        <v>190</v>
      </c>
      <c r="Q54" s="15" t="s">
        <v>208</v>
      </c>
      <c r="R54" s="13" t="s">
        <v>209</v>
      </c>
      <c r="S54" s="13" t="s">
        <v>103</v>
      </c>
      <c r="T54" s="13" t="s">
        <v>205</v>
      </c>
      <c r="U54" s="14">
        <v>40725</v>
      </c>
      <c r="V54" s="14"/>
      <c r="W54" s="15"/>
      <c r="X54" s="13"/>
      <c r="Y54" s="15"/>
      <c r="Z54" s="13"/>
      <c r="AA54" s="15"/>
      <c r="AB54" s="13"/>
      <c r="AC54" s="15"/>
      <c r="AD54" s="13"/>
      <c r="AE54" s="15"/>
      <c r="AF54" s="13"/>
      <c r="AG54" s="15"/>
      <c r="AH54" s="13"/>
      <c r="AI54" s="15"/>
      <c r="AJ54" s="13"/>
      <c r="AK54" s="15"/>
      <c r="AL54" s="13"/>
      <c r="AM54" s="15"/>
    </row>
    <row r="55" spans="1:39" ht="135" x14ac:dyDescent="0.25">
      <c r="A55" s="13" t="s">
        <v>202</v>
      </c>
      <c r="B55" s="13" t="s">
        <v>153</v>
      </c>
      <c r="C55" s="14">
        <v>43152.5</v>
      </c>
      <c r="D55" s="13" t="s">
        <v>88</v>
      </c>
      <c r="E55" s="15" t="s">
        <v>89</v>
      </c>
      <c r="F55" s="13" t="s">
        <v>90</v>
      </c>
      <c r="G55" s="15" t="s">
        <v>91</v>
      </c>
      <c r="H55" s="13" t="s">
        <v>239</v>
      </c>
      <c r="I55" s="15" t="s">
        <v>240</v>
      </c>
      <c r="J55" s="15" t="s">
        <v>241</v>
      </c>
      <c r="K55" s="15" t="s">
        <v>242</v>
      </c>
      <c r="L55" s="13" t="s">
        <v>243</v>
      </c>
      <c r="M55" s="15" t="s">
        <v>244</v>
      </c>
      <c r="N55" s="13" t="s">
        <v>98</v>
      </c>
      <c r="O55" s="15" t="s">
        <v>99</v>
      </c>
      <c r="P55" s="15" t="s">
        <v>100</v>
      </c>
      <c r="Q55" s="15" t="s">
        <v>259</v>
      </c>
      <c r="R55" s="13" t="s">
        <v>260</v>
      </c>
      <c r="S55" s="13" t="s">
        <v>212</v>
      </c>
      <c r="T55" s="13" t="s">
        <v>205</v>
      </c>
      <c r="U55" s="14">
        <v>40725</v>
      </c>
      <c r="V55" s="14"/>
      <c r="W55" s="15"/>
      <c r="X55" s="13"/>
      <c r="Y55" s="15"/>
      <c r="Z55" s="13"/>
      <c r="AA55" s="15"/>
      <c r="AB55" s="13"/>
      <c r="AC55" s="15"/>
      <c r="AD55" s="13"/>
      <c r="AE55" s="15"/>
      <c r="AF55" s="13"/>
      <c r="AG55" s="15"/>
      <c r="AH55" s="13"/>
      <c r="AI55" s="15"/>
      <c r="AJ55" s="13"/>
      <c r="AK55" s="15"/>
      <c r="AL55" s="13"/>
      <c r="AM55" s="15"/>
    </row>
    <row r="56" spans="1:39" ht="135" x14ac:dyDescent="0.25">
      <c r="A56" s="13" t="s">
        <v>202</v>
      </c>
      <c r="B56" s="13" t="s">
        <v>153</v>
      </c>
      <c r="C56" s="14">
        <v>43152.5</v>
      </c>
      <c r="D56" s="13" t="s">
        <v>88</v>
      </c>
      <c r="E56" s="15" t="s">
        <v>89</v>
      </c>
      <c r="F56" s="13" t="s">
        <v>90</v>
      </c>
      <c r="G56" s="15" t="s">
        <v>91</v>
      </c>
      <c r="H56" s="13" t="s">
        <v>239</v>
      </c>
      <c r="I56" s="15" t="s">
        <v>240</v>
      </c>
      <c r="J56" s="15" t="s">
        <v>241</v>
      </c>
      <c r="K56" s="15" t="s">
        <v>242</v>
      </c>
      <c r="L56" s="13" t="s">
        <v>245</v>
      </c>
      <c r="M56" s="15" t="s">
        <v>246</v>
      </c>
      <c r="N56" s="13" t="s">
        <v>98</v>
      </c>
      <c r="O56" s="15" t="s">
        <v>170</v>
      </c>
      <c r="P56" s="15" t="s">
        <v>171</v>
      </c>
      <c r="Q56" s="15" t="s">
        <v>259</v>
      </c>
      <c r="R56" s="13" t="s">
        <v>260</v>
      </c>
      <c r="S56" s="13" t="s">
        <v>212</v>
      </c>
      <c r="T56" s="13" t="s">
        <v>205</v>
      </c>
      <c r="U56" s="14">
        <v>40725</v>
      </c>
      <c r="V56" s="14"/>
      <c r="W56" s="15"/>
      <c r="X56" s="13"/>
      <c r="Y56" s="15"/>
      <c r="Z56" s="13"/>
      <c r="AA56" s="15"/>
      <c r="AB56" s="13"/>
      <c r="AC56" s="15"/>
      <c r="AD56" s="13"/>
      <c r="AE56" s="15"/>
      <c r="AF56" s="13"/>
      <c r="AG56" s="15"/>
      <c r="AH56" s="13"/>
      <c r="AI56" s="15"/>
      <c r="AJ56" s="13"/>
      <c r="AK56" s="15"/>
      <c r="AL56" s="13"/>
      <c r="AM56" s="15"/>
    </row>
    <row r="57" spans="1:39" ht="135" x14ac:dyDescent="0.25">
      <c r="A57" s="13" t="s">
        <v>202</v>
      </c>
      <c r="B57" s="13" t="s">
        <v>153</v>
      </c>
      <c r="C57" s="14">
        <v>43152.5</v>
      </c>
      <c r="D57" s="13" t="s">
        <v>88</v>
      </c>
      <c r="E57" s="15" t="s">
        <v>89</v>
      </c>
      <c r="F57" s="13" t="s">
        <v>90</v>
      </c>
      <c r="G57" s="15" t="s">
        <v>91</v>
      </c>
      <c r="H57" s="13" t="s">
        <v>239</v>
      </c>
      <c r="I57" s="15" t="s">
        <v>240</v>
      </c>
      <c r="J57" s="15" t="s">
        <v>241</v>
      </c>
      <c r="K57" s="15" t="s">
        <v>242</v>
      </c>
      <c r="L57" s="13" t="s">
        <v>247</v>
      </c>
      <c r="M57" s="15" t="s">
        <v>248</v>
      </c>
      <c r="N57" s="13" t="s">
        <v>188</v>
      </c>
      <c r="O57" s="15" t="s">
        <v>189</v>
      </c>
      <c r="P57" s="15" t="s">
        <v>190</v>
      </c>
      <c r="Q57" s="15" t="s">
        <v>259</v>
      </c>
      <c r="R57" s="13" t="s">
        <v>260</v>
      </c>
      <c r="S57" s="13" t="s">
        <v>212</v>
      </c>
      <c r="T57" s="13" t="s">
        <v>205</v>
      </c>
      <c r="U57" s="14">
        <v>40725</v>
      </c>
      <c r="V57" s="14"/>
      <c r="W57" s="15"/>
      <c r="X57" s="13"/>
      <c r="Y57" s="15"/>
      <c r="Z57" s="13"/>
      <c r="AA57" s="15"/>
      <c r="AB57" s="13"/>
      <c r="AC57" s="15"/>
      <c r="AD57" s="13"/>
      <c r="AE57" s="15"/>
      <c r="AF57" s="13"/>
      <c r="AG57" s="15"/>
      <c r="AH57" s="13"/>
      <c r="AI57" s="15"/>
      <c r="AJ57" s="13"/>
      <c r="AK57" s="15"/>
      <c r="AL57" s="13"/>
      <c r="AM57" s="15"/>
    </row>
    <row r="58" spans="1:39" ht="135" x14ac:dyDescent="0.25">
      <c r="A58" s="13" t="s">
        <v>86</v>
      </c>
      <c r="B58" s="13" t="s">
        <v>87</v>
      </c>
      <c r="C58" s="14">
        <v>43850.552083333336</v>
      </c>
      <c r="D58" s="13" t="s">
        <v>88</v>
      </c>
      <c r="E58" s="15" t="s">
        <v>89</v>
      </c>
      <c r="F58" s="13" t="s">
        <v>90</v>
      </c>
      <c r="G58" s="15" t="s">
        <v>91</v>
      </c>
      <c r="H58" s="13" t="s">
        <v>239</v>
      </c>
      <c r="I58" s="15" t="s">
        <v>240</v>
      </c>
      <c r="J58" s="15" t="s">
        <v>241</v>
      </c>
      <c r="K58" s="15" t="s">
        <v>242</v>
      </c>
      <c r="L58" s="13" t="s">
        <v>243</v>
      </c>
      <c r="M58" s="15" t="s">
        <v>244</v>
      </c>
      <c r="N58" s="13" t="s">
        <v>98</v>
      </c>
      <c r="O58" s="15" t="s">
        <v>99</v>
      </c>
      <c r="P58" s="15" t="s">
        <v>100</v>
      </c>
      <c r="Q58" s="15" t="s">
        <v>261</v>
      </c>
      <c r="R58" s="13" t="s">
        <v>262</v>
      </c>
      <c r="S58" s="13" t="s">
        <v>212</v>
      </c>
      <c r="T58" s="13" t="s">
        <v>104</v>
      </c>
      <c r="U58" s="14">
        <v>40725</v>
      </c>
      <c r="V58" s="14"/>
      <c r="W58" s="15"/>
      <c r="X58" s="13"/>
      <c r="Y58" s="15"/>
      <c r="Z58" s="13"/>
      <c r="AA58" s="15"/>
      <c r="AB58" s="13"/>
      <c r="AC58" s="15"/>
      <c r="AD58" s="13"/>
      <c r="AE58" s="15"/>
      <c r="AF58" s="13"/>
      <c r="AG58" s="15"/>
      <c r="AH58" s="13"/>
      <c r="AI58" s="15"/>
      <c r="AJ58" s="13"/>
      <c r="AK58" s="15"/>
      <c r="AL58" s="13"/>
      <c r="AM58" s="15"/>
    </row>
    <row r="59" spans="1:39" ht="135" x14ac:dyDescent="0.25">
      <c r="A59" s="13" t="s">
        <v>86</v>
      </c>
      <c r="B59" s="13" t="s">
        <v>87</v>
      </c>
      <c r="C59" s="14">
        <v>43850.552083333336</v>
      </c>
      <c r="D59" s="13" t="s">
        <v>88</v>
      </c>
      <c r="E59" s="15" t="s">
        <v>89</v>
      </c>
      <c r="F59" s="13" t="s">
        <v>90</v>
      </c>
      <c r="G59" s="15" t="s">
        <v>91</v>
      </c>
      <c r="H59" s="13" t="s">
        <v>239</v>
      </c>
      <c r="I59" s="15" t="s">
        <v>240</v>
      </c>
      <c r="J59" s="15" t="s">
        <v>241</v>
      </c>
      <c r="K59" s="15" t="s">
        <v>242</v>
      </c>
      <c r="L59" s="13" t="s">
        <v>245</v>
      </c>
      <c r="M59" s="15" t="s">
        <v>246</v>
      </c>
      <c r="N59" s="13" t="s">
        <v>98</v>
      </c>
      <c r="O59" s="15" t="s">
        <v>170</v>
      </c>
      <c r="P59" s="15" t="s">
        <v>171</v>
      </c>
      <c r="Q59" s="15" t="s">
        <v>261</v>
      </c>
      <c r="R59" s="13" t="s">
        <v>262</v>
      </c>
      <c r="S59" s="13" t="s">
        <v>212</v>
      </c>
      <c r="T59" s="13" t="s">
        <v>104</v>
      </c>
      <c r="U59" s="14">
        <v>40725</v>
      </c>
      <c r="V59" s="14"/>
      <c r="W59" s="15"/>
      <c r="X59" s="13"/>
      <c r="Y59" s="15"/>
      <c r="Z59" s="13"/>
      <c r="AA59" s="15"/>
      <c r="AB59" s="13"/>
      <c r="AC59" s="15"/>
      <c r="AD59" s="13"/>
      <c r="AE59" s="15"/>
      <c r="AF59" s="13"/>
      <c r="AG59" s="15"/>
      <c r="AH59" s="13"/>
      <c r="AI59" s="15"/>
      <c r="AJ59" s="13"/>
      <c r="AK59" s="15"/>
      <c r="AL59" s="13"/>
      <c r="AM59" s="15"/>
    </row>
    <row r="60" spans="1:39" ht="135" x14ac:dyDescent="0.25">
      <c r="A60" s="13" t="s">
        <v>86</v>
      </c>
      <c r="B60" s="13" t="s">
        <v>87</v>
      </c>
      <c r="C60" s="14">
        <v>43850.552083333336</v>
      </c>
      <c r="D60" s="13" t="s">
        <v>88</v>
      </c>
      <c r="E60" s="15" t="s">
        <v>89</v>
      </c>
      <c r="F60" s="13" t="s">
        <v>90</v>
      </c>
      <c r="G60" s="15" t="s">
        <v>91</v>
      </c>
      <c r="H60" s="13" t="s">
        <v>239</v>
      </c>
      <c r="I60" s="15" t="s">
        <v>240</v>
      </c>
      <c r="J60" s="15" t="s">
        <v>241</v>
      </c>
      <c r="K60" s="15" t="s">
        <v>242</v>
      </c>
      <c r="L60" s="13" t="s">
        <v>247</v>
      </c>
      <c r="M60" s="15" t="s">
        <v>248</v>
      </c>
      <c r="N60" s="13" t="s">
        <v>188</v>
      </c>
      <c r="O60" s="15" t="s">
        <v>189</v>
      </c>
      <c r="P60" s="15" t="s">
        <v>190</v>
      </c>
      <c r="Q60" s="15" t="s">
        <v>261</v>
      </c>
      <c r="R60" s="13" t="s">
        <v>262</v>
      </c>
      <c r="S60" s="13" t="s">
        <v>212</v>
      </c>
      <c r="T60" s="13" t="s">
        <v>104</v>
      </c>
      <c r="U60" s="14">
        <v>40725</v>
      </c>
      <c r="V60" s="14"/>
      <c r="W60" s="15"/>
      <c r="X60" s="13"/>
      <c r="Y60" s="15"/>
      <c r="Z60" s="13"/>
      <c r="AA60" s="15"/>
      <c r="AB60" s="13"/>
      <c r="AC60" s="15"/>
      <c r="AD60" s="13"/>
      <c r="AE60" s="15"/>
      <c r="AF60" s="13"/>
      <c r="AG60" s="15"/>
      <c r="AH60" s="13"/>
      <c r="AI60" s="15"/>
      <c r="AJ60" s="13"/>
      <c r="AK60" s="15"/>
      <c r="AL60" s="13"/>
      <c r="AM60" s="15"/>
    </row>
    <row r="61" spans="1:39" ht="135" x14ac:dyDescent="0.25">
      <c r="A61" s="13" t="s">
        <v>202</v>
      </c>
      <c r="B61" s="13" t="s">
        <v>153</v>
      </c>
      <c r="C61" s="14">
        <v>43152.5</v>
      </c>
      <c r="D61" s="13" t="s">
        <v>88</v>
      </c>
      <c r="E61" s="15" t="s">
        <v>89</v>
      </c>
      <c r="F61" s="13" t="s">
        <v>90</v>
      </c>
      <c r="G61" s="15" t="s">
        <v>91</v>
      </c>
      <c r="H61" s="13" t="s">
        <v>239</v>
      </c>
      <c r="I61" s="15" t="s">
        <v>240</v>
      </c>
      <c r="J61" s="15" t="s">
        <v>241</v>
      </c>
      <c r="K61" s="15" t="s">
        <v>242</v>
      </c>
      <c r="L61" s="13" t="s">
        <v>243</v>
      </c>
      <c r="M61" s="15" t="s">
        <v>244</v>
      </c>
      <c r="N61" s="13" t="s">
        <v>98</v>
      </c>
      <c r="O61" s="15" t="s">
        <v>99</v>
      </c>
      <c r="P61" s="15" t="s">
        <v>100</v>
      </c>
      <c r="Q61" s="15" t="s">
        <v>274</v>
      </c>
      <c r="R61" s="13" t="s">
        <v>275</v>
      </c>
      <c r="S61" s="13" t="s">
        <v>212</v>
      </c>
      <c r="T61" s="13" t="s">
        <v>205</v>
      </c>
      <c r="U61" s="14">
        <v>40725</v>
      </c>
      <c r="V61" s="14"/>
      <c r="W61" s="15"/>
      <c r="X61" s="13"/>
      <c r="Y61" s="15"/>
      <c r="Z61" s="13"/>
      <c r="AA61" s="15"/>
      <c r="AB61" s="13"/>
      <c r="AC61" s="15"/>
      <c r="AD61" s="13"/>
      <c r="AE61" s="15"/>
      <c r="AF61" s="13"/>
      <c r="AG61" s="15"/>
      <c r="AH61" s="13"/>
      <c r="AI61" s="15"/>
      <c r="AJ61" s="13"/>
      <c r="AK61" s="15"/>
      <c r="AL61" s="13"/>
      <c r="AM61" s="15"/>
    </row>
    <row r="62" spans="1:39" ht="135" x14ac:dyDescent="0.25">
      <c r="A62" s="13" t="s">
        <v>202</v>
      </c>
      <c r="B62" s="13" t="s">
        <v>153</v>
      </c>
      <c r="C62" s="14">
        <v>43152.5</v>
      </c>
      <c r="D62" s="13" t="s">
        <v>88</v>
      </c>
      <c r="E62" s="15" t="s">
        <v>89</v>
      </c>
      <c r="F62" s="13" t="s">
        <v>90</v>
      </c>
      <c r="G62" s="15" t="s">
        <v>91</v>
      </c>
      <c r="H62" s="13" t="s">
        <v>239</v>
      </c>
      <c r="I62" s="15" t="s">
        <v>240</v>
      </c>
      <c r="J62" s="15" t="s">
        <v>241</v>
      </c>
      <c r="K62" s="15" t="s">
        <v>242</v>
      </c>
      <c r="L62" s="13" t="s">
        <v>245</v>
      </c>
      <c r="M62" s="15" t="s">
        <v>246</v>
      </c>
      <c r="N62" s="13" t="s">
        <v>98</v>
      </c>
      <c r="O62" s="15" t="s">
        <v>170</v>
      </c>
      <c r="P62" s="15" t="s">
        <v>171</v>
      </c>
      <c r="Q62" s="15" t="s">
        <v>274</v>
      </c>
      <c r="R62" s="13" t="s">
        <v>275</v>
      </c>
      <c r="S62" s="13" t="s">
        <v>212</v>
      </c>
      <c r="T62" s="13" t="s">
        <v>205</v>
      </c>
      <c r="U62" s="14">
        <v>40725</v>
      </c>
      <c r="V62" s="14"/>
      <c r="W62" s="15"/>
      <c r="X62" s="13"/>
      <c r="Y62" s="15"/>
      <c r="Z62" s="13"/>
      <c r="AA62" s="15"/>
      <c r="AB62" s="13"/>
      <c r="AC62" s="15"/>
      <c r="AD62" s="13"/>
      <c r="AE62" s="15"/>
      <c r="AF62" s="13"/>
      <c r="AG62" s="15"/>
      <c r="AH62" s="13"/>
      <c r="AI62" s="15"/>
      <c r="AJ62" s="13"/>
      <c r="AK62" s="15"/>
      <c r="AL62" s="13"/>
      <c r="AM62" s="15"/>
    </row>
    <row r="63" spans="1:39" ht="135" x14ac:dyDescent="0.25">
      <c r="A63" s="13" t="s">
        <v>202</v>
      </c>
      <c r="B63" s="13" t="s">
        <v>153</v>
      </c>
      <c r="C63" s="14">
        <v>43152.5</v>
      </c>
      <c r="D63" s="13" t="s">
        <v>88</v>
      </c>
      <c r="E63" s="15" t="s">
        <v>89</v>
      </c>
      <c r="F63" s="13" t="s">
        <v>90</v>
      </c>
      <c r="G63" s="15" t="s">
        <v>91</v>
      </c>
      <c r="H63" s="13" t="s">
        <v>239</v>
      </c>
      <c r="I63" s="15" t="s">
        <v>240</v>
      </c>
      <c r="J63" s="15" t="s">
        <v>241</v>
      </c>
      <c r="K63" s="15" t="s">
        <v>242</v>
      </c>
      <c r="L63" s="13" t="s">
        <v>247</v>
      </c>
      <c r="M63" s="15" t="s">
        <v>248</v>
      </c>
      <c r="N63" s="13" t="s">
        <v>188</v>
      </c>
      <c r="O63" s="15" t="s">
        <v>189</v>
      </c>
      <c r="P63" s="15" t="s">
        <v>190</v>
      </c>
      <c r="Q63" s="15" t="s">
        <v>274</v>
      </c>
      <c r="R63" s="13" t="s">
        <v>275</v>
      </c>
      <c r="S63" s="13" t="s">
        <v>212</v>
      </c>
      <c r="T63" s="13" t="s">
        <v>205</v>
      </c>
      <c r="U63" s="14">
        <v>40725</v>
      </c>
      <c r="V63" s="14"/>
      <c r="W63" s="15"/>
      <c r="X63" s="13"/>
      <c r="Y63" s="15"/>
      <c r="Z63" s="13"/>
      <c r="AA63" s="15"/>
      <c r="AB63" s="13"/>
      <c r="AC63" s="15"/>
      <c r="AD63" s="13"/>
      <c r="AE63" s="15"/>
      <c r="AF63" s="13"/>
      <c r="AG63" s="15"/>
      <c r="AH63" s="13"/>
      <c r="AI63" s="15"/>
      <c r="AJ63" s="13"/>
      <c r="AK63" s="15"/>
      <c r="AL63" s="13"/>
      <c r="AM63" s="15"/>
    </row>
    <row r="64" spans="1:39" ht="150" x14ac:dyDescent="0.25">
      <c r="A64" s="13" t="s">
        <v>202</v>
      </c>
      <c r="B64" s="13" t="s">
        <v>153</v>
      </c>
      <c r="C64" s="14">
        <v>43152.5</v>
      </c>
      <c r="D64" s="13" t="s">
        <v>88</v>
      </c>
      <c r="E64" s="15" t="s">
        <v>89</v>
      </c>
      <c r="F64" s="13" t="s">
        <v>90</v>
      </c>
      <c r="G64" s="15" t="s">
        <v>91</v>
      </c>
      <c r="H64" s="13" t="s">
        <v>276</v>
      </c>
      <c r="I64" s="15" t="s">
        <v>277</v>
      </c>
      <c r="J64" s="15" t="s">
        <v>278</v>
      </c>
      <c r="K64" s="15" t="s">
        <v>279</v>
      </c>
      <c r="L64" s="13" t="s">
        <v>280</v>
      </c>
      <c r="M64" s="15" t="s">
        <v>281</v>
      </c>
      <c r="N64" s="13" t="s">
        <v>98</v>
      </c>
      <c r="O64" s="15" t="s">
        <v>99</v>
      </c>
      <c r="P64" s="15" t="s">
        <v>100</v>
      </c>
      <c r="Q64" s="15" t="s">
        <v>101</v>
      </c>
      <c r="R64" s="13" t="s">
        <v>102</v>
      </c>
      <c r="S64" s="13" t="s">
        <v>103</v>
      </c>
      <c r="T64" s="13" t="s">
        <v>205</v>
      </c>
      <c r="U64" s="14">
        <v>40725</v>
      </c>
      <c r="V64" s="14"/>
      <c r="W64" s="15"/>
      <c r="X64" s="13"/>
      <c r="Y64" s="15"/>
      <c r="Z64" s="13"/>
      <c r="AA64" s="15"/>
      <c r="AB64" s="13"/>
      <c r="AC64" s="15"/>
      <c r="AD64" s="13"/>
      <c r="AE64" s="15"/>
      <c r="AF64" s="13"/>
      <c r="AG64" s="15"/>
      <c r="AH64" s="13"/>
      <c r="AI64" s="15"/>
      <c r="AJ64" s="13"/>
      <c r="AK64" s="15"/>
      <c r="AL64" s="13"/>
      <c r="AM64" s="15"/>
    </row>
    <row r="65" spans="1:39" ht="150" x14ac:dyDescent="0.25">
      <c r="A65" s="13" t="s">
        <v>202</v>
      </c>
      <c r="B65" s="13" t="s">
        <v>153</v>
      </c>
      <c r="C65" s="14">
        <v>43152.5</v>
      </c>
      <c r="D65" s="13" t="s">
        <v>88</v>
      </c>
      <c r="E65" s="15" t="s">
        <v>89</v>
      </c>
      <c r="F65" s="13" t="s">
        <v>90</v>
      </c>
      <c r="G65" s="15" t="s">
        <v>91</v>
      </c>
      <c r="H65" s="13" t="s">
        <v>276</v>
      </c>
      <c r="I65" s="15" t="s">
        <v>277</v>
      </c>
      <c r="J65" s="15" t="s">
        <v>278</v>
      </c>
      <c r="K65" s="15" t="s">
        <v>279</v>
      </c>
      <c r="L65" s="13" t="s">
        <v>282</v>
      </c>
      <c r="M65" s="15" t="s">
        <v>283</v>
      </c>
      <c r="N65" s="13" t="s">
        <v>98</v>
      </c>
      <c r="O65" s="15" t="s">
        <v>170</v>
      </c>
      <c r="P65" s="15" t="s">
        <v>171</v>
      </c>
      <c r="Q65" s="15" t="s">
        <v>101</v>
      </c>
      <c r="R65" s="13" t="s">
        <v>102</v>
      </c>
      <c r="S65" s="13" t="s">
        <v>103</v>
      </c>
      <c r="T65" s="13" t="s">
        <v>205</v>
      </c>
      <c r="U65" s="14">
        <v>40725</v>
      </c>
      <c r="V65" s="14"/>
      <c r="W65" s="15"/>
      <c r="X65" s="13"/>
      <c r="Y65" s="15"/>
      <c r="Z65" s="13"/>
      <c r="AA65" s="15"/>
      <c r="AB65" s="13"/>
      <c r="AC65" s="15"/>
      <c r="AD65" s="13"/>
      <c r="AE65" s="15"/>
      <c r="AF65" s="13"/>
      <c r="AG65" s="15"/>
      <c r="AH65" s="13"/>
      <c r="AI65" s="15"/>
      <c r="AJ65" s="13"/>
      <c r="AK65" s="15"/>
      <c r="AL65" s="13"/>
      <c r="AM65" s="15"/>
    </row>
    <row r="66" spans="1:39" ht="150" x14ac:dyDescent="0.25">
      <c r="A66" s="13" t="s">
        <v>202</v>
      </c>
      <c r="B66" s="13" t="s">
        <v>153</v>
      </c>
      <c r="C66" s="14">
        <v>43152.5</v>
      </c>
      <c r="D66" s="13" t="s">
        <v>88</v>
      </c>
      <c r="E66" s="15" t="s">
        <v>89</v>
      </c>
      <c r="F66" s="13" t="s">
        <v>90</v>
      </c>
      <c r="G66" s="15" t="s">
        <v>91</v>
      </c>
      <c r="H66" s="13" t="s">
        <v>276</v>
      </c>
      <c r="I66" s="15" t="s">
        <v>277</v>
      </c>
      <c r="J66" s="15" t="s">
        <v>278</v>
      </c>
      <c r="K66" s="15" t="s">
        <v>279</v>
      </c>
      <c r="L66" s="13" t="s">
        <v>284</v>
      </c>
      <c r="M66" s="15" t="s">
        <v>285</v>
      </c>
      <c r="N66" s="13" t="s">
        <v>188</v>
      </c>
      <c r="O66" s="15" t="s">
        <v>189</v>
      </c>
      <c r="P66" s="15" t="s">
        <v>190</v>
      </c>
      <c r="Q66" s="15" t="s">
        <v>101</v>
      </c>
      <c r="R66" s="13" t="s">
        <v>102</v>
      </c>
      <c r="S66" s="13" t="s">
        <v>103</v>
      </c>
      <c r="T66" s="13" t="s">
        <v>205</v>
      </c>
      <c r="U66" s="14">
        <v>40725</v>
      </c>
      <c r="V66" s="14"/>
      <c r="W66" s="15"/>
      <c r="X66" s="13"/>
      <c r="Y66" s="15"/>
      <c r="Z66" s="13"/>
      <c r="AA66" s="15"/>
      <c r="AB66" s="13"/>
      <c r="AC66" s="15"/>
      <c r="AD66" s="13"/>
      <c r="AE66" s="15"/>
      <c r="AF66" s="13"/>
      <c r="AG66" s="15"/>
      <c r="AH66" s="13"/>
      <c r="AI66" s="15"/>
      <c r="AJ66" s="13"/>
      <c r="AK66" s="15"/>
      <c r="AL66" s="13"/>
      <c r="AM66" s="15"/>
    </row>
    <row r="67" spans="1:39" ht="150" x14ac:dyDescent="0.25">
      <c r="A67" s="13" t="s">
        <v>86</v>
      </c>
      <c r="B67" s="13" t="s">
        <v>87</v>
      </c>
      <c r="C67" s="14">
        <v>43850.552083333336</v>
      </c>
      <c r="D67" s="13" t="s">
        <v>88</v>
      </c>
      <c r="E67" s="15" t="s">
        <v>89</v>
      </c>
      <c r="F67" s="13" t="s">
        <v>90</v>
      </c>
      <c r="G67" s="15" t="s">
        <v>91</v>
      </c>
      <c r="H67" s="13" t="s">
        <v>276</v>
      </c>
      <c r="I67" s="15" t="s">
        <v>277</v>
      </c>
      <c r="J67" s="15" t="s">
        <v>278</v>
      </c>
      <c r="K67" s="15" t="s">
        <v>279</v>
      </c>
      <c r="L67" s="13" t="s">
        <v>280</v>
      </c>
      <c r="M67" s="15" t="s">
        <v>281</v>
      </c>
      <c r="N67" s="13" t="s">
        <v>98</v>
      </c>
      <c r="O67" s="15" t="s">
        <v>99</v>
      </c>
      <c r="P67" s="15" t="s">
        <v>100</v>
      </c>
      <c r="Q67" s="15" t="s">
        <v>203</v>
      </c>
      <c r="R67" s="13" t="s">
        <v>204</v>
      </c>
      <c r="S67" s="13" t="s">
        <v>103</v>
      </c>
      <c r="T67" s="13" t="s">
        <v>104</v>
      </c>
      <c r="U67" s="14">
        <v>40725</v>
      </c>
      <c r="V67" s="14">
        <v>43830</v>
      </c>
      <c r="W67" s="15" t="s">
        <v>715</v>
      </c>
      <c r="X67" s="13" t="s">
        <v>716</v>
      </c>
      <c r="Y67" s="15" t="str">
        <f>VLOOKUP(X67,'Axe 2 Règles de gestion'!$D$2:$F$121,3, FALSE)</f>
        <v>Rémunération : L'agent perçoit la rémunération de son emploi d'accueil.</v>
      </c>
      <c r="Z67" s="13" t="s">
        <v>707</v>
      </c>
      <c r="AA67" s="15" t="str">
        <f>VLOOKUP(Z67,'Axe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B67" s="13" t="s">
        <v>709</v>
      </c>
      <c r="AC67" s="15" t="str">
        <f>VLOOKUP(AB67,'Axe 2 Règles de gestion'!$D$2:$F$121,3, FALSE)</f>
        <v>Congés annuels : L'agent cumule des droits à congé.</v>
      </c>
      <c r="AD67" s="13" t="s">
        <v>718</v>
      </c>
      <c r="AE67" s="15" t="str">
        <f>VLOOKUP(AD67,'Axe 2 Règles de gestion'!$D$2:$F$121,3, FALSE)</f>
        <v>Retraite : L'agent cumule de l'ancienneté. La mise à la retraite de l'agent intervient normalement lorsque celui-ci a atteint la limite d'âge prévue par les statuts de son corps d'origine. La cotisation est versée par l'organisme d'accueil.</v>
      </c>
      <c r="AF67" s="13" t="s">
        <v>713</v>
      </c>
      <c r="AG67" s="15" t="str">
        <f>VLOOKUP(AF67,'Axe 2 Règles de gestion'!$D$2:$F$121,3, FALSE)</f>
        <v>Acte : Un acte administratif doit être produit.</v>
      </c>
      <c r="AH67" s="13"/>
      <c r="AI67" s="15"/>
      <c r="AJ67" s="13"/>
      <c r="AK67" s="15"/>
      <c r="AL67" s="13"/>
      <c r="AM67" s="15"/>
    </row>
    <row r="68" spans="1:39" ht="150" x14ac:dyDescent="0.25">
      <c r="A68" s="13" t="s">
        <v>86</v>
      </c>
      <c r="B68" s="13" t="s">
        <v>153</v>
      </c>
      <c r="C68" s="14">
        <v>44008.572222222225</v>
      </c>
      <c r="D68" s="13" t="s">
        <v>88</v>
      </c>
      <c r="E68" s="15" t="s">
        <v>89</v>
      </c>
      <c r="F68" s="13" t="s">
        <v>90</v>
      </c>
      <c r="G68" s="15" t="s">
        <v>91</v>
      </c>
      <c r="H68" s="13" t="s">
        <v>276</v>
      </c>
      <c r="I68" s="15" t="s">
        <v>277</v>
      </c>
      <c r="J68" s="15" t="s">
        <v>278</v>
      </c>
      <c r="K68" s="15" t="s">
        <v>279</v>
      </c>
      <c r="L68" s="13" t="s">
        <v>280</v>
      </c>
      <c r="M68" s="15" t="s">
        <v>281</v>
      </c>
      <c r="N68" s="13" t="s">
        <v>98</v>
      </c>
      <c r="O68" s="15" t="s">
        <v>99</v>
      </c>
      <c r="P68" s="15" t="s">
        <v>100</v>
      </c>
      <c r="Q68" s="15" t="s">
        <v>203</v>
      </c>
      <c r="R68" s="13" t="s">
        <v>204</v>
      </c>
      <c r="S68" s="13" t="s">
        <v>103</v>
      </c>
      <c r="T68" s="13" t="s">
        <v>104</v>
      </c>
      <c r="U68" s="14">
        <v>43831</v>
      </c>
      <c r="V68" s="14"/>
      <c r="W68" s="15" t="s">
        <v>715</v>
      </c>
      <c r="X68" s="13" t="s">
        <v>716</v>
      </c>
      <c r="Y68" s="15" t="str">
        <f>VLOOKUP(X68,'Axe 2 Règles de gestion'!$D$2:$F$121,3, FALSE)</f>
        <v>Rémunération : L'agent perçoit la rémunération de son emploi d'accueil.</v>
      </c>
      <c r="Z68" s="13" t="s">
        <v>707</v>
      </c>
      <c r="AA68" s="15" t="str">
        <f>VLOOKUP(Z68,'Axe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B68" s="13" t="s">
        <v>709</v>
      </c>
      <c r="AC68" s="15" t="str">
        <f>VLOOKUP(AB68,'Axe 2 Règles de gestion'!$D$2:$F$121,3, FALSE)</f>
        <v>Congés annuels : L'agent cumule des droits à congé.</v>
      </c>
      <c r="AD68" s="13" t="s">
        <v>718</v>
      </c>
      <c r="AE68" s="15" t="str">
        <f>VLOOKUP(AD68,'Axe 2 Règles de gestion'!$D$2:$F$121,3, FALSE)</f>
        <v>Retraite : L'agent cumule de l'ancienneté. La mise à la retraite de l'agent intervient normalement lorsque celui-ci a atteint la limite d'âge prévue par les statuts de son corps d'origine. La cotisation est versée par l'organisme d'accueil.</v>
      </c>
      <c r="AF68" s="13" t="s">
        <v>713</v>
      </c>
      <c r="AG68" s="15" t="str">
        <f>VLOOKUP(AF68,'Axe 2 Règles de gestion'!$D$2:$F$121,3, FALSE)</f>
        <v>Acte : Un acte administratif doit être produit.</v>
      </c>
      <c r="AH68" s="13"/>
      <c r="AI68" s="15"/>
      <c r="AJ68" s="13"/>
      <c r="AK68" s="15"/>
      <c r="AL68" s="13"/>
      <c r="AM68" s="15"/>
    </row>
    <row r="69" spans="1:39" ht="150" x14ac:dyDescent="0.25">
      <c r="A69" s="13" t="s">
        <v>86</v>
      </c>
      <c r="B69" s="13" t="s">
        <v>87</v>
      </c>
      <c r="C69" s="14">
        <v>43850.552083333336</v>
      </c>
      <c r="D69" s="13" t="s">
        <v>88</v>
      </c>
      <c r="E69" s="15" t="s">
        <v>89</v>
      </c>
      <c r="F69" s="13" t="s">
        <v>90</v>
      </c>
      <c r="G69" s="15" t="s">
        <v>91</v>
      </c>
      <c r="H69" s="13" t="s">
        <v>276</v>
      </c>
      <c r="I69" s="15" t="s">
        <v>277</v>
      </c>
      <c r="J69" s="15" t="s">
        <v>278</v>
      </c>
      <c r="K69" s="15" t="s">
        <v>279</v>
      </c>
      <c r="L69" s="13" t="s">
        <v>282</v>
      </c>
      <c r="M69" s="15" t="s">
        <v>283</v>
      </c>
      <c r="N69" s="13" t="s">
        <v>98</v>
      </c>
      <c r="O69" s="15" t="s">
        <v>170</v>
      </c>
      <c r="P69" s="15" t="s">
        <v>171</v>
      </c>
      <c r="Q69" s="15" t="s">
        <v>203</v>
      </c>
      <c r="R69" s="13" t="s">
        <v>204</v>
      </c>
      <c r="S69" s="13" t="s">
        <v>103</v>
      </c>
      <c r="T69" s="13" t="s">
        <v>104</v>
      </c>
      <c r="U69" s="14">
        <v>40725</v>
      </c>
      <c r="V69" s="14"/>
      <c r="W69" s="15" t="s">
        <v>715</v>
      </c>
      <c r="X69" s="13" t="s">
        <v>716</v>
      </c>
      <c r="Y69" s="15" t="str">
        <f>VLOOKUP(X69,'Axe 2 Règles de gestion'!$D$2:$F$121,3, FALSE)</f>
        <v>Rémunération : L'agent perçoit la rémunération de son emploi d'accueil.</v>
      </c>
      <c r="Z69" s="13" t="s">
        <v>707</v>
      </c>
      <c r="AA69" s="15" t="str">
        <f>VLOOKUP(Z69,'Axe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B69" s="13" t="s">
        <v>709</v>
      </c>
      <c r="AC69" s="15" t="str">
        <f>VLOOKUP(AB69,'Axe 2 Règles de gestion'!$D$2:$F$121,3, FALSE)</f>
        <v>Congés annuels : L'agent cumule des droits à congé.</v>
      </c>
      <c r="AD69" s="13" t="s">
        <v>718</v>
      </c>
      <c r="AE69" s="15" t="str">
        <f>VLOOKUP(AD69,'Axe 2 Règles de gestion'!$D$2:$F$121,3, FALSE)</f>
        <v>Retraite : L'agent cumule de l'ancienneté. La mise à la retraite de l'agent intervient normalement lorsque celui-ci a atteint la limite d'âge prévue par les statuts de son corps d'origine. La cotisation est versée par l'organisme d'accueil.</v>
      </c>
      <c r="AF69" s="13" t="s">
        <v>713</v>
      </c>
      <c r="AG69" s="15" t="str">
        <f>VLOOKUP(AF69,'Axe 2 Règles de gestion'!$D$2:$F$121,3, FALSE)</f>
        <v>Acte : Un acte administratif doit être produit.</v>
      </c>
      <c r="AH69" s="13"/>
      <c r="AI69" s="15"/>
      <c r="AJ69" s="13"/>
      <c r="AK69" s="15"/>
      <c r="AL69" s="13"/>
      <c r="AM69" s="15"/>
    </row>
    <row r="70" spans="1:39" ht="150" x14ac:dyDescent="0.25">
      <c r="A70" s="13" t="s">
        <v>86</v>
      </c>
      <c r="B70" s="13" t="s">
        <v>87</v>
      </c>
      <c r="C70" s="14">
        <v>43850.552083333336</v>
      </c>
      <c r="D70" s="13" t="s">
        <v>88</v>
      </c>
      <c r="E70" s="15" t="s">
        <v>89</v>
      </c>
      <c r="F70" s="13" t="s">
        <v>90</v>
      </c>
      <c r="G70" s="15" t="s">
        <v>91</v>
      </c>
      <c r="H70" s="13" t="s">
        <v>276</v>
      </c>
      <c r="I70" s="15" t="s">
        <v>277</v>
      </c>
      <c r="J70" s="15" t="s">
        <v>278</v>
      </c>
      <c r="K70" s="15" t="s">
        <v>279</v>
      </c>
      <c r="L70" s="13" t="s">
        <v>284</v>
      </c>
      <c r="M70" s="15" t="s">
        <v>285</v>
      </c>
      <c r="N70" s="13" t="s">
        <v>188</v>
      </c>
      <c r="O70" s="15" t="s">
        <v>189</v>
      </c>
      <c r="P70" s="15" t="s">
        <v>190</v>
      </c>
      <c r="Q70" s="15" t="s">
        <v>203</v>
      </c>
      <c r="R70" s="13" t="s">
        <v>204</v>
      </c>
      <c r="S70" s="13" t="s">
        <v>103</v>
      </c>
      <c r="T70" s="13" t="s">
        <v>104</v>
      </c>
      <c r="U70" s="14">
        <v>40725</v>
      </c>
      <c r="V70" s="14"/>
      <c r="W70" s="15"/>
      <c r="X70" s="13"/>
      <c r="Y70" s="15"/>
      <c r="Z70" s="13"/>
      <c r="AA70" s="15"/>
      <c r="AB70" s="13"/>
      <c r="AC70" s="15"/>
      <c r="AD70" s="13"/>
      <c r="AE70" s="15"/>
      <c r="AF70" s="13"/>
      <c r="AG70" s="15"/>
      <c r="AH70" s="13"/>
      <c r="AI70" s="15"/>
      <c r="AJ70" s="13"/>
      <c r="AK70" s="15"/>
      <c r="AL70" s="13"/>
      <c r="AM70" s="15"/>
    </row>
    <row r="71" spans="1:39" ht="150" x14ac:dyDescent="0.25">
      <c r="A71" s="13" t="s">
        <v>202</v>
      </c>
      <c r="B71" s="13" t="s">
        <v>153</v>
      </c>
      <c r="C71" s="14">
        <v>43152.5</v>
      </c>
      <c r="D71" s="13" t="s">
        <v>88</v>
      </c>
      <c r="E71" s="15" t="s">
        <v>89</v>
      </c>
      <c r="F71" s="13" t="s">
        <v>90</v>
      </c>
      <c r="G71" s="15" t="s">
        <v>91</v>
      </c>
      <c r="H71" s="13" t="s">
        <v>276</v>
      </c>
      <c r="I71" s="15" t="s">
        <v>277</v>
      </c>
      <c r="J71" s="15" t="s">
        <v>278</v>
      </c>
      <c r="K71" s="15" t="s">
        <v>279</v>
      </c>
      <c r="L71" s="13" t="s">
        <v>280</v>
      </c>
      <c r="M71" s="15" t="s">
        <v>281</v>
      </c>
      <c r="N71" s="13" t="s">
        <v>98</v>
      </c>
      <c r="O71" s="15" t="s">
        <v>99</v>
      </c>
      <c r="P71" s="15" t="s">
        <v>100</v>
      </c>
      <c r="Q71" s="15" t="s">
        <v>206</v>
      </c>
      <c r="R71" s="13" t="s">
        <v>207</v>
      </c>
      <c r="S71" s="13" t="s">
        <v>103</v>
      </c>
      <c r="T71" s="13" t="s">
        <v>205</v>
      </c>
      <c r="U71" s="14">
        <v>40725</v>
      </c>
      <c r="V71" s="14"/>
      <c r="W71" s="15"/>
      <c r="X71" s="13"/>
      <c r="Y71" s="15"/>
      <c r="Z71" s="13"/>
      <c r="AA71" s="15"/>
      <c r="AB71" s="13"/>
      <c r="AC71" s="15"/>
      <c r="AD71" s="13"/>
      <c r="AE71" s="15"/>
      <c r="AF71" s="13"/>
      <c r="AG71" s="15"/>
      <c r="AH71" s="13"/>
      <c r="AI71" s="15"/>
      <c r="AJ71" s="13"/>
      <c r="AK71" s="15"/>
      <c r="AL71" s="13"/>
      <c r="AM71" s="15"/>
    </row>
    <row r="72" spans="1:39" ht="150" x14ac:dyDescent="0.25">
      <c r="A72" s="13" t="s">
        <v>202</v>
      </c>
      <c r="B72" s="13" t="s">
        <v>153</v>
      </c>
      <c r="C72" s="14">
        <v>43152.5</v>
      </c>
      <c r="D72" s="13" t="s">
        <v>88</v>
      </c>
      <c r="E72" s="15" t="s">
        <v>89</v>
      </c>
      <c r="F72" s="13" t="s">
        <v>90</v>
      </c>
      <c r="G72" s="15" t="s">
        <v>91</v>
      </c>
      <c r="H72" s="13" t="s">
        <v>276</v>
      </c>
      <c r="I72" s="15" t="s">
        <v>277</v>
      </c>
      <c r="J72" s="15" t="s">
        <v>278</v>
      </c>
      <c r="K72" s="15" t="s">
        <v>279</v>
      </c>
      <c r="L72" s="13" t="s">
        <v>282</v>
      </c>
      <c r="M72" s="15" t="s">
        <v>283</v>
      </c>
      <c r="N72" s="13" t="s">
        <v>98</v>
      </c>
      <c r="O72" s="15" t="s">
        <v>170</v>
      </c>
      <c r="P72" s="15" t="s">
        <v>171</v>
      </c>
      <c r="Q72" s="15" t="s">
        <v>206</v>
      </c>
      <c r="R72" s="13" t="s">
        <v>207</v>
      </c>
      <c r="S72" s="13" t="s">
        <v>103</v>
      </c>
      <c r="T72" s="13" t="s">
        <v>205</v>
      </c>
      <c r="U72" s="14">
        <v>40725</v>
      </c>
      <c r="V72" s="14"/>
      <c r="W72" s="15"/>
      <c r="X72" s="13"/>
      <c r="Y72" s="15"/>
      <c r="Z72" s="13"/>
      <c r="AA72" s="15"/>
      <c r="AB72" s="13"/>
      <c r="AC72" s="15"/>
      <c r="AD72" s="13"/>
      <c r="AE72" s="15"/>
      <c r="AF72" s="13"/>
      <c r="AG72" s="15"/>
      <c r="AH72" s="13"/>
      <c r="AI72" s="15"/>
      <c r="AJ72" s="13"/>
      <c r="AK72" s="15"/>
      <c r="AL72" s="13"/>
      <c r="AM72" s="15"/>
    </row>
    <row r="73" spans="1:39" ht="150" x14ac:dyDescent="0.25">
      <c r="A73" s="13" t="s">
        <v>202</v>
      </c>
      <c r="B73" s="13" t="s">
        <v>153</v>
      </c>
      <c r="C73" s="14">
        <v>43152.5</v>
      </c>
      <c r="D73" s="13" t="s">
        <v>88</v>
      </c>
      <c r="E73" s="15" t="s">
        <v>89</v>
      </c>
      <c r="F73" s="13" t="s">
        <v>90</v>
      </c>
      <c r="G73" s="15" t="s">
        <v>91</v>
      </c>
      <c r="H73" s="13" t="s">
        <v>276</v>
      </c>
      <c r="I73" s="15" t="s">
        <v>277</v>
      </c>
      <c r="J73" s="15" t="s">
        <v>278</v>
      </c>
      <c r="K73" s="15" t="s">
        <v>279</v>
      </c>
      <c r="L73" s="13" t="s">
        <v>284</v>
      </c>
      <c r="M73" s="15" t="s">
        <v>285</v>
      </c>
      <c r="N73" s="13" t="s">
        <v>188</v>
      </c>
      <c r="O73" s="15" t="s">
        <v>189</v>
      </c>
      <c r="P73" s="15" t="s">
        <v>190</v>
      </c>
      <c r="Q73" s="15" t="s">
        <v>206</v>
      </c>
      <c r="R73" s="13" t="s">
        <v>207</v>
      </c>
      <c r="S73" s="13" t="s">
        <v>103</v>
      </c>
      <c r="T73" s="13" t="s">
        <v>205</v>
      </c>
      <c r="U73" s="14">
        <v>40725</v>
      </c>
      <c r="V73" s="14"/>
      <c r="W73" s="15"/>
      <c r="X73" s="13"/>
      <c r="Y73" s="15"/>
      <c r="Z73" s="13"/>
      <c r="AA73" s="15"/>
      <c r="AB73" s="13"/>
      <c r="AC73" s="15"/>
      <c r="AD73" s="13"/>
      <c r="AE73" s="15"/>
      <c r="AF73" s="13"/>
      <c r="AG73" s="15"/>
      <c r="AH73" s="13"/>
      <c r="AI73" s="15"/>
      <c r="AJ73" s="13"/>
      <c r="AK73" s="15"/>
      <c r="AL73" s="13"/>
      <c r="AM73" s="15"/>
    </row>
    <row r="74" spans="1:39" ht="150" x14ac:dyDescent="0.25">
      <c r="A74" s="13" t="s">
        <v>202</v>
      </c>
      <c r="B74" s="13" t="s">
        <v>153</v>
      </c>
      <c r="C74" s="14">
        <v>43152.5</v>
      </c>
      <c r="D74" s="13" t="s">
        <v>88</v>
      </c>
      <c r="E74" s="15" t="s">
        <v>89</v>
      </c>
      <c r="F74" s="13" t="s">
        <v>90</v>
      </c>
      <c r="G74" s="15" t="s">
        <v>91</v>
      </c>
      <c r="H74" s="13" t="s">
        <v>276</v>
      </c>
      <c r="I74" s="15" t="s">
        <v>277</v>
      </c>
      <c r="J74" s="15" t="s">
        <v>278</v>
      </c>
      <c r="K74" s="15" t="s">
        <v>279</v>
      </c>
      <c r="L74" s="13" t="s">
        <v>280</v>
      </c>
      <c r="M74" s="15" t="s">
        <v>281</v>
      </c>
      <c r="N74" s="13" t="s">
        <v>98</v>
      </c>
      <c r="O74" s="15" t="s">
        <v>99</v>
      </c>
      <c r="P74" s="15" t="s">
        <v>100</v>
      </c>
      <c r="Q74" s="15" t="s">
        <v>208</v>
      </c>
      <c r="R74" s="13" t="s">
        <v>209</v>
      </c>
      <c r="S74" s="13" t="s">
        <v>103</v>
      </c>
      <c r="T74" s="13" t="s">
        <v>205</v>
      </c>
      <c r="U74" s="14">
        <v>40725</v>
      </c>
      <c r="V74" s="14"/>
      <c r="W74" s="15"/>
      <c r="X74" s="13"/>
      <c r="Y74" s="15"/>
      <c r="Z74" s="13"/>
      <c r="AA74" s="15"/>
      <c r="AB74" s="13"/>
      <c r="AC74" s="15"/>
      <c r="AD74" s="13"/>
      <c r="AE74" s="15"/>
      <c r="AF74" s="13"/>
      <c r="AG74" s="15"/>
      <c r="AH74" s="13"/>
      <c r="AI74" s="15"/>
      <c r="AJ74" s="13"/>
      <c r="AK74" s="15"/>
      <c r="AL74" s="13"/>
      <c r="AM74" s="15"/>
    </row>
    <row r="75" spans="1:39" ht="150" x14ac:dyDescent="0.25">
      <c r="A75" s="13" t="s">
        <v>202</v>
      </c>
      <c r="B75" s="13" t="s">
        <v>153</v>
      </c>
      <c r="C75" s="14">
        <v>43152.5</v>
      </c>
      <c r="D75" s="13" t="s">
        <v>88</v>
      </c>
      <c r="E75" s="15" t="s">
        <v>89</v>
      </c>
      <c r="F75" s="13" t="s">
        <v>90</v>
      </c>
      <c r="G75" s="15" t="s">
        <v>91</v>
      </c>
      <c r="H75" s="13" t="s">
        <v>276</v>
      </c>
      <c r="I75" s="15" t="s">
        <v>277</v>
      </c>
      <c r="J75" s="15" t="s">
        <v>278</v>
      </c>
      <c r="K75" s="15" t="s">
        <v>279</v>
      </c>
      <c r="L75" s="13" t="s">
        <v>282</v>
      </c>
      <c r="M75" s="15" t="s">
        <v>283</v>
      </c>
      <c r="N75" s="13" t="s">
        <v>98</v>
      </c>
      <c r="O75" s="15" t="s">
        <v>170</v>
      </c>
      <c r="P75" s="15" t="s">
        <v>171</v>
      </c>
      <c r="Q75" s="15" t="s">
        <v>208</v>
      </c>
      <c r="R75" s="13" t="s">
        <v>209</v>
      </c>
      <c r="S75" s="13" t="s">
        <v>103</v>
      </c>
      <c r="T75" s="13" t="s">
        <v>205</v>
      </c>
      <c r="U75" s="14">
        <v>40725</v>
      </c>
      <c r="V75" s="14"/>
      <c r="W75" s="15"/>
      <c r="X75" s="13"/>
      <c r="Y75" s="15"/>
      <c r="Z75" s="13"/>
      <c r="AA75" s="15"/>
      <c r="AB75" s="13"/>
      <c r="AC75" s="15"/>
      <c r="AD75" s="13"/>
      <c r="AE75" s="15"/>
      <c r="AF75" s="13"/>
      <c r="AG75" s="15"/>
      <c r="AH75" s="13"/>
      <c r="AI75" s="15"/>
      <c r="AJ75" s="13"/>
      <c r="AK75" s="15"/>
      <c r="AL75" s="13"/>
      <c r="AM75" s="15"/>
    </row>
    <row r="76" spans="1:39" ht="150" x14ac:dyDescent="0.25">
      <c r="A76" s="13" t="s">
        <v>202</v>
      </c>
      <c r="B76" s="13" t="s">
        <v>153</v>
      </c>
      <c r="C76" s="14">
        <v>43152.5</v>
      </c>
      <c r="D76" s="13" t="s">
        <v>88</v>
      </c>
      <c r="E76" s="15" t="s">
        <v>89</v>
      </c>
      <c r="F76" s="13" t="s">
        <v>90</v>
      </c>
      <c r="G76" s="15" t="s">
        <v>91</v>
      </c>
      <c r="H76" s="13" t="s">
        <v>276</v>
      </c>
      <c r="I76" s="15" t="s">
        <v>277</v>
      </c>
      <c r="J76" s="15" t="s">
        <v>278</v>
      </c>
      <c r="K76" s="15" t="s">
        <v>279</v>
      </c>
      <c r="L76" s="13" t="s">
        <v>284</v>
      </c>
      <c r="M76" s="15" t="s">
        <v>285</v>
      </c>
      <c r="N76" s="13" t="s">
        <v>188</v>
      </c>
      <c r="O76" s="15" t="s">
        <v>189</v>
      </c>
      <c r="P76" s="15" t="s">
        <v>190</v>
      </c>
      <c r="Q76" s="15" t="s">
        <v>208</v>
      </c>
      <c r="R76" s="13" t="s">
        <v>209</v>
      </c>
      <c r="S76" s="13" t="s">
        <v>103</v>
      </c>
      <c r="T76" s="13" t="s">
        <v>205</v>
      </c>
      <c r="U76" s="14">
        <v>40725</v>
      </c>
      <c r="V76" s="14"/>
      <c r="W76" s="15"/>
      <c r="X76" s="13"/>
      <c r="Y76" s="15"/>
      <c r="Z76" s="13"/>
      <c r="AA76" s="15"/>
      <c r="AB76" s="13"/>
      <c r="AC76" s="15"/>
      <c r="AD76" s="13"/>
      <c r="AE76" s="15"/>
      <c r="AF76" s="13"/>
      <c r="AG76" s="15"/>
      <c r="AH76" s="13"/>
      <c r="AI76" s="15"/>
      <c r="AJ76" s="13"/>
      <c r="AK76" s="15"/>
      <c r="AL76" s="13"/>
      <c r="AM76" s="15"/>
    </row>
    <row r="77" spans="1:39" ht="150" x14ac:dyDescent="0.25">
      <c r="A77" s="13" t="s">
        <v>202</v>
      </c>
      <c r="B77" s="13" t="s">
        <v>153</v>
      </c>
      <c r="C77" s="14">
        <v>43152.5</v>
      </c>
      <c r="D77" s="13" t="s">
        <v>88</v>
      </c>
      <c r="E77" s="15" t="s">
        <v>89</v>
      </c>
      <c r="F77" s="13" t="s">
        <v>90</v>
      </c>
      <c r="G77" s="15" t="s">
        <v>91</v>
      </c>
      <c r="H77" s="13" t="s">
        <v>276</v>
      </c>
      <c r="I77" s="15" t="s">
        <v>277</v>
      </c>
      <c r="J77" s="15" t="s">
        <v>278</v>
      </c>
      <c r="K77" s="15" t="s">
        <v>279</v>
      </c>
      <c r="L77" s="13" t="s">
        <v>280</v>
      </c>
      <c r="M77" s="15" t="s">
        <v>281</v>
      </c>
      <c r="N77" s="13" t="s">
        <v>98</v>
      </c>
      <c r="O77" s="15" t="s">
        <v>99</v>
      </c>
      <c r="P77" s="15" t="s">
        <v>100</v>
      </c>
      <c r="Q77" s="15" t="s">
        <v>259</v>
      </c>
      <c r="R77" s="13" t="s">
        <v>260</v>
      </c>
      <c r="S77" s="13" t="s">
        <v>212</v>
      </c>
      <c r="T77" s="13" t="s">
        <v>205</v>
      </c>
      <c r="U77" s="14">
        <v>40725</v>
      </c>
      <c r="V77" s="14"/>
      <c r="W77" s="15"/>
      <c r="X77" s="13"/>
      <c r="Y77" s="15"/>
      <c r="Z77" s="13"/>
      <c r="AA77" s="15"/>
      <c r="AB77" s="13"/>
      <c r="AC77" s="15"/>
      <c r="AD77" s="13"/>
      <c r="AE77" s="15"/>
      <c r="AF77" s="13"/>
      <c r="AG77" s="15"/>
      <c r="AH77" s="13"/>
      <c r="AI77" s="15"/>
      <c r="AJ77" s="13"/>
      <c r="AK77" s="15"/>
      <c r="AL77" s="13"/>
      <c r="AM77" s="15"/>
    </row>
    <row r="78" spans="1:39" ht="150" x14ac:dyDescent="0.25">
      <c r="A78" s="13" t="s">
        <v>202</v>
      </c>
      <c r="B78" s="13" t="s">
        <v>153</v>
      </c>
      <c r="C78" s="14">
        <v>43152.5</v>
      </c>
      <c r="D78" s="13" t="s">
        <v>88</v>
      </c>
      <c r="E78" s="15" t="s">
        <v>89</v>
      </c>
      <c r="F78" s="13" t="s">
        <v>90</v>
      </c>
      <c r="G78" s="15" t="s">
        <v>91</v>
      </c>
      <c r="H78" s="13" t="s">
        <v>276</v>
      </c>
      <c r="I78" s="15" t="s">
        <v>277</v>
      </c>
      <c r="J78" s="15" t="s">
        <v>278</v>
      </c>
      <c r="K78" s="15" t="s">
        <v>279</v>
      </c>
      <c r="L78" s="13" t="s">
        <v>282</v>
      </c>
      <c r="M78" s="15" t="s">
        <v>283</v>
      </c>
      <c r="N78" s="13" t="s">
        <v>98</v>
      </c>
      <c r="O78" s="15" t="s">
        <v>170</v>
      </c>
      <c r="P78" s="15" t="s">
        <v>171</v>
      </c>
      <c r="Q78" s="15" t="s">
        <v>259</v>
      </c>
      <c r="R78" s="13" t="s">
        <v>260</v>
      </c>
      <c r="S78" s="13" t="s">
        <v>212</v>
      </c>
      <c r="T78" s="13" t="s">
        <v>205</v>
      </c>
      <c r="U78" s="14">
        <v>40725</v>
      </c>
      <c r="V78" s="14"/>
      <c r="W78" s="15"/>
      <c r="X78" s="13"/>
      <c r="Y78" s="15"/>
      <c r="Z78" s="13"/>
      <c r="AA78" s="15"/>
      <c r="AB78" s="13"/>
      <c r="AC78" s="15"/>
      <c r="AD78" s="13"/>
      <c r="AE78" s="15"/>
      <c r="AF78" s="13"/>
      <c r="AG78" s="15"/>
      <c r="AH78" s="13"/>
      <c r="AI78" s="15"/>
      <c r="AJ78" s="13"/>
      <c r="AK78" s="15"/>
      <c r="AL78" s="13"/>
      <c r="AM78" s="15"/>
    </row>
    <row r="79" spans="1:39" ht="150" x14ac:dyDescent="0.25">
      <c r="A79" s="13" t="s">
        <v>202</v>
      </c>
      <c r="B79" s="13" t="s">
        <v>153</v>
      </c>
      <c r="C79" s="14">
        <v>43152.5</v>
      </c>
      <c r="D79" s="13" t="s">
        <v>88</v>
      </c>
      <c r="E79" s="15" t="s">
        <v>89</v>
      </c>
      <c r="F79" s="13" t="s">
        <v>90</v>
      </c>
      <c r="G79" s="15" t="s">
        <v>91</v>
      </c>
      <c r="H79" s="13" t="s">
        <v>276</v>
      </c>
      <c r="I79" s="15" t="s">
        <v>277</v>
      </c>
      <c r="J79" s="15" t="s">
        <v>278</v>
      </c>
      <c r="K79" s="15" t="s">
        <v>279</v>
      </c>
      <c r="L79" s="13" t="s">
        <v>284</v>
      </c>
      <c r="M79" s="15" t="s">
        <v>285</v>
      </c>
      <c r="N79" s="13" t="s">
        <v>188</v>
      </c>
      <c r="O79" s="15" t="s">
        <v>189</v>
      </c>
      <c r="P79" s="15" t="s">
        <v>190</v>
      </c>
      <c r="Q79" s="15" t="s">
        <v>259</v>
      </c>
      <c r="R79" s="13" t="s">
        <v>260</v>
      </c>
      <c r="S79" s="13" t="s">
        <v>212</v>
      </c>
      <c r="T79" s="13" t="s">
        <v>205</v>
      </c>
      <c r="U79" s="14">
        <v>40725</v>
      </c>
      <c r="V79" s="14"/>
      <c r="W79" s="15"/>
      <c r="X79" s="13"/>
      <c r="Y79" s="15"/>
      <c r="Z79" s="13"/>
      <c r="AA79" s="15"/>
      <c r="AB79" s="13"/>
      <c r="AC79" s="15"/>
      <c r="AD79" s="13"/>
      <c r="AE79" s="15"/>
      <c r="AF79" s="13"/>
      <c r="AG79" s="15"/>
      <c r="AH79" s="13"/>
      <c r="AI79" s="15"/>
      <c r="AJ79" s="13"/>
      <c r="AK79" s="15"/>
      <c r="AL79" s="13"/>
      <c r="AM79" s="15"/>
    </row>
    <row r="80" spans="1:39" ht="150" x14ac:dyDescent="0.25">
      <c r="A80" s="13" t="s">
        <v>86</v>
      </c>
      <c r="B80" s="13" t="s">
        <v>87</v>
      </c>
      <c r="C80" s="14">
        <v>43850.552083333336</v>
      </c>
      <c r="D80" s="13" t="s">
        <v>88</v>
      </c>
      <c r="E80" s="15" t="s">
        <v>89</v>
      </c>
      <c r="F80" s="13" t="s">
        <v>90</v>
      </c>
      <c r="G80" s="15" t="s">
        <v>91</v>
      </c>
      <c r="H80" s="13" t="s">
        <v>276</v>
      </c>
      <c r="I80" s="15" t="s">
        <v>277</v>
      </c>
      <c r="J80" s="15" t="s">
        <v>278</v>
      </c>
      <c r="K80" s="15" t="s">
        <v>279</v>
      </c>
      <c r="L80" s="13" t="s">
        <v>280</v>
      </c>
      <c r="M80" s="15" t="s">
        <v>281</v>
      </c>
      <c r="N80" s="13" t="s">
        <v>98</v>
      </c>
      <c r="O80" s="15" t="s">
        <v>99</v>
      </c>
      <c r="P80" s="15" t="s">
        <v>100</v>
      </c>
      <c r="Q80" s="15" t="s">
        <v>261</v>
      </c>
      <c r="R80" s="13" t="s">
        <v>262</v>
      </c>
      <c r="S80" s="13" t="s">
        <v>212</v>
      </c>
      <c r="T80" s="13" t="s">
        <v>104</v>
      </c>
      <c r="U80" s="14">
        <v>40725</v>
      </c>
      <c r="V80" s="14"/>
      <c r="W80" s="15"/>
      <c r="X80" s="13"/>
      <c r="Y80" s="15"/>
      <c r="Z80" s="13"/>
      <c r="AA80" s="15"/>
      <c r="AB80" s="13"/>
      <c r="AC80" s="15"/>
      <c r="AD80" s="13"/>
      <c r="AE80" s="15"/>
      <c r="AF80" s="13"/>
      <c r="AG80" s="15"/>
      <c r="AH80" s="13"/>
      <c r="AI80" s="15"/>
      <c r="AJ80" s="13"/>
      <c r="AK80" s="15"/>
      <c r="AL80" s="13"/>
      <c r="AM80" s="15"/>
    </row>
    <row r="81" spans="1:39" ht="150" x14ac:dyDescent="0.25">
      <c r="A81" s="13" t="s">
        <v>86</v>
      </c>
      <c r="B81" s="13" t="s">
        <v>87</v>
      </c>
      <c r="C81" s="14">
        <v>43850.552083333336</v>
      </c>
      <c r="D81" s="13" t="s">
        <v>88</v>
      </c>
      <c r="E81" s="15" t="s">
        <v>89</v>
      </c>
      <c r="F81" s="13" t="s">
        <v>90</v>
      </c>
      <c r="G81" s="15" t="s">
        <v>91</v>
      </c>
      <c r="H81" s="13" t="s">
        <v>276</v>
      </c>
      <c r="I81" s="15" t="s">
        <v>277</v>
      </c>
      <c r="J81" s="15" t="s">
        <v>278</v>
      </c>
      <c r="K81" s="15" t="s">
        <v>279</v>
      </c>
      <c r="L81" s="13" t="s">
        <v>282</v>
      </c>
      <c r="M81" s="15" t="s">
        <v>283</v>
      </c>
      <c r="N81" s="13" t="s">
        <v>98</v>
      </c>
      <c r="O81" s="15" t="s">
        <v>170</v>
      </c>
      <c r="P81" s="15" t="s">
        <v>171</v>
      </c>
      <c r="Q81" s="15" t="s">
        <v>261</v>
      </c>
      <c r="R81" s="13" t="s">
        <v>262</v>
      </c>
      <c r="S81" s="13" t="s">
        <v>212</v>
      </c>
      <c r="T81" s="13" t="s">
        <v>104</v>
      </c>
      <c r="U81" s="14">
        <v>40725</v>
      </c>
      <c r="V81" s="14"/>
      <c r="W81" s="15"/>
      <c r="X81" s="13"/>
      <c r="Y81" s="15"/>
      <c r="Z81" s="13"/>
      <c r="AA81" s="15"/>
      <c r="AB81" s="13"/>
      <c r="AC81" s="15"/>
      <c r="AD81" s="13"/>
      <c r="AE81" s="15"/>
      <c r="AF81" s="13"/>
      <c r="AG81" s="15"/>
      <c r="AH81" s="13"/>
      <c r="AI81" s="15"/>
      <c r="AJ81" s="13"/>
      <c r="AK81" s="15"/>
      <c r="AL81" s="13"/>
      <c r="AM81" s="15"/>
    </row>
    <row r="82" spans="1:39" ht="150" x14ac:dyDescent="0.25">
      <c r="A82" s="13" t="s">
        <v>86</v>
      </c>
      <c r="B82" s="13" t="s">
        <v>87</v>
      </c>
      <c r="C82" s="14">
        <v>43850.552083333336</v>
      </c>
      <c r="D82" s="13" t="s">
        <v>88</v>
      </c>
      <c r="E82" s="15" t="s">
        <v>89</v>
      </c>
      <c r="F82" s="13" t="s">
        <v>90</v>
      </c>
      <c r="G82" s="15" t="s">
        <v>91</v>
      </c>
      <c r="H82" s="13" t="s">
        <v>276</v>
      </c>
      <c r="I82" s="15" t="s">
        <v>277</v>
      </c>
      <c r="J82" s="15" t="s">
        <v>278</v>
      </c>
      <c r="K82" s="15" t="s">
        <v>279</v>
      </c>
      <c r="L82" s="13" t="s">
        <v>284</v>
      </c>
      <c r="M82" s="15" t="s">
        <v>285</v>
      </c>
      <c r="N82" s="13" t="s">
        <v>188</v>
      </c>
      <c r="O82" s="15" t="s">
        <v>189</v>
      </c>
      <c r="P82" s="15" t="s">
        <v>190</v>
      </c>
      <c r="Q82" s="15" t="s">
        <v>261</v>
      </c>
      <c r="R82" s="13" t="s">
        <v>262</v>
      </c>
      <c r="S82" s="13" t="s">
        <v>212</v>
      </c>
      <c r="T82" s="13" t="s">
        <v>104</v>
      </c>
      <c r="U82" s="14">
        <v>40725</v>
      </c>
      <c r="V82" s="14"/>
      <c r="W82" s="15"/>
      <c r="X82" s="13"/>
      <c r="Y82" s="15"/>
      <c r="Z82" s="13"/>
      <c r="AA82" s="15"/>
      <c r="AB82" s="13"/>
      <c r="AC82" s="15"/>
      <c r="AD82" s="13"/>
      <c r="AE82" s="15"/>
      <c r="AF82" s="13"/>
      <c r="AG82" s="15"/>
      <c r="AH82" s="13"/>
      <c r="AI82" s="15"/>
      <c r="AJ82" s="13"/>
      <c r="AK82" s="15"/>
      <c r="AL82" s="13"/>
      <c r="AM82" s="15"/>
    </row>
    <row r="83" spans="1:39" ht="150" x14ac:dyDescent="0.25">
      <c r="A83" s="13" t="s">
        <v>202</v>
      </c>
      <c r="B83" s="13" t="s">
        <v>153</v>
      </c>
      <c r="C83" s="14">
        <v>43152.5</v>
      </c>
      <c r="D83" s="13" t="s">
        <v>88</v>
      </c>
      <c r="E83" s="15" t="s">
        <v>89</v>
      </c>
      <c r="F83" s="13" t="s">
        <v>90</v>
      </c>
      <c r="G83" s="15" t="s">
        <v>91</v>
      </c>
      <c r="H83" s="13" t="s">
        <v>276</v>
      </c>
      <c r="I83" s="15" t="s">
        <v>277</v>
      </c>
      <c r="J83" s="15" t="s">
        <v>278</v>
      </c>
      <c r="K83" s="15" t="s">
        <v>279</v>
      </c>
      <c r="L83" s="13" t="s">
        <v>280</v>
      </c>
      <c r="M83" s="15" t="s">
        <v>281</v>
      </c>
      <c r="N83" s="13" t="s">
        <v>98</v>
      </c>
      <c r="O83" s="15" t="s">
        <v>99</v>
      </c>
      <c r="P83" s="15" t="s">
        <v>100</v>
      </c>
      <c r="Q83" s="15" t="s">
        <v>274</v>
      </c>
      <c r="R83" s="13" t="s">
        <v>275</v>
      </c>
      <c r="S83" s="13" t="s">
        <v>212</v>
      </c>
      <c r="T83" s="13" t="s">
        <v>205</v>
      </c>
      <c r="U83" s="14">
        <v>40725</v>
      </c>
      <c r="V83" s="14"/>
      <c r="W83" s="15"/>
      <c r="X83" s="13"/>
      <c r="Y83" s="15"/>
      <c r="Z83" s="13"/>
      <c r="AA83" s="15"/>
      <c r="AB83" s="13"/>
      <c r="AC83" s="15"/>
      <c r="AD83" s="13"/>
      <c r="AE83" s="15"/>
      <c r="AF83" s="13"/>
      <c r="AG83" s="15"/>
      <c r="AH83" s="13"/>
      <c r="AI83" s="15"/>
      <c r="AJ83" s="13"/>
      <c r="AK83" s="15"/>
      <c r="AL83" s="13"/>
      <c r="AM83" s="15"/>
    </row>
    <row r="84" spans="1:39" ht="150" x14ac:dyDescent="0.25">
      <c r="A84" s="13" t="s">
        <v>202</v>
      </c>
      <c r="B84" s="13" t="s">
        <v>153</v>
      </c>
      <c r="C84" s="14">
        <v>43152.5</v>
      </c>
      <c r="D84" s="13" t="s">
        <v>88</v>
      </c>
      <c r="E84" s="15" t="s">
        <v>89</v>
      </c>
      <c r="F84" s="13" t="s">
        <v>90</v>
      </c>
      <c r="G84" s="15" t="s">
        <v>91</v>
      </c>
      <c r="H84" s="13" t="s">
        <v>276</v>
      </c>
      <c r="I84" s="15" t="s">
        <v>277</v>
      </c>
      <c r="J84" s="15" t="s">
        <v>278</v>
      </c>
      <c r="K84" s="15" t="s">
        <v>279</v>
      </c>
      <c r="L84" s="13" t="s">
        <v>282</v>
      </c>
      <c r="M84" s="15" t="s">
        <v>283</v>
      </c>
      <c r="N84" s="13" t="s">
        <v>98</v>
      </c>
      <c r="O84" s="15" t="s">
        <v>170</v>
      </c>
      <c r="P84" s="15" t="s">
        <v>171</v>
      </c>
      <c r="Q84" s="15" t="s">
        <v>274</v>
      </c>
      <c r="R84" s="13" t="s">
        <v>275</v>
      </c>
      <c r="S84" s="13" t="s">
        <v>212</v>
      </c>
      <c r="T84" s="13" t="s">
        <v>205</v>
      </c>
      <c r="U84" s="14">
        <v>40725</v>
      </c>
      <c r="V84" s="14"/>
      <c r="W84" s="15"/>
      <c r="X84" s="13"/>
      <c r="Y84" s="15"/>
      <c r="Z84" s="13"/>
      <c r="AA84" s="15"/>
      <c r="AB84" s="13"/>
      <c r="AC84" s="15"/>
      <c r="AD84" s="13"/>
      <c r="AE84" s="15"/>
      <c r="AF84" s="13"/>
      <c r="AG84" s="15"/>
      <c r="AH84" s="13"/>
      <c r="AI84" s="15"/>
      <c r="AJ84" s="13"/>
      <c r="AK84" s="15"/>
      <c r="AL84" s="13"/>
      <c r="AM84" s="15"/>
    </row>
    <row r="85" spans="1:39" ht="150" x14ac:dyDescent="0.25">
      <c r="A85" s="13" t="s">
        <v>202</v>
      </c>
      <c r="B85" s="13" t="s">
        <v>153</v>
      </c>
      <c r="C85" s="14">
        <v>43152.5</v>
      </c>
      <c r="D85" s="13" t="s">
        <v>88</v>
      </c>
      <c r="E85" s="15" t="s">
        <v>89</v>
      </c>
      <c r="F85" s="13" t="s">
        <v>90</v>
      </c>
      <c r="G85" s="15" t="s">
        <v>91</v>
      </c>
      <c r="H85" s="13" t="s">
        <v>276</v>
      </c>
      <c r="I85" s="15" t="s">
        <v>277</v>
      </c>
      <c r="J85" s="15" t="s">
        <v>278</v>
      </c>
      <c r="K85" s="15" t="s">
        <v>279</v>
      </c>
      <c r="L85" s="13" t="s">
        <v>284</v>
      </c>
      <c r="M85" s="15" t="s">
        <v>285</v>
      </c>
      <c r="N85" s="13" t="s">
        <v>188</v>
      </c>
      <c r="O85" s="15" t="s">
        <v>189</v>
      </c>
      <c r="P85" s="15" t="s">
        <v>190</v>
      </c>
      <c r="Q85" s="15" t="s">
        <v>274</v>
      </c>
      <c r="R85" s="13" t="s">
        <v>275</v>
      </c>
      <c r="S85" s="13" t="s">
        <v>212</v>
      </c>
      <c r="T85" s="13" t="s">
        <v>205</v>
      </c>
      <c r="U85" s="14">
        <v>40725</v>
      </c>
      <c r="V85" s="14"/>
      <c r="W85" s="15"/>
      <c r="X85" s="13"/>
      <c r="Y85" s="15"/>
      <c r="Z85" s="13"/>
      <c r="AA85" s="15"/>
      <c r="AB85" s="13"/>
      <c r="AC85" s="15"/>
      <c r="AD85" s="13"/>
      <c r="AE85" s="15"/>
      <c r="AF85" s="13"/>
      <c r="AG85" s="15"/>
      <c r="AH85" s="13"/>
      <c r="AI85" s="15"/>
      <c r="AJ85" s="13"/>
      <c r="AK85" s="15"/>
      <c r="AL85" s="13"/>
      <c r="AM85" s="15"/>
    </row>
    <row r="86" spans="1:39" ht="135" x14ac:dyDescent="0.25">
      <c r="A86" s="13" t="s">
        <v>202</v>
      </c>
      <c r="B86" s="13" t="s">
        <v>153</v>
      </c>
      <c r="C86" s="14">
        <v>43152.5</v>
      </c>
      <c r="D86" s="13" t="s">
        <v>88</v>
      </c>
      <c r="E86" s="15" t="s">
        <v>89</v>
      </c>
      <c r="F86" s="13" t="s">
        <v>90</v>
      </c>
      <c r="G86" s="15" t="s">
        <v>91</v>
      </c>
      <c r="H86" s="13" t="s">
        <v>286</v>
      </c>
      <c r="I86" s="15" t="s">
        <v>287</v>
      </c>
      <c r="J86" s="15" t="s">
        <v>288</v>
      </c>
      <c r="K86" s="15" t="s">
        <v>289</v>
      </c>
      <c r="L86" s="13" t="s">
        <v>290</v>
      </c>
      <c r="M86" s="15" t="s">
        <v>291</v>
      </c>
      <c r="N86" s="13" t="s">
        <v>98</v>
      </c>
      <c r="O86" s="15" t="s">
        <v>99</v>
      </c>
      <c r="P86" s="15" t="s">
        <v>100</v>
      </c>
      <c r="Q86" s="15" t="s">
        <v>101</v>
      </c>
      <c r="R86" s="13" t="s">
        <v>102</v>
      </c>
      <c r="S86" s="13" t="s">
        <v>103</v>
      </c>
      <c r="T86" s="13" t="s">
        <v>205</v>
      </c>
      <c r="U86" s="14">
        <v>40725</v>
      </c>
      <c r="V86" s="14"/>
      <c r="W86" s="15"/>
      <c r="X86" s="13"/>
      <c r="Y86" s="15"/>
      <c r="Z86" s="13"/>
      <c r="AA86" s="15"/>
      <c r="AB86" s="13"/>
      <c r="AC86" s="15"/>
      <c r="AD86" s="13"/>
      <c r="AE86" s="15"/>
      <c r="AF86" s="13"/>
      <c r="AG86" s="15"/>
      <c r="AH86" s="13"/>
      <c r="AI86" s="15"/>
      <c r="AJ86" s="13"/>
      <c r="AK86" s="15"/>
      <c r="AL86" s="13"/>
      <c r="AM86" s="15"/>
    </row>
    <row r="87" spans="1:39" ht="135" x14ac:dyDescent="0.25">
      <c r="A87" s="13" t="s">
        <v>202</v>
      </c>
      <c r="B87" s="13" t="s">
        <v>153</v>
      </c>
      <c r="C87" s="14">
        <v>43152.5</v>
      </c>
      <c r="D87" s="13" t="s">
        <v>88</v>
      </c>
      <c r="E87" s="15" t="s">
        <v>89</v>
      </c>
      <c r="F87" s="13" t="s">
        <v>90</v>
      </c>
      <c r="G87" s="15" t="s">
        <v>91</v>
      </c>
      <c r="H87" s="13" t="s">
        <v>286</v>
      </c>
      <c r="I87" s="15" t="s">
        <v>287</v>
      </c>
      <c r="J87" s="15" t="s">
        <v>288</v>
      </c>
      <c r="K87" s="15" t="s">
        <v>289</v>
      </c>
      <c r="L87" s="13" t="s">
        <v>292</v>
      </c>
      <c r="M87" s="15" t="s">
        <v>293</v>
      </c>
      <c r="N87" s="13" t="s">
        <v>98</v>
      </c>
      <c r="O87" s="15" t="s">
        <v>170</v>
      </c>
      <c r="P87" s="15" t="s">
        <v>171</v>
      </c>
      <c r="Q87" s="15" t="s">
        <v>101</v>
      </c>
      <c r="R87" s="13" t="s">
        <v>102</v>
      </c>
      <c r="S87" s="13" t="s">
        <v>103</v>
      </c>
      <c r="T87" s="13" t="s">
        <v>205</v>
      </c>
      <c r="U87" s="14">
        <v>40725</v>
      </c>
      <c r="V87" s="14"/>
      <c r="W87" s="15"/>
      <c r="X87" s="13"/>
      <c r="Y87" s="15"/>
      <c r="Z87" s="13"/>
      <c r="AA87" s="15"/>
      <c r="AB87" s="13"/>
      <c r="AC87" s="15"/>
      <c r="AD87" s="13"/>
      <c r="AE87" s="15"/>
      <c r="AF87" s="13"/>
      <c r="AG87" s="15"/>
      <c r="AH87" s="13"/>
      <c r="AI87" s="15"/>
      <c r="AJ87" s="13"/>
      <c r="AK87" s="15"/>
      <c r="AL87" s="13"/>
      <c r="AM87" s="15"/>
    </row>
    <row r="88" spans="1:39" ht="135" x14ac:dyDescent="0.25">
      <c r="A88" s="13" t="s">
        <v>202</v>
      </c>
      <c r="B88" s="13" t="s">
        <v>153</v>
      </c>
      <c r="C88" s="14">
        <v>43152.5</v>
      </c>
      <c r="D88" s="13" t="s">
        <v>88</v>
      </c>
      <c r="E88" s="15" t="s">
        <v>89</v>
      </c>
      <c r="F88" s="13" t="s">
        <v>90</v>
      </c>
      <c r="G88" s="15" t="s">
        <v>91</v>
      </c>
      <c r="H88" s="13" t="s">
        <v>286</v>
      </c>
      <c r="I88" s="15" t="s">
        <v>287</v>
      </c>
      <c r="J88" s="15" t="s">
        <v>288</v>
      </c>
      <c r="K88" s="15" t="s">
        <v>289</v>
      </c>
      <c r="L88" s="13" t="s">
        <v>294</v>
      </c>
      <c r="M88" s="15" t="s">
        <v>295</v>
      </c>
      <c r="N88" s="13" t="s">
        <v>188</v>
      </c>
      <c r="O88" s="15" t="s">
        <v>189</v>
      </c>
      <c r="P88" s="15" t="s">
        <v>190</v>
      </c>
      <c r="Q88" s="15" t="s">
        <v>101</v>
      </c>
      <c r="R88" s="13" t="s">
        <v>102</v>
      </c>
      <c r="S88" s="13" t="s">
        <v>103</v>
      </c>
      <c r="T88" s="13" t="s">
        <v>205</v>
      </c>
      <c r="U88" s="14">
        <v>40725</v>
      </c>
      <c r="V88" s="14"/>
      <c r="W88" s="15"/>
      <c r="X88" s="13"/>
      <c r="Y88" s="15"/>
      <c r="Z88" s="13"/>
      <c r="AA88" s="15"/>
      <c r="AB88" s="13"/>
      <c r="AC88" s="15"/>
      <c r="AD88" s="13"/>
      <c r="AE88" s="15"/>
      <c r="AF88" s="13"/>
      <c r="AG88" s="15"/>
      <c r="AH88" s="13"/>
      <c r="AI88" s="15"/>
      <c r="AJ88" s="13"/>
      <c r="AK88" s="15"/>
      <c r="AL88" s="13"/>
      <c r="AM88" s="15"/>
    </row>
    <row r="89" spans="1:39" ht="135" x14ac:dyDescent="0.25">
      <c r="A89" s="13" t="s">
        <v>202</v>
      </c>
      <c r="B89" s="13" t="s">
        <v>153</v>
      </c>
      <c r="C89" s="14">
        <v>43152.5</v>
      </c>
      <c r="D89" s="13" t="s">
        <v>88</v>
      </c>
      <c r="E89" s="15" t="s">
        <v>89</v>
      </c>
      <c r="F89" s="13" t="s">
        <v>90</v>
      </c>
      <c r="G89" s="15" t="s">
        <v>91</v>
      </c>
      <c r="H89" s="13" t="s">
        <v>286</v>
      </c>
      <c r="I89" s="15" t="s">
        <v>287</v>
      </c>
      <c r="J89" s="15" t="s">
        <v>288</v>
      </c>
      <c r="K89" s="15" t="s">
        <v>289</v>
      </c>
      <c r="L89" s="13" t="s">
        <v>290</v>
      </c>
      <c r="M89" s="15" t="s">
        <v>291</v>
      </c>
      <c r="N89" s="13" t="s">
        <v>98</v>
      </c>
      <c r="O89" s="15" t="s">
        <v>99</v>
      </c>
      <c r="P89" s="15" t="s">
        <v>100</v>
      </c>
      <c r="Q89" s="15" t="s">
        <v>203</v>
      </c>
      <c r="R89" s="13" t="s">
        <v>204</v>
      </c>
      <c r="S89" s="13" t="s">
        <v>103</v>
      </c>
      <c r="T89" s="13" t="s">
        <v>205</v>
      </c>
      <c r="U89" s="14">
        <v>40725</v>
      </c>
      <c r="V89" s="14"/>
      <c r="W89" s="15"/>
      <c r="X89" s="13"/>
      <c r="Y89" s="15"/>
      <c r="Z89" s="13"/>
      <c r="AA89" s="15"/>
      <c r="AB89" s="13"/>
      <c r="AC89" s="15"/>
      <c r="AD89" s="13"/>
      <c r="AE89" s="15"/>
      <c r="AF89" s="13"/>
      <c r="AG89" s="15"/>
      <c r="AH89" s="13"/>
      <c r="AI89" s="15"/>
      <c r="AJ89" s="13"/>
      <c r="AK89" s="15"/>
      <c r="AL89" s="13"/>
      <c r="AM89" s="15"/>
    </row>
    <row r="90" spans="1:39" ht="135" x14ac:dyDescent="0.25">
      <c r="A90" s="13" t="s">
        <v>202</v>
      </c>
      <c r="B90" s="13" t="s">
        <v>153</v>
      </c>
      <c r="C90" s="14">
        <v>43152.5</v>
      </c>
      <c r="D90" s="13" t="s">
        <v>88</v>
      </c>
      <c r="E90" s="15" t="s">
        <v>89</v>
      </c>
      <c r="F90" s="13" t="s">
        <v>90</v>
      </c>
      <c r="G90" s="15" t="s">
        <v>91</v>
      </c>
      <c r="H90" s="13" t="s">
        <v>286</v>
      </c>
      <c r="I90" s="15" t="s">
        <v>287</v>
      </c>
      <c r="J90" s="15" t="s">
        <v>288</v>
      </c>
      <c r="K90" s="15" t="s">
        <v>289</v>
      </c>
      <c r="L90" s="13" t="s">
        <v>292</v>
      </c>
      <c r="M90" s="15" t="s">
        <v>293</v>
      </c>
      <c r="N90" s="13" t="s">
        <v>98</v>
      </c>
      <c r="O90" s="15" t="s">
        <v>170</v>
      </c>
      <c r="P90" s="15" t="s">
        <v>171</v>
      </c>
      <c r="Q90" s="15" t="s">
        <v>203</v>
      </c>
      <c r="R90" s="13" t="s">
        <v>204</v>
      </c>
      <c r="S90" s="13" t="s">
        <v>103</v>
      </c>
      <c r="T90" s="13" t="s">
        <v>205</v>
      </c>
      <c r="U90" s="14">
        <v>40725</v>
      </c>
      <c r="V90" s="14"/>
      <c r="W90" s="15"/>
      <c r="X90" s="13"/>
      <c r="Y90" s="15"/>
      <c r="Z90" s="13"/>
      <c r="AA90" s="15"/>
      <c r="AB90" s="13"/>
      <c r="AC90" s="15"/>
      <c r="AD90" s="13"/>
      <c r="AE90" s="15"/>
      <c r="AF90" s="13"/>
      <c r="AG90" s="15"/>
      <c r="AH90" s="13"/>
      <c r="AI90" s="15"/>
      <c r="AJ90" s="13"/>
      <c r="AK90" s="15"/>
      <c r="AL90" s="13"/>
      <c r="AM90" s="15"/>
    </row>
    <row r="91" spans="1:39" ht="135" x14ac:dyDescent="0.25">
      <c r="A91" s="13" t="s">
        <v>202</v>
      </c>
      <c r="B91" s="13" t="s">
        <v>153</v>
      </c>
      <c r="C91" s="14">
        <v>43152.5</v>
      </c>
      <c r="D91" s="13" t="s">
        <v>88</v>
      </c>
      <c r="E91" s="15" t="s">
        <v>89</v>
      </c>
      <c r="F91" s="13" t="s">
        <v>90</v>
      </c>
      <c r="G91" s="15" t="s">
        <v>91</v>
      </c>
      <c r="H91" s="13" t="s">
        <v>286</v>
      </c>
      <c r="I91" s="15" t="s">
        <v>287</v>
      </c>
      <c r="J91" s="15" t="s">
        <v>288</v>
      </c>
      <c r="K91" s="15" t="s">
        <v>289</v>
      </c>
      <c r="L91" s="13" t="s">
        <v>294</v>
      </c>
      <c r="M91" s="15" t="s">
        <v>295</v>
      </c>
      <c r="N91" s="13" t="s">
        <v>188</v>
      </c>
      <c r="O91" s="15" t="s">
        <v>189</v>
      </c>
      <c r="P91" s="15" t="s">
        <v>190</v>
      </c>
      <c r="Q91" s="15" t="s">
        <v>203</v>
      </c>
      <c r="R91" s="13" t="s">
        <v>204</v>
      </c>
      <c r="S91" s="13" t="s">
        <v>103</v>
      </c>
      <c r="T91" s="13" t="s">
        <v>205</v>
      </c>
      <c r="U91" s="14">
        <v>40725</v>
      </c>
      <c r="V91" s="14"/>
      <c r="W91" s="15"/>
      <c r="X91" s="13"/>
      <c r="Y91" s="15"/>
      <c r="Z91" s="13"/>
      <c r="AA91" s="15"/>
      <c r="AB91" s="13"/>
      <c r="AC91" s="15"/>
      <c r="AD91" s="13"/>
      <c r="AE91" s="15"/>
      <c r="AF91" s="13"/>
      <c r="AG91" s="15"/>
      <c r="AH91" s="13"/>
      <c r="AI91" s="15"/>
      <c r="AJ91" s="13"/>
      <c r="AK91" s="15"/>
      <c r="AL91" s="13"/>
      <c r="AM91" s="15"/>
    </row>
    <row r="92" spans="1:39" ht="165" x14ac:dyDescent="0.25">
      <c r="A92" s="13" t="s">
        <v>86</v>
      </c>
      <c r="B92" s="13" t="s">
        <v>87</v>
      </c>
      <c r="C92" s="14">
        <v>43850.552083333336</v>
      </c>
      <c r="D92" s="13" t="s">
        <v>88</v>
      </c>
      <c r="E92" s="15" t="s">
        <v>89</v>
      </c>
      <c r="F92" s="13" t="s">
        <v>90</v>
      </c>
      <c r="G92" s="15" t="s">
        <v>91</v>
      </c>
      <c r="H92" s="13" t="s">
        <v>286</v>
      </c>
      <c r="I92" s="15" t="s">
        <v>287</v>
      </c>
      <c r="J92" s="15" t="s">
        <v>288</v>
      </c>
      <c r="K92" s="15" t="s">
        <v>289</v>
      </c>
      <c r="L92" s="13" t="s">
        <v>290</v>
      </c>
      <c r="M92" s="15" t="s">
        <v>291</v>
      </c>
      <c r="N92" s="13" t="s">
        <v>98</v>
      </c>
      <c r="O92" s="15" t="s">
        <v>99</v>
      </c>
      <c r="P92" s="15" t="s">
        <v>100</v>
      </c>
      <c r="Q92" s="15" t="s">
        <v>206</v>
      </c>
      <c r="R92" s="13" t="s">
        <v>207</v>
      </c>
      <c r="S92" s="13" t="s">
        <v>103</v>
      </c>
      <c r="T92" s="13" t="s">
        <v>104</v>
      </c>
      <c r="U92" s="14">
        <v>40725</v>
      </c>
      <c r="V92" s="14">
        <v>43830</v>
      </c>
      <c r="W92" s="15" t="s">
        <v>720</v>
      </c>
      <c r="X92" s="13" t="s">
        <v>721</v>
      </c>
      <c r="Y92" s="15" t="str">
        <f>VLOOKUP(X92,'Axe 2 Règles de gestion'!$D$2:$F$121,3, FALSE)</f>
        <v>Rémunération : L'agent perçoit la rémunération et bénéficie du régime indemnitaire de son corps ou cadre d'emplois.</v>
      </c>
      <c r="Z92" s="13" t="s">
        <v>723</v>
      </c>
      <c r="AA92" s="15" t="str">
        <f>VLOOKUP(Z92,'Axe 2 Règles de gestion'!$D$2:$F$121,3, FALSE)</f>
        <v>Classement : L'agent est classé dans son corps d'accueil.</v>
      </c>
      <c r="AB92" s="13" t="s">
        <v>725</v>
      </c>
      <c r="AC92" s="15" t="str">
        <f>VLOOKUP(AB92,'Axe 2 Règles de gestion'!$D$2:$F$121,3, FALSE)</f>
        <v>Carrière : L'agent bénéficie du droit à avancement de son corps d'accueil.</v>
      </c>
      <c r="AD92" s="13" t="s">
        <v>707</v>
      </c>
      <c r="AE92" s="15" t="str">
        <f>VLOOKUP(AD92,'Axe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92" s="13" t="s">
        <v>709</v>
      </c>
      <c r="AG92" s="15" t="str">
        <f>VLOOKUP(AF92,'Axe 2 Règles de gestion'!$D$2:$F$121,3, FALSE)</f>
        <v>Congés annuels : L'agent cumule des droits à congé.</v>
      </c>
      <c r="AH92" s="13" t="s">
        <v>711</v>
      </c>
      <c r="AI92" s="15" t="str">
        <f>VLOOKUP(AH92,'Axe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92" s="13" t="s">
        <v>713</v>
      </c>
      <c r="AK92" s="15" t="str">
        <f>VLOOKUP(AJ92,'Axe 2 Règles de gestion'!$D$2:$F$121,3, FALSE)</f>
        <v>Acte : Un acte administratif doit être produit.</v>
      </c>
      <c r="AL92" s="13"/>
      <c r="AM92" s="15"/>
    </row>
    <row r="93" spans="1:39" ht="165" x14ac:dyDescent="0.25">
      <c r="A93" s="13" t="s">
        <v>86</v>
      </c>
      <c r="B93" s="13" t="s">
        <v>153</v>
      </c>
      <c r="C93" s="14">
        <v>44008.580555555556</v>
      </c>
      <c r="D93" s="13" t="s">
        <v>88</v>
      </c>
      <c r="E93" s="15" t="s">
        <v>89</v>
      </c>
      <c r="F93" s="13" t="s">
        <v>90</v>
      </c>
      <c r="G93" s="15" t="s">
        <v>91</v>
      </c>
      <c r="H93" s="13" t="s">
        <v>286</v>
      </c>
      <c r="I93" s="15" t="s">
        <v>287</v>
      </c>
      <c r="J93" s="15" t="s">
        <v>288</v>
      </c>
      <c r="K93" s="15" t="s">
        <v>289</v>
      </c>
      <c r="L93" s="13" t="s">
        <v>290</v>
      </c>
      <c r="M93" s="15" t="s">
        <v>291</v>
      </c>
      <c r="N93" s="13" t="s">
        <v>98</v>
      </c>
      <c r="O93" s="15" t="s">
        <v>99</v>
      </c>
      <c r="P93" s="15" t="s">
        <v>100</v>
      </c>
      <c r="Q93" s="15" t="s">
        <v>206</v>
      </c>
      <c r="R93" s="13" t="s">
        <v>207</v>
      </c>
      <c r="S93" s="13" t="s">
        <v>103</v>
      </c>
      <c r="T93" s="13" t="s">
        <v>104</v>
      </c>
      <c r="U93" s="14">
        <v>43831</v>
      </c>
      <c r="V93" s="14"/>
      <c r="W93" s="15" t="s">
        <v>720</v>
      </c>
      <c r="X93" s="13" t="s">
        <v>721</v>
      </c>
      <c r="Y93" s="15" t="str">
        <f>VLOOKUP(X93,'Axe 2 Règles de gestion'!$D$2:$F$121,3, FALSE)</f>
        <v>Rémunération : L'agent perçoit la rémunération et bénéficie du régime indemnitaire de son corps ou cadre d'emplois.</v>
      </c>
      <c r="Z93" s="13" t="s">
        <v>723</v>
      </c>
      <c r="AA93" s="15" t="str">
        <f>VLOOKUP(Z93,'Axe 2 Règles de gestion'!$D$2:$F$121,3, FALSE)</f>
        <v>Classement : L'agent est classé dans son corps d'accueil.</v>
      </c>
      <c r="AB93" s="13" t="s">
        <v>725</v>
      </c>
      <c r="AC93" s="15" t="str">
        <f>VLOOKUP(AB93,'Axe 2 Règles de gestion'!$D$2:$F$121,3, FALSE)</f>
        <v>Carrière : L'agent bénéficie du droit à avancement de son corps d'accueil.</v>
      </c>
      <c r="AD93" s="13" t="s">
        <v>707</v>
      </c>
      <c r="AE93" s="15" t="str">
        <f>VLOOKUP(AD93,'Axe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93" s="13" t="s">
        <v>709</v>
      </c>
      <c r="AG93" s="15" t="str">
        <f>VLOOKUP(AF93,'Axe 2 Règles de gestion'!$D$2:$F$121,3, FALSE)</f>
        <v>Congés annuels : L'agent cumule des droits à congé.</v>
      </c>
      <c r="AH93" s="13" t="s">
        <v>711</v>
      </c>
      <c r="AI93" s="15" t="str">
        <f>VLOOKUP(AH93,'Axe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93" s="13" t="s">
        <v>713</v>
      </c>
      <c r="AK93" s="15" t="str">
        <f>VLOOKUP(AJ93,'Axe 2 Règles de gestion'!$D$2:$F$121,3, FALSE)</f>
        <v>Acte : Un acte administratif doit être produit.</v>
      </c>
      <c r="AL93" s="13"/>
      <c r="AM93" s="15"/>
    </row>
    <row r="94" spans="1:39" ht="165" x14ac:dyDescent="0.25">
      <c r="A94" s="13" t="s">
        <v>86</v>
      </c>
      <c r="B94" s="13" t="s">
        <v>87</v>
      </c>
      <c r="C94" s="14">
        <v>43850.552083333336</v>
      </c>
      <c r="D94" s="13" t="s">
        <v>88</v>
      </c>
      <c r="E94" s="15" t="s">
        <v>89</v>
      </c>
      <c r="F94" s="13" t="s">
        <v>90</v>
      </c>
      <c r="G94" s="15" t="s">
        <v>91</v>
      </c>
      <c r="H94" s="13" t="s">
        <v>286</v>
      </c>
      <c r="I94" s="15" t="s">
        <v>287</v>
      </c>
      <c r="J94" s="15" t="s">
        <v>288</v>
      </c>
      <c r="K94" s="15" t="s">
        <v>289</v>
      </c>
      <c r="L94" s="13" t="s">
        <v>292</v>
      </c>
      <c r="M94" s="15" t="s">
        <v>293</v>
      </c>
      <c r="N94" s="13" t="s">
        <v>98</v>
      </c>
      <c r="O94" s="15" t="s">
        <v>170</v>
      </c>
      <c r="P94" s="15" t="s">
        <v>171</v>
      </c>
      <c r="Q94" s="15" t="s">
        <v>206</v>
      </c>
      <c r="R94" s="13" t="s">
        <v>207</v>
      </c>
      <c r="S94" s="13" t="s">
        <v>103</v>
      </c>
      <c r="T94" s="13" t="s">
        <v>104</v>
      </c>
      <c r="U94" s="14">
        <v>40725</v>
      </c>
      <c r="V94" s="14"/>
      <c r="W94" s="15" t="s">
        <v>720</v>
      </c>
      <c r="X94" s="13" t="s">
        <v>721</v>
      </c>
      <c r="Y94" s="15" t="str">
        <f>VLOOKUP(X94,'Axe 2 Règles de gestion'!$D$2:$F$121,3, FALSE)</f>
        <v>Rémunération : L'agent perçoit la rémunération et bénéficie du régime indemnitaire de son corps ou cadre d'emplois.</v>
      </c>
      <c r="Z94" s="13" t="s">
        <v>723</v>
      </c>
      <c r="AA94" s="15" t="str">
        <f>VLOOKUP(Z94,'Axe 2 Règles de gestion'!$D$2:$F$121,3, FALSE)</f>
        <v>Classement : L'agent est classé dans son corps d'accueil.</v>
      </c>
      <c r="AB94" s="13" t="s">
        <v>725</v>
      </c>
      <c r="AC94" s="15" t="str">
        <f>VLOOKUP(AB94,'Axe 2 Règles de gestion'!$D$2:$F$121,3, FALSE)</f>
        <v>Carrière : L'agent bénéficie du droit à avancement de son corps d'accueil.</v>
      </c>
      <c r="AD94" s="13" t="s">
        <v>707</v>
      </c>
      <c r="AE94" s="15" t="str">
        <f>VLOOKUP(AD94,'Axe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94" s="13" t="s">
        <v>709</v>
      </c>
      <c r="AG94" s="15" t="str">
        <f>VLOOKUP(AF94,'Axe 2 Règles de gestion'!$D$2:$F$121,3, FALSE)</f>
        <v>Congés annuels : L'agent cumule des droits à congé.</v>
      </c>
      <c r="AH94" s="13" t="s">
        <v>711</v>
      </c>
      <c r="AI94" s="15" t="str">
        <f>VLOOKUP(AH94,'Axe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94" s="13" t="s">
        <v>713</v>
      </c>
      <c r="AK94" s="15" t="str">
        <f>VLOOKUP(AJ94,'Axe 2 Règles de gestion'!$D$2:$F$121,3, FALSE)</f>
        <v>Acte : Un acte administratif doit être produit.</v>
      </c>
      <c r="AL94" s="13"/>
      <c r="AM94" s="15"/>
    </row>
    <row r="95" spans="1:39" ht="135" x14ac:dyDescent="0.25">
      <c r="A95" s="13" t="s">
        <v>301</v>
      </c>
      <c r="B95" s="13" t="s">
        <v>87</v>
      </c>
      <c r="C95" s="14">
        <v>44713.613194444442</v>
      </c>
      <c r="D95" s="13" t="s">
        <v>88</v>
      </c>
      <c r="E95" s="15" t="s">
        <v>89</v>
      </c>
      <c r="F95" s="13" t="s">
        <v>90</v>
      </c>
      <c r="G95" s="15" t="s">
        <v>91</v>
      </c>
      <c r="H95" s="13" t="s">
        <v>286</v>
      </c>
      <c r="I95" s="15" t="s">
        <v>287</v>
      </c>
      <c r="J95" s="15" t="s">
        <v>288</v>
      </c>
      <c r="K95" s="15" t="s">
        <v>289</v>
      </c>
      <c r="L95" s="13" t="s">
        <v>294</v>
      </c>
      <c r="M95" s="15" t="s">
        <v>295</v>
      </c>
      <c r="N95" s="13" t="s">
        <v>188</v>
      </c>
      <c r="O95" s="15" t="s">
        <v>189</v>
      </c>
      <c r="P95" s="15" t="s">
        <v>190</v>
      </c>
      <c r="Q95" s="15" t="s">
        <v>206</v>
      </c>
      <c r="R95" s="13" t="s">
        <v>207</v>
      </c>
      <c r="S95" s="13" t="s">
        <v>103</v>
      </c>
      <c r="T95" s="13" t="s">
        <v>104</v>
      </c>
      <c r="U95" s="14">
        <v>40725</v>
      </c>
      <c r="V95" s="14">
        <v>44633</v>
      </c>
      <c r="W95" s="15"/>
      <c r="X95" s="13"/>
      <c r="Y95" s="15"/>
      <c r="Z95" s="13"/>
      <c r="AA95" s="15"/>
      <c r="AB95" s="13"/>
      <c r="AC95" s="15"/>
      <c r="AD95" s="13"/>
      <c r="AE95" s="15"/>
      <c r="AF95" s="13"/>
      <c r="AG95" s="15"/>
      <c r="AH95" s="13"/>
      <c r="AI95" s="15"/>
      <c r="AJ95" s="13"/>
      <c r="AK95" s="15"/>
      <c r="AL95" s="13"/>
      <c r="AM95" s="15"/>
    </row>
    <row r="96" spans="1:39" ht="135" x14ac:dyDescent="0.25">
      <c r="A96" s="13" t="s">
        <v>301</v>
      </c>
      <c r="B96" s="13" t="s">
        <v>153</v>
      </c>
      <c r="C96" s="14">
        <v>44713.620833333334</v>
      </c>
      <c r="D96" s="13" t="s">
        <v>88</v>
      </c>
      <c r="E96" s="15" t="s">
        <v>89</v>
      </c>
      <c r="F96" s="13" t="s">
        <v>90</v>
      </c>
      <c r="G96" s="15" t="s">
        <v>91</v>
      </c>
      <c r="H96" s="13" t="s">
        <v>286</v>
      </c>
      <c r="I96" s="15" t="s">
        <v>287</v>
      </c>
      <c r="J96" s="15" t="s">
        <v>288</v>
      </c>
      <c r="K96" s="15" t="s">
        <v>289</v>
      </c>
      <c r="L96" s="13" t="s">
        <v>294</v>
      </c>
      <c r="M96" s="15" t="s">
        <v>295</v>
      </c>
      <c r="N96" s="13" t="s">
        <v>188</v>
      </c>
      <c r="O96" s="15" t="s">
        <v>189</v>
      </c>
      <c r="P96" s="15" t="s">
        <v>190</v>
      </c>
      <c r="Q96" s="15" t="s">
        <v>206</v>
      </c>
      <c r="R96" s="13" t="s">
        <v>207</v>
      </c>
      <c r="S96" s="13" t="s">
        <v>103</v>
      </c>
      <c r="T96" s="13" t="s">
        <v>104</v>
      </c>
      <c r="U96" s="14">
        <v>44634</v>
      </c>
      <c r="V96" s="14"/>
      <c r="W96" s="15"/>
      <c r="X96" s="13"/>
      <c r="Y96" s="15"/>
      <c r="Z96" s="13"/>
      <c r="AA96" s="15"/>
      <c r="AB96" s="13"/>
      <c r="AC96" s="15"/>
      <c r="AD96" s="13"/>
      <c r="AE96" s="15"/>
      <c r="AF96" s="13"/>
      <c r="AG96" s="15"/>
      <c r="AH96" s="13"/>
      <c r="AI96" s="15"/>
      <c r="AJ96" s="13"/>
      <c r="AK96" s="15"/>
      <c r="AL96" s="13"/>
      <c r="AM96" s="15"/>
    </row>
    <row r="97" spans="1:39" ht="135" x14ac:dyDescent="0.25">
      <c r="A97" s="13" t="s">
        <v>202</v>
      </c>
      <c r="B97" s="13" t="s">
        <v>153</v>
      </c>
      <c r="C97" s="14">
        <v>43152.5</v>
      </c>
      <c r="D97" s="13" t="s">
        <v>88</v>
      </c>
      <c r="E97" s="15" t="s">
        <v>89</v>
      </c>
      <c r="F97" s="13" t="s">
        <v>90</v>
      </c>
      <c r="G97" s="15" t="s">
        <v>91</v>
      </c>
      <c r="H97" s="13" t="s">
        <v>286</v>
      </c>
      <c r="I97" s="15" t="s">
        <v>287</v>
      </c>
      <c r="J97" s="15" t="s">
        <v>288</v>
      </c>
      <c r="K97" s="15" t="s">
        <v>289</v>
      </c>
      <c r="L97" s="13" t="s">
        <v>290</v>
      </c>
      <c r="M97" s="15" t="s">
        <v>291</v>
      </c>
      <c r="N97" s="13" t="s">
        <v>98</v>
      </c>
      <c r="O97" s="15" t="s">
        <v>99</v>
      </c>
      <c r="P97" s="15" t="s">
        <v>100</v>
      </c>
      <c r="Q97" s="15" t="s">
        <v>208</v>
      </c>
      <c r="R97" s="13" t="s">
        <v>209</v>
      </c>
      <c r="S97" s="13" t="s">
        <v>103</v>
      </c>
      <c r="T97" s="13" t="s">
        <v>205</v>
      </c>
      <c r="U97" s="14">
        <v>40725</v>
      </c>
      <c r="V97" s="14"/>
      <c r="W97" s="15"/>
      <c r="X97" s="13"/>
      <c r="Y97" s="15"/>
      <c r="Z97" s="13"/>
      <c r="AA97" s="15"/>
      <c r="AB97" s="13"/>
      <c r="AC97" s="15"/>
      <c r="AD97" s="13"/>
      <c r="AE97" s="15"/>
      <c r="AF97" s="13"/>
      <c r="AG97" s="15"/>
      <c r="AH97" s="13"/>
      <c r="AI97" s="15"/>
      <c r="AJ97" s="13"/>
      <c r="AK97" s="15"/>
      <c r="AL97" s="13"/>
      <c r="AM97" s="15"/>
    </row>
    <row r="98" spans="1:39" ht="135" x14ac:dyDescent="0.25">
      <c r="A98" s="13" t="s">
        <v>202</v>
      </c>
      <c r="B98" s="13" t="s">
        <v>153</v>
      </c>
      <c r="C98" s="14">
        <v>43152.5</v>
      </c>
      <c r="D98" s="13" t="s">
        <v>88</v>
      </c>
      <c r="E98" s="15" t="s">
        <v>89</v>
      </c>
      <c r="F98" s="13" t="s">
        <v>90</v>
      </c>
      <c r="G98" s="15" t="s">
        <v>91</v>
      </c>
      <c r="H98" s="13" t="s">
        <v>286</v>
      </c>
      <c r="I98" s="15" t="s">
        <v>287</v>
      </c>
      <c r="J98" s="15" t="s">
        <v>288</v>
      </c>
      <c r="K98" s="15" t="s">
        <v>289</v>
      </c>
      <c r="L98" s="13" t="s">
        <v>292</v>
      </c>
      <c r="M98" s="15" t="s">
        <v>293</v>
      </c>
      <c r="N98" s="13" t="s">
        <v>98</v>
      </c>
      <c r="O98" s="15" t="s">
        <v>170</v>
      </c>
      <c r="P98" s="15" t="s">
        <v>171</v>
      </c>
      <c r="Q98" s="15" t="s">
        <v>208</v>
      </c>
      <c r="R98" s="13" t="s">
        <v>209</v>
      </c>
      <c r="S98" s="13" t="s">
        <v>103</v>
      </c>
      <c r="T98" s="13" t="s">
        <v>205</v>
      </c>
      <c r="U98" s="14">
        <v>40725</v>
      </c>
      <c r="V98" s="14"/>
      <c r="W98" s="15"/>
      <c r="X98" s="13"/>
      <c r="Y98" s="15"/>
      <c r="Z98" s="13"/>
      <c r="AA98" s="15"/>
      <c r="AB98" s="13"/>
      <c r="AC98" s="15"/>
      <c r="AD98" s="13"/>
      <c r="AE98" s="15"/>
      <c r="AF98" s="13"/>
      <c r="AG98" s="15"/>
      <c r="AH98" s="13"/>
      <c r="AI98" s="15"/>
      <c r="AJ98" s="13"/>
      <c r="AK98" s="15"/>
      <c r="AL98" s="13"/>
      <c r="AM98" s="15"/>
    </row>
    <row r="99" spans="1:39" ht="135" x14ac:dyDescent="0.25">
      <c r="A99" s="13" t="s">
        <v>202</v>
      </c>
      <c r="B99" s="13" t="s">
        <v>153</v>
      </c>
      <c r="C99" s="14">
        <v>43152.5</v>
      </c>
      <c r="D99" s="13" t="s">
        <v>88</v>
      </c>
      <c r="E99" s="15" t="s">
        <v>89</v>
      </c>
      <c r="F99" s="13" t="s">
        <v>90</v>
      </c>
      <c r="G99" s="15" t="s">
        <v>91</v>
      </c>
      <c r="H99" s="13" t="s">
        <v>286</v>
      </c>
      <c r="I99" s="15" t="s">
        <v>287</v>
      </c>
      <c r="J99" s="15" t="s">
        <v>288</v>
      </c>
      <c r="K99" s="15" t="s">
        <v>289</v>
      </c>
      <c r="L99" s="13" t="s">
        <v>294</v>
      </c>
      <c r="M99" s="15" t="s">
        <v>295</v>
      </c>
      <c r="N99" s="13" t="s">
        <v>188</v>
      </c>
      <c r="O99" s="15" t="s">
        <v>189</v>
      </c>
      <c r="P99" s="15" t="s">
        <v>190</v>
      </c>
      <c r="Q99" s="15" t="s">
        <v>208</v>
      </c>
      <c r="R99" s="13" t="s">
        <v>209</v>
      </c>
      <c r="S99" s="13" t="s">
        <v>103</v>
      </c>
      <c r="T99" s="13" t="s">
        <v>205</v>
      </c>
      <c r="U99" s="14">
        <v>40725</v>
      </c>
      <c r="V99" s="14"/>
      <c r="W99" s="15"/>
      <c r="X99" s="13"/>
      <c r="Y99" s="15"/>
      <c r="Z99" s="13"/>
      <c r="AA99" s="15"/>
      <c r="AB99" s="13"/>
      <c r="AC99" s="15"/>
      <c r="AD99" s="13"/>
      <c r="AE99" s="15"/>
      <c r="AF99" s="13"/>
      <c r="AG99" s="15"/>
      <c r="AH99" s="13"/>
      <c r="AI99" s="15"/>
      <c r="AJ99" s="13"/>
      <c r="AK99" s="15"/>
      <c r="AL99" s="13"/>
      <c r="AM99" s="15"/>
    </row>
    <row r="100" spans="1:39" ht="150" x14ac:dyDescent="0.25">
      <c r="A100" s="13" t="s">
        <v>202</v>
      </c>
      <c r="B100" s="13" t="s">
        <v>153</v>
      </c>
      <c r="C100" s="14">
        <v>43152.5</v>
      </c>
      <c r="D100" s="13" t="s">
        <v>88</v>
      </c>
      <c r="E100" s="15" t="s">
        <v>89</v>
      </c>
      <c r="F100" s="13" t="s">
        <v>90</v>
      </c>
      <c r="G100" s="15" t="s">
        <v>91</v>
      </c>
      <c r="H100" s="13" t="s">
        <v>312</v>
      </c>
      <c r="I100" s="15" t="s">
        <v>313</v>
      </c>
      <c r="J100" s="15" t="s">
        <v>314</v>
      </c>
      <c r="K100" s="15" t="s">
        <v>315</v>
      </c>
      <c r="L100" s="13" t="s">
        <v>316</v>
      </c>
      <c r="M100" s="15" t="s">
        <v>317</v>
      </c>
      <c r="N100" s="13" t="s">
        <v>98</v>
      </c>
      <c r="O100" s="15" t="s">
        <v>99</v>
      </c>
      <c r="P100" s="15" t="s">
        <v>100</v>
      </c>
      <c r="Q100" s="15" t="s">
        <v>101</v>
      </c>
      <c r="R100" s="13" t="s">
        <v>102</v>
      </c>
      <c r="S100" s="13" t="s">
        <v>103</v>
      </c>
      <c r="T100" s="13" t="s">
        <v>205</v>
      </c>
      <c r="U100" s="14">
        <v>40725</v>
      </c>
      <c r="V100" s="14"/>
      <c r="W100" s="15"/>
      <c r="X100" s="13"/>
      <c r="Y100" s="15"/>
      <c r="Z100" s="13"/>
      <c r="AA100" s="15"/>
      <c r="AB100" s="13"/>
      <c r="AC100" s="15"/>
      <c r="AD100" s="13"/>
      <c r="AE100" s="15"/>
      <c r="AF100" s="13"/>
      <c r="AG100" s="15"/>
      <c r="AH100" s="13"/>
      <c r="AI100" s="15"/>
      <c r="AJ100" s="13"/>
      <c r="AK100" s="15"/>
      <c r="AL100" s="13"/>
      <c r="AM100" s="15"/>
    </row>
    <row r="101" spans="1:39" ht="150" x14ac:dyDescent="0.25">
      <c r="A101" s="13" t="s">
        <v>202</v>
      </c>
      <c r="B101" s="13" t="s">
        <v>153</v>
      </c>
      <c r="C101" s="14">
        <v>43152.5</v>
      </c>
      <c r="D101" s="13" t="s">
        <v>88</v>
      </c>
      <c r="E101" s="15" t="s">
        <v>89</v>
      </c>
      <c r="F101" s="13" t="s">
        <v>90</v>
      </c>
      <c r="G101" s="15" t="s">
        <v>91</v>
      </c>
      <c r="H101" s="13" t="s">
        <v>312</v>
      </c>
      <c r="I101" s="15" t="s">
        <v>313</v>
      </c>
      <c r="J101" s="15" t="s">
        <v>314</v>
      </c>
      <c r="K101" s="15" t="s">
        <v>315</v>
      </c>
      <c r="L101" s="13" t="s">
        <v>318</v>
      </c>
      <c r="M101" s="15" t="s">
        <v>319</v>
      </c>
      <c r="N101" s="13" t="s">
        <v>98</v>
      </c>
      <c r="O101" s="15" t="s">
        <v>170</v>
      </c>
      <c r="P101" s="15" t="s">
        <v>171</v>
      </c>
      <c r="Q101" s="15" t="s">
        <v>101</v>
      </c>
      <c r="R101" s="13" t="s">
        <v>102</v>
      </c>
      <c r="S101" s="13" t="s">
        <v>103</v>
      </c>
      <c r="T101" s="13" t="s">
        <v>205</v>
      </c>
      <c r="U101" s="14">
        <v>40725</v>
      </c>
      <c r="V101" s="14"/>
      <c r="W101" s="15"/>
      <c r="X101" s="13"/>
      <c r="Y101" s="15"/>
      <c r="Z101" s="13"/>
      <c r="AA101" s="15"/>
      <c r="AB101" s="13"/>
      <c r="AC101" s="15"/>
      <c r="AD101" s="13"/>
      <c r="AE101" s="15"/>
      <c r="AF101" s="13"/>
      <c r="AG101" s="15"/>
      <c r="AH101" s="13"/>
      <c r="AI101" s="15"/>
      <c r="AJ101" s="13"/>
      <c r="AK101" s="15"/>
      <c r="AL101" s="13"/>
      <c r="AM101" s="15"/>
    </row>
    <row r="102" spans="1:39" ht="150" x14ac:dyDescent="0.25">
      <c r="A102" s="13" t="s">
        <v>202</v>
      </c>
      <c r="B102" s="13" t="s">
        <v>153</v>
      </c>
      <c r="C102" s="14">
        <v>43152.5</v>
      </c>
      <c r="D102" s="13" t="s">
        <v>88</v>
      </c>
      <c r="E102" s="15" t="s">
        <v>89</v>
      </c>
      <c r="F102" s="13" t="s">
        <v>90</v>
      </c>
      <c r="G102" s="15" t="s">
        <v>91</v>
      </c>
      <c r="H102" s="13" t="s">
        <v>312</v>
      </c>
      <c r="I102" s="15" t="s">
        <v>313</v>
      </c>
      <c r="J102" s="15" t="s">
        <v>314</v>
      </c>
      <c r="K102" s="15" t="s">
        <v>315</v>
      </c>
      <c r="L102" s="13" t="s">
        <v>320</v>
      </c>
      <c r="M102" s="15" t="s">
        <v>321</v>
      </c>
      <c r="N102" s="13" t="s">
        <v>188</v>
      </c>
      <c r="O102" s="15" t="s">
        <v>189</v>
      </c>
      <c r="P102" s="15" t="s">
        <v>190</v>
      </c>
      <c r="Q102" s="15" t="s">
        <v>101</v>
      </c>
      <c r="R102" s="13" t="s">
        <v>102</v>
      </c>
      <c r="S102" s="13" t="s">
        <v>103</v>
      </c>
      <c r="T102" s="13" t="s">
        <v>205</v>
      </c>
      <c r="U102" s="14">
        <v>40725</v>
      </c>
      <c r="V102" s="14"/>
      <c r="W102" s="15"/>
      <c r="X102" s="13"/>
      <c r="Y102" s="15"/>
      <c r="Z102" s="13"/>
      <c r="AA102" s="15"/>
      <c r="AB102" s="13"/>
      <c r="AC102" s="15"/>
      <c r="AD102" s="13"/>
      <c r="AE102" s="15"/>
      <c r="AF102" s="13"/>
      <c r="AG102" s="15"/>
      <c r="AH102" s="13"/>
      <c r="AI102" s="15"/>
      <c r="AJ102" s="13"/>
      <c r="AK102" s="15"/>
      <c r="AL102" s="13"/>
      <c r="AM102" s="15"/>
    </row>
    <row r="103" spans="1:39" ht="150" x14ac:dyDescent="0.25">
      <c r="A103" s="13" t="s">
        <v>202</v>
      </c>
      <c r="B103" s="13" t="s">
        <v>153</v>
      </c>
      <c r="C103" s="14">
        <v>43152.5</v>
      </c>
      <c r="D103" s="13" t="s">
        <v>88</v>
      </c>
      <c r="E103" s="15" t="s">
        <v>89</v>
      </c>
      <c r="F103" s="13" t="s">
        <v>90</v>
      </c>
      <c r="G103" s="15" t="s">
        <v>91</v>
      </c>
      <c r="H103" s="13" t="s">
        <v>312</v>
      </c>
      <c r="I103" s="15" t="s">
        <v>313</v>
      </c>
      <c r="J103" s="15" t="s">
        <v>314</v>
      </c>
      <c r="K103" s="15" t="s">
        <v>315</v>
      </c>
      <c r="L103" s="13" t="s">
        <v>316</v>
      </c>
      <c r="M103" s="15" t="s">
        <v>317</v>
      </c>
      <c r="N103" s="13" t="s">
        <v>98</v>
      </c>
      <c r="O103" s="15" t="s">
        <v>99</v>
      </c>
      <c r="P103" s="15" t="s">
        <v>100</v>
      </c>
      <c r="Q103" s="15" t="s">
        <v>203</v>
      </c>
      <c r="R103" s="13" t="s">
        <v>204</v>
      </c>
      <c r="S103" s="13" t="s">
        <v>103</v>
      </c>
      <c r="T103" s="13" t="s">
        <v>205</v>
      </c>
      <c r="U103" s="14">
        <v>40725</v>
      </c>
      <c r="V103" s="14"/>
      <c r="W103" s="15"/>
      <c r="X103" s="13"/>
      <c r="Y103" s="15"/>
      <c r="Z103" s="13"/>
      <c r="AA103" s="15"/>
      <c r="AB103" s="13"/>
      <c r="AC103" s="15"/>
      <c r="AD103" s="13"/>
      <c r="AE103" s="15"/>
      <c r="AF103" s="13"/>
      <c r="AG103" s="15"/>
      <c r="AH103" s="13"/>
      <c r="AI103" s="15"/>
      <c r="AJ103" s="13"/>
      <c r="AK103" s="15"/>
      <c r="AL103" s="13"/>
      <c r="AM103" s="15"/>
    </row>
    <row r="104" spans="1:39" ht="150" x14ac:dyDescent="0.25">
      <c r="A104" s="13" t="s">
        <v>202</v>
      </c>
      <c r="B104" s="13" t="s">
        <v>153</v>
      </c>
      <c r="C104" s="14">
        <v>43152.5</v>
      </c>
      <c r="D104" s="13" t="s">
        <v>88</v>
      </c>
      <c r="E104" s="15" t="s">
        <v>89</v>
      </c>
      <c r="F104" s="13" t="s">
        <v>90</v>
      </c>
      <c r="G104" s="15" t="s">
        <v>91</v>
      </c>
      <c r="H104" s="13" t="s">
        <v>312</v>
      </c>
      <c r="I104" s="15" t="s">
        <v>313</v>
      </c>
      <c r="J104" s="15" t="s">
        <v>314</v>
      </c>
      <c r="K104" s="15" t="s">
        <v>315</v>
      </c>
      <c r="L104" s="13" t="s">
        <v>318</v>
      </c>
      <c r="M104" s="15" t="s">
        <v>319</v>
      </c>
      <c r="N104" s="13" t="s">
        <v>98</v>
      </c>
      <c r="O104" s="15" t="s">
        <v>170</v>
      </c>
      <c r="P104" s="15" t="s">
        <v>171</v>
      </c>
      <c r="Q104" s="15" t="s">
        <v>203</v>
      </c>
      <c r="R104" s="13" t="s">
        <v>204</v>
      </c>
      <c r="S104" s="13" t="s">
        <v>103</v>
      </c>
      <c r="T104" s="13" t="s">
        <v>205</v>
      </c>
      <c r="U104" s="14">
        <v>40725</v>
      </c>
      <c r="V104" s="14"/>
      <c r="W104" s="15"/>
      <c r="X104" s="13"/>
      <c r="Y104" s="15"/>
      <c r="Z104" s="13"/>
      <c r="AA104" s="15"/>
      <c r="AB104" s="13"/>
      <c r="AC104" s="15"/>
      <c r="AD104" s="13"/>
      <c r="AE104" s="15"/>
      <c r="AF104" s="13"/>
      <c r="AG104" s="15"/>
      <c r="AH104" s="13"/>
      <c r="AI104" s="15"/>
      <c r="AJ104" s="13"/>
      <c r="AK104" s="15"/>
      <c r="AL104" s="13"/>
      <c r="AM104" s="15"/>
    </row>
    <row r="105" spans="1:39" ht="150" x14ac:dyDescent="0.25">
      <c r="A105" s="13" t="s">
        <v>202</v>
      </c>
      <c r="B105" s="13" t="s">
        <v>153</v>
      </c>
      <c r="C105" s="14">
        <v>43152.5</v>
      </c>
      <c r="D105" s="13" t="s">
        <v>88</v>
      </c>
      <c r="E105" s="15" t="s">
        <v>89</v>
      </c>
      <c r="F105" s="13" t="s">
        <v>90</v>
      </c>
      <c r="G105" s="15" t="s">
        <v>91</v>
      </c>
      <c r="H105" s="13" t="s">
        <v>312</v>
      </c>
      <c r="I105" s="15" t="s">
        <v>313</v>
      </c>
      <c r="J105" s="15" t="s">
        <v>314</v>
      </c>
      <c r="K105" s="15" t="s">
        <v>315</v>
      </c>
      <c r="L105" s="13" t="s">
        <v>320</v>
      </c>
      <c r="M105" s="15" t="s">
        <v>321</v>
      </c>
      <c r="N105" s="13" t="s">
        <v>188</v>
      </c>
      <c r="O105" s="15" t="s">
        <v>189</v>
      </c>
      <c r="P105" s="15" t="s">
        <v>190</v>
      </c>
      <c r="Q105" s="15" t="s">
        <v>203</v>
      </c>
      <c r="R105" s="13" t="s">
        <v>204</v>
      </c>
      <c r="S105" s="13" t="s">
        <v>103</v>
      </c>
      <c r="T105" s="13" t="s">
        <v>205</v>
      </c>
      <c r="U105" s="14">
        <v>40725</v>
      </c>
      <c r="V105" s="14"/>
      <c r="W105" s="15"/>
      <c r="X105" s="13"/>
      <c r="Y105" s="15"/>
      <c r="Z105" s="13"/>
      <c r="AA105" s="15"/>
      <c r="AB105" s="13"/>
      <c r="AC105" s="15"/>
      <c r="AD105" s="13"/>
      <c r="AE105" s="15"/>
      <c r="AF105" s="13"/>
      <c r="AG105" s="15"/>
      <c r="AH105" s="13"/>
      <c r="AI105" s="15"/>
      <c r="AJ105" s="13"/>
      <c r="AK105" s="15"/>
      <c r="AL105" s="13"/>
      <c r="AM105" s="15"/>
    </row>
    <row r="106" spans="1:39" ht="165" x14ac:dyDescent="0.25">
      <c r="A106" s="13" t="s">
        <v>86</v>
      </c>
      <c r="B106" s="13" t="s">
        <v>87</v>
      </c>
      <c r="C106" s="14">
        <v>43850.552083333336</v>
      </c>
      <c r="D106" s="13" t="s">
        <v>88</v>
      </c>
      <c r="E106" s="15" t="s">
        <v>89</v>
      </c>
      <c r="F106" s="13" t="s">
        <v>90</v>
      </c>
      <c r="G106" s="15" t="s">
        <v>91</v>
      </c>
      <c r="H106" s="13" t="s">
        <v>312</v>
      </c>
      <c r="I106" s="15" t="s">
        <v>313</v>
      </c>
      <c r="J106" s="15" t="s">
        <v>314</v>
      </c>
      <c r="K106" s="15" t="s">
        <v>315</v>
      </c>
      <c r="L106" s="13" t="s">
        <v>316</v>
      </c>
      <c r="M106" s="15" t="s">
        <v>317</v>
      </c>
      <c r="N106" s="13" t="s">
        <v>98</v>
      </c>
      <c r="O106" s="15" t="s">
        <v>99</v>
      </c>
      <c r="P106" s="15" t="s">
        <v>100</v>
      </c>
      <c r="Q106" s="15" t="s">
        <v>206</v>
      </c>
      <c r="R106" s="13" t="s">
        <v>207</v>
      </c>
      <c r="S106" s="13" t="s">
        <v>103</v>
      </c>
      <c r="T106" s="13" t="s">
        <v>104</v>
      </c>
      <c r="U106" s="14">
        <v>40725</v>
      </c>
      <c r="V106" s="14">
        <v>43830</v>
      </c>
      <c r="W106" s="15" t="s">
        <v>720</v>
      </c>
      <c r="X106" s="13" t="s">
        <v>721</v>
      </c>
      <c r="Y106" s="15" t="str">
        <f>VLOOKUP(X106,'Axe 2 Règles de gestion'!$D$2:$F$121,3, FALSE)</f>
        <v>Rémunération : L'agent perçoit la rémunération et bénéficie du régime indemnitaire de son corps ou cadre d'emplois.</v>
      </c>
      <c r="Z106" s="13" t="s">
        <v>723</v>
      </c>
      <c r="AA106" s="15" t="str">
        <f>VLOOKUP(Z106,'Axe 2 Règles de gestion'!$D$2:$F$121,3, FALSE)</f>
        <v>Classement : L'agent est classé dans son corps d'accueil.</v>
      </c>
      <c r="AB106" s="13" t="s">
        <v>725</v>
      </c>
      <c r="AC106" s="15" t="str">
        <f>VLOOKUP(AB106,'Axe 2 Règles de gestion'!$D$2:$F$121,3, FALSE)</f>
        <v>Carrière : L'agent bénéficie du droit à avancement de son corps d'accueil.</v>
      </c>
      <c r="AD106" s="13" t="s">
        <v>707</v>
      </c>
      <c r="AE106" s="15" t="str">
        <f>VLOOKUP(AD106,'Axe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06" s="13" t="s">
        <v>709</v>
      </c>
      <c r="AG106" s="15" t="str">
        <f>VLOOKUP(AF106,'Axe 2 Règles de gestion'!$D$2:$F$121,3, FALSE)</f>
        <v>Congés annuels : L'agent cumule des droits à congé.</v>
      </c>
      <c r="AH106" s="13" t="s">
        <v>711</v>
      </c>
      <c r="AI106" s="15" t="str">
        <f>VLOOKUP(AH106,'Axe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06" s="13" t="s">
        <v>713</v>
      </c>
      <c r="AK106" s="15" t="str">
        <f>VLOOKUP(AJ106,'Axe 2 Règles de gestion'!$D$2:$F$121,3, FALSE)</f>
        <v>Acte : Un acte administratif doit être produit.</v>
      </c>
      <c r="AL106" s="13"/>
      <c r="AM106" s="15"/>
    </row>
    <row r="107" spans="1:39" ht="165" x14ac:dyDescent="0.25">
      <c r="A107" s="13" t="s">
        <v>86</v>
      </c>
      <c r="B107" s="13" t="s">
        <v>153</v>
      </c>
      <c r="C107" s="14">
        <v>44008.583333333336</v>
      </c>
      <c r="D107" s="13" t="s">
        <v>88</v>
      </c>
      <c r="E107" s="15" t="s">
        <v>89</v>
      </c>
      <c r="F107" s="13" t="s">
        <v>90</v>
      </c>
      <c r="G107" s="15" t="s">
        <v>91</v>
      </c>
      <c r="H107" s="13" t="s">
        <v>312</v>
      </c>
      <c r="I107" s="15" t="s">
        <v>313</v>
      </c>
      <c r="J107" s="15" t="s">
        <v>314</v>
      </c>
      <c r="K107" s="15" t="s">
        <v>315</v>
      </c>
      <c r="L107" s="13" t="s">
        <v>316</v>
      </c>
      <c r="M107" s="15" t="s">
        <v>317</v>
      </c>
      <c r="N107" s="13" t="s">
        <v>98</v>
      </c>
      <c r="O107" s="15" t="s">
        <v>99</v>
      </c>
      <c r="P107" s="15" t="s">
        <v>100</v>
      </c>
      <c r="Q107" s="15" t="s">
        <v>206</v>
      </c>
      <c r="R107" s="13" t="s">
        <v>207</v>
      </c>
      <c r="S107" s="13" t="s">
        <v>103</v>
      </c>
      <c r="T107" s="13" t="s">
        <v>104</v>
      </c>
      <c r="U107" s="14">
        <v>43831</v>
      </c>
      <c r="V107" s="14"/>
      <c r="W107" s="15" t="s">
        <v>720</v>
      </c>
      <c r="X107" s="13" t="s">
        <v>721</v>
      </c>
      <c r="Y107" s="15" t="str">
        <f>VLOOKUP(X107,'Axe 2 Règles de gestion'!$D$2:$F$121,3, FALSE)</f>
        <v>Rémunération : L'agent perçoit la rémunération et bénéficie du régime indemnitaire de son corps ou cadre d'emplois.</v>
      </c>
      <c r="Z107" s="13" t="s">
        <v>723</v>
      </c>
      <c r="AA107" s="15" t="str">
        <f>VLOOKUP(Z107,'Axe 2 Règles de gestion'!$D$2:$F$121,3, FALSE)</f>
        <v>Classement : L'agent est classé dans son corps d'accueil.</v>
      </c>
      <c r="AB107" s="13" t="s">
        <v>725</v>
      </c>
      <c r="AC107" s="15" t="str">
        <f>VLOOKUP(AB107,'Axe 2 Règles de gestion'!$D$2:$F$121,3, FALSE)</f>
        <v>Carrière : L'agent bénéficie du droit à avancement de son corps d'accueil.</v>
      </c>
      <c r="AD107" s="13" t="s">
        <v>707</v>
      </c>
      <c r="AE107" s="15" t="str">
        <f>VLOOKUP(AD107,'Axe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07" s="13" t="s">
        <v>709</v>
      </c>
      <c r="AG107" s="15" t="str">
        <f>VLOOKUP(AF107,'Axe 2 Règles de gestion'!$D$2:$F$121,3, FALSE)</f>
        <v>Congés annuels : L'agent cumule des droits à congé.</v>
      </c>
      <c r="AH107" s="13" t="s">
        <v>711</v>
      </c>
      <c r="AI107" s="15" t="str">
        <f>VLOOKUP(AH107,'Axe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07" s="13" t="s">
        <v>713</v>
      </c>
      <c r="AK107" s="15" t="str">
        <f>VLOOKUP(AJ107,'Axe 2 Règles de gestion'!$D$2:$F$121,3, FALSE)</f>
        <v>Acte : Un acte administratif doit être produit.</v>
      </c>
      <c r="AL107" s="13"/>
      <c r="AM107" s="15"/>
    </row>
    <row r="108" spans="1:39" ht="165" x14ac:dyDescent="0.25">
      <c r="A108" s="13" t="s">
        <v>86</v>
      </c>
      <c r="B108" s="13" t="s">
        <v>87</v>
      </c>
      <c r="C108" s="14">
        <v>43850.552083333336</v>
      </c>
      <c r="D108" s="13" t="s">
        <v>88</v>
      </c>
      <c r="E108" s="15" t="s">
        <v>89</v>
      </c>
      <c r="F108" s="13" t="s">
        <v>90</v>
      </c>
      <c r="G108" s="15" t="s">
        <v>91</v>
      </c>
      <c r="H108" s="13" t="s">
        <v>312</v>
      </c>
      <c r="I108" s="15" t="s">
        <v>313</v>
      </c>
      <c r="J108" s="15" t="s">
        <v>314</v>
      </c>
      <c r="K108" s="15" t="s">
        <v>315</v>
      </c>
      <c r="L108" s="13" t="s">
        <v>318</v>
      </c>
      <c r="M108" s="15" t="s">
        <v>319</v>
      </c>
      <c r="N108" s="13" t="s">
        <v>98</v>
      </c>
      <c r="O108" s="15" t="s">
        <v>170</v>
      </c>
      <c r="P108" s="15" t="s">
        <v>171</v>
      </c>
      <c r="Q108" s="15" t="s">
        <v>206</v>
      </c>
      <c r="R108" s="13" t="s">
        <v>207</v>
      </c>
      <c r="S108" s="13" t="s">
        <v>103</v>
      </c>
      <c r="T108" s="13" t="s">
        <v>104</v>
      </c>
      <c r="U108" s="14">
        <v>40725</v>
      </c>
      <c r="V108" s="14"/>
      <c r="W108" s="15" t="s">
        <v>720</v>
      </c>
      <c r="X108" s="13" t="s">
        <v>721</v>
      </c>
      <c r="Y108" s="15" t="str">
        <f>VLOOKUP(X108,'Axe 2 Règles de gestion'!$D$2:$F$121,3, FALSE)</f>
        <v>Rémunération : L'agent perçoit la rémunération et bénéficie du régime indemnitaire de son corps ou cadre d'emplois.</v>
      </c>
      <c r="Z108" s="13" t="s">
        <v>723</v>
      </c>
      <c r="AA108" s="15" t="str">
        <f>VLOOKUP(Z108,'Axe 2 Règles de gestion'!$D$2:$F$121,3, FALSE)</f>
        <v>Classement : L'agent est classé dans son corps d'accueil.</v>
      </c>
      <c r="AB108" s="13" t="s">
        <v>725</v>
      </c>
      <c r="AC108" s="15" t="str">
        <f>VLOOKUP(AB108,'Axe 2 Règles de gestion'!$D$2:$F$121,3, FALSE)</f>
        <v>Carrière : L'agent bénéficie du droit à avancement de son corps d'accueil.</v>
      </c>
      <c r="AD108" s="13" t="s">
        <v>707</v>
      </c>
      <c r="AE108" s="15" t="str">
        <f>VLOOKUP(AD108,'Axe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08" s="13" t="s">
        <v>709</v>
      </c>
      <c r="AG108" s="15" t="str">
        <f>VLOOKUP(AF108,'Axe 2 Règles de gestion'!$D$2:$F$121,3, FALSE)</f>
        <v>Congés annuels : L'agent cumule des droits à congé.</v>
      </c>
      <c r="AH108" s="13" t="s">
        <v>711</v>
      </c>
      <c r="AI108" s="15" t="str">
        <f>VLOOKUP(AH108,'Axe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08" s="13" t="s">
        <v>713</v>
      </c>
      <c r="AK108" s="15" t="str">
        <f>VLOOKUP(AJ108,'Axe 2 Règles de gestion'!$D$2:$F$121,3, FALSE)</f>
        <v>Acte : Un acte administratif doit être produit.</v>
      </c>
      <c r="AL108" s="13"/>
      <c r="AM108" s="15"/>
    </row>
    <row r="109" spans="1:39" ht="150" x14ac:dyDescent="0.25">
      <c r="A109" s="13" t="s">
        <v>301</v>
      </c>
      <c r="B109" s="13" t="s">
        <v>87</v>
      </c>
      <c r="C109" s="14">
        <v>44713.623611111114</v>
      </c>
      <c r="D109" s="13" t="s">
        <v>88</v>
      </c>
      <c r="E109" s="15" t="s">
        <v>89</v>
      </c>
      <c r="F109" s="13" t="s">
        <v>90</v>
      </c>
      <c r="G109" s="15" t="s">
        <v>91</v>
      </c>
      <c r="H109" s="13" t="s">
        <v>312</v>
      </c>
      <c r="I109" s="15" t="s">
        <v>313</v>
      </c>
      <c r="J109" s="15" t="s">
        <v>314</v>
      </c>
      <c r="K109" s="15" t="s">
        <v>315</v>
      </c>
      <c r="L109" s="13" t="s">
        <v>320</v>
      </c>
      <c r="M109" s="15" t="s">
        <v>321</v>
      </c>
      <c r="N109" s="13" t="s">
        <v>188</v>
      </c>
      <c r="O109" s="15" t="s">
        <v>189</v>
      </c>
      <c r="P109" s="15" t="s">
        <v>190</v>
      </c>
      <c r="Q109" s="15" t="s">
        <v>206</v>
      </c>
      <c r="R109" s="13" t="s">
        <v>207</v>
      </c>
      <c r="S109" s="13" t="s">
        <v>103</v>
      </c>
      <c r="T109" s="13" t="s">
        <v>104</v>
      </c>
      <c r="U109" s="14">
        <v>40725</v>
      </c>
      <c r="V109" s="14">
        <v>44633</v>
      </c>
      <c r="W109" s="15"/>
      <c r="X109" s="13"/>
      <c r="Y109" s="15"/>
      <c r="Z109" s="13"/>
      <c r="AA109" s="15"/>
      <c r="AB109" s="13"/>
      <c r="AC109" s="15"/>
      <c r="AD109" s="13"/>
      <c r="AE109" s="15"/>
      <c r="AF109" s="13"/>
      <c r="AG109" s="15"/>
      <c r="AH109" s="13"/>
      <c r="AI109" s="15"/>
      <c r="AJ109" s="13"/>
      <c r="AK109" s="15"/>
      <c r="AL109" s="13"/>
      <c r="AM109" s="15"/>
    </row>
    <row r="110" spans="1:39" ht="150" x14ac:dyDescent="0.25">
      <c r="A110" s="13" t="s">
        <v>301</v>
      </c>
      <c r="B110" s="13" t="s">
        <v>153</v>
      </c>
      <c r="C110" s="14">
        <v>44713.624305555553</v>
      </c>
      <c r="D110" s="13" t="s">
        <v>88</v>
      </c>
      <c r="E110" s="15" t="s">
        <v>89</v>
      </c>
      <c r="F110" s="13" t="s">
        <v>90</v>
      </c>
      <c r="G110" s="15" t="s">
        <v>91</v>
      </c>
      <c r="H110" s="13" t="s">
        <v>312</v>
      </c>
      <c r="I110" s="15" t="s">
        <v>313</v>
      </c>
      <c r="J110" s="15" t="s">
        <v>314</v>
      </c>
      <c r="K110" s="15" t="s">
        <v>315</v>
      </c>
      <c r="L110" s="13" t="s">
        <v>320</v>
      </c>
      <c r="M110" s="15" t="s">
        <v>321</v>
      </c>
      <c r="N110" s="13" t="s">
        <v>188</v>
      </c>
      <c r="O110" s="15" t="s">
        <v>189</v>
      </c>
      <c r="P110" s="15" t="s">
        <v>190</v>
      </c>
      <c r="Q110" s="15" t="s">
        <v>206</v>
      </c>
      <c r="R110" s="13" t="s">
        <v>207</v>
      </c>
      <c r="S110" s="13" t="s">
        <v>103</v>
      </c>
      <c r="T110" s="13" t="s">
        <v>104</v>
      </c>
      <c r="U110" s="14">
        <v>44634</v>
      </c>
      <c r="V110" s="14"/>
      <c r="W110" s="15"/>
      <c r="X110" s="13"/>
      <c r="Y110" s="15"/>
      <c r="Z110" s="13"/>
      <c r="AA110" s="15"/>
      <c r="AB110" s="13"/>
      <c r="AC110" s="15"/>
      <c r="AD110" s="13"/>
      <c r="AE110" s="15"/>
      <c r="AF110" s="13"/>
      <c r="AG110" s="15"/>
      <c r="AH110" s="13"/>
      <c r="AI110" s="15"/>
      <c r="AJ110" s="13"/>
      <c r="AK110" s="15"/>
      <c r="AL110" s="13"/>
      <c r="AM110" s="15"/>
    </row>
    <row r="111" spans="1:39" ht="150" x14ac:dyDescent="0.25">
      <c r="A111" s="13" t="s">
        <v>202</v>
      </c>
      <c r="B111" s="13" t="s">
        <v>153</v>
      </c>
      <c r="C111" s="14">
        <v>43152.5</v>
      </c>
      <c r="D111" s="13" t="s">
        <v>88</v>
      </c>
      <c r="E111" s="15" t="s">
        <v>89</v>
      </c>
      <c r="F111" s="13" t="s">
        <v>90</v>
      </c>
      <c r="G111" s="15" t="s">
        <v>91</v>
      </c>
      <c r="H111" s="13" t="s">
        <v>312</v>
      </c>
      <c r="I111" s="15" t="s">
        <v>313</v>
      </c>
      <c r="J111" s="15" t="s">
        <v>314</v>
      </c>
      <c r="K111" s="15" t="s">
        <v>315</v>
      </c>
      <c r="L111" s="13" t="s">
        <v>316</v>
      </c>
      <c r="M111" s="15" t="s">
        <v>317</v>
      </c>
      <c r="N111" s="13" t="s">
        <v>98</v>
      </c>
      <c r="O111" s="15" t="s">
        <v>99</v>
      </c>
      <c r="P111" s="15" t="s">
        <v>100</v>
      </c>
      <c r="Q111" s="15" t="s">
        <v>208</v>
      </c>
      <c r="R111" s="13" t="s">
        <v>209</v>
      </c>
      <c r="S111" s="13" t="s">
        <v>103</v>
      </c>
      <c r="T111" s="13" t="s">
        <v>205</v>
      </c>
      <c r="U111" s="14">
        <v>40725</v>
      </c>
      <c r="V111" s="14"/>
      <c r="W111" s="15"/>
      <c r="X111" s="13"/>
      <c r="Y111" s="15"/>
      <c r="Z111" s="13"/>
      <c r="AA111" s="15"/>
      <c r="AB111" s="13"/>
      <c r="AC111" s="15"/>
      <c r="AD111" s="13"/>
      <c r="AE111" s="15"/>
      <c r="AF111" s="13"/>
      <c r="AG111" s="15"/>
      <c r="AH111" s="13"/>
      <c r="AI111" s="15"/>
      <c r="AJ111" s="13"/>
      <c r="AK111" s="15"/>
      <c r="AL111" s="13"/>
      <c r="AM111" s="15"/>
    </row>
    <row r="112" spans="1:39" ht="150" x14ac:dyDescent="0.25">
      <c r="A112" s="13" t="s">
        <v>202</v>
      </c>
      <c r="B112" s="13" t="s">
        <v>153</v>
      </c>
      <c r="C112" s="14">
        <v>43152.5</v>
      </c>
      <c r="D112" s="13" t="s">
        <v>88</v>
      </c>
      <c r="E112" s="15" t="s">
        <v>89</v>
      </c>
      <c r="F112" s="13" t="s">
        <v>90</v>
      </c>
      <c r="G112" s="15" t="s">
        <v>91</v>
      </c>
      <c r="H112" s="13" t="s">
        <v>312</v>
      </c>
      <c r="I112" s="15" t="s">
        <v>313</v>
      </c>
      <c r="J112" s="15" t="s">
        <v>314</v>
      </c>
      <c r="K112" s="15" t="s">
        <v>315</v>
      </c>
      <c r="L112" s="13" t="s">
        <v>318</v>
      </c>
      <c r="M112" s="15" t="s">
        <v>319</v>
      </c>
      <c r="N112" s="13" t="s">
        <v>98</v>
      </c>
      <c r="O112" s="15" t="s">
        <v>170</v>
      </c>
      <c r="P112" s="15" t="s">
        <v>171</v>
      </c>
      <c r="Q112" s="15" t="s">
        <v>208</v>
      </c>
      <c r="R112" s="13" t="s">
        <v>209</v>
      </c>
      <c r="S112" s="13" t="s">
        <v>103</v>
      </c>
      <c r="T112" s="13" t="s">
        <v>205</v>
      </c>
      <c r="U112" s="14">
        <v>40725</v>
      </c>
      <c r="V112" s="14"/>
      <c r="W112" s="15"/>
      <c r="X112" s="13"/>
      <c r="Y112" s="15"/>
      <c r="Z112" s="13"/>
      <c r="AA112" s="15"/>
      <c r="AB112" s="13"/>
      <c r="AC112" s="15"/>
      <c r="AD112" s="13"/>
      <c r="AE112" s="15"/>
      <c r="AF112" s="13"/>
      <c r="AG112" s="15"/>
      <c r="AH112" s="13"/>
      <c r="AI112" s="15"/>
      <c r="AJ112" s="13"/>
      <c r="AK112" s="15"/>
      <c r="AL112" s="13"/>
      <c r="AM112" s="15"/>
    </row>
    <row r="113" spans="1:39" ht="150" x14ac:dyDescent="0.25">
      <c r="A113" s="13" t="s">
        <v>202</v>
      </c>
      <c r="B113" s="13" t="s">
        <v>153</v>
      </c>
      <c r="C113" s="14">
        <v>43152.5</v>
      </c>
      <c r="D113" s="13" t="s">
        <v>88</v>
      </c>
      <c r="E113" s="15" t="s">
        <v>89</v>
      </c>
      <c r="F113" s="13" t="s">
        <v>90</v>
      </c>
      <c r="G113" s="15" t="s">
        <v>91</v>
      </c>
      <c r="H113" s="13" t="s">
        <v>312</v>
      </c>
      <c r="I113" s="15" t="s">
        <v>313</v>
      </c>
      <c r="J113" s="15" t="s">
        <v>314</v>
      </c>
      <c r="K113" s="15" t="s">
        <v>315</v>
      </c>
      <c r="L113" s="13" t="s">
        <v>320</v>
      </c>
      <c r="M113" s="15" t="s">
        <v>321</v>
      </c>
      <c r="N113" s="13" t="s">
        <v>188</v>
      </c>
      <c r="O113" s="15" t="s">
        <v>189</v>
      </c>
      <c r="P113" s="15" t="s">
        <v>190</v>
      </c>
      <c r="Q113" s="15" t="s">
        <v>208</v>
      </c>
      <c r="R113" s="13" t="s">
        <v>209</v>
      </c>
      <c r="S113" s="13" t="s">
        <v>103</v>
      </c>
      <c r="T113" s="13" t="s">
        <v>205</v>
      </c>
      <c r="U113" s="14">
        <v>40725</v>
      </c>
      <c r="V113" s="14"/>
      <c r="W113" s="15"/>
      <c r="X113" s="13"/>
      <c r="Y113" s="15"/>
      <c r="Z113" s="13"/>
      <c r="AA113" s="15"/>
      <c r="AB113" s="13"/>
      <c r="AC113" s="15"/>
      <c r="AD113" s="13"/>
      <c r="AE113" s="15"/>
      <c r="AF113" s="13"/>
      <c r="AG113" s="15"/>
      <c r="AH113" s="13"/>
      <c r="AI113" s="15"/>
      <c r="AJ113" s="13"/>
      <c r="AK113" s="15"/>
      <c r="AL113" s="13"/>
      <c r="AM113" s="15"/>
    </row>
    <row r="114" spans="1:39" ht="120" x14ac:dyDescent="0.25">
      <c r="A114" s="13" t="s">
        <v>202</v>
      </c>
      <c r="B114" s="13" t="s">
        <v>153</v>
      </c>
      <c r="C114" s="14">
        <v>43152.5</v>
      </c>
      <c r="D114" s="13" t="s">
        <v>88</v>
      </c>
      <c r="E114" s="15" t="s">
        <v>89</v>
      </c>
      <c r="F114" s="13" t="s">
        <v>90</v>
      </c>
      <c r="G114" s="15" t="s">
        <v>91</v>
      </c>
      <c r="H114" s="13" t="s">
        <v>322</v>
      </c>
      <c r="I114" s="15" t="s">
        <v>323</v>
      </c>
      <c r="J114" s="15" t="s">
        <v>324</v>
      </c>
      <c r="K114" s="15" t="s">
        <v>325</v>
      </c>
      <c r="L114" s="13" t="s">
        <v>326</v>
      </c>
      <c r="M114" s="15" t="s">
        <v>327</v>
      </c>
      <c r="N114" s="13" t="s">
        <v>98</v>
      </c>
      <c r="O114" s="15" t="s">
        <v>99</v>
      </c>
      <c r="P114" s="15" t="s">
        <v>100</v>
      </c>
      <c r="Q114" s="15" t="s">
        <v>101</v>
      </c>
      <c r="R114" s="13" t="s">
        <v>102</v>
      </c>
      <c r="S114" s="13" t="s">
        <v>103</v>
      </c>
      <c r="T114" s="13" t="s">
        <v>205</v>
      </c>
      <c r="U114" s="14">
        <v>40725</v>
      </c>
      <c r="V114" s="14"/>
      <c r="W114" s="15"/>
      <c r="X114" s="13"/>
      <c r="Y114" s="15"/>
      <c r="Z114" s="13"/>
      <c r="AA114" s="15"/>
      <c r="AB114" s="13"/>
      <c r="AC114" s="15"/>
      <c r="AD114" s="13"/>
      <c r="AE114" s="15"/>
      <c r="AF114" s="13"/>
      <c r="AG114" s="15"/>
      <c r="AH114" s="13"/>
      <c r="AI114" s="15"/>
      <c r="AJ114" s="13"/>
      <c r="AK114" s="15"/>
      <c r="AL114" s="13"/>
      <c r="AM114" s="15"/>
    </row>
    <row r="115" spans="1:39" ht="120" x14ac:dyDescent="0.25">
      <c r="A115" s="13" t="s">
        <v>202</v>
      </c>
      <c r="B115" s="13" t="s">
        <v>153</v>
      </c>
      <c r="C115" s="14">
        <v>43152.5</v>
      </c>
      <c r="D115" s="13" t="s">
        <v>88</v>
      </c>
      <c r="E115" s="15" t="s">
        <v>89</v>
      </c>
      <c r="F115" s="13" t="s">
        <v>90</v>
      </c>
      <c r="G115" s="15" t="s">
        <v>91</v>
      </c>
      <c r="H115" s="13" t="s">
        <v>322</v>
      </c>
      <c r="I115" s="15" t="s">
        <v>323</v>
      </c>
      <c r="J115" s="15" t="s">
        <v>324</v>
      </c>
      <c r="K115" s="15" t="s">
        <v>325</v>
      </c>
      <c r="L115" s="13" t="s">
        <v>328</v>
      </c>
      <c r="M115" s="15" t="s">
        <v>329</v>
      </c>
      <c r="N115" s="13" t="s">
        <v>98</v>
      </c>
      <c r="O115" s="15" t="s">
        <v>170</v>
      </c>
      <c r="P115" s="15" t="s">
        <v>171</v>
      </c>
      <c r="Q115" s="15" t="s">
        <v>101</v>
      </c>
      <c r="R115" s="13" t="s">
        <v>102</v>
      </c>
      <c r="S115" s="13" t="s">
        <v>103</v>
      </c>
      <c r="T115" s="13" t="s">
        <v>205</v>
      </c>
      <c r="U115" s="14">
        <v>40725</v>
      </c>
      <c r="V115" s="14"/>
      <c r="W115" s="15"/>
      <c r="X115" s="13"/>
      <c r="Y115" s="15"/>
      <c r="Z115" s="13"/>
      <c r="AA115" s="15"/>
      <c r="AB115" s="13"/>
      <c r="AC115" s="15"/>
      <c r="AD115" s="13"/>
      <c r="AE115" s="15"/>
      <c r="AF115" s="13"/>
      <c r="AG115" s="15"/>
      <c r="AH115" s="13"/>
      <c r="AI115" s="15"/>
      <c r="AJ115" s="13"/>
      <c r="AK115" s="15"/>
      <c r="AL115" s="13"/>
      <c r="AM115" s="15"/>
    </row>
    <row r="116" spans="1:39" ht="120" x14ac:dyDescent="0.25">
      <c r="A116" s="13" t="s">
        <v>202</v>
      </c>
      <c r="B116" s="13" t="s">
        <v>153</v>
      </c>
      <c r="C116" s="14">
        <v>43152.5</v>
      </c>
      <c r="D116" s="13" t="s">
        <v>88</v>
      </c>
      <c r="E116" s="15" t="s">
        <v>89</v>
      </c>
      <c r="F116" s="13" t="s">
        <v>90</v>
      </c>
      <c r="G116" s="15" t="s">
        <v>91</v>
      </c>
      <c r="H116" s="13" t="s">
        <v>322</v>
      </c>
      <c r="I116" s="15" t="s">
        <v>323</v>
      </c>
      <c r="J116" s="15" t="s">
        <v>324</v>
      </c>
      <c r="K116" s="15" t="s">
        <v>325</v>
      </c>
      <c r="L116" s="13" t="s">
        <v>330</v>
      </c>
      <c r="M116" s="15" t="s">
        <v>331</v>
      </c>
      <c r="N116" s="13" t="s">
        <v>188</v>
      </c>
      <c r="O116" s="15" t="s">
        <v>189</v>
      </c>
      <c r="P116" s="15" t="s">
        <v>190</v>
      </c>
      <c r="Q116" s="15" t="s">
        <v>101</v>
      </c>
      <c r="R116" s="13" t="s">
        <v>102</v>
      </c>
      <c r="S116" s="13" t="s">
        <v>103</v>
      </c>
      <c r="T116" s="13" t="s">
        <v>205</v>
      </c>
      <c r="U116" s="14">
        <v>40725</v>
      </c>
      <c r="V116" s="14"/>
      <c r="W116" s="15"/>
      <c r="X116" s="13"/>
      <c r="Y116" s="15"/>
      <c r="Z116" s="13"/>
      <c r="AA116" s="15"/>
      <c r="AB116" s="13"/>
      <c r="AC116" s="15"/>
      <c r="AD116" s="13"/>
      <c r="AE116" s="15"/>
      <c r="AF116" s="13"/>
      <c r="AG116" s="15"/>
      <c r="AH116" s="13"/>
      <c r="AI116" s="15"/>
      <c r="AJ116" s="13"/>
      <c r="AK116" s="15"/>
      <c r="AL116" s="13"/>
      <c r="AM116" s="15"/>
    </row>
    <row r="117" spans="1:39" ht="120" x14ac:dyDescent="0.25">
      <c r="A117" s="13" t="s">
        <v>202</v>
      </c>
      <c r="B117" s="13" t="s">
        <v>153</v>
      </c>
      <c r="C117" s="14">
        <v>43152.5</v>
      </c>
      <c r="D117" s="13" t="s">
        <v>88</v>
      </c>
      <c r="E117" s="15" t="s">
        <v>89</v>
      </c>
      <c r="F117" s="13" t="s">
        <v>90</v>
      </c>
      <c r="G117" s="15" t="s">
        <v>91</v>
      </c>
      <c r="H117" s="13" t="s">
        <v>322</v>
      </c>
      <c r="I117" s="15" t="s">
        <v>323</v>
      </c>
      <c r="J117" s="15" t="s">
        <v>324</v>
      </c>
      <c r="K117" s="15" t="s">
        <v>325</v>
      </c>
      <c r="L117" s="13" t="s">
        <v>326</v>
      </c>
      <c r="M117" s="15" t="s">
        <v>327</v>
      </c>
      <c r="N117" s="13" t="s">
        <v>98</v>
      </c>
      <c r="O117" s="15" t="s">
        <v>99</v>
      </c>
      <c r="P117" s="15" t="s">
        <v>100</v>
      </c>
      <c r="Q117" s="15" t="s">
        <v>203</v>
      </c>
      <c r="R117" s="13" t="s">
        <v>204</v>
      </c>
      <c r="S117" s="13" t="s">
        <v>103</v>
      </c>
      <c r="T117" s="13" t="s">
        <v>205</v>
      </c>
      <c r="U117" s="14">
        <v>40725</v>
      </c>
      <c r="V117" s="14"/>
      <c r="W117" s="15"/>
      <c r="X117" s="13"/>
      <c r="Y117" s="15"/>
      <c r="Z117" s="13"/>
      <c r="AA117" s="15"/>
      <c r="AB117" s="13"/>
      <c r="AC117" s="15"/>
      <c r="AD117" s="13"/>
      <c r="AE117" s="15"/>
      <c r="AF117" s="13"/>
      <c r="AG117" s="15"/>
      <c r="AH117" s="13"/>
      <c r="AI117" s="15"/>
      <c r="AJ117" s="13"/>
      <c r="AK117" s="15"/>
      <c r="AL117" s="13"/>
      <c r="AM117" s="15"/>
    </row>
    <row r="118" spans="1:39" ht="120" x14ac:dyDescent="0.25">
      <c r="A118" s="13" t="s">
        <v>202</v>
      </c>
      <c r="B118" s="13" t="s">
        <v>153</v>
      </c>
      <c r="C118" s="14">
        <v>43152.5</v>
      </c>
      <c r="D118" s="13" t="s">
        <v>88</v>
      </c>
      <c r="E118" s="15" t="s">
        <v>89</v>
      </c>
      <c r="F118" s="13" t="s">
        <v>90</v>
      </c>
      <c r="G118" s="15" t="s">
        <v>91</v>
      </c>
      <c r="H118" s="13" t="s">
        <v>322</v>
      </c>
      <c r="I118" s="15" t="s">
        <v>323</v>
      </c>
      <c r="J118" s="15" t="s">
        <v>324</v>
      </c>
      <c r="K118" s="15" t="s">
        <v>325</v>
      </c>
      <c r="L118" s="13" t="s">
        <v>328</v>
      </c>
      <c r="M118" s="15" t="s">
        <v>329</v>
      </c>
      <c r="N118" s="13" t="s">
        <v>98</v>
      </c>
      <c r="O118" s="15" t="s">
        <v>170</v>
      </c>
      <c r="P118" s="15" t="s">
        <v>171</v>
      </c>
      <c r="Q118" s="15" t="s">
        <v>203</v>
      </c>
      <c r="R118" s="13" t="s">
        <v>204</v>
      </c>
      <c r="S118" s="13" t="s">
        <v>103</v>
      </c>
      <c r="T118" s="13" t="s">
        <v>205</v>
      </c>
      <c r="U118" s="14">
        <v>40725</v>
      </c>
      <c r="V118" s="14"/>
      <c r="W118" s="15"/>
      <c r="X118" s="13"/>
      <c r="Y118" s="15"/>
      <c r="Z118" s="13"/>
      <c r="AA118" s="15"/>
      <c r="AB118" s="13"/>
      <c r="AC118" s="15"/>
      <c r="AD118" s="13"/>
      <c r="AE118" s="15"/>
      <c r="AF118" s="13"/>
      <c r="AG118" s="15"/>
      <c r="AH118" s="13"/>
      <c r="AI118" s="15"/>
      <c r="AJ118" s="13"/>
      <c r="AK118" s="15"/>
      <c r="AL118" s="13"/>
      <c r="AM118" s="15"/>
    </row>
    <row r="119" spans="1:39" ht="120" x14ac:dyDescent="0.25">
      <c r="A119" s="13" t="s">
        <v>202</v>
      </c>
      <c r="B119" s="13" t="s">
        <v>153</v>
      </c>
      <c r="C119" s="14">
        <v>43152.5</v>
      </c>
      <c r="D119" s="13" t="s">
        <v>88</v>
      </c>
      <c r="E119" s="15" t="s">
        <v>89</v>
      </c>
      <c r="F119" s="13" t="s">
        <v>90</v>
      </c>
      <c r="G119" s="15" t="s">
        <v>91</v>
      </c>
      <c r="H119" s="13" t="s">
        <v>322</v>
      </c>
      <c r="I119" s="15" t="s">
        <v>323</v>
      </c>
      <c r="J119" s="15" t="s">
        <v>324</v>
      </c>
      <c r="K119" s="15" t="s">
        <v>325</v>
      </c>
      <c r="L119" s="13" t="s">
        <v>330</v>
      </c>
      <c r="M119" s="15" t="s">
        <v>331</v>
      </c>
      <c r="N119" s="13" t="s">
        <v>188</v>
      </c>
      <c r="O119" s="15" t="s">
        <v>189</v>
      </c>
      <c r="P119" s="15" t="s">
        <v>190</v>
      </c>
      <c r="Q119" s="15" t="s">
        <v>203</v>
      </c>
      <c r="R119" s="13" t="s">
        <v>204</v>
      </c>
      <c r="S119" s="13" t="s">
        <v>103</v>
      </c>
      <c r="T119" s="13" t="s">
        <v>205</v>
      </c>
      <c r="U119" s="14">
        <v>40725</v>
      </c>
      <c r="V119" s="14"/>
      <c r="W119" s="15"/>
      <c r="X119" s="13"/>
      <c r="Y119" s="15"/>
      <c r="Z119" s="13"/>
      <c r="AA119" s="15"/>
      <c r="AB119" s="13"/>
      <c r="AC119" s="15"/>
      <c r="AD119" s="13"/>
      <c r="AE119" s="15"/>
      <c r="AF119" s="13"/>
      <c r="AG119" s="15"/>
      <c r="AH119" s="13"/>
      <c r="AI119" s="15"/>
      <c r="AJ119" s="13"/>
      <c r="AK119" s="15"/>
      <c r="AL119" s="13"/>
      <c r="AM119" s="15"/>
    </row>
    <row r="120" spans="1:39" ht="120" x14ac:dyDescent="0.25">
      <c r="A120" s="13" t="s">
        <v>202</v>
      </c>
      <c r="B120" s="13" t="s">
        <v>153</v>
      </c>
      <c r="C120" s="14">
        <v>43152.5</v>
      </c>
      <c r="D120" s="13" t="s">
        <v>88</v>
      </c>
      <c r="E120" s="15" t="s">
        <v>89</v>
      </c>
      <c r="F120" s="13" t="s">
        <v>90</v>
      </c>
      <c r="G120" s="15" t="s">
        <v>91</v>
      </c>
      <c r="H120" s="13" t="s">
        <v>322</v>
      </c>
      <c r="I120" s="15" t="s">
        <v>323</v>
      </c>
      <c r="J120" s="15" t="s">
        <v>324</v>
      </c>
      <c r="K120" s="15" t="s">
        <v>325</v>
      </c>
      <c r="L120" s="13" t="s">
        <v>326</v>
      </c>
      <c r="M120" s="15" t="s">
        <v>327</v>
      </c>
      <c r="N120" s="13" t="s">
        <v>98</v>
      </c>
      <c r="O120" s="15" t="s">
        <v>99</v>
      </c>
      <c r="P120" s="15" t="s">
        <v>100</v>
      </c>
      <c r="Q120" s="15" t="s">
        <v>206</v>
      </c>
      <c r="R120" s="13" t="s">
        <v>207</v>
      </c>
      <c r="S120" s="13" t="s">
        <v>103</v>
      </c>
      <c r="T120" s="13" t="s">
        <v>205</v>
      </c>
      <c r="U120" s="14">
        <v>40725</v>
      </c>
      <c r="V120" s="14"/>
      <c r="W120" s="15"/>
      <c r="X120" s="13"/>
      <c r="Y120" s="15"/>
      <c r="Z120" s="13"/>
      <c r="AA120" s="15"/>
      <c r="AB120" s="13"/>
      <c r="AC120" s="15"/>
      <c r="AD120" s="13"/>
      <c r="AE120" s="15"/>
      <c r="AF120" s="13"/>
      <c r="AG120" s="15"/>
      <c r="AH120" s="13"/>
      <c r="AI120" s="15"/>
      <c r="AJ120" s="13"/>
      <c r="AK120" s="15"/>
      <c r="AL120" s="13"/>
      <c r="AM120" s="15"/>
    </row>
    <row r="121" spans="1:39" ht="120" x14ac:dyDescent="0.25">
      <c r="A121" s="13" t="s">
        <v>202</v>
      </c>
      <c r="B121" s="13" t="s">
        <v>153</v>
      </c>
      <c r="C121" s="14">
        <v>43152.5</v>
      </c>
      <c r="D121" s="13" t="s">
        <v>88</v>
      </c>
      <c r="E121" s="15" t="s">
        <v>89</v>
      </c>
      <c r="F121" s="13" t="s">
        <v>90</v>
      </c>
      <c r="G121" s="15" t="s">
        <v>91</v>
      </c>
      <c r="H121" s="13" t="s">
        <v>322</v>
      </c>
      <c r="I121" s="15" t="s">
        <v>323</v>
      </c>
      <c r="J121" s="15" t="s">
        <v>324</v>
      </c>
      <c r="K121" s="15" t="s">
        <v>325</v>
      </c>
      <c r="L121" s="13" t="s">
        <v>328</v>
      </c>
      <c r="M121" s="15" t="s">
        <v>329</v>
      </c>
      <c r="N121" s="13" t="s">
        <v>98</v>
      </c>
      <c r="O121" s="15" t="s">
        <v>170</v>
      </c>
      <c r="P121" s="15" t="s">
        <v>171</v>
      </c>
      <c r="Q121" s="15" t="s">
        <v>206</v>
      </c>
      <c r="R121" s="13" t="s">
        <v>207</v>
      </c>
      <c r="S121" s="13" t="s">
        <v>103</v>
      </c>
      <c r="T121" s="13" t="s">
        <v>205</v>
      </c>
      <c r="U121" s="14">
        <v>40725</v>
      </c>
      <c r="V121" s="14"/>
      <c r="W121" s="15"/>
      <c r="X121" s="13"/>
      <c r="Y121" s="15"/>
      <c r="Z121" s="13"/>
      <c r="AA121" s="15"/>
      <c r="AB121" s="13"/>
      <c r="AC121" s="15"/>
      <c r="AD121" s="13"/>
      <c r="AE121" s="15"/>
      <c r="AF121" s="13"/>
      <c r="AG121" s="15"/>
      <c r="AH121" s="13"/>
      <c r="AI121" s="15"/>
      <c r="AJ121" s="13"/>
      <c r="AK121" s="15"/>
      <c r="AL121" s="13"/>
      <c r="AM121" s="15"/>
    </row>
    <row r="122" spans="1:39" ht="120" x14ac:dyDescent="0.25">
      <c r="A122" s="13" t="s">
        <v>202</v>
      </c>
      <c r="B122" s="13" t="s">
        <v>153</v>
      </c>
      <c r="C122" s="14">
        <v>43152.5</v>
      </c>
      <c r="D122" s="13" t="s">
        <v>88</v>
      </c>
      <c r="E122" s="15" t="s">
        <v>89</v>
      </c>
      <c r="F122" s="13" t="s">
        <v>90</v>
      </c>
      <c r="G122" s="15" t="s">
        <v>91</v>
      </c>
      <c r="H122" s="13" t="s">
        <v>322</v>
      </c>
      <c r="I122" s="15" t="s">
        <v>323</v>
      </c>
      <c r="J122" s="15" t="s">
        <v>324</v>
      </c>
      <c r="K122" s="15" t="s">
        <v>325</v>
      </c>
      <c r="L122" s="13" t="s">
        <v>330</v>
      </c>
      <c r="M122" s="15" t="s">
        <v>331</v>
      </c>
      <c r="N122" s="13" t="s">
        <v>188</v>
      </c>
      <c r="O122" s="15" t="s">
        <v>189</v>
      </c>
      <c r="P122" s="15" t="s">
        <v>190</v>
      </c>
      <c r="Q122" s="15" t="s">
        <v>206</v>
      </c>
      <c r="R122" s="13" t="s">
        <v>207</v>
      </c>
      <c r="S122" s="13" t="s">
        <v>103</v>
      </c>
      <c r="T122" s="13" t="s">
        <v>205</v>
      </c>
      <c r="U122" s="14">
        <v>40725</v>
      </c>
      <c r="V122" s="14"/>
      <c r="W122" s="15"/>
      <c r="X122" s="13"/>
      <c r="Y122" s="15"/>
      <c r="Z122" s="13"/>
      <c r="AA122" s="15"/>
      <c r="AB122" s="13"/>
      <c r="AC122" s="15"/>
      <c r="AD122" s="13"/>
      <c r="AE122" s="15"/>
      <c r="AF122" s="13"/>
      <c r="AG122" s="15"/>
      <c r="AH122" s="13"/>
      <c r="AI122" s="15"/>
      <c r="AJ122" s="13"/>
      <c r="AK122" s="15"/>
      <c r="AL122" s="13"/>
      <c r="AM122" s="15"/>
    </row>
    <row r="123" spans="1:39" ht="120" x14ac:dyDescent="0.25">
      <c r="A123" s="13" t="s">
        <v>202</v>
      </c>
      <c r="B123" s="13" t="s">
        <v>153</v>
      </c>
      <c r="C123" s="14">
        <v>43152.5</v>
      </c>
      <c r="D123" s="13" t="s">
        <v>88</v>
      </c>
      <c r="E123" s="15" t="s">
        <v>89</v>
      </c>
      <c r="F123" s="13" t="s">
        <v>90</v>
      </c>
      <c r="G123" s="15" t="s">
        <v>91</v>
      </c>
      <c r="H123" s="13" t="s">
        <v>322</v>
      </c>
      <c r="I123" s="15" t="s">
        <v>323</v>
      </c>
      <c r="J123" s="15" t="s">
        <v>324</v>
      </c>
      <c r="K123" s="15" t="s">
        <v>325</v>
      </c>
      <c r="L123" s="13" t="s">
        <v>326</v>
      </c>
      <c r="M123" s="15" t="s">
        <v>327</v>
      </c>
      <c r="N123" s="13" t="s">
        <v>98</v>
      </c>
      <c r="O123" s="15" t="s">
        <v>99</v>
      </c>
      <c r="P123" s="15" t="s">
        <v>100</v>
      </c>
      <c r="Q123" s="15" t="s">
        <v>208</v>
      </c>
      <c r="R123" s="13" t="s">
        <v>209</v>
      </c>
      <c r="S123" s="13" t="s">
        <v>103</v>
      </c>
      <c r="T123" s="13" t="s">
        <v>205</v>
      </c>
      <c r="U123" s="14">
        <v>40725</v>
      </c>
      <c r="V123" s="14"/>
      <c r="W123" s="15"/>
      <c r="X123" s="13"/>
      <c r="Y123" s="15"/>
      <c r="Z123" s="13"/>
      <c r="AA123" s="15"/>
      <c r="AB123" s="13"/>
      <c r="AC123" s="15"/>
      <c r="AD123" s="13"/>
      <c r="AE123" s="15"/>
      <c r="AF123" s="13"/>
      <c r="AG123" s="15"/>
      <c r="AH123" s="13"/>
      <c r="AI123" s="15"/>
      <c r="AJ123" s="13"/>
      <c r="AK123" s="15"/>
      <c r="AL123" s="13"/>
      <c r="AM123" s="15"/>
    </row>
    <row r="124" spans="1:39" ht="120" x14ac:dyDescent="0.25">
      <c r="A124" s="13" t="s">
        <v>202</v>
      </c>
      <c r="B124" s="13" t="s">
        <v>153</v>
      </c>
      <c r="C124" s="14">
        <v>43152.5</v>
      </c>
      <c r="D124" s="13" t="s">
        <v>88</v>
      </c>
      <c r="E124" s="15" t="s">
        <v>89</v>
      </c>
      <c r="F124" s="13" t="s">
        <v>90</v>
      </c>
      <c r="G124" s="15" t="s">
        <v>91</v>
      </c>
      <c r="H124" s="13" t="s">
        <v>322</v>
      </c>
      <c r="I124" s="15" t="s">
        <v>323</v>
      </c>
      <c r="J124" s="15" t="s">
        <v>324</v>
      </c>
      <c r="K124" s="15" t="s">
        <v>325</v>
      </c>
      <c r="L124" s="13" t="s">
        <v>328</v>
      </c>
      <c r="M124" s="15" t="s">
        <v>329</v>
      </c>
      <c r="N124" s="13" t="s">
        <v>98</v>
      </c>
      <c r="O124" s="15" t="s">
        <v>170</v>
      </c>
      <c r="P124" s="15" t="s">
        <v>171</v>
      </c>
      <c r="Q124" s="15" t="s">
        <v>208</v>
      </c>
      <c r="R124" s="13" t="s">
        <v>209</v>
      </c>
      <c r="S124" s="13" t="s">
        <v>103</v>
      </c>
      <c r="T124" s="13" t="s">
        <v>205</v>
      </c>
      <c r="U124" s="14">
        <v>40725</v>
      </c>
      <c r="V124" s="14"/>
      <c r="W124" s="15"/>
      <c r="X124" s="13"/>
      <c r="Y124" s="15"/>
      <c r="Z124" s="13"/>
      <c r="AA124" s="15"/>
      <c r="AB124" s="13"/>
      <c r="AC124" s="15"/>
      <c r="AD124" s="13"/>
      <c r="AE124" s="15"/>
      <c r="AF124" s="13"/>
      <c r="AG124" s="15"/>
      <c r="AH124" s="13"/>
      <c r="AI124" s="15"/>
      <c r="AJ124" s="13"/>
      <c r="AK124" s="15"/>
      <c r="AL124" s="13"/>
      <c r="AM124" s="15"/>
    </row>
    <row r="125" spans="1:39" ht="120" x14ac:dyDescent="0.25">
      <c r="A125" s="13" t="s">
        <v>202</v>
      </c>
      <c r="B125" s="13" t="s">
        <v>153</v>
      </c>
      <c r="C125" s="14">
        <v>43152.5</v>
      </c>
      <c r="D125" s="13" t="s">
        <v>88</v>
      </c>
      <c r="E125" s="15" t="s">
        <v>89</v>
      </c>
      <c r="F125" s="13" t="s">
        <v>90</v>
      </c>
      <c r="G125" s="15" t="s">
        <v>91</v>
      </c>
      <c r="H125" s="13" t="s">
        <v>322</v>
      </c>
      <c r="I125" s="15" t="s">
        <v>323</v>
      </c>
      <c r="J125" s="15" t="s">
        <v>324</v>
      </c>
      <c r="K125" s="15" t="s">
        <v>325</v>
      </c>
      <c r="L125" s="13" t="s">
        <v>330</v>
      </c>
      <c r="M125" s="15" t="s">
        <v>331</v>
      </c>
      <c r="N125" s="13" t="s">
        <v>188</v>
      </c>
      <c r="O125" s="15" t="s">
        <v>189</v>
      </c>
      <c r="P125" s="15" t="s">
        <v>190</v>
      </c>
      <c r="Q125" s="15" t="s">
        <v>208</v>
      </c>
      <c r="R125" s="13" t="s">
        <v>209</v>
      </c>
      <c r="S125" s="13" t="s">
        <v>103</v>
      </c>
      <c r="T125" s="13" t="s">
        <v>205</v>
      </c>
      <c r="U125" s="14">
        <v>40725</v>
      </c>
      <c r="V125" s="14"/>
      <c r="W125" s="15"/>
      <c r="X125" s="13"/>
      <c r="Y125" s="15"/>
      <c r="Z125" s="13"/>
      <c r="AA125" s="15"/>
      <c r="AB125" s="13"/>
      <c r="AC125" s="15"/>
      <c r="AD125" s="13"/>
      <c r="AE125" s="15"/>
      <c r="AF125" s="13"/>
      <c r="AG125" s="15"/>
      <c r="AH125" s="13"/>
      <c r="AI125" s="15"/>
      <c r="AJ125" s="13"/>
      <c r="AK125" s="15"/>
      <c r="AL125" s="13"/>
      <c r="AM125" s="15"/>
    </row>
    <row r="126" spans="1:39" ht="120" x14ac:dyDescent="0.25">
      <c r="A126" s="13" t="s">
        <v>86</v>
      </c>
      <c r="B126" s="13" t="s">
        <v>87</v>
      </c>
      <c r="C126" s="14">
        <v>43850.552083333336</v>
      </c>
      <c r="D126" s="13" t="s">
        <v>88</v>
      </c>
      <c r="E126" s="15" t="s">
        <v>89</v>
      </c>
      <c r="F126" s="13" t="s">
        <v>90</v>
      </c>
      <c r="G126" s="15" t="s">
        <v>91</v>
      </c>
      <c r="H126" s="13" t="s">
        <v>322</v>
      </c>
      <c r="I126" s="15" t="s">
        <v>323</v>
      </c>
      <c r="J126" s="15" t="s">
        <v>324</v>
      </c>
      <c r="K126" s="15" t="s">
        <v>325</v>
      </c>
      <c r="L126" s="13" t="s">
        <v>326</v>
      </c>
      <c r="M126" s="15" t="s">
        <v>327</v>
      </c>
      <c r="N126" s="13" t="s">
        <v>98</v>
      </c>
      <c r="O126" s="15" t="s">
        <v>99</v>
      </c>
      <c r="P126" s="15" t="s">
        <v>100</v>
      </c>
      <c r="Q126" s="15" t="s">
        <v>332</v>
      </c>
      <c r="R126" s="13" t="s">
        <v>333</v>
      </c>
      <c r="S126" s="13" t="s">
        <v>212</v>
      </c>
      <c r="T126" s="13" t="s">
        <v>104</v>
      </c>
      <c r="U126" s="14">
        <v>40725</v>
      </c>
      <c r="V126" s="14">
        <v>43830</v>
      </c>
      <c r="W126" s="15"/>
      <c r="X126" s="13"/>
      <c r="Y126" s="15"/>
      <c r="Z126" s="13"/>
      <c r="AA126" s="15"/>
      <c r="AB126" s="13"/>
      <c r="AC126" s="15"/>
      <c r="AD126" s="13"/>
      <c r="AE126" s="15"/>
      <c r="AF126" s="13"/>
      <c r="AG126" s="15"/>
      <c r="AH126" s="13"/>
      <c r="AI126" s="15"/>
      <c r="AJ126" s="13"/>
      <c r="AK126" s="15"/>
      <c r="AL126" s="13"/>
      <c r="AM126" s="15"/>
    </row>
    <row r="127" spans="1:39" ht="120" x14ac:dyDescent="0.25">
      <c r="A127" s="13" t="s">
        <v>86</v>
      </c>
      <c r="B127" s="13" t="s">
        <v>153</v>
      </c>
      <c r="C127" s="14">
        <v>44012.458333333336</v>
      </c>
      <c r="D127" s="13" t="s">
        <v>88</v>
      </c>
      <c r="E127" s="15" t="s">
        <v>89</v>
      </c>
      <c r="F127" s="13" t="s">
        <v>90</v>
      </c>
      <c r="G127" s="15" t="s">
        <v>91</v>
      </c>
      <c r="H127" s="13" t="s">
        <v>322</v>
      </c>
      <c r="I127" s="15" t="s">
        <v>323</v>
      </c>
      <c r="J127" s="15" t="s">
        <v>324</v>
      </c>
      <c r="K127" s="15" t="s">
        <v>325</v>
      </c>
      <c r="L127" s="13" t="s">
        <v>326</v>
      </c>
      <c r="M127" s="15" t="s">
        <v>327</v>
      </c>
      <c r="N127" s="13" t="s">
        <v>98</v>
      </c>
      <c r="O127" s="15" t="s">
        <v>99</v>
      </c>
      <c r="P127" s="15" t="s">
        <v>100</v>
      </c>
      <c r="Q127" s="15" t="s">
        <v>332</v>
      </c>
      <c r="R127" s="13" t="s">
        <v>333</v>
      </c>
      <c r="S127" s="13" t="s">
        <v>212</v>
      </c>
      <c r="T127" s="13" t="s">
        <v>104</v>
      </c>
      <c r="U127" s="14">
        <v>43831</v>
      </c>
      <c r="V127" s="14"/>
      <c r="W127" s="15"/>
      <c r="X127" s="13"/>
      <c r="Y127" s="15"/>
      <c r="Z127" s="13"/>
      <c r="AA127" s="15"/>
      <c r="AB127" s="13"/>
      <c r="AC127" s="15"/>
      <c r="AD127" s="13"/>
      <c r="AE127" s="15"/>
      <c r="AF127" s="13"/>
      <c r="AG127" s="15"/>
      <c r="AH127" s="13"/>
      <c r="AI127" s="15"/>
      <c r="AJ127" s="13"/>
      <c r="AK127" s="15"/>
      <c r="AL127" s="13"/>
      <c r="AM127" s="15"/>
    </row>
    <row r="128" spans="1:39" ht="120" x14ac:dyDescent="0.25">
      <c r="A128" s="13" t="s">
        <v>86</v>
      </c>
      <c r="B128" s="13" t="s">
        <v>87</v>
      </c>
      <c r="C128" s="14">
        <v>43850.552083333336</v>
      </c>
      <c r="D128" s="13" t="s">
        <v>88</v>
      </c>
      <c r="E128" s="15" t="s">
        <v>89</v>
      </c>
      <c r="F128" s="13" t="s">
        <v>90</v>
      </c>
      <c r="G128" s="15" t="s">
        <v>91</v>
      </c>
      <c r="H128" s="13" t="s">
        <v>322</v>
      </c>
      <c r="I128" s="15" t="s">
        <v>323</v>
      </c>
      <c r="J128" s="15" t="s">
        <v>324</v>
      </c>
      <c r="K128" s="15" t="s">
        <v>325</v>
      </c>
      <c r="L128" s="13" t="s">
        <v>328</v>
      </c>
      <c r="M128" s="15" t="s">
        <v>329</v>
      </c>
      <c r="N128" s="13" t="s">
        <v>98</v>
      </c>
      <c r="O128" s="15" t="s">
        <v>170</v>
      </c>
      <c r="P128" s="15" t="s">
        <v>171</v>
      </c>
      <c r="Q128" s="15" t="s">
        <v>332</v>
      </c>
      <c r="R128" s="13" t="s">
        <v>333</v>
      </c>
      <c r="S128" s="13" t="s">
        <v>212</v>
      </c>
      <c r="T128" s="13" t="s">
        <v>104</v>
      </c>
      <c r="U128" s="14">
        <v>40725</v>
      </c>
      <c r="V128" s="14"/>
      <c r="W128" s="15"/>
      <c r="X128" s="13"/>
      <c r="Y128" s="15"/>
      <c r="Z128" s="13"/>
      <c r="AA128" s="15"/>
      <c r="AB128" s="13"/>
      <c r="AC128" s="15"/>
      <c r="AD128" s="13"/>
      <c r="AE128" s="15"/>
      <c r="AF128" s="13"/>
      <c r="AG128" s="15"/>
      <c r="AH128" s="13"/>
      <c r="AI128" s="15"/>
      <c r="AJ128" s="13"/>
      <c r="AK128" s="15"/>
      <c r="AL128" s="13"/>
      <c r="AM128" s="15"/>
    </row>
    <row r="129" spans="1:39" ht="120" x14ac:dyDescent="0.25">
      <c r="A129" s="13" t="s">
        <v>86</v>
      </c>
      <c r="B129" s="13" t="s">
        <v>87</v>
      </c>
      <c r="C129" s="14">
        <v>43850.552083333336</v>
      </c>
      <c r="D129" s="13" t="s">
        <v>88</v>
      </c>
      <c r="E129" s="15" t="s">
        <v>89</v>
      </c>
      <c r="F129" s="13" t="s">
        <v>90</v>
      </c>
      <c r="G129" s="15" t="s">
        <v>91</v>
      </c>
      <c r="H129" s="13" t="s">
        <v>322</v>
      </c>
      <c r="I129" s="15" t="s">
        <v>323</v>
      </c>
      <c r="J129" s="15" t="s">
        <v>324</v>
      </c>
      <c r="K129" s="15" t="s">
        <v>325</v>
      </c>
      <c r="L129" s="13" t="s">
        <v>330</v>
      </c>
      <c r="M129" s="15" t="s">
        <v>331</v>
      </c>
      <c r="N129" s="13" t="s">
        <v>188</v>
      </c>
      <c r="O129" s="15" t="s">
        <v>189</v>
      </c>
      <c r="P129" s="15" t="s">
        <v>190</v>
      </c>
      <c r="Q129" s="15" t="s">
        <v>332</v>
      </c>
      <c r="R129" s="13" t="s">
        <v>333</v>
      </c>
      <c r="S129" s="13" t="s">
        <v>212</v>
      </c>
      <c r="T129" s="13" t="s">
        <v>104</v>
      </c>
      <c r="U129" s="14">
        <v>40725</v>
      </c>
      <c r="V129" s="14"/>
      <c r="W129" s="15"/>
      <c r="X129" s="13"/>
      <c r="Y129" s="15"/>
      <c r="Z129" s="13"/>
      <c r="AA129" s="15"/>
      <c r="AB129" s="13"/>
      <c r="AC129" s="15"/>
      <c r="AD129" s="13"/>
      <c r="AE129" s="15"/>
      <c r="AF129" s="13"/>
      <c r="AG129" s="15"/>
      <c r="AH129" s="13"/>
      <c r="AI129" s="15"/>
      <c r="AJ129" s="13"/>
      <c r="AK129" s="15"/>
      <c r="AL129" s="13"/>
      <c r="AM129" s="15"/>
    </row>
    <row r="130" spans="1:39" ht="135" x14ac:dyDescent="0.25">
      <c r="A130" s="13" t="s">
        <v>202</v>
      </c>
      <c r="B130" s="13" t="s">
        <v>153</v>
      </c>
      <c r="C130" s="14">
        <v>43152.5</v>
      </c>
      <c r="D130" s="13" t="s">
        <v>88</v>
      </c>
      <c r="E130" s="15" t="s">
        <v>89</v>
      </c>
      <c r="F130" s="13" t="s">
        <v>90</v>
      </c>
      <c r="G130" s="15" t="s">
        <v>91</v>
      </c>
      <c r="H130" s="13" t="s">
        <v>345</v>
      </c>
      <c r="I130" s="15" t="s">
        <v>346</v>
      </c>
      <c r="J130" s="15" t="s">
        <v>347</v>
      </c>
      <c r="K130" s="15" t="s">
        <v>348</v>
      </c>
      <c r="L130" s="13" t="s">
        <v>349</v>
      </c>
      <c r="M130" s="15" t="s">
        <v>350</v>
      </c>
      <c r="N130" s="13" t="s">
        <v>98</v>
      </c>
      <c r="O130" s="15" t="s">
        <v>99</v>
      </c>
      <c r="P130" s="15" t="s">
        <v>100</v>
      </c>
      <c r="Q130" s="15" t="s">
        <v>101</v>
      </c>
      <c r="R130" s="13" t="s">
        <v>102</v>
      </c>
      <c r="S130" s="13" t="s">
        <v>103</v>
      </c>
      <c r="T130" s="13" t="s">
        <v>205</v>
      </c>
      <c r="U130" s="14">
        <v>40725</v>
      </c>
      <c r="V130" s="14"/>
      <c r="W130" s="15"/>
      <c r="X130" s="13"/>
      <c r="Y130" s="15"/>
      <c r="Z130" s="13"/>
      <c r="AA130" s="15"/>
      <c r="AB130" s="13"/>
      <c r="AC130" s="15"/>
      <c r="AD130" s="13"/>
      <c r="AE130" s="15"/>
      <c r="AF130" s="13"/>
      <c r="AG130" s="15"/>
      <c r="AH130" s="13"/>
      <c r="AI130" s="15"/>
      <c r="AJ130" s="13"/>
      <c r="AK130" s="15"/>
      <c r="AL130" s="13"/>
      <c r="AM130" s="15"/>
    </row>
    <row r="131" spans="1:39" ht="135" x14ac:dyDescent="0.25">
      <c r="A131" s="13" t="s">
        <v>202</v>
      </c>
      <c r="B131" s="13" t="s">
        <v>153</v>
      </c>
      <c r="C131" s="14">
        <v>43152.5</v>
      </c>
      <c r="D131" s="13" t="s">
        <v>88</v>
      </c>
      <c r="E131" s="15" t="s">
        <v>89</v>
      </c>
      <c r="F131" s="13" t="s">
        <v>90</v>
      </c>
      <c r="G131" s="15" t="s">
        <v>91</v>
      </c>
      <c r="H131" s="13" t="s">
        <v>345</v>
      </c>
      <c r="I131" s="15" t="s">
        <v>346</v>
      </c>
      <c r="J131" s="15" t="s">
        <v>347</v>
      </c>
      <c r="K131" s="15" t="s">
        <v>348</v>
      </c>
      <c r="L131" s="13" t="s">
        <v>351</v>
      </c>
      <c r="M131" s="15" t="s">
        <v>352</v>
      </c>
      <c r="N131" s="13" t="s">
        <v>98</v>
      </c>
      <c r="O131" s="15" t="s">
        <v>170</v>
      </c>
      <c r="P131" s="15" t="s">
        <v>171</v>
      </c>
      <c r="Q131" s="15" t="s">
        <v>101</v>
      </c>
      <c r="R131" s="13" t="s">
        <v>102</v>
      </c>
      <c r="S131" s="13" t="s">
        <v>103</v>
      </c>
      <c r="T131" s="13" t="s">
        <v>205</v>
      </c>
      <c r="U131" s="14">
        <v>40725</v>
      </c>
      <c r="V131" s="14"/>
      <c r="W131" s="15"/>
      <c r="X131" s="13"/>
      <c r="Y131" s="15"/>
      <c r="Z131" s="13"/>
      <c r="AA131" s="15"/>
      <c r="AB131" s="13"/>
      <c r="AC131" s="15"/>
      <c r="AD131" s="13"/>
      <c r="AE131" s="15"/>
      <c r="AF131" s="13"/>
      <c r="AG131" s="15"/>
      <c r="AH131" s="13"/>
      <c r="AI131" s="15"/>
      <c r="AJ131" s="13"/>
      <c r="AK131" s="15"/>
      <c r="AL131" s="13"/>
      <c r="AM131" s="15"/>
    </row>
    <row r="132" spans="1:39" ht="135" x14ac:dyDescent="0.25">
      <c r="A132" s="13" t="s">
        <v>202</v>
      </c>
      <c r="B132" s="13" t="s">
        <v>153</v>
      </c>
      <c r="C132" s="14">
        <v>43152.5</v>
      </c>
      <c r="D132" s="13" t="s">
        <v>88</v>
      </c>
      <c r="E132" s="15" t="s">
        <v>89</v>
      </c>
      <c r="F132" s="13" t="s">
        <v>90</v>
      </c>
      <c r="G132" s="15" t="s">
        <v>91</v>
      </c>
      <c r="H132" s="13" t="s">
        <v>345</v>
      </c>
      <c r="I132" s="15" t="s">
        <v>346</v>
      </c>
      <c r="J132" s="15" t="s">
        <v>347</v>
      </c>
      <c r="K132" s="15" t="s">
        <v>348</v>
      </c>
      <c r="L132" s="13" t="s">
        <v>353</v>
      </c>
      <c r="M132" s="15" t="s">
        <v>354</v>
      </c>
      <c r="N132" s="13" t="s">
        <v>188</v>
      </c>
      <c r="O132" s="15" t="s">
        <v>189</v>
      </c>
      <c r="P132" s="15" t="s">
        <v>190</v>
      </c>
      <c r="Q132" s="15" t="s">
        <v>101</v>
      </c>
      <c r="R132" s="13" t="s">
        <v>102</v>
      </c>
      <c r="S132" s="13" t="s">
        <v>103</v>
      </c>
      <c r="T132" s="13" t="s">
        <v>205</v>
      </c>
      <c r="U132" s="14">
        <v>40725</v>
      </c>
      <c r="V132" s="14"/>
      <c r="W132" s="15"/>
      <c r="X132" s="13"/>
      <c r="Y132" s="15"/>
      <c r="Z132" s="13"/>
      <c r="AA132" s="15"/>
      <c r="AB132" s="13"/>
      <c r="AC132" s="15"/>
      <c r="AD132" s="13"/>
      <c r="AE132" s="15"/>
      <c r="AF132" s="13"/>
      <c r="AG132" s="15"/>
      <c r="AH132" s="13"/>
      <c r="AI132" s="15"/>
      <c r="AJ132" s="13"/>
      <c r="AK132" s="15"/>
      <c r="AL132" s="13"/>
      <c r="AM132" s="15"/>
    </row>
    <row r="133" spans="1:39" ht="135" x14ac:dyDescent="0.25">
      <c r="A133" s="13" t="s">
        <v>202</v>
      </c>
      <c r="B133" s="13" t="s">
        <v>153</v>
      </c>
      <c r="C133" s="14">
        <v>43152.5</v>
      </c>
      <c r="D133" s="13" t="s">
        <v>88</v>
      </c>
      <c r="E133" s="15" t="s">
        <v>89</v>
      </c>
      <c r="F133" s="13" t="s">
        <v>90</v>
      </c>
      <c r="G133" s="15" t="s">
        <v>91</v>
      </c>
      <c r="H133" s="13" t="s">
        <v>345</v>
      </c>
      <c r="I133" s="15" t="s">
        <v>346</v>
      </c>
      <c r="J133" s="15" t="s">
        <v>347</v>
      </c>
      <c r="K133" s="15" t="s">
        <v>348</v>
      </c>
      <c r="L133" s="13" t="s">
        <v>349</v>
      </c>
      <c r="M133" s="15" t="s">
        <v>350</v>
      </c>
      <c r="N133" s="13" t="s">
        <v>98</v>
      </c>
      <c r="O133" s="15" t="s">
        <v>99</v>
      </c>
      <c r="P133" s="15" t="s">
        <v>100</v>
      </c>
      <c r="Q133" s="15" t="s">
        <v>203</v>
      </c>
      <c r="R133" s="13" t="s">
        <v>204</v>
      </c>
      <c r="S133" s="13" t="s">
        <v>103</v>
      </c>
      <c r="T133" s="13" t="s">
        <v>205</v>
      </c>
      <c r="U133" s="14">
        <v>40725</v>
      </c>
      <c r="V133" s="14"/>
      <c r="W133" s="15"/>
      <c r="X133" s="13"/>
      <c r="Y133" s="15"/>
      <c r="Z133" s="13"/>
      <c r="AA133" s="15"/>
      <c r="AB133" s="13"/>
      <c r="AC133" s="15"/>
      <c r="AD133" s="13"/>
      <c r="AE133" s="15"/>
      <c r="AF133" s="13"/>
      <c r="AG133" s="15"/>
      <c r="AH133" s="13"/>
      <c r="AI133" s="15"/>
      <c r="AJ133" s="13"/>
      <c r="AK133" s="15"/>
      <c r="AL133" s="13"/>
      <c r="AM133" s="15"/>
    </row>
    <row r="134" spans="1:39" ht="135" x14ac:dyDescent="0.25">
      <c r="A134" s="13" t="s">
        <v>202</v>
      </c>
      <c r="B134" s="13" t="s">
        <v>153</v>
      </c>
      <c r="C134" s="14">
        <v>43152.5</v>
      </c>
      <c r="D134" s="13" t="s">
        <v>88</v>
      </c>
      <c r="E134" s="15" t="s">
        <v>89</v>
      </c>
      <c r="F134" s="13" t="s">
        <v>90</v>
      </c>
      <c r="G134" s="15" t="s">
        <v>91</v>
      </c>
      <c r="H134" s="13" t="s">
        <v>345</v>
      </c>
      <c r="I134" s="15" t="s">
        <v>346</v>
      </c>
      <c r="J134" s="15" t="s">
        <v>347</v>
      </c>
      <c r="K134" s="15" t="s">
        <v>348</v>
      </c>
      <c r="L134" s="13" t="s">
        <v>351</v>
      </c>
      <c r="M134" s="15" t="s">
        <v>352</v>
      </c>
      <c r="N134" s="13" t="s">
        <v>98</v>
      </c>
      <c r="O134" s="15" t="s">
        <v>170</v>
      </c>
      <c r="P134" s="15" t="s">
        <v>171</v>
      </c>
      <c r="Q134" s="15" t="s">
        <v>203</v>
      </c>
      <c r="R134" s="13" t="s">
        <v>204</v>
      </c>
      <c r="S134" s="13" t="s">
        <v>103</v>
      </c>
      <c r="T134" s="13" t="s">
        <v>205</v>
      </c>
      <c r="U134" s="14">
        <v>40725</v>
      </c>
      <c r="V134" s="14"/>
      <c r="W134" s="15"/>
      <c r="X134" s="13"/>
      <c r="Y134" s="15"/>
      <c r="Z134" s="13"/>
      <c r="AA134" s="15"/>
      <c r="AB134" s="13"/>
      <c r="AC134" s="15"/>
      <c r="AD134" s="13"/>
      <c r="AE134" s="15"/>
      <c r="AF134" s="13"/>
      <c r="AG134" s="15"/>
      <c r="AH134" s="13"/>
      <c r="AI134" s="15"/>
      <c r="AJ134" s="13"/>
      <c r="AK134" s="15"/>
      <c r="AL134" s="13"/>
      <c r="AM134" s="15"/>
    </row>
    <row r="135" spans="1:39" ht="135" x14ac:dyDescent="0.25">
      <c r="A135" s="13" t="s">
        <v>202</v>
      </c>
      <c r="B135" s="13" t="s">
        <v>153</v>
      </c>
      <c r="C135" s="14">
        <v>43152.5</v>
      </c>
      <c r="D135" s="13" t="s">
        <v>88</v>
      </c>
      <c r="E135" s="15" t="s">
        <v>89</v>
      </c>
      <c r="F135" s="13" t="s">
        <v>90</v>
      </c>
      <c r="G135" s="15" t="s">
        <v>91</v>
      </c>
      <c r="H135" s="13" t="s">
        <v>345</v>
      </c>
      <c r="I135" s="15" t="s">
        <v>346</v>
      </c>
      <c r="J135" s="15" t="s">
        <v>347</v>
      </c>
      <c r="K135" s="15" t="s">
        <v>348</v>
      </c>
      <c r="L135" s="13" t="s">
        <v>353</v>
      </c>
      <c r="M135" s="15" t="s">
        <v>354</v>
      </c>
      <c r="N135" s="13" t="s">
        <v>188</v>
      </c>
      <c r="O135" s="15" t="s">
        <v>189</v>
      </c>
      <c r="P135" s="15" t="s">
        <v>190</v>
      </c>
      <c r="Q135" s="15" t="s">
        <v>203</v>
      </c>
      <c r="R135" s="13" t="s">
        <v>204</v>
      </c>
      <c r="S135" s="13" t="s">
        <v>103</v>
      </c>
      <c r="T135" s="13" t="s">
        <v>205</v>
      </c>
      <c r="U135" s="14">
        <v>40725</v>
      </c>
      <c r="V135" s="14"/>
      <c r="W135" s="15"/>
      <c r="X135" s="13"/>
      <c r="Y135" s="15"/>
      <c r="Z135" s="13"/>
      <c r="AA135" s="15"/>
      <c r="AB135" s="13"/>
      <c r="AC135" s="15"/>
      <c r="AD135" s="13"/>
      <c r="AE135" s="15"/>
      <c r="AF135" s="13"/>
      <c r="AG135" s="15"/>
      <c r="AH135" s="13"/>
      <c r="AI135" s="15"/>
      <c r="AJ135" s="13"/>
      <c r="AK135" s="15"/>
      <c r="AL135" s="13"/>
      <c r="AM135" s="15"/>
    </row>
    <row r="136" spans="1:39" ht="135" x14ac:dyDescent="0.25">
      <c r="A136" s="13" t="s">
        <v>202</v>
      </c>
      <c r="B136" s="13" t="s">
        <v>153</v>
      </c>
      <c r="C136" s="14">
        <v>43152.5</v>
      </c>
      <c r="D136" s="13" t="s">
        <v>88</v>
      </c>
      <c r="E136" s="15" t="s">
        <v>89</v>
      </c>
      <c r="F136" s="13" t="s">
        <v>90</v>
      </c>
      <c r="G136" s="15" t="s">
        <v>91</v>
      </c>
      <c r="H136" s="13" t="s">
        <v>345</v>
      </c>
      <c r="I136" s="15" t="s">
        <v>346</v>
      </c>
      <c r="J136" s="15" t="s">
        <v>347</v>
      </c>
      <c r="K136" s="15" t="s">
        <v>348</v>
      </c>
      <c r="L136" s="13" t="s">
        <v>349</v>
      </c>
      <c r="M136" s="15" t="s">
        <v>350</v>
      </c>
      <c r="N136" s="13" t="s">
        <v>98</v>
      </c>
      <c r="O136" s="15" t="s">
        <v>99</v>
      </c>
      <c r="P136" s="15" t="s">
        <v>100</v>
      </c>
      <c r="Q136" s="15" t="s">
        <v>206</v>
      </c>
      <c r="R136" s="13" t="s">
        <v>207</v>
      </c>
      <c r="S136" s="13" t="s">
        <v>103</v>
      </c>
      <c r="T136" s="13" t="s">
        <v>205</v>
      </c>
      <c r="U136" s="14">
        <v>40725</v>
      </c>
      <c r="V136" s="14"/>
      <c r="W136" s="15"/>
      <c r="X136" s="13"/>
      <c r="Y136" s="15"/>
      <c r="Z136" s="13"/>
      <c r="AA136" s="15"/>
      <c r="AB136" s="13"/>
      <c r="AC136" s="15"/>
      <c r="AD136" s="13"/>
      <c r="AE136" s="15"/>
      <c r="AF136" s="13"/>
      <c r="AG136" s="15"/>
      <c r="AH136" s="13"/>
      <c r="AI136" s="15"/>
      <c r="AJ136" s="13"/>
      <c r="AK136" s="15"/>
      <c r="AL136" s="13"/>
      <c r="AM136" s="15"/>
    </row>
    <row r="137" spans="1:39" ht="135" x14ac:dyDescent="0.25">
      <c r="A137" s="13" t="s">
        <v>202</v>
      </c>
      <c r="B137" s="13" t="s">
        <v>153</v>
      </c>
      <c r="C137" s="14">
        <v>43152.5</v>
      </c>
      <c r="D137" s="13" t="s">
        <v>88</v>
      </c>
      <c r="E137" s="15" t="s">
        <v>89</v>
      </c>
      <c r="F137" s="13" t="s">
        <v>90</v>
      </c>
      <c r="G137" s="15" t="s">
        <v>91</v>
      </c>
      <c r="H137" s="13" t="s">
        <v>345</v>
      </c>
      <c r="I137" s="15" t="s">
        <v>346</v>
      </c>
      <c r="J137" s="15" t="s">
        <v>347</v>
      </c>
      <c r="K137" s="15" t="s">
        <v>348</v>
      </c>
      <c r="L137" s="13" t="s">
        <v>351</v>
      </c>
      <c r="M137" s="15" t="s">
        <v>352</v>
      </c>
      <c r="N137" s="13" t="s">
        <v>98</v>
      </c>
      <c r="O137" s="15" t="s">
        <v>170</v>
      </c>
      <c r="P137" s="15" t="s">
        <v>171</v>
      </c>
      <c r="Q137" s="15" t="s">
        <v>206</v>
      </c>
      <c r="R137" s="13" t="s">
        <v>207</v>
      </c>
      <c r="S137" s="13" t="s">
        <v>103</v>
      </c>
      <c r="T137" s="13" t="s">
        <v>205</v>
      </c>
      <c r="U137" s="14">
        <v>40725</v>
      </c>
      <c r="V137" s="14"/>
      <c r="W137" s="15"/>
      <c r="X137" s="13"/>
      <c r="Y137" s="15"/>
      <c r="Z137" s="13"/>
      <c r="AA137" s="15"/>
      <c r="AB137" s="13"/>
      <c r="AC137" s="15"/>
      <c r="AD137" s="13"/>
      <c r="AE137" s="15"/>
      <c r="AF137" s="13"/>
      <c r="AG137" s="15"/>
      <c r="AH137" s="13"/>
      <c r="AI137" s="15"/>
      <c r="AJ137" s="13"/>
      <c r="AK137" s="15"/>
      <c r="AL137" s="13"/>
      <c r="AM137" s="15"/>
    </row>
    <row r="138" spans="1:39" ht="135" x14ac:dyDescent="0.25">
      <c r="A138" s="13" t="s">
        <v>202</v>
      </c>
      <c r="B138" s="13" t="s">
        <v>153</v>
      </c>
      <c r="C138" s="14">
        <v>43152.5</v>
      </c>
      <c r="D138" s="13" t="s">
        <v>88</v>
      </c>
      <c r="E138" s="15" t="s">
        <v>89</v>
      </c>
      <c r="F138" s="13" t="s">
        <v>90</v>
      </c>
      <c r="G138" s="15" t="s">
        <v>91</v>
      </c>
      <c r="H138" s="13" t="s">
        <v>345</v>
      </c>
      <c r="I138" s="15" t="s">
        <v>346</v>
      </c>
      <c r="J138" s="15" t="s">
        <v>347</v>
      </c>
      <c r="K138" s="15" t="s">
        <v>348</v>
      </c>
      <c r="L138" s="13" t="s">
        <v>353</v>
      </c>
      <c r="M138" s="15" t="s">
        <v>354</v>
      </c>
      <c r="N138" s="13" t="s">
        <v>188</v>
      </c>
      <c r="O138" s="15" t="s">
        <v>189</v>
      </c>
      <c r="P138" s="15" t="s">
        <v>190</v>
      </c>
      <c r="Q138" s="15" t="s">
        <v>206</v>
      </c>
      <c r="R138" s="13" t="s">
        <v>207</v>
      </c>
      <c r="S138" s="13" t="s">
        <v>103</v>
      </c>
      <c r="T138" s="13" t="s">
        <v>205</v>
      </c>
      <c r="U138" s="14">
        <v>40725</v>
      </c>
      <c r="V138" s="14"/>
      <c r="W138" s="15"/>
      <c r="X138" s="13"/>
      <c r="Y138" s="15"/>
      <c r="Z138" s="13"/>
      <c r="AA138" s="15"/>
      <c r="AB138" s="13"/>
      <c r="AC138" s="15"/>
      <c r="AD138" s="13"/>
      <c r="AE138" s="15"/>
      <c r="AF138" s="13"/>
      <c r="AG138" s="15"/>
      <c r="AH138" s="13"/>
      <c r="AI138" s="15"/>
      <c r="AJ138" s="13"/>
      <c r="AK138" s="15"/>
      <c r="AL138" s="13"/>
      <c r="AM138" s="15"/>
    </row>
    <row r="139" spans="1:39" ht="135" x14ac:dyDescent="0.25">
      <c r="A139" s="13" t="s">
        <v>202</v>
      </c>
      <c r="B139" s="13" t="s">
        <v>153</v>
      </c>
      <c r="C139" s="14">
        <v>43152.5</v>
      </c>
      <c r="D139" s="13" t="s">
        <v>88</v>
      </c>
      <c r="E139" s="15" t="s">
        <v>89</v>
      </c>
      <c r="F139" s="13" t="s">
        <v>90</v>
      </c>
      <c r="G139" s="15" t="s">
        <v>91</v>
      </c>
      <c r="H139" s="13" t="s">
        <v>345</v>
      </c>
      <c r="I139" s="15" t="s">
        <v>346</v>
      </c>
      <c r="J139" s="15" t="s">
        <v>347</v>
      </c>
      <c r="K139" s="15" t="s">
        <v>348</v>
      </c>
      <c r="L139" s="13" t="s">
        <v>349</v>
      </c>
      <c r="M139" s="15" t="s">
        <v>350</v>
      </c>
      <c r="N139" s="13" t="s">
        <v>98</v>
      </c>
      <c r="O139" s="15" t="s">
        <v>99</v>
      </c>
      <c r="P139" s="15" t="s">
        <v>100</v>
      </c>
      <c r="Q139" s="15" t="s">
        <v>208</v>
      </c>
      <c r="R139" s="13" t="s">
        <v>209</v>
      </c>
      <c r="S139" s="13" t="s">
        <v>103</v>
      </c>
      <c r="T139" s="13" t="s">
        <v>205</v>
      </c>
      <c r="U139" s="14">
        <v>40725</v>
      </c>
      <c r="V139" s="14"/>
      <c r="W139" s="15"/>
      <c r="X139" s="13"/>
      <c r="Y139" s="15"/>
      <c r="Z139" s="13"/>
      <c r="AA139" s="15"/>
      <c r="AB139" s="13"/>
      <c r="AC139" s="15"/>
      <c r="AD139" s="13"/>
      <c r="AE139" s="15"/>
      <c r="AF139" s="13"/>
      <c r="AG139" s="15"/>
      <c r="AH139" s="13"/>
      <c r="AI139" s="15"/>
      <c r="AJ139" s="13"/>
      <c r="AK139" s="15"/>
      <c r="AL139" s="13"/>
      <c r="AM139" s="15"/>
    </row>
    <row r="140" spans="1:39" ht="135" x14ac:dyDescent="0.25">
      <c r="A140" s="13" t="s">
        <v>202</v>
      </c>
      <c r="B140" s="13" t="s">
        <v>153</v>
      </c>
      <c r="C140" s="14">
        <v>43152.5</v>
      </c>
      <c r="D140" s="13" t="s">
        <v>88</v>
      </c>
      <c r="E140" s="15" t="s">
        <v>89</v>
      </c>
      <c r="F140" s="13" t="s">
        <v>90</v>
      </c>
      <c r="G140" s="15" t="s">
        <v>91</v>
      </c>
      <c r="H140" s="13" t="s">
        <v>345</v>
      </c>
      <c r="I140" s="15" t="s">
        <v>346</v>
      </c>
      <c r="J140" s="15" t="s">
        <v>347</v>
      </c>
      <c r="K140" s="15" t="s">
        <v>348</v>
      </c>
      <c r="L140" s="13" t="s">
        <v>351</v>
      </c>
      <c r="M140" s="15" t="s">
        <v>352</v>
      </c>
      <c r="N140" s="13" t="s">
        <v>98</v>
      </c>
      <c r="O140" s="15" t="s">
        <v>170</v>
      </c>
      <c r="P140" s="15" t="s">
        <v>171</v>
      </c>
      <c r="Q140" s="15" t="s">
        <v>208</v>
      </c>
      <c r="R140" s="13" t="s">
        <v>209</v>
      </c>
      <c r="S140" s="13" t="s">
        <v>103</v>
      </c>
      <c r="T140" s="13" t="s">
        <v>205</v>
      </c>
      <c r="U140" s="14">
        <v>40725</v>
      </c>
      <c r="V140" s="14"/>
      <c r="W140" s="15"/>
      <c r="X140" s="13"/>
      <c r="Y140" s="15"/>
      <c r="Z140" s="13"/>
      <c r="AA140" s="15"/>
      <c r="AB140" s="13"/>
      <c r="AC140" s="15"/>
      <c r="AD140" s="13"/>
      <c r="AE140" s="15"/>
      <c r="AF140" s="13"/>
      <c r="AG140" s="15"/>
      <c r="AH140" s="13"/>
      <c r="AI140" s="15"/>
      <c r="AJ140" s="13"/>
      <c r="AK140" s="15"/>
      <c r="AL140" s="13"/>
      <c r="AM140" s="15"/>
    </row>
    <row r="141" spans="1:39" ht="135" x14ac:dyDescent="0.25">
      <c r="A141" s="13" t="s">
        <v>202</v>
      </c>
      <c r="B141" s="13" t="s">
        <v>153</v>
      </c>
      <c r="C141" s="14">
        <v>43152.5</v>
      </c>
      <c r="D141" s="13" t="s">
        <v>88</v>
      </c>
      <c r="E141" s="15" t="s">
        <v>89</v>
      </c>
      <c r="F141" s="13" t="s">
        <v>90</v>
      </c>
      <c r="G141" s="15" t="s">
        <v>91</v>
      </c>
      <c r="H141" s="13" t="s">
        <v>345</v>
      </c>
      <c r="I141" s="15" t="s">
        <v>346</v>
      </c>
      <c r="J141" s="15" t="s">
        <v>347</v>
      </c>
      <c r="K141" s="15" t="s">
        <v>348</v>
      </c>
      <c r="L141" s="13" t="s">
        <v>353</v>
      </c>
      <c r="M141" s="15" t="s">
        <v>354</v>
      </c>
      <c r="N141" s="13" t="s">
        <v>188</v>
      </c>
      <c r="O141" s="15" t="s">
        <v>189</v>
      </c>
      <c r="P141" s="15" t="s">
        <v>190</v>
      </c>
      <c r="Q141" s="15" t="s">
        <v>208</v>
      </c>
      <c r="R141" s="13" t="s">
        <v>209</v>
      </c>
      <c r="S141" s="13" t="s">
        <v>103</v>
      </c>
      <c r="T141" s="13" t="s">
        <v>205</v>
      </c>
      <c r="U141" s="14">
        <v>40725</v>
      </c>
      <c r="V141" s="14"/>
      <c r="W141" s="15"/>
      <c r="X141" s="13"/>
      <c r="Y141" s="15"/>
      <c r="Z141" s="13"/>
      <c r="AA141" s="15"/>
      <c r="AB141" s="13"/>
      <c r="AC141" s="15"/>
      <c r="AD141" s="13"/>
      <c r="AE141" s="15"/>
      <c r="AF141" s="13"/>
      <c r="AG141" s="15"/>
      <c r="AH141" s="13"/>
      <c r="AI141" s="15"/>
      <c r="AJ141" s="13"/>
      <c r="AK141" s="15"/>
      <c r="AL141" s="13"/>
      <c r="AM141" s="15"/>
    </row>
    <row r="142" spans="1:39" ht="135" x14ac:dyDescent="0.25">
      <c r="A142" s="13" t="s">
        <v>86</v>
      </c>
      <c r="B142" s="13" t="s">
        <v>87</v>
      </c>
      <c r="C142" s="14">
        <v>43850.552083333336</v>
      </c>
      <c r="D142" s="13" t="s">
        <v>88</v>
      </c>
      <c r="E142" s="15" t="s">
        <v>89</v>
      </c>
      <c r="F142" s="13" t="s">
        <v>90</v>
      </c>
      <c r="G142" s="15" t="s">
        <v>91</v>
      </c>
      <c r="H142" s="13" t="s">
        <v>345</v>
      </c>
      <c r="I142" s="15" t="s">
        <v>346</v>
      </c>
      <c r="J142" s="15" t="s">
        <v>347</v>
      </c>
      <c r="K142" s="15" t="s">
        <v>348</v>
      </c>
      <c r="L142" s="13" t="s">
        <v>349</v>
      </c>
      <c r="M142" s="15" t="s">
        <v>350</v>
      </c>
      <c r="N142" s="13" t="s">
        <v>98</v>
      </c>
      <c r="O142" s="15" t="s">
        <v>99</v>
      </c>
      <c r="P142" s="15" t="s">
        <v>100</v>
      </c>
      <c r="Q142" s="15" t="s">
        <v>332</v>
      </c>
      <c r="R142" s="13" t="s">
        <v>333</v>
      </c>
      <c r="S142" s="13" t="s">
        <v>212</v>
      </c>
      <c r="T142" s="13" t="s">
        <v>104</v>
      </c>
      <c r="U142" s="14">
        <v>40725</v>
      </c>
      <c r="V142" s="14">
        <v>43830</v>
      </c>
      <c r="W142" s="15"/>
      <c r="X142" s="13"/>
      <c r="Y142" s="15"/>
      <c r="Z142" s="13"/>
      <c r="AA142" s="15"/>
      <c r="AB142" s="13"/>
      <c r="AC142" s="15"/>
      <c r="AD142" s="13"/>
      <c r="AE142" s="15"/>
      <c r="AF142" s="13"/>
      <c r="AG142" s="15"/>
      <c r="AH142" s="13"/>
      <c r="AI142" s="15"/>
      <c r="AJ142" s="13"/>
      <c r="AK142" s="15"/>
      <c r="AL142" s="13"/>
      <c r="AM142" s="15"/>
    </row>
    <row r="143" spans="1:39" ht="135" x14ac:dyDescent="0.25">
      <c r="A143" s="13" t="s">
        <v>86</v>
      </c>
      <c r="B143" s="13" t="s">
        <v>153</v>
      </c>
      <c r="C143" s="14">
        <v>44012.459722222222</v>
      </c>
      <c r="D143" s="13" t="s">
        <v>88</v>
      </c>
      <c r="E143" s="15" t="s">
        <v>89</v>
      </c>
      <c r="F143" s="13" t="s">
        <v>90</v>
      </c>
      <c r="G143" s="15" t="s">
        <v>91</v>
      </c>
      <c r="H143" s="13" t="s">
        <v>345</v>
      </c>
      <c r="I143" s="15" t="s">
        <v>346</v>
      </c>
      <c r="J143" s="15" t="s">
        <v>347</v>
      </c>
      <c r="K143" s="15" t="s">
        <v>348</v>
      </c>
      <c r="L143" s="13" t="s">
        <v>349</v>
      </c>
      <c r="M143" s="15" t="s">
        <v>350</v>
      </c>
      <c r="N143" s="13" t="s">
        <v>98</v>
      </c>
      <c r="O143" s="15" t="s">
        <v>99</v>
      </c>
      <c r="P143" s="15" t="s">
        <v>100</v>
      </c>
      <c r="Q143" s="15" t="s">
        <v>332</v>
      </c>
      <c r="R143" s="13" t="s">
        <v>333</v>
      </c>
      <c r="S143" s="13" t="s">
        <v>212</v>
      </c>
      <c r="T143" s="13" t="s">
        <v>104</v>
      </c>
      <c r="U143" s="14">
        <v>43831</v>
      </c>
      <c r="V143" s="14"/>
      <c r="W143" s="15"/>
      <c r="X143" s="13"/>
      <c r="Y143" s="15"/>
      <c r="Z143" s="13"/>
      <c r="AA143" s="15"/>
      <c r="AB143" s="13"/>
      <c r="AC143" s="15"/>
      <c r="AD143" s="13"/>
      <c r="AE143" s="15"/>
      <c r="AF143" s="13"/>
      <c r="AG143" s="15"/>
      <c r="AH143" s="13"/>
      <c r="AI143" s="15"/>
      <c r="AJ143" s="13"/>
      <c r="AK143" s="15"/>
      <c r="AL143" s="13"/>
      <c r="AM143" s="15"/>
    </row>
    <row r="144" spans="1:39" ht="135" x14ac:dyDescent="0.25">
      <c r="A144" s="13" t="s">
        <v>86</v>
      </c>
      <c r="B144" s="13" t="s">
        <v>87</v>
      </c>
      <c r="C144" s="14">
        <v>43850.552083333336</v>
      </c>
      <c r="D144" s="13" t="s">
        <v>88</v>
      </c>
      <c r="E144" s="15" t="s">
        <v>89</v>
      </c>
      <c r="F144" s="13" t="s">
        <v>90</v>
      </c>
      <c r="G144" s="15" t="s">
        <v>91</v>
      </c>
      <c r="H144" s="13" t="s">
        <v>345</v>
      </c>
      <c r="I144" s="15" t="s">
        <v>346</v>
      </c>
      <c r="J144" s="15" t="s">
        <v>347</v>
      </c>
      <c r="K144" s="15" t="s">
        <v>348</v>
      </c>
      <c r="L144" s="13" t="s">
        <v>351</v>
      </c>
      <c r="M144" s="15" t="s">
        <v>352</v>
      </c>
      <c r="N144" s="13" t="s">
        <v>98</v>
      </c>
      <c r="O144" s="15" t="s">
        <v>170</v>
      </c>
      <c r="P144" s="15" t="s">
        <v>171</v>
      </c>
      <c r="Q144" s="15" t="s">
        <v>332</v>
      </c>
      <c r="R144" s="13" t="s">
        <v>333</v>
      </c>
      <c r="S144" s="13" t="s">
        <v>212</v>
      </c>
      <c r="T144" s="13" t="s">
        <v>104</v>
      </c>
      <c r="U144" s="14">
        <v>40725</v>
      </c>
      <c r="V144" s="14"/>
      <c r="W144" s="15"/>
      <c r="X144" s="13"/>
      <c r="Y144" s="15"/>
      <c r="Z144" s="13"/>
      <c r="AA144" s="15"/>
      <c r="AB144" s="13"/>
      <c r="AC144" s="15"/>
      <c r="AD144" s="13"/>
      <c r="AE144" s="15"/>
      <c r="AF144" s="13"/>
      <c r="AG144" s="15"/>
      <c r="AH144" s="13"/>
      <c r="AI144" s="15"/>
      <c r="AJ144" s="13"/>
      <c r="AK144" s="15"/>
      <c r="AL144" s="13"/>
      <c r="AM144" s="15"/>
    </row>
    <row r="145" spans="1:39" ht="135" x14ac:dyDescent="0.25">
      <c r="A145" s="13" t="s">
        <v>86</v>
      </c>
      <c r="B145" s="13" t="s">
        <v>87</v>
      </c>
      <c r="C145" s="14">
        <v>43850.552083333336</v>
      </c>
      <c r="D145" s="13" t="s">
        <v>88</v>
      </c>
      <c r="E145" s="15" t="s">
        <v>89</v>
      </c>
      <c r="F145" s="13" t="s">
        <v>90</v>
      </c>
      <c r="G145" s="15" t="s">
        <v>91</v>
      </c>
      <c r="H145" s="13" t="s">
        <v>345</v>
      </c>
      <c r="I145" s="15" t="s">
        <v>346</v>
      </c>
      <c r="J145" s="15" t="s">
        <v>347</v>
      </c>
      <c r="K145" s="15" t="s">
        <v>348</v>
      </c>
      <c r="L145" s="13" t="s">
        <v>353</v>
      </c>
      <c r="M145" s="15" t="s">
        <v>354</v>
      </c>
      <c r="N145" s="13" t="s">
        <v>188</v>
      </c>
      <c r="O145" s="15" t="s">
        <v>189</v>
      </c>
      <c r="P145" s="15" t="s">
        <v>190</v>
      </c>
      <c r="Q145" s="15" t="s">
        <v>332</v>
      </c>
      <c r="R145" s="13" t="s">
        <v>333</v>
      </c>
      <c r="S145" s="13" t="s">
        <v>212</v>
      </c>
      <c r="T145" s="13" t="s">
        <v>104</v>
      </c>
      <c r="U145" s="14">
        <v>40725</v>
      </c>
      <c r="V145" s="14"/>
      <c r="W145" s="15"/>
      <c r="X145" s="13"/>
      <c r="Y145" s="15"/>
      <c r="Z145" s="13"/>
      <c r="AA145" s="15"/>
      <c r="AB145" s="13"/>
      <c r="AC145" s="15"/>
      <c r="AD145" s="13"/>
      <c r="AE145" s="15"/>
      <c r="AF145" s="13"/>
      <c r="AG145" s="15"/>
      <c r="AH145" s="13"/>
      <c r="AI145" s="15"/>
      <c r="AJ145" s="13"/>
      <c r="AK145" s="15"/>
      <c r="AL145" s="13"/>
      <c r="AM145" s="15"/>
    </row>
    <row r="146" spans="1:39" ht="165" x14ac:dyDescent="0.25">
      <c r="A146" s="13" t="s">
        <v>86</v>
      </c>
      <c r="B146" s="13" t="s">
        <v>87</v>
      </c>
      <c r="C146" s="14">
        <v>43850.552083333336</v>
      </c>
      <c r="D146" s="13" t="s">
        <v>88</v>
      </c>
      <c r="E146" s="15" t="s">
        <v>89</v>
      </c>
      <c r="F146" s="13" t="s">
        <v>90</v>
      </c>
      <c r="G146" s="15" t="s">
        <v>91</v>
      </c>
      <c r="H146" s="13" t="s">
        <v>355</v>
      </c>
      <c r="I146" s="15" t="s">
        <v>356</v>
      </c>
      <c r="J146" s="15" t="s">
        <v>357</v>
      </c>
      <c r="K146" s="15" t="s">
        <v>358</v>
      </c>
      <c r="L146" s="13" t="s">
        <v>359</v>
      </c>
      <c r="M146" s="15" t="s">
        <v>360</v>
      </c>
      <c r="N146" s="13" t="s">
        <v>98</v>
      </c>
      <c r="O146" s="15" t="s">
        <v>99</v>
      </c>
      <c r="P146" s="15" t="s">
        <v>100</v>
      </c>
      <c r="Q146" s="15" t="s">
        <v>101</v>
      </c>
      <c r="R146" s="13" t="s">
        <v>102</v>
      </c>
      <c r="S146" s="13" t="s">
        <v>103</v>
      </c>
      <c r="T146" s="13" t="s">
        <v>104</v>
      </c>
      <c r="U146" s="14">
        <v>40725</v>
      </c>
      <c r="V146" s="14">
        <v>43830</v>
      </c>
      <c r="W146" s="15" t="s">
        <v>700</v>
      </c>
      <c r="X146" s="13" t="s">
        <v>701</v>
      </c>
      <c r="Y146" s="15" t="str">
        <f>VLOOKUP(X146,'Axe 2 Règles de gestion'!$D$2:$F$121,3, FALSE)</f>
        <v>Rémunération : L'agent perçoit une rémunération statutaire et bénéficie du régime indemnitaire de son emploi d'accueil.</v>
      </c>
      <c r="Z146" s="13" t="s">
        <v>703</v>
      </c>
      <c r="AA146" s="15" t="str">
        <f>VLOOKUP(Z146,'Axe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46" s="13" t="s">
        <v>705</v>
      </c>
      <c r="AC146" s="15" t="str">
        <f>VLOOKUP(AB146,'Axe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46" s="13" t="s">
        <v>707</v>
      </c>
      <c r="AE146" s="15" t="str">
        <f>VLOOKUP(AD146,'Axe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46" s="13" t="s">
        <v>709</v>
      </c>
      <c r="AG146" s="15" t="str">
        <f>VLOOKUP(AF146,'Axe 2 Règles de gestion'!$D$2:$F$121,3, FALSE)</f>
        <v>Congés annuels : L'agent cumule des droits à congé.</v>
      </c>
      <c r="AH146" s="13" t="s">
        <v>711</v>
      </c>
      <c r="AI146" s="15" t="str">
        <f>VLOOKUP(AH146,'Axe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46" s="13" t="s">
        <v>713</v>
      </c>
      <c r="AK146" s="15" t="str">
        <f>VLOOKUP(AJ146,'Axe 2 Règles de gestion'!$D$2:$F$121,3, FALSE)</f>
        <v>Acte : Un acte administratif doit être produit.</v>
      </c>
      <c r="AL146" s="13"/>
      <c r="AM146" s="15"/>
    </row>
    <row r="147" spans="1:39" ht="165" x14ac:dyDescent="0.25">
      <c r="A147" s="13" t="s">
        <v>152</v>
      </c>
      <c r="B147" s="13" t="s">
        <v>153</v>
      </c>
      <c r="C147" s="14">
        <v>45807.45208333333</v>
      </c>
      <c r="D147" s="13" t="s">
        <v>88</v>
      </c>
      <c r="E147" s="15" t="s">
        <v>89</v>
      </c>
      <c r="F147" s="13" t="s">
        <v>90</v>
      </c>
      <c r="G147" s="15" t="s">
        <v>91</v>
      </c>
      <c r="H147" s="13" t="s">
        <v>355</v>
      </c>
      <c r="I147" s="15" t="s">
        <v>356</v>
      </c>
      <c r="J147" s="15" t="s">
        <v>357</v>
      </c>
      <c r="K147" s="15" t="s">
        <v>358</v>
      </c>
      <c r="L147" s="13" t="s">
        <v>359</v>
      </c>
      <c r="M147" s="15" t="s">
        <v>360</v>
      </c>
      <c r="N147" s="13" t="s">
        <v>98</v>
      </c>
      <c r="O147" s="15" t="s">
        <v>99</v>
      </c>
      <c r="P147" s="15" t="s">
        <v>100</v>
      </c>
      <c r="Q147" s="15" t="s">
        <v>101</v>
      </c>
      <c r="R147" s="13" t="s">
        <v>102</v>
      </c>
      <c r="S147" s="13" t="s">
        <v>103</v>
      </c>
      <c r="T147" s="13" t="s">
        <v>104</v>
      </c>
      <c r="U147" s="14">
        <v>43831</v>
      </c>
      <c r="V147" s="14"/>
      <c r="W147" s="15" t="s">
        <v>700</v>
      </c>
      <c r="X147" s="13" t="s">
        <v>701</v>
      </c>
      <c r="Y147" s="15" t="str">
        <f>VLOOKUP(X147,'Axe 2 Règles de gestion'!$D$2:$F$121,3, FALSE)</f>
        <v>Rémunération : L'agent perçoit une rémunération statutaire et bénéficie du régime indemnitaire de son emploi d'accueil.</v>
      </c>
      <c r="Z147" s="13" t="s">
        <v>703</v>
      </c>
      <c r="AA147" s="15" t="str">
        <f>VLOOKUP(Z147,'Axe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47" s="13" t="s">
        <v>705</v>
      </c>
      <c r="AC147" s="15" t="str">
        <f>VLOOKUP(AB147,'Axe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47" s="13" t="s">
        <v>707</v>
      </c>
      <c r="AE147" s="15" t="str">
        <f>VLOOKUP(AD147,'Axe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47" s="13" t="s">
        <v>709</v>
      </c>
      <c r="AG147" s="15" t="str">
        <f>VLOOKUP(AF147,'Axe 2 Règles de gestion'!$D$2:$F$121,3, FALSE)</f>
        <v>Congés annuels : L'agent cumule des droits à congé.</v>
      </c>
      <c r="AH147" s="13" t="s">
        <v>711</v>
      </c>
      <c r="AI147" s="15" t="str">
        <f>VLOOKUP(AH147,'Axe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47" s="13" t="s">
        <v>713</v>
      </c>
      <c r="AK147" s="15" t="str">
        <f>VLOOKUP(AJ147,'Axe 2 Règles de gestion'!$D$2:$F$121,3, FALSE)</f>
        <v>Acte : Un acte administratif doit être produit.</v>
      </c>
      <c r="AL147" s="13"/>
      <c r="AM147" s="15"/>
    </row>
    <row r="148" spans="1:39" ht="165" x14ac:dyDescent="0.25">
      <c r="A148" s="13" t="s">
        <v>86</v>
      </c>
      <c r="B148" s="13" t="s">
        <v>87</v>
      </c>
      <c r="C148" s="14">
        <v>43850.552083333336</v>
      </c>
      <c r="D148" s="13" t="s">
        <v>88</v>
      </c>
      <c r="E148" s="15" t="s">
        <v>89</v>
      </c>
      <c r="F148" s="13" t="s">
        <v>90</v>
      </c>
      <c r="G148" s="15" t="s">
        <v>91</v>
      </c>
      <c r="H148" s="13" t="s">
        <v>355</v>
      </c>
      <c r="I148" s="15" t="s">
        <v>356</v>
      </c>
      <c r="J148" s="15" t="s">
        <v>357</v>
      </c>
      <c r="K148" s="15" t="s">
        <v>358</v>
      </c>
      <c r="L148" s="13" t="s">
        <v>362</v>
      </c>
      <c r="M148" s="15" t="s">
        <v>363</v>
      </c>
      <c r="N148" s="13" t="s">
        <v>98</v>
      </c>
      <c r="O148" s="15" t="s">
        <v>170</v>
      </c>
      <c r="P148" s="15" t="s">
        <v>171</v>
      </c>
      <c r="Q148" s="15" t="s">
        <v>101</v>
      </c>
      <c r="R148" s="13" t="s">
        <v>102</v>
      </c>
      <c r="S148" s="13" t="s">
        <v>103</v>
      </c>
      <c r="T148" s="13" t="s">
        <v>104</v>
      </c>
      <c r="U148" s="14">
        <v>40725</v>
      </c>
      <c r="V148" s="14"/>
      <c r="W148" s="15" t="s">
        <v>700</v>
      </c>
      <c r="X148" s="13" t="s">
        <v>701</v>
      </c>
      <c r="Y148" s="15" t="str">
        <f>VLOOKUP(X148,'Axe 2 Règles de gestion'!$D$2:$F$121,3, FALSE)</f>
        <v>Rémunération : L'agent perçoit une rémunération statutaire et bénéficie du régime indemnitaire de son emploi d'accueil.</v>
      </c>
      <c r="Z148" s="13" t="s">
        <v>703</v>
      </c>
      <c r="AA148" s="15" t="str">
        <f>VLOOKUP(Z148,'Axe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48" s="13" t="s">
        <v>705</v>
      </c>
      <c r="AC148" s="15" t="str">
        <f>VLOOKUP(AB148,'Axe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48" s="13" t="s">
        <v>707</v>
      </c>
      <c r="AE148" s="15" t="str">
        <f>VLOOKUP(AD148,'Axe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48" s="13" t="s">
        <v>709</v>
      </c>
      <c r="AG148" s="15" t="str">
        <f>VLOOKUP(AF148,'Axe 2 Règles de gestion'!$D$2:$F$121,3, FALSE)</f>
        <v>Congés annuels : L'agent cumule des droits à congé.</v>
      </c>
      <c r="AH148" s="13" t="s">
        <v>711</v>
      </c>
      <c r="AI148" s="15" t="str">
        <f>VLOOKUP(AH148,'Axe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48" s="13" t="s">
        <v>713</v>
      </c>
      <c r="AK148" s="15" t="str">
        <f>VLOOKUP(AJ148,'Axe 2 Règles de gestion'!$D$2:$F$121,3, FALSE)</f>
        <v>Acte : Un acte administratif doit être produit.</v>
      </c>
      <c r="AL148" s="13"/>
      <c r="AM148" s="15"/>
    </row>
    <row r="149" spans="1:39" ht="90" x14ac:dyDescent="0.25">
      <c r="A149" s="13" t="s">
        <v>86</v>
      </c>
      <c r="B149" s="13" t="s">
        <v>87</v>
      </c>
      <c r="C149" s="14">
        <v>43850.552083333336</v>
      </c>
      <c r="D149" s="13" t="s">
        <v>88</v>
      </c>
      <c r="E149" s="15" t="s">
        <v>89</v>
      </c>
      <c r="F149" s="13" t="s">
        <v>90</v>
      </c>
      <c r="G149" s="15" t="s">
        <v>91</v>
      </c>
      <c r="H149" s="13" t="s">
        <v>355</v>
      </c>
      <c r="I149" s="15" t="s">
        <v>356</v>
      </c>
      <c r="J149" s="15" t="s">
        <v>357</v>
      </c>
      <c r="K149" s="15" t="s">
        <v>358</v>
      </c>
      <c r="L149" s="13" t="s">
        <v>364</v>
      </c>
      <c r="M149" s="15" t="s">
        <v>365</v>
      </c>
      <c r="N149" s="13" t="s">
        <v>188</v>
      </c>
      <c r="O149" s="15" t="s">
        <v>189</v>
      </c>
      <c r="P149" s="15" t="s">
        <v>190</v>
      </c>
      <c r="Q149" s="15" t="s">
        <v>101</v>
      </c>
      <c r="R149" s="13" t="s">
        <v>102</v>
      </c>
      <c r="S149" s="13" t="s">
        <v>103</v>
      </c>
      <c r="T149" s="13" t="s">
        <v>104</v>
      </c>
      <c r="U149" s="14">
        <v>40725</v>
      </c>
      <c r="V149" s="14"/>
      <c r="W149" s="15"/>
      <c r="X149" s="13"/>
      <c r="Y149" s="15"/>
      <c r="Z149" s="13"/>
      <c r="AA149" s="15"/>
      <c r="AB149" s="13"/>
      <c r="AC149" s="15"/>
      <c r="AD149" s="13"/>
      <c r="AE149" s="15"/>
      <c r="AF149" s="13"/>
      <c r="AG149" s="15"/>
      <c r="AH149" s="13"/>
      <c r="AI149" s="15"/>
      <c r="AJ149" s="13"/>
      <c r="AK149" s="15"/>
      <c r="AL149" s="13"/>
      <c r="AM149" s="15"/>
    </row>
    <row r="150" spans="1:39" ht="120" x14ac:dyDescent="0.25">
      <c r="A150" s="13" t="s">
        <v>202</v>
      </c>
      <c r="B150" s="13" t="s">
        <v>153</v>
      </c>
      <c r="C150" s="14">
        <v>43152.5</v>
      </c>
      <c r="D150" s="13" t="s">
        <v>88</v>
      </c>
      <c r="E150" s="15" t="s">
        <v>89</v>
      </c>
      <c r="F150" s="13" t="s">
        <v>90</v>
      </c>
      <c r="G150" s="15" t="s">
        <v>91</v>
      </c>
      <c r="H150" s="13" t="s">
        <v>355</v>
      </c>
      <c r="I150" s="15" t="s">
        <v>356</v>
      </c>
      <c r="J150" s="15" t="s">
        <v>357</v>
      </c>
      <c r="K150" s="15" t="s">
        <v>358</v>
      </c>
      <c r="L150" s="13" t="s">
        <v>359</v>
      </c>
      <c r="M150" s="15" t="s">
        <v>360</v>
      </c>
      <c r="N150" s="13" t="s">
        <v>98</v>
      </c>
      <c r="O150" s="15" t="s">
        <v>99</v>
      </c>
      <c r="P150" s="15" t="s">
        <v>100</v>
      </c>
      <c r="Q150" s="15" t="s">
        <v>203</v>
      </c>
      <c r="R150" s="13" t="s">
        <v>204</v>
      </c>
      <c r="S150" s="13" t="s">
        <v>103</v>
      </c>
      <c r="T150" s="13" t="s">
        <v>205</v>
      </c>
      <c r="U150" s="14">
        <v>40725</v>
      </c>
      <c r="V150" s="14"/>
      <c r="W150" s="15"/>
      <c r="X150" s="13"/>
      <c r="Y150" s="15"/>
      <c r="Z150" s="13"/>
      <c r="AA150" s="15"/>
      <c r="AB150" s="13"/>
      <c r="AC150" s="15"/>
      <c r="AD150" s="13"/>
      <c r="AE150" s="15"/>
      <c r="AF150" s="13"/>
      <c r="AG150" s="15"/>
      <c r="AH150" s="13"/>
      <c r="AI150" s="15"/>
      <c r="AJ150" s="13"/>
      <c r="AK150" s="15"/>
      <c r="AL150" s="13"/>
      <c r="AM150" s="15"/>
    </row>
    <row r="151" spans="1:39" ht="120" x14ac:dyDescent="0.25">
      <c r="A151" s="13" t="s">
        <v>202</v>
      </c>
      <c r="B151" s="13" t="s">
        <v>153</v>
      </c>
      <c r="C151" s="14">
        <v>43152.5</v>
      </c>
      <c r="D151" s="13" t="s">
        <v>88</v>
      </c>
      <c r="E151" s="15" t="s">
        <v>89</v>
      </c>
      <c r="F151" s="13" t="s">
        <v>90</v>
      </c>
      <c r="G151" s="15" t="s">
        <v>91</v>
      </c>
      <c r="H151" s="13" t="s">
        <v>355</v>
      </c>
      <c r="I151" s="15" t="s">
        <v>356</v>
      </c>
      <c r="J151" s="15" t="s">
        <v>357</v>
      </c>
      <c r="K151" s="15" t="s">
        <v>358</v>
      </c>
      <c r="L151" s="13" t="s">
        <v>362</v>
      </c>
      <c r="M151" s="15" t="s">
        <v>363</v>
      </c>
      <c r="N151" s="13" t="s">
        <v>98</v>
      </c>
      <c r="O151" s="15" t="s">
        <v>170</v>
      </c>
      <c r="P151" s="15" t="s">
        <v>171</v>
      </c>
      <c r="Q151" s="15" t="s">
        <v>203</v>
      </c>
      <c r="R151" s="13" t="s">
        <v>204</v>
      </c>
      <c r="S151" s="13" t="s">
        <v>103</v>
      </c>
      <c r="T151" s="13" t="s">
        <v>205</v>
      </c>
      <c r="U151" s="14">
        <v>40725</v>
      </c>
      <c r="V151" s="14"/>
      <c r="W151" s="15"/>
      <c r="X151" s="13"/>
      <c r="Y151" s="15"/>
      <c r="Z151" s="13"/>
      <c r="AA151" s="15"/>
      <c r="AB151" s="13"/>
      <c r="AC151" s="15"/>
      <c r="AD151" s="13"/>
      <c r="AE151" s="15"/>
      <c r="AF151" s="13"/>
      <c r="AG151" s="15"/>
      <c r="AH151" s="13"/>
      <c r="AI151" s="15"/>
      <c r="AJ151" s="13"/>
      <c r="AK151" s="15"/>
      <c r="AL151" s="13"/>
      <c r="AM151" s="15"/>
    </row>
    <row r="152" spans="1:39" ht="90" x14ac:dyDescent="0.25">
      <c r="A152" s="13" t="s">
        <v>202</v>
      </c>
      <c r="B152" s="13" t="s">
        <v>153</v>
      </c>
      <c r="C152" s="14">
        <v>43152.5</v>
      </c>
      <c r="D152" s="13" t="s">
        <v>88</v>
      </c>
      <c r="E152" s="15" t="s">
        <v>89</v>
      </c>
      <c r="F152" s="13" t="s">
        <v>90</v>
      </c>
      <c r="G152" s="15" t="s">
        <v>91</v>
      </c>
      <c r="H152" s="13" t="s">
        <v>355</v>
      </c>
      <c r="I152" s="15" t="s">
        <v>356</v>
      </c>
      <c r="J152" s="15" t="s">
        <v>357</v>
      </c>
      <c r="K152" s="15" t="s">
        <v>358</v>
      </c>
      <c r="L152" s="13" t="s">
        <v>364</v>
      </c>
      <c r="M152" s="15" t="s">
        <v>365</v>
      </c>
      <c r="N152" s="13" t="s">
        <v>188</v>
      </c>
      <c r="O152" s="15" t="s">
        <v>189</v>
      </c>
      <c r="P152" s="15" t="s">
        <v>190</v>
      </c>
      <c r="Q152" s="15" t="s">
        <v>203</v>
      </c>
      <c r="R152" s="13" t="s">
        <v>204</v>
      </c>
      <c r="S152" s="13" t="s">
        <v>103</v>
      </c>
      <c r="T152" s="13" t="s">
        <v>205</v>
      </c>
      <c r="U152" s="14">
        <v>40725</v>
      </c>
      <c r="V152" s="14"/>
      <c r="W152" s="15"/>
      <c r="X152" s="13"/>
      <c r="Y152" s="15"/>
      <c r="Z152" s="13"/>
      <c r="AA152" s="15"/>
      <c r="AB152" s="13"/>
      <c r="AC152" s="15"/>
      <c r="AD152" s="13"/>
      <c r="AE152" s="15"/>
      <c r="AF152" s="13"/>
      <c r="AG152" s="15"/>
      <c r="AH152" s="13"/>
      <c r="AI152" s="15"/>
      <c r="AJ152" s="13"/>
      <c r="AK152" s="15"/>
      <c r="AL152" s="13"/>
      <c r="AM152" s="15"/>
    </row>
    <row r="153" spans="1:39" ht="120" x14ac:dyDescent="0.25">
      <c r="A153" s="13" t="s">
        <v>202</v>
      </c>
      <c r="B153" s="13" t="s">
        <v>153</v>
      </c>
      <c r="C153" s="14">
        <v>43152.5</v>
      </c>
      <c r="D153" s="13" t="s">
        <v>88</v>
      </c>
      <c r="E153" s="15" t="s">
        <v>89</v>
      </c>
      <c r="F153" s="13" t="s">
        <v>90</v>
      </c>
      <c r="G153" s="15" t="s">
        <v>91</v>
      </c>
      <c r="H153" s="13" t="s">
        <v>355</v>
      </c>
      <c r="I153" s="15" t="s">
        <v>356</v>
      </c>
      <c r="J153" s="15" t="s">
        <v>357</v>
      </c>
      <c r="K153" s="15" t="s">
        <v>358</v>
      </c>
      <c r="L153" s="13" t="s">
        <v>359</v>
      </c>
      <c r="M153" s="15" t="s">
        <v>360</v>
      </c>
      <c r="N153" s="13" t="s">
        <v>98</v>
      </c>
      <c r="O153" s="15" t="s">
        <v>99</v>
      </c>
      <c r="P153" s="15" t="s">
        <v>100</v>
      </c>
      <c r="Q153" s="15" t="s">
        <v>206</v>
      </c>
      <c r="R153" s="13" t="s">
        <v>207</v>
      </c>
      <c r="S153" s="13" t="s">
        <v>103</v>
      </c>
      <c r="T153" s="13" t="s">
        <v>205</v>
      </c>
      <c r="U153" s="14">
        <v>40725</v>
      </c>
      <c r="V153" s="14"/>
      <c r="W153" s="15"/>
      <c r="X153" s="13"/>
      <c r="Y153" s="15"/>
      <c r="Z153" s="13"/>
      <c r="AA153" s="15"/>
      <c r="AB153" s="13"/>
      <c r="AC153" s="15"/>
      <c r="AD153" s="13"/>
      <c r="AE153" s="15"/>
      <c r="AF153" s="13"/>
      <c r="AG153" s="15"/>
      <c r="AH153" s="13"/>
      <c r="AI153" s="15"/>
      <c r="AJ153" s="13"/>
      <c r="AK153" s="15"/>
      <c r="AL153" s="13"/>
      <c r="AM153" s="15"/>
    </row>
    <row r="154" spans="1:39" ht="120" x14ac:dyDescent="0.25">
      <c r="A154" s="13" t="s">
        <v>202</v>
      </c>
      <c r="B154" s="13" t="s">
        <v>153</v>
      </c>
      <c r="C154" s="14">
        <v>43152.5</v>
      </c>
      <c r="D154" s="13" t="s">
        <v>88</v>
      </c>
      <c r="E154" s="15" t="s">
        <v>89</v>
      </c>
      <c r="F154" s="13" t="s">
        <v>90</v>
      </c>
      <c r="G154" s="15" t="s">
        <v>91</v>
      </c>
      <c r="H154" s="13" t="s">
        <v>355</v>
      </c>
      <c r="I154" s="15" t="s">
        <v>356</v>
      </c>
      <c r="J154" s="15" t="s">
        <v>357</v>
      </c>
      <c r="K154" s="15" t="s">
        <v>358</v>
      </c>
      <c r="L154" s="13" t="s">
        <v>362</v>
      </c>
      <c r="M154" s="15" t="s">
        <v>363</v>
      </c>
      <c r="N154" s="13" t="s">
        <v>98</v>
      </c>
      <c r="O154" s="15" t="s">
        <v>170</v>
      </c>
      <c r="P154" s="15" t="s">
        <v>171</v>
      </c>
      <c r="Q154" s="15" t="s">
        <v>206</v>
      </c>
      <c r="R154" s="13" t="s">
        <v>207</v>
      </c>
      <c r="S154" s="13" t="s">
        <v>103</v>
      </c>
      <c r="T154" s="13" t="s">
        <v>205</v>
      </c>
      <c r="U154" s="14">
        <v>40725</v>
      </c>
      <c r="V154" s="14"/>
      <c r="W154" s="15"/>
      <c r="X154" s="13"/>
      <c r="Y154" s="15"/>
      <c r="Z154" s="13"/>
      <c r="AA154" s="15"/>
      <c r="AB154" s="13"/>
      <c r="AC154" s="15"/>
      <c r="AD154" s="13"/>
      <c r="AE154" s="15"/>
      <c r="AF154" s="13"/>
      <c r="AG154" s="15"/>
      <c r="AH154" s="13"/>
      <c r="AI154" s="15"/>
      <c r="AJ154" s="13"/>
      <c r="AK154" s="15"/>
      <c r="AL154" s="13"/>
      <c r="AM154" s="15"/>
    </row>
    <row r="155" spans="1:39" ht="90" x14ac:dyDescent="0.25">
      <c r="A155" s="13" t="s">
        <v>202</v>
      </c>
      <c r="B155" s="13" t="s">
        <v>153</v>
      </c>
      <c r="C155" s="14">
        <v>43152.5</v>
      </c>
      <c r="D155" s="13" t="s">
        <v>88</v>
      </c>
      <c r="E155" s="15" t="s">
        <v>89</v>
      </c>
      <c r="F155" s="13" t="s">
        <v>90</v>
      </c>
      <c r="G155" s="15" t="s">
        <v>91</v>
      </c>
      <c r="H155" s="13" t="s">
        <v>355</v>
      </c>
      <c r="I155" s="15" t="s">
        <v>356</v>
      </c>
      <c r="J155" s="15" t="s">
        <v>357</v>
      </c>
      <c r="K155" s="15" t="s">
        <v>358</v>
      </c>
      <c r="L155" s="13" t="s">
        <v>364</v>
      </c>
      <c r="M155" s="15" t="s">
        <v>365</v>
      </c>
      <c r="N155" s="13" t="s">
        <v>188</v>
      </c>
      <c r="O155" s="15" t="s">
        <v>189</v>
      </c>
      <c r="P155" s="15" t="s">
        <v>190</v>
      </c>
      <c r="Q155" s="15" t="s">
        <v>206</v>
      </c>
      <c r="R155" s="13" t="s">
        <v>207</v>
      </c>
      <c r="S155" s="13" t="s">
        <v>103</v>
      </c>
      <c r="T155" s="13" t="s">
        <v>205</v>
      </c>
      <c r="U155" s="14">
        <v>40725</v>
      </c>
      <c r="V155" s="14"/>
      <c r="W155" s="15"/>
      <c r="X155" s="13"/>
      <c r="Y155" s="15"/>
      <c r="Z155" s="13"/>
      <c r="AA155" s="15"/>
      <c r="AB155" s="13"/>
      <c r="AC155" s="15"/>
      <c r="AD155" s="13"/>
      <c r="AE155" s="15"/>
      <c r="AF155" s="13"/>
      <c r="AG155" s="15"/>
      <c r="AH155" s="13"/>
      <c r="AI155" s="15"/>
      <c r="AJ155" s="13"/>
      <c r="AK155" s="15"/>
      <c r="AL155" s="13"/>
      <c r="AM155" s="15"/>
    </row>
    <row r="156" spans="1:39" ht="120" x14ac:dyDescent="0.25">
      <c r="A156" s="13" t="s">
        <v>202</v>
      </c>
      <c r="B156" s="13" t="s">
        <v>153</v>
      </c>
      <c r="C156" s="14">
        <v>43152.5</v>
      </c>
      <c r="D156" s="13" t="s">
        <v>88</v>
      </c>
      <c r="E156" s="15" t="s">
        <v>89</v>
      </c>
      <c r="F156" s="13" t="s">
        <v>90</v>
      </c>
      <c r="G156" s="15" t="s">
        <v>91</v>
      </c>
      <c r="H156" s="13" t="s">
        <v>355</v>
      </c>
      <c r="I156" s="15" t="s">
        <v>356</v>
      </c>
      <c r="J156" s="15" t="s">
        <v>357</v>
      </c>
      <c r="K156" s="15" t="s">
        <v>358</v>
      </c>
      <c r="L156" s="13" t="s">
        <v>359</v>
      </c>
      <c r="M156" s="15" t="s">
        <v>360</v>
      </c>
      <c r="N156" s="13" t="s">
        <v>98</v>
      </c>
      <c r="O156" s="15" t="s">
        <v>99</v>
      </c>
      <c r="P156" s="15" t="s">
        <v>100</v>
      </c>
      <c r="Q156" s="15" t="s">
        <v>208</v>
      </c>
      <c r="R156" s="13" t="s">
        <v>209</v>
      </c>
      <c r="S156" s="13" t="s">
        <v>103</v>
      </c>
      <c r="T156" s="13" t="s">
        <v>205</v>
      </c>
      <c r="U156" s="14">
        <v>40725</v>
      </c>
      <c r="V156" s="14"/>
      <c r="W156" s="15"/>
      <c r="X156" s="13"/>
      <c r="Y156" s="15"/>
      <c r="Z156" s="13"/>
      <c r="AA156" s="15"/>
      <c r="AB156" s="13"/>
      <c r="AC156" s="15"/>
      <c r="AD156" s="13"/>
      <c r="AE156" s="15"/>
      <c r="AF156" s="13"/>
      <c r="AG156" s="15"/>
      <c r="AH156" s="13"/>
      <c r="AI156" s="15"/>
      <c r="AJ156" s="13"/>
      <c r="AK156" s="15"/>
      <c r="AL156" s="13"/>
      <c r="AM156" s="15"/>
    </row>
    <row r="157" spans="1:39" ht="120" x14ac:dyDescent="0.25">
      <c r="A157" s="13" t="s">
        <v>202</v>
      </c>
      <c r="B157" s="13" t="s">
        <v>153</v>
      </c>
      <c r="C157" s="14">
        <v>43152.5</v>
      </c>
      <c r="D157" s="13" t="s">
        <v>88</v>
      </c>
      <c r="E157" s="15" t="s">
        <v>89</v>
      </c>
      <c r="F157" s="13" t="s">
        <v>90</v>
      </c>
      <c r="G157" s="15" t="s">
        <v>91</v>
      </c>
      <c r="H157" s="13" t="s">
        <v>355</v>
      </c>
      <c r="I157" s="15" t="s">
        <v>356</v>
      </c>
      <c r="J157" s="15" t="s">
        <v>357</v>
      </c>
      <c r="K157" s="15" t="s">
        <v>358</v>
      </c>
      <c r="L157" s="13" t="s">
        <v>362</v>
      </c>
      <c r="M157" s="15" t="s">
        <v>363</v>
      </c>
      <c r="N157" s="13" t="s">
        <v>98</v>
      </c>
      <c r="O157" s="15" t="s">
        <v>170</v>
      </c>
      <c r="P157" s="15" t="s">
        <v>171</v>
      </c>
      <c r="Q157" s="15" t="s">
        <v>208</v>
      </c>
      <c r="R157" s="13" t="s">
        <v>209</v>
      </c>
      <c r="S157" s="13" t="s">
        <v>103</v>
      </c>
      <c r="T157" s="13" t="s">
        <v>205</v>
      </c>
      <c r="U157" s="14">
        <v>40725</v>
      </c>
      <c r="V157" s="14"/>
      <c r="W157" s="15"/>
      <c r="X157" s="13"/>
      <c r="Y157" s="15"/>
      <c r="Z157" s="13"/>
      <c r="AA157" s="15"/>
      <c r="AB157" s="13"/>
      <c r="AC157" s="15"/>
      <c r="AD157" s="13"/>
      <c r="AE157" s="15"/>
      <c r="AF157" s="13"/>
      <c r="AG157" s="15"/>
      <c r="AH157" s="13"/>
      <c r="AI157" s="15"/>
      <c r="AJ157" s="13"/>
      <c r="AK157" s="15"/>
      <c r="AL157" s="13"/>
      <c r="AM157" s="15"/>
    </row>
    <row r="158" spans="1:39" ht="90" x14ac:dyDescent="0.25">
      <c r="A158" s="13" t="s">
        <v>202</v>
      </c>
      <c r="B158" s="13" t="s">
        <v>153</v>
      </c>
      <c r="C158" s="14">
        <v>43152.5</v>
      </c>
      <c r="D158" s="13" t="s">
        <v>88</v>
      </c>
      <c r="E158" s="15" t="s">
        <v>89</v>
      </c>
      <c r="F158" s="13" t="s">
        <v>90</v>
      </c>
      <c r="G158" s="15" t="s">
        <v>91</v>
      </c>
      <c r="H158" s="13" t="s">
        <v>355</v>
      </c>
      <c r="I158" s="15" t="s">
        <v>356</v>
      </c>
      <c r="J158" s="15" t="s">
        <v>357</v>
      </c>
      <c r="K158" s="15" t="s">
        <v>358</v>
      </c>
      <c r="L158" s="13" t="s">
        <v>364</v>
      </c>
      <c r="M158" s="15" t="s">
        <v>365</v>
      </c>
      <c r="N158" s="13" t="s">
        <v>188</v>
      </c>
      <c r="O158" s="15" t="s">
        <v>189</v>
      </c>
      <c r="P158" s="15" t="s">
        <v>190</v>
      </c>
      <c r="Q158" s="15" t="s">
        <v>208</v>
      </c>
      <c r="R158" s="13" t="s">
        <v>209</v>
      </c>
      <c r="S158" s="13" t="s">
        <v>103</v>
      </c>
      <c r="T158" s="13" t="s">
        <v>205</v>
      </c>
      <c r="U158" s="14">
        <v>40725</v>
      </c>
      <c r="V158" s="14"/>
      <c r="W158" s="15"/>
      <c r="X158" s="13"/>
      <c r="Y158" s="15"/>
      <c r="Z158" s="13"/>
      <c r="AA158" s="15"/>
      <c r="AB158" s="13"/>
      <c r="AC158" s="15"/>
      <c r="AD158" s="13"/>
      <c r="AE158" s="15"/>
      <c r="AF158" s="13"/>
      <c r="AG158" s="15"/>
      <c r="AH158" s="13"/>
      <c r="AI158" s="15"/>
      <c r="AJ158" s="13"/>
      <c r="AK158" s="15"/>
      <c r="AL158" s="13"/>
      <c r="AM158" s="15"/>
    </row>
    <row r="159" spans="1:39" ht="120" x14ac:dyDescent="0.25">
      <c r="A159" s="13" t="s">
        <v>202</v>
      </c>
      <c r="B159" s="13" t="s">
        <v>153</v>
      </c>
      <c r="C159" s="14">
        <v>43152.5</v>
      </c>
      <c r="D159" s="13" t="s">
        <v>88</v>
      </c>
      <c r="E159" s="15" t="s">
        <v>89</v>
      </c>
      <c r="F159" s="13" t="s">
        <v>90</v>
      </c>
      <c r="G159" s="15" t="s">
        <v>91</v>
      </c>
      <c r="H159" s="13" t="s">
        <v>355</v>
      </c>
      <c r="I159" s="15" t="s">
        <v>356</v>
      </c>
      <c r="J159" s="15" t="s">
        <v>357</v>
      </c>
      <c r="K159" s="15" t="s">
        <v>358</v>
      </c>
      <c r="L159" s="13" t="s">
        <v>359</v>
      </c>
      <c r="M159" s="15" t="s">
        <v>360</v>
      </c>
      <c r="N159" s="13" t="s">
        <v>98</v>
      </c>
      <c r="O159" s="15" t="s">
        <v>99</v>
      </c>
      <c r="P159" s="15" t="s">
        <v>100</v>
      </c>
      <c r="Q159" s="15" t="s">
        <v>366</v>
      </c>
      <c r="R159" s="13" t="s">
        <v>367</v>
      </c>
      <c r="S159" s="13" t="s">
        <v>212</v>
      </c>
      <c r="T159" s="13" t="s">
        <v>205</v>
      </c>
      <c r="U159" s="14">
        <v>40725</v>
      </c>
      <c r="V159" s="14"/>
      <c r="W159" s="15"/>
      <c r="X159" s="13"/>
      <c r="Y159" s="15"/>
      <c r="Z159" s="13"/>
      <c r="AA159" s="15"/>
      <c r="AB159" s="13"/>
      <c r="AC159" s="15"/>
      <c r="AD159" s="13"/>
      <c r="AE159" s="15"/>
      <c r="AF159" s="13"/>
      <c r="AG159" s="15"/>
      <c r="AH159" s="13"/>
      <c r="AI159" s="15"/>
      <c r="AJ159" s="13"/>
      <c r="AK159" s="15"/>
      <c r="AL159" s="13"/>
      <c r="AM159" s="15"/>
    </row>
    <row r="160" spans="1:39" ht="120" x14ac:dyDescent="0.25">
      <c r="A160" s="13" t="s">
        <v>202</v>
      </c>
      <c r="B160" s="13" t="s">
        <v>153</v>
      </c>
      <c r="C160" s="14">
        <v>43152.5</v>
      </c>
      <c r="D160" s="13" t="s">
        <v>88</v>
      </c>
      <c r="E160" s="15" t="s">
        <v>89</v>
      </c>
      <c r="F160" s="13" t="s">
        <v>90</v>
      </c>
      <c r="G160" s="15" t="s">
        <v>91</v>
      </c>
      <c r="H160" s="13" t="s">
        <v>355</v>
      </c>
      <c r="I160" s="15" t="s">
        <v>356</v>
      </c>
      <c r="J160" s="15" t="s">
        <v>357</v>
      </c>
      <c r="K160" s="15" t="s">
        <v>358</v>
      </c>
      <c r="L160" s="13" t="s">
        <v>362</v>
      </c>
      <c r="M160" s="15" t="s">
        <v>363</v>
      </c>
      <c r="N160" s="13" t="s">
        <v>98</v>
      </c>
      <c r="O160" s="15" t="s">
        <v>170</v>
      </c>
      <c r="P160" s="15" t="s">
        <v>171</v>
      </c>
      <c r="Q160" s="15" t="s">
        <v>366</v>
      </c>
      <c r="R160" s="13" t="s">
        <v>367</v>
      </c>
      <c r="S160" s="13" t="s">
        <v>212</v>
      </c>
      <c r="T160" s="13" t="s">
        <v>205</v>
      </c>
      <c r="U160" s="14">
        <v>40725</v>
      </c>
      <c r="V160" s="14"/>
      <c r="W160" s="15"/>
      <c r="X160" s="13"/>
      <c r="Y160" s="15"/>
      <c r="Z160" s="13"/>
      <c r="AA160" s="15"/>
      <c r="AB160" s="13"/>
      <c r="AC160" s="15"/>
      <c r="AD160" s="13"/>
      <c r="AE160" s="15"/>
      <c r="AF160" s="13"/>
      <c r="AG160" s="15"/>
      <c r="AH160" s="13"/>
      <c r="AI160" s="15"/>
      <c r="AJ160" s="13"/>
      <c r="AK160" s="15"/>
      <c r="AL160" s="13"/>
      <c r="AM160" s="15"/>
    </row>
    <row r="161" spans="1:39" ht="90" x14ac:dyDescent="0.25">
      <c r="A161" s="13" t="s">
        <v>202</v>
      </c>
      <c r="B161" s="13" t="s">
        <v>153</v>
      </c>
      <c r="C161" s="14">
        <v>43152.5</v>
      </c>
      <c r="D161" s="13" t="s">
        <v>88</v>
      </c>
      <c r="E161" s="15" t="s">
        <v>89</v>
      </c>
      <c r="F161" s="13" t="s">
        <v>90</v>
      </c>
      <c r="G161" s="15" t="s">
        <v>91</v>
      </c>
      <c r="H161" s="13" t="s">
        <v>355</v>
      </c>
      <c r="I161" s="15" t="s">
        <v>356</v>
      </c>
      <c r="J161" s="15" t="s">
        <v>357</v>
      </c>
      <c r="K161" s="15" t="s">
        <v>358</v>
      </c>
      <c r="L161" s="13" t="s">
        <v>364</v>
      </c>
      <c r="M161" s="15" t="s">
        <v>365</v>
      </c>
      <c r="N161" s="13" t="s">
        <v>188</v>
      </c>
      <c r="O161" s="15" t="s">
        <v>189</v>
      </c>
      <c r="P161" s="15" t="s">
        <v>190</v>
      </c>
      <c r="Q161" s="15" t="s">
        <v>366</v>
      </c>
      <c r="R161" s="13" t="s">
        <v>367</v>
      </c>
      <c r="S161" s="13" t="s">
        <v>212</v>
      </c>
      <c r="T161" s="13" t="s">
        <v>205</v>
      </c>
      <c r="U161" s="14">
        <v>40725</v>
      </c>
      <c r="V161" s="14"/>
      <c r="W161" s="15"/>
      <c r="X161" s="13"/>
      <c r="Y161" s="15"/>
      <c r="Z161" s="13"/>
      <c r="AA161" s="15"/>
      <c r="AB161" s="13"/>
      <c r="AC161" s="15"/>
      <c r="AD161" s="13"/>
      <c r="AE161" s="15"/>
      <c r="AF161" s="13"/>
      <c r="AG161" s="15"/>
      <c r="AH161" s="13"/>
      <c r="AI161" s="15"/>
      <c r="AJ161" s="13"/>
      <c r="AK161" s="15"/>
      <c r="AL161" s="13"/>
      <c r="AM161" s="15"/>
    </row>
    <row r="162" spans="1:39" ht="120" x14ac:dyDescent="0.25">
      <c r="A162" s="13" t="s">
        <v>202</v>
      </c>
      <c r="B162" s="13" t="s">
        <v>153</v>
      </c>
      <c r="C162" s="14">
        <v>43152.5</v>
      </c>
      <c r="D162" s="13" t="s">
        <v>88</v>
      </c>
      <c r="E162" s="15" t="s">
        <v>89</v>
      </c>
      <c r="F162" s="13" t="s">
        <v>90</v>
      </c>
      <c r="G162" s="15" t="s">
        <v>91</v>
      </c>
      <c r="H162" s="13" t="s">
        <v>355</v>
      </c>
      <c r="I162" s="15" t="s">
        <v>356</v>
      </c>
      <c r="J162" s="15" t="s">
        <v>357</v>
      </c>
      <c r="K162" s="15" t="s">
        <v>358</v>
      </c>
      <c r="L162" s="13" t="s">
        <v>359</v>
      </c>
      <c r="M162" s="15" t="s">
        <v>360</v>
      </c>
      <c r="N162" s="13" t="s">
        <v>98</v>
      </c>
      <c r="O162" s="15" t="s">
        <v>99</v>
      </c>
      <c r="P162" s="15" t="s">
        <v>100</v>
      </c>
      <c r="Q162" s="15" t="s">
        <v>219</v>
      </c>
      <c r="R162" s="13" t="s">
        <v>220</v>
      </c>
      <c r="S162" s="13" t="s">
        <v>212</v>
      </c>
      <c r="T162" s="13" t="s">
        <v>205</v>
      </c>
      <c r="U162" s="14">
        <v>40725</v>
      </c>
      <c r="V162" s="14"/>
      <c r="W162" s="15"/>
      <c r="X162" s="13"/>
      <c r="Y162" s="15"/>
      <c r="Z162" s="13"/>
      <c r="AA162" s="15"/>
      <c r="AB162" s="13"/>
      <c r="AC162" s="15"/>
      <c r="AD162" s="13"/>
      <c r="AE162" s="15"/>
      <c r="AF162" s="13"/>
      <c r="AG162" s="15"/>
      <c r="AH162" s="13"/>
      <c r="AI162" s="15"/>
      <c r="AJ162" s="13"/>
      <c r="AK162" s="15"/>
      <c r="AL162" s="13"/>
      <c r="AM162" s="15"/>
    </row>
    <row r="163" spans="1:39" ht="120" x14ac:dyDescent="0.25">
      <c r="A163" s="13" t="s">
        <v>202</v>
      </c>
      <c r="B163" s="13" t="s">
        <v>153</v>
      </c>
      <c r="C163" s="14">
        <v>43152.5</v>
      </c>
      <c r="D163" s="13" t="s">
        <v>88</v>
      </c>
      <c r="E163" s="15" t="s">
        <v>89</v>
      </c>
      <c r="F163" s="13" t="s">
        <v>90</v>
      </c>
      <c r="G163" s="15" t="s">
        <v>91</v>
      </c>
      <c r="H163" s="13" t="s">
        <v>355</v>
      </c>
      <c r="I163" s="15" t="s">
        <v>356</v>
      </c>
      <c r="J163" s="15" t="s">
        <v>357</v>
      </c>
      <c r="K163" s="15" t="s">
        <v>358</v>
      </c>
      <c r="L163" s="13" t="s">
        <v>362</v>
      </c>
      <c r="M163" s="15" t="s">
        <v>363</v>
      </c>
      <c r="N163" s="13" t="s">
        <v>98</v>
      </c>
      <c r="O163" s="15" t="s">
        <v>170</v>
      </c>
      <c r="P163" s="15" t="s">
        <v>171</v>
      </c>
      <c r="Q163" s="15" t="s">
        <v>219</v>
      </c>
      <c r="R163" s="13" t="s">
        <v>220</v>
      </c>
      <c r="S163" s="13" t="s">
        <v>212</v>
      </c>
      <c r="T163" s="13" t="s">
        <v>205</v>
      </c>
      <c r="U163" s="14">
        <v>40725</v>
      </c>
      <c r="V163" s="14"/>
      <c r="W163" s="15"/>
      <c r="X163" s="13"/>
      <c r="Y163" s="15"/>
      <c r="Z163" s="13"/>
      <c r="AA163" s="15"/>
      <c r="AB163" s="13"/>
      <c r="AC163" s="15"/>
      <c r="AD163" s="13"/>
      <c r="AE163" s="15"/>
      <c r="AF163" s="13"/>
      <c r="AG163" s="15"/>
      <c r="AH163" s="13"/>
      <c r="AI163" s="15"/>
      <c r="AJ163" s="13"/>
      <c r="AK163" s="15"/>
      <c r="AL163" s="13"/>
      <c r="AM163" s="15"/>
    </row>
    <row r="164" spans="1:39" ht="90" x14ac:dyDescent="0.25">
      <c r="A164" s="13" t="s">
        <v>202</v>
      </c>
      <c r="B164" s="13" t="s">
        <v>153</v>
      </c>
      <c r="C164" s="14">
        <v>43152.5</v>
      </c>
      <c r="D164" s="13" t="s">
        <v>88</v>
      </c>
      <c r="E164" s="15" t="s">
        <v>89</v>
      </c>
      <c r="F164" s="13" t="s">
        <v>90</v>
      </c>
      <c r="G164" s="15" t="s">
        <v>91</v>
      </c>
      <c r="H164" s="13" t="s">
        <v>355</v>
      </c>
      <c r="I164" s="15" t="s">
        <v>356</v>
      </c>
      <c r="J164" s="15" t="s">
        <v>357</v>
      </c>
      <c r="K164" s="15" t="s">
        <v>358</v>
      </c>
      <c r="L164" s="13" t="s">
        <v>364</v>
      </c>
      <c r="M164" s="15" t="s">
        <v>365</v>
      </c>
      <c r="N164" s="13" t="s">
        <v>188</v>
      </c>
      <c r="O164" s="15" t="s">
        <v>189</v>
      </c>
      <c r="P164" s="15" t="s">
        <v>190</v>
      </c>
      <c r="Q164" s="15" t="s">
        <v>219</v>
      </c>
      <c r="R164" s="13" t="s">
        <v>220</v>
      </c>
      <c r="S164" s="13" t="s">
        <v>212</v>
      </c>
      <c r="T164" s="13" t="s">
        <v>205</v>
      </c>
      <c r="U164" s="14">
        <v>40725</v>
      </c>
      <c r="V164" s="14"/>
      <c r="W164" s="15"/>
      <c r="X164" s="13"/>
      <c r="Y164" s="15"/>
      <c r="Z164" s="13"/>
      <c r="AA164" s="15"/>
      <c r="AB164" s="13"/>
      <c r="AC164" s="15"/>
      <c r="AD164" s="13"/>
      <c r="AE164" s="15"/>
      <c r="AF164" s="13"/>
      <c r="AG164" s="15"/>
      <c r="AH164" s="13"/>
      <c r="AI164" s="15"/>
      <c r="AJ164" s="13"/>
      <c r="AK164" s="15"/>
      <c r="AL164" s="13"/>
      <c r="AM164" s="15"/>
    </row>
    <row r="165" spans="1:39" ht="165" x14ac:dyDescent="0.25">
      <c r="A165" s="13" t="s">
        <v>86</v>
      </c>
      <c r="B165" s="13" t="s">
        <v>87</v>
      </c>
      <c r="C165" s="14">
        <v>43850.552083333336</v>
      </c>
      <c r="D165" s="13" t="s">
        <v>88</v>
      </c>
      <c r="E165" s="15" t="s">
        <v>89</v>
      </c>
      <c r="F165" s="13" t="s">
        <v>90</v>
      </c>
      <c r="G165" s="15" t="s">
        <v>91</v>
      </c>
      <c r="H165" s="13" t="s">
        <v>368</v>
      </c>
      <c r="I165" s="15" t="s">
        <v>369</v>
      </c>
      <c r="J165" s="15" t="s">
        <v>370</v>
      </c>
      <c r="K165" s="15" t="s">
        <v>371</v>
      </c>
      <c r="L165" s="13" t="s">
        <v>372</v>
      </c>
      <c r="M165" s="15" t="s">
        <v>373</v>
      </c>
      <c r="N165" s="13" t="s">
        <v>98</v>
      </c>
      <c r="O165" s="15" t="s">
        <v>99</v>
      </c>
      <c r="P165" s="15" t="s">
        <v>100</v>
      </c>
      <c r="Q165" s="15" t="s">
        <v>101</v>
      </c>
      <c r="R165" s="13" t="s">
        <v>102</v>
      </c>
      <c r="S165" s="13" t="s">
        <v>103</v>
      </c>
      <c r="T165" s="13" t="s">
        <v>104</v>
      </c>
      <c r="U165" s="14">
        <v>40725</v>
      </c>
      <c r="V165" s="14">
        <v>43830</v>
      </c>
      <c r="W165" s="15" t="s">
        <v>700</v>
      </c>
      <c r="X165" s="13" t="s">
        <v>701</v>
      </c>
      <c r="Y165" s="15" t="str">
        <f>VLOOKUP(X165,'Axe 2 Règles de gestion'!$D$2:$F$121,3, FALSE)</f>
        <v>Rémunération : L'agent perçoit une rémunération statutaire et bénéficie du régime indemnitaire de son emploi d'accueil.</v>
      </c>
      <c r="Z165" s="13" t="s">
        <v>703</v>
      </c>
      <c r="AA165" s="15" t="str">
        <f>VLOOKUP(Z165,'Axe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65" s="13" t="s">
        <v>705</v>
      </c>
      <c r="AC165" s="15" t="str">
        <f>VLOOKUP(AB165,'Axe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65" s="13" t="s">
        <v>707</v>
      </c>
      <c r="AE165" s="15" t="str">
        <f>VLOOKUP(AD165,'Axe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65" s="13" t="s">
        <v>709</v>
      </c>
      <c r="AG165" s="15" t="str">
        <f>VLOOKUP(AF165,'Axe 2 Règles de gestion'!$D$2:$F$121,3, FALSE)</f>
        <v>Congés annuels : L'agent cumule des droits à congé.</v>
      </c>
      <c r="AH165" s="13" t="s">
        <v>711</v>
      </c>
      <c r="AI165" s="15" t="str">
        <f>VLOOKUP(AH165,'Axe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65" s="13" t="s">
        <v>713</v>
      </c>
      <c r="AK165" s="15" t="str">
        <f>VLOOKUP(AJ165,'Axe 2 Règles de gestion'!$D$2:$F$121,3, FALSE)</f>
        <v>Acte : Un acte administratif doit être produit.</v>
      </c>
      <c r="AL165" s="13"/>
      <c r="AM165" s="15"/>
    </row>
    <row r="166" spans="1:39" ht="165" x14ac:dyDescent="0.25">
      <c r="A166" s="13" t="s">
        <v>152</v>
      </c>
      <c r="B166" s="13" t="s">
        <v>153</v>
      </c>
      <c r="C166" s="14">
        <v>45807.452777777777</v>
      </c>
      <c r="D166" s="13" t="s">
        <v>88</v>
      </c>
      <c r="E166" s="15" t="s">
        <v>89</v>
      </c>
      <c r="F166" s="13" t="s">
        <v>90</v>
      </c>
      <c r="G166" s="15" t="s">
        <v>91</v>
      </c>
      <c r="H166" s="13" t="s">
        <v>368</v>
      </c>
      <c r="I166" s="15" t="s">
        <v>369</v>
      </c>
      <c r="J166" s="15" t="s">
        <v>370</v>
      </c>
      <c r="K166" s="15" t="s">
        <v>371</v>
      </c>
      <c r="L166" s="13" t="s">
        <v>372</v>
      </c>
      <c r="M166" s="15" t="s">
        <v>373</v>
      </c>
      <c r="N166" s="13" t="s">
        <v>98</v>
      </c>
      <c r="O166" s="15" t="s">
        <v>99</v>
      </c>
      <c r="P166" s="15" t="s">
        <v>100</v>
      </c>
      <c r="Q166" s="15" t="s">
        <v>101</v>
      </c>
      <c r="R166" s="13" t="s">
        <v>102</v>
      </c>
      <c r="S166" s="13" t="s">
        <v>103</v>
      </c>
      <c r="T166" s="13" t="s">
        <v>104</v>
      </c>
      <c r="U166" s="14">
        <v>43831</v>
      </c>
      <c r="V166" s="14"/>
      <c r="W166" s="15" t="s">
        <v>700</v>
      </c>
      <c r="X166" s="13" t="s">
        <v>701</v>
      </c>
      <c r="Y166" s="15" t="str">
        <f>VLOOKUP(X166,'Axe 2 Règles de gestion'!$D$2:$F$121,3, FALSE)</f>
        <v>Rémunération : L'agent perçoit une rémunération statutaire et bénéficie du régime indemnitaire de son emploi d'accueil.</v>
      </c>
      <c r="Z166" s="13" t="s">
        <v>703</v>
      </c>
      <c r="AA166" s="15" t="str">
        <f>VLOOKUP(Z166,'Axe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66" s="13" t="s">
        <v>705</v>
      </c>
      <c r="AC166" s="15" t="str">
        <f>VLOOKUP(AB166,'Axe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66" s="13" t="s">
        <v>707</v>
      </c>
      <c r="AE166" s="15" t="str">
        <f>VLOOKUP(AD166,'Axe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66" s="13" t="s">
        <v>709</v>
      </c>
      <c r="AG166" s="15" t="str">
        <f>VLOOKUP(AF166,'Axe 2 Règles de gestion'!$D$2:$F$121,3, FALSE)</f>
        <v>Congés annuels : L'agent cumule des droits à congé.</v>
      </c>
      <c r="AH166" s="13" t="s">
        <v>711</v>
      </c>
      <c r="AI166" s="15" t="str">
        <f>VLOOKUP(AH166,'Axe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66" s="13" t="s">
        <v>713</v>
      </c>
      <c r="AK166" s="15" t="str">
        <f>VLOOKUP(AJ166,'Axe 2 Règles de gestion'!$D$2:$F$121,3, FALSE)</f>
        <v>Acte : Un acte administratif doit être produit.</v>
      </c>
      <c r="AL166" s="13"/>
      <c r="AM166" s="15"/>
    </row>
    <row r="167" spans="1:39" ht="165" x14ac:dyDescent="0.25">
      <c r="A167" s="13" t="s">
        <v>86</v>
      </c>
      <c r="B167" s="13" t="s">
        <v>87</v>
      </c>
      <c r="C167" s="14">
        <v>43850.552083333336</v>
      </c>
      <c r="D167" s="13" t="s">
        <v>88</v>
      </c>
      <c r="E167" s="15" t="s">
        <v>89</v>
      </c>
      <c r="F167" s="13" t="s">
        <v>90</v>
      </c>
      <c r="G167" s="15" t="s">
        <v>91</v>
      </c>
      <c r="H167" s="13" t="s">
        <v>368</v>
      </c>
      <c r="I167" s="15" t="s">
        <v>369</v>
      </c>
      <c r="J167" s="15" t="s">
        <v>370</v>
      </c>
      <c r="K167" s="15" t="s">
        <v>371</v>
      </c>
      <c r="L167" s="13" t="s">
        <v>374</v>
      </c>
      <c r="M167" s="15" t="s">
        <v>375</v>
      </c>
      <c r="N167" s="13" t="s">
        <v>98</v>
      </c>
      <c r="O167" s="15" t="s">
        <v>170</v>
      </c>
      <c r="P167" s="15" t="s">
        <v>171</v>
      </c>
      <c r="Q167" s="15" t="s">
        <v>101</v>
      </c>
      <c r="R167" s="13" t="s">
        <v>102</v>
      </c>
      <c r="S167" s="13" t="s">
        <v>103</v>
      </c>
      <c r="T167" s="13" t="s">
        <v>104</v>
      </c>
      <c r="U167" s="14">
        <v>40725</v>
      </c>
      <c r="V167" s="14"/>
      <c r="W167" s="15" t="s">
        <v>700</v>
      </c>
      <c r="X167" s="13" t="s">
        <v>701</v>
      </c>
      <c r="Y167" s="15" t="str">
        <f>VLOOKUP(X167,'Axe 2 Règles de gestion'!$D$2:$F$121,3, FALSE)</f>
        <v>Rémunération : L'agent perçoit une rémunération statutaire et bénéficie du régime indemnitaire de son emploi d'accueil.</v>
      </c>
      <c r="Z167" s="13" t="s">
        <v>703</v>
      </c>
      <c r="AA167" s="15" t="str">
        <f>VLOOKUP(Z167,'Axe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67" s="13" t="s">
        <v>705</v>
      </c>
      <c r="AC167" s="15" t="str">
        <f>VLOOKUP(AB167,'Axe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67" s="13" t="s">
        <v>707</v>
      </c>
      <c r="AE167" s="15" t="str">
        <f>VLOOKUP(AD167,'Axe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67" s="13" t="s">
        <v>709</v>
      </c>
      <c r="AG167" s="15" t="str">
        <f>VLOOKUP(AF167,'Axe 2 Règles de gestion'!$D$2:$F$121,3, FALSE)</f>
        <v>Congés annuels : L'agent cumule des droits à congé.</v>
      </c>
      <c r="AH167" s="13" t="s">
        <v>711</v>
      </c>
      <c r="AI167" s="15" t="str">
        <f>VLOOKUP(AH167,'Axe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67" s="13" t="s">
        <v>713</v>
      </c>
      <c r="AK167" s="15" t="str">
        <f>VLOOKUP(AJ167,'Axe 2 Règles de gestion'!$D$2:$F$121,3, FALSE)</f>
        <v>Acte : Un acte administratif doit être produit.</v>
      </c>
      <c r="AL167" s="13"/>
      <c r="AM167" s="15"/>
    </row>
    <row r="168" spans="1:39" ht="105" x14ac:dyDescent="0.25">
      <c r="A168" s="13" t="s">
        <v>86</v>
      </c>
      <c r="B168" s="13" t="s">
        <v>87</v>
      </c>
      <c r="C168" s="14">
        <v>43850.552083333336</v>
      </c>
      <c r="D168" s="13" t="s">
        <v>88</v>
      </c>
      <c r="E168" s="15" t="s">
        <v>89</v>
      </c>
      <c r="F168" s="13" t="s">
        <v>90</v>
      </c>
      <c r="G168" s="15" t="s">
        <v>91</v>
      </c>
      <c r="H168" s="13" t="s">
        <v>368</v>
      </c>
      <c r="I168" s="15" t="s">
        <v>369</v>
      </c>
      <c r="J168" s="15" t="s">
        <v>370</v>
      </c>
      <c r="K168" s="15" t="s">
        <v>371</v>
      </c>
      <c r="L168" s="13" t="s">
        <v>376</v>
      </c>
      <c r="M168" s="15" t="s">
        <v>377</v>
      </c>
      <c r="N168" s="13" t="s">
        <v>188</v>
      </c>
      <c r="O168" s="15" t="s">
        <v>189</v>
      </c>
      <c r="P168" s="15" t="s">
        <v>190</v>
      </c>
      <c r="Q168" s="15" t="s">
        <v>101</v>
      </c>
      <c r="R168" s="13" t="s">
        <v>102</v>
      </c>
      <c r="S168" s="13" t="s">
        <v>103</v>
      </c>
      <c r="T168" s="13" t="s">
        <v>104</v>
      </c>
      <c r="U168" s="14">
        <v>40725</v>
      </c>
      <c r="V168" s="14"/>
      <c r="W168" s="15"/>
      <c r="X168" s="13"/>
      <c r="Y168" s="15"/>
      <c r="Z168" s="13"/>
      <c r="AA168" s="15"/>
      <c r="AB168" s="13"/>
      <c r="AC168" s="15"/>
      <c r="AD168" s="13"/>
      <c r="AE168" s="15"/>
      <c r="AF168" s="13"/>
      <c r="AG168" s="15"/>
      <c r="AH168" s="13"/>
      <c r="AI168" s="15"/>
      <c r="AJ168" s="13"/>
      <c r="AK168" s="15"/>
      <c r="AL168" s="13"/>
      <c r="AM168" s="15"/>
    </row>
    <row r="169" spans="1:39" ht="120" x14ac:dyDescent="0.25">
      <c r="A169" s="13" t="s">
        <v>202</v>
      </c>
      <c r="B169" s="13" t="s">
        <v>153</v>
      </c>
      <c r="C169" s="14">
        <v>43152.5</v>
      </c>
      <c r="D169" s="13" t="s">
        <v>88</v>
      </c>
      <c r="E169" s="15" t="s">
        <v>89</v>
      </c>
      <c r="F169" s="13" t="s">
        <v>90</v>
      </c>
      <c r="G169" s="15" t="s">
        <v>91</v>
      </c>
      <c r="H169" s="13" t="s">
        <v>368</v>
      </c>
      <c r="I169" s="15" t="s">
        <v>369</v>
      </c>
      <c r="J169" s="15" t="s">
        <v>370</v>
      </c>
      <c r="K169" s="15" t="s">
        <v>371</v>
      </c>
      <c r="L169" s="13" t="s">
        <v>372</v>
      </c>
      <c r="M169" s="15" t="s">
        <v>373</v>
      </c>
      <c r="N169" s="13" t="s">
        <v>98</v>
      </c>
      <c r="O169" s="15" t="s">
        <v>99</v>
      </c>
      <c r="P169" s="15" t="s">
        <v>100</v>
      </c>
      <c r="Q169" s="15" t="s">
        <v>203</v>
      </c>
      <c r="R169" s="13" t="s">
        <v>204</v>
      </c>
      <c r="S169" s="13" t="s">
        <v>103</v>
      </c>
      <c r="T169" s="13" t="s">
        <v>205</v>
      </c>
      <c r="U169" s="14">
        <v>40725</v>
      </c>
      <c r="V169" s="14"/>
      <c r="W169" s="15"/>
      <c r="X169" s="13"/>
      <c r="Y169" s="15"/>
      <c r="Z169" s="13"/>
      <c r="AA169" s="15"/>
      <c r="AB169" s="13"/>
      <c r="AC169" s="15"/>
      <c r="AD169" s="13"/>
      <c r="AE169" s="15"/>
      <c r="AF169" s="13"/>
      <c r="AG169" s="15"/>
      <c r="AH169" s="13"/>
      <c r="AI169" s="15"/>
      <c r="AJ169" s="13"/>
      <c r="AK169" s="15"/>
      <c r="AL169" s="13"/>
      <c r="AM169" s="15"/>
    </row>
    <row r="170" spans="1:39" ht="120" x14ac:dyDescent="0.25">
      <c r="A170" s="13" t="s">
        <v>202</v>
      </c>
      <c r="B170" s="13" t="s">
        <v>153</v>
      </c>
      <c r="C170" s="14">
        <v>43152.5</v>
      </c>
      <c r="D170" s="13" t="s">
        <v>88</v>
      </c>
      <c r="E170" s="15" t="s">
        <v>89</v>
      </c>
      <c r="F170" s="13" t="s">
        <v>90</v>
      </c>
      <c r="G170" s="15" t="s">
        <v>91</v>
      </c>
      <c r="H170" s="13" t="s">
        <v>368</v>
      </c>
      <c r="I170" s="15" t="s">
        <v>369</v>
      </c>
      <c r="J170" s="15" t="s">
        <v>370</v>
      </c>
      <c r="K170" s="15" t="s">
        <v>371</v>
      </c>
      <c r="L170" s="13" t="s">
        <v>374</v>
      </c>
      <c r="M170" s="15" t="s">
        <v>375</v>
      </c>
      <c r="N170" s="13" t="s">
        <v>98</v>
      </c>
      <c r="O170" s="15" t="s">
        <v>170</v>
      </c>
      <c r="P170" s="15" t="s">
        <v>171</v>
      </c>
      <c r="Q170" s="15" t="s">
        <v>203</v>
      </c>
      <c r="R170" s="13" t="s">
        <v>204</v>
      </c>
      <c r="S170" s="13" t="s">
        <v>103</v>
      </c>
      <c r="T170" s="13" t="s">
        <v>205</v>
      </c>
      <c r="U170" s="14">
        <v>40725</v>
      </c>
      <c r="V170" s="14"/>
      <c r="W170" s="15"/>
      <c r="X170" s="13"/>
      <c r="Y170" s="15"/>
      <c r="Z170" s="13"/>
      <c r="AA170" s="15"/>
      <c r="AB170" s="13"/>
      <c r="AC170" s="15"/>
      <c r="AD170" s="13"/>
      <c r="AE170" s="15"/>
      <c r="AF170" s="13"/>
      <c r="AG170" s="15"/>
      <c r="AH170" s="13"/>
      <c r="AI170" s="15"/>
      <c r="AJ170" s="13"/>
      <c r="AK170" s="15"/>
      <c r="AL170" s="13"/>
      <c r="AM170" s="15"/>
    </row>
    <row r="171" spans="1:39" ht="105" x14ac:dyDescent="0.25">
      <c r="A171" s="13" t="s">
        <v>202</v>
      </c>
      <c r="B171" s="13" t="s">
        <v>153</v>
      </c>
      <c r="C171" s="14">
        <v>43152.5</v>
      </c>
      <c r="D171" s="13" t="s">
        <v>88</v>
      </c>
      <c r="E171" s="15" t="s">
        <v>89</v>
      </c>
      <c r="F171" s="13" t="s">
        <v>90</v>
      </c>
      <c r="G171" s="15" t="s">
        <v>91</v>
      </c>
      <c r="H171" s="13" t="s">
        <v>368</v>
      </c>
      <c r="I171" s="15" t="s">
        <v>369</v>
      </c>
      <c r="J171" s="15" t="s">
        <v>370</v>
      </c>
      <c r="K171" s="15" t="s">
        <v>371</v>
      </c>
      <c r="L171" s="13" t="s">
        <v>376</v>
      </c>
      <c r="M171" s="15" t="s">
        <v>377</v>
      </c>
      <c r="N171" s="13" t="s">
        <v>188</v>
      </c>
      <c r="O171" s="15" t="s">
        <v>189</v>
      </c>
      <c r="P171" s="15" t="s">
        <v>190</v>
      </c>
      <c r="Q171" s="15" t="s">
        <v>203</v>
      </c>
      <c r="R171" s="13" t="s">
        <v>204</v>
      </c>
      <c r="S171" s="13" t="s">
        <v>103</v>
      </c>
      <c r="T171" s="13" t="s">
        <v>205</v>
      </c>
      <c r="U171" s="14">
        <v>40725</v>
      </c>
      <c r="V171" s="14"/>
      <c r="W171" s="15"/>
      <c r="X171" s="13"/>
      <c r="Y171" s="15"/>
      <c r="Z171" s="13"/>
      <c r="AA171" s="15"/>
      <c r="AB171" s="13"/>
      <c r="AC171" s="15"/>
      <c r="AD171" s="13"/>
      <c r="AE171" s="15"/>
      <c r="AF171" s="13"/>
      <c r="AG171" s="15"/>
      <c r="AH171" s="13"/>
      <c r="AI171" s="15"/>
      <c r="AJ171" s="13"/>
      <c r="AK171" s="15"/>
      <c r="AL171" s="13"/>
      <c r="AM171" s="15"/>
    </row>
    <row r="172" spans="1:39" ht="120" x14ac:dyDescent="0.25">
      <c r="A172" s="13" t="s">
        <v>202</v>
      </c>
      <c r="B172" s="13" t="s">
        <v>153</v>
      </c>
      <c r="C172" s="14">
        <v>43152.5</v>
      </c>
      <c r="D172" s="13" t="s">
        <v>88</v>
      </c>
      <c r="E172" s="15" t="s">
        <v>89</v>
      </c>
      <c r="F172" s="13" t="s">
        <v>90</v>
      </c>
      <c r="G172" s="15" t="s">
        <v>91</v>
      </c>
      <c r="H172" s="13" t="s">
        <v>368</v>
      </c>
      <c r="I172" s="15" t="s">
        <v>369</v>
      </c>
      <c r="J172" s="15" t="s">
        <v>370</v>
      </c>
      <c r="K172" s="15" t="s">
        <v>371</v>
      </c>
      <c r="L172" s="13" t="s">
        <v>372</v>
      </c>
      <c r="M172" s="15" t="s">
        <v>373</v>
      </c>
      <c r="N172" s="13" t="s">
        <v>98</v>
      </c>
      <c r="O172" s="15" t="s">
        <v>99</v>
      </c>
      <c r="P172" s="15" t="s">
        <v>100</v>
      </c>
      <c r="Q172" s="15" t="s">
        <v>206</v>
      </c>
      <c r="R172" s="13" t="s">
        <v>207</v>
      </c>
      <c r="S172" s="13" t="s">
        <v>103</v>
      </c>
      <c r="T172" s="13" t="s">
        <v>205</v>
      </c>
      <c r="U172" s="14">
        <v>40725</v>
      </c>
      <c r="V172" s="14"/>
      <c r="W172" s="15"/>
      <c r="X172" s="13"/>
      <c r="Y172" s="15"/>
      <c r="Z172" s="13"/>
      <c r="AA172" s="15"/>
      <c r="AB172" s="13"/>
      <c r="AC172" s="15"/>
      <c r="AD172" s="13"/>
      <c r="AE172" s="15"/>
      <c r="AF172" s="13"/>
      <c r="AG172" s="15"/>
      <c r="AH172" s="13"/>
      <c r="AI172" s="15"/>
      <c r="AJ172" s="13"/>
      <c r="AK172" s="15"/>
      <c r="AL172" s="13"/>
      <c r="AM172" s="15"/>
    </row>
    <row r="173" spans="1:39" ht="120" x14ac:dyDescent="0.25">
      <c r="A173" s="13" t="s">
        <v>202</v>
      </c>
      <c r="B173" s="13" t="s">
        <v>153</v>
      </c>
      <c r="C173" s="14">
        <v>43152.5</v>
      </c>
      <c r="D173" s="13" t="s">
        <v>88</v>
      </c>
      <c r="E173" s="15" t="s">
        <v>89</v>
      </c>
      <c r="F173" s="13" t="s">
        <v>90</v>
      </c>
      <c r="G173" s="15" t="s">
        <v>91</v>
      </c>
      <c r="H173" s="13" t="s">
        <v>368</v>
      </c>
      <c r="I173" s="15" t="s">
        <v>369</v>
      </c>
      <c r="J173" s="15" t="s">
        <v>370</v>
      </c>
      <c r="K173" s="15" t="s">
        <v>371</v>
      </c>
      <c r="L173" s="13" t="s">
        <v>374</v>
      </c>
      <c r="M173" s="15" t="s">
        <v>375</v>
      </c>
      <c r="N173" s="13" t="s">
        <v>98</v>
      </c>
      <c r="O173" s="15" t="s">
        <v>170</v>
      </c>
      <c r="P173" s="15" t="s">
        <v>171</v>
      </c>
      <c r="Q173" s="15" t="s">
        <v>206</v>
      </c>
      <c r="R173" s="13" t="s">
        <v>207</v>
      </c>
      <c r="S173" s="13" t="s">
        <v>103</v>
      </c>
      <c r="T173" s="13" t="s">
        <v>205</v>
      </c>
      <c r="U173" s="14">
        <v>40725</v>
      </c>
      <c r="V173" s="14"/>
      <c r="W173" s="15"/>
      <c r="X173" s="13"/>
      <c r="Y173" s="15"/>
      <c r="Z173" s="13"/>
      <c r="AA173" s="15"/>
      <c r="AB173" s="13"/>
      <c r="AC173" s="15"/>
      <c r="AD173" s="13"/>
      <c r="AE173" s="15"/>
      <c r="AF173" s="13"/>
      <c r="AG173" s="15"/>
      <c r="AH173" s="13"/>
      <c r="AI173" s="15"/>
      <c r="AJ173" s="13"/>
      <c r="AK173" s="15"/>
      <c r="AL173" s="13"/>
      <c r="AM173" s="15"/>
    </row>
    <row r="174" spans="1:39" ht="105" x14ac:dyDescent="0.25">
      <c r="A174" s="13" t="s">
        <v>202</v>
      </c>
      <c r="B174" s="13" t="s">
        <v>153</v>
      </c>
      <c r="C174" s="14">
        <v>43152.5</v>
      </c>
      <c r="D174" s="13" t="s">
        <v>88</v>
      </c>
      <c r="E174" s="15" t="s">
        <v>89</v>
      </c>
      <c r="F174" s="13" t="s">
        <v>90</v>
      </c>
      <c r="G174" s="15" t="s">
        <v>91</v>
      </c>
      <c r="H174" s="13" t="s">
        <v>368</v>
      </c>
      <c r="I174" s="15" t="s">
        <v>369</v>
      </c>
      <c r="J174" s="15" t="s">
        <v>370</v>
      </c>
      <c r="K174" s="15" t="s">
        <v>371</v>
      </c>
      <c r="L174" s="13" t="s">
        <v>376</v>
      </c>
      <c r="M174" s="15" t="s">
        <v>377</v>
      </c>
      <c r="N174" s="13" t="s">
        <v>188</v>
      </c>
      <c r="O174" s="15" t="s">
        <v>189</v>
      </c>
      <c r="P174" s="15" t="s">
        <v>190</v>
      </c>
      <c r="Q174" s="15" t="s">
        <v>206</v>
      </c>
      <c r="R174" s="13" t="s">
        <v>207</v>
      </c>
      <c r="S174" s="13" t="s">
        <v>103</v>
      </c>
      <c r="T174" s="13" t="s">
        <v>205</v>
      </c>
      <c r="U174" s="14">
        <v>40725</v>
      </c>
      <c r="V174" s="14"/>
      <c r="W174" s="15"/>
      <c r="X174" s="13"/>
      <c r="Y174" s="15"/>
      <c r="Z174" s="13"/>
      <c r="AA174" s="15"/>
      <c r="AB174" s="13"/>
      <c r="AC174" s="15"/>
      <c r="AD174" s="13"/>
      <c r="AE174" s="15"/>
      <c r="AF174" s="13"/>
      <c r="AG174" s="15"/>
      <c r="AH174" s="13"/>
      <c r="AI174" s="15"/>
      <c r="AJ174" s="13"/>
      <c r="AK174" s="15"/>
      <c r="AL174" s="13"/>
      <c r="AM174" s="15"/>
    </row>
    <row r="175" spans="1:39" ht="120" x14ac:dyDescent="0.25">
      <c r="A175" s="13" t="s">
        <v>202</v>
      </c>
      <c r="B175" s="13" t="s">
        <v>153</v>
      </c>
      <c r="C175" s="14">
        <v>43152.5</v>
      </c>
      <c r="D175" s="13" t="s">
        <v>88</v>
      </c>
      <c r="E175" s="15" t="s">
        <v>89</v>
      </c>
      <c r="F175" s="13" t="s">
        <v>90</v>
      </c>
      <c r="G175" s="15" t="s">
        <v>91</v>
      </c>
      <c r="H175" s="13" t="s">
        <v>368</v>
      </c>
      <c r="I175" s="15" t="s">
        <v>369</v>
      </c>
      <c r="J175" s="15" t="s">
        <v>370</v>
      </c>
      <c r="K175" s="15" t="s">
        <v>371</v>
      </c>
      <c r="L175" s="13" t="s">
        <v>372</v>
      </c>
      <c r="M175" s="15" t="s">
        <v>373</v>
      </c>
      <c r="N175" s="13" t="s">
        <v>98</v>
      </c>
      <c r="O175" s="15" t="s">
        <v>99</v>
      </c>
      <c r="P175" s="15" t="s">
        <v>100</v>
      </c>
      <c r="Q175" s="15" t="s">
        <v>208</v>
      </c>
      <c r="R175" s="13" t="s">
        <v>209</v>
      </c>
      <c r="S175" s="13" t="s">
        <v>103</v>
      </c>
      <c r="T175" s="13" t="s">
        <v>205</v>
      </c>
      <c r="U175" s="14">
        <v>40725</v>
      </c>
      <c r="V175" s="14"/>
      <c r="W175" s="15"/>
      <c r="X175" s="13"/>
      <c r="Y175" s="15"/>
      <c r="Z175" s="13"/>
      <c r="AA175" s="15"/>
      <c r="AB175" s="13"/>
      <c r="AC175" s="15"/>
      <c r="AD175" s="13"/>
      <c r="AE175" s="15"/>
      <c r="AF175" s="13"/>
      <c r="AG175" s="15"/>
      <c r="AH175" s="13"/>
      <c r="AI175" s="15"/>
      <c r="AJ175" s="13"/>
      <c r="AK175" s="15"/>
      <c r="AL175" s="13"/>
      <c r="AM175" s="15"/>
    </row>
    <row r="176" spans="1:39" ht="120" x14ac:dyDescent="0.25">
      <c r="A176" s="13" t="s">
        <v>202</v>
      </c>
      <c r="B176" s="13" t="s">
        <v>153</v>
      </c>
      <c r="C176" s="14">
        <v>43152.5</v>
      </c>
      <c r="D176" s="13" t="s">
        <v>88</v>
      </c>
      <c r="E176" s="15" t="s">
        <v>89</v>
      </c>
      <c r="F176" s="13" t="s">
        <v>90</v>
      </c>
      <c r="G176" s="15" t="s">
        <v>91</v>
      </c>
      <c r="H176" s="13" t="s">
        <v>368</v>
      </c>
      <c r="I176" s="15" t="s">
        <v>369</v>
      </c>
      <c r="J176" s="15" t="s">
        <v>370</v>
      </c>
      <c r="K176" s="15" t="s">
        <v>371</v>
      </c>
      <c r="L176" s="13" t="s">
        <v>374</v>
      </c>
      <c r="M176" s="15" t="s">
        <v>375</v>
      </c>
      <c r="N176" s="13" t="s">
        <v>98</v>
      </c>
      <c r="O176" s="15" t="s">
        <v>170</v>
      </c>
      <c r="P176" s="15" t="s">
        <v>171</v>
      </c>
      <c r="Q176" s="15" t="s">
        <v>208</v>
      </c>
      <c r="R176" s="13" t="s">
        <v>209</v>
      </c>
      <c r="S176" s="13" t="s">
        <v>103</v>
      </c>
      <c r="T176" s="13" t="s">
        <v>205</v>
      </c>
      <c r="U176" s="14">
        <v>40725</v>
      </c>
      <c r="V176" s="14"/>
      <c r="W176" s="15"/>
      <c r="X176" s="13"/>
      <c r="Y176" s="15"/>
      <c r="Z176" s="13"/>
      <c r="AA176" s="15"/>
      <c r="AB176" s="13"/>
      <c r="AC176" s="15"/>
      <c r="AD176" s="13"/>
      <c r="AE176" s="15"/>
      <c r="AF176" s="13"/>
      <c r="AG176" s="15"/>
      <c r="AH176" s="13"/>
      <c r="AI176" s="15"/>
      <c r="AJ176" s="13"/>
      <c r="AK176" s="15"/>
      <c r="AL176" s="13"/>
      <c r="AM176" s="15"/>
    </row>
    <row r="177" spans="1:39" ht="105" x14ac:dyDescent="0.25">
      <c r="A177" s="13" t="s">
        <v>202</v>
      </c>
      <c r="B177" s="13" t="s">
        <v>153</v>
      </c>
      <c r="C177" s="14">
        <v>43152.5</v>
      </c>
      <c r="D177" s="13" t="s">
        <v>88</v>
      </c>
      <c r="E177" s="15" t="s">
        <v>89</v>
      </c>
      <c r="F177" s="13" t="s">
        <v>90</v>
      </c>
      <c r="G177" s="15" t="s">
        <v>91</v>
      </c>
      <c r="H177" s="13" t="s">
        <v>368</v>
      </c>
      <c r="I177" s="15" t="s">
        <v>369</v>
      </c>
      <c r="J177" s="15" t="s">
        <v>370</v>
      </c>
      <c r="K177" s="15" t="s">
        <v>371</v>
      </c>
      <c r="L177" s="13" t="s">
        <v>376</v>
      </c>
      <c r="M177" s="15" t="s">
        <v>377</v>
      </c>
      <c r="N177" s="13" t="s">
        <v>188</v>
      </c>
      <c r="O177" s="15" t="s">
        <v>189</v>
      </c>
      <c r="P177" s="15" t="s">
        <v>190</v>
      </c>
      <c r="Q177" s="15" t="s">
        <v>208</v>
      </c>
      <c r="R177" s="13" t="s">
        <v>209</v>
      </c>
      <c r="S177" s="13" t="s">
        <v>103</v>
      </c>
      <c r="T177" s="13" t="s">
        <v>205</v>
      </c>
      <c r="U177" s="14">
        <v>40725</v>
      </c>
      <c r="V177" s="14"/>
      <c r="W177" s="15"/>
      <c r="X177" s="13"/>
      <c r="Y177" s="15"/>
      <c r="Z177" s="13"/>
      <c r="AA177" s="15"/>
      <c r="AB177" s="13"/>
      <c r="AC177" s="15"/>
      <c r="AD177" s="13"/>
      <c r="AE177" s="15"/>
      <c r="AF177" s="13"/>
      <c r="AG177" s="15"/>
      <c r="AH177" s="13"/>
      <c r="AI177" s="15"/>
      <c r="AJ177" s="13"/>
      <c r="AK177" s="15"/>
      <c r="AL177" s="13"/>
      <c r="AM177" s="15"/>
    </row>
    <row r="178" spans="1:39" ht="120" x14ac:dyDescent="0.25">
      <c r="A178" s="13" t="s">
        <v>202</v>
      </c>
      <c r="B178" s="13" t="s">
        <v>153</v>
      </c>
      <c r="C178" s="14">
        <v>43152.5</v>
      </c>
      <c r="D178" s="13" t="s">
        <v>88</v>
      </c>
      <c r="E178" s="15" t="s">
        <v>89</v>
      </c>
      <c r="F178" s="13" t="s">
        <v>90</v>
      </c>
      <c r="G178" s="15" t="s">
        <v>91</v>
      </c>
      <c r="H178" s="13" t="s">
        <v>368</v>
      </c>
      <c r="I178" s="15" t="s">
        <v>369</v>
      </c>
      <c r="J178" s="15" t="s">
        <v>370</v>
      </c>
      <c r="K178" s="15" t="s">
        <v>371</v>
      </c>
      <c r="L178" s="13" t="s">
        <v>372</v>
      </c>
      <c r="M178" s="15" t="s">
        <v>373</v>
      </c>
      <c r="N178" s="13" t="s">
        <v>98</v>
      </c>
      <c r="O178" s="15" t="s">
        <v>99</v>
      </c>
      <c r="P178" s="15" t="s">
        <v>100</v>
      </c>
      <c r="Q178" s="15" t="s">
        <v>366</v>
      </c>
      <c r="R178" s="13" t="s">
        <v>367</v>
      </c>
      <c r="S178" s="13" t="s">
        <v>212</v>
      </c>
      <c r="T178" s="13" t="s">
        <v>205</v>
      </c>
      <c r="U178" s="14">
        <v>40725</v>
      </c>
      <c r="V178" s="14"/>
      <c r="W178" s="15"/>
      <c r="X178" s="13"/>
      <c r="Y178" s="15"/>
      <c r="Z178" s="13"/>
      <c r="AA178" s="15"/>
      <c r="AB178" s="13"/>
      <c r="AC178" s="15"/>
      <c r="AD178" s="13"/>
      <c r="AE178" s="15"/>
      <c r="AF178" s="13"/>
      <c r="AG178" s="15"/>
      <c r="AH178" s="13"/>
      <c r="AI178" s="15"/>
      <c r="AJ178" s="13"/>
      <c r="AK178" s="15"/>
      <c r="AL178" s="13"/>
      <c r="AM178" s="15"/>
    </row>
    <row r="179" spans="1:39" ht="120" x14ac:dyDescent="0.25">
      <c r="A179" s="13" t="s">
        <v>202</v>
      </c>
      <c r="B179" s="13" t="s">
        <v>153</v>
      </c>
      <c r="C179" s="14">
        <v>43152.5</v>
      </c>
      <c r="D179" s="13" t="s">
        <v>88</v>
      </c>
      <c r="E179" s="15" t="s">
        <v>89</v>
      </c>
      <c r="F179" s="13" t="s">
        <v>90</v>
      </c>
      <c r="G179" s="15" t="s">
        <v>91</v>
      </c>
      <c r="H179" s="13" t="s">
        <v>368</v>
      </c>
      <c r="I179" s="15" t="s">
        <v>369</v>
      </c>
      <c r="J179" s="15" t="s">
        <v>370</v>
      </c>
      <c r="K179" s="15" t="s">
        <v>371</v>
      </c>
      <c r="L179" s="13" t="s">
        <v>374</v>
      </c>
      <c r="M179" s="15" t="s">
        <v>375</v>
      </c>
      <c r="N179" s="13" t="s">
        <v>98</v>
      </c>
      <c r="O179" s="15" t="s">
        <v>170</v>
      </c>
      <c r="P179" s="15" t="s">
        <v>171</v>
      </c>
      <c r="Q179" s="15" t="s">
        <v>366</v>
      </c>
      <c r="R179" s="13" t="s">
        <v>367</v>
      </c>
      <c r="S179" s="13" t="s">
        <v>212</v>
      </c>
      <c r="T179" s="13" t="s">
        <v>205</v>
      </c>
      <c r="U179" s="14">
        <v>40725</v>
      </c>
      <c r="V179" s="14"/>
      <c r="W179" s="15"/>
      <c r="X179" s="13"/>
      <c r="Y179" s="15"/>
      <c r="Z179" s="13"/>
      <c r="AA179" s="15"/>
      <c r="AB179" s="13"/>
      <c r="AC179" s="15"/>
      <c r="AD179" s="13"/>
      <c r="AE179" s="15"/>
      <c r="AF179" s="13"/>
      <c r="AG179" s="15"/>
      <c r="AH179" s="13"/>
      <c r="AI179" s="15"/>
      <c r="AJ179" s="13"/>
      <c r="AK179" s="15"/>
      <c r="AL179" s="13"/>
      <c r="AM179" s="15"/>
    </row>
    <row r="180" spans="1:39" ht="105" x14ac:dyDescent="0.25">
      <c r="A180" s="13" t="s">
        <v>202</v>
      </c>
      <c r="B180" s="13" t="s">
        <v>153</v>
      </c>
      <c r="C180" s="14">
        <v>43152.5</v>
      </c>
      <c r="D180" s="13" t="s">
        <v>88</v>
      </c>
      <c r="E180" s="15" t="s">
        <v>89</v>
      </c>
      <c r="F180" s="13" t="s">
        <v>90</v>
      </c>
      <c r="G180" s="15" t="s">
        <v>91</v>
      </c>
      <c r="H180" s="13" t="s">
        <v>368</v>
      </c>
      <c r="I180" s="15" t="s">
        <v>369</v>
      </c>
      <c r="J180" s="15" t="s">
        <v>370</v>
      </c>
      <c r="K180" s="15" t="s">
        <v>371</v>
      </c>
      <c r="L180" s="13" t="s">
        <v>376</v>
      </c>
      <c r="M180" s="15" t="s">
        <v>377</v>
      </c>
      <c r="N180" s="13" t="s">
        <v>188</v>
      </c>
      <c r="O180" s="15" t="s">
        <v>189</v>
      </c>
      <c r="P180" s="15" t="s">
        <v>190</v>
      </c>
      <c r="Q180" s="15" t="s">
        <v>366</v>
      </c>
      <c r="R180" s="13" t="s">
        <v>367</v>
      </c>
      <c r="S180" s="13" t="s">
        <v>212</v>
      </c>
      <c r="T180" s="13" t="s">
        <v>205</v>
      </c>
      <c r="U180" s="14">
        <v>40725</v>
      </c>
      <c r="V180" s="14"/>
      <c r="W180" s="15"/>
      <c r="X180" s="13"/>
      <c r="Y180" s="15"/>
      <c r="Z180" s="13"/>
      <c r="AA180" s="15"/>
      <c r="AB180" s="13"/>
      <c r="AC180" s="15"/>
      <c r="AD180" s="13"/>
      <c r="AE180" s="15"/>
      <c r="AF180" s="13"/>
      <c r="AG180" s="15"/>
      <c r="AH180" s="13"/>
      <c r="AI180" s="15"/>
      <c r="AJ180" s="13"/>
      <c r="AK180" s="15"/>
      <c r="AL180" s="13"/>
      <c r="AM180" s="15"/>
    </row>
    <row r="181" spans="1:39" ht="120" x14ac:dyDescent="0.25">
      <c r="A181" s="13" t="s">
        <v>202</v>
      </c>
      <c r="B181" s="13" t="s">
        <v>153</v>
      </c>
      <c r="C181" s="14">
        <v>43152.5</v>
      </c>
      <c r="D181" s="13" t="s">
        <v>88</v>
      </c>
      <c r="E181" s="15" t="s">
        <v>89</v>
      </c>
      <c r="F181" s="13" t="s">
        <v>90</v>
      </c>
      <c r="G181" s="15" t="s">
        <v>91</v>
      </c>
      <c r="H181" s="13" t="s">
        <v>368</v>
      </c>
      <c r="I181" s="15" t="s">
        <v>369</v>
      </c>
      <c r="J181" s="15" t="s">
        <v>370</v>
      </c>
      <c r="K181" s="15" t="s">
        <v>371</v>
      </c>
      <c r="L181" s="13" t="s">
        <v>372</v>
      </c>
      <c r="M181" s="15" t="s">
        <v>373</v>
      </c>
      <c r="N181" s="13" t="s">
        <v>98</v>
      </c>
      <c r="O181" s="15" t="s">
        <v>99</v>
      </c>
      <c r="P181" s="15" t="s">
        <v>100</v>
      </c>
      <c r="Q181" s="15" t="s">
        <v>219</v>
      </c>
      <c r="R181" s="13" t="s">
        <v>220</v>
      </c>
      <c r="S181" s="13" t="s">
        <v>212</v>
      </c>
      <c r="T181" s="13" t="s">
        <v>205</v>
      </c>
      <c r="U181" s="14">
        <v>40725</v>
      </c>
      <c r="V181" s="14"/>
      <c r="W181" s="15"/>
      <c r="X181" s="13"/>
      <c r="Y181" s="15"/>
      <c r="Z181" s="13"/>
      <c r="AA181" s="15"/>
      <c r="AB181" s="13"/>
      <c r="AC181" s="15"/>
      <c r="AD181" s="13"/>
      <c r="AE181" s="15"/>
      <c r="AF181" s="13"/>
      <c r="AG181" s="15"/>
      <c r="AH181" s="13"/>
      <c r="AI181" s="15"/>
      <c r="AJ181" s="13"/>
      <c r="AK181" s="15"/>
      <c r="AL181" s="13"/>
      <c r="AM181" s="15"/>
    </row>
    <row r="182" spans="1:39" ht="120" x14ac:dyDescent="0.25">
      <c r="A182" s="13" t="s">
        <v>202</v>
      </c>
      <c r="B182" s="13" t="s">
        <v>153</v>
      </c>
      <c r="C182" s="14">
        <v>43152.5</v>
      </c>
      <c r="D182" s="13" t="s">
        <v>88</v>
      </c>
      <c r="E182" s="15" t="s">
        <v>89</v>
      </c>
      <c r="F182" s="13" t="s">
        <v>90</v>
      </c>
      <c r="G182" s="15" t="s">
        <v>91</v>
      </c>
      <c r="H182" s="13" t="s">
        <v>368</v>
      </c>
      <c r="I182" s="15" t="s">
        <v>369</v>
      </c>
      <c r="J182" s="15" t="s">
        <v>370</v>
      </c>
      <c r="K182" s="15" t="s">
        <v>371</v>
      </c>
      <c r="L182" s="13" t="s">
        <v>374</v>
      </c>
      <c r="M182" s="15" t="s">
        <v>375</v>
      </c>
      <c r="N182" s="13" t="s">
        <v>98</v>
      </c>
      <c r="O182" s="15" t="s">
        <v>170</v>
      </c>
      <c r="P182" s="15" t="s">
        <v>171</v>
      </c>
      <c r="Q182" s="15" t="s">
        <v>219</v>
      </c>
      <c r="R182" s="13" t="s">
        <v>220</v>
      </c>
      <c r="S182" s="13" t="s">
        <v>212</v>
      </c>
      <c r="T182" s="13" t="s">
        <v>205</v>
      </c>
      <c r="U182" s="14">
        <v>40725</v>
      </c>
      <c r="V182" s="14"/>
      <c r="W182" s="15"/>
      <c r="X182" s="13"/>
      <c r="Y182" s="15"/>
      <c r="Z182" s="13"/>
      <c r="AA182" s="15"/>
      <c r="AB182" s="13"/>
      <c r="AC182" s="15"/>
      <c r="AD182" s="13"/>
      <c r="AE182" s="15"/>
      <c r="AF182" s="13"/>
      <c r="AG182" s="15"/>
      <c r="AH182" s="13"/>
      <c r="AI182" s="15"/>
      <c r="AJ182" s="13"/>
      <c r="AK182" s="15"/>
      <c r="AL182" s="13"/>
      <c r="AM182" s="15"/>
    </row>
    <row r="183" spans="1:39" ht="105" x14ac:dyDescent="0.25">
      <c r="A183" s="13" t="s">
        <v>202</v>
      </c>
      <c r="B183" s="13" t="s">
        <v>153</v>
      </c>
      <c r="C183" s="14">
        <v>43152.5</v>
      </c>
      <c r="D183" s="13" t="s">
        <v>88</v>
      </c>
      <c r="E183" s="15" t="s">
        <v>89</v>
      </c>
      <c r="F183" s="13" t="s">
        <v>90</v>
      </c>
      <c r="G183" s="15" t="s">
        <v>91</v>
      </c>
      <c r="H183" s="13" t="s">
        <v>368</v>
      </c>
      <c r="I183" s="15" t="s">
        <v>369</v>
      </c>
      <c r="J183" s="15" t="s">
        <v>370</v>
      </c>
      <c r="K183" s="15" t="s">
        <v>371</v>
      </c>
      <c r="L183" s="13" t="s">
        <v>376</v>
      </c>
      <c r="M183" s="15" t="s">
        <v>377</v>
      </c>
      <c r="N183" s="13" t="s">
        <v>188</v>
      </c>
      <c r="O183" s="15" t="s">
        <v>189</v>
      </c>
      <c r="P183" s="15" t="s">
        <v>190</v>
      </c>
      <c r="Q183" s="15" t="s">
        <v>219</v>
      </c>
      <c r="R183" s="13" t="s">
        <v>220</v>
      </c>
      <c r="S183" s="13" t="s">
        <v>212</v>
      </c>
      <c r="T183" s="13" t="s">
        <v>205</v>
      </c>
      <c r="U183" s="14">
        <v>40725</v>
      </c>
      <c r="V183" s="14"/>
      <c r="W183" s="15"/>
      <c r="X183" s="13"/>
      <c r="Y183" s="15"/>
      <c r="Z183" s="13"/>
      <c r="AA183" s="15"/>
      <c r="AB183" s="13"/>
      <c r="AC183" s="15"/>
      <c r="AD183" s="13"/>
      <c r="AE183" s="15"/>
      <c r="AF183" s="13"/>
      <c r="AG183" s="15"/>
      <c r="AH183" s="13"/>
      <c r="AI183" s="15"/>
      <c r="AJ183" s="13"/>
      <c r="AK183" s="15"/>
      <c r="AL183" s="13"/>
      <c r="AM183" s="15"/>
    </row>
    <row r="184" spans="1:39" ht="165" x14ac:dyDescent="0.25">
      <c r="A184" s="13" t="s">
        <v>86</v>
      </c>
      <c r="B184" s="13" t="s">
        <v>87</v>
      </c>
      <c r="C184" s="14">
        <v>43850.552083333336</v>
      </c>
      <c r="D184" s="13" t="s">
        <v>88</v>
      </c>
      <c r="E184" s="15" t="s">
        <v>89</v>
      </c>
      <c r="F184" s="13" t="s">
        <v>90</v>
      </c>
      <c r="G184" s="15" t="s">
        <v>91</v>
      </c>
      <c r="H184" s="13" t="s">
        <v>378</v>
      </c>
      <c r="I184" s="15" t="s">
        <v>379</v>
      </c>
      <c r="J184" s="15" t="s">
        <v>380</v>
      </c>
      <c r="K184" s="15" t="s">
        <v>381</v>
      </c>
      <c r="L184" s="13" t="s">
        <v>382</v>
      </c>
      <c r="M184" s="15" t="s">
        <v>383</v>
      </c>
      <c r="N184" s="13" t="s">
        <v>98</v>
      </c>
      <c r="O184" s="15" t="s">
        <v>99</v>
      </c>
      <c r="P184" s="15" t="s">
        <v>100</v>
      </c>
      <c r="Q184" s="15" t="s">
        <v>101</v>
      </c>
      <c r="R184" s="13" t="s">
        <v>102</v>
      </c>
      <c r="S184" s="13" t="s">
        <v>103</v>
      </c>
      <c r="T184" s="13" t="s">
        <v>104</v>
      </c>
      <c r="U184" s="14">
        <v>40725</v>
      </c>
      <c r="V184" s="14">
        <v>43830</v>
      </c>
      <c r="W184" s="15" t="s">
        <v>700</v>
      </c>
      <c r="X184" s="13" t="s">
        <v>701</v>
      </c>
      <c r="Y184" s="15" t="str">
        <f>VLOOKUP(X184,'Axe 2 Règles de gestion'!$D$2:$F$121,3, FALSE)</f>
        <v>Rémunération : L'agent perçoit une rémunération statutaire et bénéficie du régime indemnitaire de son emploi d'accueil.</v>
      </c>
      <c r="Z184" s="13" t="s">
        <v>703</v>
      </c>
      <c r="AA184" s="15" t="str">
        <f>VLOOKUP(Z184,'Axe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84" s="13" t="s">
        <v>705</v>
      </c>
      <c r="AC184" s="15" t="str">
        <f>VLOOKUP(AB184,'Axe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84" s="13" t="s">
        <v>707</v>
      </c>
      <c r="AE184" s="15" t="str">
        <f>VLOOKUP(AD184,'Axe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84" s="13" t="s">
        <v>709</v>
      </c>
      <c r="AG184" s="15" t="str">
        <f>VLOOKUP(AF184,'Axe 2 Règles de gestion'!$D$2:$F$121,3, FALSE)</f>
        <v>Congés annuels : L'agent cumule des droits à congé.</v>
      </c>
      <c r="AH184" s="13" t="s">
        <v>711</v>
      </c>
      <c r="AI184" s="15" t="str">
        <f>VLOOKUP(AH184,'Axe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84" s="13" t="s">
        <v>713</v>
      </c>
      <c r="AK184" s="15" t="str">
        <f>VLOOKUP(AJ184,'Axe 2 Règles de gestion'!$D$2:$F$121,3, FALSE)</f>
        <v>Acte : Un acte administratif doit être produit.</v>
      </c>
      <c r="AL184" s="13"/>
      <c r="AM184" s="15"/>
    </row>
    <row r="185" spans="1:39" ht="165" x14ac:dyDescent="0.25">
      <c r="A185" s="13" t="s">
        <v>152</v>
      </c>
      <c r="B185" s="13" t="s">
        <v>153</v>
      </c>
      <c r="C185" s="14">
        <v>45807.453472222223</v>
      </c>
      <c r="D185" s="13" t="s">
        <v>88</v>
      </c>
      <c r="E185" s="15" t="s">
        <v>89</v>
      </c>
      <c r="F185" s="13" t="s">
        <v>90</v>
      </c>
      <c r="G185" s="15" t="s">
        <v>91</v>
      </c>
      <c r="H185" s="13" t="s">
        <v>378</v>
      </c>
      <c r="I185" s="15" t="s">
        <v>379</v>
      </c>
      <c r="J185" s="15" t="s">
        <v>380</v>
      </c>
      <c r="K185" s="15" t="s">
        <v>381</v>
      </c>
      <c r="L185" s="13" t="s">
        <v>382</v>
      </c>
      <c r="M185" s="15" t="s">
        <v>383</v>
      </c>
      <c r="N185" s="13" t="s">
        <v>98</v>
      </c>
      <c r="O185" s="15" t="s">
        <v>99</v>
      </c>
      <c r="P185" s="15" t="s">
        <v>100</v>
      </c>
      <c r="Q185" s="15" t="s">
        <v>101</v>
      </c>
      <c r="R185" s="13" t="s">
        <v>102</v>
      </c>
      <c r="S185" s="13" t="s">
        <v>103</v>
      </c>
      <c r="T185" s="13" t="s">
        <v>104</v>
      </c>
      <c r="U185" s="14">
        <v>43831</v>
      </c>
      <c r="V185" s="14"/>
      <c r="W185" s="15" t="s">
        <v>700</v>
      </c>
      <c r="X185" s="13" t="s">
        <v>701</v>
      </c>
      <c r="Y185" s="15" t="str">
        <f>VLOOKUP(X185,'Axe 2 Règles de gestion'!$D$2:$F$121,3, FALSE)</f>
        <v>Rémunération : L'agent perçoit une rémunération statutaire et bénéficie du régime indemnitaire de son emploi d'accueil.</v>
      </c>
      <c r="Z185" s="13" t="s">
        <v>703</v>
      </c>
      <c r="AA185" s="15" t="str">
        <f>VLOOKUP(Z185,'Axe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85" s="13" t="s">
        <v>705</v>
      </c>
      <c r="AC185" s="15" t="str">
        <f>VLOOKUP(AB185,'Axe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85" s="13" t="s">
        <v>707</v>
      </c>
      <c r="AE185" s="15" t="str">
        <f>VLOOKUP(AD185,'Axe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85" s="13" t="s">
        <v>709</v>
      </c>
      <c r="AG185" s="15" t="str">
        <f>VLOOKUP(AF185,'Axe 2 Règles de gestion'!$D$2:$F$121,3, FALSE)</f>
        <v>Congés annuels : L'agent cumule des droits à congé.</v>
      </c>
      <c r="AH185" s="13" t="s">
        <v>711</v>
      </c>
      <c r="AI185" s="15" t="str">
        <f>VLOOKUP(AH185,'Axe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85" s="13" t="s">
        <v>713</v>
      </c>
      <c r="AK185" s="15" t="str">
        <f>VLOOKUP(AJ185,'Axe 2 Règles de gestion'!$D$2:$F$121,3, FALSE)</f>
        <v>Acte : Un acte administratif doit être produit.</v>
      </c>
      <c r="AL185" s="13"/>
      <c r="AM185" s="15"/>
    </row>
    <row r="186" spans="1:39" ht="165" x14ac:dyDescent="0.25">
      <c r="A186" s="13" t="s">
        <v>86</v>
      </c>
      <c r="B186" s="13" t="s">
        <v>87</v>
      </c>
      <c r="C186" s="14">
        <v>43850.552083333336</v>
      </c>
      <c r="D186" s="13" t="s">
        <v>88</v>
      </c>
      <c r="E186" s="15" t="s">
        <v>89</v>
      </c>
      <c r="F186" s="13" t="s">
        <v>90</v>
      </c>
      <c r="G186" s="15" t="s">
        <v>91</v>
      </c>
      <c r="H186" s="13" t="s">
        <v>378</v>
      </c>
      <c r="I186" s="15" t="s">
        <v>379</v>
      </c>
      <c r="J186" s="15" t="s">
        <v>380</v>
      </c>
      <c r="K186" s="15" t="s">
        <v>381</v>
      </c>
      <c r="L186" s="13" t="s">
        <v>384</v>
      </c>
      <c r="M186" s="15" t="s">
        <v>385</v>
      </c>
      <c r="N186" s="13" t="s">
        <v>98</v>
      </c>
      <c r="O186" s="15" t="s">
        <v>170</v>
      </c>
      <c r="P186" s="15" t="s">
        <v>171</v>
      </c>
      <c r="Q186" s="15" t="s">
        <v>101</v>
      </c>
      <c r="R186" s="13" t="s">
        <v>102</v>
      </c>
      <c r="S186" s="13" t="s">
        <v>103</v>
      </c>
      <c r="T186" s="13" t="s">
        <v>104</v>
      </c>
      <c r="U186" s="14">
        <v>40725</v>
      </c>
      <c r="V186" s="14"/>
      <c r="W186" s="15" t="s">
        <v>700</v>
      </c>
      <c r="X186" s="13" t="s">
        <v>701</v>
      </c>
      <c r="Y186" s="15" t="str">
        <f>VLOOKUP(X186,'Axe 2 Règles de gestion'!$D$2:$F$121,3, FALSE)</f>
        <v>Rémunération : L'agent perçoit une rémunération statutaire et bénéficie du régime indemnitaire de son emploi d'accueil.</v>
      </c>
      <c r="Z186" s="13" t="s">
        <v>703</v>
      </c>
      <c r="AA186" s="15" t="str">
        <f>VLOOKUP(Z186,'Axe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186" s="13" t="s">
        <v>705</v>
      </c>
      <c r="AC186" s="15" t="str">
        <f>VLOOKUP(AB186,'Axe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186" s="13" t="s">
        <v>707</v>
      </c>
      <c r="AE186" s="15" t="str">
        <f>VLOOKUP(AD186,'Axe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186" s="13" t="s">
        <v>709</v>
      </c>
      <c r="AG186" s="15" t="str">
        <f>VLOOKUP(AF186,'Axe 2 Règles de gestion'!$D$2:$F$121,3, FALSE)</f>
        <v>Congés annuels : L'agent cumule des droits à congé.</v>
      </c>
      <c r="AH186" s="13" t="s">
        <v>711</v>
      </c>
      <c r="AI186" s="15" t="str">
        <f>VLOOKUP(AH186,'Axe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186" s="13" t="s">
        <v>713</v>
      </c>
      <c r="AK186" s="15" t="str">
        <f>VLOOKUP(AJ186,'Axe 2 Règles de gestion'!$D$2:$F$121,3, FALSE)</f>
        <v>Acte : Un acte administratif doit être produit.</v>
      </c>
      <c r="AL186" s="13"/>
      <c r="AM186" s="15"/>
    </row>
    <row r="187" spans="1:39" ht="135" x14ac:dyDescent="0.25">
      <c r="A187" s="13" t="s">
        <v>86</v>
      </c>
      <c r="B187" s="13" t="s">
        <v>87</v>
      </c>
      <c r="C187" s="14">
        <v>43850.552083333336</v>
      </c>
      <c r="D187" s="13" t="s">
        <v>88</v>
      </c>
      <c r="E187" s="15" t="s">
        <v>89</v>
      </c>
      <c r="F187" s="13" t="s">
        <v>90</v>
      </c>
      <c r="G187" s="15" t="s">
        <v>91</v>
      </c>
      <c r="H187" s="13" t="s">
        <v>378</v>
      </c>
      <c r="I187" s="15" t="s">
        <v>379</v>
      </c>
      <c r="J187" s="15" t="s">
        <v>380</v>
      </c>
      <c r="K187" s="15" t="s">
        <v>381</v>
      </c>
      <c r="L187" s="13" t="s">
        <v>386</v>
      </c>
      <c r="M187" s="15" t="s">
        <v>387</v>
      </c>
      <c r="N187" s="13" t="s">
        <v>188</v>
      </c>
      <c r="O187" s="15" t="s">
        <v>189</v>
      </c>
      <c r="P187" s="15" t="s">
        <v>190</v>
      </c>
      <c r="Q187" s="15" t="s">
        <v>101</v>
      </c>
      <c r="R187" s="13" t="s">
        <v>102</v>
      </c>
      <c r="S187" s="13" t="s">
        <v>103</v>
      </c>
      <c r="T187" s="13" t="s">
        <v>104</v>
      </c>
      <c r="U187" s="14">
        <v>40725</v>
      </c>
      <c r="V187" s="14"/>
      <c r="W187" s="15"/>
      <c r="X187" s="13"/>
      <c r="Y187" s="15"/>
      <c r="Z187" s="13"/>
      <c r="AA187" s="15"/>
      <c r="AB187" s="13"/>
      <c r="AC187" s="15"/>
      <c r="AD187" s="13"/>
      <c r="AE187" s="15"/>
      <c r="AF187" s="13"/>
      <c r="AG187" s="15"/>
      <c r="AH187" s="13"/>
      <c r="AI187" s="15"/>
      <c r="AJ187" s="13"/>
      <c r="AK187" s="15"/>
      <c r="AL187" s="13"/>
      <c r="AM187" s="15"/>
    </row>
    <row r="188" spans="1:39" ht="135" x14ac:dyDescent="0.25">
      <c r="A188" s="13" t="s">
        <v>202</v>
      </c>
      <c r="B188" s="13" t="s">
        <v>153</v>
      </c>
      <c r="C188" s="14">
        <v>43152.5</v>
      </c>
      <c r="D188" s="13" t="s">
        <v>88</v>
      </c>
      <c r="E188" s="15" t="s">
        <v>89</v>
      </c>
      <c r="F188" s="13" t="s">
        <v>90</v>
      </c>
      <c r="G188" s="15" t="s">
        <v>91</v>
      </c>
      <c r="H188" s="13" t="s">
        <v>378</v>
      </c>
      <c r="I188" s="15" t="s">
        <v>379</v>
      </c>
      <c r="J188" s="15" t="s">
        <v>380</v>
      </c>
      <c r="K188" s="15" t="s">
        <v>381</v>
      </c>
      <c r="L188" s="13" t="s">
        <v>382</v>
      </c>
      <c r="M188" s="15" t="s">
        <v>383</v>
      </c>
      <c r="N188" s="13" t="s">
        <v>98</v>
      </c>
      <c r="O188" s="15" t="s">
        <v>99</v>
      </c>
      <c r="P188" s="15" t="s">
        <v>100</v>
      </c>
      <c r="Q188" s="15" t="s">
        <v>203</v>
      </c>
      <c r="R188" s="13" t="s">
        <v>204</v>
      </c>
      <c r="S188" s="13" t="s">
        <v>103</v>
      </c>
      <c r="T188" s="13" t="s">
        <v>205</v>
      </c>
      <c r="U188" s="14">
        <v>40725</v>
      </c>
      <c r="V188" s="14"/>
      <c r="W188" s="15"/>
      <c r="X188" s="13"/>
      <c r="Y188" s="15"/>
      <c r="Z188" s="13"/>
      <c r="AA188" s="15"/>
      <c r="AB188" s="13"/>
      <c r="AC188" s="15"/>
      <c r="AD188" s="13"/>
      <c r="AE188" s="15"/>
      <c r="AF188" s="13"/>
      <c r="AG188" s="15"/>
      <c r="AH188" s="13"/>
      <c r="AI188" s="15"/>
      <c r="AJ188" s="13"/>
      <c r="AK188" s="15"/>
      <c r="AL188" s="13"/>
      <c r="AM188" s="15"/>
    </row>
    <row r="189" spans="1:39" ht="135" x14ac:dyDescent="0.25">
      <c r="A189" s="13" t="s">
        <v>202</v>
      </c>
      <c r="B189" s="13" t="s">
        <v>153</v>
      </c>
      <c r="C189" s="14">
        <v>43152.5</v>
      </c>
      <c r="D189" s="13" t="s">
        <v>88</v>
      </c>
      <c r="E189" s="15" t="s">
        <v>89</v>
      </c>
      <c r="F189" s="13" t="s">
        <v>90</v>
      </c>
      <c r="G189" s="15" t="s">
        <v>91</v>
      </c>
      <c r="H189" s="13" t="s">
        <v>378</v>
      </c>
      <c r="I189" s="15" t="s">
        <v>379</v>
      </c>
      <c r="J189" s="15" t="s">
        <v>380</v>
      </c>
      <c r="K189" s="15" t="s">
        <v>381</v>
      </c>
      <c r="L189" s="13" t="s">
        <v>384</v>
      </c>
      <c r="M189" s="15" t="s">
        <v>385</v>
      </c>
      <c r="N189" s="13" t="s">
        <v>98</v>
      </c>
      <c r="O189" s="15" t="s">
        <v>170</v>
      </c>
      <c r="P189" s="15" t="s">
        <v>171</v>
      </c>
      <c r="Q189" s="15" t="s">
        <v>203</v>
      </c>
      <c r="R189" s="13" t="s">
        <v>204</v>
      </c>
      <c r="S189" s="13" t="s">
        <v>103</v>
      </c>
      <c r="T189" s="13" t="s">
        <v>205</v>
      </c>
      <c r="U189" s="14">
        <v>40725</v>
      </c>
      <c r="V189" s="14"/>
      <c r="W189" s="15"/>
      <c r="X189" s="13"/>
      <c r="Y189" s="15"/>
      <c r="Z189" s="13"/>
      <c r="AA189" s="15"/>
      <c r="AB189" s="13"/>
      <c r="AC189" s="15"/>
      <c r="AD189" s="13"/>
      <c r="AE189" s="15"/>
      <c r="AF189" s="13"/>
      <c r="AG189" s="15"/>
      <c r="AH189" s="13"/>
      <c r="AI189" s="15"/>
      <c r="AJ189" s="13"/>
      <c r="AK189" s="15"/>
      <c r="AL189" s="13"/>
      <c r="AM189" s="15"/>
    </row>
    <row r="190" spans="1:39" ht="135" x14ac:dyDescent="0.25">
      <c r="A190" s="13" t="s">
        <v>202</v>
      </c>
      <c r="B190" s="13" t="s">
        <v>153</v>
      </c>
      <c r="C190" s="14">
        <v>43152.5</v>
      </c>
      <c r="D190" s="13" t="s">
        <v>88</v>
      </c>
      <c r="E190" s="15" t="s">
        <v>89</v>
      </c>
      <c r="F190" s="13" t="s">
        <v>90</v>
      </c>
      <c r="G190" s="15" t="s">
        <v>91</v>
      </c>
      <c r="H190" s="13" t="s">
        <v>378</v>
      </c>
      <c r="I190" s="15" t="s">
        <v>379</v>
      </c>
      <c r="J190" s="15" t="s">
        <v>380</v>
      </c>
      <c r="K190" s="15" t="s">
        <v>381</v>
      </c>
      <c r="L190" s="13" t="s">
        <v>386</v>
      </c>
      <c r="M190" s="15" t="s">
        <v>387</v>
      </c>
      <c r="N190" s="13" t="s">
        <v>188</v>
      </c>
      <c r="O190" s="15" t="s">
        <v>189</v>
      </c>
      <c r="P190" s="15" t="s">
        <v>190</v>
      </c>
      <c r="Q190" s="15" t="s">
        <v>203</v>
      </c>
      <c r="R190" s="13" t="s">
        <v>204</v>
      </c>
      <c r="S190" s="13" t="s">
        <v>103</v>
      </c>
      <c r="T190" s="13" t="s">
        <v>205</v>
      </c>
      <c r="U190" s="14">
        <v>40725</v>
      </c>
      <c r="V190" s="14"/>
      <c r="W190" s="15"/>
      <c r="X190" s="13"/>
      <c r="Y190" s="15"/>
      <c r="Z190" s="13"/>
      <c r="AA190" s="15"/>
      <c r="AB190" s="13"/>
      <c r="AC190" s="15"/>
      <c r="AD190" s="13"/>
      <c r="AE190" s="15"/>
      <c r="AF190" s="13"/>
      <c r="AG190" s="15"/>
      <c r="AH190" s="13"/>
      <c r="AI190" s="15"/>
      <c r="AJ190" s="13"/>
      <c r="AK190" s="15"/>
      <c r="AL190" s="13"/>
      <c r="AM190" s="15"/>
    </row>
    <row r="191" spans="1:39" ht="135" x14ac:dyDescent="0.25">
      <c r="A191" s="13" t="s">
        <v>202</v>
      </c>
      <c r="B191" s="13" t="s">
        <v>153</v>
      </c>
      <c r="C191" s="14">
        <v>43152.5</v>
      </c>
      <c r="D191" s="13" t="s">
        <v>88</v>
      </c>
      <c r="E191" s="15" t="s">
        <v>89</v>
      </c>
      <c r="F191" s="13" t="s">
        <v>90</v>
      </c>
      <c r="G191" s="15" t="s">
        <v>91</v>
      </c>
      <c r="H191" s="13" t="s">
        <v>378</v>
      </c>
      <c r="I191" s="15" t="s">
        <v>379</v>
      </c>
      <c r="J191" s="15" t="s">
        <v>380</v>
      </c>
      <c r="K191" s="15" t="s">
        <v>381</v>
      </c>
      <c r="L191" s="13" t="s">
        <v>382</v>
      </c>
      <c r="M191" s="15" t="s">
        <v>383</v>
      </c>
      <c r="N191" s="13" t="s">
        <v>98</v>
      </c>
      <c r="O191" s="15" t="s">
        <v>99</v>
      </c>
      <c r="P191" s="15" t="s">
        <v>100</v>
      </c>
      <c r="Q191" s="15" t="s">
        <v>206</v>
      </c>
      <c r="R191" s="13" t="s">
        <v>207</v>
      </c>
      <c r="S191" s="13" t="s">
        <v>103</v>
      </c>
      <c r="T191" s="13" t="s">
        <v>205</v>
      </c>
      <c r="U191" s="14">
        <v>40725</v>
      </c>
      <c r="V191" s="14"/>
      <c r="W191" s="15"/>
      <c r="X191" s="13"/>
      <c r="Y191" s="15"/>
      <c r="Z191" s="13"/>
      <c r="AA191" s="15"/>
      <c r="AB191" s="13"/>
      <c r="AC191" s="15"/>
      <c r="AD191" s="13"/>
      <c r="AE191" s="15"/>
      <c r="AF191" s="13"/>
      <c r="AG191" s="15"/>
      <c r="AH191" s="13"/>
      <c r="AI191" s="15"/>
      <c r="AJ191" s="13"/>
      <c r="AK191" s="15"/>
      <c r="AL191" s="13"/>
      <c r="AM191" s="15"/>
    </row>
    <row r="192" spans="1:39" ht="135" x14ac:dyDescent="0.25">
      <c r="A192" s="13" t="s">
        <v>202</v>
      </c>
      <c r="B192" s="13" t="s">
        <v>153</v>
      </c>
      <c r="C192" s="14">
        <v>43152.5</v>
      </c>
      <c r="D192" s="13" t="s">
        <v>88</v>
      </c>
      <c r="E192" s="15" t="s">
        <v>89</v>
      </c>
      <c r="F192" s="13" t="s">
        <v>90</v>
      </c>
      <c r="G192" s="15" t="s">
        <v>91</v>
      </c>
      <c r="H192" s="13" t="s">
        <v>378</v>
      </c>
      <c r="I192" s="15" t="s">
        <v>379</v>
      </c>
      <c r="J192" s="15" t="s">
        <v>380</v>
      </c>
      <c r="K192" s="15" t="s">
        <v>381</v>
      </c>
      <c r="L192" s="13" t="s">
        <v>384</v>
      </c>
      <c r="M192" s="15" t="s">
        <v>385</v>
      </c>
      <c r="N192" s="13" t="s">
        <v>98</v>
      </c>
      <c r="O192" s="15" t="s">
        <v>170</v>
      </c>
      <c r="P192" s="15" t="s">
        <v>171</v>
      </c>
      <c r="Q192" s="15" t="s">
        <v>206</v>
      </c>
      <c r="R192" s="13" t="s">
        <v>207</v>
      </c>
      <c r="S192" s="13" t="s">
        <v>103</v>
      </c>
      <c r="T192" s="13" t="s">
        <v>205</v>
      </c>
      <c r="U192" s="14">
        <v>40725</v>
      </c>
      <c r="V192" s="14"/>
      <c r="W192" s="15"/>
      <c r="X192" s="13"/>
      <c r="Y192" s="15"/>
      <c r="Z192" s="13"/>
      <c r="AA192" s="15"/>
      <c r="AB192" s="13"/>
      <c r="AC192" s="15"/>
      <c r="AD192" s="13"/>
      <c r="AE192" s="15"/>
      <c r="AF192" s="13"/>
      <c r="AG192" s="15"/>
      <c r="AH192" s="13"/>
      <c r="AI192" s="15"/>
      <c r="AJ192" s="13"/>
      <c r="AK192" s="15"/>
      <c r="AL192" s="13"/>
      <c r="AM192" s="15"/>
    </row>
    <row r="193" spans="1:39" ht="135" x14ac:dyDescent="0.25">
      <c r="A193" s="13" t="s">
        <v>202</v>
      </c>
      <c r="B193" s="13" t="s">
        <v>153</v>
      </c>
      <c r="C193" s="14">
        <v>43152.5</v>
      </c>
      <c r="D193" s="13" t="s">
        <v>88</v>
      </c>
      <c r="E193" s="15" t="s">
        <v>89</v>
      </c>
      <c r="F193" s="13" t="s">
        <v>90</v>
      </c>
      <c r="G193" s="15" t="s">
        <v>91</v>
      </c>
      <c r="H193" s="13" t="s">
        <v>378</v>
      </c>
      <c r="I193" s="15" t="s">
        <v>379</v>
      </c>
      <c r="J193" s="15" t="s">
        <v>380</v>
      </c>
      <c r="K193" s="15" t="s">
        <v>381</v>
      </c>
      <c r="L193" s="13" t="s">
        <v>386</v>
      </c>
      <c r="M193" s="15" t="s">
        <v>387</v>
      </c>
      <c r="N193" s="13" t="s">
        <v>188</v>
      </c>
      <c r="O193" s="15" t="s">
        <v>189</v>
      </c>
      <c r="P193" s="15" t="s">
        <v>190</v>
      </c>
      <c r="Q193" s="15" t="s">
        <v>206</v>
      </c>
      <c r="R193" s="13" t="s">
        <v>207</v>
      </c>
      <c r="S193" s="13" t="s">
        <v>103</v>
      </c>
      <c r="T193" s="13" t="s">
        <v>205</v>
      </c>
      <c r="U193" s="14">
        <v>40725</v>
      </c>
      <c r="V193" s="14"/>
      <c r="W193" s="15"/>
      <c r="X193" s="13"/>
      <c r="Y193" s="15"/>
      <c r="Z193" s="13"/>
      <c r="AA193" s="15"/>
      <c r="AB193" s="13"/>
      <c r="AC193" s="15"/>
      <c r="AD193" s="13"/>
      <c r="AE193" s="15"/>
      <c r="AF193" s="13"/>
      <c r="AG193" s="15"/>
      <c r="AH193" s="13"/>
      <c r="AI193" s="15"/>
      <c r="AJ193" s="13"/>
      <c r="AK193" s="15"/>
      <c r="AL193" s="13"/>
      <c r="AM193" s="15"/>
    </row>
    <row r="194" spans="1:39" ht="135" x14ac:dyDescent="0.25">
      <c r="A194" s="13" t="s">
        <v>202</v>
      </c>
      <c r="B194" s="13" t="s">
        <v>153</v>
      </c>
      <c r="C194" s="14">
        <v>43152.5</v>
      </c>
      <c r="D194" s="13" t="s">
        <v>88</v>
      </c>
      <c r="E194" s="15" t="s">
        <v>89</v>
      </c>
      <c r="F194" s="13" t="s">
        <v>90</v>
      </c>
      <c r="G194" s="15" t="s">
        <v>91</v>
      </c>
      <c r="H194" s="13" t="s">
        <v>378</v>
      </c>
      <c r="I194" s="15" t="s">
        <v>379</v>
      </c>
      <c r="J194" s="15" t="s">
        <v>380</v>
      </c>
      <c r="K194" s="15" t="s">
        <v>381</v>
      </c>
      <c r="L194" s="13" t="s">
        <v>382</v>
      </c>
      <c r="M194" s="15" t="s">
        <v>383</v>
      </c>
      <c r="N194" s="13" t="s">
        <v>98</v>
      </c>
      <c r="O194" s="15" t="s">
        <v>99</v>
      </c>
      <c r="P194" s="15" t="s">
        <v>100</v>
      </c>
      <c r="Q194" s="15" t="s">
        <v>208</v>
      </c>
      <c r="R194" s="13" t="s">
        <v>209</v>
      </c>
      <c r="S194" s="13" t="s">
        <v>103</v>
      </c>
      <c r="T194" s="13" t="s">
        <v>205</v>
      </c>
      <c r="U194" s="14">
        <v>40725</v>
      </c>
      <c r="V194" s="14"/>
      <c r="W194" s="15"/>
      <c r="X194" s="13"/>
      <c r="Y194" s="15"/>
      <c r="Z194" s="13"/>
      <c r="AA194" s="15"/>
      <c r="AB194" s="13"/>
      <c r="AC194" s="15"/>
      <c r="AD194" s="13"/>
      <c r="AE194" s="15"/>
      <c r="AF194" s="13"/>
      <c r="AG194" s="15"/>
      <c r="AH194" s="13"/>
      <c r="AI194" s="15"/>
      <c r="AJ194" s="13"/>
      <c r="AK194" s="15"/>
      <c r="AL194" s="13"/>
      <c r="AM194" s="15"/>
    </row>
    <row r="195" spans="1:39" ht="135" x14ac:dyDescent="0.25">
      <c r="A195" s="13" t="s">
        <v>202</v>
      </c>
      <c r="B195" s="13" t="s">
        <v>153</v>
      </c>
      <c r="C195" s="14">
        <v>43152.5</v>
      </c>
      <c r="D195" s="13" t="s">
        <v>88</v>
      </c>
      <c r="E195" s="15" t="s">
        <v>89</v>
      </c>
      <c r="F195" s="13" t="s">
        <v>90</v>
      </c>
      <c r="G195" s="15" t="s">
        <v>91</v>
      </c>
      <c r="H195" s="13" t="s">
        <v>378</v>
      </c>
      <c r="I195" s="15" t="s">
        <v>379</v>
      </c>
      <c r="J195" s="15" t="s">
        <v>380</v>
      </c>
      <c r="K195" s="15" t="s">
        <v>381</v>
      </c>
      <c r="L195" s="13" t="s">
        <v>384</v>
      </c>
      <c r="M195" s="15" t="s">
        <v>385</v>
      </c>
      <c r="N195" s="13" t="s">
        <v>98</v>
      </c>
      <c r="O195" s="15" t="s">
        <v>170</v>
      </c>
      <c r="P195" s="15" t="s">
        <v>171</v>
      </c>
      <c r="Q195" s="15" t="s">
        <v>208</v>
      </c>
      <c r="R195" s="13" t="s">
        <v>209</v>
      </c>
      <c r="S195" s="13" t="s">
        <v>103</v>
      </c>
      <c r="T195" s="13" t="s">
        <v>205</v>
      </c>
      <c r="U195" s="14">
        <v>40725</v>
      </c>
      <c r="V195" s="14"/>
      <c r="W195" s="15"/>
      <c r="X195" s="13"/>
      <c r="Y195" s="15"/>
      <c r="Z195" s="13"/>
      <c r="AA195" s="15"/>
      <c r="AB195" s="13"/>
      <c r="AC195" s="15"/>
      <c r="AD195" s="13"/>
      <c r="AE195" s="15"/>
      <c r="AF195" s="13"/>
      <c r="AG195" s="15"/>
      <c r="AH195" s="13"/>
      <c r="AI195" s="15"/>
      <c r="AJ195" s="13"/>
      <c r="AK195" s="15"/>
      <c r="AL195" s="13"/>
      <c r="AM195" s="15"/>
    </row>
    <row r="196" spans="1:39" ht="135" x14ac:dyDescent="0.25">
      <c r="A196" s="13" t="s">
        <v>202</v>
      </c>
      <c r="B196" s="13" t="s">
        <v>153</v>
      </c>
      <c r="C196" s="14">
        <v>43152.5</v>
      </c>
      <c r="D196" s="13" t="s">
        <v>88</v>
      </c>
      <c r="E196" s="15" t="s">
        <v>89</v>
      </c>
      <c r="F196" s="13" t="s">
        <v>90</v>
      </c>
      <c r="G196" s="15" t="s">
        <v>91</v>
      </c>
      <c r="H196" s="13" t="s">
        <v>378</v>
      </c>
      <c r="I196" s="15" t="s">
        <v>379</v>
      </c>
      <c r="J196" s="15" t="s">
        <v>380</v>
      </c>
      <c r="K196" s="15" t="s">
        <v>381</v>
      </c>
      <c r="L196" s="13" t="s">
        <v>386</v>
      </c>
      <c r="M196" s="15" t="s">
        <v>387</v>
      </c>
      <c r="N196" s="13" t="s">
        <v>188</v>
      </c>
      <c r="O196" s="15" t="s">
        <v>189</v>
      </c>
      <c r="P196" s="15" t="s">
        <v>190</v>
      </c>
      <c r="Q196" s="15" t="s">
        <v>208</v>
      </c>
      <c r="R196" s="13" t="s">
        <v>209</v>
      </c>
      <c r="S196" s="13" t="s">
        <v>103</v>
      </c>
      <c r="T196" s="13" t="s">
        <v>205</v>
      </c>
      <c r="U196" s="14">
        <v>40725</v>
      </c>
      <c r="V196" s="14"/>
      <c r="W196" s="15"/>
      <c r="X196" s="13"/>
      <c r="Y196" s="15"/>
      <c r="Z196" s="13"/>
      <c r="AA196" s="15"/>
      <c r="AB196" s="13"/>
      <c r="AC196" s="15"/>
      <c r="AD196" s="13"/>
      <c r="AE196" s="15"/>
      <c r="AF196" s="13"/>
      <c r="AG196" s="15"/>
      <c r="AH196" s="13"/>
      <c r="AI196" s="15"/>
      <c r="AJ196" s="13"/>
      <c r="AK196" s="15"/>
      <c r="AL196" s="13"/>
      <c r="AM196" s="15"/>
    </row>
    <row r="197" spans="1:39" ht="135" x14ac:dyDescent="0.25">
      <c r="A197" s="13" t="s">
        <v>202</v>
      </c>
      <c r="B197" s="13" t="s">
        <v>153</v>
      </c>
      <c r="C197" s="14">
        <v>43152.5</v>
      </c>
      <c r="D197" s="13" t="s">
        <v>88</v>
      </c>
      <c r="E197" s="15" t="s">
        <v>89</v>
      </c>
      <c r="F197" s="13" t="s">
        <v>90</v>
      </c>
      <c r="G197" s="15" t="s">
        <v>91</v>
      </c>
      <c r="H197" s="13" t="s">
        <v>378</v>
      </c>
      <c r="I197" s="15" t="s">
        <v>379</v>
      </c>
      <c r="J197" s="15" t="s">
        <v>380</v>
      </c>
      <c r="K197" s="15" t="s">
        <v>381</v>
      </c>
      <c r="L197" s="13" t="s">
        <v>382</v>
      </c>
      <c r="M197" s="15" t="s">
        <v>383</v>
      </c>
      <c r="N197" s="13" t="s">
        <v>98</v>
      </c>
      <c r="O197" s="15" t="s">
        <v>99</v>
      </c>
      <c r="P197" s="15" t="s">
        <v>100</v>
      </c>
      <c r="Q197" s="15" t="s">
        <v>366</v>
      </c>
      <c r="R197" s="13" t="s">
        <v>367</v>
      </c>
      <c r="S197" s="13" t="s">
        <v>212</v>
      </c>
      <c r="T197" s="13" t="s">
        <v>205</v>
      </c>
      <c r="U197" s="14">
        <v>40725</v>
      </c>
      <c r="V197" s="14"/>
      <c r="W197" s="15"/>
      <c r="X197" s="13"/>
      <c r="Y197" s="15"/>
      <c r="Z197" s="13"/>
      <c r="AA197" s="15"/>
      <c r="AB197" s="13"/>
      <c r="AC197" s="15"/>
      <c r="AD197" s="13"/>
      <c r="AE197" s="15"/>
      <c r="AF197" s="13"/>
      <c r="AG197" s="15"/>
      <c r="AH197" s="13"/>
      <c r="AI197" s="15"/>
      <c r="AJ197" s="13"/>
      <c r="AK197" s="15"/>
      <c r="AL197" s="13"/>
      <c r="AM197" s="15"/>
    </row>
    <row r="198" spans="1:39" ht="135" x14ac:dyDescent="0.25">
      <c r="A198" s="13" t="s">
        <v>202</v>
      </c>
      <c r="B198" s="13" t="s">
        <v>153</v>
      </c>
      <c r="C198" s="14">
        <v>43152.5</v>
      </c>
      <c r="D198" s="13" t="s">
        <v>88</v>
      </c>
      <c r="E198" s="15" t="s">
        <v>89</v>
      </c>
      <c r="F198" s="13" t="s">
        <v>90</v>
      </c>
      <c r="G198" s="15" t="s">
        <v>91</v>
      </c>
      <c r="H198" s="13" t="s">
        <v>378</v>
      </c>
      <c r="I198" s="15" t="s">
        <v>379</v>
      </c>
      <c r="J198" s="15" t="s">
        <v>380</v>
      </c>
      <c r="K198" s="15" t="s">
        <v>381</v>
      </c>
      <c r="L198" s="13" t="s">
        <v>384</v>
      </c>
      <c r="M198" s="15" t="s">
        <v>385</v>
      </c>
      <c r="N198" s="13" t="s">
        <v>98</v>
      </c>
      <c r="O198" s="15" t="s">
        <v>170</v>
      </c>
      <c r="P198" s="15" t="s">
        <v>171</v>
      </c>
      <c r="Q198" s="15" t="s">
        <v>366</v>
      </c>
      <c r="R198" s="13" t="s">
        <v>367</v>
      </c>
      <c r="S198" s="13" t="s">
        <v>212</v>
      </c>
      <c r="T198" s="13" t="s">
        <v>205</v>
      </c>
      <c r="U198" s="14">
        <v>40725</v>
      </c>
      <c r="V198" s="14"/>
      <c r="W198" s="15"/>
      <c r="X198" s="13"/>
      <c r="Y198" s="15"/>
      <c r="Z198" s="13"/>
      <c r="AA198" s="15"/>
      <c r="AB198" s="13"/>
      <c r="AC198" s="15"/>
      <c r="AD198" s="13"/>
      <c r="AE198" s="15"/>
      <c r="AF198" s="13"/>
      <c r="AG198" s="15"/>
      <c r="AH198" s="13"/>
      <c r="AI198" s="15"/>
      <c r="AJ198" s="13"/>
      <c r="AK198" s="15"/>
      <c r="AL198" s="13"/>
      <c r="AM198" s="15"/>
    </row>
    <row r="199" spans="1:39" ht="135" x14ac:dyDescent="0.25">
      <c r="A199" s="13" t="s">
        <v>202</v>
      </c>
      <c r="B199" s="13" t="s">
        <v>153</v>
      </c>
      <c r="C199" s="14">
        <v>43152.5</v>
      </c>
      <c r="D199" s="13" t="s">
        <v>88</v>
      </c>
      <c r="E199" s="15" t="s">
        <v>89</v>
      </c>
      <c r="F199" s="13" t="s">
        <v>90</v>
      </c>
      <c r="G199" s="15" t="s">
        <v>91</v>
      </c>
      <c r="H199" s="13" t="s">
        <v>378</v>
      </c>
      <c r="I199" s="15" t="s">
        <v>379</v>
      </c>
      <c r="J199" s="15" t="s">
        <v>380</v>
      </c>
      <c r="K199" s="15" t="s">
        <v>381</v>
      </c>
      <c r="L199" s="13" t="s">
        <v>386</v>
      </c>
      <c r="M199" s="15" t="s">
        <v>387</v>
      </c>
      <c r="N199" s="13" t="s">
        <v>188</v>
      </c>
      <c r="O199" s="15" t="s">
        <v>189</v>
      </c>
      <c r="P199" s="15" t="s">
        <v>190</v>
      </c>
      <c r="Q199" s="15" t="s">
        <v>366</v>
      </c>
      <c r="R199" s="13" t="s">
        <v>367</v>
      </c>
      <c r="S199" s="13" t="s">
        <v>212</v>
      </c>
      <c r="T199" s="13" t="s">
        <v>205</v>
      </c>
      <c r="U199" s="14">
        <v>40725</v>
      </c>
      <c r="V199" s="14"/>
      <c r="W199" s="15"/>
      <c r="X199" s="13"/>
      <c r="Y199" s="15"/>
      <c r="Z199" s="13"/>
      <c r="AA199" s="15"/>
      <c r="AB199" s="13"/>
      <c r="AC199" s="15"/>
      <c r="AD199" s="13"/>
      <c r="AE199" s="15"/>
      <c r="AF199" s="13"/>
      <c r="AG199" s="15"/>
      <c r="AH199" s="13"/>
      <c r="AI199" s="15"/>
      <c r="AJ199" s="13"/>
      <c r="AK199" s="15"/>
      <c r="AL199" s="13"/>
      <c r="AM199" s="15"/>
    </row>
    <row r="200" spans="1:39" ht="135" x14ac:dyDescent="0.25">
      <c r="A200" s="13" t="s">
        <v>202</v>
      </c>
      <c r="B200" s="13" t="s">
        <v>153</v>
      </c>
      <c r="C200" s="14">
        <v>43152.5</v>
      </c>
      <c r="D200" s="13" t="s">
        <v>88</v>
      </c>
      <c r="E200" s="15" t="s">
        <v>89</v>
      </c>
      <c r="F200" s="13" t="s">
        <v>90</v>
      </c>
      <c r="G200" s="15" t="s">
        <v>91</v>
      </c>
      <c r="H200" s="13" t="s">
        <v>378</v>
      </c>
      <c r="I200" s="15" t="s">
        <v>379</v>
      </c>
      <c r="J200" s="15" t="s">
        <v>380</v>
      </c>
      <c r="K200" s="15" t="s">
        <v>381</v>
      </c>
      <c r="L200" s="13" t="s">
        <v>382</v>
      </c>
      <c r="M200" s="15" t="s">
        <v>383</v>
      </c>
      <c r="N200" s="13" t="s">
        <v>98</v>
      </c>
      <c r="O200" s="15" t="s">
        <v>99</v>
      </c>
      <c r="P200" s="15" t="s">
        <v>100</v>
      </c>
      <c r="Q200" s="15" t="s">
        <v>219</v>
      </c>
      <c r="R200" s="13" t="s">
        <v>220</v>
      </c>
      <c r="S200" s="13" t="s">
        <v>212</v>
      </c>
      <c r="T200" s="13" t="s">
        <v>205</v>
      </c>
      <c r="U200" s="14">
        <v>40725</v>
      </c>
      <c r="V200" s="14"/>
      <c r="W200" s="15"/>
      <c r="X200" s="13"/>
      <c r="Y200" s="15"/>
      <c r="Z200" s="13"/>
      <c r="AA200" s="15"/>
      <c r="AB200" s="13"/>
      <c r="AC200" s="15"/>
      <c r="AD200" s="13"/>
      <c r="AE200" s="15"/>
      <c r="AF200" s="13"/>
      <c r="AG200" s="15"/>
      <c r="AH200" s="13"/>
      <c r="AI200" s="15"/>
      <c r="AJ200" s="13"/>
      <c r="AK200" s="15"/>
      <c r="AL200" s="13"/>
      <c r="AM200" s="15"/>
    </row>
    <row r="201" spans="1:39" ht="135" x14ac:dyDescent="0.25">
      <c r="A201" s="13" t="s">
        <v>202</v>
      </c>
      <c r="B201" s="13" t="s">
        <v>153</v>
      </c>
      <c r="C201" s="14">
        <v>43152.5</v>
      </c>
      <c r="D201" s="13" t="s">
        <v>88</v>
      </c>
      <c r="E201" s="15" t="s">
        <v>89</v>
      </c>
      <c r="F201" s="13" t="s">
        <v>90</v>
      </c>
      <c r="G201" s="15" t="s">
        <v>91</v>
      </c>
      <c r="H201" s="13" t="s">
        <v>378</v>
      </c>
      <c r="I201" s="15" t="s">
        <v>379</v>
      </c>
      <c r="J201" s="15" t="s">
        <v>380</v>
      </c>
      <c r="K201" s="15" t="s">
        <v>381</v>
      </c>
      <c r="L201" s="13" t="s">
        <v>384</v>
      </c>
      <c r="M201" s="15" t="s">
        <v>385</v>
      </c>
      <c r="N201" s="13" t="s">
        <v>98</v>
      </c>
      <c r="O201" s="15" t="s">
        <v>170</v>
      </c>
      <c r="P201" s="15" t="s">
        <v>171</v>
      </c>
      <c r="Q201" s="15" t="s">
        <v>219</v>
      </c>
      <c r="R201" s="13" t="s">
        <v>220</v>
      </c>
      <c r="S201" s="13" t="s">
        <v>212</v>
      </c>
      <c r="T201" s="13" t="s">
        <v>205</v>
      </c>
      <c r="U201" s="14">
        <v>40725</v>
      </c>
      <c r="V201" s="14"/>
      <c r="W201" s="15"/>
      <c r="X201" s="13"/>
      <c r="Y201" s="15"/>
      <c r="Z201" s="13"/>
      <c r="AA201" s="15"/>
      <c r="AB201" s="13"/>
      <c r="AC201" s="15"/>
      <c r="AD201" s="13"/>
      <c r="AE201" s="15"/>
      <c r="AF201" s="13"/>
      <c r="AG201" s="15"/>
      <c r="AH201" s="13"/>
      <c r="AI201" s="15"/>
      <c r="AJ201" s="13"/>
      <c r="AK201" s="15"/>
      <c r="AL201" s="13"/>
      <c r="AM201" s="15"/>
    </row>
    <row r="202" spans="1:39" ht="135" x14ac:dyDescent="0.25">
      <c r="A202" s="13" t="s">
        <v>202</v>
      </c>
      <c r="B202" s="13" t="s">
        <v>153</v>
      </c>
      <c r="C202" s="14">
        <v>43152.5</v>
      </c>
      <c r="D202" s="13" t="s">
        <v>88</v>
      </c>
      <c r="E202" s="15" t="s">
        <v>89</v>
      </c>
      <c r="F202" s="13" t="s">
        <v>90</v>
      </c>
      <c r="G202" s="15" t="s">
        <v>91</v>
      </c>
      <c r="H202" s="13" t="s">
        <v>378</v>
      </c>
      <c r="I202" s="15" t="s">
        <v>379</v>
      </c>
      <c r="J202" s="15" t="s">
        <v>380</v>
      </c>
      <c r="K202" s="15" t="s">
        <v>381</v>
      </c>
      <c r="L202" s="13" t="s">
        <v>386</v>
      </c>
      <c r="M202" s="15" t="s">
        <v>387</v>
      </c>
      <c r="N202" s="13" t="s">
        <v>188</v>
      </c>
      <c r="O202" s="15" t="s">
        <v>189</v>
      </c>
      <c r="P202" s="15" t="s">
        <v>190</v>
      </c>
      <c r="Q202" s="15" t="s">
        <v>219</v>
      </c>
      <c r="R202" s="13" t="s">
        <v>220</v>
      </c>
      <c r="S202" s="13" t="s">
        <v>212</v>
      </c>
      <c r="T202" s="13" t="s">
        <v>205</v>
      </c>
      <c r="U202" s="14">
        <v>40725</v>
      </c>
      <c r="V202" s="14"/>
      <c r="W202" s="15"/>
      <c r="X202" s="13"/>
      <c r="Y202" s="15"/>
      <c r="Z202" s="13"/>
      <c r="AA202" s="15"/>
      <c r="AB202" s="13"/>
      <c r="AC202" s="15"/>
      <c r="AD202" s="13"/>
      <c r="AE202" s="15"/>
      <c r="AF202" s="13"/>
      <c r="AG202" s="15"/>
      <c r="AH202" s="13"/>
      <c r="AI202" s="15"/>
      <c r="AJ202" s="13"/>
      <c r="AK202" s="15"/>
      <c r="AL202" s="13"/>
      <c r="AM202" s="15"/>
    </row>
    <row r="203" spans="1:39" ht="165" x14ac:dyDescent="0.25">
      <c r="A203" s="13" t="s">
        <v>86</v>
      </c>
      <c r="B203" s="13" t="s">
        <v>87</v>
      </c>
      <c r="C203" s="14">
        <v>43850.552083333336</v>
      </c>
      <c r="D203" s="13" t="s">
        <v>88</v>
      </c>
      <c r="E203" s="15" t="s">
        <v>89</v>
      </c>
      <c r="F203" s="13" t="s">
        <v>90</v>
      </c>
      <c r="G203" s="15" t="s">
        <v>91</v>
      </c>
      <c r="H203" s="13" t="s">
        <v>388</v>
      </c>
      <c r="I203" s="15" t="s">
        <v>389</v>
      </c>
      <c r="J203" s="15" t="s">
        <v>390</v>
      </c>
      <c r="K203" s="15" t="s">
        <v>391</v>
      </c>
      <c r="L203" s="13" t="s">
        <v>392</v>
      </c>
      <c r="M203" s="15" t="s">
        <v>393</v>
      </c>
      <c r="N203" s="13" t="s">
        <v>98</v>
      </c>
      <c r="O203" s="15" t="s">
        <v>99</v>
      </c>
      <c r="P203" s="15" t="s">
        <v>100</v>
      </c>
      <c r="Q203" s="15" t="s">
        <v>101</v>
      </c>
      <c r="R203" s="13" t="s">
        <v>102</v>
      </c>
      <c r="S203" s="13" t="s">
        <v>103</v>
      </c>
      <c r="T203" s="13" t="s">
        <v>104</v>
      </c>
      <c r="U203" s="14">
        <v>40725</v>
      </c>
      <c r="V203" s="14">
        <v>43830</v>
      </c>
      <c r="W203" s="15" t="s">
        <v>700</v>
      </c>
      <c r="X203" s="13" t="s">
        <v>701</v>
      </c>
      <c r="Y203" s="15" t="str">
        <f>VLOOKUP(X203,'Axe 2 Règles de gestion'!$D$2:$F$121,3, FALSE)</f>
        <v>Rémunération : L'agent perçoit une rémunération statutaire et bénéficie du régime indemnitaire de son emploi d'accueil.</v>
      </c>
      <c r="Z203" s="13" t="s">
        <v>703</v>
      </c>
      <c r="AA203" s="15" t="str">
        <f>VLOOKUP(Z203,'Axe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03" s="13" t="s">
        <v>705</v>
      </c>
      <c r="AC203" s="15" t="str">
        <f>VLOOKUP(AB203,'Axe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03" s="13" t="s">
        <v>707</v>
      </c>
      <c r="AE203" s="15" t="str">
        <f>VLOOKUP(AD203,'Axe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03" s="13" t="s">
        <v>709</v>
      </c>
      <c r="AG203" s="15" t="str">
        <f>VLOOKUP(AF203,'Axe 2 Règles de gestion'!$D$2:$F$121,3, FALSE)</f>
        <v>Congés annuels : L'agent cumule des droits à congé.</v>
      </c>
      <c r="AH203" s="13" t="s">
        <v>711</v>
      </c>
      <c r="AI203" s="15" t="str">
        <f>VLOOKUP(AH203,'Axe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03" s="13" t="s">
        <v>713</v>
      </c>
      <c r="AK203" s="15" t="str">
        <f>VLOOKUP(AJ203,'Axe 2 Règles de gestion'!$D$2:$F$121,3, FALSE)</f>
        <v>Acte : Un acte administratif doit être produit.</v>
      </c>
      <c r="AL203" s="13"/>
      <c r="AM203" s="15"/>
    </row>
    <row r="204" spans="1:39" ht="165" x14ac:dyDescent="0.25">
      <c r="A204" s="13" t="s">
        <v>152</v>
      </c>
      <c r="B204" s="13" t="s">
        <v>153</v>
      </c>
      <c r="C204" s="14">
        <v>45807.45416666667</v>
      </c>
      <c r="D204" s="13" t="s">
        <v>88</v>
      </c>
      <c r="E204" s="15" t="s">
        <v>89</v>
      </c>
      <c r="F204" s="13" t="s">
        <v>90</v>
      </c>
      <c r="G204" s="15" t="s">
        <v>91</v>
      </c>
      <c r="H204" s="13" t="s">
        <v>388</v>
      </c>
      <c r="I204" s="15" t="s">
        <v>389</v>
      </c>
      <c r="J204" s="15" t="s">
        <v>390</v>
      </c>
      <c r="K204" s="15" t="s">
        <v>391</v>
      </c>
      <c r="L204" s="13" t="s">
        <v>392</v>
      </c>
      <c r="M204" s="15" t="s">
        <v>393</v>
      </c>
      <c r="N204" s="13" t="s">
        <v>98</v>
      </c>
      <c r="O204" s="15" t="s">
        <v>99</v>
      </c>
      <c r="P204" s="15" t="s">
        <v>100</v>
      </c>
      <c r="Q204" s="15" t="s">
        <v>101</v>
      </c>
      <c r="R204" s="13" t="s">
        <v>102</v>
      </c>
      <c r="S204" s="13" t="s">
        <v>103</v>
      </c>
      <c r="T204" s="13" t="s">
        <v>104</v>
      </c>
      <c r="U204" s="14">
        <v>43831</v>
      </c>
      <c r="V204" s="14"/>
      <c r="W204" s="15" t="s">
        <v>700</v>
      </c>
      <c r="X204" s="13" t="s">
        <v>701</v>
      </c>
      <c r="Y204" s="15" t="str">
        <f>VLOOKUP(X204,'Axe 2 Règles de gestion'!$D$2:$F$121,3, FALSE)</f>
        <v>Rémunération : L'agent perçoit une rémunération statutaire et bénéficie du régime indemnitaire de son emploi d'accueil.</v>
      </c>
      <c r="Z204" s="13" t="s">
        <v>703</v>
      </c>
      <c r="AA204" s="15" t="str">
        <f>VLOOKUP(Z204,'Axe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04" s="13" t="s">
        <v>705</v>
      </c>
      <c r="AC204" s="15" t="str">
        <f>VLOOKUP(AB204,'Axe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04" s="13" t="s">
        <v>707</v>
      </c>
      <c r="AE204" s="15" t="str">
        <f>VLOOKUP(AD204,'Axe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04" s="13" t="s">
        <v>709</v>
      </c>
      <c r="AG204" s="15" t="str">
        <f>VLOOKUP(AF204,'Axe 2 Règles de gestion'!$D$2:$F$121,3, FALSE)</f>
        <v>Congés annuels : L'agent cumule des droits à congé.</v>
      </c>
      <c r="AH204" s="13" t="s">
        <v>711</v>
      </c>
      <c r="AI204" s="15" t="str">
        <f>VLOOKUP(AH204,'Axe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04" s="13" t="s">
        <v>713</v>
      </c>
      <c r="AK204" s="15" t="str">
        <f>VLOOKUP(AJ204,'Axe 2 Règles de gestion'!$D$2:$F$121,3, FALSE)</f>
        <v>Acte : Un acte administratif doit être produit.</v>
      </c>
      <c r="AL204" s="13"/>
      <c r="AM204" s="15"/>
    </row>
    <row r="205" spans="1:39" ht="165" x14ac:dyDescent="0.25">
      <c r="A205" s="13" t="s">
        <v>86</v>
      </c>
      <c r="B205" s="13" t="s">
        <v>87</v>
      </c>
      <c r="C205" s="14">
        <v>43850.552083333336</v>
      </c>
      <c r="D205" s="13" t="s">
        <v>88</v>
      </c>
      <c r="E205" s="15" t="s">
        <v>89</v>
      </c>
      <c r="F205" s="13" t="s">
        <v>90</v>
      </c>
      <c r="G205" s="15" t="s">
        <v>91</v>
      </c>
      <c r="H205" s="13" t="s">
        <v>388</v>
      </c>
      <c r="I205" s="15" t="s">
        <v>389</v>
      </c>
      <c r="J205" s="15" t="s">
        <v>390</v>
      </c>
      <c r="K205" s="15" t="s">
        <v>391</v>
      </c>
      <c r="L205" s="13" t="s">
        <v>394</v>
      </c>
      <c r="M205" s="15" t="s">
        <v>395</v>
      </c>
      <c r="N205" s="13" t="s">
        <v>98</v>
      </c>
      <c r="O205" s="15" t="s">
        <v>170</v>
      </c>
      <c r="P205" s="15" t="s">
        <v>171</v>
      </c>
      <c r="Q205" s="15" t="s">
        <v>101</v>
      </c>
      <c r="R205" s="13" t="s">
        <v>102</v>
      </c>
      <c r="S205" s="13" t="s">
        <v>103</v>
      </c>
      <c r="T205" s="13" t="s">
        <v>104</v>
      </c>
      <c r="U205" s="14">
        <v>40725</v>
      </c>
      <c r="V205" s="14"/>
      <c r="W205" s="15" t="s">
        <v>700</v>
      </c>
      <c r="X205" s="13" t="s">
        <v>701</v>
      </c>
      <c r="Y205" s="15" t="str">
        <f>VLOOKUP(X205,'Axe 2 Règles de gestion'!$D$2:$F$121,3, FALSE)</f>
        <v>Rémunération : L'agent perçoit une rémunération statutaire et bénéficie du régime indemnitaire de son emploi d'accueil.</v>
      </c>
      <c r="Z205" s="13" t="s">
        <v>703</v>
      </c>
      <c r="AA205" s="15" t="str">
        <f>VLOOKUP(Z205,'Axe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05" s="13" t="s">
        <v>705</v>
      </c>
      <c r="AC205" s="15" t="str">
        <f>VLOOKUP(AB205,'Axe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05" s="13" t="s">
        <v>707</v>
      </c>
      <c r="AE205" s="15" t="str">
        <f>VLOOKUP(AD205,'Axe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05" s="13" t="s">
        <v>709</v>
      </c>
      <c r="AG205" s="15" t="str">
        <f>VLOOKUP(AF205,'Axe 2 Règles de gestion'!$D$2:$F$121,3, FALSE)</f>
        <v>Congés annuels : L'agent cumule des droits à congé.</v>
      </c>
      <c r="AH205" s="13" t="s">
        <v>711</v>
      </c>
      <c r="AI205" s="15" t="str">
        <f>VLOOKUP(AH205,'Axe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05" s="13" t="s">
        <v>713</v>
      </c>
      <c r="AK205" s="15" t="str">
        <f>VLOOKUP(AJ205,'Axe 2 Règles de gestion'!$D$2:$F$121,3, FALSE)</f>
        <v>Acte : Un acte administratif doit être produit.</v>
      </c>
      <c r="AL205" s="13"/>
      <c r="AM205" s="15"/>
    </row>
    <row r="206" spans="1:39" ht="150" x14ac:dyDescent="0.25">
      <c r="A206" s="13" t="s">
        <v>86</v>
      </c>
      <c r="B206" s="13" t="s">
        <v>87</v>
      </c>
      <c r="C206" s="14">
        <v>43850.552083333336</v>
      </c>
      <c r="D206" s="13" t="s">
        <v>88</v>
      </c>
      <c r="E206" s="15" t="s">
        <v>89</v>
      </c>
      <c r="F206" s="13" t="s">
        <v>90</v>
      </c>
      <c r="G206" s="15" t="s">
        <v>91</v>
      </c>
      <c r="H206" s="13" t="s">
        <v>388</v>
      </c>
      <c r="I206" s="15" t="s">
        <v>389</v>
      </c>
      <c r="J206" s="15" t="s">
        <v>390</v>
      </c>
      <c r="K206" s="15" t="s">
        <v>391</v>
      </c>
      <c r="L206" s="13" t="s">
        <v>396</v>
      </c>
      <c r="M206" s="15" t="s">
        <v>397</v>
      </c>
      <c r="N206" s="13" t="s">
        <v>188</v>
      </c>
      <c r="O206" s="15" t="s">
        <v>189</v>
      </c>
      <c r="P206" s="15" t="s">
        <v>190</v>
      </c>
      <c r="Q206" s="15" t="s">
        <v>101</v>
      </c>
      <c r="R206" s="13" t="s">
        <v>102</v>
      </c>
      <c r="S206" s="13" t="s">
        <v>103</v>
      </c>
      <c r="T206" s="13" t="s">
        <v>104</v>
      </c>
      <c r="U206" s="14">
        <v>40725</v>
      </c>
      <c r="V206" s="14"/>
      <c r="W206" s="15"/>
      <c r="X206" s="13"/>
      <c r="Y206" s="15"/>
      <c r="Z206" s="13"/>
      <c r="AA206" s="15"/>
      <c r="AB206" s="13"/>
      <c r="AC206" s="15"/>
      <c r="AD206" s="13"/>
      <c r="AE206" s="15"/>
      <c r="AF206" s="13"/>
      <c r="AG206" s="15"/>
      <c r="AH206" s="13"/>
      <c r="AI206" s="15"/>
      <c r="AJ206" s="13"/>
      <c r="AK206" s="15"/>
      <c r="AL206" s="13"/>
      <c r="AM206" s="15"/>
    </row>
    <row r="207" spans="1:39" ht="150" x14ac:dyDescent="0.25">
      <c r="A207" s="13" t="s">
        <v>202</v>
      </c>
      <c r="B207" s="13" t="s">
        <v>153</v>
      </c>
      <c r="C207" s="14">
        <v>43152.5</v>
      </c>
      <c r="D207" s="13" t="s">
        <v>88</v>
      </c>
      <c r="E207" s="15" t="s">
        <v>89</v>
      </c>
      <c r="F207" s="13" t="s">
        <v>90</v>
      </c>
      <c r="G207" s="15" t="s">
        <v>91</v>
      </c>
      <c r="H207" s="13" t="s">
        <v>388</v>
      </c>
      <c r="I207" s="15" t="s">
        <v>389</v>
      </c>
      <c r="J207" s="15" t="s">
        <v>390</v>
      </c>
      <c r="K207" s="15" t="s">
        <v>391</v>
      </c>
      <c r="L207" s="13" t="s">
        <v>392</v>
      </c>
      <c r="M207" s="15" t="s">
        <v>393</v>
      </c>
      <c r="N207" s="13" t="s">
        <v>98</v>
      </c>
      <c r="O207" s="15" t="s">
        <v>99</v>
      </c>
      <c r="P207" s="15" t="s">
        <v>100</v>
      </c>
      <c r="Q207" s="15" t="s">
        <v>203</v>
      </c>
      <c r="R207" s="13" t="s">
        <v>204</v>
      </c>
      <c r="S207" s="13" t="s">
        <v>103</v>
      </c>
      <c r="T207" s="13" t="s">
        <v>205</v>
      </c>
      <c r="U207" s="14">
        <v>40725</v>
      </c>
      <c r="V207" s="14"/>
      <c r="W207" s="15"/>
      <c r="X207" s="13"/>
      <c r="Y207" s="15"/>
      <c r="Z207" s="13"/>
      <c r="AA207" s="15"/>
      <c r="AB207" s="13"/>
      <c r="AC207" s="15"/>
      <c r="AD207" s="13"/>
      <c r="AE207" s="15"/>
      <c r="AF207" s="13"/>
      <c r="AG207" s="15"/>
      <c r="AH207" s="13"/>
      <c r="AI207" s="15"/>
      <c r="AJ207" s="13"/>
      <c r="AK207" s="15"/>
      <c r="AL207" s="13"/>
      <c r="AM207" s="15"/>
    </row>
    <row r="208" spans="1:39" ht="150" x14ac:dyDescent="0.25">
      <c r="A208" s="13" t="s">
        <v>202</v>
      </c>
      <c r="B208" s="13" t="s">
        <v>153</v>
      </c>
      <c r="C208" s="14">
        <v>43152.5</v>
      </c>
      <c r="D208" s="13" t="s">
        <v>88</v>
      </c>
      <c r="E208" s="15" t="s">
        <v>89</v>
      </c>
      <c r="F208" s="13" t="s">
        <v>90</v>
      </c>
      <c r="G208" s="15" t="s">
        <v>91</v>
      </c>
      <c r="H208" s="13" t="s">
        <v>388</v>
      </c>
      <c r="I208" s="15" t="s">
        <v>389</v>
      </c>
      <c r="J208" s="15" t="s">
        <v>390</v>
      </c>
      <c r="K208" s="15" t="s">
        <v>391</v>
      </c>
      <c r="L208" s="13" t="s">
        <v>394</v>
      </c>
      <c r="M208" s="15" t="s">
        <v>395</v>
      </c>
      <c r="N208" s="13" t="s">
        <v>98</v>
      </c>
      <c r="O208" s="15" t="s">
        <v>170</v>
      </c>
      <c r="P208" s="15" t="s">
        <v>171</v>
      </c>
      <c r="Q208" s="15" t="s">
        <v>203</v>
      </c>
      <c r="R208" s="13" t="s">
        <v>204</v>
      </c>
      <c r="S208" s="13" t="s">
        <v>103</v>
      </c>
      <c r="T208" s="13" t="s">
        <v>205</v>
      </c>
      <c r="U208" s="14">
        <v>40725</v>
      </c>
      <c r="V208" s="14"/>
      <c r="W208" s="15"/>
      <c r="X208" s="13"/>
      <c r="Y208" s="15"/>
      <c r="Z208" s="13"/>
      <c r="AA208" s="15"/>
      <c r="AB208" s="13"/>
      <c r="AC208" s="15"/>
      <c r="AD208" s="13"/>
      <c r="AE208" s="15"/>
      <c r="AF208" s="13"/>
      <c r="AG208" s="15"/>
      <c r="AH208" s="13"/>
      <c r="AI208" s="15"/>
      <c r="AJ208" s="13"/>
      <c r="AK208" s="15"/>
      <c r="AL208" s="13"/>
      <c r="AM208" s="15"/>
    </row>
    <row r="209" spans="1:39" ht="150" x14ac:dyDescent="0.25">
      <c r="A209" s="13" t="s">
        <v>202</v>
      </c>
      <c r="B209" s="13" t="s">
        <v>153</v>
      </c>
      <c r="C209" s="14">
        <v>43152.5</v>
      </c>
      <c r="D209" s="13" t="s">
        <v>88</v>
      </c>
      <c r="E209" s="15" t="s">
        <v>89</v>
      </c>
      <c r="F209" s="13" t="s">
        <v>90</v>
      </c>
      <c r="G209" s="15" t="s">
        <v>91</v>
      </c>
      <c r="H209" s="13" t="s">
        <v>388</v>
      </c>
      <c r="I209" s="15" t="s">
        <v>389</v>
      </c>
      <c r="J209" s="15" t="s">
        <v>390</v>
      </c>
      <c r="K209" s="15" t="s">
        <v>391</v>
      </c>
      <c r="L209" s="13" t="s">
        <v>396</v>
      </c>
      <c r="M209" s="15" t="s">
        <v>397</v>
      </c>
      <c r="N209" s="13" t="s">
        <v>188</v>
      </c>
      <c r="O209" s="15" t="s">
        <v>189</v>
      </c>
      <c r="P209" s="15" t="s">
        <v>190</v>
      </c>
      <c r="Q209" s="15" t="s">
        <v>203</v>
      </c>
      <c r="R209" s="13" t="s">
        <v>204</v>
      </c>
      <c r="S209" s="13" t="s">
        <v>103</v>
      </c>
      <c r="T209" s="13" t="s">
        <v>205</v>
      </c>
      <c r="U209" s="14">
        <v>40725</v>
      </c>
      <c r="V209" s="14"/>
      <c r="W209" s="15"/>
      <c r="X209" s="13"/>
      <c r="Y209" s="15"/>
      <c r="Z209" s="13"/>
      <c r="AA209" s="15"/>
      <c r="AB209" s="13"/>
      <c r="AC209" s="15"/>
      <c r="AD209" s="13"/>
      <c r="AE209" s="15"/>
      <c r="AF209" s="13"/>
      <c r="AG209" s="15"/>
      <c r="AH209" s="13"/>
      <c r="AI209" s="15"/>
      <c r="AJ209" s="13"/>
      <c r="AK209" s="15"/>
      <c r="AL209" s="13"/>
      <c r="AM209" s="15"/>
    </row>
    <row r="210" spans="1:39" ht="150" x14ac:dyDescent="0.25">
      <c r="A210" s="13" t="s">
        <v>202</v>
      </c>
      <c r="B210" s="13" t="s">
        <v>153</v>
      </c>
      <c r="C210" s="14">
        <v>43152.5</v>
      </c>
      <c r="D210" s="13" t="s">
        <v>88</v>
      </c>
      <c r="E210" s="15" t="s">
        <v>89</v>
      </c>
      <c r="F210" s="13" t="s">
        <v>90</v>
      </c>
      <c r="G210" s="15" t="s">
        <v>91</v>
      </c>
      <c r="H210" s="13" t="s">
        <v>388</v>
      </c>
      <c r="I210" s="15" t="s">
        <v>389</v>
      </c>
      <c r="J210" s="15" t="s">
        <v>390</v>
      </c>
      <c r="K210" s="15" t="s">
        <v>391</v>
      </c>
      <c r="L210" s="13" t="s">
        <v>392</v>
      </c>
      <c r="M210" s="15" t="s">
        <v>393</v>
      </c>
      <c r="N210" s="13" t="s">
        <v>98</v>
      </c>
      <c r="O210" s="15" t="s">
        <v>99</v>
      </c>
      <c r="P210" s="15" t="s">
        <v>100</v>
      </c>
      <c r="Q210" s="15" t="s">
        <v>206</v>
      </c>
      <c r="R210" s="13" t="s">
        <v>207</v>
      </c>
      <c r="S210" s="13" t="s">
        <v>103</v>
      </c>
      <c r="T210" s="13" t="s">
        <v>205</v>
      </c>
      <c r="U210" s="14">
        <v>40725</v>
      </c>
      <c r="V210" s="14"/>
      <c r="W210" s="15"/>
      <c r="X210" s="13"/>
      <c r="Y210" s="15"/>
      <c r="Z210" s="13"/>
      <c r="AA210" s="15"/>
      <c r="AB210" s="13"/>
      <c r="AC210" s="15"/>
      <c r="AD210" s="13"/>
      <c r="AE210" s="15"/>
      <c r="AF210" s="13"/>
      <c r="AG210" s="15"/>
      <c r="AH210" s="13"/>
      <c r="AI210" s="15"/>
      <c r="AJ210" s="13"/>
      <c r="AK210" s="15"/>
      <c r="AL210" s="13"/>
      <c r="AM210" s="15"/>
    </row>
    <row r="211" spans="1:39" ht="150" x14ac:dyDescent="0.25">
      <c r="A211" s="13" t="s">
        <v>202</v>
      </c>
      <c r="B211" s="13" t="s">
        <v>153</v>
      </c>
      <c r="C211" s="14">
        <v>43152.5</v>
      </c>
      <c r="D211" s="13" t="s">
        <v>88</v>
      </c>
      <c r="E211" s="15" t="s">
        <v>89</v>
      </c>
      <c r="F211" s="13" t="s">
        <v>90</v>
      </c>
      <c r="G211" s="15" t="s">
        <v>91</v>
      </c>
      <c r="H211" s="13" t="s">
        <v>388</v>
      </c>
      <c r="I211" s="15" t="s">
        <v>389</v>
      </c>
      <c r="J211" s="15" t="s">
        <v>390</v>
      </c>
      <c r="K211" s="15" t="s">
        <v>391</v>
      </c>
      <c r="L211" s="13" t="s">
        <v>394</v>
      </c>
      <c r="M211" s="15" t="s">
        <v>395</v>
      </c>
      <c r="N211" s="13" t="s">
        <v>98</v>
      </c>
      <c r="O211" s="15" t="s">
        <v>170</v>
      </c>
      <c r="P211" s="15" t="s">
        <v>171</v>
      </c>
      <c r="Q211" s="15" t="s">
        <v>206</v>
      </c>
      <c r="R211" s="13" t="s">
        <v>207</v>
      </c>
      <c r="S211" s="13" t="s">
        <v>103</v>
      </c>
      <c r="T211" s="13" t="s">
        <v>205</v>
      </c>
      <c r="U211" s="14">
        <v>40725</v>
      </c>
      <c r="V211" s="14"/>
      <c r="W211" s="15"/>
      <c r="X211" s="13"/>
      <c r="Y211" s="15"/>
      <c r="Z211" s="13"/>
      <c r="AA211" s="15"/>
      <c r="AB211" s="13"/>
      <c r="AC211" s="15"/>
      <c r="AD211" s="13"/>
      <c r="AE211" s="15"/>
      <c r="AF211" s="13"/>
      <c r="AG211" s="15"/>
      <c r="AH211" s="13"/>
      <c r="AI211" s="15"/>
      <c r="AJ211" s="13"/>
      <c r="AK211" s="15"/>
      <c r="AL211" s="13"/>
      <c r="AM211" s="15"/>
    </row>
    <row r="212" spans="1:39" ht="150" x14ac:dyDescent="0.25">
      <c r="A212" s="13" t="s">
        <v>202</v>
      </c>
      <c r="B212" s="13" t="s">
        <v>153</v>
      </c>
      <c r="C212" s="14">
        <v>43152.5</v>
      </c>
      <c r="D212" s="13" t="s">
        <v>88</v>
      </c>
      <c r="E212" s="15" t="s">
        <v>89</v>
      </c>
      <c r="F212" s="13" t="s">
        <v>90</v>
      </c>
      <c r="G212" s="15" t="s">
        <v>91</v>
      </c>
      <c r="H212" s="13" t="s">
        <v>388</v>
      </c>
      <c r="I212" s="15" t="s">
        <v>389</v>
      </c>
      <c r="J212" s="15" t="s">
        <v>390</v>
      </c>
      <c r="K212" s="15" t="s">
        <v>391</v>
      </c>
      <c r="L212" s="13" t="s">
        <v>396</v>
      </c>
      <c r="M212" s="15" t="s">
        <v>397</v>
      </c>
      <c r="N212" s="13" t="s">
        <v>188</v>
      </c>
      <c r="O212" s="15" t="s">
        <v>189</v>
      </c>
      <c r="P212" s="15" t="s">
        <v>190</v>
      </c>
      <c r="Q212" s="15" t="s">
        <v>206</v>
      </c>
      <c r="R212" s="13" t="s">
        <v>207</v>
      </c>
      <c r="S212" s="13" t="s">
        <v>103</v>
      </c>
      <c r="T212" s="13" t="s">
        <v>205</v>
      </c>
      <c r="U212" s="14">
        <v>40725</v>
      </c>
      <c r="V212" s="14"/>
      <c r="W212" s="15"/>
      <c r="X212" s="13"/>
      <c r="Y212" s="15"/>
      <c r="Z212" s="13"/>
      <c r="AA212" s="15"/>
      <c r="AB212" s="13"/>
      <c r="AC212" s="15"/>
      <c r="AD212" s="13"/>
      <c r="AE212" s="15"/>
      <c r="AF212" s="13"/>
      <c r="AG212" s="15"/>
      <c r="AH212" s="13"/>
      <c r="AI212" s="15"/>
      <c r="AJ212" s="13"/>
      <c r="AK212" s="15"/>
      <c r="AL212" s="13"/>
      <c r="AM212" s="15"/>
    </row>
    <row r="213" spans="1:39" ht="150" x14ac:dyDescent="0.25">
      <c r="A213" s="13" t="s">
        <v>202</v>
      </c>
      <c r="B213" s="13" t="s">
        <v>153</v>
      </c>
      <c r="C213" s="14">
        <v>43152.5</v>
      </c>
      <c r="D213" s="13" t="s">
        <v>88</v>
      </c>
      <c r="E213" s="15" t="s">
        <v>89</v>
      </c>
      <c r="F213" s="13" t="s">
        <v>90</v>
      </c>
      <c r="G213" s="15" t="s">
        <v>91</v>
      </c>
      <c r="H213" s="13" t="s">
        <v>388</v>
      </c>
      <c r="I213" s="15" t="s">
        <v>389</v>
      </c>
      <c r="J213" s="15" t="s">
        <v>390</v>
      </c>
      <c r="K213" s="15" t="s">
        <v>391</v>
      </c>
      <c r="L213" s="13" t="s">
        <v>392</v>
      </c>
      <c r="M213" s="15" t="s">
        <v>393</v>
      </c>
      <c r="N213" s="13" t="s">
        <v>98</v>
      </c>
      <c r="O213" s="15" t="s">
        <v>99</v>
      </c>
      <c r="P213" s="15" t="s">
        <v>100</v>
      </c>
      <c r="Q213" s="15" t="s">
        <v>208</v>
      </c>
      <c r="R213" s="13" t="s">
        <v>209</v>
      </c>
      <c r="S213" s="13" t="s">
        <v>103</v>
      </c>
      <c r="T213" s="13" t="s">
        <v>205</v>
      </c>
      <c r="U213" s="14">
        <v>40725</v>
      </c>
      <c r="V213" s="14"/>
      <c r="W213" s="15"/>
      <c r="X213" s="13"/>
      <c r="Y213" s="15"/>
      <c r="Z213" s="13"/>
      <c r="AA213" s="15"/>
      <c r="AB213" s="13"/>
      <c r="AC213" s="15"/>
      <c r="AD213" s="13"/>
      <c r="AE213" s="15"/>
      <c r="AF213" s="13"/>
      <c r="AG213" s="15"/>
      <c r="AH213" s="13"/>
      <c r="AI213" s="15"/>
      <c r="AJ213" s="13"/>
      <c r="AK213" s="15"/>
      <c r="AL213" s="13"/>
      <c r="AM213" s="15"/>
    </row>
    <row r="214" spans="1:39" ht="150" x14ac:dyDescent="0.25">
      <c r="A214" s="13" t="s">
        <v>202</v>
      </c>
      <c r="B214" s="13" t="s">
        <v>153</v>
      </c>
      <c r="C214" s="14">
        <v>43152.5</v>
      </c>
      <c r="D214" s="13" t="s">
        <v>88</v>
      </c>
      <c r="E214" s="15" t="s">
        <v>89</v>
      </c>
      <c r="F214" s="13" t="s">
        <v>90</v>
      </c>
      <c r="G214" s="15" t="s">
        <v>91</v>
      </c>
      <c r="H214" s="13" t="s">
        <v>388</v>
      </c>
      <c r="I214" s="15" t="s">
        <v>389</v>
      </c>
      <c r="J214" s="15" t="s">
        <v>390</v>
      </c>
      <c r="K214" s="15" t="s">
        <v>391</v>
      </c>
      <c r="L214" s="13" t="s">
        <v>394</v>
      </c>
      <c r="M214" s="15" t="s">
        <v>395</v>
      </c>
      <c r="N214" s="13" t="s">
        <v>98</v>
      </c>
      <c r="O214" s="15" t="s">
        <v>170</v>
      </c>
      <c r="P214" s="15" t="s">
        <v>171</v>
      </c>
      <c r="Q214" s="15" t="s">
        <v>208</v>
      </c>
      <c r="R214" s="13" t="s">
        <v>209</v>
      </c>
      <c r="S214" s="13" t="s">
        <v>103</v>
      </c>
      <c r="T214" s="13" t="s">
        <v>205</v>
      </c>
      <c r="U214" s="14">
        <v>40725</v>
      </c>
      <c r="V214" s="14"/>
      <c r="W214" s="15"/>
      <c r="X214" s="13"/>
      <c r="Y214" s="15"/>
      <c r="Z214" s="13"/>
      <c r="AA214" s="15"/>
      <c r="AB214" s="13"/>
      <c r="AC214" s="15"/>
      <c r="AD214" s="13"/>
      <c r="AE214" s="15"/>
      <c r="AF214" s="13"/>
      <c r="AG214" s="15"/>
      <c r="AH214" s="13"/>
      <c r="AI214" s="15"/>
      <c r="AJ214" s="13"/>
      <c r="AK214" s="15"/>
      <c r="AL214" s="13"/>
      <c r="AM214" s="15"/>
    </row>
    <row r="215" spans="1:39" ht="150" x14ac:dyDescent="0.25">
      <c r="A215" s="13" t="s">
        <v>202</v>
      </c>
      <c r="B215" s="13" t="s">
        <v>153</v>
      </c>
      <c r="C215" s="14">
        <v>43152.5</v>
      </c>
      <c r="D215" s="13" t="s">
        <v>88</v>
      </c>
      <c r="E215" s="15" t="s">
        <v>89</v>
      </c>
      <c r="F215" s="13" t="s">
        <v>90</v>
      </c>
      <c r="G215" s="15" t="s">
        <v>91</v>
      </c>
      <c r="H215" s="13" t="s">
        <v>388</v>
      </c>
      <c r="I215" s="15" t="s">
        <v>389</v>
      </c>
      <c r="J215" s="15" t="s">
        <v>390</v>
      </c>
      <c r="K215" s="15" t="s">
        <v>391</v>
      </c>
      <c r="L215" s="13" t="s">
        <v>396</v>
      </c>
      <c r="M215" s="15" t="s">
        <v>397</v>
      </c>
      <c r="N215" s="13" t="s">
        <v>188</v>
      </c>
      <c r="O215" s="15" t="s">
        <v>189</v>
      </c>
      <c r="P215" s="15" t="s">
        <v>190</v>
      </c>
      <c r="Q215" s="15" t="s">
        <v>208</v>
      </c>
      <c r="R215" s="13" t="s">
        <v>209</v>
      </c>
      <c r="S215" s="13" t="s">
        <v>103</v>
      </c>
      <c r="T215" s="13" t="s">
        <v>205</v>
      </c>
      <c r="U215" s="14">
        <v>40725</v>
      </c>
      <c r="V215" s="14"/>
      <c r="W215" s="15"/>
      <c r="X215" s="13"/>
      <c r="Y215" s="15"/>
      <c r="Z215" s="13"/>
      <c r="AA215" s="15"/>
      <c r="AB215" s="13"/>
      <c r="AC215" s="15"/>
      <c r="AD215" s="13"/>
      <c r="AE215" s="15"/>
      <c r="AF215" s="13"/>
      <c r="AG215" s="15"/>
      <c r="AH215" s="13"/>
      <c r="AI215" s="15"/>
      <c r="AJ215" s="13"/>
      <c r="AK215" s="15"/>
      <c r="AL215" s="13"/>
      <c r="AM215" s="15"/>
    </row>
    <row r="216" spans="1:39" ht="150" x14ac:dyDescent="0.25">
      <c r="A216" s="13" t="s">
        <v>202</v>
      </c>
      <c r="B216" s="13" t="s">
        <v>153</v>
      </c>
      <c r="C216" s="14">
        <v>43152.5</v>
      </c>
      <c r="D216" s="13" t="s">
        <v>88</v>
      </c>
      <c r="E216" s="15" t="s">
        <v>89</v>
      </c>
      <c r="F216" s="13" t="s">
        <v>90</v>
      </c>
      <c r="G216" s="15" t="s">
        <v>91</v>
      </c>
      <c r="H216" s="13" t="s">
        <v>388</v>
      </c>
      <c r="I216" s="15" t="s">
        <v>389</v>
      </c>
      <c r="J216" s="15" t="s">
        <v>390</v>
      </c>
      <c r="K216" s="15" t="s">
        <v>391</v>
      </c>
      <c r="L216" s="13" t="s">
        <v>392</v>
      </c>
      <c r="M216" s="15" t="s">
        <v>393</v>
      </c>
      <c r="N216" s="13" t="s">
        <v>98</v>
      </c>
      <c r="O216" s="15" t="s">
        <v>99</v>
      </c>
      <c r="P216" s="15" t="s">
        <v>100</v>
      </c>
      <c r="Q216" s="15" t="s">
        <v>366</v>
      </c>
      <c r="R216" s="13" t="s">
        <v>367</v>
      </c>
      <c r="S216" s="13" t="s">
        <v>212</v>
      </c>
      <c r="T216" s="13" t="s">
        <v>205</v>
      </c>
      <c r="U216" s="14">
        <v>40725</v>
      </c>
      <c r="V216" s="14"/>
      <c r="W216" s="15"/>
      <c r="X216" s="13"/>
      <c r="Y216" s="15"/>
      <c r="Z216" s="13"/>
      <c r="AA216" s="15"/>
      <c r="AB216" s="13"/>
      <c r="AC216" s="15"/>
      <c r="AD216" s="13"/>
      <c r="AE216" s="15"/>
      <c r="AF216" s="13"/>
      <c r="AG216" s="15"/>
      <c r="AH216" s="13"/>
      <c r="AI216" s="15"/>
      <c r="AJ216" s="13"/>
      <c r="AK216" s="15"/>
      <c r="AL216" s="13"/>
      <c r="AM216" s="15"/>
    </row>
    <row r="217" spans="1:39" ht="150" x14ac:dyDescent="0.25">
      <c r="A217" s="13" t="s">
        <v>202</v>
      </c>
      <c r="B217" s="13" t="s">
        <v>153</v>
      </c>
      <c r="C217" s="14">
        <v>43152.5</v>
      </c>
      <c r="D217" s="13" t="s">
        <v>88</v>
      </c>
      <c r="E217" s="15" t="s">
        <v>89</v>
      </c>
      <c r="F217" s="13" t="s">
        <v>90</v>
      </c>
      <c r="G217" s="15" t="s">
        <v>91</v>
      </c>
      <c r="H217" s="13" t="s">
        <v>388</v>
      </c>
      <c r="I217" s="15" t="s">
        <v>389</v>
      </c>
      <c r="J217" s="15" t="s">
        <v>390</v>
      </c>
      <c r="K217" s="15" t="s">
        <v>391</v>
      </c>
      <c r="L217" s="13" t="s">
        <v>394</v>
      </c>
      <c r="M217" s="15" t="s">
        <v>395</v>
      </c>
      <c r="N217" s="13" t="s">
        <v>98</v>
      </c>
      <c r="O217" s="15" t="s">
        <v>170</v>
      </c>
      <c r="P217" s="15" t="s">
        <v>171</v>
      </c>
      <c r="Q217" s="15" t="s">
        <v>366</v>
      </c>
      <c r="R217" s="13" t="s">
        <v>367</v>
      </c>
      <c r="S217" s="13" t="s">
        <v>212</v>
      </c>
      <c r="T217" s="13" t="s">
        <v>205</v>
      </c>
      <c r="U217" s="14">
        <v>40725</v>
      </c>
      <c r="V217" s="14"/>
      <c r="W217" s="15"/>
      <c r="X217" s="13"/>
      <c r="Y217" s="15"/>
      <c r="Z217" s="13"/>
      <c r="AA217" s="15"/>
      <c r="AB217" s="13"/>
      <c r="AC217" s="15"/>
      <c r="AD217" s="13"/>
      <c r="AE217" s="15"/>
      <c r="AF217" s="13"/>
      <c r="AG217" s="15"/>
      <c r="AH217" s="13"/>
      <c r="AI217" s="15"/>
      <c r="AJ217" s="13"/>
      <c r="AK217" s="15"/>
      <c r="AL217" s="13"/>
      <c r="AM217" s="15"/>
    </row>
    <row r="218" spans="1:39" ht="150" x14ac:dyDescent="0.25">
      <c r="A218" s="13" t="s">
        <v>202</v>
      </c>
      <c r="B218" s="13" t="s">
        <v>153</v>
      </c>
      <c r="C218" s="14">
        <v>43152.5</v>
      </c>
      <c r="D218" s="13" t="s">
        <v>88</v>
      </c>
      <c r="E218" s="15" t="s">
        <v>89</v>
      </c>
      <c r="F218" s="13" t="s">
        <v>90</v>
      </c>
      <c r="G218" s="15" t="s">
        <v>91</v>
      </c>
      <c r="H218" s="13" t="s">
        <v>388</v>
      </c>
      <c r="I218" s="15" t="s">
        <v>389</v>
      </c>
      <c r="J218" s="15" t="s">
        <v>390</v>
      </c>
      <c r="K218" s="15" t="s">
        <v>391</v>
      </c>
      <c r="L218" s="13" t="s">
        <v>396</v>
      </c>
      <c r="M218" s="15" t="s">
        <v>397</v>
      </c>
      <c r="N218" s="13" t="s">
        <v>188</v>
      </c>
      <c r="O218" s="15" t="s">
        <v>189</v>
      </c>
      <c r="P218" s="15" t="s">
        <v>190</v>
      </c>
      <c r="Q218" s="15" t="s">
        <v>366</v>
      </c>
      <c r="R218" s="13" t="s">
        <v>367</v>
      </c>
      <c r="S218" s="13" t="s">
        <v>212</v>
      </c>
      <c r="T218" s="13" t="s">
        <v>205</v>
      </c>
      <c r="U218" s="14">
        <v>40725</v>
      </c>
      <c r="V218" s="14"/>
      <c r="W218" s="15"/>
      <c r="X218" s="13"/>
      <c r="Y218" s="15"/>
      <c r="Z218" s="13"/>
      <c r="AA218" s="15"/>
      <c r="AB218" s="13"/>
      <c r="AC218" s="15"/>
      <c r="AD218" s="13"/>
      <c r="AE218" s="15"/>
      <c r="AF218" s="13"/>
      <c r="AG218" s="15"/>
      <c r="AH218" s="13"/>
      <c r="AI218" s="15"/>
      <c r="AJ218" s="13"/>
      <c r="AK218" s="15"/>
      <c r="AL218" s="13"/>
      <c r="AM218" s="15"/>
    </row>
    <row r="219" spans="1:39" ht="150" x14ac:dyDescent="0.25">
      <c r="A219" s="13" t="s">
        <v>202</v>
      </c>
      <c r="B219" s="13" t="s">
        <v>153</v>
      </c>
      <c r="C219" s="14">
        <v>43152.5</v>
      </c>
      <c r="D219" s="13" t="s">
        <v>88</v>
      </c>
      <c r="E219" s="15" t="s">
        <v>89</v>
      </c>
      <c r="F219" s="13" t="s">
        <v>90</v>
      </c>
      <c r="G219" s="15" t="s">
        <v>91</v>
      </c>
      <c r="H219" s="13" t="s">
        <v>388</v>
      </c>
      <c r="I219" s="15" t="s">
        <v>389</v>
      </c>
      <c r="J219" s="15" t="s">
        <v>390</v>
      </c>
      <c r="K219" s="15" t="s">
        <v>391</v>
      </c>
      <c r="L219" s="13" t="s">
        <v>392</v>
      </c>
      <c r="M219" s="15" t="s">
        <v>393</v>
      </c>
      <c r="N219" s="13" t="s">
        <v>98</v>
      </c>
      <c r="O219" s="15" t="s">
        <v>99</v>
      </c>
      <c r="P219" s="15" t="s">
        <v>100</v>
      </c>
      <c r="Q219" s="15" t="s">
        <v>219</v>
      </c>
      <c r="R219" s="13" t="s">
        <v>220</v>
      </c>
      <c r="S219" s="13" t="s">
        <v>212</v>
      </c>
      <c r="T219" s="13" t="s">
        <v>205</v>
      </c>
      <c r="U219" s="14">
        <v>40725</v>
      </c>
      <c r="V219" s="14"/>
      <c r="W219" s="15"/>
      <c r="X219" s="13"/>
      <c r="Y219" s="15"/>
      <c r="Z219" s="13"/>
      <c r="AA219" s="15"/>
      <c r="AB219" s="13"/>
      <c r="AC219" s="15"/>
      <c r="AD219" s="13"/>
      <c r="AE219" s="15"/>
      <c r="AF219" s="13"/>
      <c r="AG219" s="15"/>
      <c r="AH219" s="13"/>
      <c r="AI219" s="15"/>
      <c r="AJ219" s="13"/>
      <c r="AK219" s="15"/>
      <c r="AL219" s="13"/>
      <c r="AM219" s="15"/>
    </row>
    <row r="220" spans="1:39" ht="150" x14ac:dyDescent="0.25">
      <c r="A220" s="13" t="s">
        <v>202</v>
      </c>
      <c r="B220" s="13" t="s">
        <v>153</v>
      </c>
      <c r="C220" s="14">
        <v>43152.5</v>
      </c>
      <c r="D220" s="13" t="s">
        <v>88</v>
      </c>
      <c r="E220" s="15" t="s">
        <v>89</v>
      </c>
      <c r="F220" s="13" t="s">
        <v>90</v>
      </c>
      <c r="G220" s="15" t="s">
        <v>91</v>
      </c>
      <c r="H220" s="13" t="s">
        <v>388</v>
      </c>
      <c r="I220" s="15" t="s">
        <v>389</v>
      </c>
      <c r="J220" s="15" t="s">
        <v>390</v>
      </c>
      <c r="K220" s="15" t="s">
        <v>391</v>
      </c>
      <c r="L220" s="13" t="s">
        <v>394</v>
      </c>
      <c r="M220" s="15" t="s">
        <v>395</v>
      </c>
      <c r="N220" s="13" t="s">
        <v>98</v>
      </c>
      <c r="O220" s="15" t="s">
        <v>170</v>
      </c>
      <c r="P220" s="15" t="s">
        <v>171</v>
      </c>
      <c r="Q220" s="15" t="s">
        <v>219</v>
      </c>
      <c r="R220" s="13" t="s">
        <v>220</v>
      </c>
      <c r="S220" s="13" t="s">
        <v>212</v>
      </c>
      <c r="T220" s="13" t="s">
        <v>205</v>
      </c>
      <c r="U220" s="14">
        <v>40725</v>
      </c>
      <c r="V220" s="14"/>
      <c r="W220" s="15"/>
      <c r="X220" s="13"/>
      <c r="Y220" s="15"/>
      <c r="Z220" s="13"/>
      <c r="AA220" s="15"/>
      <c r="AB220" s="13"/>
      <c r="AC220" s="15"/>
      <c r="AD220" s="13"/>
      <c r="AE220" s="15"/>
      <c r="AF220" s="13"/>
      <c r="AG220" s="15"/>
      <c r="AH220" s="13"/>
      <c r="AI220" s="15"/>
      <c r="AJ220" s="13"/>
      <c r="AK220" s="15"/>
      <c r="AL220" s="13"/>
      <c r="AM220" s="15"/>
    </row>
    <row r="221" spans="1:39" ht="150" x14ac:dyDescent="0.25">
      <c r="A221" s="13" t="s">
        <v>202</v>
      </c>
      <c r="B221" s="13" t="s">
        <v>153</v>
      </c>
      <c r="C221" s="14">
        <v>43152.5</v>
      </c>
      <c r="D221" s="13" t="s">
        <v>88</v>
      </c>
      <c r="E221" s="15" t="s">
        <v>89</v>
      </c>
      <c r="F221" s="13" t="s">
        <v>90</v>
      </c>
      <c r="G221" s="15" t="s">
        <v>91</v>
      </c>
      <c r="H221" s="13" t="s">
        <v>388</v>
      </c>
      <c r="I221" s="15" t="s">
        <v>389</v>
      </c>
      <c r="J221" s="15" t="s">
        <v>390</v>
      </c>
      <c r="K221" s="15" t="s">
        <v>391</v>
      </c>
      <c r="L221" s="13" t="s">
        <v>396</v>
      </c>
      <c r="M221" s="15" t="s">
        <v>397</v>
      </c>
      <c r="N221" s="13" t="s">
        <v>188</v>
      </c>
      <c r="O221" s="15" t="s">
        <v>189</v>
      </c>
      <c r="P221" s="15" t="s">
        <v>190</v>
      </c>
      <c r="Q221" s="15" t="s">
        <v>219</v>
      </c>
      <c r="R221" s="13" t="s">
        <v>220</v>
      </c>
      <c r="S221" s="13" t="s">
        <v>212</v>
      </c>
      <c r="T221" s="13" t="s">
        <v>205</v>
      </c>
      <c r="U221" s="14">
        <v>40725</v>
      </c>
      <c r="V221" s="14"/>
      <c r="W221" s="15"/>
      <c r="X221" s="13"/>
      <c r="Y221" s="15"/>
      <c r="Z221" s="13"/>
      <c r="AA221" s="15"/>
      <c r="AB221" s="13"/>
      <c r="AC221" s="15"/>
      <c r="AD221" s="13"/>
      <c r="AE221" s="15"/>
      <c r="AF221" s="13"/>
      <c r="AG221" s="15"/>
      <c r="AH221" s="13"/>
      <c r="AI221" s="15"/>
      <c r="AJ221" s="13"/>
      <c r="AK221" s="15"/>
      <c r="AL221" s="13"/>
      <c r="AM221" s="15"/>
    </row>
    <row r="222" spans="1:39" ht="120" x14ac:dyDescent="0.25">
      <c r="A222" s="13" t="s">
        <v>202</v>
      </c>
      <c r="B222" s="13" t="s">
        <v>153</v>
      </c>
      <c r="C222" s="14">
        <v>43152.5</v>
      </c>
      <c r="D222" s="13" t="s">
        <v>88</v>
      </c>
      <c r="E222" s="15" t="s">
        <v>89</v>
      </c>
      <c r="F222" s="13" t="s">
        <v>90</v>
      </c>
      <c r="G222" s="15" t="s">
        <v>91</v>
      </c>
      <c r="H222" s="13" t="s">
        <v>398</v>
      </c>
      <c r="I222" s="15" t="s">
        <v>399</v>
      </c>
      <c r="J222" s="15" t="s">
        <v>400</v>
      </c>
      <c r="K222" s="15" t="s">
        <v>401</v>
      </c>
      <c r="L222" s="13" t="s">
        <v>402</v>
      </c>
      <c r="M222" s="15" t="s">
        <v>403</v>
      </c>
      <c r="N222" s="13" t="s">
        <v>98</v>
      </c>
      <c r="O222" s="15" t="s">
        <v>99</v>
      </c>
      <c r="P222" s="15" t="s">
        <v>100</v>
      </c>
      <c r="Q222" s="15" t="s">
        <v>101</v>
      </c>
      <c r="R222" s="13" t="s">
        <v>102</v>
      </c>
      <c r="S222" s="13" t="s">
        <v>103</v>
      </c>
      <c r="T222" s="13" t="s">
        <v>205</v>
      </c>
      <c r="U222" s="14">
        <v>40725</v>
      </c>
      <c r="V222" s="14"/>
      <c r="W222" s="15"/>
      <c r="X222" s="13"/>
      <c r="Y222" s="15"/>
      <c r="Z222" s="13"/>
      <c r="AA222" s="15"/>
      <c r="AB222" s="13"/>
      <c r="AC222" s="15"/>
      <c r="AD222" s="13"/>
      <c r="AE222" s="15"/>
      <c r="AF222" s="13"/>
      <c r="AG222" s="15"/>
      <c r="AH222" s="13"/>
      <c r="AI222" s="15"/>
      <c r="AJ222" s="13"/>
      <c r="AK222" s="15"/>
      <c r="AL222" s="13"/>
      <c r="AM222" s="15"/>
    </row>
    <row r="223" spans="1:39" ht="120" x14ac:dyDescent="0.25">
      <c r="A223" s="13" t="s">
        <v>202</v>
      </c>
      <c r="B223" s="13" t="s">
        <v>153</v>
      </c>
      <c r="C223" s="14">
        <v>43152.5</v>
      </c>
      <c r="D223" s="13" t="s">
        <v>88</v>
      </c>
      <c r="E223" s="15" t="s">
        <v>89</v>
      </c>
      <c r="F223" s="13" t="s">
        <v>90</v>
      </c>
      <c r="G223" s="15" t="s">
        <v>91</v>
      </c>
      <c r="H223" s="13" t="s">
        <v>398</v>
      </c>
      <c r="I223" s="15" t="s">
        <v>399</v>
      </c>
      <c r="J223" s="15" t="s">
        <v>400</v>
      </c>
      <c r="K223" s="15" t="s">
        <v>401</v>
      </c>
      <c r="L223" s="13" t="s">
        <v>404</v>
      </c>
      <c r="M223" s="15" t="s">
        <v>405</v>
      </c>
      <c r="N223" s="13" t="s">
        <v>98</v>
      </c>
      <c r="O223" s="15" t="s">
        <v>170</v>
      </c>
      <c r="P223" s="15" t="s">
        <v>171</v>
      </c>
      <c r="Q223" s="15" t="s">
        <v>101</v>
      </c>
      <c r="R223" s="13" t="s">
        <v>102</v>
      </c>
      <c r="S223" s="13" t="s">
        <v>103</v>
      </c>
      <c r="T223" s="13" t="s">
        <v>205</v>
      </c>
      <c r="U223" s="14">
        <v>40725</v>
      </c>
      <c r="V223" s="14"/>
      <c r="W223" s="15"/>
      <c r="X223" s="13"/>
      <c r="Y223" s="15"/>
      <c r="Z223" s="13"/>
      <c r="AA223" s="15"/>
      <c r="AB223" s="13"/>
      <c r="AC223" s="15"/>
      <c r="AD223" s="13"/>
      <c r="AE223" s="15"/>
      <c r="AF223" s="13"/>
      <c r="AG223" s="15"/>
      <c r="AH223" s="13"/>
      <c r="AI223" s="15"/>
      <c r="AJ223" s="13"/>
      <c r="AK223" s="15"/>
      <c r="AL223" s="13"/>
      <c r="AM223" s="15"/>
    </row>
    <row r="224" spans="1:39" ht="105" x14ac:dyDescent="0.25">
      <c r="A224" s="13" t="s">
        <v>202</v>
      </c>
      <c r="B224" s="13" t="s">
        <v>153</v>
      </c>
      <c r="C224" s="14">
        <v>43152.5</v>
      </c>
      <c r="D224" s="13" t="s">
        <v>88</v>
      </c>
      <c r="E224" s="15" t="s">
        <v>89</v>
      </c>
      <c r="F224" s="13" t="s">
        <v>90</v>
      </c>
      <c r="G224" s="15" t="s">
        <v>91</v>
      </c>
      <c r="H224" s="13" t="s">
        <v>398</v>
      </c>
      <c r="I224" s="15" t="s">
        <v>399</v>
      </c>
      <c r="J224" s="15" t="s">
        <v>400</v>
      </c>
      <c r="K224" s="15" t="s">
        <v>401</v>
      </c>
      <c r="L224" s="13" t="s">
        <v>406</v>
      </c>
      <c r="M224" s="15" t="s">
        <v>407</v>
      </c>
      <c r="N224" s="13" t="s">
        <v>188</v>
      </c>
      <c r="O224" s="15" t="s">
        <v>189</v>
      </c>
      <c r="P224" s="15" t="s">
        <v>190</v>
      </c>
      <c r="Q224" s="15" t="s">
        <v>101</v>
      </c>
      <c r="R224" s="13" t="s">
        <v>102</v>
      </c>
      <c r="S224" s="13" t="s">
        <v>103</v>
      </c>
      <c r="T224" s="13" t="s">
        <v>205</v>
      </c>
      <c r="U224" s="14">
        <v>40725</v>
      </c>
      <c r="V224" s="14"/>
      <c r="W224" s="15"/>
      <c r="X224" s="13"/>
      <c r="Y224" s="15"/>
      <c r="Z224" s="13"/>
      <c r="AA224" s="15"/>
      <c r="AB224" s="13"/>
      <c r="AC224" s="15"/>
      <c r="AD224" s="13"/>
      <c r="AE224" s="15"/>
      <c r="AF224" s="13"/>
      <c r="AG224" s="15"/>
      <c r="AH224" s="13"/>
      <c r="AI224" s="15"/>
      <c r="AJ224" s="13"/>
      <c r="AK224" s="15"/>
      <c r="AL224" s="13"/>
      <c r="AM224" s="15"/>
    </row>
    <row r="225" spans="1:39" ht="120" x14ac:dyDescent="0.25">
      <c r="A225" s="13" t="s">
        <v>202</v>
      </c>
      <c r="B225" s="13" t="s">
        <v>153</v>
      </c>
      <c r="C225" s="14">
        <v>43152.5</v>
      </c>
      <c r="D225" s="13" t="s">
        <v>88</v>
      </c>
      <c r="E225" s="15" t="s">
        <v>89</v>
      </c>
      <c r="F225" s="13" t="s">
        <v>90</v>
      </c>
      <c r="G225" s="15" t="s">
        <v>91</v>
      </c>
      <c r="H225" s="13" t="s">
        <v>398</v>
      </c>
      <c r="I225" s="15" t="s">
        <v>399</v>
      </c>
      <c r="J225" s="15" t="s">
        <v>400</v>
      </c>
      <c r="K225" s="15" t="s">
        <v>401</v>
      </c>
      <c r="L225" s="13" t="s">
        <v>402</v>
      </c>
      <c r="M225" s="15" t="s">
        <v>403</v>
      </c>
      <c r="N225" s="13" t="s">
        <v>98</v>
      </c>
      <c r="O225" s="15" t="s">
        <v>99</v>
      </c>
      <c r="P225" s="15" t="s">
        <v>100</v>
      </c>
      <c r="Q225" s="15" t="s">
        <v>203</v>
      </c>
      <c r="R225" s="13" t="s">
        <v>204</v>
      </c>
      <c r="S225" s="13" t="s">
        <v>103</v>
      </c>
      <c r="T225" s="13" t="s">
        <v>205</v>
      </c>
      <c r="U225" s="14">
        <v>40725</v>
      </c>
      <c r="V225" s="14"/>
      <c r="W225" s="15"/>
      <c r="X225" s="13"/>
      <c r="Y225" s="15"/>
      <c r="Z225" s="13"/>
      <c r="AA225" s="15"/>
      <c r="AB225" s="13"/>
      <c r="AC225" s="15"/>
      <c r="AD225" s="13"/>
      <c r="AE225" s="15"/>
      <c r="AF225" s="13"/>
      <c r="AG225" s="15"/>
      <c r="AH225" s="13"/>
      <c r="AI225" s="15"/>
      <c r="AJ225" s="13"/>
      <c r="AK225" s="15"/>
      <c r="AL225" s="13"/>
      <c r="AM225" s="15"/>
    </row>
    <row r="226" spans="1:39" ht="120" x14ac:dyDescent="0.25">
      <c r="A226" s="13" t="s">
        <v>202</v>
      </c>
      <c r="B226" s="13" t="s">
        <v>153</v>
      </c>
      <c r="C226" s="14">
        <v>43152.5</v>
      </c>
      <c r="D226" s="13" t="s">
        <v>88</v>
      </c>
      <c r="E226" s="15" t="s">
        <v>89</v>
      </c>
      <c r="F226" s="13" t="s">
        <v>90</v>
      </c>
      <c r="G226" s="15" t="s">
        <v>91</v>
      </c>
      <c r="H226" s="13" t="s">
        <v>398</v>
      </c>
      <c r="I226" s="15" t="s">
        <v>399</v>
      </c>
      <c r="J226" s="15" t="s">
        <v>400</v>
      </c>
      <c r="K226" s="15" t="s">
        <v>401</v>
      </c>
      <c r="L226" s="13" t="s">
        <v>404</v>
      </c>
      <c r="M226" s="15" t="s">
        <v>405</v>
      </c>
      <c r="N226" s="13" t="s">
        <v>98</v>
      </c>
      <c r="O226" s="15" t="s">
        <v>170</v>
      </c>
      <c r="P226" s="15" t="s">
        <v>171</v>
      </c>
      <c r="Q226" s="15" t="s">
        <v>203</v>
      </c>
      <c r="R226" s="13" t="s">
        <v>204</v>
      </c>
      <c r="S226" s="13" t="s">
        <v>103</v>
      </c>
      <c r="T226" s="13" t="s">
        <v>205</v>
      </c>
      <c r="U226" s="14">
        <v>40725</v>
      </c>
      <c r="V226" s="14"/>
      <c r="W226" s="15"/>
      <c r="X226" s="13"/>
      <c r="Y226" s="15"/>
      <c r="Z226" s="13"/>
      <c r="AA226" s="15"/>
      <c r="AB226" s="13"/>
      <c r="AC226" s="15"/>
      <c r="AD226" s="13"/>
      <c r="AE226" s="15"/>
      <c r="AF226" s="13"/>
      <c r="AG226" s="15"/>
      <c r="AH226" s="13"/>
      <c r="AI226" s="15"/>
      <c r="AJ226" s="13"/>
      <c r="AK226" s="15"/>
      <c r="AL226" s="13"/>
      <c r="AM226" s="15"/>
    </row>
    <row r="227" spans="1:39" ht="105" x14ac:dyDescent="0.25">
      <c r="A227" s="13" t="s">
        <v>202</v>
      </c>
      <c r="B227" s="13" t="s">
        <v>153</v>
      </c>
      <c r="C227" s="14">
        <v>43152.5</v>
      </c>
      <c r="D227" s="13" t="s">
        <v>88</v>
      </c>
      <c r="E227" s="15" t="s">
        <v>89</v>
      </c>
      <c r="F227" s="13" t="s">
        <v>90</v>
      </c>
      <c r="G227" s="15" t="s">
        <v>91</v>
      </c>
      <c r="H227" s="13" t="s">
        <v>398</v>
      </c>
      <c r="I227" s="15" t="s">
        <v>399</v>
      </c>
      <c r="J227" s="15" t="s">
        <v>400</v>
      </c>
      <c r="K227" s="15" t="s">
        <v>401</v>
      </c>
      <c r="L227" s="13" t="s">
        <v>406</v>
      </c>
      <c r="M227" s="15" t="s">
        <v>407</v>
      </c>
      <c r="N227" s="13" t="s">
        <v>188</v>
      </c>
      <c r="O227" s="15" t="s">
        <v>189</v>
      </c>
      <c r="P227" s="15" t="s">
        <v>190</v>
      </c>
      <c r="Q227" s="15" t="s">
        <v>203</v>
      </c>
      <c r="R227" s="13" t="s">
        <v>204</v>
      </c>
      <c r="S227" s="13" t="s">
        <v>103</v>
      </c>
      <c r="T227" s="13" t="s">
        <v>205</v>
      </c>
      <c r="U227" s="14">
        <v>40725</v>
      </c>
      <c r="V227" s="14"/>
      <c r="W227" s="15"/>
      <c r="X227" s="13"/>
      <c r="Y227" s="15"/>
      <c r="Z227" s="13"/>
      <c r="AA227" s="15"/>
      <c r="AB227" s="13"/>
      <c r="AC227" s="15"/>
      <c r="AD227" s="13"/>
      <c r="AE227" s="15"/>
      <c r="AF227" s="13"/>
      <c r="AG227" s="15"/>
      <c r="AH227" s="13"/>
      <c r="AI227" s="15"/>
      <c r="AJ227" s="13"/>
      <c r="AK227" s="15"/>
      <c r="AL227" s="13"/>
      <c r="AM227" s="15"/>
    </row>
    <row r="228" spans="1:39" ht="120" x14ac:dyDescent="0.25">
      <c r="A228" s="13" t="s">
        <v>202</v>
      </c>
      <c r="B228" s="13" t="s">
        <v>153</v>
      </c>
      <c r="C228" s="14">
        <v>43152.5</v>
      </c>
      <c r="D228" s="13" t="s">
        <v>88</v>
      </c>
      <c r="E228" s="15" t="s">
        <v>89</v>
      </c>
      <c r="F228" s="13" t="s">
        <v>90</v>
      </c>
      <c r="G228" s="15" t="s">
        <v>91</v>
      </c>
      <c r="H228" s="13" t="s">
        <v>398</v>
      </c>
      <c r="I228" s="15" t="s">
        <v>399</v>
      </c>
      <c r="J228" s="15" t="s">
        <v>400</v>
      </c>
      <c r="K228" s="15" t="s">
        <v>401</v>
      </c>
      <c r="L228" s="13" t="s">
        <v>402</v>
      </c>
      <c r="M228" s="15" t="s">
        <v>403</v>
      </c>
      <c r="N228" s="13" t="s">
        <v>98</v>
      </c>
      <c r="O228" s="15" t="s">
        <v>99</v>
      </c>
      <c r="P228" s="15" t="s">
        <v>100</v>
      </c>
      <c r="Q228" s="15" t="s">
        <v>206</v>
      </c>
      <c r="R228" s="13" t="s">
        <v>207</v>
      </c>
      <c r="S228" s="13" t="s">
        <v>103</v>
      </c>
      <c r="T228" s="13" t="s">
        <v>205</v>
      </c>
      <c r="U228" s="14">
        <v>40725</v>
      </c>
      <c r="V228" s="14"/>
      <c r="W228" s="15"/>
      <c r="X228" s="13"/>
      <c r="Y228" s="15"/>
      <c r="Z228" s="13"/>
      <c r="AA228" s="15"/>
      <c r="AB228" s="13"/>
      <c r="AC228" s="15"/>
      <c r="AD228" s="13"/>
      <c r="AE228" s="15"/>
      <c r="AF228" s="13"/>
      <c r="AG228" s="15"/>
      <c r="AH228" s="13"/>
      <c r="AI228" s="15"/>
      <c r="AJ228" s="13"/>
      <c r="AK228" s="15"/>
      <c r="AL228" s="13"/>
      <c r="AM228" s="15"/>
    </row>
    <row r="229" spans="1:39" ht="120" x14ac:dyDescent="0.25">
      <c r="A229" s="13" t="s">
        <v>202</v>
      </c>
      <c r="B229" s="13" t="s">
        <v>153</v>
      </c>
      <c r="C229" s="14">
        <v>43152.5</v>
      </c>
      <c r="D229" s="13" t="s">
        <v>88</v>
      </c>
      <c r="E229" s="15" t="s">
        <v>89</v>
      </c>
      <c r="F229" s="13" t="s">
        <v>90</v>
      </c>
      <c r="G229" s="15" t="s">
        <v>91</v>
      </c>
      <c r="H229" s="13" t="s">
        <v>398</v>
      </c>
      <c r="I229" s="15" t="s">
        <v>399</v>
      </c>
      <c r="J229" s="15" t="s">
        <v>400</v>
      </c>
      <c r="K229" s="15" t="s">
        <v>401</v>
      </c>
      <c r="L229" s="13" t="s">
        <v>404</v>
      </c>
      <c r="M229" s="15" t="s">
        <v>405</v>
      </c>
      <c r="N229" s="13" t="s">
        <v>98</v>
      </c>
      <c r="O229" s="15" t="s">
        <v>170</v>
      </c>
      <c r="P229" s="15" t="s">
        <v>171</v>
      </c>
      <c r="Q229" s="15" t="s">
        <v>206</v>
      </c>
      <c r="R229" s="13" t="s">
        <v>207</v>
      </c>
      <c r="S229" s="13" t="s">
        <v>103</v>
      </c>
      <c r="T229" s="13" t="s">
        <v>205</v>
      </c>
      <c r="U229" s="14">
        <v>40725</v>
      </c>
      <c r="V229" s="14"/>
      <c r="W229" s="15"/>
      <c r="X229" s="13"/>
      <c r="Y229" s="15"/>
      <c r="Z229" s="13"/>
      <c r="AA229" s="15"/>
      <c r="AB229" s="13"/>
      <c r="AC229" s="15"/>
      <c r="AD229" s="13"/>
      <c r="AE229" s="15"/>
      <c r="AF229" s="13"/>
      <c r="AG229" s="15"/>
      <c r="AH229" s="13"/>
      <c r="AI229" s="15"/>
      <c r="AJ229" s="13"/>
      <c r="AK229" s="15"/>
      <c r="AL229" s="13"/>
      <c r="AM229" s="15"/>
    </row>
    <row r="230" spans="1:39" ht="105" x14ac:dyDescent="0.25">
      <c r="A230" s="13" t="s">
        <v>202</v>
      </c>
      <c r="B230" s="13" t="s">
        <v>153</v>
      </c>
      <c r="C230" s="14">
        <v>43152.5</v>
      </c>
      <c r="D230" s="13" t="s">
        <v>88</v>
      </c>
      <c r="E230" s="15" t="s">
        <v>89</v>
      </c>
      <c r="F230" s="13" t="s">
        <v>90</v>
      </c>
      <c r="G230" s="15" t="s">
        <v>91</v>
      </c>
      <c r="H230" s="13" t="s">
        <v>398</v>
      </c>
      <c r="I230" s="15" t="s">
        <v>399</v>
      </c>
      <c r="J230" s="15" t="s">
        <v>400</v>
      </c>
      <c r="K230" s="15" t="s">
        <v>401</v>
      </c>
      <c r="L230" s="13" t="s">
        <v>406</v>
      </c>
      <c r="M230" s="15" t="s">
        <v>407</v>
      </c>
      <c r="N230" s="13" t="s">
        <v>188</v>
      </c>
      <c r="O230" s="15" t="s">
        <v>189</v>
      </c>
      <c r="P230" s="15" t="s">
        <v>190</v>
      </c>
      <c r="Q230" s="15" t="s">
        <v>206</v>
      </c>
      <c r="R230" s="13" t="s">
        <v>207</v>
      </c>
      <c r="S230" s="13" t="s">
        <v>103</v>
      </c>
      <c r="T230" s="13" t="s">
        <v>205</v>
      </c>
      <c r="U230" s="14">
        <v>40725</v>
      </c>
      <c r="V230" s="14"/>
      <c r="W230" s="15"/>
      <c r="X230" s="13"/>
      <c r="Y230" s="15"/>
      <c r="Z230" s="13"/>
      <c r="AA230" s="15"/>
      <c r="AB230" s="13"/>
      <c r="AC230" s="15"/>
      <c r="AD230" s="13"/>
      <c r="AE230" s="15"/>
      <c r="AF230" s="13"/>
      <c r="AG230" s="15"/>
      <c r="AH230" s="13"/>
      <c r="AI230" s="15"/>
      <c r="AJ230" s="13"/>
      <c r="AK230" s="15"/>
      <c r="AL230" s="13"/>
      <c r="AM230" s="15"/>
    </row>
    <row r="231" spans="1:39" ht="120" x14ac:dyDescent="0.25">
      <c r="A231" s="13" t="s">
        <v>202</v>
      </c>
      <c r="B231" s="13" t="s">
        <v>153</v>
      </c>
      <c r="C231" s="14">
        <v>43152.5</v>
      </c>
      <c r="D231" s="13" t="s">
        <v>88</v>
      </c>
      <c r="E231" s="15" t="s">
        <v>89</v>
      </c>
      <c r="F231" s="13" t="s">
        <v>90</v>
      </c>
      <c r="G231" s="15" t="s">
        <v>91</v>
      </c>
      <c r="H231" s="13" t="s">
        <v>398</v>
      </c>
      <c r="I231" s="15" t="s">
        <v>399</v>
      </c>
      <c r="J231" s="15" t="s">
        <v>400</v>
      </c>
      <c r="K231" s="15" t="s">
        <v>401</v>
      </c>
      <c r="L231" s="13" t="s">
        <v>402</v>
      </c>
      <c r="M231" s="15" t="s">
        <v>403</v>
      </c>
      <c r="N231" s="13" t="s">
        <v>98</v>
      </c>
      <c r="O231" s="15" t="s">
        <v>99</v>
      </c>
      <c r="P231" s="15" t="s">
        <v>100</v>
      </c>
      <c r="Q231" s="15" t="s">
        <v>208</v>
      </c>
      <c r="R231" s="13" t="s">
        <v>209</v>
      </c>
      <c r="S231" s="13" t="s">
        <v>103</v>
      </c>
      <c r="T231" s="13" t="s">
        <v>205</v>
      </c>
      <c r="U231" s="14">
        <v>40725</v>
      </c>
      <c r="V231" s="14"/>
      <c r="W231" s="15"/>
      <c r="X231" s="13"/>
      <c r="Y231" s="15"/>
      <c r="Z231" s="13"/>
      <c r="AA231" s="15"/>
      <c r="AB231" s="13"/>
      <c r="AC231" s="15"/>
      <c r="AD231" s="13"/>
      <c r="AE231" s="15"/>
      <c r="AF231" s="13"/>
      <c r="AG231" s="15"/>
      <c r="AH231" s="13"/>
      <c r="AI231" s="15"/>
      <c r="AJ231" s="13"/>
      <c r="AK231" s="15"/>
      <c r="AL231" s="13"/>
      <c r="AM231" s="15"/>
    </row>
    <row r="232" spans="1:39" ht="120" x14ac:dyDescent="0.25">
      <c r="A232" s="13" t="s">
        <v>202</v>
      </c>
      <c r="B232" s="13" t="s">
        <v>153</v>
      </c>
      <c r="C232" s="14">
        <v>43152.5</v>
      </c>
      <c r="D232" s="13" t="s">
        <v>88</v>
      </c>
      <c r="E232" s="15" t="s">
        <v>89</v>
      </c>
      <c r="F232" s="13" t="s">
        <v>90</v>
      </c>
      <c r="G232" s="15" t="s">
        <v>91</v>
      </c>
      <c r="H232" s="13" t="s">
        <v>398</v>
      </c>
      <c r="I232" s="15" t="s">
        <v>399</v>
      </c>
      <c r="J232" s="15" t="s">
        <v>400</v>
      </c>
      <c r="K232" s="15" t="s">
        <v>401</v>
      </c>
      <c r="L232" s="13" t="s">
        <v>404</v>
      </c>
      <c r="M232" s="15" t="s">
        <v>405</v>
      </c>
      <c r="N232" s="13" t="s">
        <v>98</v>
      </c>
      <c r="O232" s="15" t="s">
        <v>170</v>
      </c>
      <c r="P232" s="15" t="s">
        <v>171</v>
      </c>
      <c r="Q232" s="15" t="s">
        <v>208</v>
      </c>
      <c r="R232" s="13" t="s">
        <v>209</v>
      </c>
      <c r="S232" s="13" t="s">
        <v>103</v>
      </c>
      <c r="T232" s="13" t="s">
        <v>205</v>
      </c>
      <c r="U232" s="14">
        <v>40725</v>
      </c>
      <c r="V232" s="14"/>
      <c r="W232" s="15"/>
      <c r="X232" s="13"/>
      <c r="Y232" s="15"/>
      <c r="Z232" s="13"/>
      <c r="AA232" s="15"/>
      <c r="AB232" s="13"/>
      <c r="AC232" s="15"/>
      <c r="AD232" s="13"/>
      <c r="AE232" s="15"/>
      <c r="AF232" s="13"/>
      <c r="AG232" s="15"/>
      <c r="AH232" s="13"/>
      <c r="AI232" s="15"/>
      <c r="AJ232" s="13"/>
      <c r="AK232" s="15"/>
      <c r="AL232" s="13"/>
      <c r="AM232" s="15"/>
    </row>
    <row r="233" spans="1:39" ht="105" x14ac:dyDescent="0.25">
      <c r="A233" s="13" t="s">
        <v>202</v>
      </c>
      <c r="B233" s="13" t="s">
        <v>153</v>
      </c>
      <c r="C233" s="14">
        <v>43152.5</v>
      </c>
      <c r="D233" s="13" t="s">
        <v>88</v>
      </c>
      <c r="E233" s="15" t="s">
        <v>89</v>
      </c>
      <c r="F233" s="13" t="s">
        <v>90</v>
      </c>
      <c r="G233" s="15" t="s">
        <v>91</v>
      </c>
      <c r="H233" s="13" t="s">
        <v>398</v>
      </c>
      <c r="I233" s="15" t="s">
        <v>399</v>
      </c>
      <c r="J233" s="15" t="s">
        <v>400</v>
      </c>
      <c r="K233" s="15" t="s">
        <v>401</v>
      </c>
      <c r="L233" s="13" t="s">
        <v>406</v>
      </c>
      <c r="M233" s="15" t="s">
        <v>407</v>
      </c>
      <c r="N233" s="13" t="s">
        <v>188</v>
      </c>
      <c r="O233" s="15" t="s">
        <v>189</v>
      </c>
      <c r="P233" s="15" t="s">
        <v>190</v>
      </c>
      <c r="Q233" s="15" t="s">
        <v>208</v>
      </c>
      <c r="R233" s="13" t="s">
        <v>209</v>
      </c>
      <c r="S233" s="13" t="s">
        <v>103</v>
      </c>
      <c r="T233" s="13" t="s">
        <v>205</v>
      </c>
      <c r="U233" s="14">
        <v>40725</v>
      </c>
      <c r="V233" s="14"/>
      <c r="W233" s="15"/>
      <c r="X233" s="13"/>
      <c r="Y233" s="15"/>
      <c r="Z233" s="13"/>
      <c r="AA233" s="15"/>
      <c r="AB233" s="13"/>
      <c r="AC233" s="15"/>
      <c r="AD233" s="13"/>
      <c r="AE233" s="15"/>
      <c r="AF233" s="13"/>
      <c r="AG233" s="15"/>
      <c r="AH233" s="13"/>
      <c r="AI233" s="15"/>
      <c r="AJ233" s="13"/>
      <c r="AK233" s="15"/>
      <c r="AL233" s="13"/>
      <c r="AM233" s="15"/>
    </row>
    <row r="234" spans="1:39" ht="120" x14ac:dyDescent="0.25">
      <c r="A234" s="13" t="s">
        <v>86</v>
      </c>
      <c r="B234" s="13" t="s">
        <v>87</v>
      </c>
      <c r="C234" s="14">
        <v>43850.552083333336</v>
      </c>
      <c r="D234" s="13" t="s">
        <v>88</v>
      </c>
      <c r="E234" s="15" t="s">
        <v>89</v>
      </c>
      <c r="F234" s="13" t="s">
        <v>90</v>
      </c>
      <c r="G234" s="15" t="s">
        <v>91</v>
      </c>
      <c r="H234" s="13" t="s">
        <v>398</v>
      </c>
      <c r="I234" s="15" t="s">
        <v>399</v>
      </c>
      <c r="J234" s="15" t="s">
        <v>400</v>
      </c>
      <c r="K234" s="15" t="s">
        <v>401</v>
      </c>
      <c r="L234" s="13" t="s">
        <v>402</v>
      </c>
      <c r="M234" s="15" t="s">
        <v>403</v>
      </c>
      <c r="N234" s="13" t="s">
        <v>98</v>
      </c>
      <c r="O234" s="15" t="s">
        <v>99</v>
      </c>
      <c r="P234" s="15" t="s">
        <v>100</v>
      </c>
      <c r="Q234" s="15" t="s">
        <v>259</v>
      </c>
      <c r="R234" s="13" t="s">
        <v>260</v>
      </c>
      <c r="S234" s="13" t="s">
        <v>212</v>
      </c>
      <c r="T234" s="13" t="s">
        <v>104</v>
      </c>
      <c r="U234" s="14">
        <v>40725</v>
      </c>
      <c r="V234" s="14">
        <v>43830</v>
      </c>
      <c r="W234" s="15"/>
      <c r="X234" s="13"/>
      <c r="Y234" s="15"/>
      <c r="Z234" s="13"/>
      <c r="AA234" s="15"/>
      <c r="AB234" s="13"/>
      <c r="AC234" s="15"/>
      <c r="AD234" s="13"/>
      <c r="AE234" s="15"/>
      <c r="AF234" s="13"/>
      <c r="AG234" s="15"/>
      <c r="AH234" s="13"/>
      <c r="AI234" s="15"/>
      <c r="AJ234" s="13"/>
      <c r="AK234" s="15"/>
      <c r="AL234" s="13"/>
      <c r="AM234" s="15"/>
    </row>
    <row r="235" spans="1:39" ht="120" x14ac:dyDescent="0.25">
      <c r="A235" s="13" t="s">
        <v>86</v>
      </c>
      <c r="B235" s="13" t="s">
        <v>153</v>
      </c>
      <c r="C235" s="14">
        <v>44012.461111111108</v>
      </c>
      <c r="D235" s="13" t="s">
        <v>88</v>
      </c>
      <c r="E235" s="15" t="s">
        <v>89</v>
      </c>
      <c r="F235" s="13" t="s">
        <v>90</v>
      </c>
      <c r="G235" s="15" t="s">
        <v>91</v>
      </c>
      <c r="H235" s="13" t="s">
        <v>398</v>
      </c>
      <c r="I235" s="15" t="s">
        <v>399</v>
      </c>
      <c r="J235" s="15" t="s">
        <v>400</v>
      </c>
      <c r="K235" s="15" t="s">
        <v>401</v>
      </c>
      <c r="L235" s="13" t="s">
        <v>402</v>
      </c>
      <c r="M235" s="15" t="s">
        <v>403</v>
      </c>
      <c r="N235" s="13" t="s">
        <v>98</v>
      </c>
      <c r="O235" s="15" t="s">
        <v>99</v>
      </c>
      <c r="P235" s="15" t="s">
        <v>100</v>
      </c>
      <c r="Q235" s="15" t="s">
        <v>259</v>
      </c>
      <c r="R235" s="13" t="s">
        <v>260</v>
      </c>
      <c r="S235" s="13" t="s">
        <v>212</v>
      </c>
      <c r="T235" s="13" t="s">
        <v>104</v>
      </c>
      <c r="U235" s="14">
        <v>43831</v>
      </c>
      <c r="V235" s="14"/>
      <c r="W235" s="15"/>
      <c r="X235" s="13"/>
      <c r="Y235" s="15"/>
      <c r="Z235" s="13"/>
      <c r="AA235" s="15"/>
      <c r="AB235" s="13"/>
      <c r="AC235" s="15"/>
      <c r="AD235" s="13"/>
      <c r="AE235" s="15"/>
      <c r="AF235" s="13"/>
      <c r="AG235" s="15"/>
      <c r="AH235" s="13"/>
      <c r="AI235" s="15"/>
      <c r="AJ235" s="13"/>
      <c r="AK235" s="15"/>
      <c r="AL235" s="13"/>
      <c r="AM235" s="15"/>
    </row>
    <row r="236" spans="1:39" ht="120" x14ac:dyDescent="0.25">
      <c r="A236" s="13" t="s">
        <v>86</v>
      </c>
      <c r="B236" s="13" t="s">
        <v>87</v>
      </c>
      <c r="C236" s="14">
        <v>43850.552083333336</v>
      </c>
      <c r="D236" s="13" t="s">
        <v>88</v>
      </c>
      <c r="E236" s="15" t="s">
        <v>89</v>
      </c>
      <c r="F236" s="13" t="s">
        <v>90</v>
      </c>
      <c r="G236" s="15" t="s">
        <v>91</v>
      </c>
      <c r="H236" s="13" t="s">
        <v>398</v>
      </c>
      <c r="I236" s="15" t="s">
        <v>399</v>
      </c>
      <c r="J236" s="15" t="s">
        <v>400</v>
      </c>
      <c r="K236" s="15" t="s">
        <v>401</v>
      </c>
      <c r="L236" s="13" t="s">
        <v>404</v>
      </c>
      <c r="M236" s="15" t="s">
        <v>405</v>
      </c>
      <c r="N236" s="13" t="s">
        <v>98</v>
      </c>
      <c r="O236" s="15" t="s">
        <v>170</v>
      </c>
      <c r="P236" s="15" t="s">
        <v>171</v>
      </c>
      <c r="Q236" s="15" t="s">
        <v>259</v>
      </c>
      <c r="R236" s="13" t="s">
        <v>260</v>
      </c>
      <c r="S236" s="13" t="s">
        <v>212</v>
      </c>
      <c r="T236" s="13" t="s">
        <v>104</v>
      </c>
      <c r="U236" s="14">
        <v>40725</v>
      </c>
      <c r="V236" s="14"/>
      <c r="W236" s="15"/>
      <c r="X236" s="13"/>
      <c r="Y236" s="15"/>
      <c r="Z236" s="13"/>
      <c r="AA236" s="15"/>
      <c r="AB236" s="13"/>
      <c r="AC236" s="15"/>
      <c r="AD236" s="13"/>
      <c r="AE236" s="15"/>
      <c r="AF236" s="13"/>
      <c r="AG236" s="15"/>
      <c r="AH236" s="13"/>
      <c r="AI236" s="15"/>
      <c r="AJ236" s="13"/>
      <c r="AK236" s="15"/>
      <c r="AL236" s="13"/>
      <c r="AM236" s="15"/>
    </row>
    <row r="237" spans="1:39" ht="105" x14ac:dyDescent="0.25">
      <c r="A237" s="13" t="s">
        <v>86</v>
      </c>
      <c r="B237" s="13" t="s">
        <v>87</v>
      </c>
      <c r="C237" s="14">
        <v>43850.552083333336</v>
      </c>
      <c r="D237" s="13" t="s">
        <v>88</v>
      </c>
      <c r="E237" s="15" t="s">
        <v>89</v>
      </c>
      <c r="F237" s="13" t="s">
        <v>90</v>
      </c>
      <c r="G237" s="15" t="s">
        <v>91</v>
      </c>
      <c r="H237" s="13" t="s">
        <v>398</v>
      </c>
      <c r="I237" s="15" t="s">
        <v>399</v>
      </c>
      <c r="J237" s="15" t="s">
        <v>400</v>
      </c>
      <c r="K237" s="15" t="s">
        <v>401</v>
      </c>
      <c r="L237" s="13" t="s">
        <v>406</v>
      </c>
      <c r="M237" s="15" t="s">
        <v>407</v>
      </c>
      <c r="N237" s="13" t="s">
        <v>188</v>
      </c>
      <c r="O237" s="15" t="s">
        <v>189</v>
      </c>
      <c r="P237" s="15" t="s">
        <v>190</v>
      </c>
      <c r="Q237" s="15" t="s">
        <v>259</v>
      </c>
      <c r="R237" s="13" t="s">
        <v>260</v>
      </c>
      <c r="S237" s="13" t="s">
        <v>212</v>
      </c>
      <c r="T237" s="13" t="s">
        <v>104</v>
      </c>
      <c r="U237" s="14">
        <v>40725</v>
      </c>
      <c r="V237" s="14"/>
      <c r="W237" s="15"/>
      <c r="X237" s="13"/>
      <c r="Y237" s="15"/>
      <c r="Z237" s="13"/>
      <c r="AA237" s="15"/>
      <c r="AB237" s="13"/>
      <c r="AC237" s="15"/>
      <c r="AD237" s="13"/>
      <c r="AE237" s="15"/>
      <c r="AF237" s="13"/>
      <c r="AG237" s="15"/>
      <c r="AH237" s="13"/>
      <c r="AI237" s="15"/>
      <c r="AJ237" s="13"/>
      <c r="AK237" s="15"/>
      <c r="AL237" s="13"/>
      <c r="AM237" s="15"/>
    </row>
    <row r="238" spans="1:39" ht="120" x14ac:dyDescent="0.25">
      <c r="A238" s="13" t="s">
        <v>202</v>
      </c>
      <c r="B238" s="13" t="s">
        <v>153</v>
      </c>
      <c r="C238" s="14">
        <v>43152.5</v>
      </c>
      <c r="D238" s="13" t="s">
        <v>88</v>
      </c>
      <c r="E238" s="15" t="s">
        <v>89</v>
      </c>
      <c r="F238" s="13" t="s">
        <v>90</v>
      </c>
      <c r="G238" s="15" t="s">
        <v>91</v>
      </c>
      <c r="H238" s="13" t="s">
        <v>412</v>
      </c>
      <c r="I238" s="15" t="s">
        <v>413</v>
      </c>
      <c r="J238" s="15" t="s">
        <v>414</v>
      </c>
      <c r="K238" s="15" t="s">
        <v>415</v>
      </c>
      <c r="L238" s="13" t="s">
        <v>416</v>
      </c>
      <c r="M238" s="15" t="s">
        <v>417</v>
      </c>
      <c r="N238" s="13" t="s">
        <v>98</v>
      </c>
      <c r="O238" s="15" t="s">
        <v>99</v>
      </c>
      <c r="P238" s="15" t="s">
        <v>100</v>
      </c>
      <c r="Q238" s="15" t="s">
        <v>101</v>
      </c>
      <c r="R238" s="13" t="s">
        <v>102</v>
      </c>
      <c r="S238" s="13" t="s">
        <v>103</v>
      </c>
      <c r="T238" s="13" t="s">
        <v>205</v>
      </c>
      <c r="U238" s="14">
        <v>40725</v>
      </c>
      <c r="V238" s="14"/>
      <c r="W238" s="15"/>
      <c r="X238" s="13"/>
      <c r="Y238" s="15"/>
      <c r="Z238" s="13"/>
      <c r="AA238" s="15"/>
      <c r="AB238" s="13"/>
      <c r="AC238" s="15"/>
      <c r="AD238" s="13"/>
      <c r="AE238" s="15"/>
      <c r="AF238" s="13"/>
      <c r="AG238" s="15"/>
      <c r="AH238" s="13"/>
      <c r="AI238" s="15"/>
      <c r="AJ238" s="13"/>
      <c r="AK238" s="15"/>
      <c r="AL238" s="13"/>
      <c r="AM238" s="15"/>
    </row>
    <row r="239" spans="1:39" ht="120" x14ac:dyDescent="0.25">
      <c r="A239" s="13" t="s">
        <v>202</v>
      </c>
      <c r="B239" s="13" t="s">
        <v>153</v>
      </c>
      <c r="C239" s="14">
        <v>43152.5</v>
      </c>
      <c r="D239" s="13" t="s">
        <v>88</v>
      </c>
      <c r="E239" s="15" t="s">
        <v>89</v>
      </c>
      <c r="F239" s="13" t="s">
        <v>90</v>
      </c>
      <c r="G239" s="15" t="s">
        <v>91</v>
      </c>
      <c r="H239" s="13" t="s">
        <v>412</v>
      </c>
      <c r="I239" s="15" t="s">
        <v>413</v>
      </c>
      <c r="J239" s="15" t="s">
        <v>414</v>
      </c>
      <c r="K239" s="15" t="s">
        <v>415</v>
      </c>
      <c r="L239" s="13" t="s">
        <v>418</v>
      </c>
      <c r="M239" s="15" t="s">
        <v>419</v>
      </c>
      <c r="N239" s="13" t="s">
        <v>98</v>
      </c>
      <c r="O239" s="15" t="s">
        <v>170</v>
      </c>
      <c r="P239" s="15" t="s">
        <v>171</v>
      </c>
      <c r="Q239" s="15" t="s">
        <v>101</v>
      </c>
      <c r="R239" s="13" t="s">
        <v>102</v>
      </c>
      <c r="S239" s="13" t="s">
        <v>103</v>
      </c>
      <c r="T239" s="13" t="s">
        <v>205</v>
      </c>
      <c r="U239" s="14">
        <v>40725</v>
      </c>
      <c r="V239" s="14"/>
      <c r="W239" s="15"/>
      <c r="X239" s="13"/>
      <c r="Y239" s="15"/>
      <c r="Z239" s="13"/>
      <c r="AA239" s="15"/>
      <c r="AB239" s="13"/>
      <c r="AC239" s="15"/>
      <c r="AD239" s="13"/>
      <c r="AE239" s="15"/>
      <c r="AF239" s="13"/>
      <c r="AG239" s="15"/>
      <c r="AH239" s="13"/>
      <c r="AI239" s="15"/>
      <c r="AJ239" s="13"/>
      <c r="AK239" s="15"/>
      <c r="AL239" s="13"/>
      <c r="AM239" s="15"/>
    </row>
    <row r="240" spans="1:39" ht="120" x14ac:dyDescent="0.25">
      <c r="A240" s="13" t="s">
        <v>202</v>
      </c>
      <c r="B240" s="13" t="s">
        <v>153</v>
      </c>
      <c r="C240" s="14">
        <v>43152.5</v>
      </c>
      <c r="D240" s="13" t="s">
        <v>88</v>
      </c>
      <c r="E240" s="15" t="s">
        <v>89</v>
      </c>
      <c r="F240" s="13" t="s">
        <v>90</v>
      </c>
      <c r="G240" s="15" t="s">
        <v>91</v>
      </c>
      <c r="H240" s="13" t="s">
        <v>412</v>
      </c>
      <c r="I240" s="15" t="s">
        <v>413</v>
      </c>
      <c r="J240" s="15" t="s">
        <v>414</v>
      </c>
      <c r="K240" s="15" t="s">
        <v>415</v>
      </c>
      <c r="L240" s="13" t="s">
        <v>420</v>
      </c>
      <c r="M240" s="15" t="s">
        <v>421</v>
      </c>
      <c r="N240" s="13" t="s">
        <v>188</v>
      </c>
      <c r="O240" s="15" t="s">
        <v>189</v>
      </c>
      <c r="P240" s="15" t="s">
        <v>190</v>
      </c>
      <c r="Q240" s="15" t="s">
        <v>101</v>
      </c>
      <c r="R240" s="13" t="s">
        <v>102</v>
      </c>
      <c r="S240" s="13" t="s">
        <v>103</v>
      </c>
      <c r="T240" s="13" t="s">
        <v>205</v>
      </c>
      <c r="U240" s="14">
        <v>40725</v>
      </c>
      <c r="V240" s="14"/>
      <c r="W240" s="15"/>
      <c r="X240" s="13"/>
      <c r="Y240" s="15"/>
      <c r="Z240" s="13"/>
      <c r="AA240" s="15"/>
      <c r="AB240" s="13"/>
      <c r="AC240" s="15"/>
      <c r="AD240" s="13"/>
      <c r="AE240" s="15"/>
      <c r="AF240" s="13"/>
      <c r="AG240" s="15"/>
      <c r="AH240" s="13"/>
      <c r="AI240" s="15"/>
      <c r="AJ240" s="13"/>
      <c r="AK240" s="15"/>
      <c r="AL240" s="13"/>
      <c r="AM240" s="15"/>
    </row>
    <row r="241" spans="1:39" ht="120" x14ac:dyDescent="0.25">
      <c r="A241" s="13" t="s">
        <v>202</v>
      </c>
      <c r="B241" s="13" t="s">
        <v>153</v>
      </c>
      <c r="C241" s="14">
        <v>43152.5</v>
      </c>
      <c r="D241" s="13" t="s">
        <v>88</v>
      </c>
      <c r="E241" s="15" t="s">
        <v>89</v>
      </c>
      <c r="F241" s="13" t="s">
        <v>90</v>
      </c>
      <c r="G241" s="15" t="s">
        <v>91</v>
      </c>
      <c r="H241" s="13" t="s">
        <v>412</v>
      </c>
      <c r="I241" s="15" t="s">
        <v>413</v>
      </c>
      <c r="J241" s="15" t="s">
        <v>414</v>
      </c>
      <c r="K241" s="15" t="s">
        <v>415</v>
      </c>
      <c r="L241" s="13" t="s">
        <v>416</v>
      </c>
      <c r="M241" s="15" t="s">
        <v>417</v>
      </c>
      <c r="N241" s="13" t="s">
        <v>98</v>
      </c>
      <c r="O241" s="15" t="s">
        <v>99</v>
      </c>
      <c r="P241" s="15" t="s">
        <v>100</v>
      </c>
      <c r="Q241" s="15" t="s">
        <v>203</v>
      </c>
      <c r="R241" s="13" t="s">
        <v>204</v>
      </c>
      <c r="S241" s="13" t="s">
        <v>103</v>
      </c>
      <c r="T241" s="13" t="s">
        <v>205</v>
      </c>
      <c r="U241" s="14">
        <v>40725</v>
      </c>
      <c r="V241" s="14"/>
      <c r="W241" s="15"/>
      <c r="X241" s="13"/>
      <c r="Y241" s="15"/>
      <c r="Z241" s="13"/>
      <c r="AA241" s="15"/>
      <c r="AB241" s="13"/>
      <c r="AC241" s="15"/>
      <c r="AD241" s="13"/>
      <c r="AE241" s="15"/>
      <c r="AF241" s="13"/>
      <c r="AG241" s="15"/>
      <c r="AH241" s="13"/>
      <c r="AI241" s="15"/>
      <c r="AJ241" s="13"/>
      <c r="AK241" s="15"/>
      <c r="AL241" s="13"/>
      <c r="AM241" s="15"/>
    </row>
    <row r="242" spans="1:39" ht="120" x14ac:dyDescent="0.25">
      <c r="A242" s="13" t="s">
        <v>202</v>
      </c>
      <c r="B242" s="13" t="s">
        <v>153</v>
      </c>
      <c r="C242" s="14">
        <v>43152.5</v>
      </c>
      <c r="D242" s="13" t="s">
        <v>88</v>
      </c>
      <c r="E242" s="15" t="s">
        <v>89</v>
      </c>
      <c r="F242" s="13" t="s">
        <v>90</v>
      </c>
      <c r="G242" s="15" t="s">
        <v>91</v>
      </c>
      <c r="H242" s="13" t="s">
        <v>412</v>
      </c>
      <c r="I242" s="15" t="s">
        <v>413</v>
      </c>
      <c r="J242" s="15" t="s">
        <v>414</v>
      </c>
      <c r="K242" s="15" t="s">
        <v>415</v>
      </c>
      <c r="L242" s="13" t="s">
        <v>418</v>
      </c>
      <c r="M242" s="15" t="s">
        <v>419</v>
      </c>
      <c r="N242" s="13" t="s">
        <v>98</v>
      </c>
      <c r="O242" s="15" t="s">
        <v>170</v>
      </c>
      <c r="P242" s="15" t="s">
        <v>171</v>
      </c>
      <c r="Q242" s="15" t="s">
        <v>203</v>
      </c>
      <c r="R242" s="13" t="s">
        <v>204</v>
      </c>
      <c r="S242" s="13" t="s">
        <v>103</v>
      </c>
      <c r="T242" s="13" t="s">
        <v>205</v>
      </c>
      <c r="U242" s="14">
        <v>40725</v>
      </c>
      <c r="V242" s="14"/>
      <c r="W242" s="15"/>
      <c r="X242" s="13"/>
      <c r="Y242" s="15"/>
      <c r="Z242" s="13"/>
      <c r="AA242" s="15"/>
      <c r="AB242" s="13"/>
      <c r="AC242" s="15"/>
      <c r="AD242" s="13"/>
      <c r="AE242" s="15"/>
      <c r="AF242" s="13"/>
      <c r="AG242" s="15"/>
      <c r="AH242" s="13"/>
      <c r="AI242" s="15"/>
      <c r="AJ242" s="13"/>
      <c r="AK242" s="15"/>
      <c r="AL242" s="13"/>
      <c r="AM242" s="15"/>
    </row>
    <row r="243" spans="1:39" ht="120" x14ac:dyDescent="0.25">
      <c r="A243" s="13" t="s">
        <v>202</v>
      </c>
      <c r="B243" s="13" t="s">
        <v>153</v>
      </c>
      <c r="C243" s="14">
        <v>43152.5</v>
      </c>
      <c r="D243" s="13" t="s">
        <v>88</v>
      </c>
      <c r="E243" s="15" t="s">
        <v>89</v>
      </c>
      <c r="F243" s="13" t="s">
        <v>90</v>
      </c>
      <c r="G243" s="15" t="s">
        <v>91</v>
      </c>
      <c r="H243" s="13" t="s">
        <v>412</v>
      </c>
      <c r="I243" s="15" t="s">
        <v>413</v>
      </c>
      <c r="J243" s="15" t="s">
        <v>414</v>
      </c>
      <c r="K243" s="15" t="s">
        <v>415</v>
      </c>
      <c r="L243" s="13" t="s">
        <v>420</v>
      </c>
      <c r="M243" s="15" t="s">
        <v>421</v>
      </c>
      <c r="N243" s="13" t="s">
        <v>188</v>
      </c>
      <c r="O243" s="15" t="s">
        <v>189</v>
      </c>
      <c r="P243" s="15" t="s">
        <v>190</v>
      </c>
      <c r="Q243" s="15" t="s">
        <v>203</v>
      </c>
      <c r="R243" s="13" t="s">
        <v>204</v>
      </c>
      <c r="S243" s="13" t="s">
        <v>103</v>
      </c>
      <c r="T243" s="13" t="s">
        <v>205</v>
      </c>
      <c r="U243" s="14">
        <v>40725</v>
      </c>
      <c r="V243" s="14"/>
      <c r="W243" s="15"/>
      <c r="X243" s="13"/>
      <c r="Y243" s="15"/>
      <c r="Z243" s="13"/>
      <c r="AA243" s="15"/>
      <c r="AB243" s="13"/>
      <c r="AC243" s="15"/>
      <c r="AD243" s="13"/>
      <c r="AE243" s="15"/>
      <c r="AF243" s="13"/>
      <c r="AG243" s="15"/>
      <c r="AH243" s="13"/>
      <c r="AI243" s="15"/>
      <c r="AJ243" s="13"/>
      <c r="AK243" s="15"/>
      <c r="AL243" s="13"/>
      <c r="AM243" s="15"/>
    </row>
    <row r="244" spans="1:39" ht="120" x14ac:dyDescent="0.25">
      <c r="A244" s="13" t="s">
        <v>202</v>
      </c>
      <c r="B244" s="13" t="s">
        <v>153</v>
      </c>
      <c r="C244" s="14">
        <v>43152.5</v>
      </c>
      <c r="D244" s="13" t="s">
        <v>88</v>
      </c>
      <c r="E244" s="15" t="s">
        <v>89</v>
      </c>
      <c r="F244" s="13" t="s">
        <v>90</v>
      </c>
      <c r="G244" s="15" t="s">
        <v>91</v>
      </c>
      <c r="H244" s="13" t="s">
        <v>412</v>
      </c>
      <c r="I244" s="15" t="s">
        <v>413</v>
      </c>
      <c r="J244" s="15" t="s">
        <v>414</v>
      </c>
      <c r="K244" s="15" t="s">
        <v>415</v>
      </c>
      <c r="L244" s="13" t="s">
        <v>416</v>
      </c>
      <c r="M244" s="15" t="s">
        <v>417</v>
      </c>
      <c r="N244" s="13" t="s">
        <v>98</v>
      </c>
      <c r="O244" s="15" t="s">
        <v>99</v>
      </c>
      <c r="P244" s="15" t="s">
        <v>100</v>
      </c>
      <c r="Q244" s="15" t="s">
        <v>206</v>
      </c>
      <c r="R244" s="13" t="s">
        <v>207</v>
      </c>
      <c r="S244" s="13" t="s">
        <v>103</v>
      </c>
      <c r="T244" s="13" t="s">
        <v>205</v>
      </c>
      <c r="U244" s="14">
        <v>40725</v>
      </c>
      <c r="V244" s="14"/>
      <c r="W244" s="15"/>
      <c r="X244" s="13"/>
      <c r="Y244" s="15"/>
      <c r="Z244" s="13"/>
      <c r="AA244" s="15"/>
      <c r="AB244" s="13"/>
      <c r="AC244" s="15"/>
      <c r="AD244" s="13"/>
      <c r="AE244" s="15"/>
      <c r="AF244" s="13"/>
      <c r="AG244" s="15"/>
      <c r="AH244" s="13"/>
      <c r="AI244" s="15"/>
      <c r="AJ244" s="13"/>
      <c r="AK244" s="15"/>
      <c r="AL244" s="13"/>
      <c r="AM244" s="15"/>
    </row>
    <row r="245" spans="1:39" ht="120" x14ac:dyDescent="0.25">
      <c r="A245" s="13" t="s">
        <v>202</v>
      </c>
      <c r="B245" s="13" t="s">
        <v>153</v>
      </c>
      <c r="C245" s="14">
        <v>43152.5</v>
      </c>
      <c r="D245" s="13" t="s">
        <v>88</v>
      </c>
      <c r="E245" s="15" t="s">
        <v>89</v>
      </c>
      <c r="F245" s="13" t="s">
        <v>90</v>
      </c>
      <c r="G245" s="15" t="s">
        <v>91</v>
      </c>
      <c r="H245" s="13" t="s">
        <v>412</v>
      </c>
      <c r="I245" s="15" t="s">
        <v>413</v>
      </c>
      <c r="J245" s="15" t="s">
        <v>414</v>
      </c>
      <c r="K245" s="15" t="s">
        <v>415</v>
      </c>
      <c r="L245" s="13" t="s">
        <v>418</v>
      </c>
      <c r="M245" s="15" t="s">
        <v>419</v>
      </c>
      <c r="N245" s="13" t="s">
        <v>98</v>
      </c>
      <c r="O245" s="15" t="s">
        <v>170</v>
      </c>
      <c r="P245" s="15" t="s">
        <v>171</v>
      </c>
      <c r="Q245" s="15" t="s">
        <v>206</v>
      </c>
      <c r="R245" s="13" t="s">
        <v>207</v>
      </c>
      <c r="S245" s="13" t="s">
        <v>103</v>
      </c>
      <c r="T245" s="13" t="s">
        <v>205</v>
      </c>
      <c r="U245" s="14">
        <v>40725</v>
      </c>
      <c r="V245" s="14"/>
      <c r="W245" s="15"/>
      <c r="X245" s="13"/>
      <c r="Y245" s="15"/>
      <c r="Z245" s="13"/>
      <c r="AA245" s="15"/>
      <c r="AB245" s="13"/>
      <c r="AC245" s="15"/>
      <c r="AD245" s="13"/>
      <c r="AE245" s="15"/>
      <c r="AF245" s="13"/>
      <c r="AG245" s="15"/>
      <c r="AH245" s="13"/>
      <c r="AI245" s="15"/>
      <c r="AJ245" s="13"/>
      <c r="AK245" s="15"/>
      <c r="AL245" s="13"/>
      <c r="AM245" s="15"/>
    </row>
    <row r="246" spans="1:39" ht="120" x14ac:dyDescent="0.25">
      <c r="A246" s="13" t="s">
        <v>202</v>
      </c>
      <c r="B246" s="13" t="s">
        <v>153</v>
      </c>
      <c r="C246" s="14">
        <v>43152.5</v>
      </c>
      <c r="D246" s="13" t="s">
        <v>88</v>
      </c>
      <c r="E246" s="15" t="s">
        <v>89</v>
      </c>
      <c r="F246" s="13" t="s">
        <v>90</v>
      </c>
      <c r="G246" s="15" t="s">
        <v>91</v>
      </c>
      <c r="H246" s="13" t="s">
        <v>412</v>
      </c>
      <c r="I246" s="15" t="s">
        <v>413</v>
      </c>
      <c r="J246" s="15" t="s">
        <v>414</v>
      </c>
      <c r="K246" s="15" t="s">
        <v>415</v>
      </c>
      <c r="L246" s="13" t="s">
        <v>420</v>
      </c>
      <c r="M246" s="15" t="s">
        <v>421</v>
      </c>
      <c r="N246" s="13" t="s">
        <v>188</v>
      </c>
      <c r="O246" s="15" t="s">
        <v>189</v>
      </c>
      <c r="P246" s="15" t="s">
        <v>190</v>
      </c>
      <c r="Q246" s="15" t="s">
        <v>206</v>
      </c>
      <c r="R246" s="13" t="s">
        <v>207</v>
      </c>
      <c r="S246" s="13" t="s">
        <v>103</v>
      </c>
      <c r="T246" s="13" t="s">
        <v>205</v>
      </c>
      <c r="U246" s="14">
        <v>40725</v>
      </c>
      <c r="V246" s="14"/>
      <c r="W246" s="15"/>
      <c r="X246" s="13"/>
      <c r="Y246" s="15"/>
      <c r="Z246" s="13"/>
      <c r="AA246" s="15"/>
      <c r="AB246" s="13"/>
      <c r="AC246" s="15"/>
      <c r="AD246" s="13"/>
      <c r="AE246" s="15"/>
      <c r="AF246" s="13"/>
      <c r="AG246" s="15"/>
      <c r="AH246" s="13"/>
      <c r="AI246" s="15"/>
      <c r="AJ246" s="13"/>
      <c r="AK246" s="15"/>
      <c r="AL246" s="13"/>
      <c r="AM246" s="15"/>
    </row>
    <row r="247" spans="1:39" ht="120" x14ac:dyDescent="0.25">
      <c r="A247" s="13" t="s">
        <v>202</v>
      </c>
      <c r="B247" s="13" t="s">
        <v>153</v>
      </c>
      <c r="C247" s="14">
        <v>43152.5</v>
      </c>
      <c r="D247" s="13" t="s">
        <v>88</v>
      </c>
      <c r="E247" s="15" t="s">
        <v>89</v>
      </c>
      <c r="F247" s="13" t="s">
        <v>90</v>
      </c>
      <c r="G247" s="15" t="s">
        <v>91</v>
      </c>
      <c r="H247" s="13" t="s">
        <v>412</v>
      </c>
      <c r="I247" s="15" t="s">
        <v>413</v>
      </c>
      <c r="J247" s="15" t="s">
        <v>414</v>
      </c>
      <c r="K247" s="15" t="s">
        <v>415</v>
      </c>
      <c r="L247" s="13" t="s">
        <v>416</v>
      </c>
      <c r="M247" s="15" t="s">
        <v>417</v>
      </c>
      <c r="N247" s="13" t="s">
        <v>98</v>
      </c>
      <c r="O247" s="15" t="s">
        <v>99</v>
      </c>
      <c r="P247" s="15" t="s">
        <v>100</v>
      </c>
      <c r="Q247" s="15" t="s">
        <v>208</v>
      </c>
      <c r="R247" s="13" t="s">
        <v>209</v>
      </c>
      <c r="S247" s="13" t="s">
        <v>103</v>
      </c>
      <c r="T247" s="13" t="s">
        <v>205</v>
      </c>
      <c r="U247" s="14">
        <v>40725</v>
      </c>
      <c r="V247" s="14"/>
      <c r="W247" s="15"/>
      <c r="X247" s="13"/>
      <c r="Y247" s="15"/>
      <c r="Z247" s="13"/>
      <c r="AA247" s="15"/>
      <c r="AB247" s="13"/>
      <c r="AC247" s="15"/>
      <c r="AD247" s="13"/>
      <c r="AE247" s="15"/>
      <c r="AF247" s="13"/>
      <c r="AG247" s="15"/>
      <c r="AH247" s="13"/>
      <c r="AI247" s="15"/>
      <c r="AJ247" s="13"/>
      <c r="AK247" s="15"/>
      <c r="AL247" s="13"/>
      <c r="AM247" s="15"/>
    </row>
    <row r="248" spans="1:39" ht="120" x14ac:dyDescent="0.25">
      <c r="A248" s="13" t="s">
        <v>202</v>
      </c>
      <c r="B248" s="13" t="s">
        <v>153</v>
      </c>
      <c r="C248" s="14">
        <v>43152.5</v>
      </c>
      <c r="D248" s="13" t="s">
        <v>88</v>
      </c>
      <c r="E248" s="15" t="s">
        <v>89</v>
      </c>
      <c r="F248" s="13" t="s">
        <v>90</v>
      </c>
      <c r="G248" s="15" t="s">
        <v>91</v>
      </c>
      <c r="H248" s="13" t="s">
        <v>412</v>
      </c>
      <c r="I248" s="15" t="s">
        <v>413</v>
      </c>
      <c r="J248" s="15" t="s">
        <v>414</v>
      </c>
      <c r="K248" s="15" t="s">
        <v>415</v>
      </c>
      <c r="L248" s="13" t="s">
        <v>418</v>
      </c>
      <c r="M248" s="15" t="s">
        <v>419</v>
      </c>
      <c r="N248" s="13" t="s">
        <v>98</v>
      </c>
      <c r="O248" s="15" t="s">
        <v>170</v>
      </c>
      <c r="P248" s="15" t="s">
        <v>171</v>
      </c>
      <c r="Q248" s="15" t="s">
        <v>208</v>
      </c>
      <c r="R248" s="13" t="s">
        <v>209</v>
      </c>
      <c r="S248" s="13" t="s">
        <v>103</v>
      </c>
      <c r="T248" s="13" t="s">
        <v>205</v>
      </c>
      <c r="U248" s="14">
        <v>40725</v>
      </c>
      <c r="V248" s="14"/>
      <c r="W248" s="15"/>
      <c r="X248" s="13"/>
      <c r="Y248" s="15"/>
      <c r="Z248" s="13"/>
      <c r="AA248" s="15"/>
      <c r="AB248" s="13"/>
      <c r="AC248" s="15"/>
      <c r="AD248" s="13"/>
      <c r="AE248" s="15"/>
      <c r="AF248" s="13"/>
      <c r="AG248" s="15"/>
      <c r="AH248" s="13"/>
      <c r="AI248" s="15"/>
      <c r="AJ248" s="13"/>
      <c r="AK248" s="15"/>
      <c r="AL248" s="13"/>
      <c r="AM248" s="15"/>
    </row>
    <row r="249" spans="1:39" ht="120" x14ac:dyDescent="0.25">
      <c r="A249" s="13" t="s">
        <v>202</v>
      </c>
      <c r="B249" s="13" t="s">
        <v>153</v>
      </c>
      <c r="C249" s="14">
        <v>43152.5</v>
      </c>
      <c r="D249" s="13" t="s">
        <v>88</v>
      </c>
      <c r="E249" s="15" t="s">
        <v>89</v>
      </c>
      <c r="F249" s="13" t="s">
        <v>90</v>
      </c>
      <c r="G249" s="15" t="s">
        <v>91</v>
      </c>
      <c r="H249" s="13" t="s">
        <v>412</v>
      </c>
      <c r="I249" s="15" t="s">
        <v>413</v>
      </c>
      <c r="J249" s="15" t="s">
        <v>414</v>
      </c>
      <c r="K249" s="15" t="s">
        <v>415</v>
      </c>
      <c r="L249" s="13" t="s">
        <v>420</v>
      </c>
      <c r="M249" s="15" t="s">
        <v>421</v>
      </c>
      <c r="N249" s="13" t="s">
        <v>188</v>
      </c>
      <c r="O249" s="15" t="s">
        <v>189</v>
      </c>
      <c r="P249" s="15" t="s">
        <v>190</v>
      </c>
      <c r="Q249" s="15" t="s">
        <v>208</v>
      </c>
      <c r="R249" s="13" t="s">
        <v>209</v>
      </c>
      <c r="S249" s="13" t="s">
        <v>103</v>
      </c>
      <c r="T249" s="13" t="s">
        <v>205</v>
      </c>
      <c r="U249" s="14">
        <v>40725</v>
      </c>
      <c r="V249" s="14"/>
      <c r="W249" s="15"/>
      <c r="X249" s="13"/>
      <c r="Y249" s="15"/>
      <c r="Z249" s="13"/>
      <c r="AA249" s="15"/>
      <c r="AB249" s="13"/>
      <c r="AC249" s="15"/>
      <c r="AD249" s="13"/>
      <c r="AE249" s="15"/>
      <c r="AF249" s="13"/>
      <c r="AG249" s="15"/>
      <c r="AH249" s="13"/>
      <c r="AI249" s="15"/>
      <c r="AJ249" s="13"/>
      <c r="AK249" s="15"/>
      <c r="AL249" s="13"/>
      <c r="AM249" s="15"/>
    </row>
    <row r="250" spans="1:39" ht="120" x14ac:dyDescent="0.25">
      <c r="A250" s="13" t="s">
        <v>86</v>
      </c>
      <c r="B250" s="13" t="s">
        <v>87</v>
      </c>
      <c r="C250" s="14">
        <v>43850.552083333336</v>
      </c>
      <c r="D250" s="13" t="s">
        <v>88</v>
      </c>
      <c r="E250" s="15" t="s">
        <v>89</v>
      </c>
      <c r="F250" s="13" t="s">
        <v>90</v>
      </c>
      <c r="G250" s="15" t="s">
        <v>91</v>
      </c>
      <c r="H250" s="13" t="s">
        <v>412</v>
      </c>
      <c r="I250" s="15" t="s">
        <v>413</v>
      </c>
      <c r="J250" s="15" t="s">
        <v>414</v>
      </c>
      <c r="K250" s="15" t="s">
        <v>415</v>
      </c>
      <c r="L250" s="13" t="s">
        <v>416</v>
      </c>
      <c r="M250" s="15" t="s">
        <v>417</v>
      </c>
      <c r="N250" s="13" t="s">
        <v>98</v>
      </c>
      <c r="O250" s="15" t="s">
        <v>99</v>
      </c>
      <c r="P250" s="15" t="s">
        <v>100</v>
      </c>
      <c r="Q250" s="15" t="s">
        <v>259</v>
      </c>
      <c r="R250" s="13" t="s">
        <v>260</v>
      </c>
      <c r="S250" s="13" t="s">
        <v>212</v>
      </c>
      <c r="T250" s="13" t="s">
        <v>104</v>
      </c>
      <c r="U250" s="14">
        <v>40725</v>
      </c>
      <c r="V250" s="14">
        <v>43830</v>
      </c>
      <c r="W250" s="15"/>
      <c r="X250" s="13"/>
      <c r="Y250" s="15"/>
      <c r="Z250" s="13"/>
      <c r="AA250" s="15"/>
      <c r="AB250" s="13"/>
      <c r="AC250" s="15"/>
      <c r="AD250" s="13"/>
      <c r="AE250" s="15"/>
      <c r="AF250" s="13"/>
      <c r="AG250" s="15"/>
      <c r="AH250" s="13"/>
      <c r="AI250" s="15"/>
      <c r="AJ250" s="13"/>
      <c r="AK250" s="15"/>
      <c r="AL250" s="13"/>
      <c r="AM250" s="15"/>
    </row>
    <row r="251" spans="1:39" ht="120" x14ac:dyDescent="0.25">
      <c r="A251" s="13" t="s">
        <v>86</v>
      </c>
      <c r="B251" s="13" t="s">
        <v>153</v>
      </c>
      <c r="C251" s="14">
        <v>44012.461805555555</v>
      </c>
      <c r="D251" s="13" t="s">
        <v>88</v>
      </c>
      <c r="E251" s="15" t="s">
        <v>89</v>
      </c>
      <c r="F251" s="13" t="s">
        <v>90</v>
      </c>
      <c r="G251" s="15" t="s">
        <v>91</v>
      </c>
      <c r="H251" s="13" t="s">
        <v>412</v>
      </c>
      <c r="I251" s="15" t="s">
        <v>413</v>
      </c>
      <c r="J251" s="15" t="s">
        <v>414</v>
      </c>
      <c r="K251" s="15" t="s">
        <v>415</v>
      </c>
      <c r="L251" s="13" t="s">
        <v>416</v>
      </c>
      <c r="M251" s="15" t="s">
        <v>417</v>
      </c>
      <c r="N251" s="13" t="s">
        <v>98</v>
      </c>
      <c r="O251" s="15" t="s">
        <v>99</v>
      </c>
      <c r="P251" s="15" t="s">
        <v>100</v>
      </c>
      <c r="Q251" s="15" t="s">
        <v>259</v>
      </c>
      <c r="R251" s="13" t="s">
        <v>260</v>
      </c>
      <c r="S251" s="13" t="s">
        <v>212</v>
      </c>
      <c r="T251" s="13" t="s">
        <v>104</v>
      </c>
      <c r="U251" s="14">
        <v>43831</v>
      </c>
      <c r="V251" s="14"/>
      <c r="W251" s="15"/>
      <c r="X251" s="13"/>
      <c r="Y251" s="15"/>
      <c r="Z251" s="13"/>
      <c r="AA251" s="15"/>
      <c r="AB251" s="13"/>
      <c r="AC251" s="15"/>
      <c r="AD251" s="13"/>
      <c r="AE251" s="15"/>
      <c r="AF251" s="13"/>
      <c r="AG251" s="15"/>
      <c r="AH251" s="13"/>
      <c r="AI251" s="15"/>
      <c r="AJ251" s="13"/>
      <c r="AK251" s="15"/>
      <c r="AL251" s="13"/>
      <c r="AM251" s="15"/>
    </row>
    <row r="252" spans="1:39" ht="120" x14ac:dyDescent="0.25">
      <c r="A252" s="13" t="s">
        <v>86</v>
      </c>
      <c r="B252" s="13" t="s">
        <v>87</v>
      </c>
      <c r="C252" s="14">
        <v>43850.552083333336</v>
      </c>
      <c r="D252" s="13" t="s">
        <v>88</v>
      </c>
      <c r="E252" s="15" t="s">
        <v>89</v>
      </c>
      <c r="F252" s="13" t="s">
        <v>90</v>
      </c>
      <c r="G252" s="15" t="s">
        <v>91</v>
      </c>
      <c r="H252" s="13" t="s">
        <v>412</v>
      </c>
      <c r="I252" s="15" t="s">
        <v>413</v>
      </c>
      <c r="J252" s="15" t="s">
        <v>414</v>
      </c>
      <c r="K252" s="15" t="s">
        <v>415</v>
      </c>
      <c r="L252" s="13" t="s">
        <v>418</v>
      </c>
      <c r="M252" s="15" t="s">
        <v>419</v>
      </c>
      <c r="N252" s="13" t="s">
        <v>98</v>
      </c>
      <c r="O252" s="15" t="s">
        <v>170</v>
      </c>
      <c r="P252" s="15" t="s">
        <v>171</v>
      </c>
      <c r="Q252" s="15" t="s">
        <v>259</v>
      </c>
      <c r="R252" s="13" t="s">
        <v>260</v>
      </c>
      <c r="S252" s="13" t="s">
        <v>212</v>
      </c>
      <c r="T252" s="13" t="s">
        <v>104</v>
      </c>
      <c r="U252" s="14">
        <v>40725</v>
      </c>
      <c r="V252" s="14"/>
      <c r="W252" s="15"/>
      <c r="X252" s="13"/>
      <c r="Y252" s="15"/>
      <c r="Z252" s="13"/>
      <c r="AA252" s="15"/>
      <c r="AB252" s="13"/>
      <c r="AC252" s="15"/>
      <c r="AD252" s="13"/>
      <c r="AE252" s="15"/>
      <c r="AF252" s="13"/>
      <c r="AG252" s="15"/>
      <c r="AH252" s="13"/>
      <c r="AI252" s="15"/>
      <c r="AJ252" s="13"/>
      <c r="AK252" s="15"/>
      <c r="AL252" s="13"/>
      <c r="AM252" s="15"/>
    </row>
    <row r="253" spans="1:39" ht="120" x14ac:dyDescent="0.25">
      <c r="A253" s="13" t="s">
        <v>86</v>
      </c>
      <c r="B253" s="13" t="s">
        <v>87</v>
      </c>
      <c r="C253" s="14">
        <v>43850.552083333336</v>
      </c>
      <c r="D253" s="13" t="s">
        <v>88</v>
      </c>
      <c r="E253" s="15" t="s">
        <v>89</v>
      </c>
      <c r="F253" s="13" t="s">
        <v>90</v>
      </c>
      <c r="G253" s="15" t="s">
        <v>91</v>
      </c>
      <c r="H253" s="13" t="s">
        <v>412</v>
      </c>
      <c r="I253" s="15" t="s">
        <v>413</v>
      </c>
      <c r="J253" s="15" t="s">
        <v>414</v>
      </c>
      <c r="K253" s="15" t="s">
        <v>415</v>
      </c>
      <c r="L253" s="13" t="s">
        <v>420</v>
      </c>
      <c r="M253" s="15" t="s">
        <v>421</v>
      </c>
      <c r="N253" s="13" t="s">
        <v>188</v>
      </c>
      <c r="O253" s="15" t="s">
        <v>189</v>
      </c>
      <c r="P253" s="15" t="s">
        <v>190</v>
      </c>
      <c r="Q253" s="15" t="s">
        <v>259</v>
      </c>
      <c r="R253" s="13" t="s">
        <v>260</v>
      </c>
      <c r="S253" s="13" t="s">
        <v>212</v>
      </c>
      <c r="T253" s="13" t="s">
        <v>104</v>
      </c>
      <c r="U253" s="14">
        <v>40725</v>
      </c>
      <c r="V253" s="14"/>
      <c r="W253" s="15"/>
      <c r="X253" s="13"/>
      <c r="Y253" s="15"/>
      <c r="Z253" s="13"/>
      <c r="AA253" s="15"/>
      <c r="AB253" s="13"/>
      <c r="AC253" s="15"/>
      <c r="AD253" s="13"/>
      <c r="AE253" s="15"/>
      <c r="AF253" s="13"/>
      <c r="AG253" s="15"/>
      <c r="AH253" s="13"/>
      <c r="AI253" s="15"/>
      <c r="AJ253" s="13"/>
      <c r="AK253" s="15"/>
      <c r="AL253" s="13"/>
      <c r="AM253" s="15"/>
    </row>
    <row r="254" spans="1:39" ht="165" x14ac:dyDescent="0.25">
      <c r="A254" s="13" t="s">
        <v>86</v>
      </c>
      <c r="B254" s="13" t="s">
        <v>87</v>
      </c>
      <c r="C254" s="14">
        <v>44007.711805555555</v>
      </c>
      <c r="D254" s="13" t="s">
        <v>88</v>
      </c>
      <c r="E254" s="15" t="s">
        <v>89</v>
      </c>
      <c r="F254" s="13" t="s">
        <v>90</v>
      </c>
      <c r="G254" s="15" t="s">
        <v>91</v>
      </c>
      <c r="H254" s="13" t="s">
        <v>422</v>
      </c>
      <c r="I254" s="15" t="s">
        <v>423</v>
      </c>
      <c r="J254" s="15" t="s">
        <v>424</v>
      </c>
      <c r="K254" s="15" t="s">
        <v>425</v>
      </c>
      <c r="L254" s="13" t="s">
        <v>426</v>
      </c>
      <c r="M254" s="15" t="s">
        <v>427</v>
      </c>
      <c r="N254" s="13" t="s">
        <v>98</v>
      </c>
      <c r="O254" s="15" t="s">
        <v>428</v>
      </c>
      <c r="P254" s="15" t="s">
        <v>429</v>
      </c>
      <c r="Q254" s="15" t="s">
        <v>101</v>
      </c>
      <c r="R254" s="13" t="s">
        <v>102</v>
      </c>
      <c r="S254" s="13" t="s">
        <v>103</v>
      </c>
      <c r="T254" s="13" t="s">
        <v>104</v>
      </c>
      <c r="U254" s="14">
        <v>40725</v>
      </c>
      <c r="V254" s="14">
        <v>43830</v>
      </c>
      <c r="W254" s="15" t="s">
        <v>727</v>
      </c>
      <c r="X254" s="13" t="s">
        <v>728</v>
      </c>
      <c r="Y254" s="15" t="str">
        <f>VLOOKUP(X254,'Axe 2 Règles de gestion'!$D$2:$F$121,3, FALSE)</f>
        <v>Rémunération : L'agent perçoit la rémunération et bénéficie du régime indemnitaire de son emploi d'accueil. Cependant si sa rémunération d'origine est plus élevée, il la conserve.</v>
      </c>
      <c r="Z254" s="13" t="s">
        <v>703</v>
      </c>
      <c r="AA254" s="15" t="str">
        <f>VLOOKUP(Z254,'Axe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54" s="13" t="s">
        <v>705</v>
      </c>
      <c r="AC254" s="15" t="str">
        <f>VLOOKUP(AB254,'Axe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54" s="13" t="s">
        <v>707</v>
      </c>
      <c r="AE254" s="15" t="str">
        <f>VLOOKUP(AD254,'Axe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54" s="13" t="s">
        <v>709</v>
      </c>
      <c r="AG254" s="15" t="str">
        <f>VLOOKUP(AF254,'Axe 2 Règles de gestion'!$D$2:$F$121,3, FALSE)</f>
        <v>Congés annuels : L'agent cumule des droits à congé.</v>
      </c>
      <c r="AH254" s="13" t="s">
        <v>711</v>
      </c>
      <c r="AI254" s="15" t="str">
        <f>VLOOKUP(AH254,'Axe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54" s="13" t="s">
        <v>713</v>
      </c>
      <c r="AK254" s="15" t="str">
        <f>VLOOKUP(AJ254,'Axe 2 Règles de gestion'!$D$2:$F$121,3, FALSE)</f>
        <v>Acte : Un acte administratif doit être produit.</v>
      </c>
      <c r="AL254" s="13"/>
      <c r="AM254" s="15"/>
    </row>
    <row r="255" spans="1:39" ht="165" x14ac:dyDescent="0.25">
      <c r="A255" s="13" t="s">
        <v>86</v>
      </c>
      <c r="B255" s="13" t="s">
        <v>153</v>
      </c>
      <c r="C255" s="14">
        <v>44007.713888888888</v>
      </c>
      <c r="D255" s="13" t="s">
        <v>88</v>
      </c>
      <c r="E255" s="15" t="s">
        <v>89</v>
      </c>
      <c r="F255" s="13" t="s">
        <v>90</v>
      </c>
      <c r="G255" s="15" t="s">
        <v>91</v>
      </c>
      <c r="H255" s="13" t="s">
        <v>422</v>
      </c>
      <c r="I255" s="15" t="s">
        <v>423</v>
      </c>
      <c r="J255" s="15" t="s">
        <v>424</v>
      </c>
      <c r="K255" s="15" t="s">
        <v>425</v>
      </c>
      <c r="L255" s="13" t="s">
        <v>426</v>
      </c>
      <c r="M255" s="15" t="s">
        <v>427</v>
      </c>
      <c r="N255" s="13" t="s">
        <v>98</v>
      </c>
      <c r="O255" s="15" t="s">
        <v>428</v>
      </c>
      <c r="P255" s="15" t="s">
        <v>429</v>
      </c>
      <c r="Q255" s="15" t="s">
        <v>101</v>
      </c>
      <c r="R255" s="13" t="s">
        <v>102</v>
      </c>
      <c r="S255" s="13" t="s">
        <v>103</v>
      </c>
      <c r="T255" s="13" t="s">
        <v>104</v>
      </c>
      <c r="U255" s="14">
        <v>43831</v>
      </c>
      <c r="V255" s="14"/>
      <c r="W255" s="15" t="s">
        <v>727</v>
      </c>
      <c r="X255" s="13" t="s">
        <v>728</v>
      </c>
      <c r="Y255" s="15" t="str">
        <f>VLOOKUP(X255,'Axe 2 Règles de gestion'!$D$2:$F$121,3, FALSE)</f>
        <v>Rémunération : L'agent perçoit la rémunération et bénéficie du régime indemnitaire de son emploi d'accueil. Cependant si sa rémunération d'origine est plus élevée, il la conserve.</v>
      </c>
      <c r="Z255" s="13" t="s">
        <v>703</v>
      </c>
      <c r="AA255" s="15" t="str">
        <f>VLOOKUP(Z255,'Axe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55" s="13" t="s">
        <v>705</v>
      </c>
      <c r="AC255" s="15" t="str">
        <f>VLOOKUP(AB255,'Axe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55" s="13" t="s">
        <v>707</v>
      </c>
      <c r="AE255" s="15" t="str">
        <f>VLOOKUP(AD255,'Axe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55" s="13" t="s">
        <v>709</v>
      </c>
      <c r="AG255" s="15" t="str">
        <f>VLOOKUP(AF255,'Axe 2 Règles de gestion'!$D$2:$F$121,3, FALSE)</f>
        <v>Congés annuels : L'agent cumule des droits à congé.</v>
      </c>
      <c r="AH255" s="13" t="s">
        <v>711</v>
      </c>
      <c r="AI255" s="15" t="str">
        <f>VLOOKUP(AH255,'Axe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55" s="13" t="s">
        <v>713</v>
      </c>
      <c r="AK255" s="15" t="str">
        <f>VLOOKUP(AJ255,'Axe 2 Règles de gestion'!$D$2:$F$121,3, FALSE)</f>
        <v>Acte : Un acte administratif doit être produit.</v>
      </c>
      <c r="AL255" s="13"/>
      <c r="AM255" s="15"/>
    </row>
    <row r="256" spans="1:39" ht="120" x14ac:dyDescent="0.25">
      <c r="A256" s="13" t="s">
        <v>86</v>
      </c>
      <c r="B256" s="13" t="s">
        <v>87</v>
      </c>
      <c r="C256" s="14">
        <v>43850.552083333336</v>
      </c>
      <c r="D256" s="13" t="s">
        <v>88</v>
      </c>
      <c r="E256" s="15" t="s">
        <v>89</v>
      </c>
      <c r="F256" s="13" t="s">
        <v>90</v>
      </c>
      <c r="G256" s="15" t="s">
        <v>91</v>
      </c>
      <c r="H256" s="13" t="s">
        <v>422</v>
      </c>
      <c r="I256" s="15" t="s">
        <v>423</v>
      </c>
      <c r="J256" s="15" t="s">
        <v>424</v>
      </c>
      <c r="K256" s="15" t="s">
        <v>425</v>
      </c>
      <c r="L256" s="13" t="s">
        <v>434</v>
      </c>
      <c r="M256" s="15" t="s">
        <v>435</v>
      </c>
      <c r="N256" s="13" t="s">
        <v>188</v>
      </c>
      <c r="O256" s="15" t="s">
        <v>436</v>
      </c>
      <c r="P256" s="15" t="s">
        <v>437</v>
      </c>
      <c r="Q256" s="15" t="s">
        <v>101</v>
      </c>
      <c r="R256" s="13" t="s">
        <v>102</v>
      </c>
      <c r="S256" s="13" t="s">
        <v>103</v>
      </c>
      <c r="T256" s="13" t="s">
        <v>104</v>
      </c>
      <c r="U256" s="14">
        <v>40725</v>
      </c>
      <c r="V256" s="14"/>
      <c r="W256" s="15"/>
      <c r="X256" s="13"/>
      <c r="Y256" s="15"/>
      <c r="Z256" s="13"/>
      <c r="AA256" s="15"/>
      <c r="AB256" s="13"/>
      <c r="AC256" s="15"/>
      <c r="AD256" s="13"/>
      <c r="AE256" s="15"/>
      <c r="AF256" s="13"/>
      <c r="AG256" s="15"/>
      <c r="AH256" s="13"/>
      <c r="AI256" s="15"/>
      <c r="AJ256" s="13"/>
      <c r="AK256" s="15"/>
      <c r="AL256" s="13"/>
      <c r="AM256" s="15"/>
    </row>
    <row r="257" spans="1:39" ht="120" x14ac:dyDescent="0.25">
      <c r="A257" s="13" t="s">
        <v>202</v>
      </c>
      <c r="B257" s="13" t="s">
        <v>153</v>
      </c>
      <c r="C257" s="14">
        <v>43152.5</v>
      </c>
      <c r="D257" s="13" t="s">
        <v>88</v>
      </c>
      <c r="E257" s="15" t="s">
        <v>89</v>
      </c>
      <c r="F257" s="13" t="s">
        <v>90</v>
      </c>
      <c r="G257" s="15" t="s">
        <v>91</v>
      </c>
      <c r="H257" s="13" t="s">
        <v>422</v>
      </c>
      <c r="I257" s="15" t="s">
        <v>423</v>
      </c>
      <c r="J257" s="15" t="s">
        <v>424</v>
      </c>
      <c r="K257" s="15" t="s">
        <v>425</v>
      </c>
      <c r="L257" s="13" t="s">
        <v>426</v>
      </c>
      <c r="M257" s="15" t="s">
        <v>427</v>
      </c>
      <c r="N257" s="13" t="s">
        <v>98</v>
      </c>
      <c r="O257" s="15" t="s">
        <v>428</v>
      </c>
      <c r="P257" s="15" t="s">
        <v>429</v>
      </c>
      <c r="Q257" s="15" t="s">
        <v>203</v>
      </c>
      <c r="R257" s="13" t="s">
        <v>204</v>
      </c>
      <c r="S257" s="13" t="s">
        <v>103</v>
      </c>
      <c r="T257" s="13" t="s">
        <v>205</v>
      </c>
      <c r="U257" s="14">
        <v>40725</v>
      </c>
      <c r="V257" s="14"/>
      <c r="W257" s="15"/>
      <c r="X257" s="13"/>
      <c r="Y257" s="15"/>
      <c r="Z257" s="13"/>
      <c r="AA257" s="15"/>
      <c r="AB257" s="13"/>
      <c r="AC257" s="15"/>
      <c r="AD257" s="13"/>
      <c r="AE257" s="15"/>
      <c r="AF257" s="13"/>
      <c r="AG257" s="15"/>
      <c r="AH257" s="13"/>
      <c r="AI257" s="15"/>
      <c r="AJ257" s="13"/>
      <c r="AK257" s="15"/>
      <c r="AL257" s="13"/>
      <c r="AM257" s="15"/>
    </row>
    <row r="258" spans="1:39" ht="120" x14ac:dyDescent="0.25">
      <c r="A258" s="13" t="s">
        <v>202</v>
      </c>
      <c r="B258" s="13" t="s">
        <v>153</v>
      </c>
      <c r="C258" s="14">
        <v>43152.5</v>
      </c>
      <c r="D258" s="13" t="s">
        <v>88</v>
      </c>
      <c r="E258" s="15" t="s">
        <v>89</v>
      </c>
      <c r="F258" s="13" t="s">
        <v>90</v>
      </c>
      <c r="G258" s="15" t="s">
        <v>91</v>
      </c>
      <c r="H258" s="13" t="s">
        <v>422</v>
      </c>
      <c r="I258" s="15" t="s">
        <v>423</v>
      </c>
      <c r="J258" s="15" t="s">
        <v>424</v>
      </c>
      <c r="K258" s="15" t="s">
        <v>425</v>
      </c>
      <c r="L258" s="13" t="s">
        <v>434</v>
      </c>
      <c r="M258" s="15" t="s">
        <v>435</v>
      </c>
      <c r="N258" s="13" t="s">
        <v>188</v>
      </c>
      <c r="O258" s="15" t="s">
        <v>436</v>
      </c>
      <c r="P258" s="15" t="s">
        <v>437</v>
      </c>
      <c r="Q258" s="15" t="s">
        <v>203</v>
      </c>
      <c r="R258" s="13" t="s">
        <v>204</v>
      </c>
      <c r="S258" s="13" t="s">
        <v>103</v>
      </c>
      <c r="T258" s="13" t="s">
        <v>205</v>
      </c>
      <c r="U258" s="14">
        <v>40725</v>
      </c>
      <c r="V258" s="14"/>
      <c r="W258" s="15"/>
      <c r="X258" s="13"/>
      <c r="Y258" s="15"/>
      <c r="Z258" s="13"/>
      <c r="AA258" s="15"/>
      <c r="AB258" s="13"/>
      <c r="AC258" s="15"/>
      <c r="AD258" s="13"/>
      <c r="AE258" s="15"/>
      <c r="AF258" s="13"/>
      <c r="AG258" s="15"/>
      <c r="AH258" s="13"/>
      <c r="AI258" s="15"/>
      <c r="AJ258" s="13"/>
      <c r="AK258" s="15"/>
      <c r="AL258" s="13"/>
      <c r="AM258" s="15"/>
    </row>
    <row r="259" spans="1:39" ht="165" x14ac:dyDescent="0.25">
      <c r="A259" s="13" t="s">
        <v>438</v>
      </c>
      <c r="B259" s="13" t="s">
        <v>87</v>
      </c>
      <c r="C259" s="14">
        <v>44300.498611111114</v>
      </c>
      <c r="D259" s="13" t="s">
        <v>88</v>
      </c>
      <c r="E259" s="15" t="s">
        <v>89</v>
      </c>
      <c r="F259" s="13" t="s">
        <v>90</v>
      </c>
      <c r="G259" s="15" t="s">
        <v>91</v>
      </c>
      <c r="H259" s="13" t="s">
        <v>422</v>
      </c>
      <c r="I259" s="15" t="s">
        <v>423</v>
      </c>
      <c r="J259" s="15" t="s">
        <v>424</v>
      </c>
      <c r="K259" s="15" t="s">
        <v>425</v>
      </c>
      <c r="L259" s="13" t="s">
        <v>426</v>
      </c>
      <c r="M259" s="15" t="s">
        <v>427</v>
      </c>
      <c r="N259" s="13" t="s">
        <v>98</v>
      </c>
      <c r="O259" s="15" t="s">
        <v>428</v>
      </c>
      <c r="P259" s="15" t="s">
        <v>429</v>
      </c>
      <c r="Q259" s="15" t="s">
        <v>206</v>
      </c>
      <c r="R259" s="13" t="s">
        <v>207</v>
      </c>
      <c r="S259" s="13" t="s">
        <v>103</v>
      </c>
      <c r="T259" s="13" t="s">
        <v>104</v>
      </c>
      <c r="U259" s="14">
        <v>40725</v>
      </c>
      <c r="V259" s="14"/>
      <c r="W259" s="15" t="s">
        <v>720</v>
      </c>
      <c r="X259" s="13" t="s">
        <v>721</v>
      </c>
      <c r="Y259" s="15" t="str">
        <f>VLOOKUP(X259,'Axe 2 Règles de gestion'!$D$2:$F$121,3, FALSE)</f>
        <v>Rémunération : L'agent perçoit la rémunération et bénéficie du régime indemnitaire de son corps ou cadre d'emplois.</v>
      </c>
      <c r="Z259" s="13" t="s">
        <v>723</v>
      </c>
      <c r="AA259" s="15" t="str">
        <f>VLOOKUP(Z259,'Axe 2 Règles de gestion'!$D$2:$F$121,3, FALSE)</f>
        <v>Classement : L'agent est classé dans son corps d'accueil.</v>
      </c>
      <c r="AB259" s="13" t="s">
        <v>725</v>
      </c>
      <c r="AC259" s="15" t="str">
        <f>VLOOKUP(AB259,'Axe 2 Règles de gestion'!$D$2:$F$121,3, FALSE)</f>
        <v>Carrière : L'agent bénéficie du droit à avancement de son corps d'accueil.</v>
      </c>
      <c r="AD259" s="13" t="s">
        <v>707</v>
      </c>
      <c r="AE259" s="15" t="str">
        <f>VLOOKUP(AD259,'Axe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59" s="13" t="s">
        <v>709</v>
      </c>
      <c r="AG259" s="15" t="str">
        <f>VLOOKUP(AF259,'Axe 2 Règles de gestion'!$D$2:$F$121,3, FALSE)</f>
        <v>Congés annuels : L'agent cumule des droits à congé.</v>
      </c>
      <c r="AH259" s="13" t="s">
        <v>711</v>
      </c>
      <c r="AI259" s="15" t="str">
        <f>VLOOKUP(AH259,'Axe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59" s="13" t="s">
        <v>713</v>
      </c>
      <c r="AK259" s="15" t="str">
        <f>VLOOKUP(AJ259,'Axe 2 Règles de gestion'!$D$2:$F$121,3, FALSE)</f>
        <v>Acte : Un acte administratif doit être produit.</v>
      </c>
      <c r="AL259" s="13"/>
      <c r="AM259" s="15"/>
    </row>
    <row r="260" spans="1:39" ht="120" x14ac:dyDescent="0.25">
      <c r="A260" s="13" t="s">
        <v>438</v>
      </c>
      <c r="B260" s="13" t="s">
        <v>153</v>
      </c>
      <c r="C260" s="14">
        <v>44300.5</v>
      </c>
      <c r="D260" s="13" t="s">
        <v>88</v>
      </c>
      <c r="E260" s="15" t="s">
        <v>89</v>
      </c>
      <c r="F260" s="13" t="s">
        <v>90</v>
      </c>
      <c r="G260" s="15" t="s">
        <v>91</v>
      </c>
      <c r="H260" s="13" t="s">
        <v>422</v>
      </c>
      <c r="I260" s="15" t="s">
        <v>423</v>
      </c>
      <c r="J260" s="15" t="s">
        <v>424</v>
      </c>
      <c r="K260" s="15" t="s">
        <v>425</v>
      </c>
      <c r="L260" s="13" t="s">
        <v>434</v>
      </c>
      <c r="M260" s="15" t="s">
        <v>435</v>
      </c>
      <c r="N260" s="13" t="s">
        <v>188</v>
      </c>
      <c r="O260" s="15" t="s">
        <v>436</v>
      </c>
      <c r="P260" s="15" t="s">
        <v>437</v>
      </c>
      <c r="Q260" s="15" t="s">
        <v>206</v>
      </c>
      <c r="R260" s="13" t="s">
        <v>207</v>
      </c>
      <c r="S260" s="13" t="s">
        <v>103</v>
      </c>
      <c r="T260" s="13" t="s">
        <v>104</v>
      </c>
      <c r="U260" s="14">
        <v>40725</v>
      </c>
      <c r="V260" s="14"/>
      <c r="W260" s="15"/>
      <c r="X260" s="13"/>
      <c r="Y260" s="15"/>
      <c r="Z260" s="13"/>
      <c r="AA260" s="15"/>
      <c r="AB260" s="13"/>
      <c r="AC260" s="15"/>
      <c r="AD260" s="13"/>
      <c r="AE260" s="15"/>
      <c r="AF260" s="13"/>
      <c r="AG260" s="15"/>
      <c r="AH260" s="13"/>
      <c r="AI260" s="15"/>
      <c r="AJ260" s="13"/>
      <c r="AK260" s="15"/>
      <c r="AL260" s="13"/>
      <c r="AM260" s="15"/>
    </row>
    <row r="261" spans="1:39" ht="120" x14ac:dyDescent="0.25">
      <c r="A261" s="13" t="s">
        <v>202</v>
      </c>
      <c r="B261" s="13" t="s">
        <v>153</v>
      </c>
      <c r="C261" s="14">
        <v>43152.5</v>
      </c>
      <c r="D261" s="13" t="s">
        <v>88</v>
      </c>
      <c r="E261" s="15" t="s">
        <v>89</v>
      </c>
      <c r="F261" s="13" t="s">
        <v>90</v>
      </c>
      <c r="G261" s="15" t="s">
        <v>91</v>
      </c>
      <c r="H261" s="13" t="s">
        <v>422</v>
      </c>
      <c r="I261" s="15" t="s">
        <v>423</v>
      </c>
      <c r="J261" s="15" t="s">
        <v>424</v>
      </c>
      <c r="K261" s="15" t="s">
        <v>425</v>
      </c>
      <c r="L261" s="13" t="s">
        <v>426</v>
      </c>
      <c r="M261" s="15" t="s">
        <v>427</v>
      </c>
      <c r="N261" s="13" t="s">
        <v>98</v>
      </c>
      <c r="O261" s="15" t="s">
        <v>428</v>
      </c>
      <c r="P261" s="15" t="s">
        <v>429</v>
      </c>
      <c r="Q261" s="15" t="s">
        <v>208</v>
      </c>
      <c r="R261" s="13" t="s">
        <v>209</v>
      </c>
      <c r="S261" s="13" t="s">
        <v>103</v>
      </c>
      <c r="T261" s="13" t="s">
        <v>205</v>
      </c>
      <c r="U261" s="14">
        <v>40725</v>
      </c>
      <c r="V261" s="14"/>
      <c r="W261" s="15"/>
      <c r="X261" s="13"/>
      <c r="Y261" s="15"/>
      <c r="Z261" s="13"/>
      <c r="AA261" s="15"/>
      <c r="AB261" s="13"/>
      <c r="AC261" s="15"/>
      <c r="AD261" s="13"/>
      <c r="AE261" s="15"/>
      <c r="AF261" s="13"/>
      <c r="AG261" s="15"/>
      <c r="AH261" s="13"/>
      <c r="AI261" s="15"/>
      <c r="AJ261" s="13"/>
      <c r="AK261" s="15"/>
      <c r="AL261" s="13"/>
      <c r="AM261" s="15"/>
    </row>
    <row r="262" spans="1:39" ht="120" x14ac:dyDescent="0.25">
      <c r="A262" s="13" t="s">
        <v>202</v>
      </c>
      <c r="B262" s="13" t="s">
        <v>153</v>
      </c>
      <c r="C262" s="14">
        <v>43152.5</v>
      </c>
      <c r="D262" s="13" t="s">
        <v>88</v>
      </c>
      <c r="E262" s="15" t="s">
        <v>89</v>
      </c>
      <c r="F262" s="13" t="s">
        <v>90</v>
      </c>
      <c r="G262" s="15" t="s">
        <v>91</v>
      </c>
      <c r="H262" s="13" t="s">
        <v>422</v>
      </c>
      <c r="I262" s="15" t="s">
        <v>423</v>
      </c>
      <c r="J262" s="15" t="s">
        <v>424</v>
      </c>
      <c r="K262" s="15" t="s">
        <v>425</v>
      </c>
      <c r="L262" s="13" t="s">
        <v>434</v>
      </c>
      <c r="M262" s="15" t="s">
        <v>435</v>
      </c>
      <c r="N262" s="13" t="s">
        <v>188</v>
      </c>
      <c r="O262" s="15" t="s">
        <v>436</v>
      </c>
      <c r="P262" s="15" t="s">
        <v>437</v>
      </c>
      <c r="Q262" s="15" t="s">
        <v>208</v>
      </c>
      <c r="R262" s="13" t="s">
        <v>209</v>
      </c>
      <c r="S262" s="13" t="s">
        <v>103</v>
      </c>
      <c r="T262" s="13" t="s">
        <v>205</v>
      </c>
      <c r="U262" s="14">
        <v>40725</v>
      </c>
      <c r="V262" s="14"/>
      <c r="W262" s="15"/>
      <c r="X262" s="13"/>
      <c r="Y262" s="15"/>
      <c r="Z262" s="13"/>
      <c r="AA262" s="15"/>
      <c r="AB262" s="13"/>
      <c r="AC262" s="15"/>
      <c r="AD262" s="13"/>
      <c r="AE262" s="15"/>
      <c r="AF262" s="13"/>
      <c r="AG262" s="15"/>
      <c r="AH262" s="13"/>
      <c r="AI262" s="15"/>
      <c r="AJ262" s="13"/>
      <c r="AK262" s="15"/>
      <c r="AL262" s="13"/>
      <c r="AM262" s="15"/>
    </row>
    <row r="263" spans="1:39" ht="120" x14ac:dyDescent="0.25">
      <c r="A263" s="13" t="s">
        <v>202</v>
      </c>
      <c r="B263" s="13" t="s">
        <v>153</v>
      </c>
      <c r="C263" s="14">
        <v>43152.5</v>
      </c>
      <c r="D263" s="13" t="s">
        <v>88</v>
      </c>
      <c r="E263" s="15" t="s">
        <v>89</v>
      </c>
      <c r="F263" s="13" t="s">
        <v>90</v>
      </c>
      <c r="G263" s="15" t="s">
        <v>91</v>
      </c>
      <c r="H263" s="13" t="s">
        <v>422</v>
      </c>
      <c r="I263" s="15" t="s">
        <v>423</v>
      </c>
      <c r="J263" s="15" t="s">
        <v>424</v>
      </c>
      <c r="K263" s="15" t="s">
        <v>425</v>
      </c>
      <c r="L263" s="13" t="s">
        <v>426</v>
      </c>
      <c r="M263" s="15" t="s">
        <v>427</v>
      </c>
      <c r="N263" s="13" t="s">
        <v>98</v>
      </c>
      <c r="O263" s="15" t="s">
        <v>428</v>
      </c>
      <c r="P263" s="15" t="s">
        <v>429</v>
      </c>
      <c r="Q263" s="15" t="s">
        <v>366</v>
      </c>
      <c r="R263" s="13" t="s">
        <v>367</v>
      </c>
      <c r="S263" s="13" t="s">
        <v>212</v>
      </c>
      <c r="T263" s="13" t="s">
        <v>205</v>
      </c>
      <c r="U263" s="14">
        <v>40725</v>
      </c>
      <c r="V263" s="14"/>
      <c r="W263" s="15"/>
      <c r="X263" s="13"/>
      <c r="Y263" s="15"/>
      <c r="Z263" s="13"/>
      <c r="AA263" s="15"/>
      <c r="AB263" s="13"/>
      <c r="AC263" s="15"/>
      <c r="AD263" s="13"/>
      <c r="AE263" s="15"/>
      <c r="AF263" s="13"/>
      <c r="AG263" s="15"/>
      <c r="AH263" s="13"/>
      <c r="AI263" s="15"/>
      <c r="AJ263" s="13"/>
      <c r="AK263" s="15"/>
      <c r="AL263" s="13"/>
      <c r="AM263" s="15"/>
    </row>
    <row r="264" spans="1:39" ht="120" x14ac:dyDescent="0.25">
      <c r="A264" s="13" t="s">
        <v>202</v>
      </c>
      <c r="B264" s="13" t="s">
        <v>153</v>
      </c>
      <c r="C264" s="14">
        <v>43152.5</v>
      </c>
      <c r="D264" s="13" t="s">
        <v>88</v>
      </c>
      <c r="E264" s="15" t="s">
        <v>89</v>
      </c>
      <c r="F264" s="13" t="s">
        <v>90</v>
      </c>
      <c r="G264" s="15" t="s">
        <v>91</v>
      </c>
      <c r="H264" s="13" t="s">
        <v>422</v>
      </c>
      <c r="I264" s="15" t="s">
        <v>423</v>
      </c>
      <c r="J264" s="15" t="s">
        <v>424</v>
      </c>
      <c r="K264" s="15" t="s">
        <v>425</v>
      </c>
      <c r="L264" s="13" t="s">
        <v>434</v>
      </c>
      <c r="M264" s="15" t="s">
        <v>435</v>
      </c>
      <c r="N264" s="13" t="s">
        <v>188</v>
      </c>
      <c r="O264" s="15" t="s">
        <v>436</v>
      </c>
      <c r="P264" s="15" t="s">
        <v>437</v>
      </c>
      <c r="Q264" s="15" t="s">
        <v>366</v>
      </c>
      <c r="R264" s="13" t="s">
        <v>367</v>
      </c>
      <c r="S264" s="13" t="s">
        <v>212</v>
      </c>
      <c r="T264" s="13" t="s">
        <v>205</v>
      </c>
      <c r="U264" s="14">
        <v>40725</v>
      </c>
      <c r="V264" s="14"/>
      <c r="W264" s="15"/>
      <c r="X264" s="13"/>
      <c r="Y264" s="15"/>
      <c r="Z264" s="13"/>
      <c r="AA264" s="15"/>
      <c r="AB264" s="13"/>
      <c r="AC264" s="15"/>
      <c r="AD264" s="13"/>
      <c r="AE264" s="15"/>
      <c r="AF264" s="13"/>
      <c r="AG264" s="15"/>
      <c r="AH264" s="13"/>
      <c r="AI264" s="15"/>
      <c r="AJ264" s="13"/>
      <c r="AK264" s="15"/>
      <c r="AL264" s="13"/>
      <c r="AM264" s="15"/>
    </row>
    <row r="265" spans="1:39" ht="120" x14ac:dyDescent="0.25">
      <c r="A265" s="13" t="s">
        <v>202</v>
      </c>
      <c r="B265" s="13" t="s">
        <v>153</v>
      </c>
      <c r="C265" s="14">
        <v>43152.5</v>
      </c>
      <c r="D265" s="13" t="s">
        <v>88</v>
      </c>
      <c r="E265" s="15" t="s">
        <v>89</v>
      </c>
      <c r="F265" s="13" t="s">
        <v>90</v>
      </c>
      <c r="G265" s="15" t="s">
        <v>91</v>
      </c>
      <c r="H265" s="13" t="s">
        <v>422</v>
      </c>
      <c r="I265" s="15" t="s">
        <v>423</v>
      </c>
      <c r="J265" s="15" t="s">
        <v>424</v>
      </c>
      <c r="K265" s="15" t="s">
        <v>425</v>
      </c>
      <c r="L265" s="13" t="s">
        <v>426</v>
      </c>
      <c r="M265" s="15" t="s">
        <v>427</v>
      </c>
      <c r="N265" s="13" t="s">
        <v>98</v>
      </c>
      <c r="O265" s="15" t="s">
        <v>428</v>
      </c>
      <c r="P265" s="15" t="s">
        <v>429</v>
      </c>
      <c r="Q265" s="15" t="s">
        <v>219</v>
      </c>
      <c r="R265" s="13" t="s">
        <v>220</v>
      </c>
      <c r="S265" s="13" t="s">
        <v>212</v>
      </c>
      <c r="T265" s="13" t="s">
        <v>205</v>
      </c>
      <c r="U265" s="14">
        <v>40725</v>
      </c>
      <c r="V265" s="14"/>
      <c r="W265" s="15"/>
      <c r="X265" s="13"/>
      <c r="Y265" s="15"/>
      <c r="Z265" s="13"/>
      <c r="AA265" s="15"/>
      <c r="AB265" s="13"/>
      <c r="AC265" s="15"/>
      <c r="AD265" s="13"/>
      <c r="AE265" s="15"/>
      <c r="AF265" s="13"/>
      <c r="AG265" s="15"/>
      <c r="AH265" s="13"/>
      <c r="AI265" s="15"/>
      <c r="AJ265" s="13"/>
      <c r="AK265" s="15"/>
      <c r="AL265" s="13"/>
      <c r="AM265" s="15"/>
    </row>
    <row r="266" spans="1:39" ht="120" x14ac:dyDescent="0.25">
      <c r="A266" s="13" t="s">
        <v>202</v>
      </c>
      <c r="B266" s="13" t="s">
        <v>153</v>
      </c>
      <c r="C266" s="14">
        <v>43152.5</v>
      </c>
      <c r="D266" s="13" t="s">
        <v>88</v>
      </c>
      <c r="E266" s="15" t="s">
        <v>89</v>
      </c>
      <c r="F266" s="13" t="s">
        <v>90</v>
      </c>
      <c r="G266" s="15" t="s">
        <v>91</v>
      </c>
      <c r="H266" s="13" t="s">
        <v>422</v>
      </c>
      <c r="I266" s="15" t="s">
        <v>423</v>
      </c>
      <c r="J266" s="15" t="s">
        <v>424</v>
      </c>
      <c r="K266" s="15" t="s">
        <v>425</v>
      </c>
      <c r="L266" s="13" t="s">
        <v>434</v>
      </c>
      <c r="M266" s="15" t="s">
        <v>435</v>
      </c>
      <c r="N266" s="13" t="s">
        <v>188</v>
      </c>
      <c r="O266" s="15" t="s">
        <v>436</v>
      </c>
      <c r="P266" s="15" t="s">
        <v>437</v>
      </c>
      <c r="Q266" s="15" t="s">
        <v>219</v>
      </c>
      <c r="R266" s="13" t="s">
        <v>220</v>
      </c>
      <c r="S266" s="13" t="s">
        <v>212</v>
      </c>
      <c r="T266" s="13" t="s">
        <v>205</v>
      </c>
      <c r="U266" s="14">
        <v>40725</v>
      </c>
      <c r="V266" s="14"/>
      <c r="W266" s="15"/>
      <c r="X266" s="13"/>
      <c r="Y266" s="15"/>
      <c r="Z266" s="13"/>
      <c r="AA266" s="15"/>
      <c r="AB266" s="13"/>
      <c r="AC266" s="15"/>
      <c r="AD266" s="13"/>
      <c r="AE266" s="15"/>
      <c r="AF266" s="13"/>
      <c r="AG266" s="15"/>
      <c r="AH266" s="13"/>
      <c r="AI266" s="15"/>
      <c r="AJ266" s="13"/>
      <c r="AK266" s="15"/>
      <c r="AL266" s="13"/>
      <c r="AM266" s="15"/>
    </row>
    <row r="267" spans="1:39" ht="165" x14ac:dyDescent="0.25">
      <c r="A267" s="13" t="s">
        <v>86</v>
      </c>
      <c r="B267" s="13" t="s">
        <v>87</v>
      </c>
      <c r="C267" s="14">
        <v>44007.720833333333</v>
      </c>
      <c r="D267" s="13" t="s">
        <v>88</v>
      </c>
      <c r="E267" s="15" t="s">
        <v>89</v>
      </c>
      <c r="F267" s="13" t="s">
        <v>90</v>
      </c>
      <c r="G267" s="15" t="s">
        <v>91</v>
      </c>
      <c r="H267" s="13" t="s">
        <v>443</v>
      </c>
      <c r="I267" s="15" t="s">
        <v>444</v>
      </c>
      <c r="J267" s="15" t="s">
        <v>445</v>
      </c>
      <c r="K267" s="15" t="s">
        <v>446</v>
      </c>
      <c r="L267" s="13" t="s">
        <v>447</v>
      </c>
      <c r="M267" s="15" t="s">
        <v>448</v>
      </c>
      <c r="N267" s="13" t="s">
        <v>98</v>
      </c>
      <c r="O267" s="15" t="s">
        <v>428</v>
      </c>
      <c r="P267" s="15" t="s">
        <v>429</v>
      </c>
      <c r="Q267" s="15" t="s">
        <v>101</v>
      </c>
      <c r="R267" s="13" t="s">
        <v>102</v>
      </c>
      <c r="S267" s="13" t="s">
        <v>103</v>
      </c>
      <c r="T267" s="13" t="s">
        <v>104</v>
      </c>
      <c r="U267" s="14">
        <v>40725</v>
      </c>
      <c r="V267" s="14">
        <v>43830</v>
      </c>
      <c r="W267" s="15" t="s">
        <v>727</v>
      </c>
      <c r="X267" s="13" t="s">
        <v>728</v>
      </c>
      <c r="Y267" s="15" t="str">
        <f>VLOOKUP(X267,'Axe 2 Règles de gestion'!$D$2:$F$121,3, FALSE)</f>
        <v>Rémunération : L'agent perçoit la rémunération et bénéficie du régime indemnitaire de son emploi d'accueil. Cependant si sa rémunération d'origine est plus élevée, il la conserve.</v>
      </c>
      <c r="Z267" s="13" t="s">
        <v>703</v>
      </c>
      <c r="AA267" s="15" t="str">
        <f>VLOOKUP(Z267,'Axe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67" s="13" t="s">
        <v>705</v>
      </c>
      <c r="AC267" s="15" t="str">
        <f>VLOOKUP(AB267,'Axe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67" s="13" t="s">
        <v>707</v>
      </c>
      <c r="AE267" s="15" t="str">
        <f>VLOOKUP(AD267,'Axe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67" s="13" t="s">
        <v>709</v>
      </c>
      <c r="AG267" s="15" t="str">
        <f>VLOOKUP(AF267,'Axe 2 Règles de gestion'!$D$2:$F$121,3, FALSE)</f>
        <v>Congés annuels : L'agent cumule des droits à congé.</v>
      </c>
      <c r="AH267" s="13" t="s">
        <v>711</v>
      </c>
      <c r="AI267" s="15" t="str">
        <f>VLOOKUP(AH267,'Axe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67" s="13" t="s">
        <v>713</v>
      </c>
      <c r="AK267" s="15" t="str">
        <f>VLOOKUP(AJ267,'Axe 2 Règles de gestion'!$D$2:$F$121,3, FALSE)</f>
        <v>Acte : Un acte administratif doit être produit.</v>
      </c>
      <c r="AL267" s="13"/>
      <c r="AM267" s="15"/>
    </row>
    <row r="268" spans="1:39" ht="165" x14ac:dyDescent="0.25">
      <c r="A268" s="13" t="s">
        <v>86</v>
      </c>
      <c r="B268" s="13" t="s">
        <v>153</v>
      </c>
      <c r="C268" s="14">
        <v>44007.731944444444</v>
      </c>
      <c r="D268" s="13" t="s">
        <v>88</v>
      </c>
      <c r="E268" s="15" t="s">
        <v>89</v>
      </c>
      <c r="F268" s="13" t="s">
        <v>90</v>
      </c>
      <c r="G268" s="15" t="s">
        <v>91</v>
      </c>
      <c r="H268" s="13" t="s">
        <v>443</v>
      </c>
      <c r="I268" s="15" t="s">
        <v>444</v>
      </c>
      <c r="J268" s="15" t="s">
        <v>445</v>
      </c>
      <c r="K268" s="15" t="s">
        <v>446</v>
      </c>
      <c r="L268" s="13" t="s">
        <v>447</v>
      </c>
      <c r="M268" s="15" t="s">
        <v>448</v>
      </c>
      <c r="N268" s="13" t="s">
        <v>98</v>
      </c>
      <c r="O268" s="15" t="s">
        <v>428</v>
      </c>
      <c r="P268" s="15" t="s">
        <v>429</v>
      </c>
      <c r="Q268" s="15" t="s">
        <v>101</v>
      </c>
      <c r="R268" s="13" t="s">
        <v>102</v>
      </c>
      <c r="S268" s="13" t="s">
        <v>103</v>
      </c>
      <c r="T268" s="13" t="s">
        <v>104</v>
      </c>
      <c r="U268" s="14">
        <v>43831</v>
      </c>
      <c r="V268" s="14"/>
      <c r="W268" s="15" t="s">
        <v>727</v>
      </c>
      <c r="X268" s="13" t="s">
        <v>728</v>
      </c>
      <c r="Y268" s="15" t="str">
        <f>VLOOKUP(X268,'Axe 2 Règles de gestion'!$D$2:$F$121,3, FALSE)</f>
        <v>Rémunération : L'agent perçoit la rémunération et bénéficie du régime indemnitaire de son emploi d'accueil. Cependant si sa rémunération d'origine est plus élevée, il la conserve.</v>
      </c>
      <c r="Z268" s="13" t="s">
        <v>703</v>
      </c>
      <c r="AA268" s="15" t="str">
        <f>VLOOKUP(Z268,'Axe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68" s="13" t="s">
        <v>705</v>
      </c>
      <c r="AC268" s="15" t="str">
        <f>VLOOKUP(AB268,'Axe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68" s="13" t="s">
        <v>707</v>
      </c>
      <c r="AE268" s="15" t="str">
        <f>VLOOKUP(AD268,'Axe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68" s="13" t="s">
        <v>709</v>
      </c>
      <c r="AG268" s="15" t="str">
        <f>VLOOKUP(AF268,'Axe 2 Règles de gestion'!$D$2:$F$121,3, FALSE)</f>
        <v>Congés annuels : L'agent cumule des droits à congé.</v>
      </c>
      <c r="AH268" s="13" t="s">
        <v>711</v>
      </c>
      <c r="AI268" s="15" t="str">
        <f>VLOOKUP(AH268,'Axe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68" s="13" t="s">
        <v>713</v>
      </c>
      <c r="AK268" s="15" t="str">
        <f>VLOOKUP(AJ268,'Axe 2 Règles de gestion'!$D$2:$F$121,3, FALSE)</f>
        <v>Acte : Un acte administratif doit être produit.</v>
      </c>
      <c r="AL268" s="13"/>
      <c r="AM268" s="15"/>
    </row>
    <row r="269" spans="1:39" ht="135" x14ac:dyDescent="0.25">
      <c r="A269" s="13" t="s">
        <v>86</v>
      </c>
      <c r="B269" s="13" t="s">
        <v>87</v>
      </c>
      <c r="C269" s="14">
        <v>43850.552083333336</v>
      </c>
      <c r="D269" s="13" t="s">
        <v>88</v>
      </c>
      <c r="E269" s="15" t="s">
        <v>89</v>
      </c>
      <c r="F269" s="13" t="s">
        <v>90</v>
      </c>
      <c r="G269" s="15" t="s">
        <v>91</v>
      </c>
      <c r="H269" s="13" t="s">
        <v>443</v>
      </c>
      <c r="I269" s="15" t="s">
        <v>444</v>
      </c>
      <c r="J269" s="15" t="s">
        <v>445</v>
      </c>
      <c r="K269" s="15" t="s">
        <v>446</v>
      </c>
      <c r="L269" s="13" t="s">
        <v>449</v>
      </c>
      <c r="M269" s="15" t="s">
        <v>450</v>
      </c>
      <c r="N269" s="13" t="s">
        <v>188</v>
      </c>
      <c r="O269" s="15" t="s">
        <v>436</v>
      </c>
      <c r="P269" s="15" t="s">
        <v>437</v>
      </c>
      <c r="Q269" s="15" t="s">
        <v>101</v>
      </c>
      <c r="R269" s="13" t="s">
        <v>102</v>
      </c>
      <c r="S269" s="13" t="s">
        <v>103</v>
      </c>
      <c r="T269" s="13" t="s">
        <v>104</v>
      </c>
      <c r="U269" s="14">
        <v>40725</v>
      </c>
      <c r="V269" s="14"/>
      <c r="W269" s="15"/>
      <c r="X269" s="13"/>
      <c r="Y269" s="15"/>
      <c r="Z269" s="13"/>
      <c r="AA269" s="15"/>
      <c r="AB269" s="13"/>
      <c r="AC269" s="15"/>
      <c r="AD269" s="13"/>
      <c r="AE269" s="15"/>
      <c r="AF269" s="13"/>
      <c r="AG269" s="15"/>
      <c r="AH269" s="13"/>
      <c r="AI269" s="15"/>
      <c r="AJ269" s="13"/>
      <c r="AK269" s="15"/>
      <c r="AL269" s="13"/>
      <c r="AM269" s="15"/>
    </row>
    <row r="270" spans="1:39" ht="135" x14ac:dyDescent="0.25">
      <c r="A270" s="13" t="s">
        <v>202</v>
      </c>
      <c r="B270" s="13" t="s">
        <v>153</v>
      </c>
      <c r="C270" s="14">
        <v>43152.5</v>
      </c>
      <c r="D270" s="13" t="s">
        <v>88</v>
      </c>
      <c r="E270" s="15" t="s">
        <v>89</v>
      </c>
      <c r="F270" s="13" t="s">
        <v>90</v>
      </c>
      <c r="G270" s="15" t="s">
        <v>91</v>
      </c>
      <c r="H270" s="13" t="s">
        <v>443</v>
      </c>
      <c r="I270" s="15" t="s">
        <v>444</v>
      </c>
      <c r="J270" s="15" t="s">
        <v>445</v>
      </c>
      <c r="K270" s="15" t="s">
        <v>446</v>
      </c>
      <c r="L270" s="13" t="s">
        <v>447</v>
      </c>
      <c r="M270" s="15" t="s">
        <v>448</v>
      </c>
      <c r="N270" s="13" t="s">
        <v>98</v>
      </c>
      <c r="O270" s="15" t="s">
        <v>428</v>
      </c>
      <c r="P270" s="15" t="s">
        <v>429</v>
      </c>
      <c r="Q270" s="15" t="s">
        <v>203</v>
      </c>
      <c r="R270" s="13" t="s">
        <v>204</v>
      </c>
      <c r="S270" s="13" t="s">
        <v>103</v>
      </c>
      <c r="T270" s="13" t="s">
        <v>205</v>
      </c>
      <c r="U270" s="14">
        <v>40725</v>
      </c>
      <c r="V270" s="14"/>
      <c r="W270" s="15"/>
      <c r="X270" s="13"/>
      <c r="Y270" s="15"/>
      <c r="Z270" s="13"/>
      <c r="AA270" s="15"/>
      <c r="AB270" s="13"/>
      <c r="AC270" s="15"/>
      <c r="AD270" s="13"/>
      <c r="AE270" s="15"/>
      <c r="AF270" s="13"/>
      <c r="AG270" s="15"/>
      <c r="AH270" s="13"/>
      <c r="AI270" s="15"/>
      <c r="AJ270" s="13"/>
      <c r="AK270" s="15"/>
      <c r="AL270" s="13"/>
      <c r="AM270" s="15"/>
    </row>
    <row r="271" spans="1:39" ht="135" x14ac:dyDescent="0.25">
      <c r="A271" s="13" t="s">
        <v>202</v>
      </c>
      <c r="B271" s="13" t="s">
        <v>153</v>
      </c>
      <c r="C271" s="14">
        <v>43152.5</v>
      </c>
      <c r="D271" s="13" t="s">
        <v>88</v>
      </c>
      <c r="E271" s="15" t="s">
        <v>89</v>
      </c>
      <c r="F271" s="13" t="s">
        <v>90</v>
      </c>
      <c r="G271" s="15" t="s">
        <v>91</v>
      </c>
      <c r="H271" s="13" t="s">
        <v>443</v>
      </c>
      <c r="I271" s="15" t="s">
        <v>444</v>
      </c>
      <c r="J271" s="15" t="s">
        <v>445</v>
      </c>
      <c r="K271" s="15" t="s">
        <v>446</v>
      </c>
      <c r="L271" s="13" t="s">
        <v>449</v>
      </c>
      <c r="M271" s="15" t="s">
        <v>450</v>
      </c>
      <c r="N271" s="13" t="s">
        <v>188</v>
      </c>
      <c r="O271" s="15" t="s">
        <v>436</v>
      </c>
      <c r="P271" s="15" t="s">
        <v>437</v>
      </c>
      <c r="Q271" s="15" t="s">
        <v>203</v>
      </c>
      <c r="R271" s="13" t="s">
        <v>204</v>
      </c>
      <c r="S271" s="13" t="s">
        <v>103</v>
      </c>
      <c r="T271" s="13" t="s">
        <v>205</v>
      </c>
      <c r="U271" s="14">
        <v>40725</v>
      </c>
      <c r="V271" s="14"/>
      <c r="W271" s="15"/>
      <c r="X271" s="13"/>
      <c r="Y271" s="15"/>
      <c r="Z271" s="13"/>
      <c r="AA271" s="15"/>
      <c r="AB271" s="13"/>
      <c r="AC271" s="15"/>
      <c r="AD271" s="13"/>
      <c r="AE271" s="15"/>
      <c r="AF271" s="13"/>
      <c r="AG271" s="15"/>
      <c r="AH271" s="13"/>
      <c r="AI271" s="15"/>
      <c r="AJ271" s="13"/>
      <c r="AK271" s="15"/>
      <c r="AL271" s="13"/>
      <c r="AM271" s="15"/>
    </row>
    <row r="272" spans="1:39" ht="165" x14ac:dyDescent="0.25">
      <c r="A272" s="13" t="s">
        <v>438</v>
      </c>
      <c r="B272" s="13" t="s">
        <v>87</v>
      </c>
      <c r="C272" s="14">
        <v>44300.59097222222</v>
      </c>
      <c r="D272" s="13" t="s">
        <v>88</v>
      </c>
      <c r="E272" s="15" t="s">
        <v>89</v>
      </c>
      <c r="F272" s="13" t="s">
        <v>90</v>
      </c>
      <c r="G272" s="15" t="s">
        <v>91</v>
      </c>
      <c r="H272" s="13" t="s">
        <v>443</v>
      </c>
      <c r="I272" s="15" t="s">
        <v>444</v>
      </c>
      <c r="J272" s="15" t="s">
        <v>445</v>
      </c>
      <c r="K272" s="15" t="s">
        <v>446</v>
      </c>
      <c r="L272" s="13" t="s">
        <v>447</v>
      </c>
      <c r="M272" s="15" t="s">
        <v>448</v>
      </c>
      <c r="N272" s="13" t="s">
        <v>98</v>
      </c>
      <c r="O272" s="15" t="s">
        <v>428</v>
      </c>
      <c r="P272" s="15" t="s">
        <v>429</v>
      </c>
      <c r="Q272" s="15" t="s">
        <v>206</v>
      </c>
      <c r="R272" s="13" t="s">
        <v>207</v>
      </c>
      <c r="S272" s="13" t="s">
        <v>103</v>
      </c>
      <c r="T272" s="13" t="s">
        <v>104</v>
      </c>
      <c r="U272" s="14">
        <v>40725</v>
      </c>
      <c r="V272" s="14"/>
      <c r="W272" s="15" t="s">
        <v>720</v>
      </c>
      <c r="X272" s="13" t="s">
        <v>721</v>
      </c>
      <c r="Y272" s="15" t="str">
        <f>VLOOKUP(X272,'Axe 2 Règles de gestion'!$D$2:$F$121,3, FALSE)</f>
        <v>Rémunération : L'agent perçoit la rémunération et bénéficie du régime indemnitaire de son corps ou cadre d'emplois.</v>
      </c>
      <c r="Z272" s="13" t="s">
        <v>723</v>
      </c>
      <c r="AA272" s="15" t="str">
        <f>VLOOKUP(Z272,'Axe 2 Règles de gestion'!$D$2:$F$121,3, FALSE)</f>
        <v>Classement : L'agent est classé dans son corps d'accueil.</v>
      </c>
      <c r="AB272" s="13" t="s">
        <v>725</v>
      </c>
      <c r="AC272" s="15" t="str">
        <f>VLOOKUP(AB272,'Axe 2 Règles de gestion'!$D$2:$F$121,3, FALSE)</f>
        <v>Carrière : L'agent bénéficie du droit à avancement de son corps d'accueil.</v>
      </c>
      <c r="AD272" s="13" t="s">
        <v>707</v>
      </c>
      <c r="AE272" s="15" t="str">
        <f>VLOOKUP(AD272,'Axe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72" s="13" t="s">
        <v>709</v>
      </c>
      <c r="AG272" s="15" t="str">
        <f>VLOOKUP(AF272,'Axe 2 Règles de gestion'!$D$2:$F$121,3, FALSE)</f>
        <v>Congés annuels : L'agent cumule des droits à congé.</v>
      </c>
      <c r="AH272" s="13" t="s">
        <v>711</v>
      </c>
      <c r="AI272" s="15" t="str">
        <f>VLOOKUP(AH272,'Axe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72" s="13" t="s">
        <v>713</v>
      </c>
      <c r="AK272" s="15" t="str">
        <f>VLOOKUP(AJ272,'Axe 2 Règles de gestion'!$D$2:$F$121,3, FALSE)</f>
        <v>Acte : Un acte administratif doit être produit.</v>
      </c>
      <c r="AL272" s="13"/>
      <c r="AM272" s="15"/>
    </row>
    <row r="273" spans="1:39" ht="135" x14ac:dyDescent="0.25">
      <c r="A273" s="13" t="s">
        <v>438</v>
      </c>
      <c r="B273" s="13" t="s">
        <v>153</v>
      </c>
      <c r="C273" s="14">
        <v>44300.591666666667</v>
      </c>
      <c r="D273" s="13" t="s">
        <v>88</v>
      </c>
      <c r="E273" s="15" t="s">
        <v>89</v>
      </c>
      <c r="F273" s="13" t="s">
        <v>90</v>
      </c>
      <c r="G273" s="15" t="s">
        <v>91</v>
      </c>
      <c r="H273" s="13" t="s">
        <v>443</v>
      </c>
      <c r="I273" s="15" t="s">
        <v>444</v>
      </c>
      <c r="J273" s="15" t="s">
        <v>445</v>
      </c>
      <c r="K273" s="15" t="s">
        <v>446</v>
      </c>
      <c r="L273" s="13" t="s">
        <v>449</v>
      </c>
      <c r="M273" s="15" t="s">
        <v>450</v>
      </c>
      <c r="N273" s="13" t="s">
        <v>188</v>
      </c>
      <c r="O273" s="15" t="s">
        <v>436</v>
      </c>
      <c r="P273" s="15" t="s">
        <v>437</v>
      </c>
      <c r="Q273" s="15" t="s">
        <v>206</v>
      </c>
      <c r="R273" s="13" t="s">
        <v>207</v>
      </c>
      <c r="S273" s="13" t="s">
        <v>103</v>
      </c>
      <c r="T273" s="13" t="s">
        <v>104</v>
      </c>
      <c r="U273" s="14">
        <v>40725</v>
      </c>
      <c r="V273" s="14"/>
      <c r="W273" s="15"/>
      <c r="X273" s="13"/>
      <c r="Y273" s="15"/>
      <c r="Z273" s="13"/>
      <c r="AA273" s="15"/>
      <c r="AB273" s="13"/>
      <c r="AC273" s="15"/>
      <c r="AD273" s="13"/>
      <c r="AE273" s="15"/>
      <c r="AF273" s="13"/>
      <c r="AG273" s="15"/>
      <c r="AH273" s="13"/>
      <c r="AI273" s="15"/>
      <c r="AJ273" s="13"/>
      <c r="AK273" s="15"/>
      <c r="AL273" s="13"/>
      <c r="AM273" s="15"/>
    </row>
    <row r="274" spans="1:39" ht="135" x14ac:dyDescent="0.25">
      <c r="A274" s="13" t="s">
        <v>202</v>
      </c>
      <c r="B274" s="13" t="s">
        <v>153</v>
      </c>
      <c r="C274" s="14">
        <v>43152.5</v>
      </c>
      <c r="D274" s="13" t="s">
        <v>88</v>
      </c>
      <c r="E274" s="15" t="s">
        <v>89</v>
      </c>
      <c r="F274" s="13" t="s">
        <v>90</v>
      </c>
      <c r="G274" s="15" t="s">
        <v>91</v>
      </c>
      <c r="H274" s="13" t="s">
        <v>443</v>
      </c>
      <c r="I274" s="15" t="s">
        <v>444</v>
      </c>
      <c r="J274" s="15" t="s">
        <v>445</v>
      </c>
      <c r="K274" s="15" t="s">
        <v>446</v>
      </c>
      <c r="L274" s="13" t="s">
        <v>447</v>
      </c>
      <c r="M274" s="15" t="s">
        <v>448</v>
      </c>
      <c r="N274" s="13" t="s">
        <v>98</v>
      </c>
      <c r="O274" s="15" t="s">
        <v>428</v>
      </c>
      <c r="P274" s="15" t="s">
        <v>429</v>
      </c>
      <c r="Q274" s="15" t="s">
        <v>208</v>
      </c>
      <c r="R274" s="13" t="s">
        <v>209</v>
      </c>
      <c r="S274" s="13" t="s">
        <v>103</v>
      </c>
      <c r="T274" s="13" t="s">
        <v>205</v>
      </c>
      <c r="U274" s="14">
        <v>40725</v>
      </c>
      <c r="V274" s="14"/>
      <c r="W274" s="15"/>
      <c r="X274" s="13"/>
      <c r="Y274" s="15"/>
      <c r="Z274" s="13"/>
      <c r="AA274" s="15"/>
      <c r="AB274" s="13"/>
      <c r="AC274" s="15"/>
      <c r="AD274" s="13"/>
      <c r="AE274" s="15"/>
      <c r="AF274" s="13"/>
      <c r="AG274" s="15"/>
      <c r="AH274" s="13"/>
      <c r="AI274" s="15"/>
      <c r="AJ274" s="13"/>
      <c r="AK274" s="15"/>
      <c r="AL274" s="13"/>
      <c r="AM274" s="15"/>
    </row>
    <row r="275" spans="1:39" ht="135" x14ac:dyDescent="0.25">
      <c r="A275" s="13" t="s">
        <v>202</v>
      </c>
      <c r="B275" s="13" t="s">
        <v>153</v>
      </c>
      <c r="C275" s="14">
        <v>43152.5</v>
      </c>
      <c r="D275" s="13" t="s">
        <v>88</v>
      </c>
      <c r="E275" s="15" t="s">
        <v>89</v>
      </c>
      <c r="F275" s="13" t="s">
        <v>90</v>
      </c>
      <c r="G275" s="15" t="s">
        <v>91</v>
      </c>
      <c r="H275" s="13" t="s">
        <v>443</v>
      </c>
      <c r="I275" s="15" t="s">
        <v>444</v>
      </c>
      <c r="J275" s="15" t="s">
        <v>445</v>
      </c>
      <c r="K275" s="15" t="s">
        <v>446</v>
      </c>
      <c r="L275" s="13" t="s">
        <v>449</v>
      </c>
      <c r="M275" s="15" t="s">
        <v>450</v>
      </c>
      <c r="N275" s="13" t="s">
        <v>188</v>
      </c>
      <c r="O275" s="15" t="s">
        <v>436</v>
      </c>
      <c r="P275" s="15" t="s">
        <v>437</v>
      </c>
      <c r="Q275" s="15" t="s">
        <v>208</v>
      </c>
      <c r="R275" s="13" t="s">
        <v>209</v>
      </c>
      <c r="S275" s="13" t="s">
        <v>103</v>
      </c>
      <c r="T275" s="13" t="s">
        <v>205</v>
      </c>
      <c r="U275" s="14">
        <v>40725</v>
      </c>
      <c r="V275" s="14"/>
      <c r="W275" s="15"/>
      <c r="X275" s="13"/>
      <c r="Y275" s="15"/>
      <c r="Z275" s="13"/>
      <c r="AA275" s="15"/>
      <c r="AB275" s="13"/>
      <c r="AC275" s="15"/>
      <c r="AD275" s="13"/>
      <c r="AE275" s="15"/>
      <c r="AF275" s="13"/>
      <c r="AG275" s="15"/>
      <c r="AH275" s="13"/>
      <c r="AI275" s="15"/>
      <c r="AJ275" s="13"/>
      <c r="AK275" s="15"/>
      <c r="AL275" s="13"/>
      <c r="AM275" s="15"/>
    </row>
    <row r="276" spans="1:39" ht="135" x14ac:dyDescent="0.25">
      <c r="A276" s="13" t="s">
        <v>202</v>
      </c>
      <c r="B276" s="13" t="s">
        <v>153</v>
      </c>
      <c r="C276" s="14">
        <v>43152.5</v>
      </c>
      <c r="D276" s="13" t="s">
        <v>88</v>
      </c>
      <c r="E276" s="15" t="s">
        <v>89</v>
      </c>
      <c r="F276" s="13" t="s">
        <v>90</v>
      </c>
      <c r="G276" s="15" t="s">
        <v>91</v>
      </c>
      <c r="H276" s="13" t="s">
        <v>443</v>
      </c>
      <c r="I276" s="15" t="s">
        <v>444</v>
      </c>
      <c r="J276" s="15" t="s">
        <v>445</v>
      </c>
      <c r="K276" s="15" t="s">
        <v>446</v>
      </c>
      <c r="L276" s="13" t="s">
        <v>447</v>
      </c>
      <c r="M276" s="15" t="s">
        <v>448</v>
      </c>
      <c r="N276" s="13" t="s">
        <v>98</v>
      </c>
      <c r="O276" s="15" t="s">
        <v>428</v>
      </c>
      <c r="P276" s="15" t="s">
        <v>429</v>
      </c>
      <c r="Q276" s="15" t="s">
        <v>366</v>
      </c>
      <c r="R276" s="13" t="s">
        <v>367</v>
      </c>
      <c r="S276" s="13" t="s">
        <v>212</v>
      </c>
      <c r="T276" s="13" t="s">
        <v>205</v>
      </c>
      <c r="U276" s="14">
        <v>40725</v>
      </c>
      <c r="V276" s="14"/>
      <c r="W276" s="15"/>
      <c r="X276" s="13"/>
      <c r="Y276" s="15"/>
      <c r="Z276" s="13"/>
      <c r="AA276" s="15"/>
      <c r="AB276" s="13"/>
      <c r="AC276" s="15"/>
      <c r="AD276" s="13"/>
      <c r="AE276" s="15"/>
      <c r="AF276" s="13"/>
      <c r="AG276" s="15"/>
      <c r="AH276" s="13"/>
      <c r="AI276" s="15"/>
      <c r="AJ276" s="13"/>
      <c r="AK276" s="15"/>
      <c r="AL276" s="13"/>
      <c r="AM276" s="15"/>
    </row>
    <row r="277" spans="1:39" ht="135" x14ac:dyDescent="0.25">
      <c r="A277" s="13" t="s">
        <v>202</v>
      </c>
      <c r="B277" s="13" t="s">
        <v>153</v>
      </c>
      <c r="C277" s="14">
        <v>43152.5</v>
      </c>
      <c r="D277" s="13" t="s">
        <v>88</v>
      </c>
      <c r="E277" s="15" t="s">
        <v>89</v>
      </c>
      <c r="F277" s="13" t="s">
        <v>90</v>
      </c>
      <c r="G277" s="15" t="s">
        <v>91</v>
      </c>
      <c r="H277" s="13" t="s">
        <v>443</v>
      </c>
      <c r="I277" s="15" t="s">
        <v>444</v>
      </c>
      <c r="J277" s="15" t="s">
        <v>445</v>
      </c>
      <c r="K277" s="15" t="s">
        <v>446</v>
      </c>
      <c r="L277" s="13" t="s">
        <v>449</v>
      </c>
      <c r="M277" s="15" t="s">
        <v>450</v>
      </c>
      <c r="N277" s="13" t="s">
        <v>188</v>
      </c>
      <c r="O277" s="15" t="s">
        <v>436</v>
      </c>
      <c r="P277" s="15" t="s">
        <v>437</v>
      </c>
      <c r="Q277" s="15" t="s">
        <v>366</v>
      </c>
      <c r="R277" s="13" t="s">
        <v>367</v>
      </c>
      <c r="S277" s="13" t="s">
        <v>212</v>
      </c>
      <c r="T277" s="13" t="s">
        <v>205</v>
      </c>
      <c r="U277" s="14">
        <v>40725</v>
      </c>
      <c r="V277" s="14"/>
      <c r="W277" s="15"/>
      <c r="X277" s="13"/>
      <c r="Y277" s="15"/>
      <c r="Z277" s="13"/>
      <c r="AA277" s="15"/>
      <c r="AB277" s="13"/>
      <c r="AC277" s="15"/>
      <c r="AD277" s="13"/>
      <c r="AE277" s="15"/>
      <c r="AF277" s="13"/>
      <c r="AG277" s="15"/>
      <c r="AH277" s="13"/>
      <c r="AI277" s="15"/>
      <c r="AJ277" s="13"/>
      <c r="AK277" s="15"/>
      <c r="AL277" s="13"/>
      <c r="AM277" s="15"/>
    </row>
    <row r="278" spans="1:39" ht="135" x14ac:dyDescent="0.25">
      <c r="A278" s="13" t="s">
        <v>202</v>
      </c>
      <c r="B278" s="13" t="s">
        <v>153</v>
      </c>
      <c r="C278" s="14">
        <v>43152.5</v>
      </c>
      <c r="D278" s="13" t="s">
        <v>88</v>
      </c>
      <c r="E278" s="15" t="s">
        <v>89</v>
      </c>
      <c r="F278" s="13" t="s">
        <v>90</v>
      </c>
      <c r="G278" s="15" t="s">
        <v>91</v>
      </c>
      <c r="H278" s="13" t="s">
        <v>443</v>
      </c>
      <c r="I278" s="15" t="s">
        <v>444</v>
      </c>
      <c r="J278" s="15" t="s">
        <v>445</v>
      </c>
      <c r="K278" s="15" t="s">
        <v>446</v>
      </c>
      <c r="L278" s="13" t="s">
        <v>447</v>
      </c>
      <c r="M278" s="15" t="s">
        <v>448</v>
      </c>
      <c r="N278" s="13" t="s">
        <v>98</v>
      </c>
      <c r="O278" s="15" t="s">
        <v>428</v>
      </c>
      <c r="P278" s="15" t="s">
        <v>429</v>
      </c>
      <c r="Q278" s="15" t="s">
        <v>219</v>
      </c>
      <c r="R278" s="13" t="s">
        <v>220</v>
      </c>
      <c r="S278" s="13" t="s">
        <v>212</v>
      </c>
      <c r="T278" s="13" t="s">
        <v>205</v>
      </c>
      <c r="U278" s="14">
        <v>40725</v>
      </c>
      <c r="V278" s="14"/>
      <c r="W278" s="15"/>
      <c r="X278" s="13"/>
      <c r="Y278" s="15"/>
      <c r="Z278" s="13"/>
      <c r="AA278" s="15"/>
      <c r="AB278" s="13"/>
      <c r="AC278" s="15"/>
      <c r="AD278" s="13"/>
      <c r="AE278" s="15"/>
      <c r="AF278" s="13"/>
      <c r="AG278" s="15"/>
      <c r="AH278" s="13"/>
      <c r="AI278" s="15"/>
      <c r="AJ278" s="13"/>
      <c r="AK278" s="15"/>
      <c r="AL278" s="13"/>
      <c r="AM278" s="15"/>
    </row>
    <row r="279" spans="1:39" ht="135" x14ac:dyDescent="0.25">
      <c r="A279" s="13" t="s">
        <v>202</v>
      </c>
      <c r="B279" s="13" t="s">
        <v>153</v>
      </c>
      <c r="C279" s="14">
        <v>43152.5</v>
      </c>
      <c r="D279" s="13" t="s">
        <v>88</v>
      </c>
      <c r="E279" s="15" t="s">
        <v>89</v>
      </c>
      <c r="F279" s="13" t="s">
        <v>90</v>
      </c>
      <c r="G279" s="15" t="s">
        <v>91</v>
      </c>
      <c r="H279" s="13" t="s">
        <v>443</v>
      </c>
      <c r="I279" s="15" t="s">
        <v>444</v>
      </c>
      <c r="J279" s="15" t="s">
        <v>445</v>
      </c>
      <c r="K279" s="15" t="s">
        <v>446</v>
      </c>
      <c r="L279" s="13" t="s">
        <v>449</v>
      </c>
      <c r="M279" s="15" t="s">
        <v>450</v>
      </c>
      <c r="N279" s="13" t="s">
        <v>188</v>
      </c>
      <c r="O279" s="15" t="s">
        <v>436</v>
      </c>
      <c r="P279" s="15" t="s">
        <v>437</v>
      </c>
      <c r="Q279" s="15" t="s">
        <v>219</v>
      </c>
      <c r="R279" s="13" t="s">
        <v>220</v>
      </c>
      <c r="S279" s="13" t="s">
        <v>212</v>
      </c>
      <c r="T279" s="13" t="s">
        <v>205</v>
      </c>
      <c r="U279" s="14">
        <v>40725</v>
      </c>
      <c r="V279" s="14"/>
      <c r="W279" s="15"/>
      <c r="X279" s="13"/>
      <c r="Y279" s="15"/>
      <c r="Z279" s="13"/>
      <c r="AA279" s="15"/>
      <c r="AB279" s="13"/>
      <c r="AC279" s="15"/>
      <c r="AD279" s="13"/>
      <c r="AE279" s="15"/>
      <c r="AF279" s="13"/>
      <c r="AG279" s="15"/>
      <c r="AH279" s="13"/>
      <c r="AI279" s="15"/>
      <c r="AJ279" s="13"/>
      <c r="AK279" s="15"/>
      <c r="AL279" s="13"/>
      <c r="AM279" s="15"/>
    </row>
    <row r="280" spans="1:39" ht="165" x14ac:dyDescent="0.25">
      <c r="A280" s="13" t="s">
        <v>86</v>
      </c>
      <c r="B280" s="13" t="s">
        <v>87</v>
      </c>
      <c r="C280" s="14">
        <v>43850.552083333336</v>
      </c>
      <c r="D280" s="13" t="s">
        <v>88</v>
      </c>
      <c r="E280" s="15" t="s">
        <v>89</v>
      </c>
      <c r="F280" s="13" t="s">
        <v>90</v>
      </c>
      <c r="G280" s="15" t="s">
        <v>91</v>
      </c>
      <c r="H280" s="13" t="s">
        <v>451</v>
      </c>
      <c r="I280" s="15" t="s">
        <v>452</v>
      </c>
      <c r="J280" s="15" t="s">
        <v>453</v>
      </c>
      <c r="K280" s="15" t="s">
        <v>454</v>
      </c>
      <c r="L280" s="13" t="s">
        <v>455</v>
      </c>
      <c r="M280" s="15" t="s">
        <v>456</v>
      </c>
      <c r="N280" s="13" t="s">
        <v>98</v>
      </c>
      <c r="O280" s="15" t="s">
        <v>428</v>
      </c>
      <c r="P280" s="15" t="s">
        <v>429</v>
      </c>
      <c r="Q280" s="15" t="s">
        <v>101</v>
      </c>
      <c r="R280" s="13" t="s">
        <v>102</v>
      </c>
      <c r="S280" s="13" t="s">
        <v>103</v>
      </c>
      <c r="T280" s="13" t="s">
        <v>104</v>
      </c>
      <c r="U280" s="14">
        <v>40725</v>
      </c>
      <c r="V280" s="14"/>
      <c r="W280" s="15" t="s">
        <v>727</v>
      </c>
      <c r="X280" s="13" t="s">
        <v>728</v>
      </c>
      <c r="Y280" s="15" t="str">
        <f>VLOOKUP(X280,'Axe 2 Règles de gestion'!$D$2:$F$121,3, FALSE)</f>
        <v>Rémunération : L'agent perçoit la rémunération et bénéficie du régime indemnitaire de son emploi d'accueil. Cependant si sa rémunération d'origine est plus élevée, il la conserve.</v>
      </c>
      <c r="Z280" s="13" t="s">
        <v>703</v>
      </c>
      <c r="AA280" s="15" t="str">
        <f>VLOOKUP(Z280,'Axe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80" s="13" t="s">
        <v>705</v>
      </c>
      <c r="AC280" s="15" t="str">
        <f>VLOOKUP(AB280,'Axe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80" s="13" t="s">
        <v>707</v>
      </c>
      <c r="AE280" s="15" t="str">
        <f>VLOOKUP(AD280,'Axe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80" s="13" t="s">
        <v>709</v>
      </c>
      <c r="AG280" s="15" t="str">
        <f>VLOOKUP(AF280,'Axe 2 Règles de gestion'!$D$2:$F$121,3, FALSE)</f>
        <v>Congés annuels : L'agent cumule des droits à congé.</v>
      </c>
      <c r="AH280" s="13" t="s">
        <v>711</v>
      </c>
      <c r="AI280" s="15" t="str">
        <f>VLOOKUP(AH280,'Axe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80" s="13" t="s">
        <v>713</v>
      </c>
      <c r="AK280" s="15" t="str">
        <f>VLOOKUP(AJ280,'Axe 2 Règles de gestion'!$D$2:$F$121,3, FALSE)</f>
        <v>Acte : Un acte administratif doit être produit.</v>
      </c>
      <c r="AL280" s="13"/>
      <c r="AM280" s="15"/>
    </row>
    <row r="281" spans="1:39" ht="120" x14ac:dyDescent="0.25">
      <c r="A281" s="13" t="s">
        <v>86</v>
      </c>
      <c r="B281" s="13" t="s">
        <v>87</v>
      </c>
      <c r="C281" s="14">
        <v>43850.552083333336</v>
      </c>
      <c r="D281" s="13" t="s">
        <v>88</v>
      </c>
      <c r="E281" s="15" t="s">
        <v>89</v>
      </c>
      <c r="F281" s="13" t="s">
        <v>90</v>
      </c>
      <c r="G281" s="15" t="s">
        <v>91</v>
      </c>
      <c r="H281" s="13" t="s">
        <v>451</v>
      </c>
      <c r="I281" s="15" t="s">
        <v>452</v>
      </c>
      <c r="J281" s="15" t="s">
        <v>453</v>
      </c>
      <c r="K281" s="15" t="s">
        <v>454</v>
      </c>
      <c r="L281" s="13" t="s">
        <v>462</v>
      </c>
      <c r="M281" s="15" t="s">
        <v>463</v>
      </c>
      <c r="N281" s="13" t="s">
        <v>188</v>
      </c>
      <c r="O281" s="15" t="s">
        <v>464</v>
      </c>
      <c r="P281" s="15" t="s">
        <v>437</v>
      </c>
      <c r="Q281" s="15" t="s">
        <v>101</v>
      </c>
      <c r="R281" s="13" t="s">
        <v>102</v>
      </c>
      <c r="S281" s="13" t="s">
        <v>103</v>
      </c>
      <c r="T281" s="13" t="s">
        <v>104</v>
      </c>
      <c r="U281" s="14">
        <v>40725</v>
      </c>
      <c r="V281" s="14"/>
      <c r="W281" s="15"/>
      <c r="X281" s="13"/>
      <c r="Y281" s="15"/>
      <c r="Z281" s="13"/>
      <c r="AA281" s="15"/>
      <c r="AB281" s="13"/>
      <c r="AC281" s="15"/>
      <c r="AD281" s="13"/>
      <c r="AE281" s="15"/>
      <c r="AF281" s="13"/>
      <c r="AG281" s="15"/>
      <c r="AH281" s="13"/>
      <c r="AI281" s="15"/>
      <c r="AJ281" s="13"/>
      <c r="AK281" s="15"/>
      <c r="AL281" s="13"/>
      <c r="AM281" s="15"/>
    </row>
    <row r="282" spans="1:39" ht="120" x14ac:dyDescent="0.25">
      <c r="A282" s="13" t="s">
        <v>202</v>
      </c>
      <c r="B282" s="13" t="s">
        <v>153</v>
      </c>
      <c r="C282" s="14">
        <v>43152.5</v>
      </c>
      <c r="D282" s="13" t="s">
        <v>88</v>
      </c>
      <c r="E282" s="15" t="s">
        <v>89</v>
      </c>
      <c r="F282" s="13" t="s">
        <v>90</v>
      </c>
      <c r="G282" s="15" t="s">
        <v>91</v>
      </c>
      <c r="H282" s="13" t="s">
        <v>451</v>
      </c>
      <c r="I282" s="15" t="s">
        <v>452</v>
      </c>
      <c r="J282" s="15" t="s">
        <v>453</v>
      </c>
      <c r="K282" s="15" t="s">
        <v>454</v>
      </c>
      <c r="L282" s="13" t="s">
        <v>455</v>
      </c>
      <c r="M282" s="15" t="s">
        <v>456</v>
      </c>
      <c r="N282" s="13" t="s">
        <v>98</v>
      </c>
      <c r="O282" s="15" t="s">
        <v>428</v>
      </c>
      <c r="P282" s="15" t="s">
        <v>429</v>
      </c>
      <c r="Q282" s="15" t="s">
        <v>203</v>
      </c>
      <c r="R282" s="13" t="s">
        <v>204</v>
      </c>
      <c r="S282" s="13" t="s">
        <v>103</v>
      </c>
      <c r="T282" s="13" t="s">
        <v>205</v>
      </c>
      <c r="U282" s="14">
        <v>40725</v>
      </c>
      <c r="V282" s="14"/>
      <c r="W282" s="15"/>
      <c r="X282" s="13"/>
      <c r="Y282" s="15"/>
      <c r="Z282" s="13"/>
      <c r="AA282" s="15"/>
      <c r="AB282" s="13"/>
      <c r="AC282" s="15"/>
      <c r="AD282" s="13"/>
      <c r="AE282" s="15"/>
      <c r="AF282" s="13"/>
      <c r="AG282" s="15"/>
      <c r="AH282" s="13"/>
      <c r="AI282" s="15"/>
      <c r="AJ282" s="13"/>
      <c r="AK282" s="15"/>
      <c r="AL282" s="13"/>
      <c r="AM282" s="15"/>
    </row>
    <row r="283" spans="1:39" ht="120" x14ac:dyDescent="0.25">
      <c r="A283" s="13" t="s">
        <v>202</v>
      </c>
      <c r="B283" s="13" t="s">
        <v>153</v>
      </c>
      <c r="C283" s="14">
        <v>43152.5</v>
      </c>
      <c r="D283" s="13" t="s">
        <v>88</v>
      </c>
      <c r="E283" s="15" t="s">
        <v>89</v>
      </c>
      <c r="F283" s="13" t="s">
        <v>90</v>
      </c>
      <c r="G283" s="15" t="s">
        <v>91</v>
      </c>
      <c r="H283" s="13" t="s">
        <v>451</v>
      </c>
      <c r="I283" s="15" t="s">
        <v>452</v>
      </c>
      <c r="J283" s="15" t="s">
        <v>453</v>
      </c>
      <c r="K283" s="15" t="s">
        <v>454</v>
      </c>
      <c r="L283" s="13" t="s">
        <v>462</v>
      </c>
      <c r="M283" s="15" t="s">
        <v>463</v>
      </c>
      <c r="N283" s="13" t="s">
        <v>188</v>
      </c>
      <c r="O283" s="15" t="s">
        <v>464</v>
      </c>
      <c r="P283" s="15" t="s">
        <v>437</v>
      </c>
      <c r="Q283" s="15" t="s">
        <v>203</v>
      </c>
      <c r="R283" s="13" t="s">
        <v>204</v>
      </c>
      <c r="S283" s="13" t="s">
        <v>103</v>
      </c>
      <c r="T283" s="13" t="s">
        <v>205</v>
      </c>
      <c r="U283" s="14">
        <v>40725</v>
      </c>
      <c r="V283" s="14"/>
      <c r="W283" s="15"/>
      <c r="X283" s="13"/>
      <c r="Y283" s="15"/>
      <c r="Z283" s="13"/>
      <c r="AA283" s="15"/>
      <c r="AB283" s="13"/>
      <c r="AC283" s="15"/>
      <c r="AD283" s="13"/>
      <c r="AE283" s="15"/>
      <c r="AF283" s="13"/>
      <c r="AG283" s="15"/>
      <c r="AH283" s="13"/>
      <c r="AI283" s="15"/>
      <c r="AJ283" s="13"/>
      <c r="AK283" s="15"/>
      <c r="AL283" s="13"/>
      <c r="AM283" s="15"/>
    </row>
    <row r="284" spans="1:39" ht="120" x14ac:dyDescent="0.25">
      <c r="A284" s="13" t="s">
        <v>202</v>
      </c>
      <c r="B284" s="13" t="s">
        <v>153</v>
      </c>
      <c r="C284" s="14">
        <v>43152.5</v>
      </c>
      <c r="D284" s="13" t="s">
        <v>88</v>
      </c>
      <c r="E284" s="15" t="s">
        <v>89</v>
      </c>
      <c r="F284" s="13" t="s">
        <v>90</v>
      </c>
      <c r="G284" s="15" t="s">
        <v>91</v>
      </c>
      <c r="H284" s="13" t="s">
        <v>451</v>
      </c>
      <c r="I284" s="15" t="s">
        <v>452</v>
      </c>
      <c r="J284" s="15" t="s">
        <v>453</v>
      </c>
      <c r="K284" s="15" t="s">
        <v>454</v>
      </c>
      <c r="L284" s="13" t="s">
        <v>455</v>
      </c>
      <c r="M284" s="15" t="s">
        <v>456</v>
      </c>
      <c r="N284" s="13" t="s">
        <v>98</v>
      </c>
      <c r="O284" s="15" t="s">
        <v>428</v>
      </c>
      <c r="P284" s="15" t="s">
        <v>429</v>
      </c>
      <c r="Q284" s="15" t="s">
        <v>206</v>
      </c>
      <c r="R284" s="13" t="s">
        <v>207</v>
      </c>
      <c r="S284" s="13" t="s">
        <v>103</v>
      </c>
      <c r="T284" s="13" t="s">
        <v>205</v>
      </c>
      <c r="U284" s="14">
        <v>40725</v>
      </c>
      <c r="V284" s="14"/>
      <c r="W284" s="15"/>
      <c r="X284" s="13"/>
      <c r="Y284" s="15"/>
      <c r="Z284" s="13"/>
      <c r="AA284" s="15"/>
      <c r="AB284" s="13"/>
      <c r="AC284" s="15"/>
      <c r="AD284" s="13"/>
      <c r="AE284" s="15"/>
      <c r="AF284" s="13"/>
      <c r="AG284" s="15"/>
      <c r="AH284" s="13"/>
      <c r="AI284" s="15"/>
      <c r="AJ284" s="13"/>
      <c r="AK284" s="15"/>
      <c r="AL284" s="13"/>
      <c r="AM284" s="15"/>
    </row>
    <row r="285" spans="1:39" ht="120" x14ac:dyDescent="0.25">
      <c r="A285" s="13" t="s">
        <v>202</v>
      </c>
      <c r="B285" s="13" t="s">
        <v>153</v>
      </c>
      <c r="C285" s="14">
        <v>43152.5</v>
      </c>
      <c r="D285" s="13" t="s">
        <v>88</v>
      </c>
      <c r="E285" s="15" t="s">
        <v>89</v>
      </c>
      <c r="F285" s="13" t="s">
        <v>90</v>
      </c>
      <c r="G285" s="15" t="s">
        <v>91</v>
      </c>
      <c r="H285" s="13" t="s">
        <v>451</v>
      </c>
      <c r="I285" s="15" t="s">
        <v>452</v>
      </c>
      <c r="J285" s="15" t="s">
        <v>453</v>
      </c>
      <c r="K285" s="15" t="s">
        <v>454</v>
      </c>
      <c r="L285" s="13" t="s">
        <v>462</v>
      </c>
      <c r="M285" s="15" t="s">
        <v>463</v>
      </c>
      <c r="N285" s="13" t="s">
        <v>188</v>
      </c>
      <c r="O285" s="15" t="s">
        <v>464</v>
      </c>
      <c r="P285" s="15" t="s">
        <v>437</v>
      </c>
      <c r="Q285" s="15" t="s">
        <v>206</v>
      </c>
      <c r="R285" s="13" t="s">
        <v>207</v>
      </c>
      <c r="S285" s="13" t="s">
        <v>103</v>
      </c>
      <c r="T285" s="13" t="s">
        <v>205</v>
      </c>
      <c r="U285" s="14">
        <v>40725</v>
      </c>
      <c r="V285" s="14"/>
      <c r="W285" s="15"/>
      <c r="X285" s="13"/>
      <c r="Y285" s="15"/>
      <c r="Z285" s="13"/>
      <c r="AA285" s="15"/>
      <c r="AB285" s="13"/>
      <c r="AC285" s="15"/>
      <c r="AD285" s="13"/>
      <c r="AE285" s="15"/>
      <c r="AF285" s="13"/>
      <c r="AG285" s="15"/>
      <c r="AH285" s="13"/>
      <c r="AI285" s="15"/>
      <c r="AJ285" s="13"/>
      <c r="AK285" s="15"/>
      <c r="AL285" s="13"/>
      <c r="AM285" s="15"/>
    </row>
    <row r="286" spans="1:39" ht="120" x14ac:dyDescent="0.25">
      <c r="A286" s="13" t="s">
        <v>202</v>
      </c>
      <c r="B286" s="13" t="s">
        <v>153</v>
      </c>
      <c r="C286" s="14">
        <v>43152.5</v>
      </c>
      <c r="D286" s="13" t="s">
        <v>88</v>
      </c>
      <c r="E286" s="15" t="s">
        <v>89</v>
      </c>
      <c r="F286" s="13" t="s">
        <v>90</v>
      </c>
      <c r="G286" s="15" t="s">
        <v>91</v>
      </c>
      <c r="H286" s="13" t="s">
        <v>451</v>
      </c>
      <c r="I286" s="15" t="s">
        <v>452</v>
      </c>
      <c r="J286" s="15" t="s">
        <v>453</v>
      </c>
      <c r="K286" s="15" t="s">
        <v>454</v>
      </c>
      <c r="L286" s="13" t="s">
        <v>455</v>
      </c>
      <c r="M286" s="15" t="s">
        <v>456</v>
      </c>
      <c r="N286" s="13" t="s">
        <v>98</v>
      </c>
      <c r="O286" s="15" t="s">
        <v>428</v>
      </c>
      <c r="P286" s="15" t="s">
        <v>429</v>
      </c>
      <c r="Q286" s="15" t="s">
        <v>208</v>
      </c>
      <c r="R286" s="13" t="s">
        <v>209</v>
      </c>
      <c r="S286" s="13" t="s">
        <v>103</v>
      </c>
      <c r="T286" s="13" t="s">
        <v>205</v>
      </c>
      <c r="U286" s="14">
        <v>40725</v>
      </c>
      <c r="V286" s="14"/>
      <c r="W286" s="15"/>
      <c r="X286" s="13"/>
      <c r="Y286" s="15"/>
      <c r="Z286" s="13"/>
      <c r="AA286" s="15"/>
      <c r="AB286" s="13"/>
      <c r="AC286" s="15"/>
      <c r="AD286" s="13"/>
      <c r="AE286" s="15"/>
      <c r="AF286" s="13"/>
      <c r="AG286" s="15"/>
      <c r="AH286" s="13"/>
      <c r="AI286" s="15"/>
      <c r="AJ286" s="13"/>
      <c r="AK286" s="15"/>
      <c r="AL286" s="13"/>
      <c r="AM286" s="15"/>
    </row>
    <row r="287" spans="1:39" ht="120" x14ac:dyDescent="0.25">
      <c r="A287" s="13" t="s">
        <v>202</v>
      </c>
      <c r="B287" s="13" t="s">
        <v>153</v>
      </c>
      <c r="C287" s="14">
        <v>43152.5</v>
      </c>
      <c r="D287" s="13" t="s">
        <v>88</v>
      </c>
      <c r="E287" s="15" t="s">
        <v>89</v>
      </c>
      <c r="F287" s="13" t="s">
        <v>90</v>
      </c>
      <c r="G287" s="15" t="s">
        <v>91</v>
      </c>
      <c r="H287" s="13" t="s">
        <v>451</v>
      </c>
      <c r="I287" s="15" t="s">
        <v>452</v>
      </c>
      <c r="J287" s="15" t="s">
        <v>453</v>
      </c>
      <c r="K287" s="15" t="s">
        <v>454</v>
      </c>
      <c r="L287" s="13" t="s">
        <v>462</v>
      </c>
      <c r="M287" s="15" t="s">
        <v>463</v>
      </c>
      <c r="N287" s="13" t="s">
        <v>188</v>
      </c>
      <c r="O287" s="15" t="s">
        <v>464</v>
      </c>
      <c r="P287" s="15" t="s">
        <v>437</v>
      </c>
      <c r="Q287" s="15" t="s">
        <v>208</v>
      </c>
      <c r="R287" s="13" t="s">
        <v>209</v>
      </c>
      <c r="S287" s="13" t="s">
        <v>103</v>
      </c>
      <c r="T287" s="13" t="s">
        <v>205</v>
      </c>
      <c r="U287" s="14">
        <v>40725</v>
      </c>
      <c r="V287" s="14"/>
      <c r="W287" s="15"/>
      <c r="X287" s="13"/>
      <c r="Y287" s="15"/>
      <c r="Z287" s="13"/>
      <c r="AA287" s="15"/>
      <c r="AB287" s="13"/>
      <c r="AC287" s="15"/>
      <c r="AD287" s="13"/>
      <c r="AE287" s="15"/>
      <c r="AF287" s="13"/>
      <c r="AG287" s="15"/>
      <c r="AH287" s="13"/>
      <c r="AI287" s="15"/>
      <c r="AJ287" s="13"/>
      <c r="AK287" s="15"/>
      <c r="AL287" s="13"/>
      <c r="AM287" s="15"/>
    </row>
    <row r="288" spans="1:39" ht="165" x14ac:dyDescent="0.25">
      <c r="A288" s="13" t="s">
        <v>86</v>
      </c>
      <c r="B288" s="13" t="s">
        <v>87</v>
      </c>
      <c r="C288" s="14">
        <v>43850.552083333336</v>
      </c>
      <c r="D288" s="13" t="s">
        <v>88</v>
      </c>
      <c r="E288" s="15" t="s">
        <v>89</v>
      </c>
      <c r="F288" s="13" t="s">
        <v>90</v>
      </c>
      <c r="G288" s="15" t="s">
        <v>91</v>
      </c>
      <c r="H288" s="13" t="s">
        <v>467</v>
      </c>
      <c r="I288" s="15" t="s">
        <v>468</v>
      </c>
      <c r="J288" s="15" t="s">
        <v>469</v>
      </c>
      <c r="K288" s="15" t="s">
        <v>470</v>
      </c>
      <c r="L288" s="13" t="s">
        <v>471</v>
      </c>
      <c r="M288" s="15" t="s">
        <v>472</v>
      </c>
      <c r="N288" s="13" t="s">
        <v>98</v>
      </c>
      <c r="O288" s="15" t="s">
        <v>428</v>
      </c>
      <c r="P288" s="15" t="s">
        <v>429</v>
      </c>
      <c r="Q288" s="15" t="s">
        <v>101</v>
      </c>
      <c r="R288" s="13" t="s">
        <v>102</v>
      </c>
      <c r="S288" s="13" t="s">
        <v>103</v>
      </c>
      <c r="T288" s="13" t="s">
        <v>104</v>
      </c>
      <c r="U288" s="14">
        <v>40725</v>
      </c>
      <c r="V288" s="14"/>
      <c r="W288" s="15" t="s">
        <v>727</v>
      </c>
      <c r="X288" s="13" t="s">
        <v>728</v>
      </c>
      <c r="Y288" s="15" t="str">
        <f>VLOOKUP(X288,'Axe 2 Règles de gestion'!$D$2:$F$121,3, FALSE)</f>
        <v>Rémunération : L'agent perçoit la rémunération et bénéficie du régime indemnitaire de son emploi d'accueil. Cependant si sa rémunération d'origine est plus élevée, il la conserve.</v>
      </c>
      <c r="Z288" s="13" t="s">
        <v>703</v>
      </c>
      <c r="AA288" s="15" t="str">
        <f>VLOOKUP(Z288,'Axe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288" s="13" t="s">
        <v>705</v>
      </c>
      <c r="AC288" s="15" t="str">
        <f>VLOOKUP(AB288,'Axe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288" s="13" t="s">
        <v>707</v>
      </c>
      <c r="AE288" s="15" t="str">
        <f>VLOOKUP(AD288,'Axe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288" s="13" t="s">
        <v>709</v>
      </c>
      <c r="AG288" s="15" t="str">
        <f>VLOOKUP(AF288,'Axe 2 Règles de gestion'!$D$2:$F$121,3, FALSE)</f>
        <v>Congés annuels : L'agent cumule des droits à congé.</v>
      </c>
      <c r="AH288" s="13" t="s">
        <v>711</v>
      </c>
      <c r="AI288" s="15" t="str">
        <f>VLOOKUP(AH288,'Axe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288" s="13" t="s">
        <v>713</v>
      </c>
      <c r="AK288" s="15" t="str">
        <f>VLOOKUP(AJ288,'Axe 2 Règles de gestion'!$D$2:$F$121,3, FALSE)</f>
        <v>Acte : Un acte administratif doit être produit.</v>
      </c>
      <c r="AL288" s="13"/>
      <c r="AM288" s="15"/>
    </row>
    <row r="289" spans="1:39" ht="120" x14ac:dyDescent="0.25">
      <c r="A289" s="13" t="s">
        <v>86</v>
      </c>
      <c r="B289" s="13" t="s">
        <v>87</v>
      </c>
      <c r="C289" s="14">
        <v>43850.552083333336</v>
      </c>
      <c r="D289" s="13" t="s">
        <v>88</v>
      </c>
      <c r="E289" s="15" t="s">
        <v>89</v>
      </c>
      <c r="F289" s="13" t="s">
        <v>90</v>
      </c>
      <c r="G289" s="15" t="s">
        <v>91</v>
      </c>
      <c r="H289" s="13" t="s">
        <v>467</v>
      </c>
      <c r="I289" s="15" t="s">
        <v>468</v>
      </c>
      <c r="J289" s="15" t="s">
        <v>469</v>
      </c>
      <c r="K289" s="15" t="s">
        <v>470</v>
      </c>
      <c r="L289" s="13" t="s">
        <v>473</v>
      </c>
      <c r="M289" s="15" t="s">
        <v>474</v>
      </c>
      <c r="N289" s="13" t="s">
        <v>188</v>
      </c>
      <c r="O289" s="15" t="s">
        <v>464</v>
      </c>
      <c r="P289" s="15" t="s">
        <v>437</v>
      </c>
      <c r="Q289" s="15" t="s">
        <v>101</v>
      </c>
      <c r="R289" s="13" t="s">
        <v>102</v>
      </c>
      <c r="S289" s="13" t="s">
        <v>103</v>
      </c>
      <c r="T289" s="13" t="s">
        <v>104</v>
      </c>
      <c r="U289" s="14">
        <v>40725</v>
      </c>
      <c r="V289" s="14"/>
      <c r="W289" s="15"/>
      <c r="X289" s="13"/>
      <c r="Y289" s="15"/>
      <c r="Z289" s="13"/>
      <c r="AA289" s="15"/>
      <c r="AB289" s="13"/>
      <c r="AC289" s="15"/>
      <c r="AD289" s="13"/>
      <c r="AE289" s="15"/>
      <c r="AF289" s="13"/>
      <c r="AG289" s="15"/>
      <c r="AH289" s="13"/>
      <c r="AI289" s="15"/>
      <c r="AJ289" s="13"/>
      <c r="AK289" s="15"/>
      <c r="AL289" s="13"/>
      <c r="AM289" s="15"/>
    </row>
    <row r="290" spans="1:39" ht="120" x14ac:dyDescent="0.25">
      <c r="A290" s="13" t="s">
        <v>202</v>
      </c>
      <c r="B290" s="13" t="s">
        <v>153</v>
      </c>
      <c r="C290" s="14">
        <v>43152.5</v>
      </c>
      <c r="D290" s="13" t="s">
        <v>88</v>
      </c>
      <c r="E290" s="15" t="s">
        <v>89</v>
      </c>
      <c r="F290" s="13" t="s">
        <v>90</v>
      </c>
      <c r="G290" s="15" t="s">
        <v>91</v>
      </c>
      <c r="H290" s="13" t="s">
        <v>467</v>
      </c>
      <c r="I290" s="15" t="s">
        <v>468</v>
      </c>
      <c r="J290" s="15" t="s">
        <v>469</v>
      </c>
      <c r="K290" s="15" t="s">
        <v>470</v>
      </c>
      <c r="L290" s="13" t="s">
        <v>471</v>
      </c>
      <c r="M290" s="15" t="s">
        <v>472</v>
      </c>
      <c r="N290" s="13" t="s">
        <v>98</v>
      </c>
      <c r="O290" s="15" t="s">
        <v>428</v>
      </c>
      <c r="P290" s="15" t="s">
        <v>429</v>
      </c>
      <c r="Q290" s="15" t="s">
        <v>203</v>
      </c>
      <c r="R290" s="13" t="s">
        <v>204</v>
      </c>
      <c r="S290" s="13" t="s">
        <v>103</v>
      </c>
      <c r="T290" s="13" t="s">
        <v>205</v>
      </c>
      <c r="U290" s="14">
        <v>40725</v>
      </c>
      <c r="V290" s="14"/>
      <c r="W290" s="15"/>
      <c r="X290" s="13"/>
      <c r="Y290" s="15"/>
      <c r="Z290" s="13"/>
      <c r="AA290" s="15"/>
      <c r="AB290" s="13"/>
      <c r="AC290" s="15"/>
      <c r="AD290" s="13"/>
      <c r="AE290" s="15"/>
      <c r="AF290" s="13"/>
      <c r="AG290" s="15"/>
      <c r="AH290" s="13"/>
      <c r="AI290" s="15"/>
      <c r="AJ290" s="13"/>
      <c r="AK290" s="15"/>
      <c r="AL290" s="13"/>
      <c r="AM290" s="15"/>
    </row>
    <row r="291" spans="1:39" ht="120" x14ac:dyDescent="0.25">
      <c r="A291" s="13" t="s">
        <v>202</v>
      </c>
      <c r="B291" s="13" t="s">
        <v>153</v>
      </c>
      <c r="C291" s="14">
        <v>43152.5</v>
      </c>
      <c r="D291" s="13" t="s">
        <v>88</v>
      </c>
      <c r="E291" s="15" t="s">
        <v>89</v>
      </c>
      <c r="F291" s="13" t="s">
        <v>90</v>
      </c>
      <c r="G291" s="15" t="s">
        <v>91</v>
      </c>
      <c r="H291" s="13" t="s">
        <v>467</v>
      </c>
      <c r="I291" s="15" t="s">
        <v>468</v>
      </c>
      <c r="J291" s="15" t="s">
        <v>469</v>
      </c>
      <c r="K291" s="15" t="s">
        <v>470</v>
      </c>
      <c r="L291" s="13" t="s">
        <v>473</v>
      </c>
      <c r="M291" s="15" t="s">
        <v>474</v>
      </c>
      <c r="N291" s="13" t="s">
        <v>188</v>
      </c>
      <c r="O291" s="15" t="s">
        <v>464</v>
      </c>
      <c r="P291" s="15" t="s">
        <v>437</v>
      </c>
      <c r="Q291" s="15" t="s">
        <v>203</v>
      </c>
      <c r="R291" s="13" t="s">
        <v>204</v>
      </c>
      <c r="S291" s="13" t="s">
        <v>103</v>
      </c>
      <c r="T291" s="13" t="s">
        <v>205</v>
      </c>
      <c r="U291" s="14">
        <v>40725</v>
      </c>
      <c r="V291" s="14"/>
      <c r="W291" s="15"/>
      <c r="X291" s="13"/>
      <c r="Y291" s="15"/>
      <c r="Z291" s="13"/>
      <c r="AA291" s="15"/>
      <c r="AB291" s="13"/>
      <c r="AC291" s="15"/>
      <c r="AD291" s="13"/>
      <c r="AE291" s="15"/>
      <c r="AF291" s="13"/>
      <c r="AG291" s="15"/>
      <c r="AH291" s="13"/>
      <c r="AI291" s="15"/>
      <c r="AJ291" s="13"/>
      <c r="AK291" s="15"/>
      <c r="AL291" s="13"/>
      <c r="AM291" s="15"/>
    </row>
    <row r="292" spans="1:39" ht="120" x14ac:dyDescent="0.25">
      <c r="A292" s="13" t="s">
        <v>202</v>
      </c>
      <c r="B292" s="13" t="s">
        <v>153</v>
      </c>
      <c r="C292" s="14">
        <v>43152.5</v>
      </c>
      <c r="D292" s="13" t="s">
        <v>88</v>
      </c>
      <c r="E292" s="15" t="s">
        <v>89</v>
      </c>
      <c r="F292" s="13" t="s">
        <v>90</v>
      </c>
      <c r="G292" s="15" t="s">
        <v>91</v>
      </c>
      <c r="H292" s="13" t="s">
        <v>467</v>
      </c>
      <c r="I292" s="15" t="s">
        <v>468</v>
      </c>
      <c r="J292" s="15" t="s">
        <v>469</v>
      </c>
      <c r="K292" s="15" t="s">
        <v>470</v>
      </c>
      <c r="L292" s="13" t="s">
        <v>471</v>
      </c>
      <c r="M292" s="15" t="s">
        <v>472</v>
      </c>
      <c r="N292" s="13" t="s">
        <v>98</v>
      </c>
      <c r="O292" s="15" t="s">
        <v>428</v>
      </c>
      <c r="P292" s="15" t="s">
        <v>429</v>
      </c>
      <c r="Q292" s="15" t="s">
        <v>206</v>
      </c>
      <c r="R292" s="13" t="s">
        <v>207</v>
      </c>
      <c r="S292" s="13" t="s">
        <v>103</v>
      </c>
      <c r="T292" s="13" t="s">
        <v>205</v>
      </c>
      <c r="U292" s="14">
        <v>40725</v>
      </c>
      <c r="V292" s="14"/>
      <c r="W292" s="15"/>
      <c r="X292" s="13"/>
      <c r="Y292" s="15"/>
      <c r="Z292" s="13"/>
      <c r="AA292" s="15"/>
      <c r="AB292" s="13"/>
      <c r="AC292" s="15"/>
      <c r="AD292" s="13"/>
      <c r="AE292" s="15"/>
      <c r="AF292" s="13"/>
      <c r="AG292" s="15"/>
      <c r="AH292" s="13"/>
      <c r="AI292" s="15"/>
      <c r="AJ292" s="13"/>
      <c r="AK292" s="15"/>
      <c r="AL292" s="13"/>
      <c r="AM292" s="15"/>
    </row>
    <row r="293" spans="1:39" ht="120" x14ac:dyDescent="0.25">
      <c r="A293" s="13" t="s">
        <v>202</v>
      </c>
      <c r="B293" s="13" t="s">
        <v>153</v>
      </c>
      <c r="C293" s="14">
        <v>43152.5</v>
      </c>
      <c r="D293" s="13" t="s">
        <v>88</v>
      </c>
      <c r="E293" s="15" t="s">
        <v>89</v>
      </c>
      <c r="F293" s="13" t="s">
        <v>90</v>
      </c>
      <c r="G293" s="15" t="s">
        <v>91</v>
      </c>
      <c r="H293" s="13" t="s">
        <v>467</v>
      </c>
      <c r="I293" s="15" t="s">
        <v>468</v>
      </c>
      <c r="J293" s="15" t="s">
        <v>469</v>
      </c>
      <c r="K293" s="15" t="s">
        <v>470</v>
      </c>
      <c r="L293" s="13" t="s">
        <v>473</v>
      </c>
      <c r="M293" s="15" t="s">
        <v>474</v>
      </c>
      <c r="N293" s="13" t="s">
        <v>188</v>
      </c>
      <c r="O293" s="15" t="s">
        <v>464</v>
      </c>
      <c r="P293" s="15" t="s">
        <v>437</v>
      </c>
      <c r="Q293" s="15" t="s">
        <v>206</v>
      </c>
      <c r="R293" s="13" t="s">
        <v>207</v>
      </c>
      <c r="S293" s="13" t="s">
        <v>103</v>
      </c>
      <c r="T293" s="13" t="s">
        <v>205</v>
      </c>
      <c r="U293" s="14">
        <v>40725</v>
      </c>
      <c r="V293" s="14"/>
      <c r="W293" s="15"/>
      <c r="X293" s="13"/>
      <c r="Y293" s="15"/>
      <c r="Z293" s="13"/>
      <c r="AA293" s="15"/>
      <c r="AB293" s="13"/>
      <c r="AC293" s="15"/>
      <c r="AD293" s="13"/>
      <c r="AE293" s="15"/>
      <c r="AF293" s="13"/>
      <c r="AG293" s="15"/>
      <c r="AH293" s="13"/>
      <c r="AI293" s="15"/>
      <c r="AJ293" s="13"/>
      <c r="AK293" s="15"/>
      <c r="AL293" s="13"/>
      <c r="AM293" s="15"/>
    </row>
    <row r="294" spans="1:39" ht="120" x14ac:dyDescent="0.25">
      <c r="A294" s="13" t="s">
        <v>202</v>
      </c>
      <c r="B294" s="13" t="s">
        <v>153</v>
      </c>
      <c r="C294" s="14">
        <v>43152.5</v>
      </c>
      <c r="D294" s="13" t="s">
        <v>88</v>
      </c>
      <c r="E294" s="15" t="s">
        <v>89</v>
      </c>
      <c r="F294" s="13" t="s">
        <v>90</v>
      </c>
      <c r="G294" s="15" t="s">
        <v>91</v>
      </c>
      <c r="H294" s="13" t="s">
        <v>467</v>
      </c>
      <c r="I294" s="15" t="s">
        <v>468</v>
      </c>
      <c r="J294" s="15" t="s">
        <v>469</v>
      </c>
      <c r="K294" s="15" t="s">
        <v>470</v>
      </c>
      <c r="L294" s="13" t="s">
        <v>471</v>
      </c>
      <c r="M294" s="15" t="s">
        <v>472</v>
      </c>
      <c r="N294" s="13" t="s">
        <v>98</v>
      </c>
      <c r="O294" s="15" t="s">
        <v>428</v>
      </c>
      <c r="P294" s="15" t="s">
        <v>429</v>
      </c>
      <c r="Q294" s="15" t="s">
        <v>208</v>
      </c>
      <c r="R294" s="13" t="s">
        <v>209</v>
      </c>
      <c r="S294" s="13" t="s">
        <v>103</v>
      </c>
      <c r="T294" s="13" t="s">
        <v>205</v>
      </c>
      <c r="U294" s="14">
        <v>40725</v>
      </c>
      <c r="V294" s="14"/>
      <c r="W294" s="15"/>
      <c r="X294" s="13"/>
      <c r="Y294" s="15"/>
      <c r="Z294" s="13"/>
      <c r="AA294" s="15"/>
      <c r="AB294" s="13"/>
      <c r="AC294" s="15"/>
      <c r="AD294" s="13"/>
      <c r="AE294" s="15"/>
      <c r="AF294" s="13"/>
      <c r="AG294" s="15"/>
      <c r="AH294" s="13"/>
      <c r="AI294" s="15"/>
      <c r="AJ294" s="13"/>
      <c r="AK294" s="15"/>
      <c r="AL294" s="13"/>
      <c r="AM294" s="15"/>
    </row>
    <row r="295" spans="1:39" ht="120" x14ac:dyDescent="0.25">
      <c r="A295" s="13" t="s">
        <v>202</v>
      </c>
      <c r="B295" s="13" t="s">
        <v>153</v>
      </c>
      <c r="C295" s="14">
        <v>43152.5</v>
      </c>
      <c r="D295" s="13" t="s">
        <v>88</v>
      </c>
      <c r="E295" s="15" t="s">
        <v>89</v>
      </c>
      <c r="F295" s="13" t="s">
        <v>90</v>
      </c>
      <c r="G295" s="15" t="s">
        <v>91</v>
      </c>
      <c r="H295" s="13" t="s">
        <v>467</v>
      </c>
      <c r="I295" s="15" t="s">
        <v>468</v>
      </c>
      <c r="J295" s="15" t="s">
        <v>469</v>
      </c>
      <c r="K295" s="15" t="s">
        <v>470</v>
      </c>
      <c r="L295" s="13" t="s">
        <v>473</v>
      </c>
      <c r="M295" s="15" t="s">
        <v>474</v>
      </c>
      <c r="N295" s="13" t="s">
        <v>188</v>
      </c>
      <c r="O295" s="15" t="s">
        <v>464</v>
      </c>
      <c r="P295" s="15" t="s">
        <v>437</v>
      </c>
      <c r="Q295" s="15" t="s">
        <v>208</v>
      </c>
      <c r="R295" s="13" t="s">
        <v>209</v>
      </c>
      <c r="S295" s="13" t="s">
        <v>103</v>
      </c>
      <c r="T295" s="13" t="s">
        <v>205</v>
      </c>
      <c r="U295" s="14">
        <v>40725</v>
      </c>
      <c r="V295" s="14"/>
      <c r="W295" s="15"/>
      <c r="X295" s="13"/>
      <c r="Y295" s="15"/>
      <c r="Z295" s="13"/>
      <c r="AA295" s="15"/>
      <c r="AB295" s="13"/>
      <c r="AC295" s="15"/>
      <c r="AD295" s="13"/>
      <c r="AE295" s="15"/>
      <c r="AF295" s="13"/>
      <c r="AG295" s="15"/>
      <c r="AH295" s="13"/>
      <c r="AI295" s="15"/>
      <c r="AJ295" s="13"/>
      <c r="AK295" s="15"/>
      <c r="AL295" s="13"/>
      <c r="AM295" s="15"/>
    </row>
    <row r="296" spans="1:39" ht="90" x14ac:dyDescent="0.25">
      <c r="A296" s="13" t="s">
        <v>202</v>
      </c>
      <c r="B296" s="13" t="s">
        <v>153</v>
      </c>
      <c r="C296" s="14">
        <v>43152.5</v>
      </c>
      <c r="D296" s="13" t="s">
        <v>88</v>
      </c>
      <c r="E296" s="15" t="s">
        <v>89</v>
      </c>
      <c r="F296" s="13" t="s">
        <v>90</v>
      </c>
      <c r="G296" s="15" t="s">
        <v>91</v>
      </c>
      <c r="H296" s="13" t="s">
        <v>475</v>
      </c>
      <c r="I296" s="15" t="s">
        <v>476</v>
      </c>
      <c r="J296" s="15" t="s">
        <v>477</v>
      </c>
      <c r="K296" s="15" t="s">
        <v>478</v>
      </c>
      <c r="L296" s="13" t="s">
        <v>479</v>
      </c>
      <c r="M296" s="15" t="s">
        <v>480</v>
      </c>
      <c r="N296" s="13" t="s">
        <v>98</v>
      </c>
      <c r="O296" s="15" t="s">
        <v>428</v>
      </c>
      <c r="P296" s="15" t="s">
        <v>429</v>
      </c>
      <c r="Q296" s="15" t="s">
        <v>101</v>
      </c>
      <c r="R296" s="13" t="s">
        <v>102</v>
      </c>
      <c r="S296" s="13" t="s">
        <v>103</v>
      </c>
      <c r="T296" s="13" t="s">
        <v>205</v>
      </c>
      <c r="U296" s="14">
        <v>40725</v>
      </c>
      <c r="V296" s="14"/>
      <c r="W296" s="15"/>
      <c r="X296" s="13"/>
      <c r="Y296" s="15"/>
      <c r="Z296" s="13"/>
      <c r="AA296" s="15"/>
      <c r="AB296" s="13"/>
      <c r="AC296" s="15"/>
      <c r="AD296" s="13"/>
      <c r="AE296" s="15"/>
      <c r="AF296" s="13"/>
      <c r="AG296" s="15"/>
      <c r="AH296" s="13"/>
      <c r="AI296" s="15"/>
      <c r="AJ296" s="13"/>
      <c r="AK296" s="15"/>
      <c r="AL296" s="13"/>
      <c r="AM296" s="15"/>
    </row>
    <row r="297" spans="1:39" ht="90" x14ac:dyDescent="0.25">
      <c r="A297" s="13" t="s">
        <v>202</v>
      </c>
      <c r="B297" s="13" t="s">
        <v>153</v>
      </c>
      <c r="C297" s="14">
        <v>43152.5</v>
      </c>
      <c r="D297" s="13" t="s">
        <v>88</v>
      </c>
      <c r="E297" s="15" t="s">
        <v>89</v>
      </c>
      <c r="F297" s="13" t="s">
        <v>90</v>
      </c>
      <c r="G297" s="15" t="s">
        <v>91</v>
      </c>
      <c r="H297" s="13" t="s">
        <v>475</v>
      </c>
      <c r="I297" s="15" t="s">
        <v>476</v>
      </c>
      <c r="J297" s="15" t="s">
        <v>477</v>
      </c>
      <c r="K297" s="15" t="s">
        <v>478</v>
      </c>
      <c r="L297" s="13" t="s">
        <v>481</v>
      </c>
      <c r="M297" s="15" t="s">
        <v>482</v>
      </c>
      <c r="N297" s="13" t="s">
        <v>188</v>
      </c>
      <c r="O297" s="15" t="s">
        <v>436</v>
      </c>
      <c r="P297" s="15" t="s">
        <v>437</v>
      </c>
      <c r="Q297" s="15" t="s">
        <v>101</v>
      </c>
      <c r="R297" s="13" t="s">
        <v>102</v>
      </c>
      <c r="S297" s="13" t="s">
        <v>103</v>
      </c>
      <c r="T297" s="13" t="s">
        <v>205</v>
      </c>
      <c r="U297" s="14">
        <v>40725</v>
      </c>
      <c r="V297" s="14"/>
      <c r="W297" s="15"/>
      <c r="X297" s="13"/>
      <c r="Y297" s="15"/>
      <c r="Z297" s="13"/>
      <c r="AA297" s="15"/>
      <c r="AB297" s="13"/>
      <c r="AC297" s="15"/>
      <c r="AD297" s="13"/>
      <c r="AE297" s="15"/>
      <c r="AF297" s="13"/>
      <c r="AG297" s="15"/>
      <c r="AH297" s="13"/>
      <c r="AI297" s="15"/>
      <c r="AJ297" s="13"/>
      <c r="AK297" s="15"/>
      <c r="AL297" s="13"/>
      <c r="AM297" s="15"/>
    </row>
    <row r="298" spans="1:39" ht="90" x14ac:dyDescent="0.25">
      <c r="A298" s="13" t="s">
        <v>202</v>
      </c>
      <c r="B298" s="13" t="s">
        <v>153</v>
      </c>
      <c r="C298" s="14">
        <v>43152.5</v>
      </c>
      <c r="D298" s="13" t="s">
        <v>88</v>
      </c>
      <c r="E298" s="15" t="s">
        <v>89</v>
      </c>
      <c r="F298" s="13" t="s">
        <v>90</v>
      </c>
      <c r="G298" s="15" t="s">
        <v>91</v>
      </c>
      <c r="H298" s="13" t="s">
        <v>475</v>
      </c>
      <c r="I298" s="15" t="s">
        <v>476</v>
      </c>
      <c r="J298" s="15" t="s">
        <v>477</v>
      </c>
      <c r="K298" s="15" t="s">
        <v>478</v>
      </c>
      <c r="L298" s="13" t="s">
        <v>479</v>
      </c>
      <c r="M298" s="15" t="s">
        <v>480</v>
      </c>
      <c r="N298" s="13" t="s">
        <v>98</v>
      </c>
      <c r="O298" s="15" t="s">
        <v>428</v>
      </c>
      <c r="P298" s="15" t="s">
        <v>429</v>
      </c>
      <c r="Q298" s="15" t="s">
        <v>203</v>
      </c>
      <c r="R298" s="13" t="s">
        <v>204</v>
      </c>
      <c r="S298" s="13" t="s">
        <v>103</v>
      </c>
      <c r="T298" s="13" t="s">
        <v>205</v>
      </c>
      <c r="U298" s="14">
        <v>40725</v>
      </c>
      <c r="V298" s="14"/>
      <c r="W298" s="15"/>
      <c r="X298" s="13"/>
      <c r="Y298" s="15"/>
      <c r="Z298" s="13"/>
      <c r="AA298" s="15"/>
      <c r="AB298" s="13"/>
      <c r="AC298" s="15"/>
      <c r="AD298" s="13"/>
      <c r="AE298" s="15"/>
      <c r="AF298" s="13"/>
      <c r="AG298" s="15"/>
      <c r="AH298" s="13"/>
      <c r="AI298" s="15"/>
      <c r="AJ298" s="13"/>
      <c r="AK298" s="15"/>
      <c r="AL298" s="13"/>
      <c r="AM298" s="15"/>
    </row>
    <row r="299" spans="1:39" ht="90" x14ac:dyDescent="0.25">
      <c r="A299" s="13" t="s">
        <v>202</v>
      </c>
      <c r="B299" s="13" t="s">
        <v>153</v>
      </c>
      <c r="C299" s="14">
        <v>43152.5</v>
      </c>
      <c r="D299" s="13" t="s">
        <v>88</v>
      </c>
      <c r="E299" s="15" t="s">
        <v>89</v>
      </c>
      <c r="F299" s="13" t="s">
        <v>90</v>
      </c>
      <c r="G299" s="15" t="s">
        <v>91</v>
      </c>
      <c r="H299" s="13" t="s">
        <v>475</v>
      </c>
      <c r="I299" s="15" t="s">
        <v>476</v>
      </c>
      <c r="J299" s="15" t="s">
        <v>477</v>
      </c>
      <c r="K299" s="15" t="s">
        <v>478</v>
      </c>
      <c r="L299" s="13" t="s">
        <v>481</v>
      </c>
      <c r="M299" s="15" t="s">
        <v>482</v>
      </c>
      <c r="N299" s="13" t="s">
        <v>188</v>
      </c>
      <c r="O299" s="15" t="s">
        <v>436</v>
      </c>
      <c r="P299" s="15" t="s">
        <v>437</v>
      </c>
      <c r="Q299" s="15" t="s">
        <v>203</v>
      </c>
      <c r="R299" s="13" t="s">
        <v>204</v>
      </c>
      <c r="S299" s="13" t="s">
        <v>103</v>
      </c>
      <c r="T299" s="13" t="s">
        <v>205</v>
      </c>
      <c r="U299" s="14">
        <v>40725</v>
      </c>
      <c r="V299" s="14"/>
      <c r="W299" s="15"/>
      <c r="X299" s="13"/>
      <c r="Y299" s="15"/>
      <c r="Z299" s="13"/>
      <c r="AA299" s="15"/>
      <c r="AB299" s="13"/>
      <c r="AC299" s="15"/>
      <c r="AD299" s="13"/>
      <c r="AE299" s="15"/>
      <c r="AF299" s="13"/>
      <c r="AG299" s="15"/>
      <c r="AH299" s="13"/>
      <c r="AI299" s="15"/>
      <c r="AJ299" s="13"/>
      <c r="AK299" s="15"/>
      <c r="AL299" s="13"/>
      <c r="AM299" s="15"/>
    </row>
    <row r="300" spans="1:39" ht="90" x14ac:dyDescent="0.25">
      <c r="A300" s="13" t="s">
        <v>202</v>
      </c>
      <c r="B300" s="13" t="s">
        <v>153</v>
      </c>
      <c r="C300" s="14">
        <v>43152.5</v>
      </c>
      <c r="D300" s="13" t="s">
        <v>88</v>
      </c>
      <c r="E300" s="15" t="s">
        <v>89</v>
      </c>
      <c r="F300" s="13" t="s">
        <v>90</v>
      </c>
      <c r="G300" s="15" t="s">
        <v>91</v>
      </c>
      <c r="H300" s="13" t="s">
        <v>475</v>
      </c>
      <c r="I300" s="15" t="s">
        <v>476</v>
      </c>
      <c r="J300" s="15" t="s">
        <v>477</v>
      </c>
      <c r="K300" s="15" t="s">
        <v>478</v>
      </c>
      <c r="L300" s="13" t="s">
        <v>479</v>
      </c>
      <c r="M300" s="15" t="s">
        <v>480</v>
      </c>
      <c r="N300" s="13" t="s">
        <v>98</v>
      </c>
      <c r="O300" s="15" t="s">
        <v>428</v>
      </c>
      <c r="P300" s="15" t="s">
        <v>429</v>
      </c>
      <c r="Q300" s="15" t="s">
        <v>206</v>
      </c>
      <c r="R300" s="13" t="s">
        <v>207</v>
      </c>
      <c r="S300" s="13" t="s">
        <v>103</v>
      </c>
      <c r="T300" s="13" t="s">
        <v>205</v>
      </c>
      <c r="U300" s="14">
        <v>40725</v>
      </c>
      <c r="V300" s="14"/>
      <c r="W300" s="15"/>
      <c r="X300" s="13"/>
      <c r="Y300" s="15"/>
      <c r="Z300" s="13"/>
      <c r="AA300" s="15"/>
      <c r="AB300" s="13"/>
      <c r="AC300" s="15"/>
      <c r="AD300" s="13"/>
      <c r="AE300" s="15"/>
      <c r="AF300" s="13"/>
      <c r="AG300" s="15"/>
      <c r="AH300" s="13"/>
      <c r="AI300" s="15"/>
      <c r="AJ300" s="13"/>
      <c r="AK300" s="15"/>
      <c r="AL300" s="13"/>
      <c r="AM300" s="15"/>
    </row>
    <row r="301" spans="1:39" ht="90" x14ac:dyDescent="0.25">
      <c r="A301" s="13" t="s">
        <v>202</v>
      </c>
      <c r="B301" s="13" t="s">
        <v>153</v>
      </c>
      <c r="C301" s="14">
        <v>43152.5</v>
      </c>
      <c r="D301" s="13" t="s">
        <v>88</v>
      </c>
      <c r="E301" s="15" t="s">
        <v>89</v>
      </c>
      <c r="F301" s="13" t="s">
        <v>90</v>
      </c>
      <c r="G301" s="15" t="s">
        <v>91</v>
      </c>
      <c r="H301" s="13" t="s">
        <v>475</v>
      </c>
      <c r="I301" s="15" t="s">
        <v>476</v>
      </c>
      <c r="J301" s="15" t="s">
        <v>477</v>
      </c>
      <c r="K301" s="15" t="s">
        <v>478</v>
      </c>
      <c r="L301" s="13" t="s">
        <v>481</v>
      </c>
      <c r="M301" s="15" t="s">
        <v>482</v>
      </c>
      <c r="N301" s="13" t="s">
        <v>188</v>
      </c>
      <c r="O301" s="15" t="s">
        <v>436</v>
      </c>
      <c r="P301" s="15" t="s">
        <v>437</v>
      </c>
      <c r="Q301" s="15" t="s">
        <v>206</v>
      </c>
      <c r="R301" s="13" t="s">
        <v>207</v>
      </c>
      <c r="S301" s="13" t="s">
        <v>103</v>
      </c>
      <c r="T301" s="13" t="s">
        <v>205</v>
      </c>
      <c r="U301" s="14">
        <v>40725</v>
      </c>
      <c r="V301" s="14"/>
      <c r="W301" s="15"/>
      <c r="X301" s="13"/>
      <c r="Y301" s="15"/>
      <c r="Z301" s="13"/>
      <c r="AA301" s="15"/>
      <c r="AB301" s="13"/>
      <c r="AC301" s="15"/>
      <c r="AD301" s="13"/>
      <c r="AE301" s="15"/>
      <c r="AF301" s="13"/>
      <c r="AG301" s="15"/>
      <c r="AH301" s="13"/>
      <c r="AI301" s="15"/>
      <c r="AJ301" s="13"/>
      <c r="AK301" s="15"/>
      <c r="AL301" s="13"/>
      <c r="AM301" s="15"/>
    </row>
    <row r="302" spans="1:39" ht="90" x14ac:dyDescent="0.25">
      <c r="A302" s="13" t="s">
        <v>202</v>
      </c>
      <c r="B302" s="13" t="s">
        <v>153</v>
      </c>
      <c r="C302" s="14">
        <v>43152.5</v>
      </c>
      <c r="D302" s="13" t="s">
        <v>88</v>
      </c>
      <c r="E302" s="15" t="s">
        <v>89</v>
      </c>
      <c r="F302" s="13" t="s">
        <v>90</v>
      </c>
      <c r="G302" s="15" t="s">
        <v>91</v>
      </c>
      <c r="H302" s="13" t="s">
        <v>475</v>
      </c>
      <c r="I302" s="15" t="s">
        <v>476</v>
      </c>
      <c r="J302" s="15" t="s">
        <v>477</v>
      </c>
      <c r="K302" s="15" t="s">
        <v>478</v>
      </c>
      <c r="L302" s="13" t="s">
        <v>479</v>
      </c>
      <c r="M302" s="15" t="s">
        <v>480</v>
      </c>
      <c r="N302" s="13" t="s">
        <v>98</v>
      </c>
      <c r="O302" s="15" t="s">
        <v>428</v>
      </c>
      <c r="P302" s="15" t="s">
        <v>429</v>
      </c>
      <c r="Q302" s="15" t="s">
        <v>208</v>
      </c>
      <c r="R302" s="13" t="s">
        <v>209</v>
      </c>
      <c r="S302" s="13" t="s">
        <v>103</v>
      </c>
      <c r="T302" s="13" t="s">
        <v>205</v>
      </c>
      <c r="U302" s="14">
        <v>40725</v>
      </c>
      <c r="V302" s="14"/>
      <c r="W302" s="15"/>
      <c r="X302" s="13"/>
      <c r="Y302" s="15"/>
      <c r="Z302" s="13"/>
      <c r="AA302" s="15"/>
      <c r="AB302" s="13"/>
      <c r="AC302" s="15"/>
      <c r="AD302" s="13"/>
      <c r="AE302" s="15"/>
      <c r="AF302" s="13"/>
      <c r="AG302" s="15"/>
      <c r="AH302" s="13"/>
      <c r="AI302" s="15"/>
      <c r="AJ302" s="13"/>
      <c r="AK302" s="15"/>
      <c r="AL302" s="13"/>
      <c r="AM302" s="15"/>
    </row>
    <row r="303" spans="1:39" ht="90" x14ac:dyDescent="0.25">
      <c r="A303" s="13" t="s">
        <v>202</v>
      </c>
      <c r="B303" s="13" t="s">
        <v>153</v>
      </c>
      <c r="C303" s="14">
        <v>43152.5</v>
      </c>
      <c r="D303" s="13" t="s">
        <v>88</v>
      </c>
      <c r="E303" s="15" t="s">
        <v>89</v>
      </c>
      <c r="F303" s="13" t="s">
        <v>90</v>
      </c>
      <c r="G303" s="15" t="s">
        <v>91</v>
      </c>
      <c r="H303" s="13" t="s">
        <v>475</v>
      </c>
      <c r="I303" s="15" t="s">
        <v>476</v>
      </c>
      <c r="J303" s="15" t="s">
        <v>477</v>
      </c>
      <c r="K303" s="15" t="s">
        <v>478</v>
      </c>
      <c r="L303" s="13" t="s">
        <v>481</v>
      </c>
      <c r="M303" s="15" t="s">
        <v>482</v>
      </c>
      <c r="N303" s="13" t="s">
        <v>188</v>
      </c>
      <c r="O303" s="15" t="s">
        <v>436</v>
      </c>
      <c r="P303" s="15" t="s">
        <v>437</v>
      </c>
      <c r="Q303" s="15" t="s">
        <v>208</v>
      </c>
      <c r="R303" s="13" t="s">
        <v>209</v>
      </c>
      <c r="S303" s="13" t="s">
        <v>103</v>
      </c>
      <c r="T303" s="13" t="s">
        <v>205</v>
      </c>
      <c r="U303" s="14">
        <v>40725</v>
      </c>
      <c r="V303" s="14"/>
      <c r="W303" s="15"/>
      <c r="X303" s="13"/>
      <c r="Y303" s="15"/>
      <c r="Z303" s="13"/>
      <c r="AA303" s="15"/>
      <c r="AB303" s="13"/>
      <c r="AC303" s="15"/>
      <c r="AD303" s="13"/>
      <c r="AE303" s="15"/>
      <c r="AF303" s="13"/>
      <c r="AG303" s="15"/>
      <c r="AH303" s="13"/>
      <c r="AI303" s="15"/>
      <c r="AJ303" s="13"/>
      <c r="AK303" s="15"/>
      <c r="AL303" s="13"/>
      <c r="AM303" s="15"/>
    </row>
    <row r="304" spans="1:39" ht="90" x14ac:dyDescent="0.25">
      <c r="A304" s="13" t="s">
        <v>86</v>
      </c>
      <c r="B304" s="13" t="s">
        <v>87</v>
      </c>
      <c r="C304" s="14">
        <v>43850.552083333336</v>
      </c>
      <c r="D304" s="13" t="s">
        <v>88</v>
      </c>
      <c r="E304" s="15" t="s">
        <v>89</v>
      </c>
      <c r="F304" s="13" t="s">
        <v>90</v>
      </c>
      <c r="G304" s="15" t="s">
        <v>91</v>
      </c>
      <c r="H304" s="13" t="s">
        <v>475</v>
      </c>
      <c r="I304" s="15" t="s">
        <v>476</v>
      </c>
      <c r="J304" s="15" t="s">
        <v>477</v>
      </c>
      <c r="K304" s="15" t="s">
        <v>478</v>
      </c>
      <c r="L304" s="13" t="s">
        <v>479</v>
      </c>
      <c r="M304" s="15" t="s">
        <v>480</v>
      </c>
      <c r="N304" s="13" t="s">
        <v>98</v>
      </c>
      <c r="O304" s="15" t="s">
        <v>428</v>
      </c>
      <c r="P304" s="15" t="s">
        <v>429</v>
      </c>
      <c r="Q304" s="15" t="s">
        <v>366</v>
      </c>
      <c r="R304" s="13" t="s">
        <v>367</v>
      </c>
      <c r="S304" s="13" t="s">
        <v>212</v>
      </c>
      <c r="T304" s="13" t="s">
        <v>104</v>
      </c>
      <c r="U304" s="14">
        <v>40725</v>
      </c>
      <c r="V304" s="14"/>
      <c r="W304" s="15"/>
      <c r="X304" s="13"/>
      <c r="Y304" s="15"/>
      <c r="Z304" s="13"/>
      <c r="AA304" s="15"/>
      <c r="AB304" s="13"/>
      <c r="AC304" s="15"/>
      <c r="AD304" s="13"/>
      <c r="AE304" s="15"/>
      <c r="AF304" s="13"/>
      <c r="AG304" s="15"/>
      <c r="AH304" s="13"/>
      <c r="AI304" s="15"/>
      <c r="AJ304" s="13"/>
      <c r="AK304" s="15"/>
      <c r="AL304" s="13"/>
      <c r="AM304" s="15"/>
    </row>
    <row r="305" spans="1:39" ht="90" x14ac:dyDescent="0.25">
      <c r="A305" s="13" t="s">
        <v>86</v>
      </c>
      <c r="B305" s="13" t="s">
        <v>87</v>
      </c>
      <c r="C305" s="14">
        <v>43850.552083333336</v>
      </c>
      <c r="D305" s="13" t="s">
        <v>88</v>
      </c>
      <c r="E305" s="15" t="s">
        <v>89</v>
      </c>
      <c r="F305" s="13" t="s">
        <v>90</v>
      </c>
      <c r="G305" s="15" t="s">
        <v>91</v>
      </c>
      <c r="H305" s="13" t="s">
        <v>475</v>
      </c>
      <c r="I305" s="15" t="s">
        <v>476</v>
      </c>
      <c r="J305" s="15" t="s">
        <v>477</v>
      </c>
      <c r="K305" s="15" t="s">
        <v>478</v>
      </c>
      <c r="L305" s="13" t="s">
        <v>481</v>
      </c>
      <c r="M305" s="15" t="s">
        <v>482</v>
      </c>
      <c r="N305" s="13" t="s">
        <v>188</v>
      </c>
      <c r="O305" s="15" t="s">
        <v>436</v>
      </c>
      <c r="P305" s="15" t="s">
        <v>437</v>
      </c>
      <c r="Q305" s="15" t="s">
        <v>366</v>
      </c>
      <c r="R305" s="13" t="s">
        <v>367</v>
      </c>
      <c r="S305" s="13" t="s">
        <v>212</v>
      </c>
      <c r="T305" s="13" t="s">
        <v>104</v>
      </c>
      <c r="U305" s="14">
        <v>40725</v>
      </c>
      <c r="V305" s="14"/>
      <c r="W305" s="15"/>
      <c r="X305" s="13"/>
      <c r="Y305" s="15"/>
      <c r="Z305" s="13"/>
      <c r="AA305" s="15"/>
      <c r="AB305" s="13"/>
      <c r="AC305" s="15"/>
      <c r="AD305" s="13"/>
      <c r="AE305" s="15"/>
      <c r="AF305" s="13"/>
      <c r="AG305" s="15"/>
      <c r="AH305" s="13"/>
      <c r="AI305" s="15"/>
      <c r="AJ305" s="13"/>
      <c r="AK305" s="15"/>
      <c r="AL305" s="13"/>
      <c r="AM305" s="15"/>
    </row>
    <row r="306" spans="1:39" ht="90" x14ac:dyDescent="0.25">
      <c r="A306" s="13" t="s">
        <v>202</v>
      </c>
      <c r="B306" s="13" t="s">
        <v>153</v>
      </c>
      <c r="C306" s="14">
        <v>43152.5</v>
      </c>
      <c r="D306" s="13" t="s">
        <v>88</v>
      </c>
      <c r="E306" s="15" t="s">
        <v>89</v>
      </c>
      <c r="F306" s="13" t="s">
        <v>90</v>
      </c>
      <c r="G306" s="15" t="s">
        <v>91</v>
      </c>
      <c r="H306" s="13" t="s">
        <v>503</v>
      </c>
      <c r="I306" s="15" t="s">
        <v>504</v>
      </c>
      <c r="J306" s="15" t="s">
        <v>505</v>
      </c>
      <c r="K306" s="15" t="s">
        <v>506</v>
      </c>
      <c r="L306" s="13" t="s">
        <v>507</v>
      </c>
      <c r="M306" s="15" t="s">
        <v>508</v>
      </c>
      <c r="N306" s="13" t="s">
        <v>98</v>
      </c>
      <c r="O306" s="15" t="s">
        <v>428</v>
      </c>
      <c r="P306" s="15" t="s">
        <v>429</v>
      </c>
      <c r="Q306" s="15" t="s">
        <v>101</v>
      </c>
      <c r="R306" s="13" t="s">
        <v>102</v>
      </c>
      <c r="S306" s="13" t="s">
        <v>103</v>
      </c>
      <c r="T306" s="13" t="s">
        <v>205</v>
      </c>
      <c r="U306" s="14">
        <v>40725</v>
      </c>
      <c r="V306" s="14"/>
      <c r="W306" s="15"/>
      <c r="X306" s="13"/>
      <c r="Y306" s="15"/>
      <c r="Z306" s="13"/>
      <c r="AA306" s="15"/>
      <c r="AB306" s="13"/>
      <c r="AC306" s="15"/>
      <c r="AD306" s="13"/>
      <c r="AE306" s="15"/>
      <c r="AF306" s="13"/>
      <c r="AG306" s="15"/>
      <c r="AH306" s="13"/>
      <c r="AI306" s="15"/>
      <c r="AJ306" s="13"/>
      <c r="AK306" s="15"/>
      <c r="AL306" s="13"/>
      <c r="AM306" s="15"/>
    </row>
    <row r="307" spans="1:39" ht="90" x14ac:dyDescent="0.25">
      <c r="A307" s="13" t="s">
        <v>202</v>
      </c>
      <c r="B307" s="13" t="s">
        <v>153</v>
      </c>
      <c r="C307" s="14">
        <v>43152.5</v>
      </c>
      <c r="D307" s="13" t="s">
        <v>88</v>
      </c>
      <c r="E307" s="15" t="s">
        <v>89</v>
      </c>
      <c r="F307" s="13" t="s">
        <v>90</v>
      </c>
      <c r="G307" s="15" t="s">
        <v>91</v>
      </c>
      <c r="H307" s="13" t="s">
        <v>503</v>
      </c>
      <c r="I307" s="15" t="s">
        <v>504</v>
      </c>
      <c r="J307" s="15" t="s">
        <v>505</v>
      </c>
      <c r="K307" s="15" t="s">
        <v>506</v>
      </c>
      <c r="L307" s="13" t="s">
        <v>509</v>
      </c>
      <c r="M307" s="15" t="s">
        <v>510</v>
      </c>
      <c r="N307" s="13" t="s">
        <v>188</v>
      </c>
      <c r="O307" s="15" t="s">
        <v>436</v>
      </c>
      <c r="P307" s="15" t="s">
        <v>437</v>
      </c>
      <c r="Q307" s="15" t="s">
        <v>101</v>
      </c>
      <c r="R307" s="13" t="s">
        <v>102</v>
      </c>
      <c r="S307" s="13" t="s">
        <v>103</v>
      </c>
      <c r="T307" s="13" t="s">
        <v>205</v>
      </c>
      <c r="U307" s="14">
        <v>40725</v>
      </c>
      <c r="V307" s="14"/>
      <c r="W307" s="15"/>
      <c r="X307" s="13"/>
      <c r="Y307" s="15"/>
      <c r="Z307" s="13"/>
      <c r="AA307" s="15"/>
      <c r="AB307" s="13"/>
      <c r="AC307" s="15"/>
      <c r="AD307" s="13"/>
      <c r="AE307" s="15"/>
      <c r="AF307" s="13"/>
      <c r="AG307" s="15"/>
      <c r="AH307" s="13"/>
      <c r="AI307" s="15"/>
      <c r="AJ307" s="13"/>
      <c r="AK307" s="15"/>
      <c r="AL307" s="13"/>
      <c r="AM307" s="15"/>
    </row>
    <row r="308" spans="1:39" ht="90" x14ac:dyDescent="0.25">
      <c r="A308" s="13" t="s">
        <v>202</v>
      </c>
      <c r="B308" s="13" t="s">
        <v>153</v>
      </c>
      <c r="C308" s="14">
        <v>43152.5</v>
      </c>
      <c r="D308" s="13" t="s">
        <v>88</v>
      </c>
      <c r="E308" s="15" t="s">
        <v>89</v>
      </c>
      <c r="F308" s="13" t="s">
        <v>90</v>
      </c>
      <c r="G308" s="15" t="s">
        <v>91</v>
      </c>
      <c r="H308" s="13" t="s">
        <v>503</v>
      </c>
      <c r="I308" s="15" t="s">
        <v>504</v>
      </c>
      <c r="J308" s="15" t="s">
        <v>505</v>
      </c>
      <c r="K308" s="15" t="s">
        <v>506</v>
      </c>
      <c r="L308" s="13" t="s">
        <v>507</v>
      </c>
      <c r="M308" s="15" t="s">
        <v>508</v>
      </c>
      <c r="N308" s="13" t="s">
        <v>98</v>
      </c>
      <c r="O308" s="15" t="s">
        <v>428</v>
      </c>
      <c r="P308" s="15" t="s">
        <v>429</v>
      </c>
      <c r="Q308" s="15" t="s">
        <v>203</v>
      </c>
      <c r="R308" s="13" t="s">
        <v>204</v>
      </c>
      <c r="S308" s="13" t="s">
        <v>103</v>
      </c>
      <c r="T308" s="13" t="s">
        <v>205</v>
      </c>
      <c r="U308" s="14">
        <v>40725</v>
      </c>
      <c r="V308" s="14"/>
      <c r="W308" s="15"/>
      <c r="X308" s="13"/>
      <c r="Y308" s="15"/>
      <c r="Z308" s="13"/>
      <c r="AA308" s="15"/>
      <c r="AB308" s="13"/>
      <c r="AC308" s="15"/>
      <c r="AD308" s="13"/>
      <c r="AE308" s="15"/>
      <c r="AF308" s="13"/>
      <c r="AG308" s="15"/>
      <c r="AH308" s="13"/>
      <c r="AI308" s="15"/>
      <c r="AJ308" s="13"/>
      <c r="AK308" s="15"/>
      <c r="AL308" s="13"/>
      <c r="AM308" s="15"/>
    </row>
    <row r="309" spans="1:39" ht="90" x14ac:dyDescent="0.25">
      <c r="A309" s="13" t="s">
        <v>202</v>
      </c>
      <c r="B309" s="13" t="s">
        <v>153</v>
      </c>
      <c r="C309" s="14">
        <v>43152.5</v>
      </c>
      <c r="D309" s="13" t="s">
        <v>88</v>
      </c>
      <c r="E309" s="15" t="s">
        <v>89</v>
      </c>
      <c r="F309" s="13" t="s">
        <v>90</v>
      </c>
      <c r="G309" s="15" t="s">
        <v>91</v>
      </c>
      <c r="H309" s="13" t="s">
        <v>503</v>
      </c>
      <c r="I309" s="15" t="s">
        <v>504</v>
      </c>
      <c r="J309" s="15" t="s">
        <v>505</v>
      </c>
      <c r="K309" s="15" t="s">
        <v>506</v>
      </c>
      <c r="L309" s="13" t="s">
        <v>509</v>
      </c>
      <c r="M309" s="15" t="s">
        <v>510</v>
      </c>
      <c r="N309" s="13" t="s">
        <v>188</v>
      </c>
      <c r="O309" s="15" t="s">
        <v>436</v>
      </c>
      <c r="P309" s="15" t="s">
        <v>437</v>
      </c>
      <c r="Q309" s="15" t="s">
        <v>203</v>
      </c>
      <c r="R309" s="13" t="s">
        <v>204</v>
      </c>
      <c r="S309" s="13" t="s">
        <v>103</v>
      </c>
      <c r="T309" s="13" t="s">
        <v>205</v>
      </c>
      <c r="U309" s="14">
        <v>40725</v>
      </c>
      <c r="V309" s="14"/>
      <c r="W309" s="15"/>
      <c r="X309" s="13"/>
      <c r="Y309" s="15"/>
      <c r="Z309" s="13"/>
      <c r="AA309" s="15"/>
      <c r="AB309" s="13"/>
      <c r="AC309" s="15"/>
      <c r="AD309" s="13"/>
      <c r="AE309" s="15"/>
      <c r="AF309" s="13"/>
      <c r="AG309" s="15"/>
      <c r="AH309" s="13"/>
      <c r="AI309" s="15"/>
      <c r="AJ309" s="13"/>
      <c r="AK309" s="15"/>
      <c r="AL309" s="13"/>
      <c r="AM309" s="15"/>
    </row>
    <row r="310" spans="1:39" ht="90" x14ac:dyDescent="0.25">
      <c r="A310" s="13" t="s">
        <v>202</v>
      </c>
      <c r="B310" s="13" t="s">
        <v>153</v>
      </c>
      <c r="C310" s="14">
        <v>43152.5</v>
      </c>
      <c r="D310" s="13" t="s">
        <v>88</v>
      </c>
      <c r="E310" s="15" t="s">
        <v>89</v>
      </c>
      <c r="F310" s="13" t="s">
        <v>90</v>
      </c>
      <c r="G310" s="15" t="s">
        <v>91</v>
      </c>
      <c r="H310" s="13" t="s">
        <v>503</v>
      </c>
      <c r="I310" s="15" t="s">
        <v>504</v>
      </c>
      <c r="J310" s="15" t="s">
        <v>505</v>
      </c>
      <c r="K310" s="15" t="s">
        <v>506</v>
      </c>
      <c r="L310" s="13" t="s">
        <v>507</v>
      </c>
      <c r="M310" s="15" t="s">
        <v>508</v>
      </c>
      <c r="N310" s="13" t="s">
        <v>98</v>
      </c>
      <c r="O310" s="15" t="s">
        <v>428</v>
      </c>
      <c r="P310" s="15" t="s">
        <v>429</v>
      </c>
      <c r="Q310" s="15" t="s">
        <v>206</v>
      </c>
      <c r="R310" s="13" t="s">
        <v>207</v>
      </c>
      <c r="S310" s="13" t="s">
        <v>103</v>
      </c>
      <c r="T310" s="13" t="s">
        <v>205</v>
      </c>
      <c r="U310" s="14">
        <v>40725</v>
      </c>
      <c r="V310" s="14"/>
      <c r="W310" s="15"/>
      <c r="X310" s="13"/>
      <c r="Y310" s="15"/>
      <c r="Z310" s="13"/>
      <c r="AA310" s="15"/>
      <c r="AB310" s="13"/>
      <c r="AC310" s="15"/>
      <c r="AD310" s="13"/>
      <c r="AE310" s="15"/>
      <c r="AF310" s="13"/>
      <c r="AG310" s="15"/>
      <c r="AH310" s="13"/>
      <c r="AI310" s="15"/>
      <c r="AJ310" s="13"/>
      <c r="AK310" s="15"/>
      <c r="AL310" s="13"/>
      <c r="AM310" s="15"/>
    </row>
    <row r="311" spans="1:39" ht="90" x14ac:dyDescent="0.25">
      <c r="A311" s="13" t="s">
        <v>202</v>
      </c>
      <c r="B311" s="13" t="s">
        <v>153</v>
      </c>
      <c r="C311" s="14">
        <v>43152.5</v>
      </c>
      <c r="D311" s="13" t="s">
        <v>88</v>
      </c>
      <c r="E311" s="15" t="s">
        <v>89</v>
      </c>
      <c r="F311" s="13" t="s">
        <v>90</v>
      </c>
      <c r="G311" s="15" t="s">
        <v>91</v>
      </c>
      <c r="H311" s="13" t="s">
        <v>503</v>
      </c>
      <c r="I311" s="15" t="s">
        <v>504</v>
      </c>
      <c r="J311" s="15" t="s">
        <v>505</v>
      </c>
      <c r="K311" s="15" t="s">
        <v>506</v>
      </c>
      <c r="L311" s="13" t="s">
        <v>509</v>
      </c>
      <c r="M311" s="15" t="s">
        <v>510</v>
      </c>
      <c r="N311" s="13" t="s">
        <v>188</v>
      </c>
      <c r="O311" s="15" t="s">
        <v>436</v>
      </c>
      <c r="P311" s="15" t="s">
        <v>437</v>
      </c>
      <c r="Q311" s="15" t="s">
        <v>206</v>
      </c>
      <c r="R311" s="13" t="s">
        <v>207</v>
      </c>
      <c r="S311" s="13" t="s">
        <v>103</v>
      </c>
      <c r="T311" s="13" t="s">
        <v>205</v>
      </c>
      <c r="U311" s="14">
        <v>40725</v>
      </c>
      <c r="V311" s="14"/>
      <c r="W311" s="15"/>
      <c r="X311" s="13"/>
      <c r="Y311" s="15"/>
      <c r="Z311" s="13"/>
      <c r="AA311" s="15"/>
      <c r="AB311" s="13"/>
      <c r="AC311" s="15"/>
      <c r="AD311" s="13"/>
      <c r="AE311" s="15"/>
      <c r="AF311" s="13"/>
      <c r="AG311" s="15"/>
      <c r="AH311" s="13"/>
      <c r="AI311" s="15"/>
      <c r="AJ311" s="13"/>
      <c r="AK311" s="15"/>
      <c r="AL311" s="13"/>
      <c r="AM311" s="15"/>
    </row>
    <row r="312" spans="1:39" ht="90" x14ac:dyDescent="0.25">
      <c r="A312" s="13" t="s">
        <v>202</v>
      </c>
      <c r="B312" s="13" t="s">
        <v>153</v>
      </c>
      <c r="C312" s="14">
        <v>43152.5</v>
      </c>
      <c r="D312" s="13" t="s">
        <v>88</v>
      </c>
      <c r="E312" s="15" t="s">
        <v>89</v>
      </c>
      <c r="F312" s="13" t="s">
        <v>90</v>
      </c>
      <c r="G312" s="15" t="s">
        <v>91</v>
      </c>
      <c r="H312" s="13" t="s">
        <v>503</v>
      </c>
      <c r="I312" s="15" t="s">
        <v>504</v>
      </c>
      <c r="J312" s="15" t="s">
        <v>505</v>
      </c>
      <c r="K312" s="15" t="s">
        <v>506</v>
      </c>
      <c r="L312" s="13" t="s">
        <v>507</v>
      </c>
      <c r="M312" s="15" t="s">
        <v>508</v>
      </c>
      <c r="N312" s="13" t="s">
        <v>98</v>
      </c>
      <c r="O312" s="15" t="s">
        <v>428</v>
      </c>
      <c r="P312" s="15" t="s">
        <v>429</v>
      </c>
      <c r="Q312" s="15" t="s">
        <v>208</v>
      </c>
      <c r="R312" s="13" t="s">
        <v>209</v>
      </c>
      <c r="S312" s="13" t="s">
        <v>103</v>
      </c>
      <c r="T312" s="13" t="s">
        <v>205</v>
      </c>
      <c r="U312" s="14">
        <v>40725</v>
      </c>
      <c r="V312" s="14"/>
      <c r="W312" s="15"/>
      <c r="X312" s="13"/>
      <c r="Y312" s="15"/>
      <c r="Z312" s="13"/>
      <c r="AA312" s="15"/>
      <c r="AB312" s="13"/>
      <c r="AC312" s="15"/>
      <c r="AD312" s="13"/>
      <c r="AE312" s="15"/>
      <c r="AF312" s="13"/>
      <c r="AG312" s="15"/>
      <c r="AH312" s="13"/>
      <c r="AI312" s="15"/>
      <c r="AJ312" s="13"/>
      <c r="AK312" s="15"/>
      <c r="AL312" s="13"/>
      <c r="AM312" s="15"/>
    </row>
    <row r="313" spans="1:39" ht="90" x14ac:dyDescent="0.25">
      <c r="A313" s="13" t="s">
        <v>202</v>
      </c>
      <c r="B313" s="13" t="s">
        <v>153</v>
      </c>
      <c r="C313" s="14">
        <v>43152.5</v>
      </c>
      <c r="D313" s="13" t="s">
        <v>88</v>
      </c>
      <c r="E313" s="15" t="s">
        <v>89</v>
      </c>
      <c r="F313" s="13" t="s">
        <v>90</v>
      </c>
      <c r="G313" s="15" t="s">
        <v>91</v>
      </c>
      <c r="H313" s="13" t="s">
        <v>503</v>
      </c>
      <c r="I313" s="15" t="s">
        <v>504</v>
      </c>
      <c r="J313" s="15" t="s">
        <v>505</v>
      </c>
      <c r="K313" s="15" t="s">
        <v>506</v>
      </c>
      <c r="L313" s="13" t="s">
        <v>509</v>
      </c>
      <c r="M313" s="15" t="s">
        <v>510</v>
      </c>
      <c r="N313" s="13" t="s">
        <v>188</v>
      </c>
      <c r="O313" s="15" t="s">
        <v>436</v>
      </c>
      <c r="P313" s="15" t="s">
        <v>437</v>
      </c>
      <c r="Q313" s="15" t="s">
        <v>208</v>
      </c>
      <c r="R313" s="13" t="s">
        <v>209</v>
      </c>
      <c r="S313" s="13" t="s">
        <v>103</v>
      </c>
      <c r="T313" s="13" t="s">
        <v>205</v>
      </c>
      <c r="U313" s="14">
        <v>40725</v>
      </c>
      <c r="V313" s="14"/>
      <c r="W313" s="15"/>
      <c r="X313" s="13"/>
      <c r="Y313" s="15"/>
      <c r="Z313" s="13"/>
      <c r="AA313" s="15"/>
      <c r="AB313" s="13"/>
      <c r="AC313" s="15"/>
      <c r="AD313" s="13"/>
      <c r="AE313" s="15"/>
      <c r="AF313" s="13"/>
      <c r="AG313" s="15"/>
      <c r="AH313" s="13"/>
      <c r="AI313" s="15"/>
      <c r="AJ313" s="13"/>
      <c r="AK313" s="15"/>
      <c r="AL313" s="13"/>
      <c r="AM313" s="15"/>
    </row>
    <row r="314" spans="1:39" ht="90" x14ac:dyDescent="0.25">
      <c r="A314" s="13" t="s">
        <v>86</v>
      </c>
      <c r="B314" s="13" t="s">
        <v>87</v>
      </c>
      <c r="C314" s="14">
        <v>43850.552083333336</v>
      </c>
      <c r="D314" s="13" t="s">
        <v>88</v>
      </c>
      <c r="E314" s="15" t="s">
        <v>89</v>
      </c>
      <c r="F314" s="13" t="s">
        <v>90</v>
      </c>
      <c r="G314" s="15" t="s">
        <v>91</v>
      </c>
      <c r="H314" s="13" t="s">
        <v>503</v>
      </c>
      <c r="I314" s="15" t="s">
        <v>504</v>
      </c>
      <c r="J314" s="15" t="s">
        <v>505</v>
      </c>
      <c r="K314" s="15" t="s">
        <v>506</v>
      </c>
      <c r="L314" s="13" t="s">
        <v>507</v>
      </c>
      <c r="M314" s="15" t="s">
        <v>508</v>
      </c>
      <c r="N314" s="13" t="s">
        <v>98</v>
      </c>
      <c r="O314" s="15" t="s">
        <v>428</v>
      </c>
      <c r="P314" s="15" t="s">
        <v>429</v>
      </c>
      <c r="Q314" s="15" t="s">
        <v>366</v>
      </c>
      <c r="R314" s="13" t="s">
        <v>367</v>
      </c>
      <c r="S314" s="13" t="s">
        <v>212</v>
      </c>
      <c r="T314" s="13" t="s">
        <v>104</v>
      </c>
      <c r="U314" s="14">
        <v>40725</v>
      </c>
      <c r="V314" s="14"/>
      <c r="W314" s="15"/>
      <c r="X314" s="13"/>
      <c r="Y314" s="15"/>
      <c r="Z314" s="13"/>
      <c r="AA314" s="15"/>
      <c r="AB314" s="13"/>
      <c r="AC314" s="15"/>
      <c r="AD314" s="13"/>
      <c r="AE314" s="15"/>
      <c r="AF314" s="13"/>
      <c r="AG314" s="15"/>
      <c r="AH314" s="13"/>
      <c r="AI314" s="15"/>
      <c r="AJ314" s="13"/>
      <c r="AK314" s="15"/>
      <c r="AL314" s="13"/>
      <c r="AM314" s="15"/>
    </row>
    <row r="315" spans="1:39" ht="90" x14ac:dyDescent="0.25">
      <c r="A315" s="13" t="s">
        <v>86</v>
      </c>
      <c r="B315" s="13" t="s">
        <v>87</v>
      </c>
      <c r="C315" s="14">
        <v>43850.552083333336</v>
      </c>
      <c r="D315" s="13" t="s">
        <v>88</v>
      </c>
      <c r="E315" s="15" t="s">
        <v>89</v>
      </c>
      <c r="F315" s="13" t="s">
        <v>90</v>
      </c>
      <c r="G315" s="15" t="s">
        <v>91</v>
      </c>
      <c r="H315" s="13" t="s">
        <v>503</v>
      </c>
      <c r="I315" s="15" t="s">
        <v>504</v>
      </c>
      <c r="J315" s="15" t="s">
        <v>505</v>
      </c>
      <c r="K315" s="15" t="s">
        <v>506</v>
      </c>
      <c r="L315" s="13" t="s">
        <v>509</v>
      </c>
      <c r="M315" s="15" t="s">
        <v>510</v>
      </c>
      <c r="N315" s="13" t="s">
        <v>188</v>
      </c>
      <c r="O315" s="15" t="s">
        <v>436</v>
      </c>
      <c r="P315" s="15" t="s">
        <v>437</v>
      </c>
      <c r="Q315" s="15" t="s">
        <v>366</v>
      </c>
      <c r="R315" s="13" t="s">
        <v>367</v>
      </c>
      <c r="S315" s="13" t="s">
        <v>212</v>
      </c>
      <c r="T315" s="13" t="s">
        <v>104</v>
      </c>
      <c r="U315" s="14">
        <v>40725</v>
      </c>
      <c r="V315" s="14"/>
      <c r="W315" s="15"/>
      <c r="X315" s="13"/>
      <c r="Y315" s="15"/>
      <c r="Z315" s="13"/>
      <c r="AA315" s="15"/>
      <c r="AB315" s="13"/>
      <c r="AC315" s="15"/>
      <c r="AD315" s="13"/>
      <c r="AE315" s="15"/>
      <c r="AF315" s="13"/>
      <c r="AG315" s="15"/>
      <c r="AH315" s="13"/>
      <c r="AI315" s="15"/>
      <c r="AJ315" s="13"/>
      <c r="AK315" s="15"/>
      <c r="AL315" s="13"/>
      <c r="AM315" s="15"/>
    </row>
    <row r="316" spans="1:39" ht="165" x14ac:dyDescent="0.25">
      <c r="A316" s="13" t="s">
        <v>86</v>
      </c>
      <c r="B316" s="13" t="s">
        <v>87</v>
      </c>
      <c r="C316" s="14">
        <v>44006.450694444444</v>
      </c>
      <c r="D316" s="13" t="s">
        <v>88</v>
      </c>
      <c r="E316" s="15" t="s">
        <v>89</v>
      </c>
      <c r="F316" s="13" t="s">
        <v>90</v>
      </c>
      <c r="G316" s="15" t="s">
        <v>91</v>
      </c>
      <c r="H316" s="13" t="s">
        <v>511</v>
      </c>
      <c r="I316" s="15" t="s">
        <v>512</v>
      </c>
      <c r="J316" s="15" t="s">
        <v>513</v>
      </c>
      <c r="K316" s="15" t="s">
        <v>514</v>
      </c>
      <c r="L316" s="13" t="s">
        <v>515</v>
      </c>
      <c r="M316" s="15" t="s">
        <v>512</v>
      </c>
      <c r="N316" s="13" t="s">
        <v>98</v>
      </c>
      <c r="O316" s="15"/>
      <c r="P316" s="15"/>
      <c r="Q316" s="15" t="s">
        <v>101</v>
      </c>
      <c r="R316" s="13" t="s">
        <v>102</v>
      </c>
      <c r="S316" s="13" t="s">
        <v>103</v>
      </c>
      <c r="T316" s="13" t="s">
        <v>104</v>
      </c>
      <c r="U316" s="14">
        <v>40725</v>
      </c>
      <c r="V316" s="14">
        <v>43825</v>
      </c>
      <c r="W316" s="15" t="s">
        <v>700</v>
      </c>
      <c r="X316" s="13" t="s">
        <v>701</v>
      </c>
      <c r="Y316" s="15" t="str">
        <f>VLOOKUP(X316,'Axe 2 Règles de gestion'!$D$2:$F$121,3, FALSE)</f>
        <v>Rémunération : L'agent perçoit une rémunération statutaire et bénéficie du régime indemnitaire de son emploi d'accueil.</v>
      </c>
      <c r="Z316" s="13" t="s">
        <v>703</v>
      </c>
      <c r="AA316" s="15" t="str">
        <f>VLOOKUP(Z316,'Axe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16" s="13" t="s">
        <v>705</v>
      </c>
      <c r="AC316" s="15" t="str">
        <f>VLOOKUP(AB316,'Axe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16" s="13" t="s">
        <v>707</v>
      </c>
      <c r="AE316" s="15" t="str">
        <f>VLOOKUP(AD316,'Axe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16" s="13" t="s">
        <v>709</v>
      </c>
      <c r="AG316" s="15" t="str">
        <f>VLOOKUP(AF316,'Axe 2 Règles de gestion'!$D$2:$F$121,3, FALSE)</f>
        <v>Congés annuels : L'agent cumule des droits à congé.</v>
      </c>
      <c r="AH316" s="13" t="s">
        <v>711</v>
      </c>
      <c r="AI316" s="15" t="str">
        <f>VLOOKUP(AH316,'Axe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16" s="13" t="s">
        <v>713</v>
      </c>
      <c r="AK316" s="15" t="str">
        <f>VLOOKUP(AJ316,'Axe 2 Règles de gestion'!$D$2:$F$121,3, FALSE)</f>
        <v>Acte : Un acte administratif doit être produit.</v>
      </c>
      <c r="AL316" s="13"/>
      <c r="AM316" s="15"/>
    </row>
    <row r="317" spans="1:39" ht="165" x14ac:dyDescent="0.25">
      <c r="A317" s="13" t="s">
        <v>86</v>
      </c>
      <c r="B317" s="13" t="s">
        <v>153</v>
      </c>
      <c r="C317" s="14">
        <v>44006.48541666667</v>
      </c>
      <c r="D317" s="13" t="s">
        <v>88</v>
      </c>
      <c r="E317" s="15" t="s">
        <v>89</v>
      </c>
      <c r="F317" s="13" t="s">
        <v>90</v>
      </c>
      <c r="G317" s="15" t="s">
        <v>91</v>
      </c>
      <c r="H317" s="13" t="s">
        <v>511</v>
      </c>
      <c r="I317" s="15" t="s">
        <v>512</v>
      </c>
      <c r="J317" s="15" t="s">
        <v>513</v>
      </c>
      <c r="K317" s="15" t="s">
        <v>514</v>
      </c>
      <c r="L317" s="13" t="s">
        <v>515</v>
      </c>
      <c r="M317" s="15" t="s">
        <v>512</v>
      </c>
      <c r="N317" s="13" t="s">
        <v>98</v>
      </c>
      <c r="O317" s="15"/>
      <c r="P317" s="15"/>
      <c r="Q317" s="15" t="s">
        <v>101</v>
      </c>
      <c r="R317" s="13" t="s">
        <v>102</v>
      </c>
      <c r="S317" s="13" t="s">
        <v>103</v>
      </c>
      <c r="T317" s="13" t="s">
        <v>104</v>
      </c>
      <c r="U317" s="14">
        <v>43826</v>
      </c>
      <c r="V317" s="14"/>
      <c r="W317" s="15" t="s">
        <v>700</v>
      </c>
      <c r="X317" s="13" t="s">
        <v>701</v>
      </c>
      <c r="Y317" s="15" t="str">
        <f>VLOOKUP(X317,'Axe 2 Règles de gestion'!$D$2:$F$121,3, FALSE)</f>
        <v>Rémunération : L'agent perçoit une rémunération statutaire et bénéficie du régime indemnitaire de son emploi d'accueil.</v>
      </c>
      <c r="Z317" s="13" t="s">
        <v>703</v>
      </c>
      <c r="AA317" s="15" t="str">
        <f>VLOOKUP(Z317,'Axe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17" s="13" t="s">
        <v>705</v>
      </c>
      <c r="AC317" s="15" t="str">
        <f>VLOOKUP(AB317,'Axe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17" s="13" t="s">
        <v>707</v>
      </c>
      <c r="AE317" s="15" t="str">
        <f>VLOOKUP(AD317,'Axe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17" s="13" t="s">
        <v>709</v>
      </c>
      <c r="AG317" s="15" t="str">
        <f>VLOOKUP(AF317,'Axe 2 Règles de gestion'!$D$2:$F$121,3, FALSE)</f>
        <v>Congés annuels : L'agent cumule des droits à congé.</v>
      </c>
      <c r="AH317" s="13" t="s">
        <v>711</v>
      </c>
      <c r="AI317" s="15" t="str">
        <f>VLOOKUP(AH317,'Axe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17" s="13" t="s">
        <v>713</v>
      </c>
      <c r="AK317" s="15" t="str">
        <f>VLOOKUP(AJ317,'Axe 2 Règles de gestion'!$D$2:$F$121,3, FALSE)</f>
        <v>Acte : Un acte administratif doit être produit.</v>
      </c>
      <c r="AL317" s="13"/>
      <c r="AM317" s="15"/>
    </row>
    <row r="318" spans="1:39" ht="105" x14ac:dyDescent="0.25">
      <c r="A318" s="13" t="s">
        <v>86</v>
      </c>
      <c r="B318" s="13" t="s">
        <v>153</v>
      </c>
      <c r="C318" s="14">
        <v>44006.453472222223</v>
      </c>
      <c r="D318" s="13" t="s">
        <v>88</v>
      </c>
      <c r="E318" s="15" t="s">
        <v>89</v>
      </c>
      <c r="F318" s="13" t="s">
        <v>90</v>
      </c>
      <c r="G318" s="15" t="s">
        <v>91</v>
      </c>
      <c r="H318" s="13" t="s">
        <v>511</v>
      </c>
      <c r="I318" s="15" t="s">
        <v>512</v>
      </c>
      <c r="J318" s="15" t="s">
        <v>513</v>
      </c>
      <c r="K318" s="15" t="s">
        <v>514</v>
      </c>
      <c r="L318" s="13" t="s">
        <v>515</v>
      </c>
      <c r="M318" s="15" t="s">
        <v>512</v>
      </c>
      <c r="N318" s="13" t="s">
        <v>98</v>
      </c>
      <c r="O318" s="15"/>
      <c r="P318" s="15"/>
      <c r="Q318" s="15" t="s">
        <v>203</v>
      </c>
      <c r="R318" s="13" t="s">
        <v>204</v>
      </c>
      <c r="S318" s="13" t="s">
        <v>103</v>
      </c>
      <c r="T318" s="13" t="s">
        <v>104</v>
      </c>
      <c r="U318" s="14">
        <v>40725</v>
      </c>
      <c r="V318" s="14"/>
      <c r="W318" s="15"/>
      <c r="X318" s="13"/>
      <c r="Y318" s="15"/>
      <c r="Z318" s="13"/>
      <c r="AA318" s="15"/>
      <c r="AB318" s="13"/>
      <c r="AC318" s="15"/>
      <c r="AD318" s="13"/>
      <c r="AE318" s="15"/>
      <c r="AF318" s="13"/>
      <c r="AG318" s="15"/>
      <c r="AH318" s="13"/>
      <c r="AI318" s="15"/>
      <c r="AJ318" s="13"/>
      <c r="AK318" s="15"/>
      <c r="AL318" s="13"/>
      <c r="AM318" s="15"/>
    </row>
    <row r="319" spans="1:39" ht="165" x14ac:dyDescent="0.25">
      <c r="A319" s="13" t="s">
        <v>86</v>
      </c>
      <c r="B319" s="13" t="s">
        <v>87</v>
      </c>
      <c r="C319" s="14">
        <v>44006.450694444444</v>
      </c>
      <c r="D319" s="13" t="s">
        <v>88</v>
      </c>
      <c r="E319" s="15" t="s">
        <v>89</v>
      </c>
      <c r="F319" s="13" t="s">
        <v>90</v>
      </c>
      <c r="G319" s="15" t="s">
        <v>91</v>
      </c>
      <c r="H319" s="13" t="s">
        <v>511</v>
      </c>
      <c r="I319" s="15" t="s">
        <v>512</v>
      </c>
      <c r="J319" s="15" t="s">
        <v>513</v>
      </c>
      <c r="K319" s="15" t="s">
        <v>514</v>
      </c>
      <c r="L319" s="13" t="s">
        <v>515</v>
      </c>
      <c r="M319" s="15" t="s">
        <v>512</v>
      </c>
      <c r="N319" s="13" t="s">
        <v>98</v>
      </c>
      <c r="O319" s="15"/>
      <c r="P319" s="15"/>
      <c r="Q319" s="15" t="s">
        <v>206</v>
      </c>
      <c r="R319" s="13" t="s">
        <v>207</v>
      </c>
      <c r="S319" s="13" t="s">
        <v>103</v>
      </c>
      <c r="T319" s="13" t="s">
        <v>104</v>
      </c>
      <c r="U319" s="14">
        <v>40725</v>
      </c>
      <c r="V319" s="14">
        <v>43825</v>
      </c>
      <c r="W319" s="15" t="s">
        <v>720</v>
      </c>
      <c r="X319" s="13" t="s">
        <v>721</v>
      </c>
      <c r="Y319" s="15" t="str">
        <f>VLOOKUP(X319,'Axe 2 Règles de gestion'!$D$2:$F$121,3, FALSE)</f>
        <v>Rémunération : L'agent perçoit la rémunération et bénéficie du régime indemnitaire de son corps ou cadre d'emplois.</v>
      </c>
      <c r="Z319" s="13" t="s">
        <v>723</v>
      </c>
      <c r="AA319" s="15" t="str">
        <f>VLOOKUP(Z319,'Axe 2 Règles de gestion'!$D$2:$F$121,3, FALSE)</f>
        <v>Classement : L'agent est classé dans son corps d'accueil.</v>
      </c>
      <c r="AB319" s="13" t="s">
        <v>725</v>
      </c>
      <c r="AC319" s="15" t="str">
        <f>VLOOKUP(AB319,'Axe 2 Règles de gestion'!$D$2:$F$121,3, FALSE)</f>
        <v>Carrière : L'agent bénéficie du droit à avancement de son corps d'accueil.</v>
      </c>
      <c r="AD319" s="13" t="s">
        <v>707</v>
      </c>
      <c r="AE319" s="15" t="str">
        <f>VLOOKUP(AD319,'Axe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19" s="13" t="s">
        <v>709</v>
      </c>
      <c r="AG319" s="15" t="str">
        <f>VLOOKUP(AF319,'Axe 2 Règles de gestion'!$D$2:$F$121,3, FALSE)</f>
        <v>Congés annuels : L'agent cumule des droits à congé.</v>
      </c>
      <c r="AH319" s="13" t="s">
        <v>711</v>
      </c>
      <c r="AI319" s="15" t="str">
        <f>VLOOKUP(AH319,'Axe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19" s="13" t="s">
        <v>713</v>
      </c>
      <c r="AK319" s="15" t="str">
        <f>VLOOKUP(AJ319,'Axe 2 Règles de gestion'!$D$2:$F$121,3, FALSE)</f>
        <v>Acte : Un acte administratif doit être produit.</v>
      </c>
      <c r="AL319" s="13"/>
      <c r="AM319" s="15"/>
    </row>
    <row r="320" spans="1:39" ht="165" x14ac:dyDescent="0.25">
      <c r="A320" s="13" t="s">
        <v>86</v>
      </c>
      <c r="B320" s="13" t="s">
        <v>153</v>
      </c>
      <c r="C320" s="14">
        <v>44018.390972222223</v>
      </c>
      <c r="D320" s="13" t="s">
        <v>88</v>
      </c>
      <c r="E320" s="15" t="s">
        <v>89</v>
      </c>
      <c r="F320" s="13" t="s">
        <v>90</v>
      </c>
      <c r="G320" s="15" t="s">
        <v>91</v>
      </c>
      <c r="H320" s="13" t="s">
        <v>511</v>
      </c>
      <c r="I320" s="15" t="s">
        <v>512</v>
      </c>
      <c r="J320" s="15" t="s">
        <v>513</v>
      </c>
      <c r="K320" s="15" t="s">
        <v>514</v>
      </c>
      <c r="L320" s="13" t="s">
        <v>515</v>
      </c>
      <c r="M320" s="15" t="s">
        <v>512</v>
      </c>
      <c r="N320" s="13" t="s">
        <v>98</v>
      </c>
      <c r="O320" s="15"/>
      <c r="P320" s="15"/>
      <c r="Q320" s="15" t="s">
        <v>206</v>
      </c>
      <c r="R320" s="13" t="s">
        <v>207</v>
      </c>
      <c r="S320" s="13" t="s">
        <v>103</v>
      </c>
      <c r="T320" s="13" t="s">
        <v>104</v>
      </c>
      <c r="U320" s="14">
        <v>43826</v>
      </c>
      <c r="V320" s="14"/>
      <c r="W320" s="15" t="s">
        <v>720</v>
      </c>
      <c r="X320" s="13" t="s">
        <v>721</v>
      </c>
      <c r="Y320" s="15" t="str">
        <f>VLOOKUP(X320,'Axe 2 Règles de gestion'!$D$2:$F$121,3, FALSE)</f>
        <v>Rémunération : L'agent perçoit la rémunération et bénéficie du régime indemnitaire de son corps ou cadre d'emplois.</v>
      </c>
      <c r="Z320" s="13" t="s">
        <v>723</v>
      </c>
      <c r="AA320" s="15" t="str">
        <f>VLOOKUP(Z320,'Axe 2 Règles de gestion'!$D$2:$F$121,3, FALSE)</f>
        <v>Classement : L'agent est classé dans son corps d'accueil.</v>
      </c>
      <c r="AB320" s="13" t="s">
        <v>725</v>
      </c>
      <c r="AC320" s="15" t="str">
        <f>VLOOKUP(AB320,'Axe 2 Règles de gestion'!$D$2:$F$121,3, FALSE)</f>
        <v>Carrière : L'agent bénéficie du droit à avancement de son corps d'accueil.</v>
      </c>
      <c r="AD320" s="13" t="s">
        <v>707</v>
      </c>
      <c r="AE320" s="15" t="str">
        <f>VLOOKUP(AD320,'Axe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20" s="13" t="s">
        <v>709</v>
      </c>
      <c r="AG320" s="15" t="str">
        <f>VLOOKUP(AF320,'Axe 2 Règles de gestion'!$D$2:$F$121,3, FALSE)</f>
        <v>Congés annuels : L'agent cumule des droits à congé.</v>
      </c>
      <c r="AH320" s="13" t="s">
        <v>711</v>
      </c>
      <c r="AI320" s="15" t="str">
        <f>VLOOKUP(AH320,'Axe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20" s="13" t="s">
        <v>713</v>
      </c>
      <c r="AK320" s="15" t="str">
        <f>VLOOKUP(AJ320,'Axe 2 Règles de gestion'!$D$2:$F$121,3, FALSE)</f>
        <v>Acte : Un acte administratif doit être produit.</v>
      </c>
      <c r="AL320" s="13"/>
      <c r="AM320" s="15"/>
    </row>
    <row r="321" spans="1:39" ht="105" x14ac:dyDescent="0.25">
      <c r="A321" s="13" t="s">
        <v>202</v>
      </c>
      <c r="B321" s="13" t="s">
        <v>153</v>
      </c>
      <c r="C321" s="14">
        <v>43152.5</v>
      </c>
      <c r="D321" s="13" t="s">
        <v>88</v>
      </c>
      <c r="E321" s="15" t="s">
        <v>89</v>
      </c>
      <c r="F321" s="13" t="s">
        <v>90</v>
      </c>
      <c r="G321" s="15" t="s">
        <v>91</v>
      </c>
      <c r="H321" s="13" t="s">
        <v>511</v>
      </c>
      <c r="I321" s="15" t="s">
        <v>512</v>
      </c>
      <c r="J321" s="15" t="s">
        <v>513</v>
      </c>
      <c r="K321" s="15" t="s">
        <v>514</v>
      </c>
      <c r="L321" s="13" t="s">
        <v>515</v>
      </c>
      <c r="M321" s="15" t="s">
        <v>512</v>
      </c>
      <c r="N321" s="13" t="s">
        <v>98</v>
      </c>
      <c r="O321" s="15"/>
      <c r="P321" s="15"/>
      <c r="Q321" s="15" t="s">
        <v>208</v>
      </c>
      <c r="R321" s="13" t="s">
        <v>209</v>
      </c>
      <c r="S321" s="13" t="s">
        <v>103</v>
      </c>
      <c r="T321" s="13" t="s">
        <v>205</v>
      </c>
      <c r="U321" s="14">
        <v>40725</v>
      </c>
      <c r="V321" s="14"/>
      <c r="W321" s="15"/>
      <c r="X321" s="13"/>
      <c r="Y321" s="15"/>
      <c r="Z321" s="13"/>
      <c r="AA321" s="15"/>
      <c r="AB321" s="13"/>
      <c r="AC321" s="15"/>
      <c r="AD321" s="13"/>
      <c r="AE321" s="15"/>
      <c r="AF321" s="13"/>
      <c r="AG321" s="15"/>
      <c r="AH321" s="13"/>
      <c r="AI321" s="15"/>
      <c r="AJ321" s="13"/>
      <c r="AK321" s="15"/>
      <c r="AL321" s="13"/>
      <c r="AM321" s="15"/>
    </row>
    <row r="322" spans="1:39" ht="165" x14ac:dyDescent="0.25">
      <c r="A322" s="13" t="s">
        <v>86</v>
      </c>
      <c r="B322" s="13" t="s">
        <v>87</v>
      </c>
      <c r="C322" s="14">
        <v>43850.552083333336</v>
      </c>
      <c r="D322" s="13" t="s">
        <v>88</v>
      </c>
      <c r="E322" s="15" t="s">
        <v>89</v>
      </c>
      <c r="F322" s="13" t="s">
        <v>90</v>
      </c>
      <c r="G322" s="15" t="s">
        <v>91</v>
      </c>
      <c r="H322" s="13" t="s">
        <v>531</v>
      </c>
      <c r="I322" s="15" t="s">
        <v>532</v>
      </c>
      <c r="J322" s="15" t="s">
        <v>533</v>
      </c>
      <c r="K322" s="15" t="s">
        <v>534</v>
      </c>
      <c r="L322" s="13" t="s">
        <v>535</v>
      </c>
      <c r="M322" s="15" t="s">
        <v>536</v>
      </c>
      <c r="N322" s="13" t="s">
        <v>98</v>
      </c>
      <c r="O322" s="15" t="s">
        <v>537</v>
      </c>
      <c r="P322" s="15" t="s">
        <v>429</v>
      </c>
      <c r="Q322" s="15" t="s">
        <v>101</v>
      </c>
      <c r="R322" s="13" t="s">
        <v>102</v>
      </c>
      <c r="S322" s="13" t="s">
        <v>103</v>
      </c>
      <c r="T322" s="13" t="s">
        <v>104</v>
      </c>
      <c r="U322" s="14">
        <v>42482</v>
      </c>
      <c r="V322" s="14"/>
      <c r="W322" s="15" t="s">
        <v>727</v>
      </c>
      <c r="X322" s="13" t="s">
        <v>728</v>
      </c>
      <c r="Y322" s="15" t="str">
        <f>VLOOKUP(X322,'Axe 2 Règles de gestion'!$D$2:$F$121,3, FALSE)</f>
        <v>Rémunération : L'agent perçoit la rémunération et bénéficie du régime indemnitaire de son emploi d'accueil. Cependant si sa rémunération d'origine est plus élevée, il la conserve.</v>
      </c>
      <c r="Z322" s="13" t="s">
        <v>703</v>
      </c>
      <c r="AA322" s="15" t="str">
        <f>VLOOKUP(Z322,'Axe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22" s="13" t="s">
        <v>705</v>
      </c>
      <c r="AC322" s="15" t="str">
        <f>VLOOKUP(AB322,'Axe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22" s="13" t="s">
        <v>707</v>
      </c>
      <c r="AE322" s="15" t="str">
        <f>VLOOKUP(AD322,'Axe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22" s="13" t="s">
        <v>709</v>
      </c>
      <c r="AG322" s="15" t="str">
        <f>VLOOKUP(AF322,'Axe 2 Règles de gestion'!$D$2:$F$121,3, FALSE)</f>
        <v>Congés annuels : L'agent cumule des droits à congé.</v>
      </c>
      <c r="AH322" s="13" t="s">
        <v>711</v>
      </c>
      <c r="AI322" s="15" t="str">
        <f>VLOOKUP(AH322,'Axe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22" s="13" t="s">
        <v>713</v>
      </c>
      <c r="AK322" s="15" t="str">
        <f>VLOOKUP(AJ322,'Axe 2 Règles de gestion'!$D$2:$F$121,3, FALSE)</f>
        <v>Acte : Un acte administratif doit être produit.</v>
      </c>
      <c r="AL322" s="13"/>
      <c r="AM322" s="15"/>
    </row>
    <row r="323" spans="1:39" ht="120" x14ac:dyDescent="0.25">
      <c r="A323" s="13" t="s">
        <v>86</v>
      </c>
      <c r="B323" s="13" t="s">
        <v>87</v>
      </c>
      <c r="C323" s="14">
        <v>43850.552083333336</v>
      </c>
      <c r="D323" s="13" t="s">
        <v>88</v>
      </c>
      <c r="E323" s="15" t="s">
        <v>89</v>
      </c>
      <c r="F323" s="13" t="s">
        <v>90</v>
      </c>
      <c r="G323" s="15" t="s">
        <v>91</v>
      </c>
      <c r="H323" s="13" t="s">
        <v>531</v>
      </c>
      <c r="I323" s="15" t="s">
        <v>532</v>
      </c>
      <c r="J323" s="15" t="s">
        <v>533</v>
      </c>
      <c r="K323" s="15" t="s">
        <v>534</v>
      </c>
      <c r="L323" s="13" t="s">
        <v>541</v>
      </c>
      <c r="M323" s="15" t="s">
        <v>542</v>
      </c>
      <c r="N323" s="13" t="s">
        <v>188</v>
      </c>
      <c r="O323" s="15" t="s">
        <v>436</v>
      </c>
      <c r="P323" s="15" t="s">
        <v>437</v>
      </c>
      <c r="Q323" s="15" t="s">
        <v>101</v>
      </c>
      <c r="R323" s="13" t="s">
        <v>102</v>
      </c>
      <c r="S323" s="13" t="s">
        <v>103</v>
      </c>
      <c r="T323" s="13" t="s">
        <v>104</v>
      </c>
      <c r="U323" s="14">
        <v>42482</v>
      </c>
      <c r="V323" s="14"/>
      <c r="W323" s="15"/>
      <c r="X323" s="13"/>
      <c r="Y323" s="15"/>
      <c r="Z323" s="13"/>
      <c r="AA323" s="15"/>
      <c r="AB323" s="13"/>
      <c r="AC323" s="15"/>
      <c r="AD323" s="13"/>
      <c r="AE323" s="15"/>
      <c r="AF323" s="13"/>
      <c r="AG323" s="15"/>
      <c r="AH323" s="13"/>
      <c r="AI323" s="15"/>
      <c r="AJ323" s="13"/>
      <c r="AK323" s="15"/>
      <c r="AL323" s="13"/>
      <c r="AM323" s="15"/>
    </row>
    <row r="324" spans="1:39" ht="120" x14ac:dyDescent="0.25">
      <c r="A324" s="13" t="s">
        <v>202</v>
      </c>
      <c r="B324" s="13" t="s">
        <v>153</v>
      </c>
      <c r="C324" s="14">
        <v>43152.5</v>
      </c>
      <c r="D324" s="13" t="s">
        <v>88</v>
      </c>
      <c r="E324" s="15" t="s">
        <v>89</v>
      </c>
      <c r="F324" s="13" t="s">
        <v>90</v>
      </c>
      <c r="G324" s="15" t="s">
        <v>91</v>
      </c>
      <c r="H324" s="13" t="s">
        <v>531</v>
      </c>
      <c r="I324" s="15" t="s">
        <v>532</v>
      </c>
      <c r="J324" s="15" t="s">
        <v>533</v>
      </c>
      <c r="K324" s="15" t="s">
        <v>534</v>
      </c>
      <c r="L324" s="13" t="s">
        <v>535</v>
      </c>
      <c r="M324" s="15" t="s">
        <v>536</v>
      </c>
      <c r="N324" s="13" t="s">
        <v>98</v>
      </c>
      <c r="O324" s="15" t="s">
        <v>537</v>
      </c>
      <c r="P324" s="15" t="s">
        <v>429</v>
      </c>
      <c r="Q324" s="15" t="s">
        <v>203</v>
      </c>
      <c r="R324" s="13" t="s">
        <v>204</v>
      </c>
      <c r="S324" s="13" t="s">
        <v>103</v>
      </c>
      <c r="T324" s="13" t="s">
        <v>205</v>
      </c>
      <c r="U324" s="14">
        <v>40725</v>
      </c>
      <c r="V324" s="14"/>
      <c r="W324" s="15"/>
      <c r="X324" s="13"/>
      <c r="Y324" s="15"/>
      <c r="Z324" s="13"/>
      <c r="AA324" s="15"/>
      <c r="AB324" s="13"/>
      <c r="AC324" s="15"/>
      <c r="AD324" s="13"/>
      <c r="AE324" s="15"/>
      <c r="AF324" s="13"/>
      <c r="AG324" s="15"/>
      <c r="AH324" s="13"/>
      <c r="AI324" s="15"/>
      <c r="AJ324" s="13"/>
      <c r="AK324" s="15"/>
      <c r="AL324" s="13"/>
      <c r="AM324" s="15"/>
    </row>
    <row r="325" spans="1:39" ht="120" x14ac:dyDescent="0.25">
      <c r="A325" s="13" t="s">
        <v>202</v>
      </c>
      <c r="B325" s="13" t="s">
        <v>153</v>
      </c>
      <c r="C325" s="14">
        <v>43152.5</v>
      </c>
      <c r="D325" s="13" t="s">
        <v>88</v>
      </c>
      <c r="E325" s="15" t="s">
        <v>89</v>
      </c>
      <c r="F325" s="13" t="s">
        <v>90</v>
      </c>
      <c r="G325" s="15" t="s">
        <v>91</v>
      </c>
      <c r="H325" s="13" t="s">
        <v>531</v>
      </c>
      <c r="I325" s="15" t="s">
        <v>532</v>
      </c>
      <c r="J325" s="15" t="s">
        <v>533</v>
      </c>
      <c r="K325" s="15" t="s">
        <v>534</v>
      </c>
      <c r="L325" s="13" t="s">
        <v>541</v>
      </c>
      <c r="M325" s="15" t="s">
        <v>542</v>
      </c>
      <c r="N325" s="13" t="s">
        <v>188</v>
      </c>
      <c r="O325" s="15" t="s">
        <v>436</v>
      </c>
      <c r="P325" s="15" t="s">
        <v>437</v>
      </c>
      <c r="Q325" s="15" t="s">
        <v>203</v>
      </c>
      <c r="R325" s="13" t="s">
        <v>204</v>
      </c>
      <c r="S325" s="13" t="s">
        <v>103</v>
      </c>
      <c r="T325" s="13" t="s">
        <v>205</v>
      </c>
      <c r="U325" s="14">
        <v>40725</v>
      </c>
      <c r="V325" s="14"/>
      <c r="W325" s="15"/>
      <c r="X325" s="13"/>
      <c r="Y325" s="15"/>
      <c r="Z325" s="13"/>
      <c r="AA325" s="15"/>
      <c r="AB325" s="13"/>
      <c r="AC325" s="15"/>
      <c r="AD325" s="13"/>
      <c r="AE325" s="15"/>
      <c r="AF325" s="13"/>
      <c r="AG325" s="15"/>
      <c r="AH325" s="13"/>
      <c r="AI325" s="15"/>
      <c r="AJ325" s="13"/>
      <c r="AK325" s="15"/>
      <c r="AL325" s="13"/>
      <c r="AM325" s="15"/>
    </row>
    <row r="326" spans="1:39" ht="120" x14ac:dyDescent="0.25">
      <c r="A326" s="13" t="s">
        <v>202</v>
      </c>
      <c r="B326" s="13" t="s">
        <v>153</v>
      </c>
      <c r="C326" s="14">
        <v>43152.5</v>
      </c>
      <c r="D326" s="13" t="s">
        <v>88</v>
      </c>
      <c r="E326" s="15" t="s">
        <v>89</v>
      </c>
      <c r="F326" s="13" t="s">
        <v>90</v>
      </c>
      <c r="G326" s="15" t="s">
        <v>91</v>
      </c>
      <c r="H326" s="13" t="s">
        <v>531</v>
      </c>
      <c r="I326" s="15" t="s">
        <v>532</v>
      </c>
      <c r="J326" s="15" t="s">
        <v>533</v>
      </c>
      <c r="K326" s="15" t="s">
        <v>534</v>
      </c>
      <c r="L326" s="13" t="s">
        <v>535</v>
      </c>
      <c r="M326" s="15" t="s">
        <v>536</v>
      </c>
      <c r="N326" s="13" t="s">
        <v>98</v>
      </c>
      <c r="O326" s="15" t="s">
        <v>537</v>
      </c>
      <c r="P326" s="15" t="s">
        <v>429</v>
      </c>
      <c r="Q326" s="15" t="s">
        <v>206</v>
      </c>
      <c r="R326" s="13" t="s">
        <v>207</v>
      </c>
      <c r="S326" s="13" t="s">
        <v>103</v>
      </c>
      <c r="T326" s="13" t="s">
        <v>205</v>
      </c>
      <c r="U326" s="14">
        <v>40725</v>
      </c>
      <c r="V326" s="14"/>
      <c r="W326" s="15"/>
      <c r="X326" s="13"/>
      <c r="Y326" s="15"/>
      <c r="Z326" s="13"/>
      <c r="AA326" s="15"/>
      <c r="AB326" s="13"/>
      <c r="AC326" s="15"/>
      <c r="AD326" s="13"/>
      <c r="AE326" s="15"/>
      <c r="AF326" s="13"/>
      <c r="AG326" s="15"/>
      <c r="AH326" s="13"/>
      <c r="AI326" s="15"/>
      <c r="AJ326" s="13"/>
      <c r="AK326" s="15"/>
      <c r="AL326" s="13"/>
      <c r="AM326" s="15"/>
    </row>
    <row r="327" spans="1:39" ht="120" x14ac:dyDescent="0.25">
      <c r="A327" s="13" t="s">
        <v>202</v>
      </c>
      <c r="B327" s="13" t="s">
        <v>153</v>
      </c>
      <c r="C327" s="14">
        <v>43152.5</v>
      </c>
      <c r="D327" s="13" t="s">
        <v>88</v>
      </c>
      <c r="E327" s="15" t="s">
        <v>89</v>
      </c>
      <c r="F327" s="13" t="s">
        <v>90</v>
      </c>
      <c r="G327" s="15" t="s">
        <v>91</v>
      </c>
      <c r="H327" s="13" t="s">
        <v>531</v>
      </c>
      <c r="I327" s="15" t="s">
        <v>532</v>
      </c>
      <c r="J327" s="15" t="s">
        <v>533</v>
      </c>
      <c r="K327" s="15" t="s">
        <v>534</v>
      </c>
      <c r="L327" s="13" t="s">
        <v>541</v>
      </c>
      <c r="M327" s="15" t="s">
        <v>542</v>
      </c>
      <c r="N327" s="13" t="s">
        <v>188</v>
      </c>
      <c r="O327" s="15" t="s">
        <v>436</v>
      </c>
      <c r="P327" s="15" t="s">
        <v>437</v>
      </c>
      <c r="Q327" s="15" t="s">
        <v>206</v>
      </c>
      <c r="R327" s="13" t="s">
        <v>207</v>
      </c>
      <c r="S327" s="13" t="s">
        <v>103</v>
      </c>
      <c r="T327" s="13" t="s">
        <v>205</v>
      </c>
      <c r="U327" s="14">
        <v>40725</v>
      </c>
      <c r="V327" s="14"/>
      <c r="W327" s="15"/>
      <c r="X327" s="13"/>
      <c r="Y327" s="15"/>
      <c r="Z327" s="13"/>
      <c r="AA327" s="15"/>
      <c r="AB327" s="13"/>
      <c r="AC327" s="15"/>
      <c r="AD327" s="13"/>
      <c r="AE327" s="15"/>
      <c r="AF327" s="13"/>
      <c r="AG327" s="15"/>
      <c r="AH327" s="13"/>
      <c r="AI327" s="15"/>
      <c r="AJ327" s="13"/>
      <c r="AK327" s="15"/>
      <c r="AL327" s="13"/>
      <c r="AM327" s="15"/>
    </row>
    <row r="328" spans="1:39" ht="120" x14ac:dyDescent="0.25">
      <c r="A328" s="13" t="s">
        <v>202</v>
      </c>
      <c r="B328" s="13" t="s">
        <v>153</v>
      </c>
      <c r="C328" s="14">
        <v>43152.5</v>
      </c>
      <c r="D328" s="13" t="s">
        <v>88</v>
      </c>
      <c r="E328" s="15" t="s">
        <v>89</v>
      </c>
      <c r="F328" s="13" t="s">
        <v>90</v>
      </c>
      <c r="G328" s="15" t="s">
        <v>91</v>
      </c>
      <c r="H328" s="13" t="s">
        <v>531</v>
      </c>
      <c r="I328" s="15" t="s">
        <v>532</v>
      </c>
      <c r="J328" s="15" t="s">
        <v>533</v>
      </c>
      <c r="K328" s="15" t="s">
        <v>534</v>
      </c>
      <c r="L328" s="13" t="s">
        <v>535</v>
      </c>
      <c r="M328" s="15" t="s">
        <v>536</v>
      </c>
      <c r="N328" s="13" t="s">
        <v>98</v>
      </c>
      <c r="O328" s="15" t="s">
        <v>537</v>
      </c>
      <c r="P328" s="15" t="s">
        <v>429</v>
      </c>
      <c r="Q328" s="15" t="s">
        <v>208</v>
      </c>
      <c r="R328" s="13" t="s">
        <v>209</v>
      </c>
      <c r="S328" s="13" t="s">
        <v>103</v>
      </c>
      <c r="T328" s="13" t="s">
        <v>205</v>
      </c>
      <c r="U328" s="14">
        <v>40725</v>
      </c>
      <c r="V328" s="14"/>
      <c r="W328" s="15"/>
      <c r="X328" s="13"/>
      <c r="Y328" s="15"/>
      <c r="Z328" s="13"/>
      <c r="AA328" s="15"/>
      <c r="AB328" s="13"/>
      <c r="AC328" s="15"/>
      <c r="AD328" s="13"/>
      <c r="AE328" s="15"/>
      <c r="AF328" s="13"/>
      <c r="AG328" s="15"/>
      <c r="AH328" s="13"/>
      <c r="AI328" s="15"/>
      <c r="AJ328" s="13"/>
      <c r="AK328" s="15"/>
      <c r="AL328" s="13"/>
      <c r="AM328" s="15"/>
    </row>
    <row r="329" spans="1:39" ht="120" x14ac:dyDescent="0.25">
      <c r="A329" s="13" t="s">
        <v>202</v>
      </c>
      <c r="B329" s="13" t="s">
        <v>153</v>
      </c>
      <c r="C329" s="14">
        <v>43152.5</v>
      </c>
      <c r="D329" s="13" t="s">
        <v>88</v>
      </c>
      <c r="E329" s="15" t="s">
        <v>89</v>
      </c>
      <c r="F329" s="13" t="s">
        <v>90</v>
      </c>
      <c r="G329" s="15" t="s">
        <v>91</v>
      </c>
      <c r="H329" s="13" t="s">
        <v>531</v>
      </c>
      <c r="I329" s="15" t="s">
        <v>532</v>
      </c>
      <c r="J329" s="15" t="s">
        <v>533</v>
      </c>
      <c r="K329" s="15" t="s">
        <v>534</v>
      </c>
      <c r="L329" s="13" t="s">
        <v>541</v>
      </c>
      <c r="M329" s="15" t="s">
        <v>542</v>
      </c>
      <c r="N329" s="13" t="s">
        <v>188</v>
      </c>
      <c r="O329" s="15" t="s">
        <v>436</v>
      </c>
      <c r="P329" s="15" t="s">
        <v>437</v>
      </c>
      <c r="Q329" s="15" t="s">
        <v>208</v>
      </c>
      <c r="R329" s="13" t="s">
        <v>209</v>
      </c>
      <c r="S329" s="13" t="s">
        <v>103</v>
      </c>
      <c r="T329" s="13" t="s">
        <v>205</v>
      </c>
      <c r="U329" s="14">
        <v>40725</v>
      </c>
      <c r="V329" s="14"/>
      <c r="W329" s="15"/>
      <c r="X329" s="13"/>
      <c r="Y329" s="15"/>
      <c r="Z329" s="13"/>
      <c r="AA329" s="15"/>
      <c r="AB329" s="13"/>
      <c r="AC329" s="15"/>
      <c r="AD329" s="13"/>
      <c r="AE329" s="15"/>
      <c r="AF329" s="13"/>
      <c r="AG329" s="15"/>
      <c r="AH329" s="13"/>
      <c r="AI329" s="15"/>
      <c r="AJ329" s="13"/>
      <c r="AK329" s="15"/>
      <c r="AL329" s="13"/>
      <c r="AM329" s="15"/>
    </row>
    <row r="330" spans="1:39" ht="165" x14ac:dyDescent="0.25">
      <c r="A330" s="13" t="s">
        <v>86</v>
      </c>
      <c r="B330" s="13" t="s">
        <v>87</v>
      </c>
      <c r="C330" s="14">
        <v>43850.552083333336</v>
      </c>
      <c r="D330" s="13" t="s">
        <v>88</v>
      </c>
      <c r="E330" s="15" t="s">
        <v>89</v>
      </c>
      <c r="F330" s="13" t="s">
        <v>90</v>
      </c>
      <c r="G330" s="15" t="s">
        <v>91</v>
      </c>
      <c r="H330" s="13" t="s">
        <v>544</v>
      </c>
      <c r="I330" s="15" t="s">
        <v>545</v>
      </c>
      <c r="J330" s="15" t="s">
        <v>546</v>
      </c>
      <c r="K330" s="15" t="s">
        <v>547</v>
      </c>
      <c r="L330" s="13" t="s">
        <v>548</v>
      </c>
      <c r="M330" s="15" t="s">
        <v>549</v>
      </c>
      <c r="N330" s="13" t="s">
        <v>98</v>
      </c>
      <c r="O330" s="15" t="s">
        <v>537</v>
      </c>
      <c r="P330" s="15" t="s">
        <v>429</v>
      </c>
      <c r="Q330" s="15" t="s">
        <v>101</v>
      </c>
      <c r="R330" s="13" t="s">
        <v>102</v>
      </c>
      <c r="S330" s="13" t="s">
        <v>103</v>
      </c>
      <c r="T330" s="13" t="s">
        <v>104</v>
      </c>
      <c r="U330" s="14">
        <v>42482</v>
      </c>
      <c r="V330" s="14"/>
      <c r="W330" s="15" t="s">
        <v>727</v>
      </c>
      <c r="X330" s="13" t="s">
        <v>728</v>
      </c>
      <c r="Y330" s="15" t="str">
        <f>VLOOKUP(X330,'Axe 2 Règles de gestion'!$D$2:$F$121,3, FALSE)</f>
        <v>Rémunération : L'agent perçoit la rémunération et bénéficie du régime indemnitaire de son emploi d'accueil. Cependant si sa rémunération d'origine est plus élevée, il la conserve.</v>
      </c>
      <c r="Z330" s="13" t="s">
        <v>703</v>
      </c>
      <c r="AA330" s="15" t="str">
        <f>VLOOKUP(Z330,'Axe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30" s="13" t="s">
        <v>705</v>
      </c>
      <c r="AC330" s="15" t="str">
        <f>VLOOKUP(AB330,'Axe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30" s="13" t="s">
        <v>707</v>
      </c>
      <c r="AE330" s="15" t="str">
        <f>VLOOKUP(AD330,'Axe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30" s="13" t="s">
        <v>709</v>
      </c>
      <c r="AG330" s="15" t="str">
        <f>VLOOKUP(AF330,'Axe 2 Règles de gestion'!$D$2:$F$121,3, FALSE)</f>
        <v>Congés annuels : L'agent cumule des droits à congé.</v>
      </c>
      <c r="AH330" s="13" t="s">
        <v>711</v>
      </c>
      <c r="AI330" s="15" t="str">
        <f>VLOOKUP(AH330,'Axe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30" s="13" t="s">
        <v>713</v>
      </c>
      <c r="AK330" s="15" t="str">
        <f>VLOOKUP(AJ330,'Axe 2 Règles de gestion'!$D$2:$F$121,3, FALSE)</f>
        <v>Acte : Un acte administratif doit être produit.</v>
      </c>
      <c r="AL330" s="13"/>
      <c r="AM330" s="15"/>
    </row>
    <row r="331" spans="1:39" ht="135" x14ac:dyDescent="0.25">
      <c r="A331" s="13" t="s">
        <v>86</v>
      </c>
      <c r="B331" s="13" t="s">
        <v>87</v>
      </c>
      <c r="C331" s="14">
        <v>43850.552083333336</v>
      </c>
      <c r="D331" s="13" t="s">
        <v>88</v>
      </c>
      <c r="E331" s="15" t="s">
        <v>89</v>
      </c>
      <c r="F331" s="13" t="s">
        <v>90</v>
      </c>
      <c r="G331" s="15" t="s">
        <v>91</v>
      </c>
      <c r="H331" s="13" t="s">
        <v>544</v>
      </c>
      <c r="I331" s="15" t="s">
        <v>545</v>
      </c>
      <c r="J331" s="15" t="s">
        <v>546</v>
      </c>
      <c r="K331" s="15" t="s">
        <v>547</v>
      </c>
      <c r="L331" s="13" t="s">
        <v>550</v>
      </c>
      <c r="M331" s="15" t="s">
        <v>551</v>
      </c>
      <c r="N331" s="13" t="s">
        <v>188</v>
      </c>
      <c r="O331" s="15" t="s">
        <v>436</v>
      </c>
      <c r="P331" s="15" t="s">
        <v>437</v>
      </c>
      <c r="Q331" s="15" t="s">
        <v>101</v>
      </c>
      <c r="R331" s="13" t="s">
        <v>102</v>
      </c>
      <c r="S331" s="13" t="s">
        <v>103</v>
      </c>
      <c r="T331" s="13" t="s">
        <v>104</v>
      </c>
      <c r="U331" s="14">
        <v>42482</v>
      </c>
      <c r="V331" s="14"/>
      <c r="W331" s="15"/>
      <c r="X331" s="13"/>
      <c r="Y331" s="15"/>
      <c r="Z331" s="13"/>
      <c r="AA331" s="15"/>
      <c r="AB331" s="13"/>
      <c r="AC331" s="15"/>
      <c r="AD331" s="13"/>
      <c r="AE331" s="15"/>
      <c r="AF331" s="13"/>
      <c r="AG331" s="15"/>
      <c r="AH331" s="13"/>
      <c r="AI331" s="15"/>
      <c r="AJ331" s="13"/>
      <c r="AK331" s="15"/>
      <c r="AL331" s="13"/>
      <c r="AM331" s="15"/>
    </row>
    <row r="332" spans="1:39" ht="135" x14ac:dyDescent="0.25">
      <c r="A332" s="13" t="s">
        <v>202</v>
      </c>
      <c r="B332" s="13" t="s">
        <v>153</v>
      </c>
      <c r="C332" s="14">
        <v>43152.5</v>
      </c>
      <c r="D332" s="13" t="s">
        <v>88</v>
      </c>
      <c r="E332" s="15" t="s">
        <v>89</v>
      </c>
      <c r="F332" s="13" t="s">
        <v>90</v>
      </c>
      <c r="G332" s="15" t="s">
        <v>91</v>
      </c>
      <c r="H332" s="13" t="s">
        <v>544</v>
      </c>
      <c r="I332" s="15" t="s">
        <v>545</v>
      </c>
      <c r="J332" s="15" t="s">
        <v>546</v>
      </c>
      <c r="K332" s="15" t="s">
        <v>547</v>
      </c>
      <c r="L332" s="13" t="s">
        <v>548</v>
      </c>
      <c r="M332" s="15" t="s">
        <v>549</v>
      </c>
      <c r="N332" s="13" t="s">
        <v>98</v>
      </c>
      <c r="O332" s="15" t="s">
        <v>537</v>
      </c>
      <c r="P332" s="15" t="s">
        <v>429</v>
      </c>
      <c r="Q332" s="15" t="s">
        <v>203</v>
      </c>
      <c r="R332" s="13" t="s">
        <v>204</v>
      </c>
      <c r="S332" s="13" t="s">
        <v>103</v>
      </c>
      <c r="T332" s="13" t="s">
        <v>205</v>
      </c>
      <c r="U332" s="14">
        <v>40725</v>
      </c>
      <c r="V332" s="14"/>
      <c r="W332" s="15"/>
      <c r="X332" s="13"/>
      <c r="Y332" s="15"/>
      <c r="Z332" s="13"/>
      <c r="AA332" s="15"/>
      <c r="AB332" s="13"/>
      <c r="AC332" s="15"/>
      <c r="AD332" s="13"/>
      <c r="AE332" s="15"/>
      <c r="AF332" s="13"/>
      <c r="AG332" s="15"/>
      <c r="AH332" s="13"/>
      <c r="AI332" s="15"/>
      <c r="AJ332" s="13"/>
      <c r="AK332" s="15"/>
      <c r="AL332" s="13"/>
      <c r="AM332" s="15"/>
    </row>
    <row r="333" spans="1:39" ht="135" x14ac:dyDescent="0.25">
      <c r="A333" s="13" t="s">
        <v>202</v>
      </c>
      <c r="B333" s="13" t="s">
        <v>153</v>
      </c>
      <c r="C333" s="14">
        <v>43152.5</v>
      </c>
      <c r="D333" s="13" t="s">
        <v>88</v>
      </c>
      <c r="E333" s="15" t="s">
        <v>89</v>
      </c>
      <c r="F333" s="13" t="s">
        <v>90</v>
      </c>
      <c r="G333" s="15" t="s">
        <v>91</v>
      </c>
      <c r="H333" s="13" t="s">
        <v>544</v>
      </c>
      <c r="I333" s="15" t="s">
        <v>545</v>
      </c>
      <c r="J333" s="15" t="s">
        <v>546</v>
      </c>
      <c r="K333" s="15" t="s">
        <v>547</v>
      </c>
      <c r="L333" s="13" t="s">
        <v>550</v>
      </c>
      <c r="M333" s="15" t="s">
        <v>551</v>
      </c>
      <c r="N333" s="13" t="s">
        <v>188</v>
      </c>
      <c r="O333" s="15" t="s">
        <v>436</v>
      </c>
      <c r="P333" s="15" t="s">
        <v>437</v>
      </c>
      <c r="Q333" s="15" t="s">
        <v>203</v>
      </c>
      <c r="R333" s="13" t="s">
        <v>204</v>
      </c>
      <c r="S333" s="13" t="s">
        <v>103</v>
      </c>
      <c r="T333" s="13" t="s">
        <v>205</v>
      </c>
      <c r="U333" s="14">
        <v>40725</v>
      </c>
      <c r="V333" s="14"/>
      <c r="W333" s="15"/>
      <c r="X333" s="13"/>
      <c r="Y333" s="15"/>
      <c r="Z333" s="13"/>
      <c r="AA333" s="15"/>
      <c r="AB333" s="13"/>
      <c r="AC333" s="15"/>
      <c r="AD333" s="13"/>
      <c r="AE333" s="15"/>
      <c r="AF333" s="13"/>
      <c r="AG333" s="15"/>
      <c r="AH333" s="13"/>
      <c r="AI333" s="15"/>
      <c r="AJ333" s="13"/>
      <c r="AK333" s="15"/>
      <c r="AL333" s="13"/>
      <c r="AM333" s="15"/>
    </row>
    <row r="334" spans="1:39" ht="135" x14ac:dyDescent="0.25">
      <c r="A334" s="13" t="s">
        <v>202</v>
      </c>
      <c r="B334" s="13" t="s">
        <v>153</v>
      </c>
      <c r="C334" s="14">
        <v>43152.5</v>
      </c>
      <c r="D334" s="13" t="s">
        <v>88</v>
      </c>
      <c r="E334" s="15" t="s">
        <v>89</v>
      </c>
      <c r="F334" s="13" t="s">
        <v>90</v>
      </c>
      <c r="G334" s="15" t="s">
        <v>91</v>
      </c>
      <c r="H334" s="13" t="s">
        <v>544</v>
      </c>
      <c r="I334" s="15" t="s">
        <v>545</v>
      </c>
      <c r="J334" s="15" t="s">
        <v>546</v>
      </c>
      <c r="K334" s="15" t="s">
        <v>547</v>
      </c>
      <c r="L334" s="13" t="s">
        <v>548</v>
      </c>
      <c r="M334" s="15" t="s">
        <v>549</v>
      </c>
      <c r="N334" s="13" t="s">
        <v>98</v>
      </c>
      <c r="O334" s="15" t="s">
        <v>537</v>
      </c>
      <c r="P334" s="15" t="s">
        <v>429</v>
      </c>
      <c r="Q334" s="15" t="s">
        <v>206</v>
      </c>
      <c r="R334" s="13" t="s">
        <v>207</v>
      </c>
      <c r="S334" s="13" t="s">
        <v>103</v>
      </c>
      <c r="T334" s="13" t="s">
        <v>205</v>
      </c>
      <c r="U334" s="14">
        <v>40725</v>
      </c>
      <c r="V334" s="14"/>
      <c r="W334" s="15"/>
      <c r="X334" s="13"/>
      <c r="Y334" s="15"/>
      <c r="Z334" s="13"/>
      <c r="AA334" s="15"/>
      <c r="AB334" s="13"/>
      <c r="AC334" s="15"/>
      <c r="AD334" s="13"/>
      <c r="AE334" s="15"/>
      <c r="AF334" s="13"/>
      <c r="AG334" s="15"/>
      <c r="AH334" s="13"/>
      <c r="AI334" s="15"/>
      <c r="AJ334" s="13"/>
      <c r="AK334" s="15"/>
      <c r="AL334" s="13"/>
      <c r="AM334" s="15"/>
    </row>
    <row r="335" spans="1:39" ht="135" x14ac:dyDescent="0.25">
      <c r="A335" s="13" t="s">
        <v>202</v>
      </c>
      <c r="B335" s="13" t="s">
        <v>153</v>
      </c>
      <c r="C335" s="14">
        <v>43152.5</v>
      </c>
      <c r="D335" s="13" t="s">
        <v>88</v>
      </c>
      <c r="E335" s="15" t="s">
        <v>89</v>
      </c>
      <c r="F335" s="13" t="s">
        <v>90</v>
      </c>
      <c r="G335" s="15" t="s">
        <v>91</v>
      </c>
      <c r="H335" s="13" t="s">
        <v>544</v>
      </c>
      <c r="I335" s="15" t="s">
        <v>545</v>
      </c>
      <c r="J335" s="15" t="s">
        <v>546</v>
      </c>
      <c r="K335" s="15" t="s">
        <v>547</v>
      </c>
      <c r="L335" s="13" t="s">
        <v>550</v>
      </c>
      <c r="M335" s="15" t="s">
        <v>551</v>
      </c>
      <c r="N335" s="13" t="s">
        <v>188</v>
      </c>
      <c r="O335" s="15" t="s">
        <v>436</v>
      </c>
      <c r="P335" s="15" t="s">
        <v>437</v>
      </c>
      <c r="Q335" s="15" t="s">
        <v>206</v>
      </c>
      <c r="R335" s="13" t="s">
        <v>207</v>
      </c>
      <c r="S335" s="13" t="s">
        <v>103</v>
      </c>
      <c r="T335" s="13" t="s">
        <v>205</v>
      </c>
      <c r="U335" s="14">
        <v>40725</v>
      </c>
      <c r="V335" s="14"/>
      <c r="W335" s="15"/>
      <c r="X335" s="13"/>
      <c r="Y335" s="15"/>
      <c r="Z335" s="13"/>
      <c r="AA335" s="15"/>
      <c r="AB335" s="13"/>
      <c r="AC335" s="15"/>
      <c r="AD335" s="13"/>
      <c r="AE335" s="15"/>
      <c r="AF335" s="13"/>
      <c r="AG335" s="15"/>
      <c r="AH335" s="13"/>
      <c r="AI335" s="15"/>
      <c r="AJ335" s="13"/>
      <c r="AK335" s="15"/>
      <c r="AL335" s="13"/>
      <c r="AM335" s="15"/>
    </row>
    <row r="336" spans="1:39" ht="135" x14ac:dyDescent="0.25">
      <c r="A336" s="13" t="s">
        <v>202</v>
      </c>
      <c r="B336" s="13" t="s">
        <v>153</v>
      </c>
      <c r="C336" s="14">
        <v>43152.5</v>
      </c>
      <c r="D336" s="13" t="s">
        <v>88</v>
      </c>
      <c r="E336" s="15" t="s">
        <v>89</v>
      </c>
      <c r="F336" s="13" t="s">
        <v>90</v>
      </c>
      <c r="G336" s="15" t="s">
        <v>91</v>
      </c>
      <c r="H336" s="13" t="s">
        <v>544</v>
      </c>
      <c r="I336" s="15" t="s">
        <v>545</v>
      </c>
      <c r="J336" s="15" t="s">
        <v>546</v>
      </c>
      <c r="K336" s="15" t="s">
        <v>547</v>
      </c>
      <c r="L336" s="13" t="s">
        <v>548</v>
      </c>
      <c r="M336" s="15" t="s">
        <v>549</v>
      </c>
      <c r="N336" s="13" t="s">
        <v>98</v>
      </c>
      <c r="O336" s="15" t="s">
        <v>537</v>
      </c>
      <c r="P336" s="15" t="s">
        <v>429</v>
      </c>
      <c r="Q336" s="15" t="s">
        <v>208</v>
      </c>
      <c r="R336" s="13" t="s">
        <v>209</v>
      </c>
      <c r="S336" s="13" t="s">
        <v>103</v>
      </c>
      <c r="T336" s="13" t="s">
        <v>205</v>
      </c>
      <c r="U336" s="14">
        <v>40725</v>
      </c>
      <c r="V336" s="14"/>
      <c r="W336" s="15"/>
      <c r="X336" s="13"/>
      <c r="Y336" s="15"/>
      <c r="Z336" s="13"/>
      <c r="AA336" s="15"/>
      <c r="AB336" s="13"/>
      <c r="AC336" s="15"/>
      <c r="AD336" s="13"/>
      <c r="AE336" s="15"/>
      <c r="AF336" s="13"/>
      <c r="AG336" s="15"/>
      <c r="AH336" s="13"/>
      <c r="AI336" s="15"/>
      <c r="AJ336" s="13"/>
      <c r="AK336" s="15"/>
      <c r="AL336" s="13"/>
      <c r="AM336" s="15"/>
    </row>
    <row r="337" spans="1:39" ht="135" x14ac:dyDescent="0.25">
      <c r="A337" s="13" t="s">
        <v>202</v>
      </c>
      <c r="B337" s="13" t="s">
        <v>153</v>
      </c>
      <c r="C337" s="14">
        <v>43152.5</v>
      </c>
      <c r="D337" s="13" t="s">
        <v>88</v>
      </c>
      <c r="E337" s="15" t="s">
        <v>89</v>
      </c>
      <c r="F337" s="13" t="s">
        <v>90</v>
      </c>
      <c r="G337" s="15" t="s">
        <v>91</v>
      </c>
      <c r="H337" s="13" t="s">
        <v>544</v>
      </c>
      <c r="I337" s="15" t="s">
        <v>545</v>
      </c>
      <c r="J337" s="15" t="s">
        <v>546</v>
      </c>
      <c r="K337" s="15" t="s">
        <v>547</v>
      </c>
      <c r="L337" s="13" t="s">
        <v>550</v>
      </c>
      <c r="M337" s="15" t="s">
        <v>551</v>
      </c>
      <c r="N337" s="13" t="s">
        <v>188</v>
      </c>
      <c r="O337" s="15" t="s">
        <v>436</v>
      </c>
      <c r="P337" s="15" t="s">
        <v>437</v>
      </c>
      <c r="Q337" s="15" t="s">
        <v>208</v>
      </c>
      <c r="R337" s="13" t="s">
        <v>209</v>
      </c>
      <c r="S337" s="13" t="s">
        <v>103</v>
      </c>
      <c r="T337" s="13" t="s">
        <v>205</v>
      </c>
      <c r="U337" s="14">
        <v>40725</v>
      </c>
      <c r="V337" s="14"/>
      <c r="W337" s="15"/>
      <c r="X337" s="13"/>
      <c r="Y337" s="15"/>
      <c r="Z337" s="13"/>
      <c r="AA337" s="15"/>
      <c r="AB337" s="13"/>
      <c r="AC337" s="15"/>
      <c r="AD337" s="13"/>
      <c r="AE337" s="15"/>
      <c r="AF337" s="13"/>
      <c r="AG337" s="15"/>
      <c r="AH337" s="13"/>
      <c r="AI337" s="15"/>
      <c r="AJ337" s="13"/>
      <c r="AK337" s="15"/>
      <c r="AL337" s="13"/>
      <c r="AM337" s="15"/>
    </row>
    <row r="338" spans="1:39" ht="120" x14ac:dyDescent="0.25">
      <c r="A338" s="13" t="s">
        <v>202</v>
      </c>
      <c r="B338" s="13" t="s">
        <v>153</v>
      </c>
      <c r="C338" s="14">
        <v>43152.5</v>
      </c>
      <c r="D338" s="13" t="s">
        <v>88</v>
      </c>
      <c r="E338" s="15" t="s">
        <v>89</v>
      </c>
      <c r="F338" s="13" t="s">
        <v>90</v>
      </c>
      <c r="G338" s="15" t="s">
        <v>91</v>
      </c>
      <c r="H338" s="13" t="s">
        <v>552</v>
      </c>
      <c r="I338" s="15" t="s">
        <v>553</v>
      </c>
      <c r="J338" s="15" t="s">
        <v>554</v>
      </c>
      <c r="K338" s="15" t="s">
        <v>555</v>
      </c>
      <c r="L338" s="13" t="s">
        <v>556</v>
      </c>
      <c r="M338" s="15" t="s">
        <v>557</v>
      </c>
      <c r="N338" s="13" t="s">
        <v>98</v>
      </c>
      <c r="O338" s="15" t="s">
        <v>99</v>
      </c>
      <c r="P338" s="15" t="s">
        <v>100</v>
      </c>
      <c r="Q338" s="15" t="s">
        <v>101</v>
      </c>
      <c r="R338" s="13" t="s">
        <v>102</v>
      </c>
      <c r="S338" s="13" t="s">
        <v>103</v>
      </c>
      <c r="T338" s="13" t="s">
        <v>205</v>
      </c>
      <c r="U338" s="14">
        <v>40725</v>
      </c>
      <c r="V338" s="14"/>
      <c r="W338" s="15"/>
      <c r="X338" s="13"/>
      <c r="Y338" s="15"/>
      <c r="Z338" s="13"/>
      <c r="AA338" s="15"/>
      <c r="AB338" s="13"/>
      <c r="AC338" s="15"/>
      <c r="AD338" s="13"/>
      <c r="AE338" s="15"/>
      <c r="AF338" s="13"/>
      <c r="AG338" s="15"/>
      <c r="AH338" s="13"/>
      <c r="AI338" s="15"/>
      <c r="AJ338" s="13"/>
      <c r="AK338" s="15"/>
      <c r="AL338" s="13"/>
      <c r="AM338" s="15"/>
    </row>
    <row r="339" spans="1:39" ht="120" x14ac:dyDescent="0.25">
      <c r="A339" s="13" t="s">
        <v>202</v>
      </c>
      <c r="B339" s="13" t="s">
        <v>153</v>
      </c>
      <c r="C339" s="14">
        <v>43152.5</v>
      </c>
      <c r="D339" s="13" t="s">
        <v>88</v>
      </c>
      <c r="E339" s="15" t="s">
        <v>89</v>
      </c>
      <c r="F339" s="13" t="s">
        <v>90</v>
      </c>
      <c r="G339" s="15" t="s">
        <v>91</v>
      </c>
      <c r="H339" s="13" t="s">
        <v>552</v>
      </c>
      <c r="I339" s="15" t="s">
        <v>553</v>
      </c>
      <c r="J339" s="15" t="s">
        <v>554</v>
      </c>
      <c r="K339" s="15" t="s">
        <v>555</v>
      </c>
      <c r="L339" s="13" t="s">
        <v>558</v>
      </c>
      <c r="M339" s="15" t="s">
        <v>559</v>
      </c>
      <c r="N339" s="13" t="s">
        <v>98</v>
      </c>
      <c r="O339" s="15" t="s">
        <v>170</v>
      </c>
      <c r="P339" s="15" t="s">
        <v>171</v>
      </c>
      <c r="Q339" s="15" t="s">
        <v>101</v>
      </c>
      <c r="R339" s="13" t="s">
        <v>102</v>
      </c>
      <c r="S339" s="13" t="s">
        <v>103</v>
      </c>
      <c r="T339" s="13" t="s">
        <v>205</v>
      </c>
      <c r="U339" s="14">
        <v>40725</v>
      </c>
      <c r="V339" s="14"/>
      <c r="W339" s="15"/>
      <c r="X339" s="13"/>
      <c r="Y339" s="15"/>
      <c r="Z339" s="13"/>
      <c r="AA339" s="15"/>
      <c r="AB339" s="13"/>
      <c r="AC339" s="15"/>
      <c r="AD339" s="13"/>
      <c r="AE339" s="15"/>
      <c r="AF339" s="13"/>
      <c r="AG339" s="15"/>
      <c r="AH339" s="13"/>
      <c r="AI339" s="15"/>
      <c r="AJ339" s="13"/>
      <c r="AK339" s="15"/>
      <c r="AL339" s="13"/>
      <c r="AM339" s="15"/>
    </row>
    <row r="340" spans="1:39" ht="120" x14ac:dyDescent="0.25">
      <c r="A340" s="13" t="s">
        <v>202</v>
      </c>
      <c r="B340" s="13" t="s">
        <v>153</v>
      </c>
      <c r="C340" s="14">
        <v>43152.5</v>
      </c>
      <c r="D340" s="13" t="s">
        <v>88</v>
      </c>
      <c r="E340" s="15" t="s">
        <v>89</v>
      </c>
      <c r="F340" s="13" t="s">
        <v>90</v>
      </c>
      <c r="G340" s="15" t="s">
        <v>91</v>
      </c>
      <c r="H340" s="13" t="s">
        <v>552</v>
      </c>
      <c r="I340" s="15" t="s">
        <v>553</v>
      </c>
      <c r="J340" s="15" t="s">
        <v>554</v>
      </c>
      <c r="K340" s="15" t="s">
        <v>555</v>
      </c>
      <c r="L340" s="13" t="s">
        <v>560</v>
      </c>
      <c r="M340" s="15" t="s">
        <v>561</v>
      </c>
      <c r="N340" s="13" t="s">
        <v>188</v>
      </c>
      <c r="O340" s="15" t="s">
        <v>189</v>
      </c>
      <c r="P340" s="15" t="s">
        <v>190</v>
      </c>
      <c r="Q340" s="15" t="s">
        <v>101</v>
      </c>
      <c r="R340" s="13" t="s">
        <v>102</v>
      </c>
      <c r="S340" s="13" t="s">
        <v>103</v>
      </c>
      <c r="T340" s="13" t="s">
        <v>205</v>
      </c>
      <c r="U340" s="14">
        <v>40725</v>
      </c>
      <c r="V340" s="14"/>
      <c r="W340" s="15"/>
      <c r="X340" s="13"/>
      <c r="Y340" s="15"/>
      <c r="Z340" s="13"/>
      <c r="AA340" s="15"/>
      <c r="AB340" s="13"/>
      <c r="AC340" s="15"/>
      <c r="AD340" s="13"/>
      <c r="AE340" s="15"/>
      <c r="AF340" s="13"/>
      <c r="AG340" s="15"/>
      <c r="AH340" s="13"/>
      <c r="AI340" s="15"/>
      <c r="AJ340" s="13"/>
      <c r="AK340" s="15"/>
      <c r="AL340" s="13"/>
      <c r="AM340" s="15"/>
    </row>
    <row r="341" spans="1:39" ht="120" x14ac:dyDescent="0.25">
      <c r="A341" s="13" t="s">
        <v>202</v>
      </c>
      <c r="B341" s="13" t="s">
        <v>153</v>
      </c>
      <c r="C341" s="14">
        <v>43152.5</v>
      </c>
      <c r="D341" s="13" t="s">
        <v>88</v>
      </c>
      <c r="E341" s="15" t="s">
        <v>89</v>
      </c>
      <c r="F341" s="13" t="s">
        <v>90</v>
      </c>
      <c r="G341" s="15" t="s">
        <v>91</v>
      </c>
      <c r="H341" s="13" t="s">
        <v>552</v>
      </c>
      <c r="I341" s="15" t="s">
        <v>553</v>
      </c>
      <c r="J341" s="15" t="s">
        <v>554</v>
      </c>
      <c r="K341" s="15" t="s">
        <v>555</v>
      </c>
      <c r="L341" s="13" t="s">
        <v>556</v>
      </c>
      <c r="M341" s="15" t="s">
        <v>557</v>
      </c>
      <c r="N341" s="13" t="s">
        <v>98</v>
      </c>
      <c r="O341" s="15" t="s">
        <v>99</v>
      </c>
      <c r="P341" s="15" t="s">
        <v>100</v>
      </c>
      <c r="Q341" s="15" t="s">
        <v>203</v>
      </c>
      <c r="R341" s="13" t="s">
        <v>204</v>
      </c>
      <c r="S341" s="13" t="s">
        <v>103</v>
      </c>
      <c r="T341" s="13" t="s">
        <v>205</v>
      </c>
      <c r="U341" s="14">
        <v>40725</v>
      </c>
      <c r="V341" s="14"/>
      <c r="W341" s="15"/>
      <c r="X341" s="13"/>
      <c r="Y341" s="15"/>
      <c r="Z341" s="13"/>
      <c r="AA341" s="15"/>
      <c r="AB341" s="13"/>
      <c r="AC341" s="15"/>
      <c r="AD341" s="13"/>
      <c r="AE341" s="15"/>
      <c r="AF341" s="13"/>
      <c r="AG341" s="15"/>
      <c r="AH341" s="13"/>
      <c r="AI341" s="15"/>
      <c r="AJ341" s="13"/>
      <c r="AK341" s="15"/>
      <c r="AL341" s="13"/>
      <c r="AM341" s="15"/>
    </row>
    <row r="342" spans="1:39" ht="120" x14ac:dyDescent="0.25">
      <c r="A342" s="13" t="s">
        <v>202</v>
      </c>
      <c r="B342" s="13" t="s">
        <v>153</v>
      </c>
      <c r="C342" s="14">
        <v>43152.5</v>
      </c>
      <c r="D342" s="13" t="s">
        <v>88</v>
      </c>
      <c r="E342" s="15" t="s">
        <v>89</v>
      </c>
      <c r="F342" s="13" t="s">
        <v>90</v>
      </c>
      <c r="G342" s="15" t="s">
        <v>91</v>
      </c>
      <c r="H342" s="13" t="s">
        <v>552</v>
      </c>
      <c r="I342" s="15" t="s">
        <v>553</v>
      </c>
      <c r="J342" s="15" t="s">
        <v>554</v>
      </c>
      <c r="K342" s="15" t="s">
        <v>555</v>
      </c>
      <c r="L342" s="13" t="s">
        <v>558</v>
      </c>
      <c r="M342" s="15" t="s">
        <v>559</v>
      </c>
      <c r="N342" s="13" t="s">
        <v>98</v>
      </c>
      <c r="O342" s="15" t="s">
        <v>170</v>
      </c>
      <c r="P342" s="15" t="s">
        <v>171</v>
      </c>
      <c r="Q342" s="15" t="s">
        <v>203</v>
      </c>
      <c r="R342" s="13" t="s">
        <v>204</v>
      </c>
      <c r="S342" s="13" t="s">
        <v>103</v>
      </c>
      <c r="T342" s="13" t="s">
        <v>205</v>
      </c>
      <c r="U342" s="14">
        <v>40725</v>
      </c>
      <c r="V342" s="14"/>
      <c r="W342" s="15"/>
      <c r="X342" s="13"/>
      <c r="Y342" s="15"/>
      <c r="Z342" s="13"/>
      <c r="AA342" s="15"/>
      <c r="AB342" s="13"/>
      <c r="AC342" s="15"/>
      <c r="AD342" s="13"/>
      <c r="AE342" s="15"/>
      <c r="AF342" s="13"/>
      <c r="AG342" s="15"/>
      <c r="AH342" s="13"/>
      <c r="AI342" s="15"/>
      <c r="AJ342" s="13"/>
      <c r="AK342" s="15"/>
      <c r="AL342" s="13"/>
      <c r="AM342" s="15"/>
    </row>
    <row r="343" spans="1:39" ht="120" x14ac:dyDescent="0.25">
      <c r="A343" s="13" t="s">
        <v>202</v>
      </c>
      <c r="B343" s="13" t="s">
        <v>153</v>
      </c>
      <c r="C343" s="14">
        <v>43152.5</v>
      </c>
      <c r="D343" s="13" t="s">
        <v>88</v>
      </c>
      <c r="E343" s="15" t="s">
        <v>89</v>
      </c>
      <c r="F343" s="13" t="s">
        <v>90</v>
      </c>
      <c r="G343" s="15" t="s">
        <v>91</v>
      </c>
      <c r="H343" s="13" t="s">
        <v>552</v>
      </c>
      <c r="I343" s="15" t="s">
        <v>553</v>
      </c>
      <c r="J343" s="15" t="s">
        <v>554</v>
      </c>
      <c r="K343" s="15" t="s">
        <v>555</v>
      </c>
      <c r="L343" s="13" t="s">
        <v>560</v>
      </c>
      <c r="M343" s="15" t="s">
        <v>561</v>
      </c>
      <c r="N343" s="13" t="s">
        <v>188</v>
      </c>
      <c r="O343" s="15" t="s">
        <v>189</v>
      </c>
      <c r="P343" s="15" t="s">
        <v>190</v>
      </c>
      <c r="Q343" s="15" t="s">
        <v>203</v>
      </c>
      <c r="R343" s="13" t="s">
        <v>204</v>
      </c>
      <c r="S343" s="13" t="s">
        <v>103</v>
      </c>
      <c r="T343" s="13" t="s">
        <v>205</v>
      </c>
      <c r="U343" s="14">
        <v>40725</v>
      </c>
      <c r="V343" s="14"/>
      <c r="W343" s="15"/>
      <c r="X343" s="13"/>
      <c r="Y343" s="15"/>
      <c r="Z343" s="13"/>
      <c r="AA343" s="15"/>
      <c r="AB343" s="13"/>
      <c r="AC343" s="15"/>
      <c r="AD343" s="13"/>
      <c r="AE343" s="15"/>
      <c r="AF343" s="13"/>
      <c r="AG343" s="15"/>
      <c r="AH343" s="13"/>
      <c r="AI343" s="15"/>
      <c r="AJ343" s="13"/>
      <c r="AK343" s="15"/>
      <c r="AL343" s="13"/>
      <c r="AM343" s="15"/>
    </row>
    <row r="344" spans="1:39" ht="120" x14ac:dyDescent="0.25">
      <c r="A344" s="13" t="s">
        <v>202</v>
      </c>
      <c r="B344" s="13" t="s">
        <v>153</v>
      </c>
      <c r="C344" s="14">
        <v>43152.5</v>
      </c>
      <c r="D344" s="13" t="s">
        <v>88</v>
      </c>
      <c r="E344" s="15" t="s">
        <v>89</v>
      </c>
      <c r="F344" s="13" t="s">
        <v>90</v>
      </c>
      <c r="G344" s="15" t="s">
        <v>91</v>
      </c>
      <c r="H344" s="13" t="s">
        <v>552</v>
      </c>
      <c r="I344" s="15" t="s">
        <v>553</v>
      </c>
      <c r="J344" s="15" t="s">
        <v>554</v>
      </c>
      <c r="K344" s="15" t="s">
        <v>555</v>
      </c>
      <c r="L344" s="13" t="s">
        <v>556</v>
      </c>
      <c r="M344" s="15" t="s">
        <v>557</v>
      </c>
      <c r="N344" s="13" t="s">
        <v>98</v>
      </c>
      <c r="O344" s="15" t="s">
        <v>99</v>
      </c>
      <c r="P344" s="15" t="s">
        <v>100</v>
      </c>
      <c r="Q344" s="15" t="s">
        <v>206</v>
      </c>
      <c r="R344" s="13" t="s">
        <v>207</v>
      </c>
      <c r="S344" s="13" t="s">
        <v>103</v>
      </c>
      <c r="T344" s="13" t="s">
        <v>205</v>
      </c>
      <c r="U344" s="14">
        <v>40725</v>
      </c>
      <c r="V344" s="14"/>
      <c r="W344" s="15"/>
      <c r="X344" s="13"/>
      <c r="Y344" s="15"/>
      <c r="Z344" s="13"/>
      <c r="AA344" s="15"/>
      <c r="AB344" s="13"/>
      <c r="AC344" s="15"/>
      <c r="AD344" s="13"/>
      <c r="AE344" s="15"/>
      <c r="AF344" s="13"/>
      <c r="AG344" s="15"/>
      <c r="AH344" s="13"/>
      <c r="AI344" s="15"/>
      <c r="AJ344" s="13"/>
      <c r="AK344" s="15"/>
      <c r="AL344" s="13"/>
      <c r="AM344" s="15"/>
    </row>
    <row r="345" spans="1:39" ht="120" x14ac:dyDescent="0.25">
      <c r="A345" s="13" t="s">
        <v>202</v>
      </c>
      <c r="B345" s="13" t="s">
        <v>153</v>
      </c>
      <c r="C345" s="14">
        <v>43152.5</v>
      </c>
      <c r="D345" s="13" t="s">
        <v>88</v>
      </c>
      <c r="E345" s="15" t="s">
        <v>89</v>
      </c>
      <c r="F345" s="13" t="s">
        <v>90</v>
      </c>
      <c r="G345" s="15" t="s">
        <v>91</v>
      </c>
      <c r="H345" s="13" t="s">
        <v>552</v>
      </c>
      <c r="I345" s="15" t="s">
        <v>553</v>
      </c>
      <c r="J345" s="15" t="s">
        <v>554</v>
      </c>
      <c r="K345" s="15" t="s">
        <v>555</v>
      </c>
      <c r="L345" s="13" t="s">
        <v>558</v>
      </c>
      <c r="M345" s="15" t="s">
        <v>559</v>
      </c>
      <c r="N345" s="13" t="s">
        <v>98</v>
      </c>
      <c r="O345" s="15" t="s">
        <v>170</v>
      </c>
      <c r="P345" s="15" t="s">
        <v>171</v>
      </c>
      <c r="Q345" s="15" t="s">
        <v>206</v>
      </c>
      <c r="R345" s="13" t="s">
        <v>207</v>
      </c>
      <c r="S345" s="13" t="s">
        <v>103</v>
      </c>
      <c r="T345" s="13" t="s">
        <v>205</v>
      </c>
      <c r="U345" s="14">
        <v>40725</v>
      </c>
      <c r="V345" s="14"/>
      <c r="W345" s="15"/>
      <c r="X345" s="13"/>
      <c r="Y345" s="15"/>
      <c r="Z345" s="13"/>
      <c r="AA345" s="15"/>
      <c r="AB345" s="13"/>
      <c r="AC345" s="15"/>
      <c r="AD345" s="13"/>
      <c r="AE345" s="15"/>
      <c r="AF345" s="13"/>
      <c r="AG345" s="15"/>
      <c r="AH345" s="13"/>
      <c r="AI345" s="15"/>
      <c r="AJ345" s="13"/>
      <c r="AK345" s="15"/>
      <c r="AL345" s="13"/>
      <c r="AM345" s="15"/>
    </row>
    <row r="346" spans="1:39" ht="120" x14ac:dyDescent="0.25">
      <c r="A346" s="13" t="s">
        <v>202</v>
      </c>
      <c r="B346" s="13" t="s">
        <v>153</v>
      </c>
      <c r="C346" s="14">
        <v>43152.5</v>
      </c>
      <c r="D346" s="13" t="s">
        <v>88</v>
      </c>
      <c r="E346" s="15" t="s">
        <v>89</v>
      </c>
      <c r="F346" s="13" t="s">
        <v>90</v>
      </c>
      <c r="G346" s="15" t="s">
        <v>91</v>
      </c>
      <c r="H346" s="13" t="s">
        <v>552</v>
      </c>
      <c r="I346" s="15" t="s">
        <v>553</v>
      </c>
      <c r="J346" s="15" t="s">
        <v>554</v>
      </c>
      <c r="K346" s="15" t="s">
        <v>555</v>
      </c>
      <c r="L346" s="13" t="s">
        <v>560</v>
      </c>
      <c r="M346" s="15" t="s">
        <v>561</v>
      </c>
      <c r="N346" s="13" t="s">
        <v>188</v>
      </c>
      <c r="O346" s="15" t="s">
        <v>189</v>
      </c>
      <c r="P346" s="15" t="s">
        <v>190</v>
      </c>
      <c r="Q346" s="15" t="s">
        <v>206</v>
      </c>
      <c r="R346" s="13" t="s">
        <v>207</v>
      </c>
      <c r="S346" s="13" t="s">
        <v>103</v>
      </c>
      <c r="T346" s="13" t="s">
        <v>205</v>
      </c>
      <c r="U346" s="14">
        <v>40725</v>
      </c>
      <c r="V346" s="14"/>
      <c r="W346" s="15"/>
      <c r="X346" s="13"/>
      <c r="Y346" s="15"/>
      <c r="Z346" s="13"/>
      <c r="AA346" s="15"/>
      <c r="AB346" s="13"/>
      <c r="AC346" s="15"/>
      <c r="AD346" s="13"/>
      <c r="AE346" s="15"/>
      <c r="AF346" s="13"/>
      <c r="AG346" s="15"/>
      <c r="AH346" s="13"/>
      <c r="AI346" s="15"/>
      <c r="AJ346" s="13"/>
      <c r="AK346" s="15"/>
      <c r="AL346" s="13"/>
      <c r="AM346" s="15"/>
    </row>
    <row r="347" spans="1:39" ht="120" x14ac:dyDescent="0.25">
      <c r="A347" s="13" t="s">
        <v>202</v>
      </c>
      <c r="B347" s="13" t="s">
        <v>153</v>
      </c>
      <c r="C347" s="14">
        <v>43152.5</v>
      </c>
      <c r="D347" s="13" t="s">
        <v>88</v>
      </c>
      <c r="E347" s="15" t="s">
        <v>89</v>
      </c>
      <c r="F347" s="13" t="s">
        <v>90</v>
      </c>
      <c r="G347" s="15" t="s">
        <v>91</v>
      </c>
      <c r="H347" s="13" t="s">
        <v>552</v>
      </c>
      <c r="I347" s="15" t="s">
        <v>553</v>
      </c>
      <c r="J347" s="15" t="s">
        <v>554</v>
      </c>
      <c r="K347" s="15" t="s">
        <v>555</v>
      </c>
      <c r="L347" s="13" t="s">
        <v>556</v>
      </c>
      <c r="M347" s="15" t="s">
        <v>557</v>
      </c>
      <c r="N347" s="13" t="s">
        <v>98</v>
      </c>
      <c r="O347" s="15" t="s">
        <v>99</v>
      </c>
      <c r="P347" s="15" t="s">
        <v>100</v>
      </c>
      <c r="Q347" s="15" t="s">
        <v>208</v>
      </c>
      <c r="R347" s="13" t="s">
        <v>209</v>
      </c>
      <c r="S347" s="13" t="s">
        <v>103</v>
      </c>
      <c r="T347" s="13" t="s">
        <v>205</v>
      </c>
      <c r="U347" s="14">
        <v>40725</v>
      </c>
      <c r="V347" s="14"/>
      <c r="W347" s="15"/>
      <c r="X347" s="13"/>
      <c r="Y347" s="15"/>
      <c r="Z347" s="13"/>
      <c r="AA347" s="15"/>
      <c r="AB347" s="13"/>
      <c r="AC347" s="15"/>
      <c r="AD347" s="13"/>
      <c r="AE347" s="15"/>
      <c r="AF347" s="13"/>
      <c r="AG347" s="15"/>
      <c r="AH347" s="13"/>
      <c r="AI347" s="15"/>
      <c r="AJ347" s="13"/>
      <c r="AK347" s="15"/>
      <c r="AL347" s="13"/>
      <c r="AM347" s="15"/>
    </row>
    <row r="348" spans="1:39" ht="120" x14ac:dyDescent="0.25">
      <c r="A348" s="13" t="s">
        <v>202</v>
      </c>
      <c r="B348" s="13" t="s">
        <v>153</v>
      </c>
      <c r="C348" s="14">
        <v>43152.5</v>
      </c>
      <c r="D348" s="13" t="s">
        <v>88</v>
      </c>
      <c r="E348" s="15" t="s">
        <v>89</v>
      </c>
      <c r="F348" s="13" t="s">
        <v>90</v>
      </c>
      <c r="G348" s="15" t="s">
        <v>91</v>
      </c>
      <c r="H348" s="13" t="s">
        <v>552</v>
      </c>
      <c r="I348" s="15" t="s">
        <v>553</v>
      </c>
      <c r="J348" s="15" t="s">
        <v>554</v>
      </c>
      <c r="K348" s="15" t="s">
        <v>555</v>
      </c>
      <c r="L348" s="13" t="s">
        <v>558</v>
      </c>
      <c r="M348" s="15" t="s">
        <v>559</v>
      </c>
      <c r="N348" s="13" t="s">
        <v>98</v>
      </c>
      <c r="O348" s="15" t="s">
        <v>170</v>
      </c>
      <c r="P348" s="15" t="s">
        <v>171</v>
      </c>
      <c r="Q348" s="15" t="s">
        <v>208</v>
      </c>
      <c r="R348" s="13" t="s">
        <v>209</v>
      </c>
      <c r="S348" s="13" t="s">
        <v>103</v>
      </c>
      <c r="T348" s="13" t="s">
        <v>205</v>
      </c>
      <c r="U348" s="14">
        <v>40725</v>
      </c>
      <c r="V348" s="14"/>
      <c r="W348" s="15"/>
      <c r="X348" s="13"/>
      <c r="Y348" s="15"/>
      <c r="Z348" s="13"/>
      <c r="AA348" s="15"/>
      <c r="AB348" s="13"/>
      <c r="AC348" s="15"/>
      <c r="AD348" s="13"/>
      <c r="AE348" s="15"/>
      <c r="AF348" s="13"/>
      <c r="AG348" s="15"/>
      <c r="AH348" s="13"/>
      <c r="AI348" s="15"/>
      <c r="AJ348" s="13"/>
      <c r="AK348" s="15"/>
      <c r="AL348" s="13"/>
      <c r="AM348" s="15"/>
    </row>
    <row r="349" spans="1:39" ht="120" x14ac:dyDescent="0.25">
      <c r="A349" s="13" t="s">
        <v>202</v>
      </c>
      <c r="B349" s="13" t="s">
        <v>153</v>
      </c>
      <c r="C349" s="14">
        <v>43152.5</v>
      </c>
      <c r="D349" s="13" t="s">
        <v>88</v>
      </c>
      <c r="E349" s="15" t="s">
        <v>89</v>
      </c>
      <c r="F349" s="13" t="s">
        <v>90</v>
      </c>
      <c r="G349" s="15" t="s">
        <v>91</v>
      </c>
      <c r="H349" s="13" t="s">
        <v>552</v>
      </c>
      <c r="I349" s="15" t="s">
        <v>553</v>
      </c>
      <c r="J349" s="15" t="s">
        <v>554</v>
      </c>
      <c r="K349" s="15" t="s">
        <v>555</v>
      </c>
      <c r="L349" s="13" t="s">
        <v>560</v>
      </c>
      <c r="M349" s="15" t="s">
        <v>561</v>
      </c>
      <c r="N349" s="13" t="s">
        <v>188</v>
      </c>
      <c r="O349" s="15" t="s">
        <v>189</v>
      </c>
      <c r="P349" s="15" t="s">
        <v>190</v>
      </c>
      <c r="Q349" s="15" t="s">
        <v>208</v>
      </c>
      <c r="R349" s="13" t="s">
        <v>209</v>
      </c>
      <c r="S349" s="13" t="s">
        <v>103</v>
      </c>
      <c r="T349" s="13" t="s">
        <v>205</v>
      </c>
      <c r="U349" s="14">
        <v>40725</v>
      </c>
      <c r="V349" s="14"/>
      <c r="W349" s="15"/>
      <c r="X349" s="13"/>
      <c r="Y349" s="15"/>
      <c r="Z349" s="13"/>
      <c r="AA349" s="15"/>
      <c r="AB349" s="13"/>
      <c r="AC349" s="15"/>
      <c r="AD349" s="13"/>
      <c r="AE349" s="15"/>
      <c r="AF349" s="13"/>
      <c r="AG349" s="15"/>
      <c r="AH349" s="13"/>
      <c r="AI349" s="15"/>
      <c r="AJ349" s="13"/>
      <c r="AK349" s="15"/>
      <c r="AL349" s="13"/>
      <c r="AM349" s="15"/>
    </row>
    <row r="350" spans="1:39" ht="120" x14ac:dyDescent="0.25">
      <c r="A350" s="13" t="s">
        <v>86</v>
      </c>
      <c r="B350" s="13" t="s">
        <v>87</v>
      </c>
      <c r="C350" s="14">
        <v>43850.552083333336</v>
      </c>
      <c r="D350" s="13" t="s">
        <v>88</v>
      </c>
      <c r="E350" s="15" t="s">
        <v>89</v>
      </c>
      <c r="F350" s="13" t="s">
        <v>90</v>
      </c>
      <c r="G350" s="15" t="s">
        <v>91</v>
      </c>
      <c r="H350" s="13" t="s">
        <v>552</v>
      </c>
      <c r="I350" s="15" t="s">
        <v>553</v>
      </c>
      <c r="J350" s="15" t="s">
        <v>554</v>
      </c>
      <c r="K350" s="15" t="s">
        <v>555</v>
      </c>
      <c r="L350" s="13" t="s">
        <v>556</v>
      </c>
      <c r="M350" s="15" t="s">
        <v>557</v>
      </c>
      <c r="N350" s="13" t="s">
        <v>98</v>
      </c>
      <c r="O350" s="15" t="s">
        <v>99</v>
      </c>
      <c r="P350" s="15" t="s">
        <v>100</v>
      </c>
      <c r="Q350" s="15" t="s">
        <v>366</v>
      </c>
      <c r="R350" s="13" t="s">
        <v>367</v>
      </c>
      <c r="S350" s="13" t="s">
        <v>212</v>
      </c>
      <c r="T350" s="13" t="s">
        <v>104</v>
      </c>
      <c r="U350" s="14">
        <v>40725</v>
      </c>
      <c r="V350" s="14"/>
      <c r="W350" s="15"/>
      <c r="X350" s="13"/>
      <c r="Y350" s="15"/>
      <c r="Z350" s="13"/>
      <c r="AA350" s="15"/>
      <c r="AB350" s="13"/>
      <c r="AC350" s="15"/>
      <c r="AD350" s="13"/>
      <c r="AE350" s="15"/>
      <c r="AF350" s="13"/>
      <c r="AG350" s="15"/>
      <c r="AH350" s="13"/>
      <c r="AI350" s="15"/>
      <c r="AJ350" s="13"/>
      <c r="AK350" s="15"/>
      <c r="AL350" s="13"/>
      <c r="AM350" s="15"/>
    </row>
    <row r="351" spans="1:39" ht="120" x14ac:dyDescent="0.25">
      <c r="A351" s="13" t="s">
        <v>86</v>
      </c>
      <c r="B351" s="13" t="s">
        <v>87</v>
      </c>
      <c r="C351" s="14">
        <v>43850.552083333336</v>
      </c>
      <c r="D351" s="13" t="s">
        <v>88</v>
      </c>
      <c r="E351" s="15" t="s">
        <v>89</v>
      </c>
      <c r="F351" s="13" t="s">
        <v>90</v>
      </c>
      <c r="G351" s="15" t="s">
        <v>91</v>
      </c>
      <c r="H351" s="13" t="s">
        <v>552</v>
      </c>
      <c r="I351" s="15" t="s">
        <v>553</v>
      </c>
      <c r="J351" s="15" t="s">
        <v>554</v>
      </c>
      <c r="K351" s="15" t="s">
        <v>555</v>
      </c>
      <c r="L351" s="13" t="s">
        <v>558</v>
      </c>
      <c r="M351" s="15" t="s">
        <v>559</v>
      </c>
      <c r="N351" s="13" t="s">
        <v>98</v>
      </c>
      <c r="O351" s="15" t="s">
        <v>170</v>
      </c>
      <c r="P351" s="15" t="s">
        <v>171</v>
      </c>
      <c r="Q351" s="15" t="s">
        <v>366</v>
      </c>
      <c r="R351" s="13" t="s">
        <v>367</v>
      </c>
      <c r="S351" s="13" t="s">
        <v>212</v>
      </c>
      <c r="T351" s="13" t="s">
        <v>104</v>
      </c>
      <c r="U351" s="14">
        <v>40725</v>
      </c>
      <c r="V351" s="14"/>
      <c r="W351" s="15"/>
      <c r="X351" s="13"/>
      <c r="Y351" s="15"/>
      <c r="Z351" s="13"/>
      <c r="AA351" s="15"/>
      <c r="AB351" s="13"/>
      <c r="AC351" s="15"/>
      <c r="AD351" s="13"/>
      <c r="AE351" s="15"/>
      <c r="AF351" s="13"/>
      <c r="AG351" s="15"/>
      <c r="AH351" s="13"/>
      <c r="AI351" s="15"/>
      <c r="AJ351" s="13"/>
      <c r="AK351" s="15"/>
      <c r="AL351" s="13"/>
      <c r="AM351" s="15"/>
    </row>
    <row r="352" spans="1:39" ht="120" x14ac:dyDescent="0.25">
      <c r="A352" s="13" t="s">
        <v>86</v>
      </c>
      <c r="B352" s="13" t="s">
        <v>87</v>
      </c>
      <c r="C352" s="14">
        <v>43850.552083333336</v>
      </c>
      <c r="D352" s="13" t="s">
        <v>88</v>
      </c>
      <c r="E352" s="15" t="s">
        <v>89</v>
      </c>
      <c r="F352" s="13" t="s">
        <v>90</v>
      </c>
      <c r="G352" s="15" t="s">
        <v>91</v>
      </c>
      <c r="H352" s="13" t="s">
        <v>552</v>
      </c>
      <c r="I352" s="15" t="s">
        <v>553</v>
      </c>
      <c r="J352" s="15" t="s">
        <v>554</v>
      </c>
      <c r="K352" s="15" t="s">
        <v>555</v>
      </c>
      <c r="L352" s="13" t="s">
        <v>560</v>
      </c>
      <c r="M352" s="15" t="s">
        <v>561</v>
      </c>
      <c r="N352" s="13" t="s">
        <v>188</v>
      </c>
      <c r="O352" s="15" t="s">
        <v>189</v>
      </c>
      <c r="P352" s="15" t="s">
        <v>190</v>
      </c>
      <c r="Q352" s="15" t="s">
        <v>366</v>
      </c>
      <c r="R352" s="13" t="s">
        <v>367</v>
      </c>
      <c r="S352" s="13" t="s">
        <v>212</v>
      </c>
      <c r="T352" s="13" t="s">
        <v>104</v>
      </c>
      <c r="U352" s="14">
        <v>40725</v>
      </c>
      <c r="V352" s="14"/>
      <c r="W352" s="15"/>
      <c r="X352" s="13"/>
      <c r="Y352" s="15"/>
      <c r="Z352" s="13"/>
      <c r="AA352" s="15"/>
      <c r="AB352" s="13"/>
      <c r="AC352" s="15"/>
      <c r="AD352" s="13"/>
      <c r="AE352" s="15"/>
      <c r="AF352" s="13"/>
      <c r="AG352" s="15"/>
      <c r="AH352" s="13"/>
      <c r="AI352" s="15"/>
      <c r="AJ352" s="13"/>
      <c r="AK352" s="15"/>
      <c r="AL352" s="13"/>
      <c r="AM352" s="15"/>
    </row>
    <row r="353" spans="1:39" ht="225" x14ac:dyDescent="0.25">
      <c r="A353" s="13" t="s">
        <v>301</v>
      </c>
      <c r="B353" s="13" t="s">
        <v>87</v>
      </c>
      <c r="C353" s="14">
        <v>44713.636805555558</v>
      </c>
      <c r="D353" s="13" t="s">
        <v>88</v>
      </c>
      <c r="E353" s="15" t="s">
        <v>89</v>
      </c>
      <c r="F353" s="13" t="s">
        <v>90</v>
      </c>
      <c r="G353" s="15" t="s">
        <v>91</v>
      </c>
      <c r="H353" s="13" t="s">
        <v>579</v>
      </c>
      <c r="I353" s="15" t="s">
        <v>580</v>
      </c>
      <c r="J353" s="15" t="s">
        <v>581</v>
      </c>
      <c r="K353" s="15" t="s">
        <v>582</v>
      </c>
      <c r="L353" s="13" t="s">
        <v>583</v>
      </c>
      <c r="M353" s="15" t="s">
        <v>584</v>
      </c>
      <c r="N353" s="13" t="s">
        <v>98</v>
      </c>
      <c r="O353" s="15" t="s">
        <v>99</v>
      </c>
      <c r="P353" s="15" t="s">
        <v>171</v>
      </c>
      <c r="Q353" s="15" t="s">
        <v>101</v>
      </c>
      <c r="R353" s="13" t="s">
        <v>102</v>
      </c>
      <c r="S353" s="13" t="s">
        <v>103</v>
      </c>
      <c r="T353" s="13" t="s">
        <v>104</v>
      </c>
      <c r="U353" s="14">
        <v>43274</v>
      </c>
      <c r="V353" s="14">
        <v>44681</v>
      </c>
      <c r="W353" s="15" t="s">
        <v>727</v>
      </c>
      <c r="X353" s="13" t="s">
        <v>728</v>
      </c>
      <c r="Y353" s="15" t="str">
        <f>VLOOKUP(X353,'Axe 2 Règles de gestion'!$D$2:$F$121,3, FALSE)</f>
        <v>Rémunération : L'agent perçoit la rémunération et bénéficie du régime indemnitaire de son emploi d'accueil. Cependant si sa rémunération d'origine est plus élevée, il la conserve.</v>
      </c>
      <c r="Z353" s="13" t="s">
        <v>703</v>
      </c>
      <c r="AA353" s="15" t="str">
        <f>VLOOKUP(Z353,'Axe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53" s="13" t="s">
        <v>705</v>
      </c>
      <c r="AC353" s="15" t="str">
        <f>VLOOKUP(AB353,'Axe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53" s="13" t="s">
        <v>707</v>
      </c>
      <c r="AE353" s="15" t="str">
        <f>VLOOKUP(AD353,'Axe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53" s="13" t="s">
        <v>709</v>
      </c>
      <c r="AG353" s="15" t="str">
        <f>VLOOKUP(AF353,'Axe 2 Règles de gestion'!$D$2:$F$121,3, FALSE)</f>
        <v>Congés annuels : L'agent cumule des droits à congé.</v>
      </c>
      <c r="AH353" s="13" t="s">
        <v>711</v>
      </c>
      <c r="AI353" s="15" t="str">
        <f>VLOOKUP(AH353,'Axe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53" s="13" t="s">
        <v>713</v>
      </c>
      <c r="AK353" s="15" t="str">
        <f>VLOOKUP(AJ353,'Axe 2 Règles de gestion'!$D$2:$F$121,3, FALSE)</f>
        <v>Acte : Un acte administratif doit être produit.</v>
      </c>
      <c r="AL353" s="13"/>
      <c r="AM353" s="15"/>
    </row>
    <row r="354" spans="1:39" ht="225" x14ac:dyDescent="0.25">
      <c r="A354" s="13" t="s">
        <v>301</v>
      </c>
      <c r="B354" s="13" t="s">
        <v>153</v>
      </c>
      <c r="C354" s="14">
        <v>44713.638888888891</v>
      </c>
      <c r="D354" s="13" t="s">
        <v>88</v>
      </c>
      <c r="E354" s="15" t="s">
        <v>89</v>
      </c>
      <c r="F354" s="13" t="s">
        <v>90</v>
      </c>
      <c r="G354" s="15" t="s">
        <v>91</v>
      </c>
      <c r="H354" s="13" t="s">
        <v>579</v>
      </c>
      <c r="I354" s="15" t="s">
        <v>580</v>
      </c>
      <c r="J354" s="15" t="s">
        <v>581</v>
      </c>
      <c r="K354" s="15" t="s">
        <v>582</v>
      </c>
      <c r="L354" s="13" t="s">
        <v>583</v>
      </c>
      <c r="M354" s="15" t="s">
        <v>584</v>
      </c>
      <c r="N354" s="13" t="s">
        <v>98</v>
      </c>
      <c r="O354" s="15" t="s">
        <v>99</v>
      </c>
      <c r="P354" s="15" t="s">
        <v>171</v>
      </c>
      <c r="Q354" s="15" t="s">
        <v>101</v>
      </c>
      <c r="R354" s="13" t="s">
        <v>102</v>
      </c>
      <c r="S354" s="13" t="s">
        <v>103</v>
      </c>
      <c r="T354" s="13" t="s">
        <v>104</v>
      </c>
      <c r="U354" s="14">
        <v>44682</v>
      </c>
      <c r="V354" s="14"/>
      <c r="W354" s="15" t="s">
        <v>727</v>
      </c>
      <c r="X354" s="13" t="s">
        <v>728</v>
      </c>
      <c r="Y354" s="15" t="str">
        <f>VLOOKUP(X354,'Axe 2 Règles de gestion'!$D$2:$F$121,3, FALSE)</f>
        <v>Rémunération : L'agent perçoit la rémunération et bénéficie du régime indemnitaire de son emploi d'accueil. Cependant si sa rémunération d'origine est plus élevée, il la conserve.</v>
      </c>
      <c r="Z354" s="13" t="s">
        <v>703</v>
      </c>
      <c r="AA354" s="15" t="str">
        <f>VLOOKUP(Z354,'Axe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54" s="13" t="s">
        <v>705</v>
      </c>
      <c r="AC354" s="15" t="str">
        <f>VLOOKUP(AB354,'Axe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54" s="13" t="s">
        <v>707</v>
      </c>
      <c r="AE354" s="15" t="str">
        <f>VLOOKUP(AD354,'Axe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54" s="13" t="s">
        <v>709</v>
      </c>
      <c r="AG354" s="15" t="str">
        <f>VLOOKUP(AF354,'Axe 2 Règles de gestion'!$D$2:$F$121,3, FALSE)</f>
        <v>Congés annuels : L'agent cumule des droits à congé.</v>
      </c>
      <c r="AH354" s="13" t="s">
        <v>711</v>
      </c>
      <c r="AI354" s="15" t="str">
        <f>VLOOKUP(AH354,'Axe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54" s="13" t="s">
        <v>713</v>
      </c>
      <c r="AK354" s="15" t="str">
        <f>VLOOKUP(AJ354,'Axe 2 Règles de gestion'!$D$2:$F$121,3, FALSE)</f>
        <v>Acte : Un acte administratif doit être produit.</v>
      </c>
      <c r="AL354" s="13"/>
      <c r="AM354" s="15"/>
    </row>
    <row r="355" spans="1:39" ht="225" x14ac:dyDescent="0.25">
      <c r="A355" s="13" t="s">
        <v>301</v>
      </c>
      <c r="B355" s="13" t="s">
        <v>87</v>
      </c>
      <c r="C355" s="14">
        <v>44713.64166666667</v>
      </c>
      <c r="D355" s="13" t="s">
        <v>88</v>
      </c>
      <c r="E355" s="15" t="s">
        <v>89</v>
      </c>
      <c r="F355" s="13" t="s">
        <v>90</v>
      </c>
      <c r="G355" s="15" t="s">
        <v>91</v>
      </c>
      <c r="H355" s="13" t="s">
        <v>579</v>
      </c>
      <c r="I355" s="15" t="s">
        <v>580</v>
      </c>
      <c r="J355" s="15" t="s">
        <v>581</v>
      </c>
      <c r="K355" s="15" t="s">
        <v>582</v>
      </c>
      <c r="L355" s="13" t="s">
        <v>599</v>
      </c>
      <c r="M355" s="15" t="s">
        <v>600</v>
      </c>
      <c r="N355" s="13" t="s">
        <v>98</v>
      </c>
      <c r="O355" s="15" t="s">
        <v>170</v>
      </c>
      <c r="P355" s="15" t="s">
        <v>171</v>
      </c>
      <c r="Q355" s="15" t="s">
        <v>101</v>
      </c>
      <c r="R355" s="13" t="s">
        <v>102</v>
      </c>
      <c r="S355" s="13" t="s">
        <v>103</v>
      </c>
      <c r="T355" s="13" t="s">
        <v>104</v>
      </c>
      <c r="U355" s="14">
        <v>43274</v>
      </c>
      <c r="V355" s="14">
        <v>44681</v>
      </c>
      <c r="W355" s="15" t="s">
        <v>727</v>
      </c>
      <c r="X355" s="13" t="s">
        <v>728</v>
      </c>
      <c r="Y355" s="15" t="str">
        <f>VLOOKUP(X355,'Axe 2 Règles de gestion'!$D$2:$F$121,3, FALSE)</f>
        <v>Rémunération : L'agent perçoit la rémunération et bénéficie du régime indemnitaire de son emploi d'accueil. Cependant si sa rémunération d'origine est plus élevée, il la conserve.</v>
      </c>
      <c r="Z355" s="13" t="s">
        <v>703</v>
      </c>
      <c r="AA355" s="15" t="str">
        <f>VLOOKUP(Z355,'Axe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55" s="13" t="s">
        <v>705</v>
      </c>
      <c r="AC355" s="15" t="str">
        <f>VLOOKUP(AB355,'Axe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55" s="13" t="s">
        <v>707</v>
      </c>
      <c r="AE355" s="15" t="str">
        <f>VLOOKUP(AD355,'Axe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55" s="13" t="s">
        <v>709</v>
      </c>
      <c r="AG355" s="15" t="str">
        <f>VLOOKUP(AF355,'Axe 2 Règles de gestion'!$D$2:$F$121,3, FALSE)</f>
        <v>Congés annuels : L'agent cumule des droits à congé.</v>
      </c>
      <c r="AH355" s="13" t="s">
        <v>711</v>
      </c>
      <c r="AI355" s="15" t="str">
        <f>VLOOKUP(AH355,'Axe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55" s="13" t="s">
        <v>713</v>
      </c>
      <c r="AK355" s="15" t="str">
        <f>VLOOKUP(AJ355,'Axe 2 Règles de gestion'!$D$2:$F$121,3, FALSE)</f>
        <v>Acte : Un acte administratif doit être produit.</v>
      </c>
      <c r="AL355" s="13"/>
      <c r="AM355" s="15"/>
    </row>
    <row r="356" spans="1:39" ht="225" x14ac:dyDescent="0.25">
      <c r="A356" s="13" t="s">
        <v>301</v>
      </c>
      <c r="B356" s="13" t="s">
        <v>153</v>
      </c>
      <c r="C356" s="14">
        <v>44713.643055555556</v>
      </c>
      <c r="D356" s="13" t="s">
        <v>88</v>
      </c>
      <c r="E356" s="15" t="s">
        <v>89</v>
      </c>
      <c r="F356" s="13" t="s">
        <v>90</v>
      </c>
      <c r="G356" s="15" t="s">
        <v>91</v>
      </c>
      <c r="H356" s="13" t="s">
        <v>579</v>
      </c>
      <c r="I356" s="15" t="s">
        <v>580</v>
      </c>
      <c r="J356" s="15" t="s">
        <v>581</v>
      </c>
      <c r="K356" s="15" t="s">
        <v>582</v>
      </c>
      <c r="L356" s="13" t="s">
        <v>599</v>
      </c>
      <c r="M356" s="15" t="s">
        <v>600</v>
      </c>
      <c r="N356" s="13" t="s">
        <v>98</v>
      </c>
      <c r="O356" s="15" t="s">
        <v>170</v>
      </c>
      <c r="P356" s="15" t="s">
        <v>171</v>
      </c>
      <c r="Q356" s="15" t="s">
        <v>101</v>
      </c>
      <c r="R356" s="13" t="s">
        <v>102</v>
      </c>
      <c r="S356" s="13" t="s">
        <v>103</v>
      </c>
      <c r="T356" s="13" t="s">
        <v>104</v>
      </c>
      <c r="U356" s="14">
        <v>44682</v>
      </c>
      <c r="V356" s="14"/>
      <c r="W356" s="15" t="s">
        <v>727</v>
      </c>
      <c r="X356" s="13" t="s">
        <v>728</v>
      </c>
      <c r="Y356" s="15" t="str">
        <f>VLOOKUP(X356,'Axe 2 Règles de gestion'!$D$2:$F$121,3, FALSE)</f>
        <v>Rémunération : L'agent perçoit la rémunération et bénéficie du régime indemnitaire de son emploi d'accueil. Cependant si sa rémunération d'origine est plus élevée, il la conserve.</v>
      </c>
      <c r="Z356" s="13" t="s">
        <v>703</v>
      </c>
      <c r="AA356" s="15" t="str">
        <f>VLOOKUP(Z356,'Axe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56" s="13" t="s">
        <v>705</v>
      </c>
      <c r="AC356" s="15" t="str">
        <f>VLOOKUP(AB356,'Axe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56" s="13" t="s">
        <v>707</v>
      </c>
      <c r="AE356" s="15" t="str">
        <f>VLOOKUP(AD356,'Axe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56" s="13" t="s">
        <v>709</v>
      </c>
      <c r="AG356" s="15" t="str">
        <f>VLOOKUP(AF356,'Axe 2 Règles de gestion'!$D$2:$F$121,3, FALSE)</f>
        <v>Congés annuels : L'agent cumule des droits à congé.</v>
      </c>
      <c r="AH356" s="13" t="s">
        <v>711</v>
      </c>
      <c r="AI356" s="15" t="str">
        <f>VLOOKUP(AH356,'Axe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56" s="13" t="s">
        <v>713</v>
      </c>
      <c r="AK356" s="15" t="str">
        <f>VLOOKUP(AJ356,'Axe 2 Règles de gestion'!$D$2:$F$121,3, FALSE)</f>
        <v>Acte : Un acte administratif doit être produit.</v>
      </c>
      <c r="AL356" s="13"/>
      <c r="AM356" s="15"/>
    </row>
    <row r="357" spans="1:39" ht="225" x14ac:dyDescent="0.25">
      <c r="A357" s="13" t="s">
        <v>86</v>
      </c>
      <c r="B357" s="13" t="s">
        <v>87</v>
      </c>
      <c r="C357" s="14">
        <v>43850.552083333336</v>
      </c>
      <c r="D357" s="13" t="s">
        <v>88</v>
      </c>
      <c r="E357" s="15" t="s">
        <v>89</v>
      </c>
      <c r="F357" s="13" t="s">
        <v>90</v>
      </c>
      <c r="G357" s="15" t="s">
        <v>91</v>
      </c>
      <c r="H357" s="13" t="s">
        <v>579</v>
      </c>
      <c r="I357" s="15" t="s">
        <v>580</v>
      </c>
      <c r="J357" s="15" t="s">
        <v>581</v>
      </c>
      <c r="K357" s="15" t="s">
        <v>582</v>
      </c>
      <c r="L357" s="13" t="s">
        <v>611</v>
      </c>
      <c r="M357" s="15" t="s">
        <v>612</v>
      </c>
      <c r="N357" s="13" t="s">
        <v>188</v>
      </c>
      <c r="O357" s="15" t="s">
        <v>189</v>
      </c>
      <c r="P357" s="15" t="s">
        <v>190</v>
      </c>
      <c r="Q357" s="15" t="s">
        <v>101</v>
      </c>
      <c r="R357" s="13" t="s">
        <v>102</v>
      </c>
      <c r="S357" s="13" t="s">
        <v>103</v>
      </c>
      <c r="T357" s="13" t="s">
        <v>104</v>
      </c>
      <c r="U357" s="14">
        <v>43274</v>
      </c>
      <c r="V357" s="14"/>
      <c r="W357" s="15"/>
      <c r="X357" s="13"/>
      <c r="Y357" s="15"/>
      <c r="Z357" s="13"/>
      <c r="AA357" s="15"/>
      <c r="AB357" s="13"/>
      <c r="AC357" s="15"/>
      <c r="AD357" s="13"/>
      <c r="AE357" s="15"/>
      <c r="AF357" s="13"/>
      <c r="AG357" s="15"/>
      <c r="AH357" s="13"/>
      <c r="AI357" s="15"/>
      <c r="AJ357" s="13"/>
      <c r="AK357" s="15"/>
      <c r="AL357" s="13"/>
      <c r="AM357" s="15"/>
    </row>
    <row r="358" spans="1:39" ht="225" x14ac:dyDescent="0.25">
      <c r="A358" s="13" t="s">
        <v>614</v>
      </c>
      <c r="B358" s="13" t="s">
        <v>153</v>
      </c>
      <c r="C358" s="14">
        <v>43649.741666666669</v>
      </c>
      <c r="D358" s="13" t="s">
        <v>88</v>
      </c>
      <c r="E358" s="15" t="s">
        <v>89</v>
      </c>
      <c r="F358" s="13" t="s">
        <v>90</v>
      </c>
      <c r="G358" s="15" t="s">
        <v>91</v>
      </c>
      <c r="H358" s="13" t="s">
        <v>579</v>
      </c>
      <c r="I358" s="15" t="s">
        <v>580</v>
      </c>
      <c r="J358" s="15" t="s">
        <v>581</v>
      </c>
      <c r="K358" s="15" t="s">
        <v>582</v>
      </c>
      <c r="L358" s="13" t="s">
        <v>583</v>
      </c>
      <c r="M358" s="15" t="s">
        <v>584</v>
      </c>
      <c r="N358" s="13" t="s">
        <v>98</v>
      </c>
      <c r="O358" s="15" t="s">
        <v>99</v>
      </c>
      <c r="P358" s="15" t="s">
        <v>171</v>
      </c>
      <c r="Q358" s="15" t="s">
        <v>615</v>
      </c>
      <c r="R358" s="13" t="s">
        <v>616</v>
      </c>
      <c r="S358" s="13" t="s">
        <v>103</v>
      </c>
      <c r="T358" s="13" t="s">
        <v>205</v>
      </c>
      <c r="U358" s="14">
        <v>43274</v>
      </c>
      <c r="V358" s="14"/>
      <c r="W358" s="15"/>
      <c r="X358" s="13"/>
      <c r="Y358" s="15"/>
      <c r="Z358" s="13"/>
      <c r="AA358" s="15"/>
      <c r="AB358" s="13"/>
      <c r="AC358" s="15"/>
      <c r="AD358" s="13"/>
      <c r="AE358" s="15"/>
      <c r="AF358" s="13"/>
      <c r="AG358" s="15"/>
      <c r="AH358" s="13"/>
      <c r="AI358" s="15"/>
      <c r="AJ358" s="13"/>
      <c r="AK358" s="15"/>
      <c r="AL358" s="13"/>
      <c r="AM358" s="15"/>
    </row>
    <row r="359" spans="1:39" ht="225" x14ac:dyDescent="0.25">
      <c r="A359" s="13" t="s">
        <v>614</v>
      </c>
      <c r="B359" s="13" t="s">
        <v>153</v>
      </c>
      <c r="C359" s="14">
        <v>43649.742361111108</v>
      </c>
      <c r="D359" s="13" t="s">
        <v>88</v>
      </c>
      <c r="E359" s="15" t="s">
        <v>89</v>
      </c>
      <c r="F359" s="13" t="s">
        <v>90</v>
      </c>
      <c r="G359" s="15" t="s">
        <v>91</v>
      </c>
      <c r="H359" s="13" t="s">
        <v>579</v>
      </c>
      <c r="I359" s="15" t="s">
        <v>580</v>
      </c>
      <c r="J359" s="15" t="s">
        <v>581</v>
      </c>
      <c r="K359" s="15" t="s">
        <v>582</v>
      </c>
      <c r="L359" s="13" t="s">
        <v>599</v>
      </c>
      <c r="M359" s="15" t="s">
        <v>600</v>
      </c>
      <c r="N359" s="13" t="s">
        <v>98</v>
      </c>
      <c r="O359" s="15" t="s">
        <v>170</v>
      </c>
      <c r="P359" s="15" t="s">
        <v>171</v>
      </c>
      <c r="Q359" s="15" t="s">
        <v>615</v>
      </c>
      <c r="R359" s="13" t="s">
        <v>616</v>
      </c>
      <c r="S359" s="13" t="s">
        <v>103</v>
      </c>
      <c r="T359" s="13" t="s">
        <v>205</v>
      </c>
      <c r="U359" s="14">
        <v>43274</v>
      </c>
      <c r="V359" s="14"/>
      <c r="W359" s="15"/>
      <c r="X359" s="13"/>
      <c r="Y359" s="15"/>
      <c r="Z359" s="13"/>
      <c r="AA359" s="15"/>
      <c r="AB359" s="13"/>
      <c r="AC359" s="15"/>
      <c r="AD359" s="13"/>
      <c r="AE359" s="15"/>
      <c r="AF359" s="13"/>
      <c r="AG359" s="15"/>
      <c r="AH359" s="13"/>
      <c r="AI359" s="15"/>
      <c r="AJ359" s="13"/>
      <c r="AK359" s="15"/>
      <c r="AL359" s="13"/>
      <c r="AM359" s="15"/>
    </row>
    <row r="360" spans="1:39" ht="225" x14ac:dyDescent="0.25">
      <c r="A360" s="13" t="s">
        <v>614</v>
      </c>
      <c r="B360" s="13" t="s">
        <v>153</v>
      </c>
      <c r="C360" s="14">
        <v>43649.743750000001</v>
      </c>
      <c r="D360" s="13" t="s">
        <v>88</v>
      </c>
      <c r="E360" s="15" t="s">
        <v>89</v>
      </c>
      <c r="F360" s="13" t="s">
        <v>90</v>
      </c>
      <c r="G360" s="15" t="s">
        <v>91</v>
      </c>
      <c r="H360" s="13" t="s">
        <v>579</v>
      </c>
      <c r="I360" s="15" t="s">
        <v>580</v>
      </c>
      <c r="J360" s="15" t="s">
        <v>581</v>
      </c>
      <c r="K360" s="15" t="s">
        <v>582</v>
      </c>
      <c r="L360" s="13" t="s">
        <v>611</v>
      </c>
      <c r="M360" s="15" t="s">
        <v>612</v>
      </c>
      <c r="N360" s="13" t="s">
        <v>188</v>
      </c>
      <c r="O360" s="15" t="s">
        <v>189</v>
      </c>
      <c r="P360" s="15" t="s">
        <v>190</v>
      </c>
      <c r="Q360" s="15" t="s">
        <v>615</v>
      </c>
      <c r="R360" s="13" t="s">
        <v>616</v>
      </c>
      <c r="S360" s="13" t="s">
        <v>103</v>
      </c>
      <c r="T360" s="13" t="s">
        <v>205</v>
      </c>
      <c r="U360" s="14">
        <v>43274</v>
      </c>
      <c r="V360" s="14"/>
      <c r="W360" s="15"/>
      <c r="X360" s="13"/>
      <c r="Y360" s="15"/>
      <c r="Z360" s="13"/>
      <c r="AA360" s="15"/>
      <c r="AB360" s="13"/>
      <c r="AC360" s="15"/>
      <c r="AD360" s="13"/>
      <c r="AE360" s="15"/>
      <c r="AF360" s="13"/>
      <c r="AG360" s="15"/>
      <c r="AH360" s="13"/>
      <c r="AI360" s="15"/>
      <c r="AJ360" s="13"/>
      <c r="AK360" s="15"/>
      <c r="AL360" s="13"/>
      <c r="AM360" s="15"/>
    </row>
    <row r="361" spans="1:39" ht="225" x14ac:dyDescent="0.25">
      <c r="A361" s="13" t="s">
        <v>614</v>
      </c>
      <c r="B361" s="13" t="s">
        <v>153</v>
      </c>
      <c r="C361" s="14">
        <v>43649.740277777775</v>
      </c>
      <c r="D361" s="13" t="s">
        <v>88</v>
      </c>
      <c r="E361" s="15" t="s">
        <v>89</v>
      </c>
      <c r="F361" s="13" t="s">
        <v>90</v>
      </c>
      <c r="G361" s="15" t="s">
        <v>91</v>
      </c>
      <c r="H361" s="13" t="s">
        <v>579</v>
      </c>
      <c r="I361" s="15" t="s">
        <v>580</v>
      </c>
      <c r="J361" s="15" t="s">
        <v>581</v>
      </c>
      <c r="K361" s="15" t="s">
        <v>582</v>
      </c>
      <c r="L361" s="13" t="s">
        <v>583</v>
      </c>
      <c r="M361" s="15" t="s">
        <v>584</v>
      </c>
      <c r="N361" s="13" t="s">
        <v>98</v>
      </c>
      <c r="O361" s="15" t="s">
        <v>99</v>
      </c>
      <c r="P361" s="15" t="s">
        <v>171</v>
      </c>
      <c r="Q361" s="15" t="s">
        <v>203</v>
      </c>
      <c r="R361" s="13" t="s">
        <v>204</v>
      </c>
      <c r="S361" s="13" t="s">
        <v>103</v>
      </c>
      <c r="T361" s="13" t="s">
        <v>205</v>
      </c>
      <c r="U361" s="14">
        <v>43274</v>
      </c>
      <c r="V361" s="14"/>
      <c r="W361" s="15"/>
      <c r="X361" s="13"/>
      <c r="Y361" s="15"/>
      <c r="Z361" s="13"/>
      <c r="AA361" s="15"/>
      <c r="AB361" s="13"/>
      <c r="AC361" s="15"/>
      <c r="AD361" s="13"/>
      <c r="AE361" s="15"/>
      <c r="AF361" s="13"/>
      <c r="AG361" s="15"/>
      <c r="AH361" s="13"/>
      <c r="AI361" s="15"/>
      <c r="AJ361" s="13"/>
      <c r="AK361" s="15"/>
      <c r="AL361" s="13"/>
      <c r="AM361" s="15"/>
    </row>
    <row r="362" spans="1:39" ht="225" x14ac:dyDescent="0.25">
      <c r="A362" s="13" t="s">
        <v>614</v>
      </c>
      <c r="B362" s="13" t="s">
        <v>153</v>
      </c>
      <c r="C362" s="14">
        <v>43649.741666666669</v>
      </c>
      <c r="D362" s="13" t="s">
        <v>88</v>
      </c>
      <c r="E362" s="15" t="s">
        <v>89</v>
      </c>
      <c r="F362" s="13" t="s">
        <v>90</v>
      </c>
      <c r="G362" s="15" t="s">
        <v>91</v>
      </c>
      <c r="H362" s="13" t="s">
        <v>579</v>
      </c>
      <c r="I362" s="15" t="s">
        <v>580</v>
      </c>
      <c r="J362" s="15" t="s">
        <v>581</v>
      </c>
      <c r="K362" s="15" t="s">
        <v>582</v>
      </c>
      <c r="L362" s="13" t="s">
        <v>599</v>
      </c>
      <c r="M362" s="15" t="s">
        <v>600</v>
      </c>
      <c r="N362" s="13" t="s">
        <v>98</v>
      </c>
      <c r="O362" s="15" t="s">
        <v>170</v>
      </c>
      <c r="P362" s="15" t="s">
        <v>171</v>
      </c>
      <c r="Q362" s="15" t="s">
        <v>203</v>
      </c>
      <c r="R362" s="13" t="s">
        <v>204</v>
      </c>
      <c r="S362" s="13" t="s">
        <v>103</v>
      </c>
      <c r="T362" s="13" t="s">
        <v>205</v>
      </c>
      <c r="U362" s="14">
        <v>43274</v>
      </c>
      <c r="V362" s="14"/>
      <c r="W362" s="15"/>
      <c r="X362" s="13"/>
      <c r="Y362" s="15"/>
      <c r="Z362" s="13"/>
      <c r="AA362" s="15"/>
      <c r="AB362" s="13"/>
      <c r="AC362" s="15"/>
      <c r="AD362" s="13"/>
      <c r="AE362" s="15"/>
      <c r="AF362" s="13"/>
      <c r="AG362" s="15"/>
      <c r="AH362" s="13"/>
      <c r="AI362" s="15"/>
      <c r="AJ362" s="13"/>
      <c r="AK362" s="15"/>
      <c r="AL362" s="13"/>
      <c r="AM362" s="15"/>
    </row>
    <row r="363" spans="1:39" ht="225" x14ac:dyDescent="0.25">
      <c r="A363" s="13" t="s">
        <v>614</v>
      </c>
      <c r="B363" s="13" t="s">
        <v>153</v>
      </c>
      <c r="C363" s="14">
        <v>43649.743055555555</v>
      </c>
      <c r="D363" s="13" t="s">
        <v>88</v>
      </c>
      <c r="E363" s="15" t="s">
        <v>89</v>
      </c>
      <c r="F363" s="13" t="s">
        <v>90</v>
      </c>
      <c r="G363" s="15" t="s">
        <v>91</v>
      </c>
      <c r="H363" s="13" t="s">
        <v>579</v>
      </c>
      <c r="I363" s="15" t="s">
        <v>580</v>
      </c>
      <c r="J363" s="15" t="s">
        <v>581</v>
      </c>
      <c r="K363" s="15" t="s">
        <v>582</v>
      </c>
      <c r="L363" s="13" t="s">
        <v>611</v>
      </c>
      <c r="M363" s="15" t="s">
        <v>612</v>
      </c>
      <c r="N363" s="13" t="s">
        <v>188</v>
      </c>
      <c r="O363" s="15" t="s">
        <v>189</v>
      </c>
      <c r="P363" s="15" t="s">
        <v>190</v>
      </c>
      <c r="Q363" s="15" t="s">
        <v>203</v>
      </c>
      <c r="R363" s="13" t="s">
        <v>204</v>
      </c>
      <c r="S363" s="13" t="s">
        <v>103</v>
      </c>
      <c r="T363" s="13" t="s">
        <v>205</v>
      </c>
      <c r="U363" s="14">
        <v>43274</v>
      </c>
      <c r="V363" s="14"/>
      <c r="W363" s="15"/>
      <c r="X363" s="13"/>
      <c r="Y363" s="15"/>
      <c r="Z363" s="13"/>
      <c r="AA363" s="15"/>
      <c r="AB363" s="13"/>
      <c r="AC363" s="15"/>
      <c r="AD363" s="13"/>
      <c r="AE363" s="15"/>
      <c r="AF363" s="13"/>
      <c r="AG363" s="15"/>
      <c r="AH363" s="13"/>
      <c r="AI363" s="15"/>
      <c r="AJ363" s="13"/>
      <c r="AK363" s="15"/>
      <c r="AL363" s="13"/>
      <c r="AM363" s="15"/>
    </row>
    <row r="364" spans="1:39" ht="225" x14ac:dyDescent="0.25">
      <c r="A364" s="13" t="s">
        <v>614</v>
      </c>
      <c r="B364" s="13" t="s">
        <v>153</v>
      </c>
      <c r="C364" s="14">
        <v>43649.740277777775</v>
      </c>
      <c r="D364" s="13" t="s">
        <v>88</v>
      </c>
      <c r="E364" s="15" t="s">
        <v>89</v>
      </c>
      <c r="F364" s="13" t="s">
        <v>90</v>
      </c>
      <c r="G364" s="15" t="s">
        <v>91</v>
      </c>
      <c r="H364" s="13" t="s">
        <v>579</v>
      </c>
      <c r="I364" s="15" t="s">
        <v>580</v>
      </c>
      <c r="J364" s="15" t="s">
        <v>581</v>
      </c>
      <c r="K364" s="15" t="s">
        <v>582</v>
      </c>
      <c r="L364" s="13" t="s">
        <v>583</v>
      </c>
      <c r="M364" s="15" t="s">
        <v>584</v>
      </c>
      <c r="N364" s="13" t="s">
        <v>98</v>
      </c>
      <c r="O364" s="15" t="s">
        <v>99</v>
      </c>
      <c r="P364" s="15" t="s">
        <v>171</v>
      </c>
      <c r="Q364" s="15" t="s">
        <v>206</v>
      </c>
      <c r="R364" s="13" t="s">
        <v>207</v>
      </c>
      <c r="S364" s="13" t="s">
        <v>103</v>
      </c>
      <c r="T364" s="13" t="s">
        <v>205</v>
      </c>
      <c r="U364" s="14">
        <v>43274</v>
      </c>
      <c r="V364" s="14"/>
      <c r="W364" s="15"/>
      <c r="X364" s="13"/>
      <c r="Y364" s="15"/>
      <c r="Z364" s="13"/>
      <c r="AA364" s="15"/>
      <c r="AB364" s="13"/>
      <c r="AC364" s="15"/>
      <c r="AD364" s="13"/>
      <c r="AE364" s="15"/>
      <c r="AF364" s="13"/>
      <c r="AG364" s="15"/>
      <c r="AH364" s="13"/>
      <c r="AI364" s="15"/>
      <c r="AJ364" s="13"/>
      <c r="AK364" s="15"/>
      <c r="AL364" s="13"/>
      <c r="AM364" s="15"/>
    </row>
    <row r="365" spans="1:39" ht="225" x14ac:dyDescent="0.25">
      <c r="A365" s="13" t="s">
        <v>614</v>
      </c>
      <c r="B365" s="13" t="s">
        <v>153</v>
      </c>
      <c r="C365" s="14">
        <v>43649.741666666669</v>
      </c>
      <c r="D365" s="13" t="s">
        <v>88</v>
      </c>
      <c r="E365" s="15" t="s">
        <v>89</v>
      </c>
      <c r="F365" s="13" t="s">
        <v>90</v>
      </c>
      <c r="G365" s="15" t="s">
        <v>91</v>
      </c>
      <c r="H365" s="13" t="s">
        <v>579</v>
      </c>
      <c r="I365" s="15" t="s">
        <v>580</v>
      </c>
      <c r="J365" s="15" t="s">
        <v>581</v>
      </c>
      <c r="K365" s="15" t="s">
        <v>582</v>
      </c>
      <c r="L365" s="13" t="s">
        <v>599</v>
      </c>
      <c r="M365" s="15" t="s">
        <v>600</v>
      </c>
      <c r="N365" s="13" t="s">
        <v>98</v>
      </c>
      <c r="O365" s="15" t="s">
        <v>170</v>
      </c>
      <c r="P365" s="15" t="s">
        <v>171</v>
      </c>
      <c r="Q365" s="15" t="s">
        <v>206</v>
      </c>
      <c r="R365" s="13" t="s">
        <v>207</v>
      </c>
      <c r="S365" s="13" t="s">
        <v>103</v>
      </c>
      <c r="T365" s="13" t="s">
        <v>205</v>
      </c>
      <c r="U365" s="14">
        <v>43639</v>
      </c>
      <c r="V365" s="14"/>
      <c r="W365" s="15"/>
      <c r="X365" s="13"/>
      <c r="Y365" s="15"/>
      <c r="Z365" s="13"/>
      <c r="AA365" s="15"/>
      <c r="AB365" s="13"/>
      <c r="AC365" s="15"/>
      <c r="AD365" s="13"/>
      <c r="AE365" s="15"/>
      <c r="AF365" s="13"/>
      <c r="AG365" s="15"/>
      <c r="AH365" s="13"/>
      <c r="AI365" s="15"/>
      <c r="AJ365" s="13"/>
      <c r="AK365" s="15"/>
      <c r="AL365" s="13"/>
      <c r="AM365" s="15"/>
    </row>
    <row r="366" spans="1:39" ht="225" x14ac:dyDescent="0.25">
      <c r="A366" s="13" t="s">
        <v>614</v>
      </c>
      <c r="B366" s="13" t="s">
        <v>153</v>
      </c>
      <c r="C366" s="14">
        <v>43649.743055555555</v>
      </c>
      <c r="D366" s="13" t="s">
        <v>88</v>
      </c>
      <c r="E366" s="15" t="s">
        <v>89</v>
      </c>
      <c r="F366" s="13" t="s">
        <v>90</v>
      </c>
      <c r="G366" s="15" t="s">
        <v>91</v>
      </c>
      <c r="H366" s="13" t="s">
        <v>579</v>
      </c>
      <c r="I366" s="15" t="s">
        <v>580</v>
      </c>
      <c r="J366" s="15" t="s">
        <v>581</v>
      </c>
      <c r="K366" s="15" t="s">
        <v>582</v>
      </c>
      <c r="L366" s="13" t="s">
        <v>611</v>
      </c>
      <c r="M366" s="15" t="s">
        <v>612</v>
      </c>
      <c r="N366" s="13" t="s">
        <v>188</v>
      </c>
      <c r="O366" s="15" t="s">
        <v>189</v>
      </c>
      <c r="P366" s="15" t="s">
        <v>190</v>
      </c>
      <c r="Q366" s="15" t="s">
        <v>206</v>
      </c>
      <c r="R366" s="13" t="s">
        <v>207</v>
      </c>
      <c r="S366" s="13" t="s">
        <v>103</v>
      </c>
      <c r="T366" s="13" t="s">
        <v>205</v>
      </c>
      <c r="U366" s="14">
        <v>43274</v>
      </c>
      <c r="V366" s="14"/>
      <c r="W366" s="15"/>
      <c r="X366" s="13"/>
      <c r="Y366" s="15"/>
      <c r="Z366" s="13"/>
      <c r="AA366" s="15"/>
      <c r="AB366" s="13"/>
      <c r="AC366" s="15"/>
      <c r="AD366" s="13"/>
      <c r="AE366" s="15"/>
      <c r="AF366" s="13"/>
      <c r="AG366" s="15"/>
      <c r="AH366" s="13"/>
      <c r="AI366" s="15"/>
      <c r="AJ366" s="13"/>
      <c r="AK366" s="15"/>
      <c r="AL366" s="13"/>
      <c r="AM366" s="15"/>
    </row>
    <row r="367" spans="1:39" ht="225" x14ac:dyDescent="0.25">
      <c r="A367" s="13" t="s">
        <v>614</v>
      </c>
      <c r="B367" s="13" t="s">
        <v>153</v>
      </c>
      <c r="C367" s="14">
        <v>43649.740972222222</v>
      </c>
      <c r="D367" s="13" t="s">
        <v>88</v>
      </c>
      <c r="E367" s="15" t="s">
        <v>89</v>
      </c>
      <c r="F367" s="13" t="s">
        <v>90</v>
      </c>
      <c r="G367" s="15" t="s">
        <v>91</v>
      </c>
      <c r="H367" s="13" t="s">
        <v>579</v>
      </c>
      <c r="I367" s="15" t="s">
        <v>580</v>
      </c>
      <c r="J367" s="15" t="s">
        <v>581</v>
      </c>
      <c r="K367" s="15" t="s">
        <v>582</v>
      </c>
      <c r="L367" s="13" t="s">
        <v>583</v>
      </c>
      <c r="M367" s="15" t="s">
        <v>584</v>
      </c>
      <c r="N367" s="13" t="s">
        <v>98</v>
      </c>
      <c r="O367" s="15" t="s">
        <v>99</v>
      </c>
      <c r="P367" s="15" t="s">
        <v>171</v>
      </c>
      <c r="Q367" s="15" t="s">
        <v>208</v>
      </c>
      <c r="R367" s="13" t="s">
        <v>209</v>
      </c>
      <c r="S367" s="13" t="s">
        <v>103</v>
      </c>
      <c r="T367" s="13" t="s">
        <v>205</v>
      </c>
      <c r="U367" s="14">
        <v>43274</v>
      </c>
      <c r="V367" s="14"/>
      <c r="W367" s="15"/>
      <c r="X367" s="13"/>
      <c r="Y367" s="15"/>
      <c r="Z367" s="13"/>
      <c r="AA367" s="15"/>
      <c r="AB367" s="13"/>
      <c r="AC367" s="15"/>
      <c r="AD367" s="13"/>
      <c r="AE367" s="15"/>
      <c r="AF367" s="13"/>
      <c r="AG367" s="15"/>
      <c r="AH367" s="13"/>
      <c r="AI367" s="15"/>
      <c r="AJ367" s="13"/>
      <c r="AK367" s="15"/>
      <c r="AL367" s="13"/>
      <c r="AM367" s="15"/>
    </row>
    <row r="368" spans="1:39" ht="225" x14ac:dyDescent="0.25">
      <c r="A368" s="13" t="s">
        <v>614</v>
      </c>
      <c r="B368" s="13" t="s">
        <v>153</v>
      </c>
      <c r="C368" s="14">
        <v>43649.742361111108</v>
      </c>
      <c r="D368" s="13" t="s">
        <v>88</v>
      </c>
      <c r="E368" s="15" t="s">
        <v>89</v>
      </c>
      <c r="F368" s="13" t="s">
        <v>90</v>
      </c>
      <c r="G368" s="15" t="s">
        <v>91</v>
      </c>
      <c r="H368" s="13" t="s">
        <v>579</v>
      </c>
      <c r="I368" s="15" t="s">
        <v>580</v>
      </c>
      <c r="J368" s="15" t="s">
        <v>581</v>
      </c>
      <c r="K368" s="15" t="s">
        <v>582</v>
      </c>
      <c r="L368" s="13" t="s">
        <v>599</v>
      </c>
      <c r="M368" s="15" t="s">
        <v>600</v>
      </c>
      <c r="N368" s="13" t="s">
        <v>98</v>
      </c>
      <c r="O368" s="15" t="s">
        <v>170</v>
      </c>
      <c r="P368" s="15" t="s">
        <v>171</v>
      </c>
      <c r="Q368" s="15" t="s">
        <v>208</v>
      </c>
      <c r="R368" s="13" t="s">
        <v>209</v>
      </c>
      <c r="S368" s="13" t="s">
        <v>103</v>
      </c>
      <c r="T368" s="13" t="s">
        <v>205</v>
      </c>
      <c r="U368" s="14">
        <v>43274</v>
      </c>
      <c r="V368" s="14"/>
      <c r="W368" s="15"/>
      <c r="X368" s="13"/>
      <c r="Y368" s="15"/>
      <c r="Z368" s="13"/>
      <c r="AA368" s="15"/>
      <c r="AB368" s="13"/>
      <c r="AC368" s="15"/>
      <c r="AD368" s="13"/>
      <c r="AE368" s="15"/>
      <c r="AF368" s="13"/>
      <c r="AG368" s="15"/>
      <c r="AH368" s="13"/>
      <c r="AI368" s="15"/>
      <c r="AJ368" s="13"/>
      <c r="AK368" s="15"/>
      <c r="AL368" s="13"/>
      <c r="AM368" s="15"/>
    </row>
    <row r="369" spans="1:39" ht="225" x14ac:dyDescent="0.25">
      <c r="A369" s="13" t="s">
        <v>614</v>
      </c>
      <c r="B369" s="13" t="s">
        <v>153</v>
      </c>
      <c r="C369" s="14">
        <v>43649.743750000001</v>
      </c>
      <c r="D369" s="13" t="s">
        <v>88</v>
      </c>
      <c r="E369" s="15" t="s">
        <v>89</v>
      </c>
      <c r="F369" s="13" t="s">
        <v>90</v>
      </c>
      <c r="G369" s="15" t="s">
        <v>91</v>
      </c>
      <c r="H369" s="13" t="s">
        <v>579</v>
      </c>
      <c r="I369" s="15" t="s">
        <v>580</v>
      </c>
      <c r="J369" s="15" t="s">
        <v>581</v>
      </c>
      <c r="K369" s="15" t="s">
        <v>582</v>
      </c>
      <c r="L369" s="13" t="s">
        <v>611</v>
      </c>
      <c r="M369" s="15" t="s">
        <v>612</v>
      </c>
      <c r="N369" s="13" t="s">
        <v>188</v>
      </c>
      <c r="O369" s="15" t="s">
        <v>189</v>
      </c>
      <c r="P369" s="15" t="s">
        <v>190</v>
      </c>
      <c r="Q369" s="15" t="s">
        <v>208</v>
      </c>
      <c r="R369" s="13" t="s">
        <v>209</v>
      </c>
      <c r="S369" s="13" t="s">
        <v>103</v>
      </c>
      <c r="T369" s="13" t="s">
        <v>205</v>
      </c>
      <c r="U369" s="14">
        <v>43274</v>
      </c>
      <c r="V369" s="14"/>
      <c r="W369" s="15"/>
      <c r="X369" s="13"/>
      <c r="Y369" s="15"/>
      <c r="Z369" s="13"/>
      <c r="AA369" s="15"/>
      <c r="AB369" s="13"/>
      <c r="AC369" s="15"/>
      <c r="AD369" s="13"/>
      <c r="AE369" s="15"/>
      <c r="AF369" s="13"/>
      <c r="AG369" s="15"/>
      <c r="AH369" s="13"/>
      <c r="AI369" s="15"/>
      <c r="AJ369" s="13"/>
      <c r="AK369" s="15"/>
      <c r="AL369" s="13"/>
      <c r="AM369" s="15"/>
    </row>
    <row r="370" spans="1:39" ht="210" x14ac:dyDescent="0.25">
      <c r="A370" s="13" t="s">
        <v>301</v>
      </c>
      <c r="B370" s="13" t="s">
        <v>87</v>
      </c>
      <c r="C370" s="14">
        <v>44713.644444444442</v>
      </c>
      <c r="D370" s="13" t="s">
        <v>88</v>
      </c>
      <c r="E370" s="15" t="s">
        <v>89</v>
      </c>
      <c r="F370" s="13" t="s">
        <v>90</v>
      </c>
      <c r="G370" s="15" t="s">
        <v>91</v>
      </c>
      <c r="H370" s="13" t="s">
        <v>617</v>
      </c>
      <c r="I370" s="15" t="s">
        <v>618</v>
      </c>
      <c r="J370" s="15" t="s">
        <v>619</v>
      </c>
      <c r="K370" s="15" t="s">
        <v>620</v>
      </c>
      <c r="L370" s="13" t="s">
        <v>621</v>
      </c>
      <c r="M370" s="15" t="s">
        <v>622</v>
      </c>
      <c r="N370" s="13" t="s">
        <v>98</v>
      </c>
      <c r="O370" s="15" t="s">
        <v>99</v>
      </c>
      <c r="P370" s="15" t="s">
        <v>100</v>
      </c>
      <c r="Q370" s="15" t="s">
        <v>101</v>
      </c>
      <c r="R370" s="13" t="s">
        <v>102</v>
      </c>
      <c r="S370" s="13" t="s">
        <v>103</v>
      </c>
      <c r="T370" s="13" t="s">
        <v>104</v>
      </c>
      <c r="U370" s="14">
        <v>43274</v>
      </c>
      <c r="V370" s="14">
        <v>44681</v>
      </c>
      <c r="W370" s="15" t="s">
        <v>727</v>
      </c>
      <c r="X370" s="13" t="s">
        <v>728</v>
      </c>
      <c r="Y370" s="15" t="str">
        <f>VLOOKUP(X370,'Axe 2 Règles de gestion'!$D$2:$F$121,3, FALSE)</f>
        <v>Rémunération : L'agent perçoit la rémunération et bénéficie du régime indemnitaire de son emploi d'accueil. Cependant si sa rémunération d'origine est plus élevée, il la conserve.</v>
      </c>
      <c r="Z370" s="13" t="s">
        <v>703</v>
      </c>
      <c r="AA370" s="15" t="str">
        <f>VLOOKUP(Z370,'Axe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70" s="13" t="s">
        <v>705</v>
      </c>
      <c r="AC370" s="15" t="str">
        <f>VLOOKUP(AB370,'Axe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70" s="13" t="s">
        <v>707</v>
      </c>
      <c r="AE370" s="15" t="str">
        <f>VLOOKUP(AD370,'Axe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70" s="13" t="s">
        <v>709</v>
      </c>
      <c r="AG370" s="15" t="str">
        <f>VLOOKUP(AF370,'Axe 2 Règles de gestion'!$D$2:$F$121,3, FALSE)</f>
        <v>Congés annuels : L'agent cumule des droits à congé.</v>
      </c>
      <c r="AH370" s="13" t="s">
        <v>711</v>
      </c>
      <c r="AI370" s="15" t="str">
        <f>VLOOKUP(AH370,'Axe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70" s="13" t="s">
        <v>713</v>
      </c>
      <c r="AK370" s="15" t="str">
        <f>VLOOKUP(AJ370,'Axe 2 Règles de gestion'!$D$2:$F$121,3, FALSE)</f>
        <v>Acte : Un acte administratif doit être produit.</v>
      </c>
      <c r="AL370" s="13"/>
      <c r="AM370" s="15"/>
    </row>
    <row r="371" spans="1:39" ht="210" x14ac:dyDescent="0.25">
      <c r="A371" s="13" t="s">
        <v>301</v>
      </c>
      <c r="B371" s="13" t="s">
        <v>153</v>
      </c>
      <c r="C371" s="14">
        <v>44713.645138888889</v>
      </c>
      <c r="D371" s="13" t="s">
        <v>88</v>
      </c>
      <c r="E371" s="15" t="s">
        <v>89</v>
      </c>
      <c r="F371" s="13" t="s">
        <v>90</v>
      </c>
      <c r="G371" s="15" t="s">
        <v>91</v>
      </c>
      <c r="H371" s="13" t="s">
        <v>617</v>
      </c>
      <c r="I371" s="15" t="s">
        <v>618</v>
      </c>
      <c r="J371" s="15" t="s">
        <v>619</v>
      </c>
      <c r="K371" s="15" t="s">
        <v>620</v>
      </c>
      <c r="L371" s="13" t="s">
        <v>621</v>
      </c>
      <c r="M371" s="15" t="s">
        <v>622</v>
      </c>
      <c r="N371" s="13" t="s">
        <v>98</v>
      </c>
      <c r="O371" s="15" t="s">
        <v>99</v>
      </c>
      <c r="P371" s="15" t="s">
        <v>100</v>
      </c>
      <c r="Q371" s="15" t="s">
        <v>101</v>
      </c>
      <c r="R371" s="13" t="s">
        <v>102</v>
      </c>
      <c r="S371" s="13" t="s">
        <v>103</v>
      </c>
      <c r="T371" s="13" t="s">
        <v>104</v>
      </c>
      <c r="U371" s="14">
        <v>44682</v>
      </c>
      <c r="V371" s="14"/>
      <c r="W371" s="15" t="s">
        <v>727</v>
      </c>
      <c r="X371" s="13" t="s">
        <v>728</v>
      </c>
      <c r="Y371" s="15" t="str">
        <f>VLOOKUP(X371,'Axe 2 Règles de gestion'!$D$2:$F$121,3, FALSE)</f>
        <v>Rémunération : L'agent perçoit la rémunération et bénéficie du régime indemnitaire de son emploi d'accueil. Cependant si sa rémunération d'origine est plus élevée, il la conserve.</v>
      </c>
      <c r="Z371" s="13" t="s">
        <v>703</v>
      </c>
      <c r="AA371" s="15" t="str">
        <f>VLOOKUP(Z371,'Axe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71" s="13" t="s">
        <v>705</v>
      </c>
      <c r="AC371" s="15" t="str">
        <f>VLOOKUP(AB371,'Axe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71" s="13" t="s">
        <v>707</v>
      </c>
      <c r="AE371" s="15" t="str">
        <f>VLOOKUP(AD371,'Axe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71" s="13" t="s">
        <v>709</v>
      </c>
      <c r="AG371" s="15" t="str">
        <f>VLOOKUP(AF371,'Axe 2 Règles de gestion'!$D$2:$F$121,3, FALSE)</f>
        <v>Congés annuels : L'agent cumule des droits à congé.</v>
      </c>
      <c r="AH371" s="13" t="s">
        <v>711</v>
      </c>
      <c r="AI371" s="15" t="str">
        <f>VLOOKUP(AH371,'Axe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71" s="13" t="s">
        <v>713</v>
      </c>
      <c r="AK371" s="15" t="str">
        <f>VLOOKUP(AJ371,'Axe 2 Règles de gestion'!$D$2:$F$121,3, FALSE)</f>
        <v>Acte : Un acte administratif doit être produit.</v>
      </c>
      <c r="AL371" s="13"/>
      <c r="AM371" s="15"/>
    </row>
    <row r="372" spans="1:39" ht="210" x14ac:dyDescent="0.25">
      <c r="A372" s="13" t="s">
        <v>301</v>
      </c>
      <c r="B372" s="13" t="s">
        <v>87</v>
      </c>
      <c r="C372" s="14">
        <v>44713.645833333336</v>
      </c>
      <c r="D372" s="13" t="s">
        <v>88</v>
      </c>
      <c r="E372" s="15" t="s">
        <v>89</v>
      </c>
      <c r="F372" s="13" t="s">
        <v>90</v>
      </c>
      <c r="G372" s="15" t="s">
        <v>91</v>
      </c>
      <c r="H372" s="13" t="s">
        <v>617</v>
      </c>
      <c r="I372" s="15" t="s">
        <v>618</v>
      </c>
      <c r="J372" s="15" t="s">
        <v>619</v>
      </c>
      <c r="K372" s="15" t="s">
        <v>620</v>
      </c>
      <c r="L372" s="13" t="s">
        <v>623</v>
      </c>
      <c r="M372" s="15" t="s">
        <v>624</v>
      </c>
      <c r="N372" s="13" t="s">
        <v>98</v>
      </c>
      <c r="O372" s="15" t="s">
        <v>170</v>
      </c>
      <c r="P372" s="15" t="s">
        <v>171</v>
      </c>
      <c r="Q372" s="15" t="s">
        <v>101</v>
      </c>
      <c r="R372" s="13" t="s">
        <v>102</v>
      </c>
      <c r="S372" s="13" t="s">
        <v>103</v>
      </c>
      <c r="T372" s="13" t="s">
        <v>104</v>
      </c>
      <c r="U372" s="14">
        <v>43274</v>
      </c>
      <c r="V372" s="14">
        <v>44681</v>
      </c>
      <c r="W372" s="15" t="s">
        <v>727</v>
      </c>
      <c r="X372" s="13" t="s">
        <v>728</v>
      </c>
      <c r="Y372" s="15" t="str">
        <f>VLOOKUP(X372,'Axe 2 Règles de gestion'!$D$2:$F$121,3, FALSE)</f>
        <v>Rémunération : L'agent perçoit la rémunération et bénéficie du régime indemnitaire de son emploi d'accueil. Cependant si sa rémunération d'origine est plus élevée, il la conserve.</v>
      </c>
      <c r="Z372" s="13" t="s">
        <v>703</v>
      </c>
      <c r="AA372" s="15" t="str">
        <f>VLOOKUP(Z372,'Axe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72" s="13" t="s">
        <v>705</v>
      </c>
      <c r="AC372" s="15" t="str">
        <f>VLOOKUP(AB372,'Axe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72" s="13" t="s">
        <v>707</v>
      </c>
      <c r="AE372" s="15" t="str">
        <f>VLOOKUP(AD372,'Axe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72" s="13" t="s">
        <v>709</v>
      </c>
      <c r="AG372" s="15" t="str">
        <f>VLOOKUP(AF372,'Axe 2 Règles de gestion'!$D$2:$F$121,3, FALSE)</f>
        <v>Congés annuels : L'agent cumule des droits à congé.</v>
      </c>
      <c r="AH372" s="13" t="s">
        <v>711</v>
      </c>
      <c r="AI372" s="15" t="str">
        <f>VLOOKUP(AH372,'Axe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72" s="13" t="s">
        <v>713</v>
      </c>
      <c r="AK372" s="15" t="str">
        <f>VLOOKUP(AJ372,'Axe 2 Règles de gestion'!$D$2:$F$121,3, FALSE)</f>
        <v>Acte : Un acte administratif doit être produit.</v>
      </c>
      <c r="AL372" s="13"/>
      <c r="AM372" s="15"/>
    </row>
    <row r="373" spans="1:39" ht="210" x14ac:dyDescent="0.25">
      <c r="A373" s="13" t="s">
        <v>301</v>
      </c>
      <c r="B373" s="13" t="s">
        <v>153</v>
      </c>
      <c r="C373" s="14">
        <v>44713.646527777775</v>
      </c>
      <c r="D373" s="13" t="s">
        <v>88</v>
      </c>
      <c r="E373" s="15" t="s">
        <v>89</v>
      </c>
      <c r="F373" s="13" t="s">
        <v>90</v>
      </c>
      <c r="G373" s="15" t="s">
        <v>91</v>
      </c>
      <c r="H373" s="13" t="s">
        <v>617</v>
      </c>
      <c r="I373" s="15" t="s">
        <v>618</v>
      </c>
      <c r="J373" s="15" t="s">
        <v>619</v>
      </c>
      <c r="K373" s="15" t="s">
        <v>620</v>
      </c>
      <c r="L373" s="13" t="s">
        <v>623</v>
      </c>
      <c r="M373" s="15" t="s">
        <v>624</v>
      </c>
      <c r="N373" s="13" t="s">
        <v>98</v>
      </c>
      <c r="O373" s="15" t="s">
        <v>170</v>
      </c>
      <c r="P373" s="15" t="s">
        <v>171</v>
      </c>
      <c r="Q373" s="15" t="s">
        <v>101</v>
      </c>
      <c r="R373" s="13" t="s">
        <v>102</v>
      </c>
      <c r="S373" s="13" t="s">
        <v>103</v>
      </c>
      <c r="T373" s="13" t="s">
        <v>104</v>
      </c>
      <c r="U373" s="14">
        <v>44682</v>
      </c>
      <c r="V373" s="14"/>
      <c r="W373" s="15" t="s">
        <v>727</v>
      </c>
      <c r="X373" s="13" t="s">
        <v>728</v>
      </c>
      <c r="Y373" s="15" t="str">
        <f>VLOOKUP(X373,'Axe 2 Règles de gestion'!$D$2:$F$121,3, FALSE)</f>
        <v>Rémunération : L'agent perçoit la rémunération et bénéficie du régime indemnitaire de son emploi d'accueil. Cependant si sa rémunération d'origine est plus élevée, il la conserve.</v>
      </c>
      <c r="Z373" s="13" t="s">
        <v>703</v>
      </c>
      <c r="AA373" s="15" t="str">
        <f>VLOOKUP(Z373,'Axe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73" s="13" t="s">
        <v>705</v>
      </c>
      <c r="AC373" s="15" t="str">
        <f>VLOOKUP(AB373,'Axe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73" s="13" t="s">
        <v>707</v>
      </c>
      <c r="AE373" s="15" t="str">
        <f>VLOOKUP(AD373,'Axe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73" s="13" t="s">
        <v>709</v>
      </c>
      <c r="AG373" s="15" t="str">
        <f>VLOOKUP(AF373,'Axe 2 Règles de gestion'!$D$2:$F$121,3, FALSE)</f>
        <v>Congés annuels : L'agent cumule des droits à congé.</v>
      </c>
      <c r="AH373" s="13" t="s">
        <v>711</v>
      </c>
      <c r="AI373" s="15" t="str">
        <f>VLOOKUP(AH373,'Axe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73" s="13" t="s">
        <v>713</v>
      </c>
      <c r="AK373" s="15" t="str">
        <f>VLOOKUP(AJ373,'Axe 2 Règles de gestion'!$D$2:$F$121,3, FALSE)</f>
        <v>Acte : Un acte administratif doit être produit.</v>
      </c>
      <c r="AL373" s="13"/>
      <c r="AM373" s="15"/>
    </row>
    <row r="374" spans="1:39" ht="210" x14ac:dyDescent="0.25">
      <c r="A374" s="13" t="s">
        <v>86</v>
      </c>
      <c r="B374" s="13" t="s">
        <v>87</v>
      </c>
      <c r="C374" s="14">
        <v>43850.552083333336</v>
      </c>
      <c r="D374" s="13" t="s">
        <v>88</v>
      </c>
      <c r="E374" s="15" t="s">
        <v>89</v>
      </c>
      <c r="F374" s="13" t="s">
        <v>90</v>
      </c>
      <c r="G374" s="15" t="s">
        <v>91</v>
      </c>
      <c r="H374" s="13" t="s">
        <v>617</v>
      </c>
      <c r="I374" s="15" t="s">
        <v>618</v>
      </c>
      <c r="J374" s="15" t="s">
        <v>619</v>
      </c>
      <c r="K374" s="15" t="s">
        <v>620</v>
      </c>
      <c r="L374" s="13" t="s">
        <v>625</v>
      </c>
      <c r="M374" s="15" t="s">
        <v>626</v>
      </c>
      <c r="N374" s="13" t="s">
        <v>188</v>
      </c>
      <c r="O374" s="15" t="s">
        <v>189</v>
      </c>
      <c r="P374" s="15" t="s">
        <v>190</v>
      </c>
      <c r="Q374" s="15" t="s">
        <v>101</v>
      </c>
      <c r="R374" s="13" t="s">
        <v>102</v>
      </c>
      <c r="S374" s="13" t="s">
        <v>103</v>
      </c>
      <c r="T374" s="13" t="s">
        <v>104</v>
      </c>
      <c r="U374" s="14">
        <v>43274</v>
      </c>
      <c r="V374" s="14"/>
      <c r="W374" s="15"/>
      <c r="X374" s="13"/>
      <c r="Y374" s="15"/>
      <c r="Z374" s="13"/>
      <c r="AA374" s="15"/>
      <c r="AB374" s="13"/>
      <c r="AC374" s="15"/>
      <c r="AD374" s="13"/>
      <c r="AE374" s="15"/>
      <c r="AF374" s="13"/>
      <c r="AG374" s="15"/>
      <c r="AH374" s="13"/>
      <c r="AI374" s="15"/>
      <c r="AJ374" s="13"/>
      <c r="AK374" s="15"/>
      <c r="AL374" s="13"/>
      <c r="AM374" s="15"/>
    </row>
    <row r="375" spans="1:39" ht="210" x14ac:dyDescent="0.25">
      <c r="A375" s="13" t="s">
        <v>614</v>
      </c>
      <c r="B375" s="13" t="s">
        <v>153</v>
      </c>
      <c r="C375" s="14">
        <v>43649.745138888888</v>
      </c>
      <c r="D375" s="13" t="s">
        <v>88</v>
      </c>
      <c r="E375" s="15" t="s">
        <v>89</v>
      </c>
      <c r="F375" s="13" t="s">
        <v>90</v>
      </c>
      <c r="G375" s="15" t="s">
        <v>91</v>
      </c>
      <c r="H375" s="13" t="s">
        <v>617</v>
      </c>
      <c r="I375" s="15" t="s">
        <v>618</v>
      </c>
      <c r="J375" s="15" t="s">
        <v>619</v>
      </c>
      <c r="K375" s="15" t="s">
        <v>620</v>
      </c>
      <c r="L375" s="13" t="s">
        <v>621</v>
      </c>
      <c r="M375" s="15" t="s">
        <v>622</v>
      </c>
      <c r="N375" s="13" t="s">
        <v>98</v>
      </c>
      <c r="O375" s="15" t="s">
        <v>99</v>
      </c>
      <c r="P375" s="15" t="s">
        <v>100</v>
      </c>
      <c r="Q375" s="15" t="s">
        <v>615</v>
      </c>
      <c r="R375" s="13" t="s">
        <v>616</v>
      </c>
      <c r="S375" s="13" t="s">
        <v>103</v>
      </c>
      <c r="T375" s="13" t="s">
        <v>205</v>
      </c>
      <c r="U375" s="14">
        <v>43274</v>
      </c>
      <c r="V375" s="14"/>
      <c r="W375" s="15"/>
      <c r="X375" s="13"/>
      <c r="Y375" s="15"/>
      <c r="Z375" s="13"/>
      <c r="AA375" s="15"/>
      <c r="AB375" s="13"/>
      <c r="AC375" s="15"/>
      <c r="AD375" s="13"/>
      <c r="AE375" s="15"/>
      <c r="AF375" s="13"/>
      <c r="AG375" s="15"/>
      <c r="AH375" s="13"/>
      <c r="AI375" s="15"/>
      <c r="AJ375" s="13"/>
      <c r="AK375" s="15"/>
      <c r="AL375" s="13"/>
      <c r="AM375" s="15"/>
    </row>
    <row r="376" spans="1:39" ht="210" x14ac:dyDescent="0.25">
      <c r="A376" s="13" t="s">
        <v>614</v>
      </c>
      <c r="B376" s="13" t="s">
        <v>153</v>
      </c>
      <c r="C376" s="14">
        <v>43649.746527777781</v>
      </c>
      <c r="D376" s="13" t="s">
        <v>88</v>
      </c>
      <c r="E376" s="15" t="s">
        <v>89</v>
      </c>
      <c r="F376" s="13" t="s">
        <v>90</v>
      </c>
      <c r="G376" s="15" t="s">
        <v>91</v>
      </c>
      <c r="H376" s="13" t="s">
        <v>617</v>
      </c>
      <c r="I376" s="15" t="s">
        <v>618</v>
      </c>
      <c r="J376" s="15" t="s">
        <v>619</v>
      </c>
      <c r="K376" s="15" t="s">
        <v>620</v>
      </c>
      <c r="L376" s="13" t="s">
        <v>623</v>
      </c>
      <c r="M376" s="15" t="s">
        <v>624</v>
      </c>
      <c r="N376" s="13" t="s">
        <v>98</v>
      </c>
      <c r="O376" s="15" t="s">
        <v>170</v>
      </c>
      <c r="P376" s="15" t="s">
        <v>171</v>
      </c>
      <c r="Q376" s="15" t="s">
        <v>615</v>
      </c>
      <c r="R376" s="13" t="s">
        <v>616</v>
      </c>
      <c r="S376" s="13" t="s">
        <v>103</v>
      </c>
      <c r="T376" s="13" t="s">
        <v>205</v>
      </c>
      <c r="U376" s="14">
        <v>43274</v>
      </c>
      <c r="V376" s="14"/>
      <c r="W376" s="15"/>
      <c r="X376" s="13"/>
      <c r="Y376" s="15"/>
      <c r="Z376" s="13"/>
      <c r="AA376" s="15"/>
      <c r="AB376" s="13"/>
      <c r="AC376" s="15"/>
      <c r="AD376" s="13"/>
      <c r="AE376" s="15"/>
      <c r="AF376" s="13"/>
      <c r="AG376" s="15"/>
      <c r="AH376" s="13"/>
      <c r="AI376" s="15"/>
      <c r="AJ376" s="13"/>
      <c r="AK376" s="15"/>
      <c r="AL376" s="13"/>
      <c r="AM376" s="15"/>
    </row>
    <row r="377" spans="1:39" ht="210" x14ac:dyDescent="0.25">
      <c r="A377" s="13" t="s">
        <v>614</v>
      </c>
      <c r="B377" s="13" t="s">
        <v>153</v>
      </c>
      <c r="C377" s="14">
        <v>43649.748611111114</v>
      </c>
      <c r="D377" s="13" t="s">
        <v>88</v>
      </c>
      <c r="E377" s="15" t="s">
        <v>89</v>
      </c>
      <c r="F377" s="13" t="s">
        <v>90</v>
      </c>
      <c r="G377" s="15" t="s">
        <v>91</v>
      </c>
      <c r="H377" s="13" t="s">
        <v>617</v>
      </c>
      <c r="I377" s="15" t="s">
        <v>618</v>
      </c>
      <c r="J377" s="15" t="s">
        <v>619</v>
      </c>
      <c r="K377" s="15" t="s">
        <v>620</v>
      </c>
      <c r="L377" s="13" t="s">
        <v>625</v>
      </c>
      <c r="M377" s="15" t="s">
        <v>626</v>
      </c>
      <c r="N377" s="13" t="s">
        <v>188</v>
      </c>
      <c r="O377" s="15" t="s">
        <v>189</v>
      </c>
      <c r="P377" s="15" t="s">
        <v>190</v>
      </c>
      <c r="Q377" s="15" t="s">
        <v>615</v>
      </c>
      <c r="R377" s="13" t="s">
        <v>616</v>
      </c>
      <c r="S377" s="13" t="s">
        <v>103</v>
      </c>
      <c r="T377" s="13" t="s">
        <v>205</v>
      </c>
      <c r="U377" s="14">
        <v>43274</v>
      </c>
      <c r="V377" s="14"/>
      <c r="W377" s="15"/>
      <c r="X377" s="13"/>
      <c r="Y377" s="15"/>
      <c r="Z377" s="13"/>
      <c r="AA377" s="15"/>
      <c r="AB377" s="13"/>
      <c r="AC377" s="15"/>
      <c r="AD377" s="13"/>
      <c r="AE377" s="15"/>
      <c r="AF377" s="13"/>
      <c r="AG377" s="15"/>
      <c r="AH377" s="13"/>
      <c r="AI377" s="15"/>
      <c r="AJ377" s="13"/>
      <c r="AK377" s="15"/>
      <c r="AL377" s="13"/>
      <c r="AM377" s="15"/>
    </row>
    <row r="378" spans="1:39" ht="210" x14ac:dyDescent="0.25">
      <c r="A378" s="13" t="s">
        <v>614</v>
      </c>
      <c r="B378" s="13" t="s">
        <v>153</v>
      </c>
      <c r="C378" s="14">
        <v>43649.744444444441</v>
      </c>
      <c r="D378" s="13" t="s">
        <v>88</v>
      </c>
      <c r="E378" s="15" t="s">
        <v>89</v>
      </c>
      <c r="F378" s="13" t="s">
        <v>90</v>
      </c>
      <c r="G378" s="15" t="s">
        <v>91</v>
      </c>
      <c r="H378" s="13" t="s">
        <v>617</v>
      </c>
      <c r="I378" s="15" t="s">
        <v>618</v>
      </c>
      <c r="J378" s="15" t="s">
        <v>619</v>
      </c>
      <c r="K378" s="15" t="s">
        <v>620</v>
      </c>
      <c r="L378" s="13" t="s">
        <v>621</v>
      </c>
      <c r="M378" s="15" t="s">
        <v>622</v>
      </c>
      <c r="N378" s="13" t="s">
        <v>98</v>
      </c>
      <c r="O378" s="15" t="s">
        <v>99</v>
      </c>
      <c r="P378" s="15" t="s">
        <v>100</v>
      </c>
      <c r="Q378" s="15" t="s">
        <v>203</v>
      </c>
      <c r="R378" s="13" t="s">
        <v>204</v>
      </c>
      <c r="S378" s="13" t="s">
        <v>103</v>
      </c>
      <c r="T378" s="13" t="s">
        <v>205</v>
      </c>
      <c r="U378" s="14">
        <v>43274</v>
      </c>
      <c r="V378" s="14"/>
      <c r="W378" s="15"/>
      <c r="X378" s="13"/>
      <c r="Y378" s="15"/>
      <c r="Z378" s="13"/>
      <c r="AA378" s="15"/>
      <c r="AB378" s="13"/>
      <c r="AC378" s="15"/>
      <c r="AD378" s="13"/>
      <c r="AE378" s="15"/>
      <c r="AF378" s="13"/>
      <c r="AG378" s="15"/>
      <c r="AH378" s="13"/>
      <c r="AI378" s="15"/>
      <c r="AJ378" s="13"/>
      <c r="AK378" s="15"/>
      <c r="AL378" s="13"/>
      <c r="AM378" s="15"/>
    </row>
    <row r="379" spans="1:39" ht="210" x14ac:dyDescent="0.25">
      <c r="A379" s="13" t="s">
        <v>614</v>
      </c>
      <c r="B379" s="13" t="s">
        <v>153</v>
      </c>
      <c r="C379" s="14">
        <v>43649.745833333334</v>
      </c>
      <c r="D379" s="13" t="s">
        <v>88</v>
      </c>
      <c r="E379" s="15" t="s">
        <v>89</v>
      </c>
      <c r="F379" s="13" t="s">
        <v>90</v>
      </c>
      <c r="G379" s="15" t="s">
        <v>91</v>
      </c>
      <c r="H379" s="13" t="s">
        <v>617</v>
      </c>
      <c r="I379" s="15" t="s">
        <v>618</v>
      </c>
      <c r="J379" s="15" t="s">
        <v>619</v>
      </c>
      <c r="K379" s="15" t="s">
        <v>620</v>
      </c>
      <c r="L379" s="13" t="s">
        <v>623</v>
      </c>
      <c r="M379" s="15" t="s">
        <v>624</v>
      </c>
      <c r="N379" s="13" t="s">
        <v>98</v>
      </c>
      <c r="O379" s="15" t="s">
        <v>170</v>
      </c>
      <c r="P379" s="15" t="s">
        <v>171</v>
      </c>
      <c r="Q379" s="15" t="s">
        <v>203</v>
      </c>
      <c r="R379" s="13" t="s">
        <v>204</v>
      </c>
      <c r="S379" s="13" t="s">
        <v>103</v>
      </c>
      <c r="T379" s="13" t="s">
        <v>205</v>
      </c>
      <c r="U379" s="14">
        <v>43274</v>
      </c>
      <c r="V379" s="14"/>
      <c r="W379" s="15"/>
      <c r="X379" s="13"/>
      <c r="Y379" s="15"/>
      <c r="Z379" s="13"/>
      <c r="AA379" s="15"/>
      <c r="AB379" s="13"/>
      <c r="AC379" s="15"/>
      <c r="AD379" s="13"/>
      <c r="AE379" s="15"/>
      <c r="AF379" s="13"/>
      <c r="AG379" s="15"/>
      <c r="AH379" s="13"/>
      <c r="AI379" s="15"/>
      <c r="AJ379" s="13"/>
      <c r="AK379" s="15"/>
      <c r="AL379" s="13"/>
      <c r="AM379" s="15"/>
    </row>
    <row r="380" spans="1:39" ht="210" x14ac:dyDescent="0.25">
      <c r="A380" s="13" t="s">
        <v>614</v>
      </c>
      <c r="B380" s="13" t="s">
        <v>153</v>
      </c>
      <c r="C380" s="14">
        <v>43649.74722222222</v>
      </c>
      <c r="D380" s="13" t="s">
        <v>88</v>
      </c>
      <c r="E380" s="15" t="s">
        <v>89</v>
      </c>
      <c r="F380" s="13" t="s">
        <v>90</v>
      </c>
      <c r="G380" s="15" t="s">
        <v>91</v>
      </c>
      <c r="H380" s="13" t="s">
        <v>617</v>
      </c>
      <c r="I380" s="15" t="s">
        <v>618</v>
      </c>
      <c r="J380" s="15" t="s">
        <v>619</v>
      </c>
      <c r="K380" s="15" t="s">
        <v>620</v>
      </c>
      <c r="L380" s="13" t="s">
        <v>625</v>
      </c>
      <c r="M380" s="15" t="s">
        <v>626</v>
      </c>
      <c r="N380" s="13" t="s">
        <v>188</v>
      </c>
      <c r="O380" s="15" t="s">
        <v>189</v>
      </c>
      <c r="P380" s="15" t="s">
        <v>190</v>
      </c>
      <c r="Q380" s="15" t="s">
        <v>203</v>
      </c>
      <c r="R380" s="13" t="s">
        <v>204</v>
      </c>
      <c r="S380" s="13" t="s">
        <v>103</v>
      </c>
      <c r="T380" s="13" t="s">
        <v>205</v>
      </c>
      <c r="U380" s="14">
        <v>43274</v>
      </c>
      <c r="V380" s="14"/>
      <c r="W380" s="15"/>
      <c r="X380" s="13"/>
      <c r="Y380" s="15"/>
      <c r="Z380" s="13"/>
      <c r="AA380" s="15"/>
      <c r="AB380" s="13"/>
      <c r="AC380" s="15"/>
      <c r="AD380" s="13"/>
      <c r="AE380" s="15"/>
      <c r="AF380" s="13"/>
      <c r="AG380" s="15"/>
      <c r="AH380" s="13"/>
      <c r="AI380" s="15"/>
      <c r="AJ380" s="13"/>
      <c r="AK380" s="15"/>
      <c r="AL380" s="13"/>
      <c r="AM380" s="15"/>
    </row>
    <row r="381" spans="1:39" ht="210" x14ac:dyDescent="0.25">
      <c r="A381" s="13" t="s">
        <v>614</v>
      </c>
      <c r="B381" s="13" t="s">
        <v>153</v>
      </c>
      <c r="C381" s="14">
        <v>43649.744444444441</v>
      </c>
      <c r="D381" s="13" t="s">
        <v>88</v>
      </c>
      <c r="E381" s="15" t="s">
        <v>89</v>
      </c>
      <c r="F381" s="13" t="s">
        <v>90</v>
      </c>
      <c r="G381" s="15" t="s">
        <v>91</v>
      </c>
      <c r="H381" s="13" t="s">
        <v>617</v>
      </c>
      <c r="I381" s="15" t="s">
        <v>618</v>
      </c>
      <c r="J381" s="15" t="s">
        <v>619</v>
      </c>
      <c r="K381" s="15" t="s">
        <v>620</v>
      </c>
      <c r="L381" s="13" t="s">
        <v>621</v>
      </c>
      <c r="M381" s="15" t="s">
        <v>622</v>
      </c>
      <c r="N381" s="13" t="s">
        <v>98</v>
      </c>
      <c r="O381" s="15" t="s">
        <v>99</v>
      </c>
      <c r="P381" s="15" t="s">
        <v>100</v>
      </c>
      <c r="Q381" s="15" t="s">
        <v>206</v>
      </c>
      <c r="R381" s="13" t="s">
        <v>207</v>
      </c>
      <c r="S381" s="13" t="s">
        <v>103</v>
      </c>
      <c r="T381" s="13" t="s">
        <v>205</v>
      </c>
      <c r="U381" s="14">
        <v>43274</v>
      </c>
      <c r="V381" s="14"/>
      <c r="W381" s="15"/>
      <c r="X381" s="13"/>
      <c r="Y381" s="15"/>
      <c r="Z381" s="13"/>
      <c r="AA381" s="15"/>
      <c r="AB381" s="13"/>
      <c r="AC381" s="15"/>
      <c r="AD381" s="13"/>
      <c r="AE381" s="15"/>
      <c r="AF381" s="13"/>
      <c r="AG381" s="15"/>
      <c r="AH381" s="13"/>
      <c r="AI381" s="15"/>
      <c r="AJ381" s="13"/>
      <c r="AK381" s="15"/>
      <c r="AL381" s="13"/>
      <c r="AM381" s="15"/>
    </row>
    <row r="382" spans="1:39" ht="210" x14ac:dyDescent="0.25">
      <c r="A382" s="13" t="s">
        <v>614</v>
      </c>
      <c r="B382" s="13" t="s">
        <v>153</v>
      </c>
      <c r="C382" s="14">
        <v>43649.745833333334</v>
      </c>
      <c r="D382" s="13" t="s">
        <v>88</v>
      </c>
      <c r="E382" s="15" t="s">
        <v>89</v>
      </c>
      <c r="F382" s="13" t="s">
        <v>90</v>
      </c>
      <c r="G382" s="15" t="s">
        <v>91</v>
      </c>
      <c r="H382" s="13" t="s">
        <v>617</v>
      </c>
      <c r="I382" s="15" t="s">
        <v>618</v>
      </c>
      <c r="J382" s="15" t="s">
        <v>619</v>
      </c>
      <c r="K382" s="15" t="s">
        <v>620</v>
      </c>
      <c r="L382" s="13" t="s">
        <v>623</v>
      </c>
      <c r="M382" s="15" t="s">
        <v>624</v>
      </c>
      <c r="N382" s="13" t="s">
        <v>98</v>
      </c>
      <c r="O382" s="15" t="s">
        <v>170</v>
      </c>
      <c r="P382" s="15" t="s">
        <v>171</v>
      </c>
      <c r="Q382" s="15" t="s">
        <v>206</v>
      </c>
      <c r="R382" s="13" t="s">
        <v>207</v>
      </c>
      <c r="S382" s="13" t="s">
        <v>103</v>
      </c>
      <c r="T382" s="13" t="s">
        <v>205</v>
      </c>
      <c r="U382" s="14">
        <v>43274</v>
      </c>
      <c r="V382" s="14"/>
      <c r="W382" s="15"/>
      <c r="X382" s="13"/>
      <c r="Y382" s="15"/>
      <c r="Z382" s="13"/>
      <c r="AA382" s="15"/>
      <c r="AB382" s="13"/>
      <c r="AC382" s="15"/>
      <c r="AD382" s="13"/>
      <c r="AE382" s="15"/>
      <c r="AF382" s="13"/>
      <c r="AG382" s="15"/>
      <c r="AH382" s="13"/>
      <c r="AI382" s="15"/>
      <c r="AJ382" s="13"/>
      <c r="AK382" s="15"/>
      <c r="AL382" s="13"/>
      <c r="AM382" s="15"/>
    </row>
    <row r="383" spans="1:39" ht="210" x14ac:dyDescent="0.25">
      <c r="A383" s="13" t="s">
        <v>614</v>
      </c>
      <c r="B383" s="13" t="s">
        <v>153</v>
      </c>
      <c r="C383" s="14">
        <v>43649.746527777781</v>
      </c>
      <c r="D383" s="13" t="s">
        <v>88</v>
      </c>
      <c r="E383" s="15" t="s">
        <v>89</v>
      </c>
      <c r="F383" s="13" t="s">
        <v>90</v>
      </c>
      <c r="G383" s="15" t="s">
        <v>91</v>
      </c>
      <c r="H383" s="13" t="s">
        <v>617</v>
      </c>
      <c r="I383" s="15" t="s">
        <v>618</v>
      </c>
      <c r="J383" s="15" t="s">
        <v>619</v>
      </c>
      <c r="K383" s="15" t="s">
        <v>620</v>
      </c>
      <c r="L383" s="13" t="s">
        <v>625</v>
      </c>
      <c r="M383" s="15" t="s">
        <v>626</v>
      </c>
      <c r="N383" s="13" t="s">
        <v>188</v>
      </c>
      <c r="O383" s="15" t="s">
        <v>189</v>
      </c>
      <c r="P383" s="15" t="s">
        <v>190</v>
      </c>
      <c r="Q383" s="15" t="s">
        <v>206</v>
      </c>
      <c r="R383" s="13" t="s">
        <v>207</v>
      </c>
      <c r="S383" s="13" t="s">
        <v>103</v>
      </c>
      <c r="T383" s="13" t="s">
        <v>205</v>
      </c>
      <c r="U383" s="14">
        <v>43274</v>
      </c>
      <c r="V383" s="14"/>
      <c r="W383" s="15"/>
      <c r="X383" s="13"/>
      <c r="Y383" s="15"/>
      <c r="Z383" s="13"/>
      <c r="AA383" s="15"/>
      <c r="AB383" s="13"/>
      <c r="AC383" s="15"/>
      <c r="AD383" s="13"/>
      <c r="AE383" s="15"/>
      <c r="AF383" s="13"/>
      <c r="AG383" s="15"/>
      <c r="AH383" s="13"/>
      <c r="AI383" s="15"/>
      <c r="AJ383" s="13"/>
      <c r="AK383" s="15"/>
      <c r="AL383" s="13"/>
      <c r="AM383" s="15"/>
    </row>
    <row r="384" spans="1:39" ht="210" x14ac:dyDescent="0.25">
      <c r="A384" s="13" t="s">
        <v>614</v>
      </c>
      <c r="B384" s="13" t="s">
        <v>153</v>
      </c>
      <c r="C384" s="14">
        <v>43649.745138888888</v>
      </c>
      <c r="D384" s="13" t="s">
        <v>88</v>
      </c>
      <c r="E384" s="15" t="s">
        <v>89</v>
      </c>
      <c r="F384" s="13" t="s">
        <v>90</v>
      </c>
      <c r="G384" s="15" t="s">
        <v>91</v>
      </c>
      <c r="H384" s="13" t="s">
        <v>617</v>
      </c>
      <c r="I384" s="15" t="s">
        <v>618</v>
      </c>
      <c r="J384" s="15" t="s">
        <v>619</v>
      </c>
      <c r="K384" s="15" t="s">
        <v>620</v>
      </c>
      <c r="L384" s="13" t="s">
        <v>621</v>
      </c>
      <c r="M384" s="15" t="s">
        <v>622</v>
      </c>
      <c r="N384" s="13" t="s">
        <v>98</v>
      </c>
      <c r="O384" s="15" t="s">
        <v>99</v>
      </c>
      <c r="P384" s="15" t="s">
        <v>100</v>
      </c>
      <c r="Q384" s="15" t="s">
        <v>208</v>
      </c>
      <c r="R384" s="13" t="s">
        <v>209</v>
      </c>
      <c r="S384" s="13" t="s">
        <v>103</v>
      </c>
      <c r="T384" s="13" t="s">
        <v>205</v>
      </c>
      <c r="U384" s="14">
        <v>43274</v>
      </c>
      <c r="V384" s="14"/>
      <c r="W384" s="15"/>
      <c r="X384" s="13"/>
      <c r="Y384" s="15"/>
      <c r="Z384" s="13"/>
      <c r="AA384" s="15"/>
      <c r="AB384" s="13"/>
      <c r="AC384" s="15"/>
      <c r="AD384" s="13"/>
      <c r="AE384" s="15"/>
      <c r="AF384" s="13"/>
      <c r="AG384" s="15"/>
      <c r="AH384" s="13"/>
      <c r="AI384" s="15"/>
      <c r="AJ384" s="13"/>
      <c r="AK384" s="15"/>
      <c r="AL384" s="13"/>
      <c r="AM384" s="15"/>
    </row>
    <row r="385" spans="1:39" ht="210" x14ac:dyDescent="0.25">
      <c r="A385" s="13" t="s">
        <v>614</v>
      </c>
      <c r="B385" s="13" t="s">
        <v>153</v>
      </c>
      <c r="C385" s="14">
        <v>43649.746527777781</v>
      </c>
      <c r="D385" s="13" t="s">
        <v>88</v>
      </c>
      <c r="E385" s="15" t="s">
        <v>89</v>
      </c>
      <c r="F385" s="13" t="s">
        <v>90</v>
      </c>
      <c r="G385" s="15" t="s">
        <v>91</v>
      </c>
      <c r="H385" s="13" t="s">
        <v>617</v>
      </c>
      <c r="I385" s="15" t="s">
        <v>618</v>
      </c>
      <c r="J385" s="15" t="s">
        <v>619</v>
      </c>
      <c r="K385" s="15" t="s">
        <v>620</v>
      </c>
      <c r="L385" s="13" t="s">
        <v>623</v>
      </c>
      <c r="M385" s="15" t="s">
        <v>624</v>
      </c>
      <c r="N385" s="13" t="s">
        <v>98</v>
      </c>
      <c r="O385" s="15" t="s">
        <v>170</v>
      </c>
      <c r="P385" s="15" t="s">
        <v>171</v>
      </c>
      <c r="Q385" s="15" t="s">
        <v>208</v>
      </c>
      <c r="R385" s="13" t="s">
        <v>209</v>
      </c>
      <c r="S385" s="13" t="s">
        <v>103</v>
      </c>
      <c r="T385" s="13" t="s">
        <v>205</v>
      </c>
      <c r="U385" s="14">
        <v>43274</v>
      </c>
      <c r="V385" s="14"/>
      <c r="W385" s="15"/>
      <c r="X385" s="13"/>
      <c r="Y385" s="15"/>
      <c r="Z385" s="13"/>
      <c r="AA385" s="15"/>
      <c r="AB385" s="13"/>
      <c r="AC385" s="15"/>
      <c r="AD385" s="13"/>
      <c r="AE385" s="15"/>
      <c r="AF385" s="13"/>
      <c r="AG385" s="15"/>
      <c r="AH385" s="13"/>
      <c r="AI385" s="15"/>
      <c r="AJ385" s="13"/>
      <c r="AK385" s="15"/>
      <c r="AL385" s="13"/>
      <c r="AM385" s="15"/>
    </row>
    <row r="386" spans="1:39" ht="210" x14ac:dyDescent="0.25">
      <c r="A386" s="13" t="s">
        <v>614</v>
      </c>
      <c r="B386" s="13" t="s">
        <v>153</v>
      </c>
      <c r="C386" s="14">
        <v>43649.747916666667</v>
      </c>
      <c r="D386" s="13" t="s">
        <v>88</v>
      </c>
      <c r="E386" s="15" t="s">
        <v>89</v>
      </c>
      <c r="F386" s="13" t="s">
        <v>90</v>
      </c>
      <c r="G386" s="15" t="s">
        <v>91</v>
      </c>
      <c r="H386" s="13" t="s">
        <v>617</v>
      </c>
      <c r="I386" s="15" t="s">
        <v>618</v>
      </c>
      <c r="J386" s="15" t="s">
        <v>619</v>
      </c>
      <c r="K386" s="15" t="s">
        <v>620</v>
      </c>
      <c r="L386" s="13" t="s">
        <v>625</v>
      </c>
      <c r="M386" s="15" t="s">
        <v>626</v>
      </c>
      <c r="N386" s="13" t="s">
        <v>188</v>
      </c>
      <c r="O386" s="15" t="s">
        <v>189</v>
      </c>
      <c r="P386" s="15" t="s">
        <v>190</v>
      </c>
      <c r="Q386" s="15" t="s">
        <v>208</v>
      </c>
      <c r="R386" s="13" t="s">
        <v>209</v>
      </c>
      <c r="S386" s="13" t="s">
        <v>103</v>
      </c>
      <c r="T386" s="13" t="s">
        <v>205</v>
      </c>
      <c r="U386" s="14">
        <v>43274</v>
      </c>
      <c r="V386" s="14"/>
      <c r="W386" s="15"/>
      <c r="X386" s="13"/>
      <c r="Y386" s="15"/>
      <c r="Z386" s="13"/>
      <c r="AA386" s="15"/>
      <c r="AB386" s="13"/>
      <c r="AC386" s="15"/>
      <c r="AD386" s="13"/>
      <c r="AE386" s="15"/>
      <c r="AF386" s="13"/>
      <c r="AG386" s="15"/>
      <c r="AH386" s="13"/>
      <c r="AI386" s="15"/>
      <c r="AJ386" s="13"/>
      <c r="AK386" s="15"/>
      <c r="AL386" s="13"/>
      <c r="AM386" s="15"/>
    </row>
    <row r="387" spans="1:39" ht="165" x14ac:dyDescent="0.25">
      <c r="A387" s="13" t="s">
        <v>627</v>
      </c>
      <c r="B387" s="13" t="s">
        <v>153</v>
      </c>
      <c r="C387" s="14">
        <v>45084.673611111109</v>
      </c>
      <c r="D387" s="13" t="s">
        <v>88</v>
      </c>
      <c r="E387" s="15" t="s">
        <v>89</v>
      </c>
      <c r="F387" s="13" t="s">
        <v>90</v>
      </c>
      <c r="G387" s="15" t="s">
        <v>91</v>
      </c>
      <c r="H387" s="13" t="s">
        <v>628</v>
      </c>
      <c r="I387" s="15" t="s">
        <v>629</v>
      </c>
      <c r="J387" s="15" t="s">
        <v>630</v>
      </c>
      <c r="K387" s="15" t="s">
        <v>631</v>
      </c>
      <c r="L387" s="13" t="s">
        <v>632</v>
      </c>
      <c r="M387" s="15" t="s">
        <v>633</v>
      </c>
      <c r="N387" s="13" t="s">
        <v>98</v>
      </c>
      <c r="O387" s="15" t="s">
        <v>99</v>
      </c>
      <c r="P387" s="15" t="s">
        <v>100</v>
      </c>
      <c r="Q387" s="15" t="s">
        <v>101</v>
      </c>
      <c r="R387" s="13" t="s">
        <v>102</v>
      </c>
      <c r="S387" s="13" t="s">
        <v>103</v>
      </c>
      <c r="T387" s="13" t="s">
        <v>104</v>
      </c>
      <c r="U387" s="14">
        <v>43831</v>
      </c>
      <c r="V387" s="14"/>
      <c r="W387" s="15" t="s">
        <v>700</v>
      </c>
      <c r="X387" s="13" t="s">
        <v>701</v>
      </c>
      <c r="Y387" s="15" t="str">
        <f>VLOOKUP(X387,'Axe 2 Règles de gestion'!$D$2:$F$121,3, FALSE)</f>
        <v>Rémunération : L'agent perçoit une rémunération statutaire et bénéficie du régime indemnitaire de son emploi d'accueil.</v>
      </c>
      <c r="Z387" s="13" t="s">
        <v>703</v>
      </c>
      <c r="AA387" s="15" t="str">
        <f>VLOOKUP(Z387,'Axe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387" s="13" t="s">
        <v>705</v>
      </c>
      <c r="AC387" s="15" t="str">
        <f>VLOOKUP(AB387,'Axe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387" s="13" t="s">
        <v>707</v>
      </c>
      <c r="AE387" s="15" t="str">
        <f>VLOOKUP(AD387,'Axe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387" s="13" t="s">
        <v>709</v>
      </c>
      <c r="AG387" s="15" t="str">
        <f>VLOOKUP(AF387,'Axe 2 Règles de gestion'!$D$2:$F$121,3, FALSE)</f>
        <v>Congés annuels : L'agent cumule des droits à congé.</v>
      </c>
      <c r="AH387" s="13" t="s">
        <v>711</v>
      </c>
      <c r="AI387" s="15" t="str">
        <f>VLOOKUP(AH387,'Axe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387" s="13" t="s">
        <v>713</v>
      </c>
      <c r="AK387" s="15" t="str">
        <f>VLOOKUP(AJ387,'Axe 2 Règles de gestion'!$D$2:$F$121,3, FALSE)</f>
        <v>Acte : Un acte administratif doit être produit.</v>
      </c>
      <c r="AL387" s="13"/>
      <c r="AM387" s="15"/>
    </row>
    <row r="388" spans="1:39" ht="120" x14ac:dyDescent="0.25">
      <c r="A388" s="13" t="s">
        <v>627</v>
      </c>
      <c r="B388" s="13" t="s">
        <v>153</v>
      </c>
      <c r="C388" s="14">
        <v>45084.45208333333</v>
      </c>
      <c r="D388" s="13" t="s">
        <v>88</v>
      </c>
      <c r="E388" s="15" t="s">
        <v>89</v>
      </c>
      <c r="F388" s="13" t="s">
        <v>90</v>
      </c>
      <c r="G388" s="15" t="s">
        <v>91</v>
      </c>
      <c r="H388" s="13" t="s">
        <v>628</v>
      </c>
      <c r="I388" s="15" t="s">
        <v>629</v>
      </c>
      <c r="J388" s="15" t="s">
        <v>630</v>
      </c>
      <c r="K388" s="15" t="s">
        <v>631</v>
      </c>
      <c r="L388" s="13" t="s">
        <v>655</v>
      </c>
      <c r="M388" s="15" t="s">
        <v>656</v>
      </c>
      <c r="N388" s="13" t="s">
        <v>98</v>
      </c>
      <c r="O388" s="15" t="s">
        <v>170</v>
      </c>
      <c r="P388" s="15" t="s">
        <v>171</v>
      </c>
      <c r="Q388" s="15" t="s">
        <v>101</v>
      </c>
      <c r="R388" s="13" t="s">
        <v>102</v>
      </c>
      <c r="S388" s="13" t="s">
        <v>103</v>
      </c>
      <c r="T388" s="13" t="s">
        <v>104</v>
      </c>
      <c r="U388" s="14">
        <v>43831</v>
      </c>
      <c r="V388" s="14"/>
      <c r="W388" s="15"/>
      <c r="X388" s="13"/>
      <c r="Y388" s="15"/>
      <c r="Z388" s="13"/>
      <c r="AA388" s="15"/>
      <c r="AB388" s="13"/>
      <c r="AC388" s="15"/>
      <c r="AD388" s="13"/>
      <c r="AE388" s="15"/>
      <c r="AF388" s="13"/>
      <c r="AG388" s="15"/>
      <c r="AH388" s="13"/>
      <c r="AI388" s="15"/>
      <c r="AJ388" s="13"/>
      <c r="AK388" s="15"/>
      <c r="AL388" s="13"/>
      <c r="AM388" s="15"/>
    </row>
    <row r="389" spans="1:39" ht="105" x14ac:dyDescent="0.25">
      <c r="A389" s="13" t="s">
        <v>627</v>
      </c>
      <c r="B389" s="13" t="s">
        <v>153</v>
      </c>
      <c r="C389" s="14">
        <v>45084.458333333336</v>
      </c>
      <c r="D389" s="13" t="s">
        <v>88</v>
      </c>
      <c r="E389" s="15" t="s">
        <v>89</v>
      </c>
      <c r="F389" s="13" t="s">
        <v>90</v>
      </c>
      <c r="G389" s="15" t="s">
        <v>91</v>
      </c>
      <c r="H389" s="13" t="s">
        <v>628</v>
      </c>
      <c r="I389" s="15" t="s">
        <v>629</v>
      </c>
      <c r="J389" s="15" t="s">
        <v>630</v>
      </c>
      <c r="K389" s="15" t="s">
        <v>631</v>
      </c>
      <c r="L389" s="13" t="s">
        <v>658</v>
      </c>
      <c r="M389" s="15" t="s">
        <v>659</v>
      </c>
      <c r="N389" s="13" t="s">
        <v>188</v>
      </c>
      <c r="O389" s="15" t="s">
        <v>189</v>
      </c>
      <c r="P389" s="15" t="s">
        <v>190</v>
      </c>
      <c r="Q389" s="15" t="s">
        <v>101</v>
      </c>
      <c r="R389" s="13" t="s">
        <v>102</v>
      </c>
      <c r="S389" s="13" t="s">
        <v>103</v>
      </c>
      <c r="T389" s="13" t="s">
        <v>104</v>
      </c>
      <c r="U389" s="14">
        <v>43831</v>
      </c>
      <c r="V389" s="14"/>
      <c r="W389" s="15"/>
      <c r="X389" s="13"/>
      <c r="Y389" s="15"/>
      <c r="Z389" s="13"/>
      <c r="AA389" s="15"/>
      <c r="AB389" s="13"/>
      <c r="AC389" s="15"/>
      <c r="AD389" s="13"/>
      <c r="AE389" s="15"/>
      <c r="AF389" s="13"/>
      <c r="AG389" s="15"/>
      <c r="AH389" s="13"/>
      <c r="AI389" s="15"/>
      <c r="AJ389" s="13"/>
      <c r="AK389" s="15"/>
      <c r="AL389" s="13"/>
      <c r="AM389" s="15"/>
    </row>
    <row r="390" spans="1:39" ht="120" x14ac:dyDescent="0.25">
      <c r="A390" s="13" t="s">
        <v>627</v>
      </c>
      <c r="B390" s="13" t="s">
        <v>153</v>
      </c>
      <c r="C390" s="14">
        <v>45084.449305555558</v>
      </c>
      <c r="D390" s="13" t="s">
        <v>88</v>
      </c>
      <c r="E390" s="15" t="s">
        <v>89</v>
      </c>
      <c r="F390" s="13" t="s">
        <v>90</v>
      </c>
      <c r="G390" s="15" t="s">
        <v>91</v>
      </c>
      <c r="H390" s="13" t="s">
        <v>628</v>
      </c>
      <c r="I390" s="15" t="s">
        <v>629</v>
      </c>
      <c r="J390" s="15" t="s">
        <v>630</v>
      </c>
      <c r="K390" s="15" t="s">
        <v>631</v>
      </c>
      <c r="L390" s="13" t="s">
        <v>632</v>
      </c>
      <c r="M390" s="15" t="s">
        <v>633</v>
      </c>
      <c r="N390" s="13" t="s">
        <v>98</v>
      </c>
      <c r="O390" s="15" t="s">
        <v>99</v>
      </c>
      <c r="P390" s="15" t="s">
        <v>100</v>
      </c>
      <c r="Q390" s="15" t="s">
        <v>615</v>
      </c>
      <c r="R390" s="13" t="s">
        <v>616</v>
      </c>
      <c r="S390" s="13" t="s">
        <v>103</v>
      </c>
      <c r="T390" s="13" t="s">
        <v>205</v>
      </c>
      <c r="U390" s="14">
        <v>43831</v>
      </c>
      <c r="V390" s="14"/>
      <c r="W390" s="15"/>
      <c r="X390" s="13"/>
      <c r="Y390" s="15"/>
      <c r="Z390" s="13"/>
      <c r="AA390" s="15"/>
      <c r="AB390" s="13"/>
      <c r="AC390" s="15"/>
      <c r="AD390" s="13"/>
      <c r="AE390" s="15"/>
      <c r="AF390" s="13"/>
      <c r="AG390" s="15"/>
      <c r="AH390" s="13"/>
      <c r="AI390" s="15"/>
      <c r="AJ390" s="13"/>
      <c r="AK390" s="15"/>
      <c r="AL390" s="13"/>
      <c r="AM390" s="15"/>
    </row>
    <row r="391" spans="1:39" ht="120" x14ac:dyDescent="0.25">
      <c r="A391" s="13" t="s">
        <v>627</v>
      </c>
      <c r="B391" s="13" t="s">
        <v>153</v>
      </c>
      <c r="C391" s="14">
        <v>45084.456250000003</v>
      </c>
      <c r="D391" s="13" t="s">
        <v>88</v>
      </c>
      <c r="E391" s="15" t="s">
        <v>89</v>
      </c>
      <c r="F391" s="13" t="s">
        <v>90</v>
      </c>
      <c r="G391" s="15" t="s">
        <v>91</v>
      </c>
      <c r="H391" s="13" t="s">
        <v>628</v>
      </c>
      <c r="I391" s="15" t="s">
        <v>629</v>
      </c>
      <c r="J391" s="15" t="s">
        <v>630</v>
      </c>
      <c r="K391" s="15" t="s">
        <v>631</v>
      </c>
      <c r="L391" s="13" t="s">
        <v>655</v>
      </c>
      <c r="M391" s="15" t="s">
        <v>656</v>
      </c>
      <c r="N391" s="13" t="s">
        <v>98</v>
      </c>
      <c r="O391" s="15" t="s">
        <v>170</v>
      </c>
      <c r="P391" s="15" t="s">
        <v>171</v>
      </c>
      <c r="Q391" s="15" t="s">
        <v>615</v>
      </c>
      <c r="R391" s="13" t="s">
        <v>616</v>
      </c>
      <c r="S391" s="13" t="s">
        <v>103</v>
      </c>
      <c r="T391" s="13" t="s">
        <v>205</v>
      </c>
      <c r="U391" s="14">
        <v>43831</v>
      </c>
      <c r="V391" s="14"/>
      <c r="W391" s="15"/>
      <c r="X391" s="13"/>
      <c r="Y391" s="15"/>
      <c r="Z391" s="13"/>
      <c r="AA391" s="15"/>
      <c r="AB391" s="13"/>
      <c r="AC391" s="15"/>
      <c r="AD391" s="13"/>
      <c r="AE391" s="15"/>
      <c r="AF391" s="13"/>
      <c r="AG391" s="15"/>
      <c r="AH391" s="13"/>
      <c r="AI391" s="15"/>
      <c r="AJ391" s="13"/>
      <c r="AK391" s="15"/>
      <c r="AL391" s="13"/>
      <c r="AM391" s="15"/>
    </row>
    <row r="392" spans="1:39" ht="105" x14ac:dyDescent="0.25">
      <c r="A392" s="13" t="s">
        <v>627</v>
      </c>
      <c r="B392" s="13" t="s">
        <v>153</v>
      </c>
      <c r="C392" s="14">
        <v>45084.46597222222</v>
      </c>
      <c r="D392" s="13" t="s">
        <v>88</v>
      </c>
      <c r="E392" s="15" t="s">
        <v>89</v>
      </c>
      <c r="F392" s="13" t="s">
        <v>90</v>
      </c>
      <c r="G392" s="15" t="s">
        <v>91</v>
      </c>
      <c r="H392" s="13" t="s">
        <v>628</v>
      </c>
      <c r="I392" s="15" t="s">
        <v>629</v>
      </c>
      <c r="J392" s="15" t="s">
        <v>630</v>
      </c>
      <c r="K392" s="15" t="s">
        <v>631</v>
      </c>
      <c r="L392" s="13" t="s">
        <v>658</v>
      </c>
      <c r="M392" s="15" t="s">
        <v>659</v>
      </c>
      <c r="N392" s="13" t="s">
        <v>188</v>
      </c>
      <c r="O392" s="15" t="s">
        <v>189</v>
      </c>
      <c r="P392" s="15" t="s">
        <v>190</v>
      </c>
      <c r="Q392" s="15" t="s">
        <v>615</v>
      </c>
      <c r="R392" s="13" t="s">
        <v>616</v>
      </c>
      <c r="S392" s="13" t="s">
        <v>103</v>
      </c>
      <c r="T392" s="13" t="s">
        <v>205</v>
      </c>
      <c r="U392" s="14">
        <v>43831</v>
      </c>
      <c r="V392" s="14"/>
      <c r="W392" s="15"/>
      <c r="X392" s="13"/>
      <c r="Y392" s="15"/>
      <c r="Z392" s="13"/>
      <c r="AA392" s="15"/>
      <c r="AB392" s="13"/>
      <c r="AC392" s="15"/>
      <c r="AD392" s="13"/>
      <c r="AE392" s="15"/>
      <c r="AF392" s="13"/>
      <c r="AG392" s="15"/>
      <c r="AH392" s="13"/>
      <c r="AI392" s="15"/>
      <c r="AJ392" s="13"/>
      <c r="AK392" s="15"/>
      <c r="AL392" s="13"/>
      <c r="AM392" s="15"/>
    </row>
    <row r="393" spans="1:39" ht="120" x14ac:dyDescent="0.25">
      <c r="A393" s="13" t="s">
        <v>627</v>
      </c>
      <c r="B393" s="13" t="s">
        <v>153</v>
      </c>
      <c r="C393" s="14">
        <v>45084.447916666664</v>
      </c>
      <c r="D393" s="13" t="s">
        <v>88</v>
      </c>
      <c r="E393" s="15" t="s">
        <v>89</v>
      </c>
      <c r="F393" s="13" t="s">
        <v>90</v>
      </c>
      <c r="G393" s="15" t="s">
        <v>91</v>
      </c>
      <c r="H393" s="13" t="s">
        <v>628</v>
      </c>
      <c r="I393" s="15" t="s">
        <v>629</v>
      </c>
      <c r="J393" s="15" t="s">
        <v>630</v>
      </c>
      <c r="K393" s="15" t="s">
        <v>631</v>
      </c>
      <c r="L393" s="13" t="s">
        <v>632</v>
      </c>
      <c r="M393" s="15" t="s">
        <v>633</v>
      </c>
      <c r="N393" s="13" t="s">
        <v>98</v>
      </c>
      <c r="O393" s="15" t="s">
        <v>99</v>
      </c>
      <c r="P393" s="15" t="s">
        <v>100</v>
      </c>
      <c r="Q393" s="15" t="s">
        <v>203</v>
      </c>
      <c r="R393" s="13" t="s">
        <v>204</v>
      </c>
      <c r="S393" s="13" t="s">
        <v>103</v>
      </c>
      <c r="T393" s="13" t="s">
        <v>205</v>
      </c>
      <c r="U393" s="14">
        <v>43831</v>
      </c>
      <c r="V393" s="14"/>
      <c r="W393" s="15"/>
      <c r="X393" s="13"/>
      <c r="Y393" s="15"/>
      <c r="Z393" s="13"/>
      <c r="AA393" s="15"/>
      <c r="AB393" s="13"/>
      <c r="AC393" s="15"/>
      <c r="AD393" s="13"/>
      <c r="AE393" s="15"/>
      <c r="AF393" s="13"/>
      <c r="AG393" s="15"/>
      <c r="AH393" s="13"/>
      <c r="AI393" s="15"/>
      <c r="AJ393" s="13"/>
      <c r="AK393" s="15"/>
      <c r="AL393" s="13"/>
      <c r="AM393" s="15"/>
    </row>
    <row r="394" spans="1:39" ht="120" x14ac:dyDescent="0.25">
      <c r="A394" s="13" t="s">
        <v>627</v>
      </c>
      <c r="B394" s="13" t="s">
        <v>153</v>
      </c>
      <c r="C394" s="14">
        <v>45084.453472222223</v>
      </c>
      <c r="D394" s="13" t="s">
        <v>88</v>
      </c>
      <c r="E394" s="15" t="s">
        <v>89</v>
      </c>
      <c r="F394" s="13" t="s">
        <v>90</v>
      </c>
      <c r="G394" s="15" t="s">
        <v>91</v>
      </c>
      <c r="H394" s="13" t="s">
        <v>628</v>
      </c>
      <c r="I394" s="15" t="s">
        <v>629</v>
      </c>
      <c r="J394" s="15" t="s">
        <v>630</v>
      </c>
      <c r="K394" s="15" t="s">
        <v>631</v>
      </c>
      <c r="L394" s="13" t="s">
        <v>655</v>
      </c>
      <c r="M394" s="15" t="s">
        <v>656</v>
      </c>
      <c r="N394" s="13" t="s">
        <v>98</v>
      </c>
      <c r="O394" s="15" t="s">
        <v>170</v>
      </c>
      <c r="P394" s="15" t="s">
        <v>171</v>
      </c>
      <c r="Q394" s="15" t="s">
        <v>203</v>
      </c>
      <c r="R394" s="13" t="s">
        <v>204</v>
      </c>
      <c r="S394" s="13" t="s">
        <v>103</v>
      </c>
      <c r="T394" s="13" t="s">
        <v>205</v>
      </c>
      <c r="U394" s="14">
        <v>43831</v>
      </c>
      <c r="V394" s="14"/>
      <c r="W394" s="15"/>
      <c r="X394" s="13"/>
      <c r="Y394" s="15"/>
      <c r="Z394" s="13"/>
      <c r="AA394" s="15"/>
      <c r="AB394" s="13"/>
      <c r="AC394" s="15"/>
      <c r="AD394" s="13"/>
      <c r="AE394" s="15"/>
      <c r="AF394" s="13"/>
      <c r="AG394" s="15"/>
      <c r="AH394" s="13"/>
      <c r="AI394" s="15"/>
      <c r="AJ394" s="13"/>
      <c r="AK394" s="15"/>
      <c r="AL394" s="13"/>
      <c r="AM394" s="15"/>
    </row>
    <row r="395" spans="1:39" ht="105" x14ac:dyDescent="0.25">
      <c r="A395" s="13" t="s">
        <v>627</v>
      </c>
      <c r="B395" s="13" t="s">
        <v>153</v>
      </c>
      <c r="C395" s="14">
        <v>45084.463888888888</v>
      </c>
      <c r="D395" s="13" t="s">
        <v>88</v>
      </c>
      <c r="E395" s="15" t="s">
        <v>89</v>
      </c>
      <c r="F395" s="13" t="s">
        <v>90</v>
      </c>
      <c r="G395" s="15" t="s">
        <v>91</v>
      </c>
      <c r="H395" s="13" t="s">
        <v>628</v>
      </c>
      <c r="I395" s="15" t="s">
        <v>629</v>
      </c>
      <c r="J395" s="15" t="s">
        <v>630</v>
      </c>
      <c r="K395" s="15" t="s">
        <v>631</v>
      </c>
      <c r="L395" s="13" t="s">
        <v>658</v>
      </c>
      <c r="M395" s="15" t="s">
        <v>659</v>
      </c>
      <c r="N395" s="13" t="s">
        <v>188</v>
      </c>
      <c r="O395" s="15" t="s">
        <v>189</v>
      </c>
      <c r="P395" s="15" t="s">
        <v>190</v>
      </c>
      <c r="Q395" s="15" t="s">
        <v>203</v>
      </c>
      <c r="R395" s="13" t="s">
        <v>204</v>
      </c>
      <c r="S395" s="13" t="s">
        <v>103</v>
      </c>
      <c r="T395" s="13" t="s">
        <v>205</v>
      </c>
      <c r="U395" s="14">
        <v>43831</v>
      </c>
      <c r="V395" s="14"/>
      <c r="W395" s="15"/>
      <c r="X395" s="13"/>
      <c r="Y395" s="15"/>
      <c r="Z395" s="13"/>
      <c r="AA395" s="15"/>
      <c r="AB395" s="13"/>
      <c r="AC395" s="15"/>
      <c r="AD395" s="13"/>
      <c r="AE395" s="15"/>
      <c r="AF395" s="13"/>
      <c r="AG395" s="15"/>
      <c r="AH395" s="13"/>
      <c r="AI395" s="15"/>
      <c r="AJ395" s="13"/>
      <c r="AK395" s="15"/>
      <c r="AL395" s="13"/>
      <c r="AM395" s="15"/>
    </row>
    <row r="396" spans="1:39" ht="120" x14ac:dyDescent="0.25">
      <c r="A396" s="13" t="s">
        <v>627</v>
      </c>
      <c r="B396" s="13" t="s">
        <v>153</v>
      </c>
      <c r="C396" s="14">
        <v>45084.447916666664</v>
      </c>
      <c r="D396" s="13" t="s">
        <v>88</v>
      </c>
      <c r="E396" s="15" t="s">
        <v>89</v>
      </c>
      <c r="F396" s="13" t="s">
        <v>90</v>
      </c>
      <c r="G396" s="15" t="s">
        <v>91</v>
      </c>
      <c r="H396" s="13" t="s">
        <v>628</v>
      </c>
      <c r="I396" s="15" t="s">
        <v>629</v>
      </c>
      <c r="J396" s="15" t="s">
        <v>630</v>
      </c>
      <c r="K396" s="15" t="s">
        <v>631</v>
      </c>
      <c r="L396" s="13" t="s">
        <v>632</v>
      </c>
      <c r="M396" s="15" t="s">
        <v>633</v>
      </c>
      <c r="N396" s="13" t="s">
        <v>98</v>
      </c>
      <c r="O396" s="15" t="s">
        <v>99</v>
      </c>
      <c r="P396" s="15" t="s">
        <v>100</v>
      </c>
      <c r="Q396" s="15" t="s">
        <v>206</v>
      </c>
      <c r="R396" s="13" t="s">
        <v>207</v>
      </c>
      <c r="S396" s="13" t="s">
        <v>103</v>
      </c>
      <c r="T396" s="13" t="s">
        <v>205</v>
      </c>
      <c r="U396" s="14">
        <v>43831</v>
      </c>
      <c r="V396" s="14"/>
      <c r="W396" s="15"/>
      <c r="X396" s="13"/>
      <c r="Y396" s="15"/>
      <c r="Z396" s="13"/>
      <c r="AA396" s="15"/>
      <c r="AB396" s="13"/>
      <c r="AC396" s="15"/>
      <c r="AD396" s="13"/>
      <c r="AE396" s="15"/>
      <c r="AF396" s="13"/>
      <c r="AG396" s="15"/>
      <c r="AH396" s="13"/>
      <c r="AI396" s="15"/>
      <c r="AJ396" s="13"/>
      <c r="AK396" s="15"/>
      <c r="AL396" s="13"/>
      <c r="AM396" s="15"/>
    </row>
    <row r="397" spans="1:39" ht="120" x14ac:dyDescent="0.25">
      <c r="A397" s="13" t="s">
        <v>627</v>
      </c>
      <c r="B397" s="13" t="s">
        <v>153</v>
      </c>
      <c r="C397" s="14">
        <v>45084.452777777777</v>
      </c>
      <c r="D397" s="13" t="s">
        <v>88</v>
      </c>
      <c r="E397" s="15" t="s">
        <v>89</v>
      </c>
      <c r="F397" s="13" t="s">
        <v>90</v>
      </c>
      <c r="G397" s="15" t="s">
        <v>91</v>
      </c>
      <c r="H397" s="13" t="s">
        <v>628</v>
      </c>
      <c r="I397" s="15" t="s">
        <v>629</v>
      </c>
      <c r="J397" s="15" t="s">
        <v>630</v>
      </c>
      <c r="K397" s="15" t="s">
        <v>631</v>
      </c>
      <c r="L397" s="13" t="s">
        <v>655</v>
      </c>
      <c r="M397" s="15" t="s">
        <v>656</v>
      </c>
      <c r="N397" s="13" t="s">
        <v>98</v>
      </c>
      <c r="O397" s="15" t="s">
        <v>170</v>
      </c>
      <c r="P397" s="15" t="s">
        <v>171</v>
      </c>
      <c r="Q397" s="15" t="s">
        <v>206</v>
      </c>
      <c r="R397" s="13" t="s">
        <v>207</v>
      </c>
      <c r="S397" s="13" t="s">
        <v>103</v>
      </c>
      <c r="T397" s="13" t="s">
        <v>205</v>
      </c>
      <c r="U397" s="14">
        <v>43831</v>
      </c>
      <c r="V397" s="14"/>
      <c r="W397" s="15"/>
      <c r="X397" s="13"/>
      <c r="Y397" s="15"/>
      <c r="Z397" s="13"/>
      <c r="AA397" s="15"/>
      <c r="AB397" s="13"/>
      <c r="AC397" s="15"/>
      <c r="AD397" s="13"/>
      <c r="AE397" s="15"/>
      <c r="AF397" s="13"/>
      <c r="AG397" s="15"/>
      <c r="AH397" s="13"/>
      <c r="AI397" s="15"/>
      <c r="AJ397" s="13"/>
      <c r="AK397" s="15"/>
      <c r="AL397" s="13"/>
      <c r="AM397" s="15"/>
    </row>
    <row r="398" spans="1:39" ht="105" x14ac:dyDescent="0.25">
      <c r="A398" s="13" t="s">
        <v>627</v>
      </c>
      <c r="B398" s="13" t="s">
        <v>153</v>
      </c>
      <c r="C398" s="14">
        <v>45084.459027777775</v>
      </c>
      <c r="D398" s="13" t="s">
        <v>88</v>
      </c>
      <c r="E398" s="15" t="s">
        <v>89</v>
      </c>
      <c r="F398" s="13" t="s">
        <v>90</v>
      </c>
      <c r="G398" s="15" t="s">
        <v>91</v>
      </c>
      <c r="H398" s="13" t="s">
        <v>628</v>
      </c>
      <c r="I398" s="15" t="s">
        <v>629</v>
      </c>
      <c r="J398" s="15" t="s">
        <v>630</v>
      </c>
      <c r="K398" s="15" t="s">
        <v>631</v>
      </c>
      <c r="L398" s="13" t="s">
        <v>658</v>
      </c>
      <c r="M398" s="15" t="s">
        <v>659</v>
      </c>
      <c r="N398" s="13" t="s">
        <v>188</v>
      </c>
      <c r="O398" s="15" t="s">
        <v>189</v>
      </c>
      <c r="P398" s="15" t="s">
        <v>190</v>
      </c>
      <c r="Q398" s="15" t="s">
        <v>206</v>
      </c>
      <c r="R398" s="13" t="s">
        <v>207</v>
      </c>
      <c r="S398" s="13" t="s">
        <v>103</v>
      </c>
      <c r="T398" s="13" t="s">
        <v>205</v>
      </c>
      <c r="U398" s="14">
        <v>43831</v>
      </c>
      <c r="V398" s="14"/>
      <c r="W398" s="15"/>
      <c r="X398" s="13"/>
      <c r="Y398" s="15"/>
      <c r="Z398" s="13"/>
      <c r="AA398" s="15"/>
      <c r="AB398" s="13"/>
      <c r="AC398" s="15"/>
      <c r="AD398" s="13"/>
      <c r="AE398" s="15"/>
      <c r="AF398" s="13"/>
      <c r="AG398" s="15"/>
      <c r="AH398" s="13"/>
      <c r="AI398" s="15"/>
      <c r="AJ398" s="13"/>
      <c r="AK398" s="15"/>
      <c r="AL398" s="13"/>
      <c r="AM398" s="15"/>
    </row>
    <row r="399" spans="1:39" ht="120" x14ac:dyDescent="0.25">
      <c r="A399" s="13" t="s">
        <v>627</v>
      </c>
      <c r="B399" s="13" t="s">
        <v>153</v>
      </c>
      <c r="C399" s="14">
        <v>45084.448611111111</v>
      </c>
      <c r="D399" s="13" t="s">
        <v>88</v>
      </c>
      <c r="E399" s="15" t="s">
        <v>89</v>
      </c>
      <c r="F399" s="13" t="s">
        <v>90</v>
      </c>
      <c r="G399" s="15" t="s">
        <v>91</v>
      </c>
      <c r="H399" s="13" t="s">
        <v>628</v>
      </c>
      <c r="I399" s="15" t="s">
        <v>629</v>
      </c>
      <c r="J399" s="15" t="s">
        <v>630</v>
      </c>
      <c r="K399" s="15" t="s">
        <v>631</v>
      </c>
      <c r="L399" s="13" t="s">
        <v>632</v>
      </c>
      <c r="M399" s="15" t="s">
        <v>633</v>
      </c>
      <c r="N399" s="13" t="s">
        <v>98</v>
      </c>
      <c r="O399" s="15" t="s">
        <v>99</v>
      </c>
      <c r="P399" s="15" t="s">
        <v>100</v>
      </c>
      <c r="Q399" s="15" t="s">
        <v>208</v>
      </c>
      <c r="R399" s="13" t="s">
        <v>209</v>
      </c>
      <c r="S399" s="13" t="s">
        <v>103</v>
      </c>
      <c r="T399" s="13" t="s">
        <v>205</v>
      </c>
      <c r="U399" s="14">
        <v>43831</v>
      </c>
      <c r="V399" s="14"/>
      <c r="W399" s="15"/>
      <c r="X399" s="13"/>
      <c r="Y399" s="15"/>
      <c r="Z399" s="13"/>
      <c r="AA399" s="15"/>
      <c r="AB399" s="13"/>
      <c r="AC399" s="15"/>
      <c r="AD399" s="13"/>
      <c r="AE399" s="15"/>
      <c r="AF399" s="13"/>
      <c r="AG399" s="15"/>
      <c r="AH399" s="13"/>
      <c r="AI399" s="15"/>
      <c r="AJ399" s="13"/>
      <c r="AK399" s="15"/>
      <c r="AL399" s="13"/>
      <c r="AM399" s="15"/>
    </row>
    <row r="400" spans="1:39" ht="120" x14ac:dyDescent="0.25">
      <c r="A400" s="13" t="s">
        <v>627</v>
      </c>
      <c r="B400" s="13" t="s">
        <v>153</v>
      </c>
      <c r="C400" s="14">
        <v>45084.455555555556</v>
      </c>
      <c r="D400" s="13" t="s">
        <v>88</v>
      </c>
      <c r="E400" s="15" t="s">
        <v>89</v>
      </c>
      <c r="F400" s="13" t="s">
        <v>90</v>
      </c>
      <c r="G400" s="15" t="s">
        <v>91</v>
      </c>
      <c r="H400" s="13" t="s">
        <v>628</v>
      </c>
      <c r="I400" s="15" t="s">
        <v>629</v>
      </c>
      <c r="J400" s="15" t="s">
        <v>630</v>
      </c>
      <c r="K400" s="15" t="s">
        <v>631</v>
      </c>
      <c r="L400" s="13" t="s">
        <v>655</v>
      </c>
      <c r="M400" s="15" t="s">
        <v>656</v>
      </c>
      <c r="N400" s="13" t="s">
        <v>98</v>
      </c>
      <c r="O400" s="15" t="s">
        <v>170</v>
      </c>
      <c r="P400" s="15" t="s">
        <v>171</v>
      </c>
      <c r="Q400" s="15" t="s">
        <v>208</v>
      </c>
      <c r="R400" s="13" t="s">
        <v>209</v>
      </c>
      <c r="S400" s="13" t="s">
        <v>103</v>
      </c>
      <c r="T400" s="13" t="s">
        <v>205</v>
      </c>
      <c r="U400" s="14">
        <v>43831</v>
      </c>
      <c r="V400" s="14"/>
      <c r="W400" s="15"/>
      <c r="X400" s="13"/>
      <c r="Y400" s="15"/>
      <c r="Z400" s="13"/>
      <c r="AA400" s="15"/>
      <c r="AB400" s="13"/>
      <c r="AC400" s="15"/>
      <c r="AD400" s="13"/>
      <c r="AE400" s="15"/>
      <c r="AF400" s="13"/>
      <c r="AG400" s="15"/>
      <c r="AH400" s="13"/>
      <c r="AI400" s="15"/>
      <c r="AJ400" s="13"/>
      <c r="AK400" s="15"/>
      <c r="AL400" s="13"/>
      <c r="AM400" s="15"/>
    </row>
    <row r="401" spans="1:39" ht="105" x14ac:dyDescent="0.25">
      <c r="A401" s="13" t="s">
        <v>627</v>
      </c>
      <c r="B401" s="13" t="s">
        <v>153</v>
      </c>
      <c r="C401" s="14">
        <v>45084.465277777781</v>
      </c>
      <c r="D401" s="13" t="s">
        <v>88</v>
      </c>
      <c r="E401" s="15" t="s">
        <v>89</v>
      </c>
      <c r="F401" s="13" t="s">
        <v>90</v>
      </c>
      <c r="G401" s="15" t="s">
        <v>91</v>
      </c>
      <c r="H401" s="13" t="s">
        <v>628</v>
      </c>
      <c r="I401" s="15" t="s">
        <v>629</v>
      </c>
      <c r="J401" s="15" t="s">
        <v>630</v>
      </c>
      <c r="K401" s="15" t="s">
        <v>631</v>
      </c>
      <c r="L401" s="13" t="s">
        <v>658</v>
      </c>
      <c r="M401" s="15" t="s">
        <v>659</v>
      </c>
      <c r="N401" s="13" t="s">
        <v>188</v>
      </c>
      <c r="O401" s="15" t="s">
        <v>189</v>
      </c>
      <c r="P401" s="15" t="s">
        <v>190</v>
      </c>
      <c r="Q401" s="15" t="s">
        <v>208</v>
      </c>
      <c r="R401" s="13" t="s">
        <v>209</v>
      </c>
      <c r="S401" s="13" t="s">
        <v>103</v>
      </c>
      <c r="T401" s="13" t="s">
        <v>205</v>
      </c>
      <c r="U401" s="14">
        <v>43831</v>
      </c>
      <c r="V401" s="14"/>
      <c r="W401" s="15"/>
      <c r="X401" s="13"/>
      <c r="Y401" s="15"/>
      <c r="Z401" s="13"/>
      <c r="AA401" s="15"/>
      <c r="AB401" s="13"/>
      <c r="AC401" s="15"/>
      <c r="AD401" s="13"/>
      <c r="AE401" s="15"/>
      <c r="AF401" s="13"/>
      <c r="AG401" s="15"/>
      <c r="AH401" s="13"/>
      <c r="AI401" s="15"/>
      <c r="AJ401" s="13"/>
      <c r="AK401" s="15"/>
      <c r="AL401" s="13"/>
      <c r="AM401" s="15"/>
    </row>
    <row r="402" spans="1:39" ht="165" x14ac:dyDescent="0.25">
      <c r="A402" s="13" t="s">
        <v>627</v>
      </c>
      <c r="B402" s="13" t="s">
        <v>153</v>
      </c>
      <c r="C402" s="14">
        <v>45084.675694444442</v>
      </c>
      <c r="D402" s="13" t="s">
        <v>88</v>
      </c>
      <c r="E402" s="15" t="s">
        <v>89</v>
      </c>
      <c r="F402" s="13" t="s">
        <v>90</v>
      </c>
      <c r="G402" s="15" t="s">
        <v>91</v>
      </c>
      <c r="H402" s="13" t="s">
        <v>663</v>
      </c>
      <c r="I402" s="15" t="s">
        <v>664</v>
      </c>
      <c r="J402" s="15" t="s">
        <v>665</v>
      </c>
      <c r="K402" s="15" t="s">
        <v>666</v>
      </c>
      <c r="L402" s="13" t="s">
        <v>667</v>
      </c>
      <c r="M402" s="15" t="s">
        <v>668</v>
      </c>
      <c r="N402" s="13" t="s">
        <v>98</v>
      </c>
      <c r="O402" s="15" t="s">
        <v>99</v>
      </c>
      <c r="P402" s="15" t="s">
        <v>100</v>
      </c>
      <c r="Q402" s="15" t="s">
        <v>101</v>
      </c>
      <c r="R402" s="13" t="s">
        <v>102</v>
      </c>
      <c r="S402" s="13" t="s">
        <v>103</v>
      </c>
      <c r="T402" s="13" t="s">
        <v>104</v>
      </c>
      <c r="U402" s="14">
        <v>43831</v>
      </c>
      <c r="V402" s="14"/>
      <c r="W402" s="15" t="s">
        <v>700</v>
      </c>
      <c r="X402" s="13" t="s">
        <v>701</v>
      </c>
      <c r="Y402" s="15" t="str">
        <f>VLOOKUP(X402,'Axe 2 Règles de gestion'!$D$2:$F$121,3, FALSE)</f>
        <v>Rémunération : L'agent perçoit une rémunération statutaire et bénéficie du régime indemnitaire de son emploi d'accueil.</v>
      </c>
      <c r="Z402" s="13" t="s">
        <v>703</v>
      </c>
      <c r="AA402" s="15" t="str">
        <f>VLOOKUP(Z402,'Axe 2 Règles de gestion'!$D$2:$F$121,3, FALSE)</f>
        <v>Classement : Hors détachement sur emploi fonctionnel, l'agent est classé dans son corps d'accueil à un grade équivalent et à un échelon comportant un indice égal sinon immédiatement supérieur à ceux d'origine. Il peut conserver de l'ancienneté.</v>
      </c>
      <c r="AB402" s="13" t="s">
        <v>705</v>
      </c>
      <c r="AC402" s="15" t="str">
        <f>VLOOKUP(AB402,'Axe 2 Règles de gestion'!$D$2:$F$121,3, FALSE)</f>
        <v>Carrière : L'agent bénéficie du droit à avancement de son corps d'accueil. Un comparatif de carrières est réalisé à chaque avancement de grade dans le corps ou cadre d'emplois d'origine et à chaque renouvellement du détachement.</v>
      </c>
      <c r="AD402" s="13" t="s">
        <v>707</v>
      </c>
      <c r="AE402" s="15" t="str">
        <f>VLOOKUP(AD402,'Axe 2 Règles de gestion'!$D$2:$F$121,3, FALSE)</f>
        <v>Evaluation professionnelle : L'agent est évalué par l'administration d'accueil sauf en cas de détachement de courte durée où c'est à l'administration d'origine d'évaluer l'agent au regard du rapport établi par l'administration d'accueil.</v>
      </c>
      <c r="AF402" s="13" t="s">
        <v>709</v>
      </c>
      <c r="AG402" s="15" t="str">
        <f>VLOOKUP(AF402,'Axe 2 Règles de gestion'!$D$2:$F$121,3, FALSE)</f>
        <v>Congés annuels : L'agent cumule des droits à congé.</v>
      </c>
      <c r="AH402" s="13" t="s">
        <v>711</v>
      </c>
      <c r="AI402" s="15" t="str">
        <f>VLOOKUP(AH402,'Axe 2 Règles de gestion'!$D$2:$F$121,3, FALSE)</f>
        <v>Retraite : L'agent cumule de l'ancienneté. Sauf exception prévue expressément par le statut d'emploi d'accueil, la mise à la retraite de l'agent intervient normalement lorsque celui-ci atteint la limite d'âge prévue par le statut de son corps d'origine.</v>
      </c>
      <c r="AJ402" s="13" t="s">
        <v>713</v>
      </c>
      <c r="AK402" s="15" t="str">
        <f>VLOOKUP(AJ402,'Axe 2 Règles de gestion'!$D$2:$F$121,3, FALSE)</f>
        <v>Acte : Un acte administratif doit être produit.</v>
      </c>
      <c r="AL402" s="13"/>
      <c r="AM402" s="15"/>
    </row>
    <row r="403" spans="1:39" ht="120" x14ac:dyDescent="0.25">
      <c r="A403" s="13" t="s">
        <v>627</v>
      </c>
      <c r="B403" s="13" t="s">
        <v>153</v>
      </c>
      <c r="C403" s="14">
        <v>45084.601388888892</v>
      </c>
      <c r="D403" s="13" t="s">
        <v>88</v>
      </c>
      <c r="E403" s="15" t="s">
        <v>89</v>
      </c>
      <c r="F403" s="13" t="s">
        <v>90</v>
      </c>
      <c r="G403" s="15" t="s">
        <v>91</v>
      </c>
      <c r="H403" s="13" t="s">
        <v>663</v>
      </c>
      <c r="I403" s="15" t="s">
        <v>664</v>
      </c>
      <c r="J403" s="15" t="s">
        <v>665</v>
      </c>
      <c r="K403" s="15" t="s">
        <v>666</v>
      </c>
      <c r="L403" s="13" t="s">
        <v>669</v>
      </c>
      <c r="M403" s="15" t="s">
        <v>670</v>
      </c>
      <c r="N403" s="13" t="s">
        <v>98</v>
      </c>
      <c r="O403" s="15" t="s">
        <v>170</v>
      </c>
      <c r="P403" s="15" t="s">
        <v>171</v>
      </c>
      <c r="Q403" s="15" t="s">
        <v>101</v>
      </c>
      <c r="R403" s="13" t="s">
        <v>102</v>
      </c>
      <c r="S403" s="13" t="s">
        <v>103</v>
      </c>
      <c r="T403" s="13" t="s">
        <v>104</v>
      </c>
      <c r="U403" s="14">
        <v>43831</v>
      </c>
      <c r="V403" s="14"/>
      <c r="W403" s="15"/>
      <c r="X403" s="13"/>
      <c r="Y403" s="15"/>
      <c r="Z403" s="13"/>
      <c r="AA403" s="15"/>
      <c r="AB403" s="13"/>
      <c r="AC403" s="15"/>
      <c r="AD403" s="13"/>
      <c r="AE403" s="15"/>
      <c r="AF403" s="13"/>
      <c r="AG403" s="15"/>
      <c r="AH403" s="13"/>
      <c r="AI403" s="15"/>
      <c r="AJ403" s="13"/>
      <c r="AK403" s="15"/>
      <c r="AL403" s="13"/>
      <c r="AM403" s="15"/>
    </row>
    <row r="404" spans="1:39" ht="120" x14ac:dyDescent="0.25">
      <c r="A404" s="13" t="s">
        <v>627</v>
      </c>
      <c r="B404" s="13" t="s">
        <v>153</v>
      </c>
      <c r="C404" s="14">
        <v>45084.603472222225</v>
      </c>
      <c r="D404" s="13" t="s">
        <v>88</v>
      </c>
      <c r="E404" s="15" t="s">
        <v>89</v>
      </c>
      <c r="F404" s="13" t="s">
        <v>90</v>
      </c>
      <c r="G404" s="15" t="s">
        <v>91</v>
      </c>
      <c r="H404" s="13" t="s">
        <v>663</v>
      </c>
      <c r="I404" s="15" t="s">
        <v>664</v>
      </c>
      <c r="J404" s="15" t="s">
        <v>665</v>
      </c>
      <c r="K404" s="15" t="s">
        <v>666</v>
      </c>
      <c r="L404" s="13" t="s">
        <v>671</v>
      </c>
      <c r="M404" s="15" t="s">
        <v>672</v>
      </c>
      <c r="N404" s="13" t="s">
        <v>188</v>
      </c>
      <c r="O404" s="15" t="s">
        <v>189</v>
      </c>
      <c r="P404" s="15" t="s">
        <v>190</v>
      </c>
      <c r="Q404" s="15" t="s">
        <v>101</v>
      </c>
      <c r="R404" s="13" t="s">
        <v>102</v>
      </c>
      <c r="S404" s="13" t="s">
        <v>103</v>
      </c>
      <c r="T404" s="13" t="s">
        <v>104</v>
      </c>
      <c r="U404" s="14">
        <v>43831</v>
      </c>
      <c r="V404" s="14"/>
      <c r="W404" s="15"/>
      <c r="X404" s="13"/>
      <c r="Y404" s="15"/>
      <c r="Z404" s="13"/>
      <c r="AA404" s="15"/>
      <c r="AB404" s="13"/>
      <c r="AC404" s="15"/>
      <c r="AD404" s="13"/>
      <c r="AE404" s="15"/>
      <c r="AF404" s="13"/>
      <c r="AG404" s="15"/>
      <c r="AH404" s="13"/>
      <c r="AI404" s="15"/>
      <c r="AJ404" s="13"/>
      <c r="AK404" s="15"/>
      <c r="AL404" s="13"/>
      <c r="AM404" s="15"/>
    </row>
    <row r="405" spans="1:39" ht="120" x14ac:dyDescent="0.25">
      <c r="A405" s="13" t="s">
        <v>627</v>
      </c>
      <c r="B405" s="13" t="s">
        <v>153</v>
      </c>
      <c r="C405" s="14">
        <v>45084.599305555559</v>
      </c>
      <c r="D405" s="13" t="s">
        <v>88</v>
      </c>
      <c r="E405" s="15" t="s">
        <v>89</v>
      </c>
      <c r="F405" s="13" t="s">
        <v>90</v>
      </c>
      <c r="G405" s="15" t="s">
        <v>91</v>
      </c>
      <c r="H405" s="13" t="s">
        <v>663</v>
      </c>
      <c r="I405" s="15" t="s">
        <v>664</v>
      </c>
      <c r="J405" s="15" t="s">
        <v>665</v>
      </c>
      <c r="K405" s="15" t="s">
        <v>666</v>
      </c>
      <c r="L405" s="13" t="s">
        <v>667</v>
      </c>
      <c r="M405" s="15" t="s">
        <v>668</v>
      </c>
      <c r="N405" s="13" t="s">
        <v>98</v>
      </c>
      <c r="O405" s="15" t="s">
        <v>99</v>
      </c>
      <c r="P405" s="15" t="s">
        <v>100</v>
      </c>
      <c r="Q405" s="15" t="s">
        <v>615</v>
      </c>
      <c r="R405" s="13" t="s">
        <v>616</v>
      </c>
      <c r="S405" s="13" t="s">
        <v>103</v>
      </c>
      <c r="T405" s="13" t="s">
        <v>205</v>
      </c>
      <c r="U405" s="14">
        <v>43831</v>
      </c>
      <c r="V405" s="14"/>
      <c r="W405" s="15"/>
      <c r="X405" s="13"/>
      <c r="Y405" s="15"/>
      <c r="Z405" s="13"/>
      <c r="AA405" s="15"/>
      <c r="AB405" s="13"/>
      <c r="AC405" s="15"/>
      <c r="AD405" s="13"/>
      <c r="AE405" s="15"/>
      <c r="AF405" s="13"/>
      <c r="AG405" s="15"/>
      <c r="AH405" s="13"/>
      <c r="AI405" s="15"/>
      <c r="AJ405" s="13"/>
      <c r="AK405" s="15"/>
      <c r="AL405" s="13"/>
      <c r="AM405" s="15"/>
    </row>
    <row r="406" spans="1:39" ht="120" x14ac:dyDescent="0.25">
      <c r="A406" s="13" t="s">
        <v>627</v>
      </c>
      <c r="B406" s="13" t="s">
        <v>153</v>
      </c>
      <c r="C406" s="14">
        <v>45084.602777777778</v>
      </c>
      <c r="D406" s="13" t="s">
        <v>88</v>
      </c>
      <c r="E406" s="15" t="s">
        <v>89</v>
      </c>
      <c r="F406" s="13" t="s">
        <v>90</v>
      </c>
      <c r="G406" s="15" t="s">
        <v>91</v>
      </c>
      <c r="H406" s="13" t="s">
        <v>663</v>
      </c>
      <c r="I406" s="15" t="s">
        <v>664</v>
      </c>
      <c r="J406" s="15" t="s">
        <v>665</v>
      </c>
      <c r="K406" s="15" t="s">
        <v>666</v>
      </c>
      <c r="L406" s="13" t="s">
        <v>669</v>
      </c>
      <c r="M406" s="15" t="s">
        <v>670</v>
      </c>
      <c r="N406" s="13" t="s">
        <v>98</v>
      </c>
      <c r="O406" s="15" t="s">
        <v>170</v>
      </c>
      <c r="P406" s="15" t="s">
        <v>171</v>
      </c>
      <c r="Q406" s="15" t="s">
        <v>615</v>
      </c>
      <c r="R406" s="13" t="s">
        <v>616</v>
      </c>
      <c r="S406" s="13" t="s">
        <v>103</v>
      </c>
      <c r="T406" s="13" t="s">
        <v>205</v>
      </c>
      <c r="U406" s="14">
        <v>43831</v>
      </c>
      <c r="V406" s="14"/>
      <c r="W406" s="15"/>
      <c r="X406" s="13"/>
      <c r="Y406" s="15"/>
      <c r="Z406" s="13"/>
      <c r="AA406" s="15"/>
      <c r="AB406" s="13"/>
      <c r="AC406" s="15"/>
      <c r="AD406" s="13"/>
      <c r="AE406" s="15"/>
      <c r="AF406" s="13"/>
      <c r="AG406" s="15"/>
      <c r="AH406" s="13"/>
      <c r="AI406" s="15"/>
      <c r="AJ406" s="13"/>
      <c r="AK406" s="15"/>
      <c r="AL406" s="13"/>
      <c r="AM406" s="15"/>
    </row>
    <row r="407" spans="1:39" ht="120" x14ac:dyDescent="0.25">
      <c r="A407" s="13" t="s">
        <v>627</v>
      </c>
      <c r="B407" s="13" t="s">
        <v>153</v>
      </c>
      <c r="C407" s="14">
        <v>45084.604861111111</v>
      </c>
      <c r="D407" s="13" t="s">
        <v>88</v>
      </c>
      <c r="E407" s="15" t="s">
        <v>89</v>
      </c>
      <c r="F407" s="13" t="s">
        <v>90</v>
      </c>
      <c r="G407" s="15" t="s">
        <v>91</v>
      </c>
      <c r="H407" s="13" t="s">
        <v>663</v>
      </c>
      <c r="I407" s="15" t="s">
        <v>664</v>
      </c>
      <c r="J407" s="15" t="s">
        <v>665</v>
      </c>
      <c r="K407" s="15" t="s">
        <v>666</v>
      </c>
      <c r="L407" s="13" t="s">
        <v>671</v>
      </c>
      <c r="M407" s="15" t="s">
        <v>672</v>
      </c>
      <c r="N407" s="13" t="s">
        <v>188</v>
      </c>
      <c r="O407" s="15" t="s">
        <v>189</v>
      </c>
      <c r="P407" s="15" t="s">
        <v>190</v>
      </c>
      <c r="Q407" s="15" t="s">
        <v>615</v>
      </c>
      <c r="R407" s="13" t="s">
        <v>616</v>
      </c>
      <c r="S407" s="13" t="s">
        <v>103</v>
      </c>
      <c r="T407" s="13" t="s">
        <v>205</v>
      </c>
      <c r="U407" s="14">
        <v>43831</v>
      </c>
      <c r="V407" s="14"/>
      <c r="W407" s="15"/>
      <c r="X407" s="13"/>
      <c r="Y407" s="15"/>
      <c r="Z407" s="13"/>
      <c r="AA407" s="15"/>
      <c r="AB407" s="13"/>
      <c r="AC407" s="15"/>
      <c r="AD407" s="13"/>
      <c r="AE407" s="15"/>
      <c r="AF407" s="13"/>
      <c r="AG407" s="15"/>
      <c r="AH407" s="13"/>
      <c r="AI407" s="15"/>
      <c r="AJ407" s="13"/>
      <c r="AK407" s="15"/>
      <c r="AL407" s="13"/>
      <c r="AM407" s="15"/>
    </row>
    <row r="408" spans="1:39" ht="120" x14ac:dyDescent="0.25">
      <c r="A408" s="13" t="s">
        <v>627</v>
      </c>
      <c r="B408" s="13" t="s">
        <v>153</v>
      </c>
      <c r="C408" s="14">
        <v>45084.598611111112</v>
      </c>
      <c r="D408" s="13" t="s">
        <v>88</v>
      </c>
      <c r="E408" s="15" t="s">
        <v>89</v>
      </c>
      <c r="F408" s="13" t="s">
        <v>90</v>
      </c>
      <c r="G408" s="15" t="s">
        <v>91</v>
      </c>
      <c r="H408" s="13" t="s">
        <v>663</v>
      </c>
      <c r="I408" s="15" t="s">
        <v>664</v>
      </c>
      <c r="J408" s="15" t="s">
        <v>665</v>
      </c>
      <c r="K408" s="15" t="s">
        <v>666</v>
      </c>
      <c r="L408" s="13" t="s">
        <v>667</v>
      </c>
      <c r="M408" s="15" t="s">
        <v>668</v>
      </c>
      <c r="N408" s="13" t="s">
        <v>98</v>
      </c>
      <c r="O408" s="15" t="s">
        <v>99</v>
      </c>
      <c r="P408" s="15" t="s">
        <v>100</v>
      </c>
      <c r="Q408" s="15" t="s">
        <v>203</v>
      </c>
      <c r="R408" s="13" t="s">
        <v>204</v>
      </c>
      <c r="S408" s="13" t="s">
        <v>103</v>
      </c>
      <c r="T408" s="13" t="s">
        <v>205</v>
      </c>
      <c r="U408" s="14">
        <v>43831</v>
      </c>
      <c r="V408" s="14"/>
      <c r="W408" s="15"/>
      <c r="X408" s="13"/>
      <c r="Y408" s="15"/>
      <c r="Z408" s="13"/>
      <c r="AA408" s="15"/>
      <c r="AB408" s="13"/>
      <c r="AC408" s="15"/>
      <c r="AD408" s="13"/>
      <c r="AE408" s="15"/>
      <c r="AF408" s="13"/>
      <c r="AG408" s="15"/>
      <c r="AH408" s="13"/>
      <c r="AI408" s="15"/>
      <c r="AJ408" s="13"/>
      <c r="AK408" s="15"/>
      <c r="AL408" s="13"/>
      <c r="AM408" s="15"/>
    </row>
    <row r="409" spans="1:39" ht="120" x14ac:dyDescent="0.25">
      <c r="A409" s="13" t="s">
        <v>627</v>
      </c>
      <c r="B409" s="13" t="s">
        <v>153</v>
      </c>
      <c r="C409" s="14">
        <v>45084.602083333331</v>
      </c>
      <c r="D409" s="13" t="s">
        <v>88</v>
      </c>
      <c r="E409" s="15" t="s">
        <v>89</v>
      </c>
      <c r="F409" s="13" t="s">
        <v>90</v>
      </c>
      <c r="G409" s="15" t="s">
        <v>91</v>
      </c>
      <c r="H409" s="13" t="s">
        <v>663</v>
      </c>
      <c r="I409" s="15" t="s">
        <v>664</v>
      </c>
      <c r="J409" s="15" t="s">
        <v>665</v>
      </c>
      <c r="K409" s="15" t="s">
        <v>666</v>
      </c>
      <c r="L409" s="13" t="s">
        <v>669</v>
      </c>
      <c r="M409" s="15" t="s">
        <v>670</v>
      </c>
      <c r="N409" s="13" t="s">
        <v>98</v>
      </c>
      <c r="O409" s="15" t="s">
        <v>170</v>
      </c>
      <c r="P409" s="15" t="s">
        <v>171</v>
      </c>
      <c r="Q409" s="15" t="s">
        <v>203</v>
      </c>
      <c r="R409" s="13" t="s">
        <v>204</v>
      </c>
      <c r="S409" s="13" t="s">
        <v>103</v>
      </c>
      <c r="T409" s="13" t="s">
        <v>205</v>
      </c>
      <c r="U409" s="14">
        <v>43831</v>
      </c>
      <c r="V409" s="14"/>
      <c r="W409" s="15"/>
      <c r="X409" s="13"/>
      <c r="Y409" s="15"/>
      <c r="Z409" s="13"/>
      <c r="AA409" s="15"/>
      <c r="AB409" s="13"/>
      <c r="AC409" s="15"/>
      <c r="AD409" s="13"/>
      <c r="AE409" s="15"/>
      <c r="AF409" s="13"/>
      <c r="AG409" s="15"/>
      <c r="AH409" s="13"/>
      <c r="AI409" s="15"/>
      <c r="AJ409" s="13"/>
      <c r="AK409" s="15"/>
      <c r="AL409" s="13"/>
      <c r="AM409" s="15"/>
    </row>
    <row r="410" spans="1:39" ht="120" x14ac:dyDescent="0.25">
      <c r="A410" s="13" t="s">
        <v>627</v>
      </c>
      <c r="B410" s="13" t="s">
        <v>153</v>
      </c>
      <c r="C410" s="14">
        <v>45084.604166666664</v>
      </c>
      <c r="D410" s="13" t="s">
        <v>88</v>
      </c>
      <c r="E410" s="15" t="s">
        <v>89</v>
      </c>
      <c r="F410" s="13" t="s">
        <v>90</v>
      </c>
      <c r="G410" s="15" t="s">
        <v>91</v>
      </c>
      <c r="H410" s="13" t="s">
        <v>663</v>
      </c>
      <c r="I410" s="15" t="s">
        <v>664</v>
      </c>
      <c r="J410" s="15" t="s">
        <v>665</v>
      </c>
      <c r="K410" s="15" t="s">
        <v>666</v>
      </c>
      <c r="L410" s="13" t="s">
        <v>671</v>
      </c>
      <c r="M410" s="15" t="s">
        <v>672</v>
      </c>
      <c r="N410" s="13" t="s">
        <v>188</v>
      </c>
      <c r="O410" s="15" t="s">
        <v>189</v>
      </c>
      <c r="P410" s="15" t="s">
        <v>190</v>
      </c>
      <c r="Q410" s="15" t="s">
        <v>203</v>
      </c>
      <c r="R410" s="13" t="s">
        <v>204</v>
      </c>
      <c r="S410" s="13" t="s">
        <v>103</v>
      </c>
      <c r="T410" s="13" t="s">
        <v>205</v>
      </c>
      <c r="U410" s="14">
        <v>43831</v>
      </c>
      <c r="V410" s="14"/>
      <c r="W410" s="15"/>
      <c r="X410" s="13"/>
      <c r="Y410" s="15"/>
      <c r="Z410" s="13"/>
      <c r="AA410" s="15"/>
      <c r="AB410" s="13"/>
      <c r="AC410" s="15"/>
      <c r="AD410" s="13"/>
      <c r="AE410" s="15"/>
      <c r="AF410" s="13"/>
      <c r="AG410" s="15"/>
      <c r="AH410" s="13"/>
      <c r="AI410" s="15"/>
      <c r="AJ410" s="13"/>
      <c r="AK410" s="15"/>
      <c r="AL410" s="13"/>
      <c r="AM410" s="15"/>
    </row>
    <row r="411" spans="1:39" ht="120" x14ac:dyDescent="0.25">
      <c r="A411" s="13" t="s">
        <v>627</v>
      </c>
      <c r="B411" s="13" t="s">
        <v>153</v>
      </c>
      <c r="C411" s="14">
        <v>45084.598611111112</v>
      </c>
      <c r="D411" s="13" t="s">
        <v>88</v>
      </c>
      <c r="E411" s="15" t="s">
        <v>89</v>
      </c>
      <c r="F411" s="13" t="s">
        <v>90</v>
      </c>
      <c r="G411" s="15" t="s">
        <v>91</v>
      </c>
      <c r="H411" s="13" t="s">
        <v>663</v>
      </c>
      <c r="I411" s="15" t="s">
        <v>664</v>
      </c>
      <c r="J411" s="15" t="s">
        <v>665</v>
      </c>
      <c r="K411" s="15" t="s">
        <v>666</v>
      </c>
      <c r="L411" s="13" t="s">
        <v>667</v>
      </c>
      <c r="M411" s="15" t="s">
        <v>668</v>
      </c>
      <c r="N411" s="13" t="s">
        <v>98</v>
      </c>
      <c r="O411" s="15" t="s">
        <v>99</v>
      </c>
      <c r="P411" s="15" t="s">
        <v>100</v>
      </c>
      <c r="Q411" s="15" t="s">
        <v>206</v>
      </c>
      <c r="R411" s="13" t="s">
        <v>207</v>
      </c>
      <c r="S411" s="13" t="s">
        <v>103</v>
      </c>
      <c r="T411" s="13" t="s">
        <v>205</v>
      </c>
      <c r="U411" s="14">
        <v>43831</v>
      </c>
      <c r="V411" s="14"/>
      <c r="W411" s="15"/>
      <c r="X411" s="13"/>
      <c r="Y411" s="15"/>
      <c r="Z411" s="13"/>
      <c r="AA411" s="15"/>
      <c r="AB411" s="13"/>
      <c r="AC411" s="15"/>
      <c r="AD411" s="13"/>
      <c r="AE411" s="15"/>
      <c r="AF411" s="13"/>
      <c r="AG411" s="15"/>
      <c r="AH411" s="13"/>
      <c r="AI411" s="15"/>
      <c r="AJ411" s="13"/>
      <c r="AK411" s="15"/>
      <c r="AL411" s="13"/>
      <c r="AM411" s="15"/>
    </row>
    <row r="412" spans="1:39" ht="120" x14ac:dyDescent="0.25">
      <c r="A412" s="13" t="s">
        <v>627</v>
      </c>
      <c r="B412" s="13" t="s">
        <v>153</v>
      </c>
      <c r="C412" s="14">
        <v>45084.601388888892</v>
      </c>
      <c r="D412" s="13" t="s">
        <v>88</v>
      </c>
      <c r="E412" s="15" t="s">
        <v>89</v>
      </c>
      <c r="F412" s="13" t="s">
        <v>90</v>
      </c>
      <c r="G412" s="15" t="s">
        <v>91</v>
      </c>
      <c r="H412" s="13" t="s">
        <v>663</v>
      </c>
      <c r="I412" s="15" t="s">
        <v>664</v>
      </c>
      <c r="J412" s="15" t="s">
        <v>665</v>
      </c>
      <c r="K412" s="15" t="s">
        <v>666</v>
      </c>
      <c r="L412" s="13" t="s">
        <v>669</v>
      </c>
      <c r="M412" s="15" t="s">
        <v>670</v>
      </c>
      <c r="N412" s="13" t="s">
        <v>98</v>
      </c>
      <c r="O412" s="15" t="s">
        <v>170</v>
      </c>
      <c r="P412" s="15" t="s">
        <v>171</v>
      </c>
      <c r="Q412" s="15" t="s">
        <v>206</v>
      </c>
      <c r="R412" s="13" t="s">
        <v>207</v>
      </c>
      <c r="S412" s="13" t="s">
        <v>103</v>
      </c>
      <c r="T412" s="13" t="s">
        <v>205</v>
      </c>
      <c r="U412" s="14">
        <v>43831</v>
      </c>
      <c r="V412" s="14"/>
      <c r="W412" s="15"/>
      <c r="X412" s="13"/>
      <c r="Y412" s="15"/>
      <c r="Z412" s="13"/>
      <c r="AA412" s="15"/>
      <c r="AB412" s="13"/>
      <c r="AC412" s="15"/>
      <c r="AD412" s="13"/>
      <c r="AE412" s="15"/>
      <c r="AF412" s="13"/>
      <c r="AG412" s="15"/>
      <c r="AH412" s="13"/>
      <c r="AI412" s="15"/>
      <c r="AJ412" s="13"/>
      <c r="AK412" s="15"/>
      <c r="AL412" s="13"/>
      <c r="AM412" s="15"/>
    </row>
    <row r="413" spans="1:39" ht="120" x14ac:dyDescent="0.25">
      <c r="A413" s="13" t="s">
        <v>627</v>
      </c>
      <c r="B413" s="13" t="s">
        <v>153</v>
      </c>
      <c r="C413" s="14">
        <v>45084.604166666664</v>
      </c>
      <c r="D413" s="13" t="s">
        <v>88</v>
      </c>
      <c r="E413" s="15" t="s">
        <v>89</v>
      </c>
      <c r="F413" s="13" t="s">
        <v>90</v>
      </c>
      <c r="G413" s="15" t="s">
        <v>91</v>
      </c>
      <c r="H413" s="13" t="s">
        <v>663</v>
      </c>
      <c r="I413" s="15" t="s">
        <v>664</v>
      </c>
      <c r="J413" s="15" t="s">
        <v>665</v>
      </c>
      <c r="K413" s="15" t="s">
        <v>666</v>
      </c>
      <c r="L413" s="13" t="s">
        <v>671</v>
      </c>
      <c r="M413" s="15" t="s">
        <v>672</v>
      </c>
      <c r="N413" s="13" t="s">
        <v>188</v>
      </c>
      <c r="O413" s="15" t="s">
        <v>189</v>
      </c>
      <c r="P413" s="15" t="s">
        <v>190</v>
      </c>
      <c r="Q413" s="15" t="s">
        <v>206</v>
      </c>
      <c r="R413" s="13" t="s">
        <v>207</v>
      </c>
      <c r="S413" s="13" t="s">
        <v>103</v>
      </c>
      <c r="T413" s="13" t="s">
        <v>205</v>
      </c>
      <c r="U413" s="14">
        <v>43831</v>
      </c>
      <c r="V413" s="14"/>
      <c r="W413" s="15"/>
      <c r="X413" s="13"/>
      <c r="Y413" s="15"/>
      <c r="Z413" s="13"/>
      <c r="AA413" s="15"/>
      <c r="AB413" s="13"/>
      <c r="AC413" s="15"/>
      <c r="AD413" s="13"/>
      <c r="AE413" s="15"/>
      <c r="AF413" s="13"/>
      <c r="AG413" s="15"/>
      <c r="AH413" s="13"/>
      <c r="AI413" s="15"/>
      <c r="AJ413" s="13"/>
      <c r="AK413" s="15"/>
      <c r="AL413" s="13"/>
      <c r="AM413" s="15"/>
    </row>
    <row r="414" spans="1:39" ht="120" x14ac:dyDescent="0.25">
      <c r="A414" s="13" t="s">
        <v>627</v>
      </c>
      <c r="B414" s="13" t="s">
        <v>153</v>
      </c>
      <c r="C414" s="14">
        <v>45084.598611111112</v>
      </c>
      <c r="D414" s="13" t="s">
        <v>88</v>
      </c>
      <c r="E414" s="15" t="s">
        <v>89</v>
      </c>
      <c r="F414" s="13" t="s">
        <v>90</v>
      </c>
      <c r="G414" s="15" t="s">
        <v>91</v>
      </c>
      <c r="H414" s="13" t="s">
        <v>663</v>
      </c>
      <c r="I414" s="15" t="s">
        <v>664</v>
      </c>
      <c r="J414" s="15" t="s">
        <v>665</v>
      </c>
      <c r="K414" s="15" t="s">
        <v>666</v>
      </c>
      <c r="L414" s="13" t="s">
        <v>667</v>
      </c>
      <c r="M414" s="15" t="s">
        <v>668</v>
      </c>
      <c r="N414" s="13" t="s">
        <v>98</v>
      </c>
      <c r="O414" s="15" t="s">
        <v>99</v>
      </c>
      <c r="P414" s="15" t="s">
        <v>100</v>
      </c>
      <c r="Q414" s="15" t="s">
        <v>208</v>
      </c>
      <c r="R414" s="13" t="s">
        <v>209</v>
      </c>
      <c r="S414" s="13" t="s">
        <v>103</v>
      </c>
      <c r="T414" s="13" t="s">
        <v>205</v>
      </c>
      <c r="U414" s="14">
        <v>43831</v>
      </c>
      <c r="V414" s="14"/>
      <c r="W414" s="15"/>
      <c r="X414" s="13"/>
      <c r="Y414" s="15"/>
      <c r="Z414" s="13"/>
      <c r="AA414" s="15"/>
      <c r="AB414" s="13"/>
      <c r="AC414" s="15"/>
      <c r="AD414" s="13"/>
      <c r="AE414" s="15"/>
      <c r="AF414" s="13"/>
      <c r="AG414" s="15"/>
      <c r="AH414" s="13"/>
      <c r="AI414" s="15"/>
      <c r="AJ414" s="13"/>
      <c r="AK414" s="15"/>
      <c r="AL414" s="13"/>
      <c r="AM414" s="15"/>
    </row>
    <row r="415" spans="1:39" ht="120" x14ac:dyDescent="0.25">
      <c r="A415" s="13" t="s">
        <v>627</v>
      </c>
      <c r="B415" s="13" t="s">
        <v>153</v>
      </c>
      <c r="C415" s="14">
        <v>45084.602777777778</v>
      </c>
      <c r="D415" s="13" t="s">
        <v>88</v>
      </c>
      <c r="E415" s="15" t="s">
        <v>89</v>
      </c>
      <c r="F415" s="13" t="s">
        <v>90</v>
      </c>
      <c r="G415" s="15" t="s">
        <v>91</v>
      </c>
      <c r="H415" s="13" t="s">
        <v>663</v>
      </c>
      <c r="I415" s="15" t="s">
        <v>664</v>
      </c>
      <c r="J415" s="15" t="s">
        <v>665</v>
      </c>
      <c r="K415" s="15" t="s">
        <v>666</v>
      </c>
      <c r="L415" s="13" t="s">
        <v>669</v>
      </c>
      <c r="M415" s="15" t="s">
        <v>670</v>
      </c>
      <c r="N415" s="13" t="s">
        <v>98</v>
      </c>
      <c r="O415" s="15" t="s">
        <v>170</v>
      </c>
      <c r="P415" s="15" t="s">
        <v>171</v>
      </c>
      <c r="Q415" s="15" t="s">
        <v>208</v>
      </c>
      <c r="R415" s="13" t="s">
        <v>209</v>
      </c>
      <c r="S415" s="13" t="s">
        <v>103</v>
      </c>
      <c r="T415" s="13" t="s">
        <v>205</v>
      </c>
      <c r="U415" s="14">
        <v>43831</v>
      </c>
      <c r="V415" s="14"/>
      <c r="W415" s="15"/>
      <c r="X415" s="13"/>
      <c r="Y415" s="15"/>
      <c r="Z415" s="13"/>
      <c r="AA415" s="15"/>
      <c r="AB415" s="13"/>
      <c r="AC415" s="15"/>
      <c r="AD415" s="13"/>
      <c r="AE415" s="15"/>
      <c r="AF415" s="13"/>
      <c r="AG415" s="15"/>
      <c r="AH415" s="13"/>
      <c r="AI415" s="15"/>
      <c r="AJ415" s="13"/>
      <c r="AK415" s="15"/>
      <c r="AL415" s="13"/>
      <c r="AM415" s="15"/>
    </row>
    <row r="416" spans="1:39" ht="120" x14ac:dyDescent="0.25">
      <c r="A416" s="13" t="s">
        <v>627</v>
      </c>
      <c r="B416" s="13" t="s">
        <v>153</v>
      </c>
      <c r="C416" s="14">
        <v>45084.604166666664</v>
      </c>
      <c r="D416" s="13" t="s">
        <v>88</v>
      </c>
      <c r="E416" s="15" t="s">
        <v>89</v>
      </c>
      <c r="F416" s="13" t="s">
        <v>90</v>
      </c>
      <c r="G416" s="15" t="s">
        <v>91</v>
      </c>
      <c r="H416" s="13" t="s">
        <v>663</v>
      </c>
      <c r="I416" s="15" t="s">
        <v>664</v>
      </c>
      <c r="J416" s="15" t="s">
        <v>665</v>
      </c>
      <c r="K416" s="15" t="s">
        <v>666</v>
      </c>
      <c r="L416" s="13" t="s">
        <v>671</v>
      </c>
      <c r="M416" s="15" t="s">
        <v>672</v>
      </c>
      <c r="N416" s="13" t="s">
        <v>188</v>
      </c>
      <c r="O416" s="15" t="s">
        <v>189</v>
      </c>
      <c r="P416" s="15" t="s">
        <v>190</v>
      </c>
      <c r="Q416" s="15" t="s">
        <v>208</v>
      </c>
      <c r="R416" s="13" t="s">
        <v>209</v>
      </c>
      <c r="S416" s="13" t="s">
        <v>103</v>
      </c>
      <c r="T416" s="13" t="s">
        <v>205</v>
      </c>
      <c r="U416" s="14">
        <v>43831</v>
      </c>
      <c r="V416" s="14"/>
      <c r="W416" s="15"/>
      <c r="X416" s="13"/>
      <c r="Y416" s="15"/>
      <c r="Z416" s="13"/>
      <c r="AA416" s="15"/>
      <c r="AB416" s="13"/>
      <c r="AC416" s="15"/>
      <c r="AD416" s="13"/>
      <c r="AE416" s="15"/>
      <c r="AF416" s="13"/>
      <c r="AG416" s="15"/>
      <c r="AH416" s="13"/>
      <c r="AI416" s="15"/>
      <c r="AJ416" s="13"/>
      <c r="AK416" s="15"/>
      <c r="AL416" s="13"/>
      <c r="AM416" s="15"/>
    </row>
    <row r="417" spans="1:39" ht="75" x14ac:dyDescent="0.25">
      <c r="A417" s="13" t="s">
        <v>152</v>
      </c>
      <c r="B417" s="13" t="s">
        <v>153</v>
      </c>
      <c r="C417" s="14">
        <v>45799.686805555553</v>
      </c>
      <c r="D417" s="13" t="s">
        <v>88</v>
      </c>
      <c r="E417" s="15" t="s">
        <v>89</v>
      </c>
      <c r="F417" s="13" t="s">
        <v>90</v>
      </c>
      <c r="G417" s="15" t="s">
        <v>91</v>
      </c>
      <c r="H417" s="13" t="s">
        <v>673</v>
      </c>
      <c r="I417" s="15" t="s">
        <v>674</v>
      </c>
      <c r="J417" s="15" t="s">
        <v>675</v>
      </c>
      <c r="K417" s="15" t="s">
        <v>676</v>
      </c>
      <c r="L417" s="13" t="s">
        <v>677</v>
      </c>
      <c r="M417" s="15" t="s">
        <v>678</v>
      </c>
      <c r="N417" s="13" t="s">
        <v>98</v>
      </c>
      <c r="O417" s="15"/>
      <c r="P417" s="15"/>
      <c r="Q417" s="15" t="s">
        <v>101</v>
      </c>
      <c r="R417" s="13" t="s">
        <v>102</v>
      </c>
      <c r="S417" s="13" t="s">
        <v>103</v>
      </c>
      <c r="T417" s="13" t="s">
        <v>104</v>
      </c>
      <c r="U417" s="14">
        <v>45658</v>
      </c>
      <c r="V417" s="14"/>
      <c r="W417" s="15"/>
      <c r="X417" s="13"/>
      <c r="Y417" s="15"/>
      <c r="Z417" s="13"/>
      <c r="AA417" s="15"/>
      <c r="AB417" s="13"/>
      <c r="AC417" s="15"/>
      <c r="AD417" s="13"/>
      <c r="AE417" s="15"/>
      <c r="AF417" s="13"/>
      <c r="AG417" s="15"/>
      <c r="AH417" s="13"/>
      <c r="AI417" s="15"/>
      <c r="AJ417" s="13"/>
      <c r="AK417" s="15"/>
      <c r="AL417" s="13"/>
      <c r="AM417" s="15"/>
    </row>
    <row r="418" spans="1:39" ht="75" x14ac:dyDescent="0.25">
      <c r="A418" s="13" t="s">
        <v>152</v>
      </c>
      <c r="B418" s="13" t="s">
        <v>153</v>
      </c>
      <c r="C418" s="14">
        <v>45799.688194444447</v>
      </c>
      <c r="D418" s="13" t="s">
        <v>88</v>
      </c>
      <c r="E418" s="15" t="s">
        <v>89</v>
      </c>
      <c r="F418" s="13" t="s">
        <v>90</v>
      </c>
      <c r="G418" s="15" t="s">
        <v>91</v>
      </c>
      <c r="H418" s="13" t="s">
        <v>673</v>
      </c>
      <c r="I418" s="15" t="s">
        <v>674</v>
      </c>
      <c r="J418" s="15" t="s">
        <v>675</v>
      </c>
      <c r="K418" s="15" t="s">
        <v>676</v>
      </c>
      <c r="L418" s="13" t="s">
        <v>679</v>
      </c>
      <c r="M418" s="15" t="s">
        <v>680</v>
      </c>
      <c r="N418" s="13" t="s">
        <v>98</v>
      </c>
      <c r="O418" s="15"/>
      <c r="P418" s="15"/>
      <c r="Q418" s="15" t="s">
        <v>101</v>
      </c>
      <c r="R418" s="13" t="s">
        <v>102</v>
      </c>
      <c r="S418" s="13" t="s">
        <v>103</v>
      </c>
      <c r="T418" s="13" t="s">
        <v>104</v>
      </c>
      <c r="U418" s="14">
        <v>45658</v>
      </c>
      <c r="V418" s="14"/>
      <c r="W418" s="15"/>
      <c r="X418" s="13"/>
      <c r="Y418" s="15"/>
      <c r="Z418" s="13"/>
      <c r="AA418" s="15"/>
      <c r="AB418" s="13"/>
      <c r="AC418" s="15"/>
      <c r="AD418" s="13"/>
      <c r="AE418" s="15"/>
      <c r="AF418" s="13"/>
      <c r="AG418" s="15"/>
      <c r="AH418" s="13"/>
      <c r="AI418" s="15"/>
      <c r="AJ418" s="13"/>
      <c r="AK418" s="15"/>
      <c r="AL418" s="13"/>
      <c r="AM418" s="15"/>
    </row>
    <row r="419" spans="1:39" ht="75" x14ac:dyDescent="0.25">
      <c r="A419" s="13" t="s">
        <v>152</v>
      </c>
      <c r="B419" s="13" t="s">
        <v>153</v>
      </c>
      <c r="C419" s="14">
        <v>45799.689583333333</v>
      </c>
      <c r="D419" s="13" t="s">
        <v>88</v>
      </c>
      <c r="E419" s="15" t="s">
        <v>89</v>
      </c>
      <c r="F419" s="13" t="s">
        <v>90</v>
      </c>
      <c r="G419" s="15" t="s">
        <v>91</v>
      </c>
      <c r="H419" s="13" t="s">
        <v>673</v>
      </c>
      <c r="I419" s="15" t="s">
        <v>674</v>
      </c>
      <c r="J419" s="15" t="s">
        <v>675</v>
      </c>
      <c r="K419" s="15" t="s">
        <v>676</v>
      </c>
      <c r="L419" s="13" t="s">
        <v>682</v>
      </c>
      <c r="M419" s="15" t="s">
        <v>683</v>
      </c>
      <c r="N419" s="13" t="s">
        <v>188</v>
      </c>
      <c r="O419" s="15"/>
      <c r="P419" s="15"/>
      <c r="Q419" s="15" t="s">
        <v>101</v>
      </c>
      <c r="R419" s="13" t="s">
        <v>102</v>
      </c>
      <c r="S419" s="13" t="s">
        <v>103</v>
      </c>
      <c r="T419" s="13" t="s">
        <v>104</v>
      </c>
      <c r="U419" s="14">
        <v>45658</v>
      </c>
      <c r="V419" s="14"/>
      <c r="W419" s="15"/>
      <c r="X419" s="13"/>
      <c r="Y419" s="15"/>
      <c r="Z419" s="13"/>
      <c r="AA419" s="15"/>
      <c r="AB419" s="13"/>
      <c r="AC419" s="15"/>
      <c r="AD419" s="13"/>
      <c r="AE419" s="15"/>
      <c r="AF419" s="13"/>
      <c r="AG419" s="15"/>
      <c r="AH419" s="13"/>
      <c r="AI419" s="15"/>
      <c r="AJ419" s="13"/>
      <c r="AK419" s="15"/>
      <c r="AL419" s="13"/>
      <c r="AM419" s="15"/>
    </row>
    <row r="420" spans="1:39" ht="75" x14ac:dyDescent="0.25">
      <c r="A420" s="13" t="s">
        <v>152</v>
      </c>
      <c r="B420" s="13" t="s">
        <v>153</v>
      </c>
      <c r="C420" s="14">
        <v>45799.6875</v>
      </c>
      <c r="D420" s="13" t="s">
        <v>88</v>
      </c>
      <c r="E420" s="15" t="s">
        <v>89</v>
      </c>
      <c r="F420" s="13" t="s">
        <v>90</v>
      </c>
      <c r="G420" s="15" t="s">
        <v>91</v>
      </c>
      <c r="H420" s="13" t="s">
        <v>673</v>
      </c>
      <c r="I420" s="15" t="s">
        <v>674</v>
      </c>
      <c r="J420" s="15" t="s">
        <v>675</v>
      </c>
      <c r="K420" s="15" t="s">
        <v>676</v>
      </c>
      <c r="L420" s="13" t="s">
        <v>677</v>
      </c>
      <c r="M420" s="15" t="s">
        <v>678</v>
      </c>
      <c r="N420" s="13" t="s">
        <v>98</v>
      </c>
      <c r="O420" s="15"/>
      <c r="P420" s="15"/>
      <c r="Q420" s="15" t="s">
        <v>615</v>
      </c>
      <c r="R420" s="13" t="s">
        <v>616</v>
      </c>
      <c r="S420" s="13" t="s">
        <v>103</v>
      </c>
      <c r="T420" s="13" t="s">
        <v>205</v>
      </c>
      <c r="U420" s="14">
        <v>45658</v>
      </c>
      <c r="V420" s="14"/>
      <c r="W420" s="15"/>
      <c r="X420" s="13"/>
      <c r="Y420" s="15"/>
      <c r="Z420" s="13"/>
      <c r="AA420" s="15"/>
      <c r="AB420" s="13"/>
      <c r="AC420" s="15"/>
      <c r="AD420" s="13"/>
      <c r="AE420" s="15"/>
      <c r="AF420" s="13"/>
      <c r="AG420" s="15"/>
      <c r="AH420" s="13"/>
      <c r="AI420" s="15"/>
      <c r="AJ420" s="13"/>
      <c r="AK420" s="15"/>
      <c r="AL420" s="13"/>
      <c r="AM420" s="15"/>
    </row>
    <row r="421" spans="1:39" ht="75" x14ac:dyDescent="0.25">
      <c r="A421" s="13" t="s">
        <v>152</v>
      </c>
      <c r="B421" s="13" t="s">
        <v>153</v>
      </c>
      <c r="C421" s="14">
        <v>45799.688194444447</v>
      </c>
      <c r="D421" s="13" t="s">
        <v>88</v>
      </c>
      <c r="E421" s="15" t="s">
        <v>89</v>
      </c>
      <c r="F421" s="13" t="s">
        <v>90</v>
      </c>
      <c r="G421" s="15" t="s">
        <v>91</v>
      </c>
      <c r="H421" s="13" t="s">
        <v>673</v>
      </c>
      <c r="I421" s="15" t="s">
        <v>674</v>
      </c>
      <c r="J421" s="15" t="s">
        <v>675</v>
      </c>
      <c r="K421" s="15" t="s">
        <v>676</v>
      </c>
      <c r="L421" s="13" t="s">
        <v>679</v>
      </c>
      <c r="M421" s="15" t="s">
        <v>680</v>
      </c>
      <c r="N421" s="13" t="s">
        <v>98</v>
      </c>
      <c r="O421" s="15"/>
      <c r="P421" s="15"/>
      <c r="Q421" s="15" t="s">
        <v>615</v>
      </c>
      <c r="R421" s="13" t="s">
        <v>616</v>
      </c>
      <c r="S421" s="13" t="s">
        <v>103</v>
      </c>
      <c r="T421" s="13" t="s">
        <v>205</v>
      </c>
      <c r="U421" s="14">
        <v>45658</v>
      </c>
      <c r="V421" s="14"/>
      <c r="W421" s="15"/>
      <c r="X421" s="13"/>
      <c r="Y421" s="15"/>
      <c r="Z421" s="13"/>
      <c r="AA421" s="15"/>
      <c r="AB421" s="13"/>
      <c r="AC421" s="15"/>
      <c r="AD421" s="13"/>
      <c r="AE421" s="15"/>
      <c r="AF421" s="13"/>
      <c r="AG421" s="15"/>
      <c r="AH421" s="13"/>
      <c r="AI421" s="15"/>
      <c r="AJ421" s="13"/>
      <c r="AK421" s="15"/>
      <c r="AL421" s="13"/>
      <c r="AM421" s="15"/>
    </row>
    <row r="422" spans="1:39" ht="75" x14ac:dyDescent="0.25">
      <c r="A422" s="13" t="s">
        <v>152</v>
      </c>
      <c r="B422" s="13" t="s">
        <v>153</v>
      </c>
      <c r="C422" s="14">
        <v>45799.69027777778</v>
      </c>
      <c r="D422" s="13" t="s">
        <v>88</v>
      </c>
      <c r="E422" s="15" t="s">
        <v>89</v>
      </c>
      <c r="F422" s="13" t="s">
        <v>90</v>
      </c>
      <c r="G422" s="15" t="s">
        <v>91</v>
      </c>
      <c r="H422" s="13" t="s">
        <v>673</v>
      </c>
      <c r="I422" s="15" t="s">
        <v>674</v>
      </c>
      <c r="J422" s="15" t="s">
        <v>675</v>
      </c>
      <c r="K422" s="15" t="s">
        <v>676</v>
      </c>
      <c r="L422" s="13" t="s">
        <v>682</v>
      </c>
      <c r="M422" s="15" t="s">
        <v>683</v>
      </c>
      <c r="N422" s="13" t="s">
        <v>188</v>
      </c>
      <c r="O422" s="15"/>
      <c r="P422" s="15"/>
      <c r="Q422" s="15" t="s">
        <v>615</v>
      </c>
      <c r="R422" s="13" t="s">
        <v>616</v>
      </c>
      <c r="S422" s="13" t="s">
        <v>103</v>
      </c>
      <c r="T422" s="13" t="s">
        <v>205</v>
      </c>
      <c r="U422" s="14">
        <v>45658</v>
      </c>
      <c r="V422" s="14"/>
      <c r="W422" s="15"/>
      <c r="X422" s="13"/>
      <c r="Y422" s="15"/>
      <c r="Z422" s="13"/>
      <c r="AA422" s="15"/>
      <c r="AB422" s="13"/>
      <c r="AC422" s="15"/>
      <c r="AD422" s="13"/>
      <c r="AE422" s="15"/>
      <c r="AF422" s="13"/>
      <c r="AG422" s="15"/>
      <c r="AH422" s="13"/>
      <c r="AI422" s="15"/>
      <c r="AJ422" s="13"/>
      <c r="AK422" s="15"/>
      <c r="AL422" s="13"/>
      <c r="AM422" s="15"/>
    </row>
    <row r="423" spans="1:39" ht="75" x14ac:dyDescent="0.25">
      <c r="A423" s="13" t="s">
        <v>152</v>
      </c>
      <c r="B423" s="13" t="s">
        <v>153</v>
      </c>
      <c r="C423" s="14">
        <v>45799.6875</v>
      </c>
      <c r="D423" s="13" t="s">
        <v>88</v>
      </c>
      <c r="E423" s="15" t="s">
        <v>89</v>
      </c>
      <c r="F423" s="13" t="s">
        <v>90</v>
      </c>
      <c r="G423" s="15" t="s">
        <v>91</v>
      </c>
      <c r="H423" s="13" t="s">
        <v>673</v>
      </c>
      <c r="I423" s="15" t="s">
        <v>674</v>
      </c>
      <c r="J423" s="15" t="s">
        <v>675</v>
      </c>
      <c r="K423" s="15" t="s">
        <v>676</v>
      </c>
      <c r="L423" s="13" t="s">
        <v>677</v>
      </c>
      <c r="M423" s="15" t="s">
        <v>678</v>
      </c>
      <c r="N423" s="13" t="s">
        <v>98</v>
      </c>
      <c r="O423" s="15"/>
      <c r="P423" s="15"/>
      <c r="Q423" s="15" t="s">
        <v>203</v>
      </c>
      <c r="R423" s="13" t="s">
        <v>204</v>
      </c>
      <c r="S423" s="13" t="s">
        <v>103</v>
      </c>
      <c r="T423" s="13" t="s">
        <v>205</v>
      </c>
      <c r="U423" s="14">
        <v>45658</v>
      </c>
      <c r="V423" s="14"/>
      <c r="W423" s="15"/>
      <c r="X423" s="13"/>
      <c r="Y423" s="15"/>
      <c r="Z423" s="13"/>
      <c r="AA423" s="15"/>
      <c r="AB423" s="13"/>
      <c r="AC423" s="15"/>
      <c r="AD423" s="13"/>
      <c r="AE423" s="15"/>
      <c r="AF423" s="13"/>
      <c r="AG423" s="15"/>
      <c r="AH423" s="13"/>
      <c r="AI423" s="15"/>
      <c r="AJ423" s="13"/>
      <c r="AK423" s="15"/>
      <c r="AL423" s="13"/>
      <c r="AM423" s="15"/>
    </row>
    <row r="424" spans="1:39" ht="75" x14ac:dyDescent="0.25">
      <c r="A424" s="13" t="s">
        <v>152</v>
      </c>
      <c r="B424" s="13" t="s">
        <v>153</v>
      </c>
      <c r="C424" s="14">
        <v>45799.688888888886</v>
      </c>
      <c r="D424" s="13" t="s">
        <v>88</v>
      </c>
      <c r="E424" s="15" t="s">
        <v>89</v>
      </c>
      <c r="F424" s="13" t="s">
        <v>90</v>
      </c>
      <c r="G424" s="15" t="s">
        <v>91</v>
      </c>
      <c r="H424" s="13" t="s">
        <v>673</v>
      </c>
      <c r="I424" s="15" t="s">
        <v>674</v>
      </c>
      <c r="J424" s="15" t="s">
        <v>675</v>
      </c>
      <c r="K424" s="15" t="s">
        <v>676</v>
      </c>
      <c r="L424" s="13" t="s">
        <v>679</v>
      </c>
      <c r="M424" s="15" t="s">
        <v>680</v>
      </c>
      <c r="N424" s="13" t="s">
        <v>98</v>
      </c>
      <c r="O424" s="15"/>
      <c r="P424" s="15"/>
      <c r="Q424" s="15" t="s">
        <v>203</v>
      </c>
      <c r="R424" s="13" t="s">
        <v>204</v>
      </c>
      <c r="S424" s="13" t="s">
        <v>103</v>
      </c>
      <c r="T424" s="13" t="s">
        <v>205</v>
      </c>
      <c r="U424" s="14">
        <v>45658</v>
      </c>
      <c r="V424" s="14"/>
      <c r="W424" s="15"/>
      <c r="X424" s="13"/>
      <c r="Y424" s="15"/>
      <c r="Z424" s="13"/>
      <c r="AA424" s="15"/>
      <c r="AB424" s="13"/>
      <c r="AC424" s="15"/>
      <c r="AD424" s="13"/>
      <c r="AE424" s="15"/>
      <c r="AF424" s="13"/>
      <c r="AG424" s="15"/>
      <c r="AH424" s="13"/>
      <c r="AI424" s="15"/>
      <c r="AJ424" s="13"/>
      <c r="AK424" s="15"/>
      <c r="AL424" s="13"/>
      <c r="AM424" s="15"/>
    </row>
    <row r="425" spans="1:39" ht="75" x14ac:dyDescent="0.25">
      <c r="A425" s="13" t="s">
        <v>152</v>
      </c>
      <c r="B425" s="13" t="s">
        <v>153</v>
      </c>
      <c r="C425" s="14">
        <v>45799.69027777778</v>
      </c>
      <c r="D425" s="13" t="s">
        <v>88</v>
      </c>
      <c r="E425" s="15" t="s">
        <v>89</v>
      </c>
      <c r="F425" s="13" t="s">
        <v>90</v>
      </c>
      <c r="G425" s="15" t="s">
        <v>91</v>
      </c>
      <c r="H425" s="13" t="s">
        <v>673</v>
      </c>
      <c r="I425" s="15" t="s">
        <v>674</v>
      </c>
      <c r="J425" s="15" t="s">
        <v>675</v>
      </c>
      <c r="K425" s="15" t="s">
        <v>676</v>
      </c>
      <c r="L425" s="13" t="s">
        <v>682</v>
      </c>
      <c r="M425" s="15" t="s">
        <v>683</v>
      </c>
      <c r="N425" s="13" t="s">
        <v>188</v>
      </c>
      <c r="O425" s="15"/>
      <c r="P425" s="15"/>
      <c r="Q425" s="15" t="s">
        <v>203</v>
      </c>
      <c r="R425" s="13" t="s">
        <v>204</v>
      </c>
      <c r="S425" s="13" t="s">
        <v>103</v>
      </c>
      <c r="T425" s="13" t="s">
        <v>205</v>
      </c>
      <c r="U425" s="14">
        <v>45658</v>
      </c>
      <c r="V425" s="14"/>
      <c r="W425" s="15"/>
      <c r="X425" s="13"/>
      <c r="Y425" s="15"/>
      <c r="Z425" s="13"/>
      <c r="AA425" s="15"/>
      <c r="AB425" s="13"/>
      <c r="AC425" s="15"/>
      <c r="AD425" s="13"/>
      <c r="AE425" s="15"/>
      <c r="AF425" s="13"/>
      <c r="AG425" s="15"/>
      <c r="AH425" s="13"/>
      <c r="AI425" s="15"/>
      <c r="AJ425" s="13"/>
      <c r="AK425" s="15"/>
      <c r="AL425" s="13"/>
      <c r="AM425" s="15"/>
    </row>
    <row r="426" spans="1:39" ht="75" x14ac:dyDescent="0.25">
      <c r="A426" s="13" t="s">
        <v>152</v>
      </c>
      <c r="B426" s="13" t="s">
        <v>153</v>
      </c>
      <c r="C426" s="14">
        <v>45799.6875</v>
      </c>
      <c r="D426" s="13" t="s">
        <v>88</v>
      </c>
      <c r="E426" s="15" t="s">
        <v>89</v>
      </c>
      <c r="F426" s="13" t="s">
        <v>90</v>
      </c>
      <c r="G426" s="15" t="s">
        <v>91</v>
      </c>
      <c r="H426" s="13" t="s">
        <v>673</v>
      </c>
      <c r="I426" s="15" t="s">
        <v>674</v>
      </c>
      <c r="J426" s="15" t="s">
        <v>675</v>
      </c>
      <c r="K426" s="15" t="s">
        <v>676</v>
      </c>
      <c r="L426" s="13" t="s">
        <v>677</v>
      </c>
      <c r="M426" s="15" t="s">
        <v>678</v>
      </c>
      <c r="N426" s="13" t="s">
        <v>98</v>
      </c>
      <c r="O426" s="15"/>
      <c r="P426" s="15"/>
      <c r="Q426" s="15" t="s">
        <v>206</v>
      </c>
      <c r="R426" s="13" t="s">
        <v>207</v>
      </c>
      <c r="S426" s="13" t="s">
        <v>103</v>
      </c>
      <c r="T426" s="13" t="s">
        <v>205</v>
      </c>
      <c r="U426" s="14">
        <v>45658</v>
      </c>
      <c r="V426" s="14"/>
      <c r="W426" s="15"/>
      <c r="X426" s="13"/>
      <c r="Y426" s="15"/>
      <c r="Z426" s="13"/>
      <c r="AA426" s="15"/>
      <c r="AB426" s="13"/>
      <c r="AC426" s="15"/>
      <c r="AD426" s="13"/>
      <c r="AE426" s="15"/>
      <c r="AF426" s="13"/>
      <c r="AG426" s="15"/>
      <c r="AH426" s="13"/>
      <c r="AI426" s="15"/>
      <c r="AJ426" s="13"/>
      <c r="AK426" s="15"/>
      <c r="AL426" s="13"/>
      <c r="AM426" s="15"/>
    </row>
    <row r="427" spans="1:39" ht="75" x14ac:dyDescent="0.25">
      <c r="A427" s="13" t="s">
        <v>152</v>
      </c>
      <c r="B427" s="13" t="s">
        <v>153</v>
      </c>
      <c r="C427" s="14">
        <v>45799.688888888886</v>
      </c>
      <c r="D427" s="13" t="s">
        <v>88</v>
      </c>
      <c r="E427" s="15" t="s">
        <v>89</v>
      </c>
      <c r="F427" s="13" t="s">
        <v>90</v>
      </c>
      <c r="G427" s="15" t="s">
        <v>91</v>
      </c>
      <c r="H427" s="13" t="s">
        <v>673</v>
      </c>
      <c r="I427" s="15" t="s">
        <v>674</v>
      </c>
      <c r="J427" s="15" t="s">
        <v>675</v>
      </c>
      <c r="K427" s="15" t="s">
        <v>676</v>
      </c>
      <c r="L427" s="13" t="s">
        <v>679</v>
      </c>
      <c r="M427" s="15" t="s">
        <v>680</v>
      </c>
      <c r="N427" s="13" t="s">
        <v>98</v>
      </c>
      <c r="O427" s="15"/>
      <c r="P427" s="15"/>
      <c r="Q427" s="15" t="s">
        <v>206</v>
      </c>
      <c r="R427" s="13" t="s">
        <v>207</v>
      </c>
      <c r="S427" s="13" t="s">
        <v>103</v>
      </c>
      <c r="T427" s="13" t="s">
        <v>205</v>
      </c>
      <c r="U427" s="14">
        <v>45658</v>
      </c>
      <c r="V427" s="14"/>
      <c r="W427" s="15"/>
      <c r="X427" s="13"/>
      <c r="Y427" s="15"/>
      <c r="Z427" s="13"/>
      <c r="AA427" s="15"/>
      <c r="AB427" s="13"/>
      <c r="AC427" s="15"/>
      <c r="AD427" s="13"/>
      <c r="AE427" s="15"/>
      <c r="AF427" s="13"/>
      <c r="AG427" s="15"/>
      <c r="AH427" s="13"/>
      <c r="AI427" s="15"/>
      <c r="AJ427" s="13"/>
      <c r="AK427" s="15"/>
      <c r="AL427" s="13"/>
      <c r="AM427" s="15"/>
    </row>
    <row r="428" spans="1:39" ht="75" x14ac:dyDescent="0.25">
      <c r="A428" s="13" t="s">
        <v>152</v>
      </c>
      <c r="B428" s="13" t="s">
        <v>153</v>
      </c>
      <c r="C428" s="14">
        <v>45799.69027777778</v>
      </c>
      <c r="D428" s="13" t="s">
        <v>88</v>
      </c>
      <c r="E428" s="15" t="s">
        <v>89</v>
      </c>
      <c r="F428" s="13" t="s">
        <v>90</v>
      </c>
      <c r="G428" s="15" t="s">
        <v>91</v>
      </c>
      <c r="H428" s="13" t="s">
        <v>673</v>
      </c>
      <c r="I428" s="15" t="s">
        <v>674</v>
      </c>
      <c r="J428" s="15" t="s">
        <v>675</v>
      </c>
      <c r="K428" s="15" t="s">
        <v>676</v>
      </c>
      <c r="L428" s="13" t="s">
        <v>682</v>
      </c>
      <c r="M428" s="15" t="s">
        <v>683</v>
      </c>
      <c r="N428" s="13" t="s">
        <v>188</v>
      </c>
      <c r="O428" s="15"/>
      <c r="P428" s="15"/>
      <c r="Q428" s="15" t="s">
        <v>206</v>
      </c>
      <c r="R428" s="13" t="s">
        <v>207</v>
      </c>
      <c r="S428" s="13" t="s">
        <v>103</v>
      </c>
      <c r="T428" s="13" t="s">
        <v>205</v>
      </c>
      <c r="U428" s="14">
        <v>45658</v>
      </c>
      <c r="V428" s="14"/>
      <c r="W428" s="15"/>
      <c r="X428" s="13"/>
      <c r="Y428" s="15"/>
      <c r="Z428" s="13"/>
      <c r="AA428" s="15"/>
      <c r="AB428" s="13"/>
      <c r="AC428" s="15"/>
      <c r="AD428" s="13"/>
      <c r="AE428" s="15"/>
      <c r="AF428" s="13"/>
      <c r="AG428" s="15"/>
      <c r="AH428" s="13"/>
      <c r="AI428" s="15"/>
      <c r="AJ428" s="13"/>
      <c r="AK428" s="15"/>
      <c r="AL428" s="13"/>
      <c r="AM428" s="15"/>
    </row>
    <row r="429" spans="1:39" ht="75" x14ac:dyDescent="0.25">
      <c r="A429" s="13" t="s">
        <v>152</v>
      </c>
      <c r="B429" s="13" t="s">
        <v>153</v>
      </c>
      <c r="C429" s="14">
        <v>45799.6875</v>
      </c>
      <c r="D429" s="13" t="s">
        <v>88</v>
      </c>
      <c r="E429" s="15" t="s">
        <v>89</v>
      </c>
      <c r="F429" s="13" t="s">
        <v>90</v>
      </c>
      <c r="G429" s="15" t="s">
        <v>91</v>
      </c>
      <c r="H429" s="13" t="s">
        <v>673</v>
      </c>
      <c r="I429" s="15" t="s">
        <v>674</v>
      </c>
      <c r="J429" s="15" t="s">
        <v>675</v>
      </c>
      <c r="K429" s="15" t="s">
        <v>676</v>
      </c>
      <c r="L429" s="13" t="s">
        <v>677</v>
      </c>
      <c r="M429" s="15" t="s">
        <v>678</v>
      </c>
      <c r="N429" s="13" t="s">
        <v>98</v>
      </c>
      <c r="O429" s="15"/>
      <c r="P429" s="15"/>
      <c r="Q429" s="15" t="s">
        <v>208</v>
      </c>
      <c r="R429" s="13" t="s">
        <v>209</v>
      </c>
      <c r="S429" s="13" t="s">
        <v>103</v>
      </c>
      <c r="T429" s="13" t="s">
        <v>205</v>
      </c>
      <c r="U429" s="14">
        <v>45658</v>
      </c>
      <c r="V429" s="14"/>
      <c r="W429" s="15"/>
      <c r="X429" s="13"/>
      <c r="Y429" s="15"/>
      <c r="Z429" s="13"/>
      <c r="AA429" s="15"/>
      <c r="AB429" s="13"/>
      <c r="AC429" s="15"/>
      <c r="AD429" s="13"/>
      <c r="AE429" s="15"/>
      <c r="AF429" s="13"/>
      <c r="AG429" s="15"/>
      <c r="AH429" s="13"/>
      <c r="AI429" s="15"/>
      <c r="AJ429" s="13"/>
      <c r="AK429" s="15"/>
      <c r="AL429" s="13"/>
      <c r="AM429" s="15"/>
    </row>
    <row r="430" spans="1:39" ht="75" x14ac:dyDescent="0.25">
      <c r="A430" s="13" t="s">
        <v>152</v>
      </c>
      <c r="B430" s="13" t="s">
        <v>153</v>
      </c>
      <c r="C430" s="14">
        <v>45799.688888888886</v>
      </c>
      <c r="D430" s="13" t="s">
        <v>88</v>
      </c>
      <c r="E430" s="15" t="s">
        <v>89</v>
      </c>
      <c r="F430" s="13" t="s">
        <v>90</v>
      </c>
      <c r="G430" s="15" t="s">
        <v>91</v>
      </c>
      <c r="H430" s="13" t="s">
        <v>673</v>
      </c>
      <c r="I430" s="15" t="s">
        <v>674</v>
      </c>
      <c r="J430" s="15" t="s">
        <v>675</v>
      </c>
      <c r="K430" s="15" t="s">
        <v>676</v>
      </c>
      <c r="L430" s="13" t="s">
        <v>679</v>
      </c>
      <c r="M430" s="15" t="s">
        <v>680</v>
      </c>
      <c r="N430" s="13" t="s">
        <v>98</v>
      </c>
      <c r="O430" s="15"/>
      <c r="P430" s="15"/>
      <c r="Q430" s="15" t="s">
        <v>208</v>
      </c>
      <c r="R430" s="13" t="s">
        <v>209</v>
      </c>
      <c r="S430" s="13" t="s">
        <v>103</v>
      </c>
      <c r="T430" s="13" t="s">
        <v>205</v>
      </c>
      <c r="U430" s="14">
        <v>45658</v>
      </c>
      <c r="V430" s="14"/>
      <c r="W430" s="15"/>
      <c r="X430" s="13"/>
      <c r="Y430" s="15"/>
      <c r="Z430" s="13"/>
      <c r="AA430" s="15"/>
      <c r="AB430" s="13"/>
      <c r="AC430" s="15"/>
      <c r="AD430" s="13"/>
      <c r="AE430" s="15"/>
      <c r="AF430" s="13"/>
      <c r="AG430" s="15"/>
      <c r="AH430" s="13"/>
      <c r="AI430" s="15"/>
      <c r="AJ430" s="13"/>
      <c r="AK430" s="15"/>
      <c r="AL430" s="13"/>
      <c r="AM430" s="15"/>
    </row>
    <row r="431" spans="1:39" ht="75" x14ac:dyDescent="0.25">
      <c r="A431" s="13" t="s">
        <v>152</v>
      </c>
      <c r="B431" s="13" t="s">
        <v>153</v>
      </c>
      <c r="C431" s="14">
        <v>45799.69027777778</v>
      </c>
      <c r="D431" s="13" t="s">
        <v>88</v>
      </c>
      <c r="E431" s="15" t="s">
        <v>89</v>
      </c>
      <c r="F431" s="13" t="s">
        <v>90</v>
      </c>
      <c r="G431" s="15" t="s">
        <v>91</v>
      </c>
      <c r="H431" s="13" t="s">
        <v>673</v>
      </c>
      <c r="I431" s="15" t="s">
        <v>674</v>
      </c>
      <c r="J431" s="15" t="s">
        <v>675</v>
      </c>
      <c r="K431" s="15" t="s">
        <v>676</v>
      </c>
      <c r="L431" s="13" t="s">
        <v>682</v>
      </c>
      <c r="M431" s="15" t="s">
        <v>683</v>
      </c>
      <c r="N431" s="13" t="s">
        <v>188</v>
      </c>
      <c r="O431" s="15"/>
      <c r="P431" s="15"/>
      <c r="Q431" s="15" t="s">
        <v>208</v>
      </c>
      <c r="R431" s="13" t="s">
        <v>209</v>
      </c>
      <c r="S431" s="13" t="s">
        <v>103</v>
      </c>
      <c r="T431" s="13" t="s">
        <v>205</v>
      </c>
      <c r="U431" s="14">
        <v>45658</v>
      </c>
      <c r="V431" s="14"/>
      <c r="W431" s="15"/>
      <c r="X431" s="13"/>
      <c r="Y431" s="15"/>
      <c r="Z431" s="13"/>
      <c r="AA431" s="15"/>
      <c r="AB431" s="13"/>
      <c r="AC431" s="15"/>
      <c r="AD431" s="13"/>
      <c r="AE431" s="15"/>
      <c r="AF431" s="13"/>
      <c r="AG431" s="15"/>
      <c r="AH431" s="13"/>
      <c r="AI431" s="15"/>
      <c r="AJ431" s="13"/>
      <c r="AK431" s="15"/>
      <c r="AL431" s="13"/>
      <c r="AM431" s="15"/>
    </row>
    <row r="432" spans="1:39"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sheetData>
  <autoFilter ref="A1:OJ1" xr:uid="{3CA5D87D-2D57-4042-B985-C0B065DA1CC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D6C3-0F24-4773-AAFA-8CB3A0F31475}">
  <dimension ref="A1:AO431"/>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8.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4" width="25.7109375" style="17" customWidth="1"/>
    <col min="25" max="25" width="15.7109375" style="12" customWidth="1"/>
    <col min="26" max="28" width="25.7109375" style="17" customWidth="1"/>
    <col min="29" max="29" width="15.7109375" style="12" customWidth="1"/>
    <col min="30" max="32" width="25.7109375" style="17" customWidth="1"/>
    <col min="33" max="33" width="15.7109375" style="12" customWidth="1"/>
    <col min="34" max="36" width="25.7109375" style="17" customWidth="1"/>
    <col min="37" max="37" width="15.7109375" style="12" customWidth="1"/>
    <col min="38" max="38" width="25.7109375" style="17" customWidth="1"/>
    <col min="39" max="39" width="40.7109375" style="17" customWidth="1"/>
    <col min="40" max="40" width="9.7109375" style="12" customWidth="1"/>
    <col min="41" max="41" width="15.7109375" style="12" customWidth="1"/>
    <col min="42" max="16384" width="11.42578125" style="12"/>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730</v>
      </c>
      <c r="X1" s="10" t="s">
        <v>731</v>
      </c>
      <c r="Y1" s="10" t="s">
        <v>732</v>
      </c>
      <c r="Z1" s="10" t="s">
        <v>733</v>
      </c>
      <c r="AA1" s="10" t="s">
        <v>734</v>
      </c>
      <c r="AB1" s="10" t="s">
        <v>735</v>
      </c>
      <c r="AC1" s="10" t="s">
        <v>736</v>
      </c>
      <c r="AD1" s="10" t="s">
        <v>737</v>
      </c>
      <c r="AE1" s="10" t="s">
        <v>738</v>
      </c>
      <c r="AF1" s="10" t="s">
        <v>739</v>
      </c>
      <c r="AG1" s="10" t="s">
        <v>740</v>
      </c>
      <c r="AH1" s="10" t="s">
        <v>741</v>
      </c>
      <c r="AI1" s="10" t="s">
        <v>742</v>
      </c>
      <c r="AJ1" s="10" t="s">
        <v>743</v>
      </c>
      <c r="AK1" s="10" t="s">
        <v>744</v>
      </c>
      <c r="AL1" s="10" t="s">
        <v>745</v>
      </c>
      <c r="AM1" s="10" t="s">
        <v>746</v>
      </c>
      <c r="AN1" s="10" t="s">
        <v>84</v>
      </c>
      <c r="AO1" s="10" t="s">
        <v>85</v>
      </c>
    </row>
    <row r="2" spans="1:41" ht="120" x14ac:dyDescent="0.25">
      <c r="A2" s="13" t="s">
        <v>86</v>
      </c>
      <c r="B2" s="13" t="s">
        <v>87</v>
      </c>
      <c r="C2" s="14">
        <v>43850.552083333336</v>
      </c>
      <c r="D2" s="13" t="s">
        <v>88</v>
      </c>
      <c r="E2" s="15" t="s">
        <v>89</v>
      </c>
      <c r="F2" s="13" t="s">
        <v>90</v>
      </c>
      <c r="G2" s="15" t="s">
        <v>91</v>
      </c>
      <c r="H2" s="13" t="s">
        <v>92</v>
      </c>
      <c r="I2" s="15" t="s">
        <v>93</v>
      </c>
      <c r="J2" s="15" t="s">
        <v>94</v>
      </c>
      <c r="K2" s="15" t="s">
        <v>95</v>
      </c>
      <c r="L2" s="13" t="s">
        <v>96</v>
      </c>
      <c r="M2" s="15" t="s">
        <v>97</v>
      </c>
      <c r="N2" s="13" t="s">
        <v>98</v>
      </c>
      <c r="O2" s="15" t="s">
        <v>99</v>
      </c>
      <c r="P2" s="15" t="s">
        <v>100</v>
      </c>
      <c r="Q2" s="15" t="s">
        <v>101</v>
      </c>
      <c r="R2" s="13" t="s">
        <v>102</v>
      </c>
      <c r="S2" s="13" t="s">
        <v>103</v>
      </c>
      <c r="T2" s="13" t="s">
        <v>104</v>
      </c>
      <c r="U2" s="14">
        <v>40725</v>
      </c>
      <c r="V2" s="14">
        <v>43830</v>
      </c>
      <c r="W2" s="15"/>
      <c r="X2" s="15"/>
      <c r="Y2" s="13"/>
      <c r="Z2" s="15"/>
      <c r="AA2" s="15"/>
      <c r="AB2" s="15"/>
      <c r="AC2" s="13"/>
      <c r="AD2" s="15"/>
      <c r="AE2" s="15"/>
      <c r="AF2" s="15"/>
      <c r="AG2" s="13"/>
      <c r="AH2" s="15"/>
      <c r="AI2" s="15"/>
      <c r="AJ2" s="15"/>
      <c r="AK2" s="13"/>
      <c r="AL2" s="15"/>
      <c r="AM2" s="15"/>
      <c r="AN2" s="13"/>
      <c r="AO2" s="13"/>
    </row>
    <row r="3" spans="1:41" ht="120" x14ac:dyDescent="0.25">
      <c r="A3" s="13" t="s">
        <v>152</v>
      </c>
      <c r="B3" s="13" t="s">
        <v>153</v>
      </c>
      <c r="C3" s="14">
        <v>45807.448611111111</v>
      </c>
      <c r="D3" s="13" t="s">
        <v>88</v>
      </c>
      <c r="E3" s="15" t="s">
        <v>89</v>
      </c>
      <c r="F3" s="13" t="s">
        <v>90</v>
      </c>
      <c r="G3" s="15" t="s">
        <v>91</v>
      </c>
      <c r="H3" s="13" t="s">
        <v>92</v>
      </c>
      <c r="I3" s="15" t="s">
        <v>93</v>
      </c>
      <c r="J3" s="15" t="s">
        <v>94</v>
      </c>
      <c r="K3" s="15" t="s">
        <v>95</v>
      </c>
      <c r="L3" s="13" t="s">
        <v>96</v>
      </c>
      <c r="M3" s="15" t="s">
        <v>97</v>
      </c>
      <c r="N3" s="13" t="s">
        <v>98</v>
      </c>
      <c r="O3" s="15" t="s">
        <v>99</v>
      </c>
      <c r="P3" s="15" t="s">
        <v>100</v>
      </c>
      <c r="Q3" s="15" t="s">
        <v>101</v>
      </c>
      <c r="R3" s="13" t="s">
        <v>102</v>
      </c>
      <c r="S3" s="13" t="s">
        <v>103</v>
      </c>
      <c r="T3" s="13" t="s">
        <v>104</v>
      </c>
      <c r="U3" s="14">
        <v>43831</v>
      </c>
      <c r="V3" s="14"/>
      <c r="W3" s="15"/>
      <c r="X3" s="15"/>
      <c r="Y3" s="13"/>
      <c r="Z3" s="15"/>
      <c r="AA3" s="15"/>
      <c r="AB3" s="15"/>
      <c r="AC3" s="13"/>
      <c r="AD3" s="15"/>
      <c r="AE3" s="15"/>
      <c r="AF3" s="15"/>
      <c r="AG3" s="13"/>
      <c r="AH3" s="15"/>
      <c r="AI3" s="15"/>
      <c r="AJ3" s="15"/>
      <c r="AK3" s="13"/>
      <c r="AL3" s="15"/>
      <c r="AM3" s="15"/>
      <c r="AN3" s="13"/>
      <c r="AO3" s="13"/>
    </row>
    <row r="4" spans="1:41" ht="120" x14ac:dyDescent="0.25">
      <c r="A4" s="13" t="s">
        <v>167</v>
      </c>
      <c r="B4" s="13" t="s">
        <v>87</v>
      </c>
      <c r="C4" s="14">
        <v>44071.418055555558</v>
      </c>
      <c r="D4" s="13" t="s">
        <v>88</v>
      </c>
      <c r="E4" s="15" t="s">
        <v>89</v>
      </c>
      <c r="F4" s="13" t="s">
        <v>90</v>
      </c>
      <c r="G4" s="15" t="s">
        <v>91</v>
      </c>
      <c r="H4" s="13" t="s">
        <v>92</v>
      </c>
      <c r="I4" s="15" t="s">
        <v>93</v>
      </c>
      <c r="J4" s="15" t="s">
        <v>94</v>
      </c>
      <c r="K4" s="15" t="s">
        <v>95</v>
      </c>
      <c r="L4" s="13" t="s">
        <v>168</v>
      </c>
      <c r="M4" s="15" t="s">
        <v>169</v>
      </c>
      <c r="N4" s="13" t="s">
        <v>98</v>
      </c>
      <c r="O4" s="15" t="s">
        <v>170</v>
      </c>
      <c r="P4" s="15" t="s">
        <v>171</v>
      </c>
      <c r="Q4" s="15" t="s">
        <v>101</v>
      </c>
      <c r="R4" s="13" t="s">
        <v>102</v>
      </c>
      <c r="S4" s="13" t="s">
        <v>103</v>
      </c>
      <c r="T4" s="13" t="s">
        <v>104</v>
      </c>
      <c r="U4" s="14">
        <v>40725</v>
      </c>
      <c r="V4" s="14">
        <v>43830</v>
      </c>
      <c r="W4" s="15"/>
      <c r="X4" s="15"/>
      <c r="Y4" s="13"/>
      <c r="Z4" s="15"/>
      <c r="AA4" s="15"/>
      <c r="AB4" s="15"/>
      <c r="AC4" s="13"/>
      <c r="AD4" s="15"/>
      <c r="AE4" s="15"/>
      <c r="AF4" s="15"/>
      <c r="AG4" s="13"/>
      <c r="AH4" s="15"/>
      <c r="AI4" s="15"/>
      <c r="AJ4" s="15"/>
      <c r="AK4" s="13"/>
      <c r="AL4" s="15"/>
      <c r="AM4" s="15"/>
      <c r="AN4" s="13"/>
      <c r="AO4" s="13"/>
    </row>
    <row r="5" spans="1:41" ht="120" x14ac:dyDescent="0.25">
      <c r="A5" s="13" t="s">
        <v>167</v>
      </c>
      <c r="B5" s="13" t="s">
        <v>153</v>
      </c>
      <c r="C5" s="14">
        <v>44071.421527777777</v>
      </c>
      <c r="D5" s="13" t="s">
        <v>88</v>
      </c>
      <c r="E5" s="15" t="s">
        <v>89</v>
      </c>
      <c r="F5" s="13" t="s">
        <v>90</v>
      </c>
      <c r="G5" s="15" t="s">
        <v>91</v>
      </c>
      <c r="H5" s="13" t="s">
        <v>92</v>
      </c>
      <c r="I5" s="15" t="s">
        <v>93</v>
      </c>
      <c r="J5" s="15" t="s">
        <v>94</v>
      </c>
      <c r="K5" s="15" t="s">
        <v>95</v>
      </c>
      <c r="L5" s="13" t="s">
        <v>168</v>
      </c>
      <c r="M5" s="15" t="s">
        <v>169</v>
      </c>
      <c r="N5" s="13" t="s">
        <v>98</v>
      </c>
      <c r="O5" s="15" t="s">
        <v>170</v>
      </c>
      <c r="P5" s="15" t="s">
        <v>171</v>
      </c>
      <c r="Q5" s="15" t="s">
        <v>101</v>
      </c>
      <c r="R5" s="13" t="s">
        <v>102</v>
      </c>
      <c r="S5" s="13" t="s">
        <v>103</v>
      </c>
      <c r="T5" s="13" t="s">
        <v>104</v>
      </c>
      <c r="U5" s="14">
        <v>43831</v>
      </c>
      <c r="V5" s="14"/>
      <c r="W5" s="15"/>
      <c r="X5" s="15"/>
      <c r="Y5" s="13"/>
      <c r="Z5" s="15"/>
      <c r="AA5" s="15"/>
      <c r="AB5" s="15"/>
      <c r="AC5" s="13"/>
      <c r="AD5" s="15"/>
      <c r="AE5" s="15"/>
      <c r="AF5" s="15"/>
      <c r="AG5" s="13"/>
      <c r="AH5" s="15"/>
      <c r="AI5" s="15"/>
      <c r="AJ5" s="15"/>
      <c r="AK5" s="13"/>
      <c r="AL5" s="15"/>
      <c r="AM5" s="15"/>
      <c r="AN5" s="13"/>
      <c r="AO5" s="13"/>
    </row>
    <row r="6" spans="1:41" ht="120" x14ac:dyDescent="0.25">
      <c r="A6" s="13" t="s">
        <v>86</v>
      </c>
      <c r="B6" s="13" t="s">
        <v>87</v>
      </c>
      <c r="C6" s="14">
        <v>43850.552083333336</v>
      </c>
      <c r="D6" s="13" t="s">
        <v>88</v>
      </c>
      <c r="E6" s="15" t="s">
        <v>89</v>
      </c>
      <c r="F6" s="13" t="s">
        <v>90</v>
      </c>
      <c r="G6" s="15" t="s">
        <v>91</v>
      </c>
      <c r="H6" s="13" t="s">
        <v>92</v>
      </c>
      <c r="I6" s="15" t="s">
        <v>93</v>
      </c>
      <c r="J6" s="15" t="s">
        <v>94</v>
      </c>
      <c r="K6" s="15" t="s">
        <v>95</v>
      </c>
      <c r="L6" s="13" t="s">
        <v>186</v>
      </c>
      <c r="M6" s="15" t="s">
        <v>187</v>
      </c>
      <c r="N6" s="13" t="s">
        <v>188</v>
      </c>
      <c r="O6" s="15" t="s">
        <v>189</v>
      </c>
      <c r="P6" s="15" t="s">
        <v>190</v>
      </c>
      <c r="Q6" s="15" t="s">
        <v>101</v>
      </c>
      <c r="R6" s="13" t="s">
        <v>102</v>
      </c>
      <c r="S6" s="13" t="s">
        <v>103</v>
      </c>
      <c r="T6" s="13" t="s">
        <v>104</v>
      </c>
      <c r="U6" s="14">
        <v>40725</v>
      </c>
      <c r="V6" s="14"/>
      <c r="W6" s="15"/>
      <c r="X6" s="15"/>
      <c r="Y6" s="13"/>
      <c r="Z6" s="15"/>
      <c r="AA6" s="15"/>
      <c r="AB6" s="15"/>
      <c r="AC6" s="13"/>
      <c r="AD6" s="15"/>
      <c r="AE6" s="15"/>
      <c r="AF6" s="15"/>
      <c r="AG6" s="13"/>
      <c r="AH6" s="15"/>
      <c r="AI6" s="15"/>
      <c r="AJ6" s="15"/>
      <c r="AK6" s="13"/>
      <c r="AL6" s="15"/>
      <c r="AM6" s="15"/>
      <c r="AN6" s="13"/>
      <c r="AO6" s="13"/>
    </row>
    <row r="7" spans="1:41" ht="120" x14ac:dyDescent="0.25">
      <c r="A7" s="13" t="s">
        <v>202</v>
      </c>
      <c r="B7" s="13" t="s">
        <v>153</v>
      </c>
      <c r="C7" s="14">
        <v>43152.5</v>
      </c>
      <c r="D7" s="13" t="s">
        <v>88</v>
      </c>
      <c r="E7" s="15" t="s">
        <v>89</v>
      </c>
      <c r="F7" s="13" t="s">
        <v>90</v>
      </c>
      <c r="G7" s="15" t="s">
        <v>91</v>
      </c>
      <c r="H7" s="13" t="s">
        <v>92</v>
      </c>
      <c r="I7" s="15" t="s">
        <v>93</v>
      </c>
      <c r="J7" s="15" t="s">
        <v>94</v>
      </c>
      <c r="K7" s="15" t="s">
        <v>95</v>
      </c>
      <c r="L7" s="13" t="s">
        <v>96</v>
      </c>
      <c r="M7" s="15" t="s">
        <v>97</v>
      </c>
      <c r="N7" s="13" t="s">
        <v>98</v>
      </c>
      <c r="O7" s="15" t="s">
        <v>99</v>
      </c>
      <c r="P7" s="15" t="s">
        <v>100</v>
      </c>
      <c r="Q7" s="15" t="s">
        <v>203</v>
      </c>
      <c r="R7" s="13" t="s">
        <v>204</v>
      </c>
      <c r="S7" s="13" t="s">
        <v>103</v>
      </c>
      <c r="T7" s="13" t="s">
        <v>205</v>
      </c>
      <c r="U7" s="14">
        <v>40725</v>
      </c>
      <c r="V7" s="14"/>
      <c r="W7" s="15"/>
      <c r="X7" s="15"/>
      <c r="Y7" s="13"/>
      <c r="Z7" s="15"/>
      <c r="AA7" s="15"/>
      <c r="AB7" s="15"/>
      <c r="AC7" s="13"/>
      <c r="AD7" s="15"/>
      <c r="AE7" s="15"/>
      <c r="AF7" s="15"/>
      <c r="AG7" s="13"/>
      <c r="AH7" s="15"/>
      <c r="AI7" s="15"/>
      <c r="AJ7" s="15"/>
      <c r="AK7" s="13"/>
      <c r="AL7" s="15"/>
      <c r="AM7" s="15"/>
      <c r="AN7" s="13"/>
      <c r="AO7" s="13"/>
    </row>
    <row r="8" spans="1:41" ht="120" x14ac:dyDescent="0.25">
      <c r="A8" s="13" t="s">
        <v>202</v>
      </c>
      <c r="B8" s="13" t="s">
        <v>153</v>
      </c>
      <c r="C8" s="14">
        <v>43152.5</v>
      </c>
      <c r="D8" s="13" t="s">
        <v>88</v>
      </c>
      <c r="E8" s="15" t="s">
        <v>89</v>
      </c>
      <c r="F8" s="13" t="s">
        <v>90</v>
      </c>
      <c r="G8" s="15" t="s">
        <v>91</v>
      </c>
      <c r="H8" s="13" t="s">
        <v>92</v>
      </c>
      <c r="I8" s="15" t="s">
        <v>93</v>
      </c>
      <c r="J8" s="15" t="s">
        <v>94</v>
      </c>
      <c r="K8" s="15" t="s">
        <v>95</v>
      </c>
      <c r="L8" s="13" t="s">
        <v>168</v>
      </c>
      <c r="M8" s="15" t="s">
        <v>169</v>
      </c>
      <c r="N8" s="13" t="s">
        <v>98</v>
      </c>
      <c r="O8" s="15" t="s">
        <v>170</v>
      </c>
      <c r="P8" s="15" t="s">
        <v>171</v>
      </c>
      <c r="Q8" s="15" t="s">
        <v>203</v>
      </c>
      <c r="R8" s="13" t="s">
        <v>204</v>
      </c>
      <c r="S8" s="13" t="s">
        <v>103</v>
      </c>
      <c r="T8" s="13" t="s">
        <v>205</v>
      </c>
      <c r="U8" s="14">
        <v>40725</v>
      </c>
      <c r="V8" s="14"/>
      <c r="W8" s="15"/>
      <c r="X8" s="15"/>
      <c r="Y8" s="13"/>
      <c r="Z8" s="15"/>
      <c r="AA8" s="15"/>
      <c r="AB8" s="15"/>
      <c r="AC8" s="13"/>
      <c r="AD8" s="15"/>
      <c r="AE8" s="15"/>
      <c r="AF8" s="15"/>
      <c r="AG8" s="13"/>
      <c r="AH8" s="15"/>
      <c r="AI8" s="15"/>
      <c r="AJ8" s="15"/>
      <c r="AK8" s="13"/>
      <c r="AL8" s="15"/>
      <c r="AM8" s="15"/>
      <c r="AN8" s="13"/>
      <c r="AO8" s="13"/>
    </row>
    <row r="9" spans="1:41" ht="120" x14ac:dyDescent="0.25">
      <c r="A9" s="13" t="s">
        <v>202</v>
      </c>
      <c r="B9" s="13" t="s">
        <v>153</v>
      </c>
      <c r="C9" s="14">
        <v>43152.5</v>
      </c>
      <c r="D9" s="13" t="s">
        <v>88</v>
      </c>
      <c r="E9" s="15" t="s">
        <v>89</v>
      </c>
      <c r="F9" s="13" t="s">
        <v>90</v>
      </c>
      <c r="G9" s="15" t="s">
        <v>91</v>
      </c>
      <c r="H9" s="13" t="s">
        <v>92</v>
      </c>
      <c r="I9" s="15" t="s">
        <v>93</v>
      </c>
      <c r="J9" s="15" t="s">
        <v>94</v>
      </c>
      <c r="K9" s="15" t="s">
        <v>95</v>
      </c>
      <c r="L9" s="13" t="s">
        <v>186</v>
      </c>
      <c r="M9" s="15" t="s">
        <v>187</v>
      </c>
      <c r="N9" s="13" t="s">
        <v>188</v>
      </c>
      <c r="O9" s="15" t="s">
        <v>189</v>
      </c>
      <c r="P9" s="15" t="s">
        <v>190</v>
      </c>
      <c r="Q9" s="15" t="s">
        <v>203</v>
      </c>
      <c r="R9" s="13" t="s">
        <v>204</v>
      </c>
      <c r="S9" s="13" t="s">
        <v>103</v>
      </c>
      <c r="T9" s="13" t="s">
        <v>205</v>
      </c>
      <c r="U9" s="14">
        <v>40725</v>
      </c>
      <c r="V9" s="14"/>
      <c r="W9" s="15"/>
      <c r="X9" s="15"/>
      <c r="Y9" s="13"/>
      <c r="Z9" s="15"/>
      <c r="AA9" s="15"/>
      <c r="AB9" s="15"/>
      <c r="AC9" s="13"/>
      <c r="AD9" s="15"/>
      <c r="AE9" s="15"/>
      <c r="AF9" s="15"/>
      <c r="AG9" s="13"/>
      <c r="AH9" s="15"/>
      <c r="AI9" s="15"/>
      <c r="AJ9" s="15"/>
      <c r="AK9" s="13"/>
      <c r="AL9" s="15"/>
      <c r="AM9" s="15"/>
      <c r="AN9" s="13"/>
      <c r="AO9" s="13"/>
    </row>
    <row r="10" spans="1:41" ht="120" x14ac:dyDescent="0.25">
      <c r="A10" s="13" t="s">
        <v>202</v>
      </c>
      <c r="B10" s="13" t="s">
        <v>153</v>
      </c>
      <c r="C10" s="14">
        <v>43152.5</v>
      </c>
      <c r="D10" s="13" t="s">
        <v>88</v>
      </c>
      <c r="E10" s="15" t="s">
        <v>89</v>
      </c>
      <c r="F10" s="13" t="s">
        <v>90</v>
      </c>
      <c r="G10" s="15" t="s">
        <v>91</v>
      </c>
      <c r="H10" s="13" t="s">
        <v>92</v>
      </c>
      <c r="I10" s="15" t="s">
        <v>93</v>
      </c>
      <c r="J10" s="15" t="s">
        <v>94</v>
      </c>
      <c r="K10" s="15" t="s">
        <v>95</v>
      </c>
      <c r="L10" s="13" t="s">
        <v>96</v>
      </c>
      <c r="M10" s="15" t="s">
        <v>97</v>
      </c>
      <c r="N10" s="13" t="s">
        <v>98</v>
      </c>
      <c r="O10" s="15" t="s">
        <v>99</v>
      </c>
      <c r="P10" s="15" t="s">
        <v>100</v>
      </c>
      <c r="Q10" s="15" t="s">
        <v>206</v>
      </c>
      <c r="R10" s="13" t="s">
        <v>207</v>
      </c>
      <c r="S10" s="13" t="s">
        <v>103</v>
      </c>
      <c r="T10" s="13" t="s">
        <v>205</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120" x14ac:dyDescent="0.25">
      <c r="A11" s="13" t="s">
        <v>202</v>
      </c>
      <c r="B11" s="13" t="s">
        <v>153</v>
      </c>
      <c r="C11" s="14">
        <v>43152.5</v>
      </c>
      <c r="D11" s="13" t="s">
        <v>88</v>
      </c>
      <c r="E11" s="15" t="s">
        <v>89</v>
      </c>
      <c r="F11" s="13" t="s">
        <v>90</v>
      </c>
      <c r="G11" s="15" t="s">
        <v>91</v>
      </c>
      <c r="H11" s="13" t="s">
        <v>92</v>
      </c>
      <c r="I11" s="15" t="s">
        <v>93</v>
      </c>
      <c r="J11" s="15" t="s">
        <v>94</v>
      </c>
      <c r="K11" s="15" t="s">
        <v>95</v>
      </c>
      <c r="L11" s="13" t="s">
        <v>168</v>
      </c>
      <c r="M11" s="15" t="s">
        <v>169</v>
      </c>
      <c r="N11" s="13" t="s">
        <v>98</v>
      </c>
      <c r="O11" s="15" t="s">
        <v>170</v>
      </c>
      <c r="P11" s="15" t="s">
        <v>171</v>
      </c>
      <c r="Q11" s="15" t="s">
        <v>206</v>
      </c>
      <c r="R11" s="13" t="s">
        <v>207</v>
      </c>
      <c r="S11" s="13" t="s">
        <v>103</v>
      </c>
      <c r="T11" s="13" t="s">
        <v>205</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120" x14ac:dyDescent="0.25">
      <c r="A12" s="13" t="s">
        <v>202</v>
      </c>
      <c r="B12" s="13" t="s">
        <v>153</v>
      </c>
      <c r="C12" s="14">
        <v>43152.5</v>
      </c>
      <c r="D12" s="13" t="s">
        <v>88</v>
      </c>
      <c r="E12" s="15" t="s">
        <v>89</v>
      </c>
      <c r="F12" s="13" t="s">
        <v>90</v>
      </c>
      <c r="G12" s="15" t="s">
        <v>91</v>
      </c>
      <c r="H12" s="13" t="s">
        <v>92</v>
      </c>
      <c r="I12" s="15" t="s">
        <v>93</v>
      </c>
      <c r="J12" s="15" t="s">
        <v>94</v>
      </c>
      <c r="K12" s="15" t="s">
        <v>95</v>
      </c>
      <c r="L12" s="13" t="s">
        <v>186</v>
      </c>
      <c r="M12" s="15" t="s">
        <v>187</v>
      </c>
      <c r="N12" s="13" t="s">
        <v>188</v>
      </c>
      <c r="O12" s="15" t="s">
        <v>189</v>
      </c>
      <c r="P12" s="15" t="s">
        <v>190</v>
      </c>
      <c r="Q12" s="15" t="s">
        <v>206</v>
      </c>
      <c r="R12" s="13" t="s">
        <v>207</v>
      </c>
      <c r="S12" s="13" t="s">
        <v>103</v>
      </c>
      <c r="T12" s="13" t="s">
        <v>205</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120" x14ac:dyDescent="0.25">
      <c r="A13" s="13" t="s">
        <v>202</v>
      </c>
      <c r="B13" s="13" t="s">
        <v>153</v>
      </c>
      <c r="C13" s="14">
        <v>43152.5</v>
      </c>
      <c r="D13" s="13" t="s">
        <v>88</v>
      </c>
      <c r="E13" s="15" t="s">
        <v>89</v>
      </c>
      <c r="F13" s="13" t="s">
        <v>90</v>
      </c>
      <c r="G13" s="15" t="s">
        <v>91</v>
      </c>
      <c r="H13" s="13" t="s">
        <v>92</v>
      </c>
      <c r="I13" s="15" t="s">
        <v>93</v>
      </c>
      <c r="J13" s="15" t="s">
        <v>94</v>
      </c>
      <c r="K13" s="15" t="s">
        <v>95</v>
      </c>
      <c r="L13" s="13" t="s">
        <v>96</v>
      </c>
      <c r="M13" s="15" t="s">
        <v>97</v>
      </c>
      <c r="N13" s="13" t="s">
        <v>98</v>
      </c>
      <c r="O13" s="15" t="s">
        <v>99</v>
      </c>
      <c r="P13" s="15" t="s">
        <v>100</v>
      </c>
      <c r="Q13" s="15" t="s">
        <v>208</v>
      </c>
      <c r="R13" s="13" t="s">
        <v>209</v>
      </c>
      <c r="S13" s="13" t="s">
        <v>103</v>
      </c>
      <c r="T13" s="13" t="s">
        <v>205</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120" x14ac:dyDescent="0.25">
      <c r="A14" s="13" t="s">
        <v>202</v>
      </c>
      <c r="B14" s="13" t="s">
        <v>153</v>
      </c>
      <c r="C14" s="14">
        <v>43152.5</v>
      </c>
      <c r="D14" s="13" t="s">
        <v>88</v>
      </c>
      <c r="E14" s="15" t="s">
        <v>89</v>
      </c>
      <c r="F14" s="13" t="s">
        <v>90</v>
      </c>
      <c r="G14" s="15" t="s">
        <v>91</v>
      </c>
      <c r="H14" s="13" t="s">
        <v>92</v>
      </c>
      <c r="I14" s="15" t="s">
        <v>93</v>
      </c>
      <c r="J14" s="15" t="s">
        <v>94</v>
      </c>
      <c r="K14" s="15" t="s">
        <v>95</v>
      </c>
      <c r="L14" s="13" t="s">
        <v>168</v>
      </c>
      <c r="M14" s="15" t="s">
        <v>169</v>
      </c>
      <c r="N14" s="13" t="s">
        <v>98</v>
      </c>
      <c r="O14" s="15" t="s">
        <v>170</v>
      </c>
      <c r="P14" s="15" t="s">
        <v>171</v>
      </c>
      <c r="Q14" s="15" t="s">
        <v>208</v>
      </c>
      <c r="R14" s="13" t="s">
        <v>209</v>
      </c>
      <c r="S14" s="13" t="s">
        <v>103</v>
      </c>
      <c r="T14" s="13" t="s">
        <v>205</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120" x14ac:dyDescent="0.25">
      <c r="A15" s="13" t="s">
        <v>202</v>
      </c>
      <c r="B15" s="13" t="s">
        <v>153</v>
      </c>
      <c r="C15" s="14">
        <v>43152.5</v>
      </c>
      <c r="D15" s="13" t="s">
        <v>88</v>
      </c>
      <c r="E15" s="15" t="s">
        <v>89</v>
      </c>
      <c r="F15" s="13" t="s">
        <v>90</v>
      </c>
      <c r="G15" s="15" t="s">
        <v>91</v>
      </c>
      <c r="H15" s="13" t="s">
        <v>92</v>
      </c>
      <c r="I15" s="15" t="s">
        <v>93</v>
      </c>
      <c r="J15" s="15" t="s">
        <v>94</v>
      </c>
      <c r="K15" s="15" t="s">
        <v>95</v>
      </c>
      <c r="L15" s="13" t="s">
        <v>186</v>
      </c>
      <c r="M15" s="15" t="s">
        <v>187</v>
      </c>
      <c r="N15" s="13" t="s">
        <v>188</v>
      </c>
      <c r="O15" s="15" t="s">
        <v>189</v>
      </c>
      <c r="P15" s="15" t="s">
        <v>190</v>
      </c>
      <c r="Q15" s="15" t="s">
        <v>208</v>
      </c>
      <c r="R15" s="13" t="s">
        <v>209</v>
      </c>
      <c r="S15" s="13" t="s">
        <v>103</v>
      </c>
      <c r="T15" s="13" t="s">
        <v>205</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120" x14ac:dyDescent="0.25">
      <c r="A16" s="13" t="s">
        <v>86</v>
      </c>
      <c r="B16" s="13" t="s">
        <v>87</v>
      </c>
      <c r="C16" s="14">
        <v>43850.552083333336</v>
      </c>
      <c r="D16" s="13" t="s">
        <v>88</v>
      </c>
      <c r="E16" s="15" t="s">
        <v>89</v>
      </c>
      <c r="F16" s="13" t="s">
        <v>90</v>
      </c>
      <c r="G16" s="15" t="s">
        <v>91</v>
      </c>
      <c r="H16" s="13" t="s">
        <v>92</v>
      </c>
      <c r="I16" s="15" t="s">
        <v>93</v>
      </c>
      <c r="J16" s="15" t="s">
        <v>94</v>
      </c>
      <c r="K16" s="15" t="s">
        <v>95</v>
      </c>
      <c r="L16" s="13" t="s">
        <v>96</v>
      </c>
      <c r="M16" s="15" t="s">
        <v>97</v>
      </c>
      <c r="N16" s="13" t="s">
        <v>98</v>
      </c>
      <c r="O16" s="15" t="s">
        <v>99</v>
      </c>
      <c r="P16" s="15" t="s">
        <v>100</v>
      </c>
      <c r="Q16" s="15" t="s">
        <v>210</v>
      </c>
      <c r="R16" s="13" t="s">
        <v>211</v>
      </c>
      <c r="S16" s="13" t="s">
        <v>212</v>
      </c>
      <c r="T16" s="13" t="s">
        <v>104</v>
      </c>
      <c r="U16" s="14">
        <v>40725</v>
      </c>
      <c r="V16" s="14">
        <v>43830</v>
      </c>
      <c r="W16" s="15"/>
      <c r="X16" s="15"/>
      <c r="Y16" s="13"/>
      <c r="Z16" s="15"/>
      <c r="AA16" s="15"/>
      <c r="AB16" s="15"/>
      <c r="AC16" s="13"/>
      <c r="AD16" s="15"/>
      <c r="AE16" s="15"/>
      <c r="AF16" s="15"/>
      <c r="AG16" s="13"/>
      <c r="AH16" s="15"/>
      <c r="AI16" s="15"/>
      <c r="AJ16" s="15"/>
      <c r="AK16" s="13"/>
      <c r="AL16" s="15"/>
      <c r="AM16" s="15"/>
      <c r="AN16" s="13"/>
      <c r="AO16" s="13"/>
    </row>
    <row r="17" spans="1:41" ht="120" x14ac:dyDescent="0.25">
      <c r="A17" s="13" t="s">
        <v>86</v>
      </c>
      <c r="B17" s="13" t="s">
        <v>153</v>
      </c>
      <c r="C17" s="14">
        <v>44012.454861111109</v>
      </c>
      <c r="D17" s="13" t="s">
        <v>88</v>
      </c>
      <c r="E17" s="15" t="s">
        <v>89</v>
      </c>
      <c r="F17" s="13" t="s">
        <v>90</v>
      </c>
      <c r="G17" s="15" t="s">
        <v>91</v>
      </c>
      <c r="H17" s="13" t="s">
        <v>92</v>
      </c>
      <c r="I17" s="15" t="s">
        <v>93</v>
      </c>
      <c r="J17" s="15" t="s">
        <v>94</v>
      </c>
      <c r="K17" s="15" t="s">
        <v>95</v>
      </c>
      <c r="L17" s="13" t="s">
        <v>96</v>
      </c>
      <c r="M17" s="15" t="s">
        <v>97</v>
      </c>
      <c r="N17" s="13" t="s">
        <v>98</v>
      </c>
      <c r="O17" s="15" t="s">
        <v>99</v>
      </c>
      <c r="P17" s="15" t="s">
        <v>100</v>
      </c>
      <c r="Q17" s="15" t="s">
        <v>210</v>
      </c>
      <c r="R17" s="13" t="s">
        <v>211</v>
      </c>
      <c r="S17" s="13" t="s">
        <v>212</v>
      </c>
      <c r="T17" s="13" t="s">
        <v>104</v>
      </c>
      <c r="U17" s="14">
        <v>43831</v>
      </c>
      <c r="V17" s="14"/>
      <c r="W17" s="15"/>
      <c r="X17" s="15"/>
      <c r="Y17" s="13"/>
      <c r="Z17" s="15"/>
      <c r="AA17" s="15"/>
      <c r="AB17" s="15"/>
      <c r="AC17" s="13"/>
      <c r="AD17" s="15"/>
      <c r="AE17" s="15"/>
      <c r="AF17" s="15"/>
      <c r="AG17" s="13"/>
      <c r="AH17" s="15"/>
      <c r="AI17" s="15"/>
      <c r="AJ17" s="15"/>
      <c r="AK17" s="13"/>
      <c r="AL17" s="15"/>
      <c r="AM17" s="15"/>
      <c r="AN17" s="13"/>
      <c r="AO17" s="13"/>
    </row>
    <row r="18" spans="1:41" ht="120" x14ac:dyDescent="0.25">
      <c r="A18" s="13" t="s">
        <v>86</v>
      </c>
      <c r="B18" s="13" t="s">
        <v>87</v>
      </c>
      <c r="C18" s="14">
        <v>43850.552083333336</v>
      </c>
      <c r="D18" s="13" t="s">
        <v>88</v>
      </c>
      <c r="E18" s="15" t="s">
        <v>89</v>
      </c>
      <c r="F18" s="13" t="s">
        <v>90</v>
      </c>
      <c r="G18" s="15" t="s">
        <v>91</v>
      </c>
      <c r="H18" s="13" t="s">
        <v>92</v>
      </c>
      <c r="I18" s="15" t="s">
        <v>93</v>
      </c>
      <c r="J18" s="15" t="s">
        <v>94</v>
      </c>
      <c r="K18" s="15" t="s">
        <v>95</v>
      </c>
      <c r="L18" s="13" t="s">
        <v>168</v>
      </c>
      <c r="M18" s="15" t="s">
        <v>169</v>
      </c>
      <c r="N18" s="13" t="s">
        <v>98</v>
      </c>
      <c r="O18" s="15" t="s">
        <v>170</v>
      </c>
      <c r="P18" s="15" t="s">
        <v>171</v>
      </c>
      <c r="Q18" s="15" t="s">
        <v>210</v>
      </c>
      <c r="R18" s="13" t="s">
        <v>211</v>
      </c>
      <c r="S18" s="13" t="s">
        <v>212</v>
      </c>
      <c r="T18" s="13" t="s">
        <v>104</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120" x14ac:dyDescent="0.25">
      <c r="A19" s="13" t="s">
        <v>86</v>
      </c>
      <c r="B19" s="13" t="s">
        <v>87</v>
      </c>
      <c r="C19" s="14">
        <v>43850.552083333336</v>
      </c>
      <c r="D19" s="13" t="s">
        <v>88</v>
      </c>
      <c r="E19" s="15" t="s">
        <v>89</v>
      </c>
      <c r="F19" s="13" t="s">
        <v>90</v>
      </c>
      <c r="G19" s="15" t="s">
        <v>91</v>
      </c>
      <c r="H19" s="13" t="s">
        <v>92</v>
      </c>
      <c r="I19" s="15" t="s">
        <v>93</v>
      </c>
      <c r="J19" s="15" t="s">
        <v>94</v>
      </c>
      <c r="K19" s="15" t="s">
        <v>95</v>
      </c>
      <c r="L19" s="13" t="s">
        <v>186</v>
      </c>
      <c r="M19" s="15" t="s">
        <v>187</v>
      </c>
      <c r="N19" s="13" t="s">
        <v>188</v>
      </c>
      <c r="O19" s="15" t="s">
        <v>189</v>
      </c>
      <c r="P19" s="15" t="s">
        <v>190</v>
      </c>
      <c r="Q19" s="15" t="s">
        <v>210</v>
      </c>
      <c r="R19" s="13" t="s">
        <v>211</v>
      </c>
      <c r="S19" s="13" t="s">
        <v>212</v>
      </c>
      <c r="T19" s="13" t="s">
        <v>104</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120" x14ac:dyDescent="0.25">
      <c r="A20" s="13" t="s">
        <v>86</v>
      </c>
      <c r="B20" s="13" t="s">
        <v>87</v>
      </c>
      <c r="C20" s="14">
        <v>43850.552083333336</v>
      </c>
      <c r="D20" s="13" t="s">
        <v>88</v>
      </c>
      <c r="E20" s="15" t="s">
        <v>89</v>
      </c>
      <c r="F20" s="13" t="s">
        <v>90</v>
      </c>
      <c r="G20" s="15" t="s">
        <v>91</v>
      </c>
      <c r="H20" s="13" t="s">
        <v>92</v>
      </c>
      <c r="I20" s="15" t="s">
        <v>93</v>
      </c>
      <c r="J20" s="15" t="s">
        <v>94</v>
      </c>
      <c r="K20" s="15" t="s">
        <v>95</v>
      </c>
      <c r="L20" s="13" t="s">
        <v>96</v>
      </c>
      <c r="M20" s="15" t="s">
        <v>97</v>
      </c>
      <c r="N20" s="13" t="s">
        <v>98</v>
      </c>
      <c r="O20" s="15" t="s">
        <v>99</v>
      </c>
      <c r="P20" s="15" t="s">
        <v>100</v>
      </c>
      <c r="Q20" s="15" t="s">
        <v>219</v>
      </c>
      <c r="R20" s="13" t="s">
        <v>220</v>
      </c>
      <c r="S20" s="13" t="s">
        <v>212</v>
      </c>
      <c r="T20" s="13" t="s">
        <v>104</v>
      </c>
      <c r="U20" s="14">
        <v>40725</v>
      </c>
      <c r="V20" s="14">
        <v>43830</v>
      </c>
      <c r="W20" s="15"/>
      <c r="X20" s="15"/>
      <c r="Y20" s="13"/>
      <c r="Z20" s="15"/>
      <c r="AA20" s="15"/>
      <c r="AB20" s="15"/>
      <c r="AC20" s="13"/>
      <c r="AD20" s="15"/>
      <c r="AE20" s="15"/>
      <c r="AF20" s="15"/>
      <c r="AG20" s="13"/>
      <c r="AH20" s="15"/>
      <c r="AI20" s="15"/>
      <c r="AJ20" s="15"/>
      <c r="AK20" s="13"/>
      <c r="AL20" s="15"/>
      <c r="AM20" s="15"/>
      <c r="AN20" s="13"/>
      <c r="AO20" s="13"/>
    </row>
    <row r="21" spans="1:41" ht="120" x14ac:dyDescent="0.25">
      <c r="A21" s="13" t="s">
        <v>86</v>
      </c>
      <c r="B21" s="13" t="s">
        <v>153</v>
      </c>
      <c r="C21" s="14">
        <v>44012.455555555556</v>
      </c>
      <c r="D21" s="13" t="s">
        <v>88</v>
      </c>
      <c r="E21" s="15" t="s">
        <v>89</v>
      </c>
      <c r="F21" s="13" t="s">
        <v>90</v>
      </c>
      <c r="G21" s="15" t="s">
        <v>91</v>
      </c>
      <c r="H21" s="13" t="s">
        <v>92</v>
      </c>
      <c r="I21" s="15" t="s">
        <v>93</v>
      </c>
      <c r="J21" s="15" t="s">
        <v>94</v>
      </c>
      <c r="K21" s="15" t="s">
        <v>95</v>
      </c>
      <c r="L21" s="13" t="s">
        <v>96</v>
      </c>
      <c r="M21" s="15" t="s">
        <v>97</v>
      </c>
      <c r="N21" s="13" t="s">
        <v>98</v>
      </c>
      <c r="O21" s="15" t="s">
        <v>99</v>
      </c>
      <c r="P21" s="15" t="s">
        <v>100</v>
      </c>
      <c r="Q21" s="15" t="s">
        <v>219</v>
      </c>
      <c r="R21" s="13" t="s">
        <v>220</v>
      </c>
      <c r="S21" s="13" t="s">
        <v>212</v>
      </c>
      <c r="T21" s="13" t="s">
        <v>104</v>
      </c>
      <c r="U21" s="14">
        <v>43831</v>
      </c>
      <c r="V21" s="14"/>
      <c r="W21" s="15"/>
      <c r="X21" s="15"/>
      <c r="Y21" s="13"/>
      <c r="Z21" s="15"/>
      <c r="AA21" s="15"/>
      <c r="AB21" s="15"/>
      <c r="AC21" s="13"/>
      <c r="AD21" s="15"/>
      <c r="AE21" s="15"/>
      <c r="AF21" s="15"/>
      <c r="AG21" s="13"/>
      <c r="AH21" s="15"/>
      <c r="AI21" s="15"/>
      <c r="AJ21" s="15"/>
      <c r="AK21" s="13"/>
      <c r="AL21" s="15"/>
      <c r="AM21" s="15"/>
      <c r="AN21" s="13"/>
      <c r="AO21" s="13"/>
    </row>
    <row r="22" spans="1:41" ht="120" x14ac:dyDescent="0.25">
      <c r="A22" s="13" t="s">
        <v>86</v>
      </c>
      <c r="B22" s="13" t="s">
        <v>87</v>
      </c>
      <c r="C22" s="14">
        <v>43850.552083333336</v>
      </c>
      <c r="D22" s="13" t="s">
        <v>88</v>
      </c>
      <c r="E22" s="15" t="s">
        <v>89</v>
      </c>
      <c r="F22" s="13" t="s">
        <v>90</v>
      </c>
      <c r="G22" s="15" t="s">
        <v>91</v>
      </c>
      <c r="H22" s="13" t="s">
        <v>92</v>
      </c>
      <c r="I22" s="15" t="s">
        <v>93</v>
      </c>
      <c r="J22" s="15" t="s">
        <v>94</v>
      </c>
      <c r="K22" s="15" t="s">
        <v>95</v>
      </c>
      <c r="L22" s="13" t="s">
        <v>168</v>
      </c>
      <c r="M22" s="15" t="s">
        <v>169</v>
      </c>
      <c r="N22" s="13" t="s">
        <v>98</v>
      </c>
      <c r="O22" s="15" t="s">
        <v>170</v>
      </c>
      <c r="P22" s="15" t="s">
        <v>171</v>
      </c>
      <c r="Q22" s="15" t="s">
        <v>219</v>
      </c>
      <c r="R22" s="13" t="s">
        <v>220</v>
      </c>
      <c r="S22" s="13" t="s">
        <v>212</v>
      </c>
      <c r="T22" s="13" t="s">
        <v>104</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120" x14ac:dyDescent="0.25">
      <c r="A23" s="13" t="s">
        <v>86</v>
      </c>
      <c r="B23" s="13" t="s">
        <v>87</v>
      </c>
      <c r="C23" s="14">
        <v>43850.552083333336</v>
      </c>
      <c r="D23" s="13" t="s">
        <v>88</v>
      </c>
      <c r="E23" s="15" t="s">
        <v>89</v>
      </c>
      <c r="F23" s="13" t="s">
        <v>90</v>
      </c>
      <c r="G23" s="15" t="s">
        <v>91</v>
      </c>
      <c r="H23" s="13" t="s">
        <v>92</v>
      </c>
      <c r="I23" s="15" t="s">
        <v>93</v>
      </c>
      <c r="J23" s="15" t="s">
        <v>94</v>
      </c>
      <c r="K23" s="15" t="s">
        <v>95</v>
      </c>
      <c r="L23" s="13" t="s">
        <v>186</v>
      </c>
      <c r="M23" s="15" t="s">
        <v>187</v>
      </c>
      <c r="N23" s="13" t="s">
        <v>188</v>
      </c>
      <c r="O23" s="15" t="s">
        <v>189</v>
      </c>
      <c r="P23" s="15" t="s">
        <v>190</v>
      </c>
      <c r="Q23" s="15" t="s">
        <v>219</v>
      </c>
      <c r="R23" s="13" t="s">
        <v>220</v>
      </c>
      <c r="S23" s="13" t="s">
        <v>212</v>
      </c>
      <c r="T23" s="13" t="s">
        <v>104</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135" x14ac:dyDescent="0.25">
      <c r="A24" s="13" t="s">
        <v>86</v>
      </c>
      <c r="B24" s="13" t="s">
        <v>87</v>
      </c>
      <c r="C24" s="14">
        <v>43850.552083333336</v>
      </c>
      <c r="D24" s="13" t="s">
        <v>88</v>
      </c>
      <c r="E24" s="15" t="s">
        <v>89</v>
      </c>
      <c r="F24" s="13" t="s">
        <v>90</v>
      </c>
      <c r="G24" s="15" t="s">
        <v>91</v>
      </c>
      <c r="H24" s="13" t="s">
        <v>229</v>
      </c>
      <c r="I24" s="15" t="s">
        <v>230</v>
      </c>
      <c r="J24" s="15" t="s">
        <v>231</v>
      </c>
      <c r="K24" s="15" t="s">
        <v>232</v>
      </c>
      <c r="L24" s="13" t="s">
        <v>233</v>
      </c>
      <c r="M24" s="15" t="s">
        <v>234</v>
      </c>
      <c r="N24" s="13" t="s">
        <v>98</v>
      </c>
      <c r="O24" s="15" t="s">
        <v>99</v>
      </c>
      <c r="P24" s="15" t="s">
        <v>100</v>
      </c>
      <c r="Q24" s="15" t="s">
        <v>101</v>
      </c>
      <c r="R24" s="13" t="s">
        <v>102</v>
      </c>
      <c r="S24" s="13" t="s">
        <v>103</v>
      </c>
      <c r="T24" s="13" t="s">
        <v>104</v>
      </c>
      <c r="U24" s="14">
        <v>40725</v>
      </c>
      <c r="V24" s="14">
        <v>43830</v>
      </c>
      <c r="W24" s="15"/>
      <c r="X24" s="15"/>
      <c r="Y24" s="13"/>
      <c r="Z24" s="15"/>
      <c r="AA24" s="15"/>
      <c r="AB24" s="15"/>
      <c r="AC24" s="13"/>
      <c r="AD24" s="15"/>
      <c r="AE24" s="15"/>
      <c r="AF24" s="15"/>
      <c r="AG24" s="13"/>
      <c r="AH24" s="15"/>
      <c r="AI24" s="15"/>
      <c r="AJ24" s="15"/>
      <c r="AK24" s="13"/>
      <c r="AL24" s="15"/>
      <c r="AM24" s="15"/>
      <c r="AN24" s="13"/>
      <c r="AO24" s="13"/>
    </row>
    <row r="25" spans="1:41" ht="135" x14ac:dyDescent="0.25">
      <c r="A25" s="13" t="s">
        <v>152</v>
      </c>
      <c r="B25" s="13" t="s">
        <v>153</v>
      </c>
      <c r="C25" s="14">
        <v>45807.451388888891</v>
      </c>
      <c r="D25" s="13" t="s">
        <v>88</v>
      </c>
      <c r="E25" s="15" t="s">
        <v>89</v>
      </c>
      <c r="F25" s="13" t="s">
        <v>90</v>
      </c>
      <c r="G25" s="15" t="s">
        <v>91</v>
      </c>
      <c r="H25" s="13" t="s">
        <v>229</v>
      </c>
      <c r="I25" s="15" t="s">
        <v>230</v>
      </c>
      <c r="J25" s="15" t="s">
        <v>231</v>
      </c>
      <c r="K25" s="15" t="s">
        <v>232</v>
      </c>
      <c r="L25" s="13" t="s">
        <v>233</v>
      </c>
      <c r="M25" s="15" t="s">
        <v>234</v>
      </c>
      <c r="N25" s="13" t="s">
        <v>98</v>
      </c>
      <c r="O25" s="15" t="s">
        <v>99</v>
      </c>
      <c r="P25" s="15" t="s">
        <v>100</v>
      </c>
      <c r="Q25" s="15" t="s">
        <v>101</v>
      </c>
      <c r="R25" s="13" t="s">
        <v>102</v>
      </c>
      <c r="S25" s="13" t="s">
        <v>103</v>
      </c>
      <c r="T25" s="13" t="s">
        <v>104</v>
      </c>
      <c r="U25" s="14">
        <v>43831</v>
      </c>
      <c r="V25" s="14"/>
      <c r="W25" s="15"/>
      <c r="X25" s="15"/>
      <c r="Y25" s="13"/>
      <c r="Z25" s="15"/>
      <c r="AA25" s="15"/>
      <c r="AB25" s="15"/>
      <c r="AC25" s="13"/>
      <c r="AD25" s="15"/>
      <c r="AE25" s="15"/>
      <c r="AF25" s="15"/>
      <c r="AG25" s="13"/>
      <c r="AH25" s="15"/>
      <c r="AI25" s="15"/>
      <c r="AJ25" s="15"/>
      <c r="AK25" s="13"/>
      <c r="AL25" s="15"/>
      <c r="AM25" s="15"/>
      <c r="AN25" s="13"/>
      <c r="AO25" s="13"/>
    </row>
    <row r="26" spans="1:41" ht="135" x14ac:dyDescent="0.25">
      <c r="A26" s="13" t="s">
        <v>167</v>
      </c>
      <c r="B26" s="13" t="s">
        <v>87</v>
      </c>
      <c r="C26" s="14">
        <v>43850.552083333336</v>
      </c>
      <c r="D26" s="13" t="s">
        <v>88</v>
      </c>
      <c r="E26" s="15" t="s">
        <v>89</v>
      </c>
      <c r="F26" s="13" t="s">
        <v>90</v>
      </c>
      <c r="G26" s="15" t="s">
        <v>91</v>
      </c>
      <c r="H26" s="13" t="s">
        <v>229</v>
      </c>
      <c r="I26" s="15" t="s">
        <v>230</v>
      </c>
      <c r="J26" s="15" t="s">
        <v>231</v>
      </c>
      <c r="K26" s="15" t="s">
        <v>232</v>
      </c>
      <c r="L26" s="13" t="s">
        <v>235</v>
      </c>
      <c r="M26" s="15" t="s">
        <v>236</v>
      </c>
      <c r="N26" s="13" t="s">
        <v>98</v>
      </c>
      <c r="O26" s="15" t="s">
        <v>170</v>
      </c>
      <c r="P26" s="15" t="s">
        <v>171</v>
      </c>
      <c r="Q26" s="15" t="s">
        <v>101</v>
      </c>
      <c r="R26" s="13" t="s">
        <v>102</v>
      </c>
      <c r="S26" s="13" t="s">
        <v>103</v>
      </c>
      <c r="T26" s="13" t="s">
        <v>104</v>
      </c>
      <c r="U26" s="14">
        <v>40725</v>
      </c>
      <c r="V26" s="14">
        <v>43830</v>
      </c>
      <c r="W26" s="15"/>
      <c r="X26" s="15"/>
      <c r="Y26" s="13"/>
      <c r="Z26" s="15"/>
      <c r="AA26" s="15"/>
      <c r="AB26" s="15"/>
      <c r="AC26" s="13"/>
      <c r="AD26" s="15"/>
      <c r="AE26" s="15"/>
      <c r="AF26" s="15"/>
      <c r="AG26" s="13"/>
      <c r="AH26" s="15"/>
      <c r="AI26" s="15"/>
      <c r="AJ26" s="15"/>
      <c r="AK26" s="13"/>
      <c r="AL26" s="15"/>
      <c r="AM26" s="15"/>
      <c r="AN26" s="13"/>
      <c r="AO26" s="13"/>
    </row>
    <row r="27" spans="1:41" ht="135" x14ac:dyDescent="0.25">
      <c r="A27" s="13" t="s">
        <v>167</v>
      </c>
      <c r="B27" s="13" t="s">
        <v>153</v>
      </c>
      <c r="C27" s="14">
        <v>44071.427083333336</v>
      </c>
      <c r="D27" s="13" t="s">
        <v>88</v>
      </c>
      <c r="E27" s="15" t="s">
        <v>89</v>
      </c>
      <c r="F27" s="13" t="s">
        <v>90</v>
      </c>
      <c r="G27" s="15" t="s">
        <v>91</v>
      </c>
      <c r="H27" s="13" t="s">
        <v>229</v>
      </c>
      <c r="I27" s="15" t="s">
        <v>230</v>
      </c>
      <c r="J27" s="15" t="s">
        <v>231</v>
      </c>
      <c r="K27" s="15" t="s">
        <v>232</v>
      </c>
      <c r="L27" s="13" t="s">
        <v>235</v>
      </c>
      <c r="M27" s="15" t="s">
        <v>236</v>
      </c>
      <c r="N27" s="13" t="s">
        <v>98</v>
      </c>
      <c r="O27" s="15" t="s">
        <v>170</v>
      </c>
      <c r="P27" s="15" t="s">
        <v>171</v>
      </c>
      <c r="Q27" s="15" t="s">
        <v>101</v>
      </c>
      <c r="R27" s="13" t="s">
        <v>102</v>
      </c>
      <c r="S27" s="13" t="s">
        <v>103</v>
      </c>
      <c r="T27" s="13" t="s">
        <v>104</v>
      </c>
      <c r="U27" s="14">
        <v>43831</v>
      </c>
      <c r="V27" s="14"/>
      <c r="W27" s="15"/>
      <c r="X27" s="15"/>
      <c r="Y27" s="13"/>
      <c r="Z27" s="15"/>
      <c r="AA27" s="15"/>
      <c r="AB27" s="15"/>
      <c r="AC27" s="13"/>
      <c r="AD27" s="15"/>
      <c r="AE27" s="15"/>
      <c r="AF27" s="15"/>
      <c r="AG27" s="13"/>
      <c r="AH27" s="15"/>
      <c r="AI27" s="15"/>
      <c r="AJ27" s="15"/>
      <c r="AK27" s="13"/>
      <c r="AL27" s="15"/>
      <c r="AM27" s="15"/>
      <c r="AN27" s="13"/>
      <c r="AO27" s="13"/>
    </row>
    <row r="28" spans="1:41" ht="135" x14ac:dyDescent="0.25">
      <c r="A28" s="13" t="s">
        <v>86</v>
      </c>
      <c r="B28" s="13" t="s">
        <v>87</v>
      </c>
      <c r="C28" s="14">
        <v>43850.552083333336</v>
      </c>
      <c r="D28" s="13" t="s">
        <v>88</v>
      </c>
      <c r="E28" s="15" t="s">
        <v>89</v>
      </c>
      <c r="F28" s="13" t="s">
        <v>90</v>
      </c>
      <c r="G28" s="15" t="s">
        <v>91</v>
      </c>
      <c r="H28" s="13" t="s">
        <v>229</v>
      </c>
      <c r="I28" s="15" t="s">
        <v>230</v>
      </c>
      <c r="J28" s="15" t="s">
        <v>231</v>
      </c>
      <c r="K28" s="15" t="s">
        <v>232</v>
      </c>
      <c r="L28" s="13" t="s">
        <v>237</v>
      </c>
      <c r="M28" s="15" t="s">
        <v>238</v>
      </c>
      <c r="N28" s="13" t="s">
        <v>188</v>
      </c>
      <c r="O28" s="15" t="s">
        <v>189</v>
      </c>
      <c r="P28" s="15" t="s">
        <v>190</v>
      </c>
      <c r="Q28" s="15" t="s">
        <v>101</v>
      </c>
      <c r="R28" s="13" t="s">
        <v>102</v>
      </c>
      <c r="S28" s="13" t="s">
        <v>103</v>
      </c>
      <c r="T28" s="13" t="s">
        <v>104</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135" x14ac:dyDescent="0.25">
      <c r="A29" s="13" t="s">
        <v>202</v>
      </c>
      <c r="B29" s="13" t="s">
        <v>153</v>
      </c>
      <c r="C29" s="14">
        <v>43152.5</v>
      </c>
      <c r="D29" s="13" t="s">
        <v>88</v>
      </c>
      <c r="E29" s="15" t="s">
        <v>89</v>
      </c>
      <c r="F29" s="13" t="s">
        <v>90</v>
      </c>
      <c r="G29" s="15" t="s">
        <v>91</v>
      </c>
      <c r="H29" s="13" t="s">
        <v>229</v>
      </c>
      <c r="I29" s="15" t="s">
        <v>230</v>
      </c>
      <c r="J29" s="15" t="s">
        <v>231</v>
      </c>
      <c r="K29" s="15" t="s">
        <v>232</v>
      </c>
      <c r="L29" s="13" t="s">
        <v>233</v>
      </c>
      <c r="M29" s="15" t="s">
        <v>234</v>
      </c>
      <c r="N29" s="13" t="s">
        <v>98</v>
      </c>
      <c r="O29" s="15" t="s">
        <v>99</v>
      </c>
      <c r="P29" s="15" t="s">
        <v>100</v>
      </c>
      <c r="Q29" s="15" t="s">
        <v>203</v>
      </c>
      <c r="R29" s="13" t="s">
        <v>204</v>
      </c>
      <c r="S29" s="13" t="s">
        <v>103</v>
      </c>
      <c r="T29" s="13" t="s">
        <v>205</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135" x14ac:dyDescent="0.25">
      <c r="A30" s="13" t="s">
        <v>202</v>
      </c>
      <c r="B30" s="13" t="s">
        <v>153</v>
      </c>
      <c r="C30" s="14">
        <v>43152.5</v>
      </c>
      <c r="D30" s="13" t="s">
        <v>88</v>
      </c>
      <c r="E30" s="15" t="s">
        <v>89</v>
      </c>
      <c r="F30" s="13" t="s">
        <v>90</v>
      </c>
      <c r="G30" s="15" t="s">
        <v>91</v>
      </c>
      <c r="H30" s="13" t="s">
        <v>229</v>
      </c>
      <c r="I30" s="15" t="s">
        <v>230</v>
      </c>
      <c r="J30" s="15" t="s">
        <v>231</v>
      </c>
      <c r="K30" s="15" t="s">
        <v>232</v>
      </c>
      <c r="L30" s="13" t="s">
        <v>235</v>
      </c>
      <c r="M30" s="15" t="s">
        <v>236</v>
      </c>
      <c r="N30" s="13" t="s">
        <v>98</v>
      </c>
      <c r="O30" s="15" t="s">
        <v>170</v>
      </c>
      <c r="P30" s="15" t="s">
        <v>171</v>
      </c>
      <c r="Q30" s="15" t="s">
        <v>203</v>
      </c>
      <c r="R30" s="13" t="s">
        <v>204</v>
      </c>
      <c r="S30" s="13" t="s">
        <v>103</v>
      </c>
      <c r="T30" s="13" t="s">
        <v>205</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135" x14ac:dyDescent="0.25">
      <c r="A31" s="13" t="s">
        <v>202</v>
      </c>
      <c r="B31" s="13" t="s">
        <v>153</v>
      </c>
      <c r="C31" s="14">
        <v>43152.5</v>
      </c>
      <c r="D31" s="13" t="s">
        <v>88</v>
      </c>
      <c r="E31" s="15" t="s">
        <v>89</v>
      </c>
      <c r="F31" s="13" t="s">
        <v>90</v>
      </c>
      <c r="G31" s="15" t="s">
        <v>91</v>
      </c>
      <c r="H31" s="13" t="s">
        <v>229</v>
      </c>
      <c r="I31" s="15" t="s">
        <v>230</v>
      </c>
      <c r="J31" s="15" t="s">
        <v>231</v>
      </c>
      <c r="K31" s="15" t="s">
        <v>232</v>
      </c>
      <c r="L31" s="13" t="s">
        <v>237</v>
      </c>
      <c r="M31" s="15" t="s">
        <v>238</v>
      </c>
      <c r="N31" s="13" t="s">
        <v>188</v>
      </c>
      <c r="O31" s="15" t="s">
        <v>189</v>
      </c>
      <c r="P31" s="15" t="s">
        <v>190</v>
      </c>
      <c r="Q31" s="15" t="s">
        <v>203</v>
      </c>
      <c r="R31" s="13" t="s">
        <v>204</v>
      </c>
      <c r="S31" s="13" t="s">
        <v>103</v>
      </c>
      <c r="T31" s="13" t="s">
        <v>205</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135" x14ac:dyDescent="0.25">
      <c r="A32" s="13" t="s">
        <v>202</v>
      </c>
      <c r="B32" s="13" t="s">
        <v>153</v>
      </c>
      <c r="C32" s="14">
        <v>43152.5</v>
      </c>
      <c r="D32" s="13" t="s">
        <v>88</v>
      </c>
      <c r="E32" s="15" t="s">
        <v>89</v>
      </c>
      <c r="F32" s="13" t="s">
        <v>90</v>
      </c>
      <c r="G32" s="15" t="s">
        <v>91</v>
      </c>
      <c r="H32" s="13" t="s">
        <v>229</v>
      </c>
      <c r="I32" s="15" t="s">
        <v>230</v>
      </c>
      <c r="J32" s="15" t="s">
        <v>231</v>
      </c>
      <c r="K32" s="15" t="s">
        <v>232</v>
      </c>
      <c r="L32" s="13" t="s">
        <v>233</v>
      </c>
      <c r="M32" s="15" t="s">
        <v>234</v>
      </c>
      <c r="N32" s="13" t="s">
        <v>98</v>
      </c>
      <c r="O32" s="15" t="s">
        <v>99</v>
      </c>
      <c r="P32" s="15" t="s">
        <v>100</v>
      </c>
      <c r="Q32" s="15" t="s">
        <v>206</v>
      </c>
      <c r="R32" s="13" t="s">
        <v>207</v>
      </c>
      <c r="S32" s="13" t="s">
        <v>103</v>
      </c>
      <c r="T32" s="13" t="s">
        <v>205</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135" x14ac:dyDescent="0.25">
      <c r="A33" s="13" t="s">
        <v>202</v>
      </c>
      <c r="B33" s="13" t="s">
        <v>153</v>
      </c>
      <c r="C33" s="14">
        <v>43152.5</v>
      </c>
      <c r="D33" s="13" t="s">
        <v>88</v>
      </c>
      <c r="E33" s="15" t="s">
        <v>89</v>
      </c>
      <c r="F33" s="13" t="s">
        <v>90</v>
      </c>
      <c r="G33" s="15" t="s">
        <v>91</v>
      </c>
      <c r="H33" s="13" t="s">
        <v>229</v>
      </c>
      <c r="I33" s="15" t="s">
        <v>230</v>
      </c>
      <c r="J33" s="15" t="s">
        <v>231</v>
      </c>
      <c r="K33" s="15" t="s">
        <v>232</v>
      </c>
      <c r="L33" s="13" t="s">
        <v>235</v>
      </c>
      <c r="M33" s="15" t="s">
        <v>236</v>
      </c>
      <c r="N33" s="13" t="s">
        <v>98</v>
      </c>
      <c r="O33" s="15" t="s">
        <v>170</v>
      </c>
      <c r="P33" s="15" t="s">
        <v>171</v>
      </c>
      <c r="Q33" s="15" t="s">
        <v>206</v>
      </c>
      <c r="R33" s="13" t="s">
        <v>207</v>
      </c>
      <c r="S33" s="13" t="s">
        <v>103</v>
      </c>
      <c r="T33" s="13" t="s">
        <v>205</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135" x14ac:dyDescent="0.25">
      <c r="A34" s="13" t="s">
        <v>202</v>
      </c>
      <c r="B34" s="13" t="s">
        <v>153</v>
      </c>
      <c r="C34" s="14">
        <v>43152.5</v>
      </c>
      <c r="D34" s="13" t="s">
        <v>88</v>
      </c>
      <c r="E34" s="15" t="s">
        <v>89</v>
      </c>
      <c r="F34" s="13" t="s">
        <v>90</v>
      </c>
      <c r="G34" s="15" t="s">
        <v>91</v>
      </c>
      <c r="H34" s="13" t="s">
        <v>229</v>
      </c>
      <c r="I34" s="15" t="s">
        <v>230</v>
      </c>
      <c r="J34" s="15" t="s">
        <v>231</v>
      </c>
      <c r="K34" s="15" t="s">
        <v>232</v>
      </c>
      <c r="L34" s="13" t="s">
        <v>237</v>
      </c>
      <c r="M34" s="15" t="s">
        <v>238</v>
      </c>
      <c r="N34" s="13" t="s">
        <v>188</v>
      </c>
      <c r="O34" s="15" t="s">
        <v>189</v>
      </c>
      <c r="P34" s="15" t="s">
        <v>190</v>
      </c>
      <c r="Q34" s="15" t="s">
        <v>206</v>
      </c>
      <c r="R34" s="13" t="s">
        <v>207</v>
      </c>
      <c r="S34" s="13" t="s">
        <v>103</v>
      </c>
      <c r="T34" s="13" t="s">
        <v>205</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135" x14ac:dyDescent="0.25">
      <c r="A35" s="13" t="s">
        <v>202</v>
      </c>
      <c r="B35" s="13" t="s">
        <v>153</v>
      </c>
      <c r="C35" s="14">
        <v>43152.5</v>
      </c>
      <c r="D35" s="13" t="s">
        <v>88</v>
      </c>
      <c r="E35" s="15" t="s">
        <v>89</v>
      </c>
      <c r="F35" s="13" t="s">
        <v>90</v>
      </c>
      <c r="G35" s="15" t="s">
        <v>91</v>
      </c>
      <c r="H35" s="13" t="s">
        <v>229</v>
      </c>
      <c r="I35" s="15" t="s">
        <v>230</v>
      </c>
      <c r="J35" s="15" t="s">
        <v>231</v>
      </c>
      <c r="K35" s="15" t="s">
        <v>232</v>
      </c>
      <c r="L35" s="13" t="s">
        <v>233</v>
      </c>
      <c r="M35" s="15" t="s">
        <v>234</v>
      </c>
      <c r="N35" s="13" t="s">
        <v>98</v>
      </c>
      <c r="O35" s="15" t="s">
        <v>99</v>
      </c>
      <c r="P35" s="15" t="s">
        <v>100</v>
      </c>
      <c r="Q35" s="15" t="s">
        <v>208</v>
      </c>
      <c r="R35" s="13" t="s">
        <v>209</v>
      </c>
      <c r="S35" s="13" t="s">
        <v>103</v>
      </c>
      <c r="T35" s="13" t="s">
        <v>205</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135" x14ac:dyDescent="0.25">
      <c r="A36" s="13" t="s">
        <v>202</v>
      </c>
      <c r="B36" s="13" t="s">
        <v>153</v>
      </c>
      <c r="C36" s="14">
        <v>43152.5</v>
      </c>
      <c r="D36" s="13" t="s">
        <v>88</v>
      </c>
      <c r="E36" s="15" t="s">
        <v>89</v>
      </c>
      <c r="F36" s="13" t="s">
        <v>90</v>
      </c>
      <c r="G36" s="15" t="s">
        <v>91</v>
      </c>
      <c r="H36" s="13" t="s">
        <v>229</v>
      </c>
      <c r="I36" s="15" t="s">
        <v>230</v>
      </c>
      <c r="J36" s="15" t="s">
        <v>231</v>
      </c>
      <c r="K36" s="15" t="s">
        <v>232</v>
      </c>
      <c r="L36" s="13" t="s">
        <v>235</v>
      </c>
      <c r="M36" s="15" t="s">
        <v>236</v>
      </c>
      <c r="N36" s="13" t="s">
        <v>98</v>
      </c>
      <c r="O36" s="15" t="s">
        <v>170</v>
      </c>
      <c r="P36" s="15" t="s">
        <v>171</v>
      </c>
      <c r="Q36" s="15" t="s">
        <v>208</v>
      </c>
      <c r="R36" s="13" t="s">
        <v>209</v>
      </c>
      <c r="S36" s="13" t="s">
        <v>103</v>
      </c>
      <c r="T36" s="13" t="s">
        <v>205</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135" x14ac:dyDescent="0.25">
      <c r="A37" s="13" t="s">
        <v>202</v>
      </c>
      <c r="B37" s="13" t="s">
        <v>153</v>
      </c>
      <c r="C37" s="14">
        <v>43152.5</v>
      </c>
      <c r="D37" s="13" t="s">
        <v>88</v>
      </c>
      <c r="E37" s="15" t="s">
        <v>89</v>
      </c>
      <c r="F37" s="13" t="s">
        <v>90</v>
      </c>
      <c r="G37" s="15" t="s">
        <v>91</v>
      </c>
      <c r="H37" s="13" t="s">
        <v>229</v>
      </c>
      <c r="I37" s="15" t="s">
        <v>230</v>
      </c>
      <c r="J37" s="15" t="s">
        <v>231</v>
      </c>
      <c r="K37" s="15" t="s">
        <v>232</v>
      </c>
      <c r="L37" s="13" t="s">
        <v>237</v>
      </c>
      <c r="M37" s="15" t="s">
        <v>238</v>
      </c>
      <c r="N37" s="13" t="s">
        <v>188</v>
      </c>
      <c r="O37" s="15" t="s">
        <v>189</v>
      </c>
      <c r="P37" s="15" t="s">
        <v>190</v>
      </c>
      <c r="Q37" s="15" t="s">
        <v>208</v>
      </c>
      <c r="R37" s="13" t="s">
        <v>209</v>
      </c>
      <c r="S37" s="13" t="s">
        <v>103</v>
      </c>
      <c r="T37" s="13" t="s">
        <v>205</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135" x14ac:dyDescent="0.25">
      <c r="A38" s="13" t="s">
        <v>86</v>
      </c>
      <c r="B38" s="13" t="s">
        <v>87</v>
      </c>
      <c r="C38" s="14">
        <v>43850.552083333336</v>
      </c>
      <c r="D38" s="13" t="s">
        <v>88</v>
      </c>
      <c r="E38" s="15" t="s">
        <v>89</v>
      </c>
      <c r="F38" s="13" t="s">
        <v>90</v>
      </c>
      <c r="G38" s="15" t="s">
        <v>91</v>
      </c>
      <c r="H38" s="13" t="s">
        <v>229</v>
      </c>
      <c r="I38" s="15" t="s">
        <v>230</v>
      </c>
      <c r="J38" s="15" t="s">
        <v>231</v>
      </c>
      <c r="K38" s="15" t="s">
        <v>232</v>
      </c>
      <c r="L38" s="13" t="s">
        <v>233</v>
      </c>
      <c r="M38" s="15" t="s">
        <v>234</v>
      </c>
      <c r="N38" s="13" t="s">
        <v>98</v>
      </c>
      <c r="O38" s="15" t="s">
        <v>99</v>
      </c>
      <c r="P38" s="15" t="s">
        <v>100</v>
      </c>
      <c r="Q38" s="15" t="s">
        <v>219</v>
      </c>
      <c r="R38" s="13" t="s">
        <v>220</v>
      </c>
      <c r="S38" s="13" t="s">
        <v>212</v>
      </c>
      <c r="T38" s="13" t="s">
        <v>104</v>
      </c>
      <c r="U38" s="14">
        <v>40725</v>
      </c>
      <c r="V38" s="14">
        <v>43830</v>
      </c>
      <c r="W38" s="15"/>
      <c r="X38" s="15"/>
      <c r="Y38" s="13"/>
      <c r="Z38" s="15"/>
      <c r="AA38" s="15"/>
      <c r="AB38" s="15"/>
      <c r="AC38" s="13"/>
      <c r="AD38" s="15"/>
      <c r="AE38" s="15"/>
      <c r="AF38" s="15"/>
      <c r="AG38" s="13"/>
      <c r="AH38" s="15"/>
      <c r="AI38" s="15"/>
      <c r="AJ38" s="15"/>
      <c r="AK38" s="13"/>
      <c r="AL38" s="15"/>
      <c r="AM38" s="15"/>
      <c r="AN38" s="13"/>
      <c r="AO38" s="13"/>
    </row>
    <row r="39" spans="1:41" ht="135" x14ac:dyDescent="0.25">
      <c r="A39" s="13" t="s">
        <v>86</v>
      </c>
      <c r="B39" s="13" t="s">
        <v>153</v>
      </c>
      <c r="C39" s="14">
        <v>44012.456944444442</v>
      </c>
      <c r="D39" s="13" t="s">
        <v>88</v>
      </c>
      <c r="E39" s="15" t="s">
        <v>89</v>
      </c>
      <c r="F39" s="13" t="s">
        <v>90</v>
      </c>
      <c r="G39" s="15" t="s">
        <v>91</v>
      </c>
      <c r="H39" s="13" t="s">
        <v>229</v>
      </c>
      <c r="I39" s="15" t="s">
        <v>230</v>
      </c>
      <c r="J39" s="15" t="s">
        <v>231</v>
      </c>
      <c r="K39" s="15" t="s">
        <v>232</v>
      </c>
      <c r="L39" s="13" t="s">
        <v>233</v>
      </c>
      <c r="M39" s="15" t="s">
        <v>234</v>
      </c>
      <c r="N39" s="13" t="s">
        <v>98</v>
      </c>
      <c r="O39" s="15" t="s">
        <v>99</v>
      </c>
      <c r="P39" s="15" t="s">
        <v>100</v>
      </c>
      <c r="Q39" s="15" t="s">
        <v>219</v>
      </c>
      <c r="R39" s="13" t="s">
        <v>220</v>
      </c>
      <c r="S39" s="13" t="s">
        <v>212</v>
      </c>
      <c r="T39" s="13" t="s">
        <v>104</v>
      </c>
      <c r="U39" s="14">
        <v>43831</v>
      </c>
      <c r="V39" s="14"/>
      <c r="W39" s="15"/>
      <c r="X39" s="15"/>
      <c r="Y39" s="13"/>
      <c r="Z39" s="15"/>
      <c r="AA39" s="15"/>
      <c r="AB39" s="15"/>
      <c r="AC39" s="13"/>
      <c r="AD39" s="15"/>
      <c r="AE39" s="15"/>
      <c r="AF39" s="15"/>
      <c r="AG39" s="13"/>
      <c r="AH39" s="15"/>
      <c r="AI39" s="15"/>
      <c r="AJ39" s="15"/>
      <c r="AK39" s="13"/>
      <c r="AL39" s="15"/>
      <c r="AM39" s="15"/>
      <c r="AN39" s="13"/>
      <c r="AO39" s="13"/>
    </row>
    <row r="40" spans="1:41" ht="135" x14ac:dyDescent="0.25">
      <c r="A40" s="13" t="s">
        <v>86</v>
      </c>
      <c r="B40" s="13" t="s">
        <v>87</v>
      </c>
      <c r="C40" s="14">
        <v>43850.552083333336</v>
      </c>
      <c r="D40" s="13" t="s">
        <v>88</v>
      </c>
      <c r="E40" s="15" t="s">
        <v>89</v>
      </c>
      <c r="F40" s="13" t="s">
        <v>90</v>
      </c>
      <c r="G40" s="15" t="s">
        <v>91</v>
      </c>
      <c r="H40" s="13" t="s">
        <v>229</v>
      </c>
      <c r="I40" s="15" t="s">
        <v>230</v>
      </c>
      <c r="J40" s="15" t="s">
        <v>231</v>
      </c>
      <c r="K40" s="15" t="s">
        <v>232</v>
      </c>
      <c r="L40" s="13" t="s">
        <v>235</v>
      </c>
      <c r="M40" s="15" t="s">
        <v>236</v>
      </c>
      <c r="N40" s="13" t="s">
        <v>98</v>
      </c>
      <c r="O40" s="15" t="s">
        <v>170</v>
      </c>
      <c r="P40" s="15" t="s">
        <v>171</v>
      </c>
      <c r="Q40" s="15" t="s">
        <v>219</v>
      </c>
      <c r="R40" s="13" t="s">
        <v>220</v>
      </c>
      <c r="S40" s="13" t="s">
        <v>212</v>
      </c>
      <c r="T40" s="13" t="s">
        <v>104</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135" x14ac:dyDescent="0.25">
      <c r="A41" s="13" t="s">
        <v>86</v>
      </c>
      <c r="B41" s="13" t="s">
        <v>87</v>
      </c>
      <c r="C41" s="14">
        <v>43850.552083333336</v>
      </c>
      <c r="D41" s="13" t="s">
        <v>88</v>
      </c>
      <c r="E41" s="15" t="s">
        <v>89</v>
      </c>
      <c r="F41" s="13" t="s">
        <v>90</v>
      </c>
      <c r="G41" s="15" t="s">
        <v>91</v>
      </c>
      <c r="H41" s="13" t="s">
        <v>229</v>
      </c>
      <c r="I41" s="15" t="s">
        <v>230</v>
      </c>
      <c r="J41" s="15" t="s">
        <v>231</v>
      </c>
      <c r="K41" s="15" t="s">
        <v>232</v>
      </c>
      <c r="L41" s="13" t="s">
        <v>237</v>
      </c>
      <c r="M41" s="15" t="s">
        <v>238</v>
      </c>
      <c r="N41" s="13" t="s">
        <v>188</v>
      </c>
      <c r="O41" s="15" t="s">
        <v>189</v>
      </c>
      <c r="P41" s="15" t="s">
        <v>190</v>
      </c>
      <c r="Q41" s="15" t="s">
        <v>219</v>
      </c>
      <c r="R41" s="13" t="s">
        <v>220</v>
      </c>
      <c r="S41" s="13" t="s">
        <v>212</v>
      </c>
      <c r="T41" s="13" t="s">
        <v>104</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35" x14ac:dyDescent="0.25">
      <c r="A42" s="13" t="s">
        <v>202</v>
      </c>
      <c r="B42" s="13" t="s">
        <v>153</v>
      </c>
      <c r="C42" s="14">
        <v>43152.5</v>
      </c>
      <c r="D42" s="13" t="s">
        <v>88</v>
      </c>
      <c r="E42" s="15" t="s">
        <v>89</v>
      </c>
      <c r="F42" s="13" t="s">
        <v>90</v>
      </c>
      <c r="G42" s="15" t="s">
        <v>91</v>
      </c>
      <c r="H42" s="13" t="s">
        <v>239</v>
      </c>
      <c r="I42" s="15" t="s">
        <v>240</v>
      </c>
      <c r="J42" s="15" t="s">
        <v>241</v>
      </c>
      <c r="K42" s="15" t="s">
        <v>242</v>
      </c>
      <c r="L42" s="13" t="s">
        <v>243</v>
      </c>
      <c r="M42" s="15" t="s">
        <v>244</v>
      </c>
      <c r="N42" s="13" t="s">
        <v>98</v>
      </c>
      <c r="O42" s="15" t="s">
        <v>99</v>
      </c>
      <c r="P42" s="15" t="s">
        <v>100</v>
      </c>
      <c r="Q42" s="15" t="s">
        <v>101</v>
      </c>
      <c r="R42" s="13" t="s">
        <v>102</v>
      </c>
      <c r="S42" s="13" t="s">
        <v>103</v>
      </c>
      <c r="T42" s="13" t="s">
        <v>205</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135" x14ac:dyDescent="0.25">
      <c r="A43" s="13" t="s">
        <v>202</v>
      </c>
      <c r="B43" s="13" t="s">
        <v>153</v>
      </c>
      <c r="C43" s="14">
        <v>43152.5</v>
      </c>
      <c r="D43" s="13" t="s">
        <v>88</v>
      </c>
      <c r="E43" s="15" t="s">
        <v>89</v>
      </c>
      <c r="F43" s="13" t="s">
        <v>90</v>
      </c>
      <c r="G43" s="15" t="s">
        <v>91</v>
      </c>
      <c r="H43" s="13" t="s">
        <v>239</v>
      </c>
      <c r="I43" s="15" t="s">
        <v>240</v>
      </c>
      <c r="J43" s="15" t="s">
        <v>241</v>
      </c>
      <c r="K43" s="15" t="s">
        <v>242</v>
      </c>
      <c r="L43" s="13" t="s">
        <v>245</v>
      </c>
      <c r="M43" s="15" t="s">
        <v>246</v>
      </c>
      <c r="N43" s="13" t="s">
        <v>98</v>
      </c>
      <c r="O43" s="15" t="s">
        <v>170</v>
      </c>
      <c r="P43" s="15" t="s">
        <v>171</v>
      </c>
      <c r="Q43" s="15" t="s">
        <v>101</v>
      </c>
      <c r="R43" s="13" t="s">
        <v>102</v>
      </c>
      <c r="S43" s="13" t="s">
        <v>103</v>
      </c>
      <c r="T43" s="13" t="s">
        <v>205</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135" x14ac:dyDescent="0.25">
      <c r="A44" s="13" t="s">
        <v>202</v>
      </c>
      <c r="B44" s="13" t="s">
        <v>153</v>
      </c>
      <c r="C44" s="14">
        <v>43152.5</v>
      </c>
      <c r="D44" s="13" t="s">
        <v>88</v>
      </c>
      <c r="E44" s="15" t="s">
        <v>89</v>
      </c>
      <c r="F44" s="13" t="s">
        <v>90</v>
      </c>
      <c r="G44" s="15" t="s">
        <v>91</v>
      </c>
      <c r="H44" s="13" t="s">
        <v>239</v>
      </c>
      <c r="I44" s="15" t="s">
        <v>240</v>
      </c>
      <c r="J44" s="15" t="s">
        <v>241</v>
      </c>
      <c r="K44" s="15" t="s">
        <v>242</v>
      </c>
      <c r="L44" s="13" t="s">
        <v>247</v>
      </c>
      <c r="M44" s="15" t="s">
        <v>248</v>
      </c>
      <c r="N44" s="13" t="s">
        <v>188</v>
      </c>
      <c r="O44" s="15" t="s">
        <v>189</v>
      </c>
      <c r="P44" s="15" t="s">
        <v>190</v>
      </c>
      <c r="Q44" s="15" t="s">
        <v>101</v>
      </c>
      <c r="R44" s="13" t="s">
        <v>102</v>
      </c>
      <c r="S44" s="13" t="s">
        <v>103</v>
      </c>
      <c r="T44" s="13" t="s">
        <v>205</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135" x14ac:dyDescent="0.25">
      <c r="A45" s="13" t="s">
        <v>86</v>
      </c>
      <c r="B45" s="13" t="s">
        <v>87</v>
      </c>
      <c r="C45" s="14">
        <v>43850.552083333336</v>
      </c>
      <c r="D45" s="13" t="s">
        <v>88</v>
      </c>
      <c r="E45" s="15" t="s">
        <v>89</v>
      </c>
      <c r="F45" s="13" t="s">
        <v>90</v>
      </c>
      <c r="G45" s="15" t="s">
        <v>91</v>
      </c>
      <c r="H45" s="13" t="s">
        <v>239</v>
      </c>
      <c r="I45" s="15" t="s">
        <v>240</v>
      </c>
      <c r="J45" s="15" t="s">
        <v>241</v>
      </c>
      <c r="K45" s="15" t="s">
        <v>242</v>
      </c>
      <c r="L45" s="13" t="s">
        <v>243</v>
      </c>
      <c r="M45" s="15" t="s">
        <v>244</v>
      </c>
      <c r="N45" s="13" t="s">
        <v>98</v>
      </c>
      <c r="O45" s="15" t="s">
        <v>99</v>
      </c>
      <c r="P45" s="15" t="s">
        <v>100</v>
      </c>
      <c r="Q45" s="15" t="s">
        <v>203</v>
      </c>
      <c r="R45" s="13" t="s">
        <v>204</v>
      </c>
      <c r="S45" s="13" t="s">
        <v>103</v>
      </c>
      <c r="T45" s="13" t="s">
        <v>104</v>
      </c>
      <c r="U45" s="14">
        <v>40725</v>
      </c>
      <c r="V45" s="14">
        <v>43830</v>
      </c>
      <c r="W45" s="15"/>
      <c r="X45" s="15"/>
      <c r="Y45" s="13"/>
      <c r="Z45" s="15"/>
      <c r="AA45" s="15"/>
      <c r="AB45" s="15"/>
      <c r="AC45" s="13"/>
      <c r="AD45" s="15"/>
      <c r="AE45" s="15"/>
      <c r="AF45" s="15"/>
      <c r="AG45" s="13"/>
      <c r="AH45" s="15"/>
      <c r="AI45" s="15"/>
      <c r="AJ45" s="15"/>
      <c r="AK45" s="13"/>
      <c r="AL45" s="15"/>
      <c r="AM45" s="15"/>
      <c r="AN45" s="13"/>
      <c r="AO45" s="13"/>
    </row>
    <row r="46" spans="1:41" ht="135" x14ac:dyDescent="0.25">
      <c r="A46" s="13" t="s">
        <v>86</v>
      </c>
      <c r="B46" s="13" t="s">
        <v>153</v>
      </c>
      <c r="C46" s="14">
        <v>44008.569444444445</v>
      </c>
      <c r="D46" s="13" t="s">
        <v>88</v>
      </c>
      <c r="E46" s="15" t="s">
        <v>89</v>
      </c>
      <c r="F46" s="13" t="s">
        <v>90</v>
      </c>
      <c r="G46" s="15" t="s">
        <v>91</v>
      </c>
      <c r="H46" s="13" t="s">
        <v>239</v>
      </c>
      <c r="I46" s="15" t="s">
        <v>240</v>
      </c>
      <c r="J46" s="15" t="s">
        <v>241</v>
      </c>
      <c r="K46" s="15" t="s">
        <v>242</v>
      </c>
      <c r="L46" s="13" t="s">
        <v>243</v>
      </c>
      <c r="M46" s="15" t="s">
        <v>244</v>
      </c>
      <c r="N46" s="13" t="s">
        <v>98</v>
      </c>
      <c r="O46" s="15" t="s">
        <v>99</v>
      </c>
      <c r="P46" s="15" t="s">
        <v>100</v>
      </c>
      <c r="Q46" s="15" t="s">
        <v>203</v>
      </c>
      <c r="R46" s="13" t="s">
        <v>204</v>
      </c>
      <c r="S46" s="13" t="s">
        <v>103</v>
      </c>
      <c r="T46" s="13" t="s">
        <v>104</v>
      </c>
      <c r="U46" s="14">
        <v>43831</v>
      </c>
      <c r="V46" s="14"/>
      <c r="W46" s="15"/>
      <c r="X46" s="15"/>
      <c r="Y46" s="13"/>
      <c r="Z46" s="15"/>
      <c r="AA46" s="15"/>
      <c r="AB46" s="15"/>
      <c r="AC46" s="13"/>
      <c r="AD46" s="15"/>
      <c r="AE46" s="15"/>
      <c r="AF46" s="15"/>
      <c r="AG46" s="13"/>
      <c r="AH46" s="15"/>
      <c r="AI46" s="15"/>
      <c r="AJ46" s="15"/>
      <c r="AK46" s="13"/>
      <c r="AL46" s="15"/>
      <c r="AM46" s="15"/>
      <c r="AN46" s="13"/>
      <c r="AO46" s="13"/>
    </row>
    <row r="47" spans="1:41" ht="135" x14ac:dyDescent="0.25">
      <c r="A47" s="13" t="s">
        <v>86</v>
      </c>
      <c r="B47" s="13" t="s">
        <v>87</v>
      </c>
      <c r="C47" s="14">
        <v>43850.552083333336</v>
      </c>
      <c r="D47" s="13" t="s">
        <v>88</v>
      </c>
      <c r="E47" s="15" t="s">
        <v>89</v>
      </c>
      <c r="F47" s="13" t="s">
        <v>90</v>
      </c>
      <c r="G47" s="15" t="s">
        <v>91</v>
      </c>
      <c r="H47" s="13" t="s">
        <v>239</v>
      </c>
      <c r="I47" s="15" t="s">
        <v>240</v>
      </c>
      <c r="J47" s="15" t="s">
        <v>241</v>
      </c>
      <c r="K47" s="15" t="s">
        <v>242</v>
      </c>
      <c r="L47" s="13" t="s">
        <v>245</v>
      </c>
      <c r="M47" s="15" t="s">
        <v>246</v>
      </c>
      <c r="N47" s="13" t="s">
        <v>98</v>
      </c>
      <c r="O47" s="15" t="s">
        <v>170</v>
      </c>
      <c r="P47" s="15" t="s">
        <v>171</v>
      </c>
      <c r="Q47" s="15" t="s">
        <v>203</v>
      </c>
      <c r="R47" s="13" t="s">
        <v>204</v>
      </c>
      <c r="S47" s="13" t="s">
        <v>103</v>
      </c>
      <c r="T47" s="13" t="s">
        <v>104</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135" x14ac:dyDescent="0.25">
      <c r="A48" s="13" t="s">
        <v>86</v>
      </c>
      <c r="B48" s="13" t="s">
        <v>87</v>
      </c>
      <c r="C48" s="14">
        <v>43850.552083333336</v>
      </c>
      <c r="D48" s="13" t="s">
        <v>88</v>
      </c>
      <c r="E48" s="15" t="s">
        <v>89</v>
      </c>
      <c r="F48" s="13" t="s">
        <v>90</v>
      </c>
      <c r="G48" s="15" t="s">
        <v>91</v>
      </c>
      <c r="H48" s="13" t="s">
        <v>239</v>
      </c>
      <c r="I48" s="15" t="s">
        <v>240</v>
      </c>
      <c r="J48" s="15" t="s">
        <v>241</v>
      </c>
      <c r="K48" s="15" t="s">
        <v>242</v>
      </c>
      <c r="L48" s="13" t="s">
        <v>247</v>
      </c>
      <c r="M48" s="15" t="s">
        <v>248</v>
      </c>
      <c r="N48" s="13" t="s">
        <v>188</v>
      </c>
      <c r="O48" s="15" t="s">
        <v>189</v>
      </c>
      <c r="P48" s="15" t="s">
        <v>190</v>
      </c>
      <c r="Q48" s="15" t="s">
        <v>203</v>
      </c>
      <c r="R48" s="13" t="s">
        <v>204</v>
      </c>
      <c r="S48" s="13" t="s">
        <v>103</v>
      </c>
      <c r="T48" s="13" t="s">
        <v>104</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35" x14ac:dyDescent="0.25">
      <c r="A49" s="13" t="s">
        <v>202</v>
      </c>
      <c r="B49" s="13" t="s">
        <v>153</v>
      </c>
      <c r="C49" s="14">
        <v>43152.5</v>
      </c>
      <c r="D49" s="13" t="s">
        <v>88</v>
      </c>
      <c r="E49" s="15" t="s">
        <v>89</v>
      </c>
      <c r="F49" s="13" t="s">
        <v>90</v>
      </c>
      <c r="G49" s="15" t="s">
        <v>91</v>
      </c>
      <c r="H49" s="13" t="s">
        <v>239</v>
      </c>
      <c r="I49" s="15" t="s">
        <v>240</v>
      </c>
      <c r="J49" s="15" t="s">
        <v>241</v>
      </c>
      <c r="K49" s="15" t="s">
        <v>242</v>
      </c>
      <c r="L49" s="13" t="s">
        <v>243</v>
      </c>
      <c r="M49" s="15" t="s">
        <v>244</v>
      </c>
      <c r="N49" s="13" t="s">
        <v>98</v>
      </c>
      <c r="O49" s="15" t="s">
        <v>99</v>
      </c>
      <c r="P49" s="15" t="s">
        <v>100</v>
      </c>
      <c r="Q49" s="15" t="s">
        <v>206</v>
      </c>
      <c r="R49" s="13" t="s">
        <v>207</v>
      </c>
      <c r="S49" s="13" t="s">
        <v>103</v>
      </c>
      <c r="T49" s="13" t="s">
        <v>205</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135" x14ac:dyDescent="0.25">
      <c r="A50" s="13" t="s">
        <v>202</v>
      </c>
      <c r="B50" s="13" t="s">
        <v>153</v>
      </c>
      <c r="C50" s="14">
        <v>43152.5</v>
      </c>
      <c r="D50" s="13" t="s">
        <v>88</v>
      </c>
      <c r="E50" s="15" t="s">
        <v>89</v>
      </c>
      <c r="F50" s="13" t="s">
        <v>90</v>
      </c>
      <c r="G50" s="15" t="s">
        <v>91</v>
      </c>
      <c r="H50" s="13" t="s">
        <v>239</v>
      </c>
      <c r="I50" s="15" t="s">
        <v>240</v>
      </c>
      <c r="J50" s="15" t="s">
        <v>241</v>
      </c>
      <c r="K50" s="15" t="s">
        <v>242</v>
      </c>
      <c r="L50" s="13" t="s">
        <v>245</v>
      </c>
      <c r="M50" s="15" t="s">
        <v>246</v>
      </c>
      <c r="N50" s="13" t="s">
        <v>98</v>
      </c>
      <c r="O50" s="15" t="s">
        <v>170</v>
      </c>
      <c r="P50" s="15" t="s">
        <v>171</v>
      </c>
      <c r="Q50" s="15" t="s">
        <v>206</v>
      </c>
      <c r="R50" s="13" t="s">
        <v>207</v>
      </c>
      <c r="S50" s="13" t="s">
        <v>103</v>
      </c>
      <c r="T50" s="13" t="s">
        <v>205</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135" x14ac:dyDescent="0.25">
      <c r="A51" s="13" t="s">
        <v>202</v>
      </c>
      <c r="B51" s="13" t="s">
        <v>153</v>
      </c>
      <c r="C51" s="14">
        <v>43152.5</v>
      </c>
      <c r="D51" s="13" t="s">
        <v>88</v>
      </c>
      <c r="E51" s="15" t="s">
        <v>89</v>
      </c>
      <c r="F51" s="13" t="s">
        <v>90</v>
      </c>
      <c r="G51" s="15" t="s">
        <v>91</v>
      </c>
      <c r="H51" s="13" t="s">
        <v>239</v>
      </c>
      <c r="I51" s="15" t="s">
        <v>240</v>
      </c>
      <c r="J51" s="15" t="s">
        <v>241</v>
      </c>
      <c r="K51" s="15" t="s">
        <v>242</v>
      </c>
      <c r="L51" s="13" t="s">
        <v>247</v>
      </c>
      <c r="M51" s="15" t="s">
        <v>248</v>
      </c>
      <c r="N51" s="13" t="s">
        <v>188</v>
      </c>
      <c r="O51" s="15" t="s">
        <v>189</v>
      </c>
      <c r="P51" s="15" t="s">
        <v>190</v>
      </c>
      <c r="Q51" s="15" t="s">
        <v>206</v>
      </c>
      <c r="R51" s="13" t="s">
        <v>207</v>
      </c>
      <c r="S51" s="13" t="s">
        <v>103</v>
      </c>
      <c r="T51" s="13" t="s">
        <v>205</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135" x14ac:dyDescent="0.25">
      <c r="A52" s="13" t="s">
        <v>202</v>
      </c>
      <c r="B52" s="13" t="s">
        <v>153</v>
      </c>
      <c r="C52" s="14">
        <v>43152.5</v>
      </c>
      <c r="D52" s="13" t="s">
        <v>88</v>
      </c>
      <c r="E52" s="15" t="s">
        <v>89</v>
      </c>
      <c r="F52" s="13" t="s">
        <v>90</v>
      </c>
      <c r="G52" s="15" t="s">
        <v>91</v>
      </c>
      <c r="H52" s="13" t="s">
        <v>239</v>
      </c>
      <c r="I52" s="15" t="s">
        <v>240</v>
      </c>
      <c r="J52" s="15" t="s">
        <v>241</v>
      </c>
      <c r="K52" s="15" t="s">
        <v>242</v>
      </c>
      <c r="L52" s="13" t="s">
        <v>243</v>
      </c>
      <c r="M52" s="15" t="s">
        <v>244</v>
      </c>
      <c r="N52" s="13" t="s">
        <v>98</v>
      </c>
      <c r="O52" s="15" t="s">
        <v>99</v>
      </c>
      <c r="P52" s="15" t="s">
        <v>100</v>
      </c>
      <c r="Q52" s="15" t="s">
        <v>208</v>
      </c>
      <c r="R52" s="13" t="s">
        <v>209</v>
      </c>
      <c r="S52" s="13" t="s">
        <v>103</v>
      </c>
      <c r="T52" s="13" t="s">
        <v>205</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135" x14ac:dyDescent="0.25">
      <c r="A53" s="13" t="s">
        <v>202</v>
      </c>
      <c r="B53" s="13" t="s">
        <v>153</v>
      </c>
      <c r="C53" s="14">
        <v>43152.5</v>
      </c>
      <c r="D53" s="13" t="s">
        <v>88</v>
      </c>
      <c r="E53" s="15" t="s">
        <v>89</v>
      </c>
      <c r="F53" s="13" t="s">
        <v>90</v>
      </c>
      <c r="G53" s="15" t="s">
        <v>91</v>
      </c>
      <c r="H53" s="13" t="s">
        <v>239</v>
      </c>
      <c r="I53" s="15" t="s">
        <v>240</v>
      </c>
      <c r="J53" s="15" t="s">
        <v>241</v>
      </c>
      <c r="K53" s="15" t="s">
        <v>242</v>
      </c>
      <c r="L53" s="13" t="s">
        <v>245</v>
      </c>
      <c r="M53" s="15" t="s">
        <v>246</v>
      </c>
      <c r="N53" s="13" t="s">
        <v>98</v>
      </c>
      <c r="O53" s="15" t="s">
        <v>170</v>
      </c>
      <c r="P53" s="15" t="s">
        <v>171</v>
      </c>
      <c r="Q53" s="15" t="s">
        <v>208</v>
      </c>
      <c r="R53" s="13" t="s">
        <v>209</v>
      </c>
      <c r="S53" s="13" t="s">
        <v>103</v>
      </c>
      <c r="T53" s="13" t="s">
        <v>205</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135" x14ac:dyDescent="0.25">
      <c r="A54" s="13" t="s">
        <v>202</v>
      </c>
      <c r="B54" s="13" t="s">
        <v>153</v>
      </c>
      <c r="C54" s="14">
        <v>43152.5</v>
      </c>
      <c r="D54" s="13" t="s">
        <v>88</v>
      </c>
      <c r="E54" s="15" t="s">
        <v>89</v>
      </c>
      <c r="F54" s="13" t="s">
        <v>90</v>
      </c>
      <c r="G54" s="15" t="s">
        <v>91</v>
      </c>
      <c r="H54" s="13" t="s">
        <v>239</v>
      </c>
      <c r="I54" s="15" t="s">
        <v>240</v>
      </c>
      <c r="J54" s="15" t="s">
        <v>241</v>
      </c>
      <c r="K54" s="15" t="s">
        <v>242</v>
      </c>
      <c r="L54" s="13" t="s">
        <v>247</v>
      </c>
      <c r="M54" s="15" t="s">
        <v>248</v>
      </c>
      <c r="N54" s="13" t="s">
        <v>188</v>
      </c>
      <c r="O54" s="15" t="s">
        <v>189</v>
      </c>
      <c r="P54" s="15" t="s">
        <v>190</v>
      </c>
      <c r="Q54" s="15" t="s">
        <v>208</v>
      </c>
      <c r="R54" s="13" t="s">
        <v>209</v>
      </c>
      <c r="S54" s="13" t="s">
        <v>103</v>
      </c>
      <c r="T54" s="13" t="s">
        <v>205</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135" x14ac:dyDescent="0.25">
      <c r="A55" s="13" t="s">
        <v>202</v>
      </c>
      <c r="B55" s="13" t="s">
        <v>153</v>
      </c>
      <c r="C55" s="14">
        <v>43152.5</v>
      </c>
      <c r="D55" s="13" t="s">
        <v>88</v>
      </c>
      <c r="E55" s="15" t="s">
        <v>89</v>
      </c>
      <c r="F55" s="13" t="s">
        <v>90</v>
      </c>
      <c r="G55" s="15" t="s">
        <v>91</v>
      </c>
      <c r="H55" s="13" t="s">
        <v>239</v>
      </c>
      <c r="I55" s="15" t="s">
        <v>240</v>
      </c>
      <c r="J55" s="15" t="s">
        <v>241</v>
      </c>
      <c r="K55" s="15" t="s">
        <v>242</v>
      </c>
      <c r="L55" s="13" t="s">
        <v>243</v>
      </c>
      <c r="M55" s="15" t="s">
        <v>244</v>
      </c>
      <c r="N55" s="13" t="s">
        <v>98</v>
      </c>
      <c r="O55" s="15" t="s">
        <v>99</v>
      </c>
      <c r="P55" s="15" t="s">
        <v>100</v>
      </c>
      <c r="Q55" s="15" t="s">
        <v>259</v>
      </c>
      <c r="R55" s="13" t="s">
        <v>260</v>
      </c>
      <c r="S55" s="13" t="s">
        <v>212</v>
      </c>
      <c r="T55" s="13" t="s">
        <v>205</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135" x14ac:dyDescent="0.25">
      <c r="A56" s="13" t="s">
        <v>202</v>
      </c>
      <c r="B56" s="13" t="s">
        <v>153</v>
      </c>
      <c r="C56" s="14">
        <v>43152.5</v>
      </c>
      <c r="D56" s="13" t="s">
        <v>88</v>
      </c>
      <c r="E56" s="15" t="s">
        <v>89</v>
      </c>
      <c r="F56" s="13" t="s">
        <v>90</v>
      </c>
      <c r="G56" s="15" t="s">
        <v>91</v>
      </c>
      <c r="H56" s="13" t="s">
        <v>239</v>
      </c>
      <c r="I56" s="15" t="s">
        <v>240</v>
      </c>
      <c r="J56" s="15" t="s">
        <v>241</v>
      </c>
      <c r="K56" s="15" t="s">
        <v>242</v>
      </c>
      <c r="L56" s="13" t="s">
        <v>245</v>
      </c>
      <c r="M56" s="15" t="s">
        <v>246</v>
      </c>
      <c r="N56" s="13" t="s">
        <v>98</v>
      </c>
      <c r="O56" s="15" t="s">
        <v>170</v>
      </c>
      <c r="P56" s="15" t="s">
        <v>171</v>
      </c>
      <c r="Q56" s="15" t="s">
        <v>259</v>
      </c>
      <c r="R56" s="13" t="s">
        <v>260</v>
      </c>
      <c r="S56" s="13" t="s">
        <v>212</v>
      </c>
      <c r="T56" s="13" t="s">
        <v>205</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135" x14ac:dyDescent="0.25">
      <c r="A57" s="13" t="s">
        <v>202</v>
      </c>
      <c r="B57" s="13" t="s">
        <v>153</v>
      </c>
      <c r="C57" s="14">
        <v>43152.5</v>
      </c>
      <c r="D57" s="13" t="s">
        <v>88</v>
      </c>
      <c r="E57" s="15" t="s">
        <v>89</v>
      </c>
      <c r="F57" s="13" t="s">
        <v>90</v>
      </c>
      <c r="G57" s="15" t="s">
        <v>91</v>
      </c>
      <c r="H57" s="13" t="s">
        <v>239</v>
      </c>
      <c r="I57" s="15" t="s">
        <v>240</v>
      </c>
      <c r="J57" s="15" t="s">
        <v>241</v>
      </c>
      <c r="K57" s="15" t="s">
        <v>242</v>
      </c>
      <c r="L57" s="13" t="s">
        <v>247</v>
      </c>
      <c r="M57" s="15" t="s">
        <v>248</v>
      </c>
      <c r="N57" s="13" t="s">
        <v>188</v>
      </c>
      <c r="O57" s="15" t="s">
        <v>189</v>
      </c>
      <c r="P57" s="15" t="s">
        <v>190</v>
      </c>
      <c r="Q57" s="15" t="s">
        <v>259</v>
      </c>
      <c r="R57" s="13" t="s">
        <v>260</v>
      </c>
      <c r="S57" s="13" t="s">
        <v>212</v>
      </c>
      <c r="T57" s="13" t="s">
        <v>205</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135" x14ac:dyDescent="0.25">
      <c r="A58" s="13" t="s">
        <v>86</v>
      </c>
      <c r="B58" s="13" t="s">
        <v>87</v>
      </c>
      <c r="C58" s="14">
        <v>43850.552083333336</v>
      </c>
      <c r="D58" s="13" t="s">
        <v>88</v>
      </c>
      <c r="E58" s="15" t="s">
        <v>89</v>
      </c>
      <c r="F58" s="13" t="s">
        <v>90</v>
      </c>
      <c r="G58" s="15" t="s">
        <v>91</v>
      </c>
      <c r="H58" s="13" t="s">
        <v>239</v>
      </c>
      <c r="I58" s="15" t="s">
        <v>240</v>
      </c>
      <c r="J58" s="15" t="s">
        <v>241</v>
      </c>
      <c r="K58" s="15" t="s">
        <v>242</v>
      </c>
      <c r="L58" s="13" t="s">
        <v>243</v>
      </c>
      <c r="M58" s="15" t="s">
        <v>244</v>
      </c>
      <c r="N58" s="13" t="s">
        <v>98</v>
      </c>
      <c r="O58" s="15" t="s">
        <v>99</v>
      </c>
      <c r="P58" s="15" t="s">
        <v>100</v>
      </c>
      <c r="Q58" s="15" t="s">
        <v>261</v>
      </c>
      <c r="R58" s="13" t="s">
        <v>262</v>
      </c>
      <c r="S58" s="13" t="s">
        <v>212</v>
      </c>
      <c r="T58" s="13" t="s">
        <v>104</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135" x14ac:dyDescent="0.25">
      <c r="A59" s="13" t="s">
        <v>86</v>
      </c>
      <c r="B59" s="13" t="s">
        <v>87</v>
      </c>
      <c r="C59" s="14">
        <v>43850.552083333336</v>
      </c>
      <c r="D59" s="13" t="s">
        <v>88</v>
      </c>
      <c r="E59" s="15" t="s">
        <v>89</v>
      </c>
      <c r="F59" s="13" t="s">
        <v>90</v>
      </c>
      <c r="G59" s="15" t="s">
        <v>91</v>
      </c>
      <c r="H59" s="13" t="s">
        <v>239</v>
      </c>
      <c r="I59" s="15" t="s">
        <v>240</v>
      </c>
      <c r="J59" s="15" t="s">
        <v>241</v>
      </c>
      <c r="K59" s="15" t="s">
        <v>242</v>
      </c>
      <c r="L59" s="13" t="s">
        <v>245</v>
      </c>
      <c r="M59" s="15" t="s">
        <v>246</v>
      </c>
      <c r="N59" s="13" t="s">
        <v>98</v>
      </c>
      <c r="O59" s="15" t="s">
        <v>170</v>
      </c>
      <c r="P59" s="15" t="s">
        <v>171</v>
      </c>
      <c r="Q59" s="15" t="s">
        <v>261</v>
      </c>
      <c r="R59" s="13" t="s">
        <v>262</v>
      </c>
      <c r="S59" s="13" t="s">
        <v>212</v>
      </c>
      <c r="T59" s="13" t="s">
        <v>104</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135" x14ac:dyDescent="0.25">
      <c r="A60" s="13" t="s">
        <v>86</v>
      </c>
      <c r="B60" s="13" t="s">
        <v>87</v>
      </c>
      <c r="C60" s="14">
        <v>43850.552083333336</v>
      </c>
      <c r="D60" s="13" t="s">
        <v>88</v>
      </c>
      <c r="E60" s="15" t="s">
        <v>89</v>
      </c>
      <c r="F60" s="13" t="s">
        <v>90</v>
      </c>
      <c r="G60" s="15" t="s">
        <v>91</v>
      </c>
      <c r="H60" s="13" t="s">
        <v>239</v>
      </c>
      <c r="I60" s="15" t="s">
        <v>240</v>
      </c>
      <c r="J60" s="15" t="s">
        <v>241</v>
      </c>
      <c r="K60" s="15" t="s">
        <v>242</v>
      </c>
      <c r="L60" s="13" t="s">
        <v>247</v>
      </c>
      <c r="M60" s="15" t="s">
        <v>248</v>
      </c>
      <c r="N60" s="13" t="s">
        <v>188</v>
      </c>
      <c r="O60" s="15" t="s">
        <v>189</v>
      </c>
      <c r="P60" s="15" t="s">
        <v>190</v>
      </c>
      <c r="Q60" s="15" t="s">
        <v>261</v>
      </c>
      <c r="R60" s="13" t="s">
        <v>262</v>
      </c>
      <c r="S60" s="13" t="s">
        <v>212</v>
      </c>
      <c r="T60" s="13" t="s">
        <v>104</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135" x14ac:dyDescent="0.25">
      <c r="A61" s="13" t="s">
        <v>202</v>
      </c>
      <c r="B61" s="13" t="s">
        <v>153</v>
      </c>
      <c r="C61" s="14">
        <v>43152.5</v>
      </c>
      <c r="D61" s="13" t="s">
        <v>88</v>
      </c>
      <c r="E61" s="15" t="s">
        <v>89</v>
      </c>
      <c r="F61" s="13" t="s">
        <v>90</v>
      </c>
      <c r="G61" s="15" t="s">
        <v>91</v>
      </c>
      <c r="H61" s="13" t="s">
        <v>239</v>
      </c>
      <c r="I61" s="15" t="s">
        <v>240</v>
      </c>
      <c r="J61" s="15" t="s">
        <v>241</v>
      </c>
      <c r="K61" s="15" t="s">
        <v>242</v>
      </c>
      <c r="L61" s="13" t="s">
        <v>243</v>
      </c>
      <c r="M61" s="15" t="s">
        <v>244</v>
      </c>
      <c r="N61" s="13" t="s">
        <v>98</v>
      </c>
      <c r="O61" s="15" t="s">
        <v>99</v>
      </c>
      <c r="P61" s="15" t="s">
        <v>100</v>
      </c>
      <c r="Q61" s="15" t="s">
        <v>274</v>
      </c>
      <c r="R61" s="13" t="s">
        <v>275</v>
      </c>
      <c r="S61" s="13" t="s">
        <v>212</v>
      </c>
      <c r="T61" s="13" t="s">
        <v>205</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135" x14ac:dyDescent="0.25">
      <c r="A62" s="13" t="s">
        <v>202</v>
      </c>
      <c r="B62" s="13" t="s">
        <v>153</v>
      </c>
      <c r="C62" s="14">
        <v>43152.5</v>
      </c>
      <c r="D62" s="13" t="s">
        <v>88</v>
      </c>
      <c r="E62" s="15" t="s">
        <v>89</v>
      </c>
      <c r="F62" s="13" t="s">
        <v>90</v>
      </c>
      <c r="G62" s="15" t="s">
        <v>91</v>
      </c>
      <c r="H62" s="13" t="s">
        <v>239</v>
      </c>
      <c r="I62" s="15" t="s">
        <v>240</v>
      </c>
      <c r="J62" s="15" t="s">
        <v>241</v>
      </c>
      <c r="K62" s="15" t="s">
        <v>242</v>
      </c>
      <c r="L62" s="13" t="s">
        <v>245</v>
      </c>
      <c r="M62" s="15" t="s">
        <v>246</v>
      </c>
      <c r="N62" s="13" t="s">
        <v>98</v>
      </c>
      <c r="O62" s="15" t="s">
        <v>170</v>
      </c>
      <c r="P62" s="15" t="s">
        <v>171</v>
      </c>
      <c r="Q62" s="15" t="s">
        <v>274</v>
      </c>
      <c r="R62" s="13" t="s">
        <v>275</v>
      </c>
      <c r="S62" s="13" t="s">
        <v>212</v>
      </c>
      <c r="T62" s="13" t="s">
        <v>205</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135" x14ac:dyDescent="0.25">
      <c r="A63" s="13" t="s">
        <v>202</v>
      </c>
      <c r="B63" s="13" t="s">
        <v>153</v>
      </c>
      <c r="C63" s="14">
        <v>43152.5</v>
      </c>
      <c r="D63" s="13" t="s">
        <v>88</v>
      </c>
      <c r="E63" s="15" t="s">
        <v>89</v>
      </c>
      <c r="F63" s="13" t="s">
        <v>90</v>
      </c>
      <c r="G63" s="15" t="s">
        <v>91</v>
      </c>
      <c r="H63" s="13" t="s">
        <v>239</v>
      </c>
      <c r="I63" s="15" t="s">
        <v>240</v>
      </c>
      <c r="J63" s="15" t="s">
        <v>241</v>
      </c>
      <c r="K63" s="15" t="s">
        <v>242</v>
      </c>
      <c r="L63" s="13" t="s">
        <v>247</v>
      </c>
      <c r="M63" s="15" t="s">
        <v>248</v>
      </c>
      <c r="N63" s="13" t="s">
        <v>188</v>
      </c>
      <c r="O63" s="15" t="s">
        <v>189</v>
      </c>
      <c r="P63" s="15" t="s">
        <v>190</v>
      </c>
      <c r="Q63" s="15" t="s">
        <v>274</v>
      </c>
      <c r="R63" s="13" t="s">
        <v>275</v>
      </c>
      <c r="S63" s="13" t="s">
        <v>212</v>
      </c>
      <c r="T63" s="13" t="s">
        <v>205</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150" x14ac:dyDescent="0.25">
      <c r="A64" s="13" t="s">
        <v>202</v>
      </c>
      <c r="B64" s="13" t="s">
        <v>153</v>
      </c>
      <c r="C64" s="14">
        <v>43152.5</v>
      </c>
      <c r="D64" s="13" t="s">
        <v>88</v>
      </c>
      <c r="E64" s="15" t="s">
        <v>89</v>
      </c>
      <c r="F64" s="13" t="s">
        <v>90</v>
      </c>
      <c r="G64" s="15" t="s">
        <v>91</v>
      </c>
      <c r="H64" s="13" t="s">
        <v>276</v>
      </c>
      <c r="I64" s="15" t="s">
        <v>277</v>
      </c>
      <c r="J64" s="15" t="s">
        <v>278</v>
      </c>
      <c r="K64" s="15" t="s">
        <v>279</v>
      </c>
      <c r="L64" s="13" t="s">
        <v>280</v>
      </c>
      <c r="M64" s="15" t="s">
        <v>281</v>
      </c>
      <c r="N64" s="13" t="s">
        <v>98</v>
      </c>
      <c r="O64" s="15" t="s">
        <v>99</v>
      </c>
      <c r="P64" s="15" t="s">
        <v>100</v>
      </c>
      <c r="Q64" s="15" t="s">
        <v>101</v>
      </c>
      <c r="R64" s="13" t="s">
        <v>102</v>
      </c>
      <c r="S64" s="13" t="s">
        <v>103</v>
      </c>
      <c r="T64" s="13" t="s">
        <v>205</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150" x14ac:dyDescent="0.25">
      <c r="A65" s="13" t="s">
        <v>202</v>
      </c>
      <c r="B65" s="13" t="s">
        <v>153</v>
      </c>
      <c r="C65" s="14">
        <v>43152.5</v>
      </c>
      <c r="D65" s="13" t="s">
        <v>88</v>
      </c>
      <c r="E65" s="15" t="s">
        <v>89</v>
      </c>
      <c r="F65" s="13" t="s">
        <v>90</v>
      </c>
      <c r="G65" s="15" t="s">
        <v>91</v>
      </c>
      <c r="H65" s="13" t="s">
        <v>276</v>
      </c>
      <c r="I65" s="15" t="s">
        <v>277</v>
      </c>
      <c r="J65" s="15" t="s">
        <v>278</v>
      </c>
      <c r="K65" s="15" t="s">
        <v>279</v>
      </c>
      <c r="L65" s="13" t="s">
        <v>282</v>
      </c>
      <c r="M65" s="15" t="s">
        <v>283</v>
      </c>
      <c r="N65" s="13" t="s">
        <v>98</v>
      </c>
      <c r="O65" s="15" t="s">
        <v>170</v>
      </c>
      <c r="P65" s="15" t="s">
        <v>171</v>
      </c>
      <c r="Q65" s="15" t="s">
        <v>101</v>
      </c>
      <c r="R65" s="13" t="s">
        <v>102</v>
      </c>
      <c r="S65" s="13" t="s">
        <v>103</v>
      </c>
      <c r="T65" s="13" t="s">
        <v>205</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150" x14ac:dyDescent="0.25">
      <c r="A66" s="13" t="s">
        <v>202</v>
      </c>
      <c r="B66" s="13" t="s">
        <v>153</v>
      </c>
      <c r="C66" s="14">
        <v>43152.5</v>
      </c>
      <c r="D66" s="13" t="s">
        <v>88</v>
      </c>
      <c r="E66" s="15" t="s">
        <v>89</v>
      </c>
      <c r="F66" s="13" t="s">
        <v>90</v>
      </c>
      <c r="G66" s="15" t="s">
        <v>91</v>
      </c>
      <c r="H66" s="13" t="s">
        <v>276</v>
      </c>
      <c r="I66" s="15" t="s">
        <v>277</v>
      </c>
      <c r="J66" s="15" t="s">
        <v>278</v>
      </c>
      <c r="K66" s="15" t="s">
        <v>279</v>
      </c>
      <c r="L66" s="13" t="s">
        <v>284</v>
      </c>
      <c r="M66" s="15" t="s">
        <v>285</v>
      </c>
      <c r="N66" s="13" t="s">
        <v>188</v>
      </c>
      <c r="O66" s="15" t="s">
        <v>189</v>
      </c>
      <c r="P66" s="15" t="s">
        <v>190</v>
      </c>
      <c r="Q66" s="15" t="s">
        <v>101</v>
      </c>
      <c r="R66" s="13" t="s">
        <v>102</v>
      </c>
      <c r="S66" s="13" t="s">
        <v>103</v>
      </c>
      <c r="T66" s="13" t="s">
        <v>205</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150" x14ac:dyDescent="0.25">
      <c r="A67" s="13" t="s">
        <v>86</v>
      </c>
      <c r="B67" s="13" t="s">
        <v>87</v>
      </c>
      <c r="C67" s="14">
        <v>43850.552083333336</v>
      </c>
      <c r="D67" s="13" t="s">
        <v>88</v>
      </c>
      <c r="E67" s="15" t="s">
        <v>89</v>
      </c>
      <c r="F67" s="13" t="s">
        <v>90</v>
      </c>
      <c r="G67" s="15" t="s">
        <v>91</v>
      </c>
      <c r="H67" s="13" t="s">
        <v>276</v>
      </c>
      <c r="I67" s="15" t="s">
        <v>277</v>
      </c>
      <c r="J67" s="15" t="s">
        <v>278</v>
      </c>
      <c r="K67" s="15" t="s">
        <v>279</v>
      </c>
      <c r="L67" s="13" t="s">
        <v>280</v>
      </c>
      <c r="M67" s="15" t="s">
        <v>281</v>
      </c>
      <c r="N67" s="13" t="s">
        <v>98</v>
      </c>
      <c r="O67" s="15" t="s">
        <v>99</v>
      </c>
      <c r="P67" s="15" t="s">
        <v>100</v>
      </c>
      <c r="Q67" s="15" t="s">
        <v>203</v>
      </c>
      <c r="R67" s="13" t="s">
        <v>204</v>
      </c>
      <c r="S67" s="13" t="s">
        <v>103</v>
      </c>
      <c r="T67" s="13" t="s">
        <v>104</v>
      </c>
      <c r="U67" s="14">
        <v>40725</v>
      </c>
      <c r="V67" s="14">
        <v>43830</v>
      </c>
      <c r="W67" s="15"/>
      <c r="X67" s="15"/>
      <c r="Y67" s="13"/>
      <c r="Z67" s="15"/>
      <c r="AA67" s="15"/>
      <c r="AB67" s="15"/>
      <c r="AC67" s="13"/>
      <c r="AD67" s="15"/>
      <c r="AE67" s="15"/>
      <c r="AF67" s="15"/>
      <c r="AG67" s="13"/>
      <c r="AH67" s="15"/>
      <c r="AI67" s="15"/>
      <c r="AJ67" s="15"/>
      <c r="AK67" s="13"/>
      <c r="AL67" s="15"/>
      <c r="AM67" s="15"/>
      <c r="AN67" s="13"/>
      <c r="AO67" s="13"/>
    </row>
    <row r="68" spans="1:41" ht="150" x14ac:dyDescent="0.25">
      <c r="A68" s="13" t="s">
        <v>86</v>
      </c>
      <c r="B68" s="13" t="s">
        <v>153</v>
      </c>
      <c r="C68" s="14">
        <v>44008.572222222225</v>
      </c>
      <c r="D68" s="13" t="s">
        <v>88</v>
      </c>
      <c r="E68" s="15" t="s">
        <v>89</v>
      </c>
      <c r="F68" s="13" t="s">
        <v>90</v>
      </c>
      <c r="G68" s="15" t="s">
        <v>91</v>
      </c>
      <c r="H68" s="13" t="s">
        <v>276</v>
      </c>
      <c r="I68" s="15" t="s">
        <v>277</v>
      </c>
      <c r="J68" s="15" t="s">
        <v>278</v>
      </c>
      <c r="K68" s="15" t="s">
        <v>279</v>
      </c>
      <c r="L68" s="13" t="s">
        <v>280</v>
      </c>
      <c r="M68" s="15" t="s">
        <v>281</v>
      </c>
      <c r="N68" s="13" t="s">
        <v>98</v>
      </c>
      <c r="O68" s="15" t="s">
        <v>99</v>
      </c>
      <c r="P68" s="15" t="s">
        <v>100</v>
      </c>
      <c r="Q68" s="15" t="s">
        <v>203</v>
      </c>
      <c r="R68" s="13" t="s">
        <v>204</v>
      </c>
      <c r="S68" s="13" t="s">
        <v>103</v>
      </c>
      <c r="T68" s="13" t="s">
        <v>104</v>
      </c>
      <c r="U68" s="14">
        <v>43831</v>
      </c>
      <c r="V68" s="14"/>
      <c r="W68" s="15"/>
      <c r="X68" s="15"/>
      <c r="Y68" s="13"/>
      <c r="Z68" s="15"/>
      <c r="AA68" s="15"/>
      <c r="AB68" s="15"/>
      <c r="AC68" s="13"/>
      <c r="AD68" s="15"/>
      <c r="AE68" s="15"/>
      <c r="AF68" s="15"/>
      <c r="AG68" s="13"/>
      <c r="AH68" s="15"/>
      <c r="AI68" s="15"/>
      <c r="AJ68" s="15"/>
      <c r="AK68" s="13"/>
      <c r="AL68" s="15"/>
      <c r="AM68" s="15"/>
      <c r="AN68" s="13"/>
      <c r="AO68" s="13"/>
    </row>
    <row r="69" spans="1:41" ht="150" x14ac:dyDescent="0.25">
      <c r="A69" s="13" t="s">
        <v>86</v>
      </c>
      <c r="B69" s="13" t="s">
        <v>87</v>
      </c>
      <c r="C69" s="14">
        <v>43850.552083333336</v>
      </c>
      <c r="D69" s="13" t="s">
        <v>88</v>
      </c>
      <c r="E69" s="15" t="s">
        <v>89</v>
      </c>
      <c r="F69" s="13" t="s">
        <v>90</v>
      </c>
      <c r="G69" s="15" t="s">
        <v>91</v>
      </c>
      <c r="H69" s="13" t="s">
        <v>276</v>
      </c>
      <c r="I69" s="15" t="s">
        <v>277</v>
      </c>
      <c r="J69" s="15" t="s">
        <v>278</v>
      </c>
      <c r="K69" s="15" t="s">
        <v>279</v>
      </c>
      <c r="L69" s="13" t="s">
        <v>282</v>
      </c>
      <c r="M69" s="15" t="s">
        <v>283</v>
      </c>
      <c r="N69" s="13" t="s">
        <v>98</v>
      </c>
      <c r="O69" s="15" t="s">
        <v>170</v>
      </c>
      <c r="P69" s="15" t="s">
        <v>171</v>
      </c>
      <c r="Q69" s="15" t="s">
        <v>203</v>
      </c>
      <c r="R69" s="13" t="s">
        <v>204</v>
      </c>
      <c r="S69" s="13" t="s">
        <v>103</v>
      </c>
      <c r="T69" s="13" t="s">
        <v>104</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150" x14ac:dyDescent="0.25">
      <c r="A70" s="13" t="s">
        <v>86</v>
      </c>
      <c r="B70" s="13" t="s">
        <v>87</v>
      </c>
      <c r="C70" s="14">
        <v>43850.552083333336</v>
      </c>
      <c r="D70" s="13" t="s">
        <v>88</v>
      </c>
      <c r="E70" s="15" t="s">
        <v>89</v>
      </c>
      <c r="F70" s="13" t="s">
        <v>90</v>
      </c>
      <c r="G70" s="15" t="s">
        <v>91</v>
      </c>
      <c r="H70" s="13" t="s">
        <v>276</v>
      </c>
      <c r="I70" s="15" t="s">
        <v>277</v>
      </c>
      <c r="J70" s="15" t="s">
        <v>278</v>
      </c>
      <c r="K70" s="15" t="s">
        <v>279</v>
      </c>
      <c r="L70" s="13" t="s">
        <v>284</v>
      </c>
      <c r="M70" s="15" t="s">
        <v>285</v>
      </c>
      <c r="N70" s="13" t="s">
        <v>188</v>
      </c>
      <c r="O70" s="15" t="s">
        <v>189</v>
      </c>
      <c r="P70" s="15" t="s">
        <v>190</v>
      </c>
      <c r="Q70" s="15" t="s">
        <v>203</v>
      </c>
      <c r="R70" s="13" t="s">
        <v>204</v>
      </c>
      <c r="S70" s="13" t="s">
        <v>103</v>
      </c>
      <c r="T70" s="13" t="s">
        <v>104</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150" x14ac:dyDescent="0.25">
      <c r="A71" s="13" t="s">
        <v>202</v>
      </c>
      <c r="B71" s="13" t="s">
        <v>153</v>
      </c>
      <c r="C71" s="14">
        <v>43152.5</v>
      </c>
      <c r="D71" s="13" t="s">
        <v>88</v>
      </c>
      <c r="E71" s="15" t="s">
        <v>89</v>
      </c>
      <c r="F71" s="13" t="s">
        <v>90</v>
      </c>
      <c r="G71" s="15" t="s">
        <v>91</v>
      </c>
      <c r="H71" s="13" t="s">
        <v>276</v>
      </c>
      <c r="I71" s="15" t="s">
        <v>277</v>
      </c>
      <c r="J71" s="15" t="s">
        <v>278</v>
      </c>
      <c r="K71" s="15" t="s">
        <v>279</v>
      </c>
      <c r="L71" s="13" t="s">
        <v>280</v>
      </c>
      <c r="M71" s="15" t="s">
        <v>281</v>
      </c>
      <c r="N71" s="13" t="s">
        <v>98</v>
      </c>
      <c r="O71" s="15" t="s">
        <v>99</v>
      </c>
      <c r="P71" s="15" t="s">
        <v>100</v>
      </c>
      <c r="Q71" s="15" t="s">
        <v>206</v>
      </c>
      <c r="R71" s="13" t="s">
        <v>207</v>
      </c>
      <c r="S71" s="13" t="s">
        <v>103</v>
      </c>
      <c r="T71" s="13" t="s">
        <v>205</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50" x14ac:dyDescent="0.25">
      <c r="A72" s="13" t="s">
        <v>202</v>
      </c>
      <c r="B72" s="13" t="s">
        <v>153</v>
      </c>
      <c r="C72" s="14">
        <v>43152.5</v>
      </c>
      <c r="D72" s="13" t="s">
        <v>88</v>
      </c>
      <c r="E72" s="15" t="s">
        <v>89</v>
      </c>
      <c r="F72" s="13" t="s">
        <v>90</v>
      </c>
      <c r="G72" s="15" t="s">
        <v>91</v>
      </c>
      <c r="H72" s="13" t="s">
        <v>276</v>
      </c>
      <c r="I72" s="15" t="s">
        <v>277</v>
      </c>
      <c r="J72" s="15" t="s">
        <v>278</v>
      </c>
      <c r="K72" s="15" t="s">
        <v>279</v>
      </c>
      <c r="L72" s="13" t="s">
        <v>282</v>
      </c>
      <c r="M72" s="15" t="s">
        <v>283</v>
      </c>
      <c r="N72" s="13" t="s">
        <v>98</v>
      </c>
      <c r="O72" s="15" t="s">
        <v>170</v>
      </c>
      <c r="P72" s="15" t="s">
        <v>171</v>
      </c>
      <c r="Q72" s="15" t="s">
        <v>206</v>
      </c>
      <c r="R72" s="13" t="s">
        <v>207</v>
      </c>
      <c r="S72" s="13" t="s">
        <v>103</v>
      </c>
      <c r="T72" s="13" t="s">
        <v>205</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50" x14ac:dyDescent="0.25">
      <c r="A73" s="13" t="s">
        <v>202</v>
      </c>
      <c r="B73" s="13" t="s">
        <v>153</v>
      </c>
      <c r="C73" s="14">
        <v>43152.5</v>
      </c>
      <c r="D73" s="13" t="s">
        <v>88</v>
      </c>
      <c r="E73" s="15" t="s">
        <v>89</v>
      </c>
      <c r="F73" s="13" t="s">
        <v>90</v>
      </c>
      <c r="G73" s="15" t="s">
        <v>91</v>
      </c>
      <c r="H73" s="13" t="s">
        <v>276</v>
      </c>
      <c r="I73" s="15" t="s">
        <v>277</v>
      </c>
      <c r="J73" s="15" t="s">
        <v>278</v>
      </c>
      <c r="K73" s="15" t="s">
        <v>279</v>
      </c>
      <c r="L73" s="13" t="s">
        <v>284</v>
      </c>
      <c r="M73" s="15" t="s">
        <v>285</v>
      </c>
      <c r="N73" s="13" t="s">
        <v>188</v>
      </c>
      <c r="O73" s="15" t="s">
        <v>189</v>
      </c>
      <c r="P73" s="15" t="s">
        <v>190</v>
      </c>
      <c r="Q73" s="15" t="s">
        <v>206</v>
      </c>
      <c r="R73" s="13" t="s">
        <v>207</v>
      </c>
      <c r="S73" s="13" t="s">
        <v>103</v>
      </c>
      <c r="T73" s="13" t="s">
        <v>205</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150" x14ac:dyDescent="0.25">
      <c r="A74" s="13" t="s">
        <v>202</v>
      </c>
      <c r="B74" s="13" t="s">
        <v>153</v>
      </c>
      <c r="C74" s="14">
        <v>43152.5</v>
      </c>
      <c r="D74" s="13" t="s">
        <v>88</v>
      </c>
      <c r="E74" s="15" t="s">
        <v>89</v>
      </c>
      <c r="F74" s="13" t="s">
        <v>90</v>
      </c>
      <c r="G74" s="15" t="s">
        <v>91</v>
      </c>
      <c r="H74" s="13" t="s">
        <v>276</v>
      </c>
      <c r="I74" s="15" t="s">
        <v>277</v>
      </c>
      <c r="J74" s="15" t="s">
        <v>278</v>
      </c>
      <c r="K74" s="15" t="s">
        <v>279</v>
      </c>
      <c r="L74" s="13" t="s">
        <v>280</v>
      </c>
      <c r="M74" s="15" t="s">
        <v>281</v>
      </c>
      <c r="N74" s="13" t="s">
        <v>98</v>
      </c>
      <c r="O74" s="15" t="s">
        <v>99</v>
      </c>
      <c r="P74" s="15" t="s">
        <v>100</v>
      </c>
      <c r="Q74" s="15" t="s">
        <v>208</v>
      </c>
      <c r="R74" s="13" t="s">
        <v>209</v>
      </c>
      <c r="S74" s="13" t="s">
        <v>103</v>
      </c>
      <c r="T74" s="13" t="s">
        <v>205</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50" x14ac:dyDescent="0.25">
      <c r="A75" s="13" t="s">
        <v>202</v>
      </c>
      <c r="B75" s="13" t="s">
        <v>153</v>
      </c>
      <c r="C75" s="14">
        <v>43152.5</v>
      </c>
      <c r="D75" s="13" t="s">
        <v>88</v>
      </c>
      <c r="E75" s="15" t="s">
        <v>89</v>
      </c>
      <c r="F75" s="13" t="s">
        <v>90</v>
      </c>
      <c r="G75" s="15" t="s">
        <v>91</v>
      </c>
      <c r="H75" s="13" t="s">
        <v>276</v>
      </c>
      <c r="I75" s="15" t="s">
        <v>277</v>
      </c>
      <c r="J75" s="15" t="s">
        <v>278</v>
      </c>
      <c r="K75" s="15" t="s">
        <v>279</v>
      </c>
      <c r="L75" s="13" t="s">
        <v>282</v>
      </c>
      <c r="M75" s="15" t="s">
        <v>283</v>
      </c>
      <c r="N75" s="13" t="s">
        <v>98</v>
      </c>
      <c r="O75" s="15" t="s">
        <v>170</v>
      </c>
      <c r="P75" s="15" t="s">
        <v>171</v>
      </c>
      <c r="Q75" s="15" t="s">
        <v>208</v>
      </c>
      <c r="R75" s="13" t="s">
        <v>209</v>
      </c>
      <c r="S75" s="13" t="s">
        <v>103</v>
      </c>
      <c r="T75" s="13" t="s">
        <v>205</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150" x14ac:dyDescent="0.25">
      <c r="A76" s="13" t="s">
        <v>202</v>
      </c>
      <c r="B76" s="13" t="s">
        <v>153</v>
      </c>
      <c r="C76" s="14">
        <v>43152.5</v>
      </c>
      <c r="D76" s="13" t="s">
        <v>88</v>
      </c>
      <c r="E76" s="15" t="s">
        <v>89</v>
      </c>
      <c r="F76" s="13" t="s">
        <v>90</v>
      </c>
      <c r="G76" s="15" t="s">
        <v>91</v>
      </c>
      <c r="H76" s="13" t="s">
        <v>276</v>
      </c>
      <c r="I76" s="15" t="s">
        <v>277</v>
      </c>
      <c r="J76" s="15" t="s">
        <v>278</v>
      </c>
      <c r="K76" s="15" t="s">
        <v>279</v>
      </c>
      <c r="L76" s="13" t="s">
        <v>284</v>
      </c>
      <c r="M76" s="15" t="s">
        <v>285</v>
      </c>
      <c r="N76" s="13" t="s">
        <v>188</v>
      </c>
      <c r="O76" s="15" t="s">
        <v>189</v>
      </c>
      <c r="P76" s="15" t="s">
        <v>190</v>
      </c>
      <c r="Q76" s="15" t="s">
        <v>208</v>
      </c>
      <c r="R76" s="13" t="s">
        <v>209</v>
      </c>
      <c r="S76" s="13" t="s">
        <v>103</v>
      </c>
      <c r="T76" s="13" t="s">
        <v>205</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150" x14ac:dyDescent="0.25">
      <c r="A77" s="13" t="s">
        <v>202</v>
      </c>
      <c r="B77" s="13" t="s">
        <v>153</v>
      </c>
      <c r="C77" s="14">
        <v>43152.5</v>
      </c>
      <c r="D77" s="13" t="s">
        <v>88</v>
      </c>
      <c r="E77" s="15" t="s">
        <v>89</v>
      </c>
      <c r="F77" s="13" t="s">
        <v>90</v>
      </c>
      <c r="G77" s="15" t="s">
        <v>91</v>
      </c>
      <c r="H77" s="13" t="s">
        <v>276</v>
      </c>
      <c r="I77" s="15" t="s">
        <v>277</v>
      </c>
      <c r="J77" s="15" t="s">
        <v>278</v>
      </c>
      <c r="K77" s="15" t="s">
        <v>279</v>
      </c>
      <c r="L77" s="13" t="s">
        <v>280</v>
      </c>
      <c r="M77" s="15" t="s">
        <v>281</v>
      </c>
      <c r="N77" s="13" t="s">
        <v>98</v>
      </c>
      <c r="O77" s="15" t="s">
        <v>99</v>
      </c>
      <c r="P77" s="15" t="s">
        <v>100</v>
      </c>
      <c r="Q77" s="15" t="s">
        <v>259</v>
      </c>
      <c r="R77" s="13" t="s">
        <v>260</v>
      </c>
      <c r="S77" s="13" t="s">
        <v>212</v>
      </c>
      <c r="T77" s="13" t="s">
        <v>205</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150" x14ac:dyDescent="0.25">
      <c r="A78" s="13" t="s">
        <v>202</v>
      </c>
      <c r="B78" s="13" t="s">
        <v>153</v>
      </c>
      <c r="C78" s="14">
        <v>43152.5</v>
      </c>
      <c r="D78" s="13" t="s">
        <v>88</v>
      </c>
      <c r="E78" s="15" t="s">
        <v>89</v>
      </c>
      <c r="F78" s="13" t="s">
        <v>90</v>
      </c>
      <c r="G78" s="15" t="s">
        <v>91</v>
      </c>
      <c r="H78" s="13" t="s">
        <v>276</v>
      </c>
      <c r="I78" s="15" t="s">
        <v>277</v>
      </c>
      <c r="J78" s="15" t="s">
        <v>278</v>
      </c>
      <c r="K78" s="15" t="s">
        <v>279</v>
      </c>
      <c r="L78" s="13" t="s">
        <v>282</v>
      </c>
      <c r="M78" s="15" t="s">
        <v>283</v>
      </c>
      <c r="N78" s="13" t="s">
        <v>98</v>
      </c>
      <c r="O78" s="15" t="s">
        <v>170</v>
      </c>
      <c r="P78" s="15" t="s">
        <v>171</v>
      </c>
      <c r="Q78" s="15" t="s">
        <v>259</v>
      </c>
      <c r="R78" s="13" t="s">
        <v>260</v>
      </c>
      <c r="S78" s="13" t="s">
        <v>212</v>
      </c>
      <c r="T78" s="13" t="s">
        <v>205</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50" x14ac:dyDescent="0.25">
      <c r="A79" s="13" t="s">
        <v>202</v>
      </c>
      <c r="B79" s="13" t="s">
        <v>153</v>
      </c>
      <c r="C79" s="14">
        <v>43152.5</v>
      </c>
      <c r="D79" s="13" t="s">
        <v>88</v>
      </c>
      <c r="E79" s="15" t="s">
        <v>89</v>
      </c>
      <c r="F79" s="13" t="s">
        <v>90</v>
      </c>
      <c r="G79" s="15" t="s">
        <v>91</v>
      </c>
      <c r="H79" s="13" t="s">
        <v>276</v>
      </c>
      <c r="I79" s="15" t="s">
        <v>277</v>
      </c>
      <c r="J79" s="15" t="s">
        <v>278</v>
      </c>
      <c r="K79" s="15" t="s">
        <v>279</v>
      </c>
      <c r="L79" s="13" t="s">
        <v>284</v>
      </c>
      <c r="M79" s="15" t="s">
        <v>285</v>
      </c>
      <c r="N79" s="13" t="s">
        <v>188</v>
      </c>
      <c r="O79" s="15" t="s">
        <v>189</v>
      </c>
      <c r="P79" s="15" t="s">
        <v>190</v>
      </c>
      <c r="Q79" s="15" t="s">
        <v>259</v>
      </c>
      <c r="R79" s="13" t="s">
        <v>260</v>
      </c>
      <c r="S79" s="13" t="s">
        <v>212</v>
      </c>
      <c r="T79" s="13" t="s">
        <v>205</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50" x14ac:dyDescent="0.25">
      <c r="A80" s="13" t="s">
        <v>86</v>
      </c>
      <c r="B80" s="13" t="s">
        <v>87</v>
      </c>
      <c r="C80" s="14">
        <v>43850.552083333336</v>
      </c>
      <c r="D80" s="13" t="s">
        <v>88</v>
      </c>
      <c r="E80" s="15" t="s">
        <v>89</v>
      </c>
      <c r="F80" s="13" t="s">
        <v>90</v>
      </c>
      <c r="G80" s="15" t="s">
        <v>91</v>
      </c>
      <c r="H80" s="13" t="s">
        <v>276</v>
      </c>
      <c r="I80" s="15" t="s">
        <v>277</v>
      </c>
      <c r="J80" s="15" t="s">
        <v>278</v>
      </c>
      <c r="K80" s="15" t="s">
        <v>279</v>
      </c>
      <c r="L80" s="13" t="s">
        <v>280</v>
      </c>
      <c r="M80" s="15" t="s">
        <v>281</v>
      </c>
      <c r="N80" s="13" t="s">
        <v>98</v>
      </c>
      <c r="O80" s="15" t="s">
        <v>99</v>
      </c>
      <c r="P80" s="15" t="s">
        <v>100</v>
      </c>
      <c r="Q80" s="15" t="s">
        <v>261</v>
      </c>
      <c r="R80" s="13" t="s">
        <v>262</v>
      </c>
      <c r="S80" s="13" t="s">
        <v>212</v>
      </c>
      <c r="T80" s="13" t="s">
        <v>104</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150" x14ac:dyDescent="0.25">
      <c r="A81" s="13" t="s">
        <v>86</v>
      </c>
      <c r="B81" s="13" t="s">
        <v>87</v>
      </c>
      <c r="C81" s="14">
        <v>43850.552083333336</v>
      </c>
      <c r="D81" s="13" t="s">
        <v>88</v>
      </c>
      <c r="E81" s="15" t="s">
        <v>89</v>
      </c>
      <c r="F81" s="13" t="s">
        <v>90</v>
      </c>
      <c r="G81" s="15" t="s">
        <v>91</v>
      </c>
      <c r="H81" s="13" t="s">
        <v>276</v>
      </c>
      <c r="I81" s="15" t="s">
        <v>277</v>
      </c>
      <c r="J81" s="15" t="s">
        <v>278</v>
      </c>
      <c r="K81" s="15" t="s">
        <v>279</v>
      </c>
      <c r="L81" s="13" t="s">
        <v>282</v>
      </c>
      <c r="M81" s="15" t="s">
        <v>283</v>
      </c>
      <c r="N81" s="13" t="s">
        <v>98</v>
      </c>
      <c r="O81" s="15" t="s">
        <v>170</v>
      </c>
      <c r="P81" s="15" t="s">
        <v>171</v>
      </c>
      <c r="Q81" s="15" t="s">
        <v>261</v>
      </c>
      <c r="R81" s="13" t="s">
        <v>262</v>
      </c>
      <c r="S81" s="13" t="s">
        <v>212</v>
      </c>
      <c r="T81" s="13" t="s">
        <v>104</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50" x14ac:dyDescent="0.25">
      <c r="A82" s="13" t="s">
        <v>86</v>
      </c>
      <c r="B82" s="13" t="s">
        <v>87</v>
      </c>
      <c r="C82" s="14">
        <v>43850.552083333336</v>
      </c>
      <c r="D82" s="13" t="s">
        <v>88</v>
      </c>
      <c r="E82" s="15" t="s">
        <v>89</v>
      </c>
      <c r="F82" s="13" t="s">
        <v>90</v>
      </c>
      <c r="G82" s="15" t="s">
        <v>91</v>
      </c>
      <c r="H82" s="13" t="s">
        <v>276</v>
      </c>
      <c r="I82" s="15" t="s">
        <v>277</v>
      </c>
      <c r="J82" s="15" t="s">
        <v>278</v>
      </c>
      <c r="K82" s="15" t="s">
        <v>279</v>
      </c>
      <c r="L82" s="13" t="s">
        <v>284</v>
      </c>
      <c r="M82" s="15" t="s">
        <v>285</v>
      </c>
      <c r="N82" s="13" t="s">
        <v>188</v>
      </c>
      <c r="O82" s="15" t="s">
        <v>189</v>
      </c>
      <c r="P82" s="15" t="s">
        <v>190</v>
      </c>
      <c r="Q82" s="15" t="s">
        <v>261</v>
      </c>
      <c r="R82" s="13" t="s">
        <v>262</v>
      </c>
      <c r="S82" s="13" t="s">
        <v>212</v>
      </c>
      <c r="T82" s="13" t="s">
        <v>104</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50" x14ac:dyDescent="0.25">
      <c r="A83" s="13" t="s">
        <v>202</v>
      </c>
      <c r="B83" s="13" t="s">
        <v>153</v>
      </c>
      <c r="C83" s="14">
        <v>43152.5</v>
      </c>
      <c r="D83" s="13" t="s">
        <v>88</v>
      </c>
      <c r="E83" s="15" t="s">
        <v>89</v>
      </c>
      <c r="F83" s="13" t="s">
        <v>90</v>
      </c>
      <c r="G83" s="15" t="s">
        <v>91</v>
      </c>
      <c r="H83" s="13" t="s">
        <v>276</v>
      </c>
      <c r="I83" s="15" t="s">
        <v>277</v>
      </c>
      <c r="J83" s="15" t="s">
        <v>278</v>
      </c>
      <c r="K83" s="15" t="s">
        <v>279</v>
      </c>
      <c r="L83" s="13" t="s">
        <v>280</v>
      </c>
      <c r="M83" s="15" t="s">
        <v>281</v>
      </c>
      <c r="N83" s="13" t="s">
        <v>98</v>
      </c>
      <c r="O83" s="15" t="s">
        <v>99</v>
      </c>
      <c r="P83" s="15" t="s">
        <v>100</v>
      </c>
      <c r="Q83" s="15" t="s">
        <v>274</v>
      </c>
      <c r="R83" s="13" t="s">
        <v>275</v>
      </c>
      <c r="S83" s="13" t="s">
        <v>212</v>
      </c>
      <c r="T83" s="13" t="s">
        <v>205</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150" x14ac:dyDescent="0.25">
      <c r="A84" s="13" t="s">
        <v>202</v>
      </c>
      <c r="B84" s="13" t="s">
        <v>153</v>
      </c>
      <c r="C84" s="14">
        <v>43152.5</v>
      </c>
      <c r="D84" s="13" t="s">
        <v>88</v>
      </c>
      <c r="E84" s="15" t="s">
        <v>89</v>
      </c>
      <c r="F84" s="13" t="s">
        <v>90</v>
      </c>
      <c r="G84" s="15" t="s">
        <v>91</v>
      </c>
      <c r="H84" s="13" t="s">
        <v>276</v>
      </c>
      <c r="I84" s="15" t="s">
        <v>277</v>
      </c>
      <c r="J84" s="15" t="s">
        <v>278</v>
      </c>
      <c r="K84" s="15" t="s">
        <v>279</v>
      </c>
      <c r="L84" s="13" t="s">
        <v>282</v>
      </c>
      <c r="M84" s="15" t="s">
        <v>283</v>
      </c>
      <c r="N84" s="13" t="s">
        <v>98</v>
      </c>
      <c r="O84" s="15" t="s">
        <v>170</v>
      </c>
      <c r="P84" s="15" t="s">
        <v>171</v>
      </c>
      <c r="Q84" s="15" t="s">
        <v>274</v>
      </c>
      <c r="R84" s="13" t="s">
        <v>275</v>
      </c>
      <c r="S84" s="13" t="s">
        <v>212</v>
      </c>
      <c r="T84" s="13" t="s">
        <v>205</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50" x14ac:dyDescent="0.25">
      <c r="A85" s="13" t="s">
        <v>202</v>
      </c>
      <c r="B85" s="13" t="s">
        <v>153</v>
      </c>
      <c r="C85" s="14">
        <v>43152.5</v>
      </c>
      <c r="D85" s="13" t="s">
        <v>88</v>
      </c>
      <c r="E85" s="15" t="s">
        <v>89</v>
      </c>
      <c r="F85" s="13" t="s">
        <v>90</v>
      </c>
      <c r="G85" s="15" t="s">
        <v>91</v>
      </c>
      <c r="H85" s="13" t="s">
        <v>276</v>
      </c>
      <c r="I85" s="15" t="s">
        <v>277</v>
      </c>
      <c r="J85" s="15" t="s">
        <v>278</v>
      </c>
      <c r="K85" s="15" t="s">
        <v>279</v>
      </c>
      <c r="L85" s="13" t="s">
        <v>284</v>
      </c>
      <c r="M85" s="15" t="s">
        <v>285</v>
      </c>
      <c r="N85" s="13" t="s">
        <v>188</v>
      </c>
      <c r="O85" s="15" t="s">
        <v>189</v>
      </c>
      <c r="P85" s="15" t="s">
        <v>190</v>
      </c>
      <c r="Q85" s="15" t="s">
        <v>274</v>
      </c>
      <c r="R85" s="13" t="s">
        <v>275</v>
      </c>
      <c r="S85" s="13" t="s">
        <v>212</v>
      </c>
      <c r="T85" s="13" t="s">
        <v>205</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35" x14ac:dyDescent="0.25">
      <c r="A86" s="13" t="s">
        <v>202</v>
      </c>
      <c r="B86" s="13" t="s">
        <v>153</v>
      </c>
      <c r="C86" s="14">
        <v>43152.5</v>
      </c>
      <c r="D86" s="13" t="s">
        <v>88</v>
      </c>
      <c r="E86" s="15" t="s">
        <v>89</v>
      </c>
      <c r="F86" s="13" t="s">
        <v>90</v>
      </c>
      <c r="G86" s="15" t="s">
        <v>91</v>
      </c>
      <c r="H86" s="13" t="s">
        <v>286</v>
      </c>
      <c r="I86" s="15" t="s">
        <v>287</v>
      </c>
      <c r="J86" s="15" t="s">
        <v>288</v>
      </c>
      <c r="K86" s="15" t="s">
        <v>289</v>
      </c>
      <c r="L86" s="13" t="s">
        <v>290</v>
      </c>
      <c r="M86" s="15" t="s">
        <v>291</v>
      </c>
      <c r="N86" s="13" t="s">
        <v>98</v>
      </c>
      <c r="O86" s="15" t="s">
        <v>99</v>
      </c>
      <c r="P86" s="15" t="s">
        <v>100</v>
      </c>
      <c r="Q86" s="15" t="s">
        <v>101</v>
      </c>
      <c r="R86" s="13" t="s">
        <v>102</v>
      </c>
      <c r="S86" s="13" t="s">
        <v>103</v>
      </c>
      <c r="T86" s="13" t="s">
        <v>205</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135" x14ac:dyDescent="0.25">
      <c r="A87" s="13" t="s">
        <v>202</v>
      </c>
      <c r="B87" s="13" t="s">
        <v>153</v>
      </c>
      <c r="C87" s="14">
        <v>43152.5</v>
      </c>
      <c r="D87" s="13" t="s">
        <v>88</v>
      </c>
      <c r="E87" s="15" t="s">
        <v>89</v>
      </c>
      <c r="F87" s="13" t="s">
        <v>90</v>
      </c>
      <c r="G87" s="15" t="s">
        <v>91</v>
      </c>
      <c r="H87" s="13" t="s">
        <v>286</v>
      </c>
      <c r="I87" s="15" t="s">
        <v>287</v>
      </c>
      <c r="J87" s="15" t="s">
        <v>288</v>
      </c>
      <c r="K87" s="15" t="s">
        <v>289</v>
      </c>
      <c r="L87" s="13" t="s">
        <v>292</v>
      </c>
      <c r="M87" s="15" t="s">
        <v>293</v>
      </c>
      <c r="N87" s="13" t="s">
        <v>98</v>
      </c>
      <c r="O87" s="15" t="s">
        <v>170</v>
      </c>
      <c r="P87" s="15" t="s">
        <v>171</v>
      </c>
      <c r="Q87" s="15" t="s">
        <v>101</v>
      </c>
      <c r="R87" s="13" t="s">
        <v>102</v>
      </c>
      <c r="S87" s="13" t="s">
        <v>103</v>
      </c>
      <c r="T87" s="13" t="s">
        <v>205</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35" x14ac:dyDescent="0.25">
      <c r="A88" s="13" t="s">
        <v>202</v>
      </c>
      <c r="B88" s="13" t="s">
        <v>153</v>
      </c>
      <c r="C88" s="14">
        <v>43152.5</v>
      </c>
      <c r="D88" s="13" t="s">
        <v>88</v>
      </c>
      <c r="E88" s="15" t="s">
        <v>89</v>
      </c>
      <c r="F88" s="13" t="s">
        <v>90</v>
      </c>
      <c r="G88" s="15" t="s">
        <v>91</v>
      </c>
      <c r="H88" s="13" t="s">
        <v>286</v>
      </c>
      <c r="I88" s="15" t="s">
        <v>287</v>
      </c>
      <c r="J88" s="15" t="s">
        <v>288</v>
      </c>
      <c r="K88" s="15" t="s">
        <v>289</v>
      </c>
      <c r="L88" s="13" t="s">
        <v>294</v>
      </c>
      <c r="M88" s="15" t="s">
        <v>295</v>
      </c>
      <c r="N88" s="13" t="s">
        <v>188</v>
      </c>
      <c r="O88" s="15" t="s">
        <v>189</v>
      </c>
      <c r="P88" s="15" t="s">
        <v>190</v>
      </c>
      <c r="Q88" s="15" t="s">
        <v>101</v>
      </c>
      <c r="R88" s="13" t="s">
        <v>102</v>
      </c>
      <c r="S88" s="13" t="s">
        <v>103</v>
      </c>
      <c r="T88" s="13" t="s">
        <v>205</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35" x14ac:dyDescent="0.25">
      <c r="A89" s="13" t="s">
        <v>202</v>
      </c>
      <c r="B89" s="13" t="s">
        <v>153</v>
      </c>
      <c r="C89" s="14">
        <v>43152.5</v>
      </c>
      <c r="D89" s="13" t="s">
        <v>88</v>
      </c>
      <c r="E89" s="15" t="s">
        <v>89</v>
      </c>
      <c r="F89" s="13" t="s">
        <v>90</v>
      </c>
      <c r="G89" s="15" t="s">
        <v>91</v>
      </c>
      <c r="H89" s="13" t="s">
        <v>286</v>
      </c>
      <c r="I89" s="15" t="s">
        <v>287</v>
      </c>
      <c r="J89" s="15" t="s">
        <v>288</v>
      </c>
      <c r="K89" s="15" t="s">
        <v>289</v>
      </c>
      <c r="L89" s="13" t="s">
        <v>290</v>
      </c>
      <c r="M89" s="15" t="s">
        <v>291</v>
      </c>
      <c r="N89" s="13" t="s">
        <v>98</v>
      </c>
      <c r="O89" s="15" t="s">
        <v>99</v>
      </c>
      <c r="P89" s="15" t="s">
        <v>100</v>
      </c>
      <c r="Q89" s="15" t="s">
        <v>203</v>
      </c>
      <c r="R89" s="13" t="s">
        <v>204</v>
      </c>
      <c r="S89" s="13" t="s">
        <v>103</v>
      </c>
      <c r="T89" s="13" t="s">
        <v>205</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135" x14ac:dyDescent="0.25">
      <c r="A90" s="13" t="s">
        <v>202</v>
      </c>
      <c r="B90" s="13" t="s">
        <v>153</v>
      </c>
      <c r="C90" s="14">
        <v>43152.5</v>
      </c>
      <c r="D90" s="13" t="s">
        <v>88</v>
      </c>
      <c r="E90" s="15" t="s">
        <v>89</v>
      </c>
      <c r="F90" s="13" t="s">
        <v>90</v>
      </c>
      <c r="G90" s="15" t="s">
        <v>91</v>
      </c>
      <c r="H90" s="13" t="s">
        <v>286</v>
      </c>
      <c r="I90" s="15" t="s">
        <v>287</v>
      </c>
      <c r="J90" s="15" t="s">
        <v>288</v>
      </c>
      <c r="K90" s="15" t="s">
        <v>289</v>
      </c>
      <c r="L90" s="13" t="s">
        <v>292</v>
      </c>
      <c r="M90" s="15" t="s">
        <v>293</v>
      </c>
      <c r="N90" s="13" t="s">
        <v>98</v>
      </c>
      <c r="O90" s="15" t="s">
        <v>170</v>
      </c>
      <c r="P90" s="15" t="s">
        <v>171</v>
      </c>
      <c r="Q90" s="15" t="s">
        <v>203</v>
      </c>
      <c r="R90" s="13" t="s">
        <v>204</v>
      </c>
      <c r="S90" s="13" t="s">
        <v>103</v>
      </c>
      <c r="T90" s="13" t="s">
        <v>205</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135" x14ac:dyDescent="0.25">
      <c r="A91" s="13" t="s">
        <v>202</v>
      </c>
      <c r="B91" s="13" t="s">
        <v>153</v>
      </c>
      <c r="C91" s="14">
        <v>43152.5</v>
      </c>
      <c r="D91" s="13" t="s">
        <v>88</v>
      </c>
      <c r="E91" s="15" t="s">
        <v>89</v>
      </c>
      <c r="F91" s="13" t="s">
        <v>90</v>
      </c>
      <c r="G91" s="15" t="s">
        <v>91</v>
      </c>
      <c r="H91" s="13" t="s">
        <v>286</v>
      </c>
      <c r="I91" s="15" t="s">
        <v>287</v>
      </c>
      <c r="J91" s="15" t="s">
        <v>288</v>
      </c>
      <c r="K91" s="15" t="s">
        <v>289</v>
      </c>
      <c r="L91" s="13" t="s">
        <v>294</v>
      </c>
      <c r="M91" s="15" t="s">
        <v>295</v>
      </c>
      <c r="N91" s="13" t="s">
        <v>188</v>
      </c>
      <c r="O91" s="15" t="s">
        <v>189</v>
      </c>
      <c r="P91" s="15" t="s">
        <v>190</v>
      </c>
      <c r="Q91" s="15" t="s">
        <v>203</v>
      </c>
      <c r="R91" s="13" t="s">
        <v>204</v>
      </c>
      <c r="S91" s="13" t="s">
        <v>103</v>
      </c>
      <c r="T91" s="13" t="s">
        <v>205</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135" x14ac:dyDescent="0.25">
      <c r="A92" s="13" t="s">
        <v>86</v>
      </c>
      <c r="B92" s="13" t="s">
        <v>87</v>
      </c>
      <c r="C92" s="14">
        <v>43850.552083333336</v>
      </c>
      <c r="D92" s="13" t="s">
        <v>88</v>
      </c>
      <c r="E92" s="15" t="s">
        <v>89</v>
      </c>
      <c r="F92" s="13" t="s">
        <v>90</v>
      </c>
      <c r="G92" s="15" t="s">
        <v>91</v>
      </c>
      <c r="H92" s="13" t="s">
        <v>286</v>
      </c>
      <c r="I92" s="15" t="s">
        <v>287</v>
      </c>
      <c r="J92" s="15" t="s">
        <v>288</v>
      </c>
      <c r="K92" s="15" t="s">
        <v>289</v>
      </c>
      <c r="L92" s="13" t="s">
        <v>290</v>
      </c>
      <c r="M92" s="15" t="s">
        <v>291</v>
      </c>
      <c r="N92" s="13" t="s">
        <v>98</v>
      </c>
      <c r="O92" s="15" t="s">
        <v>99</v>
      </c>
      <c r="P92" s="15" t="s">
        <v>100</v>
      </c>
      <c r="Q92" s="15" t="s">
        <v>206</v>
      </c>
      <c r="R92" s="13" t="s">
        <v>207</v>
      </c>
      <c r="S92" s="13" t="s">
        <v>103</v>
      </c>
      <c r="T92" s="13" t="s">
        <v>104</v>
      </c>
      <c r="U92" s="14">
        <v>40725</v>
      </c>
      <c r="V92" s="14">
        <v>43830</v>
      </c>
      <c r="W92" s="15"/>
      <c r="X92" s="15"/>
      <c r="Y92" s="13"/>
      <c r="Z92" s="15"/>
      <c r="AA92" s="15"/>
      <c r="AB92" s="15"/>
      <c r="AC92" s="13"/>
      <c r="AD92" s="15"/>
      <c r="AE92" s="15"/>
      <c r="AF92" s="15"/>
      <c r="AG92" s="13"/>
      <c r="AH92" s="15"/>
      <c r="AI92" s="15"/>
      <c r="AJ92" s="15"/>
      <c r="AK92" s="13"/>
      <c r="AL92" s="15"/>
      <c r="AM92" s="15"/>
      <c r="AN92" s="13"/>
      <c r="AO92" s="13"/>
    </row>
    <row r="93" spans="1:41" ht="135" x14ac:dyDescent="0.25">
      <c r="A93" s="13" t="s">
        <v>86</v>
      </c>
      <c r="B93" s="13" t="s">
        <v>153</v>
      </c>
      <c r="C93" s="14">
        <v>44008.580555555556</v>
      </c>
      <c r="D93" s="13" t="s">
        <v>88</v>
      </c>
      <c r="E93" s="15" t="s">
        <v>89</v>
      </c>
      <c r="F93" s="13" t="s">
        <v>90</v>
      </c>
      <c r="G93" s="15" t="s">
        <v>91</v>
      </c>
      <c r="H93" s="13" t="s">
        <v>286</v>
      </c>
      <c r="I93" s="15" t="s">
        <v>287</v>
      </c>
      <c r="J93" s="15" t="s">
        <v>288</v>
      </c>
      <c r="K93" s="15" t="s">
        <v>289</v>
      </c>
      <c r="L93" s="13" t="s">
        <v>290</v>
      </c>
      <c r="M93" s="15" t="s">
        <v>291</v>
      </c>
      <c r="N93" s="13" t="s">
        <v>98</v>
      </c>
      <c r="O93" s="15" t="s">
        <v>99</v>
      </c>
      <c r="P93" s="15" t="s">
        <v>100</v>
      </c>
      <c r="Q93" s="15" t="s">
        <v>206</v>
      </c>
      <c r="R93" s="13" t="s">
        <v>207</v>
      </c>
      <c r="S93" s="13" t="s">
        <v>103</v>
      </c>
      <c r="T93" s="13" t="s">
        <v>104</v>
      </c>
      <c r="U93" s="14">
        <v>43831</v>
      </c>
      <c r="V93" s="14"/>
      <c r="W93" s="15"/>
      <c r="X93" s="15"/>
      <c r="Y93" s="13"/>
      <c r="Z93" s="15"/>
      <c r="AA93" s="15"/>
      <c r="AB93" s="15"/>
      <c r="AC93" s="13"/>
      <c r="AD93" s="15"/>
      <c r="AE93" s="15"/>
      <c r="AF93" s="15"/>
      <c r="AG93" s="13"/>
      <c r="AH93" s="15"/>
      <c r="AI93" s="15"/>
      <c r="AJ93" s="15"/>
      <c r="AK93" s="13"/>
      <c r="AL93" s="15"/>
      <c r="AM93" s="15"/>
      <c r="AN93" s="13"/>
      <c r="AO93" s="13"/>
    </row>
    <row r="94" spans="1:41" ht="135" x14ac:dyDescent="0.25">
      <c r="A94" s="13" t="s">
        <v>86</v>
      </c>
      <c r="B94" s="13" t="s">
        <v>87</v>
      </c>
      <c r="C94" s="14">
        <v>43850.552083333336</v>
      </c>
      <c r="D94" s="13" t="s">
        <v>88</v>
      </c>
      <c r="E94" s="15" t="s">
        <v>89</v>
      </c>
      <c r="F94" s="13" t="s">
        <v>90</v>
      </c>
      <c r="G94" s="15" t="s">
        <v>91</v>
      </c>
      <c r="H94" s="13" t="s">
        <v>286</v>
      </c>
      <c r="I94" s="15" t="s">
        <v>287</v>
      </c>
      <c r="J94" s="15" t="s">
        <v>288</v>
      </c>
      <c r="K94" s="15" t="s">
        <v>289</v>
      </c>
      <c r="L94" s="13" t="s">
        <v>292</v>
      </c>
      <c r="M94" s="15" t="s">
        <v>293</v>
      </c>
      <c r="N94" s="13" t="s">
        <v>98</v>
      </c>
      <c r="O94" s="15" t="s">
        <v>170</v>
      </c>
      <c r="P94" s="15" t="s">
        <v>171</v>
      </c>
      <c r="Q94" s="15" t="s">
        <v>206</v>
      </c>
      <c r="R94" s="13" t="s">
        <v>207</v>
      </c>
      <c r="S94" s="13" t="s">
        <v>103</v>
      </c>
      <c r="T94" s="13" t="s">
        <v>104</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135" x14ac:dyDescent="0.25">
      <c r="A95" s="13" t="s">
        <v>301</v>
      </c>
      <c r="B95" s="13" t="s">
        <v>87</v>
      </c>
      <c r="C95" s="14">
        <v>44713.613194444442</v>
      </c>
      <c r="D95" s="13" t="s">
        <v>88</v>
      </c>
      <c r="E95" s="15" t="s">
        <v>89</v>
      </c>
      <c r="F95" s="13" t="s">
        <v>90</v>
      </c>
      <c r="G95" s="15" t="s">
        <v>91</v>
      </c>
      <c r="H95" s="13" t="s">
        <v>286</v>
      </c>
      <c r="I95" s="15" t="s">
        <v>287</v>
      </c>
      <c r="J95" s="15" t="s">
        <v>288</v>
      </c>
      <c r="K95" s="15" t="s">
        <v>289</v>
      </c>
      <c r="L95" s="13" t="s">
        <v>294</v>
      </c>
      <c r="M95" s="15" t="s">
        <v>295</v>
      </c>
      <c r="N95" s="13" t="s">
        <v>188</v>
      </c>
      <c r="O95" s="15" t="s">
        <v>189</v>
      </c>
      <c r="P95" s="15" t="s">
        <v>190</v>
      </c>
      <c r="Q95" s="15" t="s">
        <v>206</v>
      </c>
      <c r="R95" s="13" t="s">
        <v>207</v>
      </c>
      <c r="S95" s="13" t="s">
        <v>103</v>
      </c>
      <c r="T95" s="13" t="s">
        <v>104</v>
      </c>
      <c r="U95" s="14">
        <v>40725</v>
      </c>
      <c r="V95" s="14">
        <v>44633</v>
      </c>
      <c r="W95" s="15"/>
      <c r="X95" s="15"/>
      <c r="Y95" s="13"/>
      <c r="Z95" s="15"/>
      <c r="AA95" s="15"/>
      <c r="AB95" s="15"/>
      <c r="AC95" s="13"/>
      <c r="AD95" s="15"/>
      <c r="AE95" s="15"/>
      <c r="AF95" s="15"/>
      <c r="AG95" s="13"/>
      <c r="AH95" s="15"/>
      <c r="AI95" s="15"/>
      <c r="AJ95" s="15"/>
      <c r="AK95" s="13"/>
      <c r="AL95" s="15"/>
      <c r="AM95" s="15"/>
      <c r="AN95" s="13"/>
      <c r="AO95" s="13"/>
    </row>
    <row r="96" spans="1:41" ht="135" x14ac:dyDescent="0.25">
      <c r="A96" s="13" t="s">
        <v>301</v>
      </c>
      <c r="B96" s="13" t="s">
        <v>153</v>
      </c>
      <c r="C96" s="14">
        <v>44713.620833333334</v>
      </c>
      <c r="D96" s="13" t="s">
        <v>88</v>
      </c>
      <c r="E96" s="15" t="s">
        <v>89</v>
      </c>
      <c r="F96" s="13" t="s">
        <v>90</v>
      </c>
      <c r="G96" s="15" t="s">
        <v>91</v>
      </c>
      <c r="H96" s="13" t="s">
        <v>286</v>
      </c>
      <c r="I96" s="15" t="s">
        <v>287</v>
      </c>
      <c r="J96" s="15" t="s">
        <v>288</v>
      </c>
      <c r="K96" s="15" t="s">
        <v>289</v>
      </c>
      <c r="L96" s="13" t="s">
        <v>294</v>
      </c>
      <c r="M96" s="15" t="s">
        <v>295</v>
      </c>
      <c r="N96" s="13" t="s">
        <v>188</v>
      </c>
      <c r="O96" s="15" t="s">
        <v>189</v>
      </c>
      <c r="P96" s="15" t="s">
        <v>190</v>
      </c>
      <c r="Q96" s="15" t="s">
        <v>206</v>
      </c>
      <c r="R96" s="13" t="s">
        <v>207</v>
      </c>
      <c r="S96" s="13" t="s">
        <v>103</v>
      </c>
      <c r="T96" s="13" t="s">
        <v>104</v>
      </c>
      <c r="U96" s="14">
        <v>44634</v>
      </c>
      <c r="V96" s="14"/>
      <c r="W96" s="15"/>
      <c r="X96" s="15"/>
      <c r="Y96" s="13"/>
      <c r="Z96" s="15"/>
      <c r="AA96" s="15"/>
      <c r="AB96" s="15"/>
      <c r="AC96" s="13"/>
      <c r="AD96" s="15"/>
      <c r="AE96" s="15"/>
      <c r="AF96" s="15"/>
      <c r="AG96" s="13"/>
      <c r="AH96" s="15"/>
      <c r="AI96" s="15"/>
      <c r="AJ96" s="15"/>
      <c r="AK96" s="13"/>
      <c r="AL96" s="15"/>
      <c r="AM96" s="15"/>
      <c r="AN96" s="13"/>
      <c r="AO96" s="13"/>
    </row>
    <row r="97" spans="1:41" ht="135" x14ac:dyDescent="0.25">
      <c r="A97" s="13" t="s">
        <v>202</v>
      </c>
      <c r="B97" s="13" t="s">
        <v>153</v>
      </c>
      <c r="C97" s="14">
        <v>43152.5</v>
      </c>
      <c r="D97" s="13" t="s">
        <v>88</v>
      </c>
      <c r="E97" s="15" t="s">
        <v>89</v>
      </c>
      <c r="F97" s="13" t="s">
        <v>90</v>
      </c>
      <c r="G97" s="15" t="s">
        <v>91</v>
      </c>
      <c r="H97" s="13" t="s">
        <v>286</v>
      </c>
      <c r="I97" s="15" t="s">
        <v>287</v>
      </c>
      <c r="J97" s="15" t="s">
        <v>288</v>
      </c>
      <c r="K97" s="15" t="s">
        <v>289</v>
      </c>
      <c r="L97" s="13" t="s">
        <v>290</v>
      </c>
      <c r="M97" s="15" t="s">
        <v>291</v>
      </c>
      <c r="N97" s="13" t="s">
        <v>98</v>
      </c>
      <c r="O97" s="15" t="s">
        <v>99</v>
      </c>
      <c r="P97" s="15" t="s">
        <v>100</v>
      </c>
      <c r="Q97" s="15" t="s">
        <v>208</v>
      </c>
      <c r="R97" s="13" t="s">
        <v>209</v>
      </c>
      <c r="S97" s="13" t="s">
        <v>103</v>
      </c>
      <c r="T97" s="13" t="s">
        <v>205</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135" x14ac:dyDescent="0.25">
      <c r="A98" s="13" t="s">
        <v>202</v>
      </c>
      <c r="B98" s="13" t="s">
        <v>153</v>
      </c>
      <c r="C98" s="14">
        <v>43152.5</v>
      </c>
      <c r="D98" s="13" t="s">
        <v>88</v>
      </c>
      <c r="E98" s="15" t="s">
        <v>89</v>
      </c>
      <c r="F98" s="13" t="s">
        <v>90</v>
      </c>
      <c r="G98" s="15" t="s">
        <v>91</v>
      </c>
      <c r="H98" s="13" t="s">
        <v>286</v>
      </c>
      <c r="I98" s="15" t="s">
        <v>287</v>
      </c>
      <c r="J98" s="15" t="s">
        <v>288</v>
      </c>
      <c r="K98" s="15" t="s">
        <v>289</v>
      </c>
      <c r="L98" s="13" t="s">
        <v>292</v>
      </c>
      <c r="M98" s="15" t="s">
        <v>293</v>
      </c>
      <c r="N98" s="13" t="s">
        <v>98</v>
      </c>
      <c r="O98" s="15" t="s">
        <v>170</v>
      </c>
      <c r="P98" s="15" t="s">
        <v>171</v>
      </c>
      <c r="Q98" s="15" t="s">
        <v>208</v>
      </c>
      <c r="R98" s="13" t="s">
        <v>209</v>
      </c>
      <c r="S98" s="13" t="s">
        <v>103</v>
      </c>
      <c r="T98" s="13" t="s">
        <v>205</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135" x14ac:dyDescent="0.25">
      <c r="A99" s="13" t="s">
        <v>202</v>
      </c>
      <c r="B99" s="13" t="s">
        <v>153</v>
      </c>
      <c r="C99" s="14">
        <v>43152.5</v>
      </c>
      <c r="D99" s="13" t="s">
        <v>88</v>
      </c>
      <c r="E99" s="15" t="s">
        <v>89</v>
      </c>
      <c r="F99" s="13" t="s">
        <v>90</v>
      </c>
      <c r="G99" s="15" t="s">
        <v>91</v>
      </c>
      <c r="H99" s="13" t="s">
        <v>286</v>
      </c>
      <c r="I99" s="15" t="s">
        <v>287</v>
      </c>
      <c r="J99" s="15" t="s">
        <v>288</v>
      </c>
      <c r="K99" s="15" t="s">
        <v>289</v>
      </c>
      <c r="L99" s="13" t="s">
        <v>294</v>
      </c>
      <c r="M99" s="15" t="s">
        <v>295</v>
      </c>
      <c r="N99" s="13" t="s">
        <v>188</v>
      </c>
      <c r="O99" s="15" t="s">
        <v>189</v>
      </c>
      <c r="P99" s="15" t="s">
        <v>190</v>
      </c>
      <c r="Q99" s="15" t="s">
        <v>208</v>
      </c>
      <c r="R99" s="13" t="s">
        <v>209</v>
      </c>
      <c r="S99" s="13" t="s">
        <v>103</v>
      </c>
      <c r="T99" s="13" t="s">
        <v>205</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150" x14ac:dyDescent="0.25">
      <c r="A100" s="13" t="s">
        <v>202</v>
      </c>
      <c r="B100" s="13" t="s">
        <v>153</v>
      </c>
      <c r="C100" s="14">
        <v>43152.5</v>
      </c>
      <c r="D100" s="13" t="s">
        <v>88</v>
      </c>
      <c r="E100" s="15" t="s">
        <v>89</v>
      </c>
      <c r="F100" s="13" t="s">
        <v>90</v>
      </c>
      <c r="G100" s="15" t="s">
        <v>91</v>
      </c>
      <c r="H100" s="13" t="s">
        <v>312</v>
      </c>
      <c r="I100" s="15" t="s">
        <v>313</v>
      </c>
      <c r="J100" s="15" t="s">
        <v>314</v>
      </c>
      <c r="K100" s="15" t="s">
        <v>315</v>
      </c>
      <c r="L100" s="13" t="s">
        <v>316</v>
      </c>
      <c r="M100" s="15" t="s">
        <v>317</v>
      </c>
      <c r="N100" s="13" t="s">
        <v>98</v>
      </c>
      <c r="O100" s="15" t="s">
        <v>99</v>
      </c>
      <c r="P100" s="15" t="s">
        <v>100</v>
      </c>
      <c r="Q100" s="15" t="s">
        <v>101</v>
      </c>
      <c r="R100" s="13" t="s">
        <v>102</v>
      </c>
      <c r="S100" s="13" t="s">
        <v>103</v>
      </c>
      <c r="T100" s="13" t="s">
        <v>205</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50" x14ac:dyDescent="0.25">
      <c r="A101" s="13" t="s">
        <v>202</v>
      </c>
      <c r="B101" s="13" t="s">
        <v>153</v>
      </c>
      <c r="C101" s="14">
        <v>43152.5</v>
      </c>
      <c r="D101" s="13" t="s">
        <v>88</v>
      </c>
      <c r="E101" s="15" t="s">
        <v>89</v>
      </c>
      <c r="F101" s="13" t="s">
        <v>90</v>
      </c>
      <c r="G101" s="15" t="s">
        <v>91</v>
      </c>
      <c r="H101" s="13" t="s">
        <v>312</v>
      </c>
      <c r="I101" s="15" t="s">
        <v>313</v>
      </c>
      <c r="J101" s="15" t="s">
        <v>314</v>
      </c>
      <c r="K101" s="15" t="s">
        <v>315</v>
      </c>
      <c r="L101" s="13" t="s">
        <v>318</v>
      </c>
      <c r="M101" s="15" t="s">
        <v>319</v>
      </c>
      <c r="N101" s="13" t="s">
        <v>98</v>
      </c>
      <c r="O101" s="15" t="s">
        <v>170</v>
      </c>
      <c r="P101" s="15" t="s">
        <v>171</v>
      </c>
      <c r="Q101" s="15" t="s">
        <v>101</v>
      </c>
      <c r="R101" s="13" t="s">
        <v>102</v>
      </c>
      <c r="S101" s="13" t="s">
        <v>103</v>
      </c>
      <c r="T101" s="13" t="s">
        <v>205</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150" x14ac:dyDescent="0.25">
      <c r="A102" s="13" t="s">
        <v>202</v>
      </c>
      <c r="B102" s="13" t="s">
        <v>153</v>
      </c>
      <c r="C102" s="14">
        <v>43152.5</v>
      </c>
      <c r="D102" s="13" t="s">
        <v>88</v>
      </c>
      <c r="E102" s="15" t="s">
        <v>89</v>
      </c>
      <c r="F102" s="13" t="s">
        <v>90</v>
      </c>
      <c r="G102" s="15" t="s">
        <v>91</v>
      </c>
      <c r="H102" s="13" t="s">
        <v>312</v>
      </c>
      <c r="I102" s="15" t="s">
        <v>313</v>
      </c>
      <c r="J102" s="15" t="s">
        <v>314</v>
      </c>
      <c r="K102" s="15" t="s">
        <v>315</v>
      </c>
      <c r="L102" s="13" t="s">
        <v>320</v>
      </c>
      <c r="M102" s="15" t="s">
        <v>321</v>
      </c>
      <c r="N102" s="13" t="s">
        <v>188</v>
      </c>
      <c r="O102" s="15" t="s">
        <v>189</v>
      </c>
      <c r="P102" s="15" t="s">
        <v>190</v>
      </c>
      <c r="Q102" s="15" t="s">
        <v>101</v>
      </c>
      <c r="R102" s="13" t="s">
        <v>102</v>
      </c>
      <c r="S102" s="13" t="s">
        <v>103</v>
      </c>
      <c r="T102" s="13" t="s">
        <v>205</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50" x14ac:dyDescent="0.25">
      <c r="A103" s="13" t="s">
        <v>202</v>
      </c>
      <c r="B103" s="13" t="s">
        <v>153</v>
      </c>
      <c r="C103" s="14">
        <v>43152.5</v>
      </c>
      <c r="D103" s="13" t="s">
        <v>88</v>
      </c>
      <c r="E103" s="15" t="s">
        <v>89</v>
      </c>
      <c r="F103" s="13" t="s">
        <v>90</v>
      </c>
      <c r="G103" s="15" t="s">
        <v>91</v>
      </c>
      <c r="H103" s="13" t="s">
        <v>312</v>
      </c>
      <c r="I103" s="15" t="s">
        <v>313</v>
      </c>
      <c r="J103" s="15" t="s">
        <v>314</v>
      </c>
      <c r="K103" s="15" t="s">
        <v>315</v>
      </c>
      <c r="L103" s="13" t="s">
        <v>316</v>
      </c>
      <c r="M103" s="15" t="s">
        <v>317</v>
      </c>
      <c r="N103" s="13" t="s">
        <v>98</v>
      </c>
      <c r="O103" s="15" t="s">
        <v>99</v>
      </c>
      <c r="P103" s="15" t="s">
        <v>100</v>
      </c>
      <c r="Q103" s="15" t="s">
        <v>203</v>
      </c>
      <c r="R103" s="13" t="s">
        <v>204</v>
      </c>
      <c r="S103" s="13" t="s">
        <v>103</v>
      </c>
      <c r="T103" s="13" t="s">
        <v>205</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50" x14ac:dyDescent="0.25">
      <c r="A104" s="13" t="s">
        <v>202</v>
      </c>
      <c r="B104" s="13" t="s">
        <v>153</v>
      </c>
      <c r="C104" s="14">
        <v>43152.5</v>
      </c>
      <c r="D104" s="13" t="s">
        <v>88</v>
      </c>
      <c r="E104" s="15" t="s">
        <v>89</v>
      </c>
      <c r="F104" s="13" t="s">
        <v>90</v>
      </c>
      <c r="G104" s="15" t="s">
        <v>91</v>
      </c>
      <c r="H104" s="13" t="s">
        <v>312</v>
      </c>
      <c r="I104" s="15" t="s">
        <v>313</v>
      </c>
      <c r="J104" s="15" t="s">
        <v>314</v>
      </c>
      <c r="K104" s="15" t="s">
        <v>315</v>
      </c>
      <c r="L104" s="13" t="s">
        <v>318</v>
      </c>
      <c r="M104" s="15" t="s">
        <v>319</v>
      </c>
      <c r="N104" s="13" t="s">
        <v>98</v>
      </c>
      <c r="O104" s="15" t="s">
        <v>170</v>
      </c>
      <c r="P104" s="15" t="s">
        <v>171</v>
      </c>
      <c r="Q104" s="15" t="s">
        <v>203</v>
      </c>
      <c r="R104" s="13" t="s">
        <v>204</v>
      </c>
      <c r="S104" s="13" t="s">
        <v>103</v>
      </c>
      <c r="T104" s="13" t="s">
        <v>205</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150" x14ac:dyDescent="0.25">
      <c r="A105" s="13" t="s">
        <v>202</v>
      </c>
      <c r="B105" s="13" t="s">
        <v>153</v>
      </c>
      <c r="C105" s="14">
        <v>43152.5</v>
      </c>
      <c r="D105" s="13" t="s">
        <v>88</v>
      </c>
      <c r="E105" s="15" t="s">
        <v>89</v>
      </c>
      <c r="F105" s="13" t="s">
        <v>90</v>
      </c>
      <c r="G105" s="15" t="s">
        <v>91</v>
      </c>
      <c r="H105" s="13" t="s">
        <v>312</v>
      </c>
      <c r="I105" s="15" t="s">
        <v>313</v>
      </c>
      <c r="J105" s="15" t="s">
        <v>314</v>
      </c>
      <c r="K105" s="15" t="s">
        <v>315</v>
      </c>
      <c r="L105" s="13" t="s">
        <v>320</v>
      </c>
      <c r="M105" s="15" t="s">
        <v>321</v>
      </c>
      <c r="N105" s="13" t="s">
        <v>188</v>
      </c>
      <c r="O105" s="15" t="s">
        <v>189</v>
      </c>
      <c r="P105" s="15" t="s">
        <v>190</v>
      </c>
      <c r="Q105" s="15" t="s">
        <v>203</v>
      </c>
      <c r="R105" s="13" t="s">
        <v>204</v>
      </c>
      <c r="S105" s="13" t="s">
        <v>103</v>
      </c>
      <c r="T105" s="13" t="s">
        <v>205</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50" x14ac:dyDescent="0.25">
      <c r="A106" s="13" t="s">
        <v>86</v>
      </c>
      <c r="B106" s="13" t="s">
        <v>87</v>
      </c>
      <c r="C106" s="14">
        <v>43850.552083333336</v>
      </c>
      <c r="D106" s="13" t="s">
        <v>88</v>
      </c>
      <c r="E106" s="15" t="s">
        <v>89</v>
      </c>
      <c r="F106" s="13" t="s">
        <v>90</v>
      </c>
      <c r="G106" s="15" t="s">
        <v>91</v>
      </c>
      <c r="H106" s="13" t="s">
        <v>312</v>
      </c>
      <c r="I106" s="15" t="s">
        <v>313</v>
      </c>
      <c r="J106" s="15" t="s">
        <v>314</v>
      </c>
      <c r="K106" s="15" t="s">
        <v>315</v>
      </c>
      <c r="L106" s="13" t="s">
        <v>316</v>
      </c>
      <c r="M106" s="15" t="s">
        <v>317</v>
      </c>
      <c r="N106" s="13" t="s">
        <v>98</v>
      </c>
      <c r="O106" s="15" t="s">
        <v>99</v>
      </c>
      <c r="P106" s="15" t="s">
        <v>100</v>
      </c>
      <c r="Q106" s="15" t="s">
        <v>206</v>
      </c>
      <c r="R106" s="13" t="s">
        <v>207</v>
      </c>
      <c r="S106" s="13" t="s">
        <v>103</v>
      </c>
      <c r="T106" s="13" t="s">
        <v>104</v>
      </c>
      <c r="U106" s="14">
        <v>40725</v>
      </c>
      <c r="V106" s="14">
        <v>43830</v>
      </c>
      <c r="W106" s="15"/>
      <c r="X106" s="15"/>
      <c r="Y106" s="13"/>
      <c r="Z106" s="15"/>
      <c r="AA106" s="15"/>
      <c r="AB106" s="15"/>
      <c r="AC106" s="13"/>
      <c r="AD106" s="15"/>
      <c r="AE106" s="15"/>
      <c r="AF106" s="15"/>
      <c r="AG106" s="13"/>
      <c r="AH106" s="15"/>
      <c r="AI106" s="15"/>
      <c r="AJ106" s="15"/>
      <c r="AK106" s="13"/>
      <c r="AL106" s="15"/>
      <c r="AM106" s="15"/>
      <c r="AN106" s="13"/>
      <c r="AO106" s="13"/>
    </row>
    <row r="107" spans="1:41" ht="150" x14ac:dyDescent="0.25">
      <c r="A107" s="13" t="s">
        <v>86</v>
      </c>
      <c r="B107" s="13" t="s">
        <v>153</v>
      </c>
      <c r="C107" s="14">
        <v>44008.583333333336</v>
      </c>
      <c r="D107" s="13" t="s">
        <v>88</v>
      </c>
      <c r="E107" s="15" t="s">
        <v>89</v>
      </c>
      <c r="F107" s="13" t="s">
        <v>90</v>
      </c>
      <c r="G107" s="15" t="s">
        <v>91</v>
      </c>
      <c r="H107" s="13" t="s">
        <v>312</v>
      </c>
      <c r="I107" s="15" t="s">
        <v>313</v>
      </c>
      <c r="J107" s="15" t="s">
        <v>314</v>
      </c>
      <c r="K107" s="15" t="s">
        <v>315</v>
      </c>
      <c r="L107" s="13" t="s">
        <v>316</v>
      </c>
      <c r="M107" s="15" t="s">
        <v>317</v>
      </c>
      <c r="N107" s="13" t="s">
        <v>98</v>
      </c>
      <c r="O107" s="15" t="s">
        <v>99</v>
      </c>
      <c r="P107" s="15" t="s">
        <v>100</v>
      </c>
      <c r="Q107" s="15" t="s">
        <v>206</v>
      </c>
      <c r="R107" s="13" t="s">
        <v>207</v>
      </c>
      <c r="S107" s="13" t="s">
        <v>103</v>
      </c>
      <c r="T107" s="13" t="s">
        <v>104</v>
      </c>
      <c r="U107" s="14">
        <v>43831</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150" x14ac:dyDescent="0.25">
      <c r="A108" s="13" t="s">
        <v>86</v>
      </c>
      <c r="B108" s="13" t="s">
        <v>87</v>
      </c>
      <c r="C108" s="14">
        <v>43850.552083333336</v>
      </c>
      <c r="D108" s="13" t="s">
        <v>88</v>
      </c>
      <c r="E108" s="15" t="s">
        <v>89</v>
      </c>
      <c r="F108" s="13" t="s">
        <v>90</v>
      </c>
      <c r="G108" s="15" t="s">
        <v>91</v>
      </c>
      <c r="H108" s="13" t="s">
        <v>312</v>
      </c>
      <c r="I108" s="15" t="s">
        <v>313</v>
      </c>
      <c r="J108" s="15" t="s">
        <v>314</v>
      </c>
      <c r="K108" s="15" t="s">
        <v>315</v>
      </c>
      <c r="L108" s="13" t="s">
        <v>318</v>
      </c>
      <c r="M108" s="15" t="s">
        <v>319</v>
      </c>
      <c r="N108" s="13" t="s">
        <v>98</v>
      </c>
      <c r="O108" s="15" t="s">
        <v>170</v>
      </c>
      <c r="P108" s="15" t="s">
        <v>171</v>
      </c>
      <c r="Q108" s="15" t="s">
        <v>206</v>
      </c>
      <c r="R108" s="13" t="s">
        <v>207</v>
      </c>
      <c r="S108" s="13" t="s">
        <v>103</v>
      </c>
      <c r="T108" s="13" t="s">
        <v>104</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50" x14ac:dyDescent="0.25">
      <c r="A109" s="13" t="s">
        <v>301</v>
      </c>
      <c r="B109" s="13" t="s">
        <v>87</v>
      </c>
      <c r="C109" s="14">
        <v>44713.623611111114</v>
      </c>
      <c r="D109" s="13" t="s">
        <v>88</v>
      </c>
      <c r="E109" s="15" t="s">
        <v>89</v>
      </c>
      <c r="F109" s="13" t="s">
        <v>90</v>
      </c>
      <c r="G109" s="15" t="s">
        <v>91</v>
      </c>
      <c r="H109" s="13" t="s">
        <v>312</v>
      </c>
      <c r="I109" s="15" t="s">
        <v>313</v>
      </c>
      <c r="J109" s="15" t="s">
        <v>314</v>
      </c>
      <c r="K109" s="15" t="s">
        <v>315</v>
      </c>
      <c r="L109" s="13" t="s">
        <v>320</v>
      </c>
      <c r="M109" s="15" t="s">
        <v>321</v>
      </c>
      <c r="N109" s="13" t="s">
        <v>188</v>
      </c>
      <c r="O109" s="15" t="s">
        <v>189</v>
      </c>
      <c r="P109" s="15" t="s">
        <v>190</v>
      </c>
      <c r="Q109" s="15" t="s">
        <v>206</v>
      </c>
      <c r="R109" s="13" t="s">
        <v>207</v>
      </c>
      <c r="S109" s="13" t="s">
        <v>103</v>
      </c>
      <c r="T109" s="13" t="s">
        <v>104</v>
      </c>
      <c r="U109" s="14">
        <v>40725</v>
      </c>
      <c r="V109" s="14">
        <v>44633</v>
      </c>
      <c r="W109" s="15"/>
      <c r="X109" s="15"/>
      <c r="Y109" s="13"/>
      <c r="Z109" s="15"/>
      <c r="AA109" s="15"/>
      <c r="AB109" s="15"/>
      <c r="AC109" s="13"/>
      <c r="AD109" s="15"/>
      <c r="AE109" s="15"/>
      <c r="AF109" s="15"/>
      <c r="AG109" s="13"/>
      <c r="AH109" s="15"/>
      <c r="AI109" s="15"/>
      <c r="AJ109" s="15"/>
      <c r="AK109" s="13"/>
      <c r="AL109" s="15"/>
      <c r="AM109" s="15"/>
      <c r="AN109" s="13"/>
      <c r="AO109" s="13"/>
    </row>
    <row r="110" spans="1:41" ht="150" x14ac:dyDescent="0.25">
      <c r="A110" s="13" t="s">
        <v>301</v>
      </c>
      <c r="B110" s="13" t="s">
        <v>153</v>
      </c>
      <c r="C110" s="14">
        <v>44713.624305555553</v>
      </c>
      <c r="D110" s="13" t="s">
        <v>88</v>
      </c>
      <c r="E110" s="15" t="s">
        <v>89</v>
      </c>
      <c r="F110" s="13" t="s">
        <v>90</v>
      </c>
      <c r="G110" s="15" t="s">
        <v>91</v>
      </c>
      <c r="H110" s="13" t="s">
        <v>312</v>
      </c>
      <c r="I110" s="15" t="s">
        <v>313</v>
      </c>
      <c r="J110" s="15" t="s">
        <v>314</v>
      </c>
      <c r="K110" s="15" t="s">
        <v>315</v>
      </c>
      <c r="L110" s="13" t="s">
        <v>320</v>
      </c>
      <c r="M110" s="15" t="s">
        <v>321</v>
      </c>
      <c r="N110" s="13" t="s">
        <v>188</v>
      </c>
      <c r="O110" s="15" t="s">
        <v>189</v>
      </c>
      <c r="P110" s="15" t="s">
        <v>190</v>
      </c>
      <c r="Q110" s="15" t="s">
        <v>206</v>
      </c>
      <c r="R110" s="13" t="s">
        <v>207</v>
      </c>
      <c r="S110" s="13" t="s">
        <v>103</v>
      </c>
      <c r="T110" s="13" t="s">
        <v>104</v>
      </c>
      <c r="U110" s="14">
        <v>44634</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50" x14ac:dyDescent="0.25">
      <c r="A111" s="13" t="s">
        <v>202</v>
      </c>
      <c r="B111" s="13" t="s">
        <v>153</v>
      </c>
      <c r="C111" s="14">
        <v>43152.5</v>
      </c>
      <c r="D111" s="13" t="s">
        <v>88</v>
      </c>
      <c r="E111" s="15" t="s">
        <v>89</v>
      </c>
      <c r="F111" s="13" t="s">
        <v>90</v>
      </c>
      <c r="G111" s="15" t="s">
        <v>91</v>
      </c>
      <c r="H111" s="13" t="s">
        <v>312</v>
      </c>
      <c r="I111" s="15" t="s">
        <v>313</v>
      </c>
      <c r="J111" s="15" t="s">
        <v>314</v>
      </c>
      <c r="K111" s="15" t="s">
        <v>315</v>
      </c>
      <c r="L111" s="13" t="s">
        <v>316</v>
      </c>
      <c r="M111" s="15" t="s">
        <v>317</v>
      </c>
      <c r="N111" s="13" t="s">
        <v>98</v>
      </c>
      <c r="O111" s="15" t="s">
        <v>99</v>
      </c>
      <c r="P111" s="15" t="s">
        <v>100</v>
      </c>
      <c r="Q111" s="15" t="s">
        <v>208</v>
      </c>
      <c r="R111" s="13" t="s">
        <v>209</v>
      </c>
      <c r="S111" s="13" t="s">
        <v>103</v>
      </c>
      <c r="T111" s="13" t="s">
        <v>205</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50" x14ac:dyDescent="0.25">
      <c r="A112" s="13" t="s">
        <v>202</v>
      </c>
      <c r="B112" s="13" t="s">
        <v>153</v>
      </c>
      <c r="C112" s="14">
        <v>43152.5</v>
      </c>
      <c r="D112" s="13" t="s">
        <v>88</v>
      </c>
      <c r="E112" s="15" t="s">
        <v>89</v>
      </c>
      <c r="F112" s="13" t="s">
        <v>90</v>
      </c>
      <c r="G112" s="15" t="s">
        <v>91</v>
      </c>
      <c r="H112" s="13" t="s">
        <v>312</v>
      </c>
      <c r="I112" s="15" t="s">
        <v>313</v>
      </c>
      <c r="J112" s="15" t="s">
        <v>314</v>
      </c>
      <c r="K112" s="15" t="s">
        <v>315</v>
      </c>
      <c r="L112" s="13" t="s">
        <v>318</v>
      </c>
      <c r="M112" s="15" t="s">
        <v>319</v>
      </c>
      <c r="N112" s="13" t="s">
        <v>98</v>
      </c>
      <c r="O112" s="15" t="s">
        <v>170</v>
      </c>
      <c r="P112" s="15" t="s">
        <v>171</v>
      </c>
      <c r="Q112" s="15" t="s">
        <v>208</v>
      </c>
      <c r="R112" s="13" t="s">
        <v>209</v>
      </c>
      <c r="S112" s="13" t="s">
        <v>103</v>
      </c>
      <c r="T112" s="13" t="s">
        <v>205</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50" x14ac:dyDescent="0.25">
      <c r="A113" s="13" t="s">
        <v>202</v>
      </c>
      <c r="B113" s="13" t="s">
        <v>153</v>
      </c>
      <c r="C113" s="14">
        <v>43152.5</v>
      </c>
      <c r="D113" s="13" t="s">
        <v>88</v>
      </c>
      <c r="E113" s="15" t="s">
        <v>89</v>
      </c>
      <c r="F113" s="13" t="s">
        <v>90</v>
      </c>
      <c r="G113" s="15" t="s">
        <v>91</v>
      </c>
      <c r="H113" s="13" t="s">
        <v>312</v>
      </c>
      <c r="I113" s="15" t="s">
        <v>313</v>
      </c>
      <c r="J113" s="15" t="s">
        <v>314</v>
      </c>
      <c r="K113" s="15" t="s">
        <v>315</v>
      </c>
      <c r="L113" s="13" t="s">
        <v>320</v>
      </c>
      <c r="M113" s="15" t="s">
        <v>321</v>
      </c>
      <c r="N113" s="13" t="s">
        <v>188</v>
      </c>
      <c r="O113" s="15" t="s">
        <v>189</v>
      </c>
      <c r="P113" s="15" t="s">
        <v>190</v>
      </c>
      <c r="Q113" s="15" t="s">
        <v>208</v>
      </c>
      <c r="R113" s="13" t="s">
        <v>209</v>
      </c>
      <c r="S113" s="13" t="s">
        <v>103</v>
      </c>
      <c r="T113" s="13" t="s">
        <v>205</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120" x14ac:dyDescent="0.25">
      <c r="A114" s="13" t="s">
        <v>202</v>
      </c>
      <c r="B114" s="13" t="s">
        <v>153</v>
      </c>
      <c r="C114" s="14">
        <v>43152.5</v>
      </c>
      <c r="D114" s="13" t="s">
        <v>88</v>
      </c>
      <c r="E114" s="15" t="s">
        <v>89</v>
      </c>
      <c r="F114" s="13" t="s">
        <v>90</v>
      </c>
      <c r="G114" s="15" t="s">
        <v>91</v>
      </c>
      <c r="H114" s="13" t="s">
        <v>322</v>
      </c>
      <c r="I114" s="15" t="s">
        <v>323</v>
      </c>
      <c r="J114" s="15" t="s">
        <v>324</v>
      </c>
      <c r="K114" s="15" t="s">
        <v>325</v>
      </c>
      <c r="L114" s="13" t="s">
        <v>326</v>
      </c>
      <c r="M114" s="15" t="s">
        <v>327</v>
      </c>
      <c r="N114" s="13" t="s">
        <v>98</v>
      </c>
      <c r="O114" s="15" t="s">
        <v>99</v>
      </c>
      <c r="P114" s="15" t="s">
        <v>100</v>
      </c>
      <c r="Q114" s="15" t="s">
        <v>101</v>
      </c>
      <c r="R114" s="13" t="s">
        <v>102</v>
      </c>
      <c r="S114" s="13" t="s">
        <v>103</v>
      </c>
      <c r="T114" s="13" t="s">
        <v>205</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20" x14ac:dyDescent="0.25">
      <c r="A115" s="13" t="s">
        <v>202</v>
      </c>
      <c r="B115" s="13" t="s">
        <v>153</v>
      </c>
      <c r="C115" s="14">
        <v>43152.5</v>
      </c>
      <c r="D115" s="13" t="s">
        <v>88</v>
      </c>
      <c r="E115" s="15" t="s">
        <v>89</v>
      </c>
      <c r="F115" s="13" t="s">
        <v>90</v>
      </c>
      <c r="G115" s="15" t="s">
        <v>91</v>
      </c>
      <c r="H115" s="13" t="s">
        <v>322</v>
      </c>
      <c r="I115" s="15" t="s">
        <v>323</v>
      </c>
      <c r="J115" s="15" t="s">
        <v>324</v>
      </c>
      <c r="K115" s="15" t="s">
        <v>325</v>
      </c>
      <c r="L115" s="13" t="s">
        <v>328</v>
      </c>
      <c r="M115" s="15" t="s">
        <v>329</v>
      </c>
      <c r="N115" s="13" t="s">
        <v>98</v>
      </c>
      <c r="O115" s="15" t="s">
        <v>170</v>
      </c>
      <c r="P115" s="15" t="s">
        <v>171</v>
      </c>
      <c r="Q115" s="15" t="s">
        <v>101</v>
      </c>
      <c r="R115" s="13" t="s">
        <v>102</v>
      </c>
      <c r="S115" s="13" t="s">
        <v>103</v>
      </c>
      <c r="T115" s="13" t="s">
        <v>205</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20" x14ac:dyDescent="0.25">
      <c r="A116" s="13" t="s">
        <v>202</v>
      </c>
      <c r="B116" s="13" t="s">
        <v>153</v>
      </c>
      <c r="C116" s="14">
        <v>43152.5</v>
      </c>
      <c r="D116" s="13" t="s">
        <v>88</v>
      </c>
      <c r="E116" s="15" t="s">
        <v>89</v>
      </c>
      <c r="F116" s="13" t="s">
        <v>90</v>
      </c>
      <c r="G116" s="15" t="s">
        <v>91</v>
      </c>
      <c r="H116" s="13" t="s">
        <v>322</v>
      </c>
      <c r="I116" s="15" t="s">
        <v>323</v>
      </c>
      <c r="J116" s="15" t="s">
        <v>324</v>
      </c>
      <c r="K116" s="15" t="s">
        <v>325</v>
      </c>
      <c r="L116" s="13" t="s">
        <v>330</v>
      </c>
      <c r="M116" s="15" t="s">
        <v>331</v>
      </c>
      <c r="N116" s="13" t="s">
        <v>188</v>
      </c>
      <c r="O116" s="15" t="s">
        <v>189</v>
      </c>
      <c r="P116" s="15" t="s">
        <v>190</v>
      </c>
      <c r="Q116" s="15" t="s">
        <v>101</v>
      </c>
      <c r="R116" s="13" t="s">
        <v>102</v>
      </c>
      <c r="S116" s="13" t="s">
        <v>103</v>
      </c>
      <c r="T116" s="13" t="s">
        <v>205</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20" x14ac:dyDescent="0.25">
      <c r="A117" s="13" t="s">
        <v>202</v>
      </c>
      <c r="B117" s="13" t="s">
        <v>153</v>
      </c>
      <c r="C117" s="14">
        <v>43152.5</v>
      </c>
      <c r="D117" s="13" t="s">
        <v>88</v>
      </c>
      <c r="E117" s="15" t="s">
        <v>89</v>
      </c>
      <c r="F117" s="13" t="s">
        <v>90</v>
      </c>
      <c r="G117" s="15" t="s">
        <v>91</v>
      </c>
      <c r="H117" s="13" t="s">
        <v>322</v>
      </c>
      <c r="I117" s="15" t="s">
        <v>323</v>
      </c>
      <c r="J117" s="15" t="s">
        <v>324</v>
      </c>
      <c r="K117" s="15" t="s">
        <v>325</v>
      </c>
      <c r="L117" s="13" t="s">
        <v>326</v>
      </c>
      <c r="M117" s="15" t="s">
        <v>327</v>
      </c>
      <c r="N117" s="13" t="s">
        <v>98</v>
      </c>
      <c r="O117" s="15" t="s">
        <v>99</v>
      </c>
      <c r="P117" s="15" t="s">
        <v>100</v>
      </c>
      <c r="Q117" s="15" t="s">
        <v>203</v>
      </c>
      <c r="R117" s="13" t="s">
        <v>204</v>
      </c>
      <c r="S117" s="13" t="s">
        <v>103</v>
      </c>
      <c r="T117" s="13" t="s">
        <v>205</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20" x14ac:dyDescent="0.25">
      <c r="A118" s="13" t="s">
        <v>202</v>
      </c>
      <c r="B118" s="13" t="s">
        <v>153</v>
      </c>
      <c r="C118" s="14">
        <v>43152.5</v>
      </c>
      <c r="D118" s="13" t="s">
        <v>88</v>
      </c>
      <c r="E118" s="15" t="s">
        <v>89</v>
      </c>
      <c r="F118" s="13" t="s">
        <v>90</v>
      </c>
      <c r="G118" s="15" t="s">
        <v>91</v>
      </c>
      <c r="H118" s="13" t="s">
        <v>322</v>
      </c>
      <c r="I118" s="15" t="s">
        <v>323</v>
      </c>
      <c r="J118" s="15" t="s">
        <v>324</v>
      </c>
      <c r="K118" s="15" t="s">
        <v>325</v>
      </c>
      <c r="L118" s="13" t="s">
        <v>328</v>
      </c>
      <c r="M118" s="15" t="s">
        <v>329</v>
      </c>
      <c r="N118" s="13" t="s">
        <v>98</v>
      </c>
      <c r="O118" s="15" t="s">
        <v>170</v>
      </c>
      <c r="P118" s="15" t="s">
        <v>171</v>
      </c>
      <c r="Q118" s="15" t="s">
        <v>203</v>
      </c>
      <c r="R118" s="13" t="s">
        <v>204</v>
      </c>
      <c r="S118" s="13" t="s">
        <v>103</v>
      </c>
      <c r="T118" s="13" t="s">
        <v>205</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20" x14ac:dyDescent="0.25">
      <c r="A119" s="13" t="s">
        <v>202</v>
      </c>
      <c r="B119" s="13" t="s">
        <v>153</v>
      </c>
      <c r="C119" s="14">
        <v>43152.5</v>
      </c>
      <c r="D119" s="13" t="s">
        <v>88</v>
      </c>
      <c r="E119" s="15" t="s">
        <v>89</v>
      </c>
      <c r="F119" s="13" t="s">
        <v>90</v>
      </c>
      <c r="G119" s="15" t="s">
        <v>91</v>
      </c>
      <c r="H119" s="13" t="s">
        <v>322</v>
      </c>
      <c r="I119" s="15" t="s">
        <v>323</v>
      </c>
      <c r="J119" s="15" t="s">
        <v>324</v>
      </c>
      <c r="K119" s="15" t="s">
        <v>325</v>
      </c>
      <c r="L119" s="13" t="s">
        <v>330</v>
      </c>
      <c r="M119" s="15" t="s">
        <v>331</v>
      </c>
      <c r="N119" s="13" t="s">
        <v>188</v>
      </c>
      <c r="O119" s="15" t="s">
        <v>189</v>
      </c>
      <c r="P119" s="15" t="s">
        <v>190</v>
      </c>
      <c r="Q119" s="15" t="s">
        <v>203</v>
      </c>
      <c r="R119" s="13" t="s">
        <v>204</v>
      </c>
      <c r="S119" s="13" t="s">
        <v>103</v>
      </c>
      <c r="T119" s="13" t="s">
        <v>205</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120" x14ac:dyDescent="0.25">
      <c r="A120" s="13" t="s">
        <v>202</v>
      </c>
      <c r="B120" s="13" t="s">
        <v>153</v>
      </c>
      <c r="C120" s="14">
        <v>43152.5</v>
      </c>
      <c r="D120" s="13" t="s">
        <v>88</v>
      </c>
      <c r="E120" s="15" t="s">
        <v>89</v>
      </c>
      <c r="F120" s="13" t="s">
        <v>90</v>
      </c>
      <c r="G120" s="15" t="s">
        <v>91</v>
      </c>
      <c r="H120" s="13" t="s">
        <v>322</v>
      </c>
      <c r="I120" s="15" t="s">
        <v>323</v>
      </c>
      <c r="J120" s="15" t="s">
        <v>324</v>
      </c>
      <c r="K120" s="15" t="s">
        <v>325</v>
      </c>
      <c r="L120" s="13" t="s">
        <v>326</v>
      </c>
      <c r="M120" s="15" t="s">
        <v>327</v>
      </c>
      <c r="N120" s="13" t="s">
        <v>98</v>
      </c>
      <c r="O120" s="15" t="s">
        <v>99</v>
      </c>
      <c r="P120" s="15" t="s">
        <v>100</v>
      </c>
      <c r="Q120" s="15" t="s">
        <v>206</v>
      </c>
      <c r="R120" s="13" t="s">
        <v>207</v>
      </c>
      <c r="S120" s="13" t="s">
        <v>103</v>
      </c>
      <c r="T120" s="13" t="s">
        <v>205</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20" x14ac:dyDescent="0.25">
      <c r="A121" s="13" t="s">
        <v>202</v>
      </c>
      <c r="B121" s="13" t="s">
        <v>153</v>
      </c>
      <c r="C121" s="14">
        <v>43152.5</v>
      </c>
      <c r="D121" s="13" t="s">
        <v>88</v>
      </c>
      <c r="E121" s="15" t="s">
        <v>89</v>
      </c>
      <c r="F121" s="13" t="s">
        <v>90</v>
      </c>
      <c r="G121" s="15" t="s">
        <v>91</v>
      </c>
      <c r="H121" s="13" t="s">
        <v>322</v>
      </c>
      <c r="I121" s="15" t="s">
        <v>323</v>
      </c>
      <c r="J121" s="15" t="s">
        <v>324</v>
      </c>
      <c r="K121" s="15" t="s">
        <v>325</v>
      </c>
      <c r="L121" s="13" t="s">
        <v>328</v>
      </c>
      <c r="M121" s="15" t="s">
        <v>329</v>
      </c>
      <c r="N121" s="13" t="s">
        <v>98</v>
      </c>
      <c r="O121" s="15" t="s">
        <v>170</v>
      </c>
      <c r="P121" s="15" t="s">
        <v>171</v>
      </c>
      <c r="Q121" s="15" t="s">
        <v>206</v>
      </c>
      <c r="R121" s="13" t="s">
        <v>207</v>
      </c>
      <c r="S121" s="13" t="s">
        <v>103</v>
      </c>
      <c r="T121" s="13" t="s">
        <v>205</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20" x14ac:dyDescent="0.25">
      <c r="A122" s="13" t="s">
        <v>202</v>
      </c>
      <c r="B122" s="13" t="s">
        <v>153</v>
      </c>
      <c r="C122" s="14">
        <v>43152.5</v>
      </c>
      <c r="D122" s="13" t="s">
        <v>88</v>
      </c>
      <c r="E122" s="15" t="s">
        <v>89</v>
      </c>
      <c r="F122" s="13" t="s">
        <v>90</v>
      </c>
      <c r="G122" s="15" t="s">
        <v>91</v>
      </c>
      <c r="H122" s="13" t="s">
        <v>322</v>
      </c>
      <c r="I122" s="15" t="s">
        <v>323</v>
      </c>
      <c r="J122" s="15" t="s">
        <v>324</v>
      </c>
      <c r="K122" s="15" t="s">
        <v>325</v>
      </c>
      <c r="L122" s="13" t="s">
        <v>330</v>
      </c>
      <c r="M122" s="15" t="s">
        <v>331</v>
      </c>
      <c r="N122" s="13" t="s">
        <v>188</v>
      </c>
      <c r="O122" s="15" t="s">
        <v>189</v>
      </c>
      <c r="P122" s="15" t="s">
        <v>190</v>
      </c>
      <c r="Q122" s="15" t="s">
        <v>206</v>
      </c>
      <c r="R122" s="13" t="s">
        <v>207</v>
      </c>
      <c r="S122" s="13" t="s">
        <v>103</v>
      </c>
      <c r="T122" s="13" t="s">
        <v>205</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120" x14ac:dyDescent="0.25">
      <c r="A123" s="13" t="s">
        <v>202</v>
      </c>
      <c r="B123" s="13" t="s">
        <v>153</v>
      </c>
      <c r="C123" s="14">
        <v>43152.5</v>
      </c>
      <c r="D123" s="13" t="s">
        <v>88</v>
      </c>
      <c r="E123" s="15" t="s">
        <v>89</v>
      </c>
      <c r="F123" s="13" t="s">
        <v>90</v>
      </c>
      <c r="G123" s="15" t="s">
        <v>91</v>
      </c>
      <c r="H123" s="13" t="s">
        <v>322</v>
      </c>
      <c r="I123" s="15" t="s">
        <v>323</v>
      </c>
      <c r="J123" s="15" t="s">
        <v>324</v>
      </c>
      <c r="K123" s="15" t="s">
        <v>325</v>
      </c>
      <c r="L123" s="13" t="s">
        <v>326</v>
      </c>
      <c r="M123" s="15" t="s">
        <v>327</v>
      </c>
      <c r="N123" s="13" t="s">
        <v>98</v>
      </c>
      <c r="O123" s="15" t="s">
        <v>99</v>
      </c>
      <c r="P123" s="15" t="s">
        <v>100</v>
      </c>
      <c r="Q123" s="15" t="s">
        <v>208</v>
      </c>
      <c r="R123" s="13" t="s">
        <v>209</v>
      </c>
      <c r="S123" s="13" t="s">
        <v>103</v>
      </c>
      <c r="T123" s="13" t="s">
        <v>205</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120" x14ac:dyDescent="0.25">
      <c r="A124" s="13" t="s">
        <v>202</v>
      </c>
      <c r="B124" s="13" t="s">
        <v>153</v>
      </c>
      <c r="C124" s="14">
        <v>43152.5</v>
      </c>
      <c r="D124" s="13" t="s">
        <v>88</v>
      </c>
      <c r="E124" s="15" t="s">
        <v>89</v>
      </c>
      <c r="F124" s="13" t="s">
        <v>90</v>
      </c>
      <c r="G124" s="15" t="s">
        <v>91</v>
      </c>
      <c r="H124" s="13" t="s">
        <v>322</v>
      </c>
      <c r="I124" s="15" t="s">
        <v>323</v>
      </c>
      <c r="J124" s="15" t="s">
        <v>324</v>
      </c>
      <c r="K124" s="15" t="s">
        <v>325</v>
      </c>
      <c r="L124" s="13" t="s">
        <v>328</v>
      </c>
      <c r="M124" s="15" t="s">
        <v>329</v>
      </c>
      <c r="N124" s="13" t="s">
        <v>98</v>
      </c>
      <c r="O124" s="15" t="s">
        <v>170</v>
      </c>
      <c r="P124" s="15" t="s">
        <v>171</v>
      </c>
      <c r="Q124" s="15" t="s">
        <v>208</v>
      </c>
      <c r="R124" s="13" t="s">
        <v>209</v>
      </c>
      <c r="S124" s="13" t="s">
        <v>103</v>
      </c>
      <c r="T124" s="13" t="s">
        <v>205</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20" x14ac:dyDescent="0.25">
      <c r="A125" s="13" t="s">
        <v>202</v>
      </c>
      <c r="B125" s="13" t="s">
        <v>153</v>
      </c>
      <c r="C125" s="14">
        <v>43152.5</v>
      </c>
      <c r="D125" s="13" t="s">
        <v>88</v>
      </c>
      <c r="E125" s="15" t="s">
        <v>89</v>
      </c>
      <c r="F125" s="13" t="s">
        <v>90</v>
      </c>
      <c r="G125" s="15" t="s">
        <v>91</v>
      </c>
      <c r="H125" s="13" t="s">
        <v>322</v>
      </c>
      <c r="I125" s="15" t="s">
        <v>323</v>
      </c>
      <c r="J125" s="15" t="s">
        <v>324</v>
      </c>
      <c r="K125" s="15" t="s">
        <v>325</v>
      </c>
      <c r="L125" s="13" t="s">
        <v>330</v>
      </c>
      <c r="M125" s="15" t="s">
        <v>331</v>
      </c>
      <c r="N125" s="13" t="s">
        <v>188</v>
      </c>
      <c r="O125" s="15" t="s">
        <v>189</v>
      </c>
      <c r="P125" s="15" t="s">
        <v>190</v>
      </c>
      <c r="Q125" s="15" t="s">
        <v>208</v>
      </c>
      <c r="R125" s="13" t="s">
        <v>209</v>
      </c>
      <c r="S125" s="13" t="s">
        <v>103</v>
      </c>
      <c r="T125" s="13" t="s">
        <v>205</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20" x14ac:dyDescent="0.25">
      <c r="A126" s="13" t="s">
        <v>86</v>
      </c>
      <c r="B126" s="13" t="s">
        <v>87</v>
      </c>
      <c r="C126" s="14">
        <v>43850.552083333336</v>
      </c>
      <c r="D126" s="13" t="s">
        <v>88</v>
      </c>
      <c r="E126" s="15" t="s">
        <v>89</v>
      </c>
      <c r="F126" s="13" t="s">
        <v>90</v>
      </c>
      <c r="G126" s="15" t="s">
        <v>91</v>
      </c>
      <c r="H126" s="13" t="s">
        <v>322</v>
      </c>
      <c r="I126" s="15" t="s">
        <v>323</v>
      </c>
      <c r="J126" s="15" t="s">
        <v>324</v>
      </c>
      <c r="K126" s="15" t="s">
        <v>325</v>
      </c>
      <c r="L126" s="13" t="s">
        <v>326</v>
      </c>
      <c r="M126" s="15" t="s">
        <v>327</v>
      </c>
      <c r="N126" s="13" t="s">
        <v>98</v>
      </c>
      <c r="O126" s="15" t="s">
        <v>99</v>
      </c>
      <c r="P126" s="15" t="s">
        <v>100</v>
      </c>
      <c r="Q126" s="15" t="s">
        <v>332</v>
      </c>
      <c r="R126" s="13" t="s">
        <v>333</v>
      </c>
      <c r="S126" s="13" t="s">
        <v>212</v>
      </c>
      <c r="T126" s="13" t="s">
        <v>104</v>
      </c>
      <c r="U126" s="14">
        <v>40725</v>
      </c>
      <c r="V126" s="14">
        <v>43830</v>
      </c>
      <c r="W126" s="15"/>
      <c r="X126" s="15"/>
      <c r="Y126" s="13"/>
      <c r="Z126" s="15"/>
      <c r="AA126" s="15"/>
      <c r="AB126" s="15"/>
      <c r="AC126" s="13"/>
      <c r="AD126" s="15"/>
      <c r="AE126" s="15"/>
      <c r="AF126" s="15"/>
      <c r="AG126" s="13"/>
      <c r="AH126" s="15"/>
      <c r="AI126" s="15"/>
      <c r="AJ126" s="15"/>
      <c r="AK126" s="13"/>
      <c r="AL126" s="15"/>
      <c r="AM126" s="15"/>
      <c r="AN126" s="13"/>
      <c r="AO126" s="13"/>
    </row>
    <row r="127" spans="1:41" ht="120" x14ac:dyDescent="0.25">
      <c r="A127" s="13" t="s">
        <v>86</v>
      </c>
      <c r="B127" s="13" t="s">
        <v>153</v>
      </c>
      <c r="C127" s="14">
        <v>44012.458333333336</v>
      </c>
      <c r="D127" s="13" t="s">
        <v>88</v>
      </c>
      <c r="E127" s="15" t="s">
        <v>89</v>
      </c>
      <c r="F127" s="13" t="s">
        <v>90</v>
      </c>
      <c r="G127" s="15" t="s">
        <v>91</v>
      </c>
      <c r="H127" s="13" t="s">
        <v>322</v>
      </c>
      <c r="I127" s="15" t="s">
        <v>323</v>
      </c>
      <c r="J127" s="15" t="s">
        <v>324</v>
      </c>
      <c r="K127" s="15" t="s">
        <v>325</v>
      </c>
      <c r="L127" s="13" t="s">
        <v>326</v>
      </c>
      <c r="M127" s="15" t="s">
        <v>327</v>
      </c>
      <c r="N127" s="13" t="s">
        <v>98</v>
      </c>
      <c r="O127" s="15" t="s">
        <v>99</v>
      </c>
      <c r="P127" s="15" t="s">
        <v>100</v>
      </c>
      <c r="Q127" s="15" t="s">
        <v>332</v>
      </c>
      <c r="R127" s="13" t="s">
        <v>333</v>
      </c>
      <c r="S127" s="13" t="s">
        <v>212</v>
      </c>
      <c r="T127" s="13" t="s">
        <v>104</v>
      </c>
      <c r="U127" s="14">
        <v>43831</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120" x14ac:dyDescent="0.25">
      <c r="A128" s="13" t="s">
        <v>86</v>
      </c>
      <c r="B128" s="13" t="s">
        <v>87</v>
      </c>
      <c r="C128" s="14">
        <v>43850.552083333336</v>
      </c>
      <c r="D128" s="13" t="s">
        <v>88</v>
      </c>
      <c r="E128" s="15" t="s">
        <v>89</v>
      </c>
      <c r="F128" s="13" t="s">
        <v>90</v>
      </c>
      <c r="G128" s="15" t="s">
        <v>91</v>
      </c>
      <c r="H128" s="13" t="s">
        <v>322</v>
      </c>
      <c r="I128" s="15" t="s">
        <v>323</v>
      </c>
      <c r="J128" s="15" t="s">
        <v>324</v>
      </c>
      <c r="K128" s="15" t="s">
        <v>325</v>
      </c>
      <c r="L128" s="13" t="s">
        <v>328</v>
      </c>
      <c r="M128" s="15" t="s">
        <v>329</v>
      </c>
      <c r="N128" s="13" t="s">
        <v>98</v>
      </c>
      <c r="O128" s="15" t="s">
        <v>170</v>
      </c>
      <c r="P128" s="15" t="s">
        <v>171</v>
      </c>
      <c r="Q128" s="15" t="s">
        <v>332</v>
      </c>
      <c r="R128" s="13" t="s">
        <v>333</v>
      </c>
      <c r="S128" s="13" t="s">
        <v>212</v>
      </c>
      <c r="T128" s="13" t="s">
        <v>104</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20" x14ac:dyDescent="0.25">
      <c r="A129" s="13" t="s">
        <v>86</v>
      </c>
      <c r="B129" s="13" t="s">
        <v>87</v>
      </c>
      <c r="C129" s="14">
        <v>43850.552083333336</v>
      </c>
      <c r="D129" s="13" t="s">
        <v>88</v>
      </c>
      <c r="E129" s="15" t="s">
        <v>89</v>
      </c>
      <c r="F129" s="13" t="s">
        <v>90</v>
      </c>
      <c r="G129" s="15" t="s">
        <v>91</v>
      </c>
      <c r="H129" s="13" t="s">
        <v>322</v>
      </c>
      <c r="I129" s="15" t="s">
        <v>323</v>
      </c>
      <c r="J129" s="15" t="s">
        <v>324</v>
      </c>
      <c r="K129" s="15" t="s">
        <v>325</v>
      </c>
      <c r="L129" s="13" t="s">
        <v>330</v>
      </c>
      <c r="M129" s="15" t="s">
        <v>331</v>
      </c>
      <c r="N129" s="13" t="s">
        <v>188</v>
      </c>
      <c r="O129" s="15" t="s">
        <v>189</v>
      </c>
      <c r="P129" s="15" t="s">
        <v>190</v>
      </c>
      <c r="Q129" s="15" t="s">
        <v>332</v>
      </c>
      <c r="R129" s="13" t="s">
        <v>333</v>
      </c>
      <c r="S129" s="13" t="s">
        <v>212</v>
      </c>
      <c r="T129" s="13" t="s">
        <v>104</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135" x14ac:dyDescent="0.25">
      <c r="A130" s="13" t="s">
        <v>202</v>
      </c>
      <c r="B130" s="13" t="s">
        <v>153</v>
      </c>
      <c r="C130" s="14">
        <v>43152.5</v>
      </c>
      <c r="D130" s="13" t="s">
        <v>88</v>
      </c>
      <c r="E130" s="15" t="s">
        <v>89</v>
      </c>
      <c r="F130" s="13" t="s">
        <v>90</v>
      </c>
      <c r="G130" s="15" t="s">
        <v>91</v>
      </c>
      <c r="H130" s="13" t="s">
        <v>345</v>
      </c>
      <c r="I130" s="15" t="s">
        <v>346</v>
      </c>
      <c r="J130" s="15" t="s">
        <v>347</v>
      </c>
      <c r="K130" s="15" t="s">
        <v>348</v>
      </c>
      <c r="L130" s="13" t="s">
        <v>349</v>
      </c>
      <c r="M130" s="15" t="s">
        <v>350</v>
      </c>
      <c r="N130" s="13" t="s">
        <v>98</v>
      </c>
      <c r="O130" s="15" t="s">
        <v>99</v>
      </c>
      <c r="P130" s="15" t="s">
        <v>100</v>
      </c>
      <c r="Q130" s="15" t="s">
        <v>101</v>
      </c>
      <c r="R130" s="13" t="s">
        <v>102</v>
      </c>
      <c r="S130" s="13" t="s">
        <v>103</v>
      </c>
      <c r="T130" s="13" t="s">
        <v>205</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35" x14ac:dyDescent="0.25">
      <c r="A131" s="13" t="s">
        <v>202</v>
      </c>
      <c r="B131" s="13" t="s">
        <v>153</v>
      </c>
      <c r="C131" s="14">
        <v>43152.5</v>
      </c>
      <c r="D131" s="13" t="s">
        <v>88</v>
      </c>
      <c r="E131" s="15" t="s">
        <v>89</v>
      </c>
      <c r="F131" s="13" t="s">
        <v>90</v>
      </c>
      <c r="G131" s="15" t="s">
        <v>91</v>
      </c>
      <c r="H131" s="13" t="s">
        <v>345</v>
      </c>
      <c r="I131" s="15" t="s">
        <v>346</v>
      </c>
      <c r="J131" s="15" t="s">
        <v>347</v>
      </c>
      <c r="K131" s="15" t="s">
        <v>348</v>
      </c>
      <c r="L131" s="13" t="s">
        <v>351</v>
      </c>
      <c r="M131" s="15" t="s">
        <v>352</v>
      </c>
      <c r="N131" s="13" t="s">
        <v>98</v>
      </c>
      <c r="O131" s="15" t="s">
        <v>170</v>
      </c>
      <c r="P131" s="15" t="s">
        <v>171</v>
      </c>
      <c r="Q131" s="15" t="s">
        <v>101</v>
      </c>
      <c r="R131" s="13" t="s">
        <v>102</v>
      </c>
      <c r="S131" s="13" t="s">
        <v>103</v>
      </c>
      <c r="T131" s="13" t="s">
        <v>205</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135" x14ac:dyDescent="0.25">
      <c r="A132" s="13" t="s">
        <v>202</v>
      </c>
      <c r="B132" s="13" t="s">
        <v>153</v>
      </c>
      <c r="C132" s="14">
        <v>43152.5</v>
      </c>
      <c r="D132" s="13" t="s">
        <v>88</v>
      </c>
      <c r="E132" s="15" t="s">
        <v>89</v>
      </c>
      <c r="F132" s="13" t="s">
        <v>90</v>
      </c>
      <c r="G132" s="15" t="s">
        <v>91</v>
      </c>
      <c r="H132" s="13" t="s">
        <v>345</v>
      </c>
      <c r="I132" s="15" t="s">
        <v>346</v>
      </c>
      <c r="J132" s="15" t="s">
        <v>347</v>
      </c>
      <c r="K132" s="15" t="s">
        <v>348</v>
      </c>
      <c r="L132" s="13" t="s">
        <v>353</v>
      </c>
      <c r="M132" s="15" t="s">
        <v>354</v>
      </c>
      <c r="N132" s="13" t="s">
        <v>188</v>
      </c>
      <c r="O132" s="15" t="s">
        <v>189</v>
      </c>
      <c r="P132" s="15" t="s">
        <v>190</v>
      </c>
      <c r="Q132" s="15" t="s">
        <v>101</v>
      </c>
      <c r="R132" s="13" t="s">
        <v>102</v>
      </c>
      <c r="S132" s="13" t="s">
        <v>103</v>
      </c>
      <c r="T132" s="13" t="s">
        <v>205</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35" x14ac:dyDescent="0.25">
      <c r="A133" s="13" t="s">
        <v>202</v>
      </c>
      <c r="B133" s="13" t="s">
        <v>153</v>
      </c>
      <c r="C133" s="14">
        <v>43152.5</v>
      </c>
      <c r="D133" s="13" t="s">
        <v>88</v>
      </c>
      <c r="E133" s="15" t="s">
        <v>89</v>
      </c>
      <c r="F133" s="13" t="s">
        <v>90</v>
      </c>
      <c r="G133" s="15" t="s">
        <v>91</v>
      </c>
      <c r="H133" s="13" t="s">
        <v>345</v>
      </c>
      <c r="I133" s="15" t="s">
        <v>346</v>
      </c>
      <c r="J133" s="15" t="s">
        <v>347</v>
      </c>
      <c r="K133" s="15" t="s">
        <v>348</v>
      </c>
      <c r="L133" s="13" t="s">
        <v>349</v>
      </c>
      <c r="M133" s="15" t="s">
        <v>350</v>
      </c>
      <c r="N133" s="13" t="s">
        <v>98</v>
      </c>
      <c r="O133" s="15" t="s">
        <v>99</v>
      </c>
      <c r="P133" s="15" t="s">
        <v>100</v>
      </c>
      <c r="Q133" s="15" t="s">
        <v>203</v>
      </c>
      <c r="R133" s="13" t="s">
        <v>204</v>
      </c>
      <c r="S133" s="13" t="s">
        <v>103</v>
      </c>
      <c r="T133" s="13" t="s">
        <v>205</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35" x14ac:dyDescent="0.25">
      <c r="A134" s="13" t="s">
        <v>202</v>
      </c>
      <c r="B134" s="13" t="s">
        <v>153</v>
      </c>
      <c r="C134" s="14">
        <v>43152.5</v>
      </c>
      <c r="D134" s="13" t="s">
        <v>88</v>
      </c>
      <c r="E134" s="15" t="s">
        <v>89</v>
      </c>
      <c r="F134" s="13" t="s">
        <v>90</v>
      </c>
      <c r="G134" s="15" t="s">
        <v>91</v>
      </c>
      <c r="H134" s="13" t="s">
        <v>345</v>
      </c>
      <c r="I134" s="15" t="s">
        <v>346</v>
      </c>
      <c r="J134" s="15" t="s">
        <v>347</v>
      </c>
      <c r="K134" s="15" t="s">
        <v>348</v>
      </c>
      <c r="L134" s="13" t="s">
        <v>351</v>
      </c>
      <c r="M134" s="15" t="s">
        <v>352</v>
      </c>
      <c r="N134" s="13" t="s">
        <v>98</v>
      </c>
      <c r="O134" s="15" t="s">
        <v>170</v>
      </c>
      <c r="P134" s="15" t="s">
        <v>171</v>
      </c>
      <c r="Q134" s="15" t="s">
        <v>203</v>
      </c>
      <c r="R134" s="13" t="s">
        <v>204</v>
      </c>
      <c r="S134" s="13" t="s">
        <v>103</v>
      </c>
      <c r="T134" s="13" t="s">
        <v>205</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135" x14ac:dyDescent="0.25">
      <c r="A135" s="13" t="s">
        <v>202</v>
      </c>
      <c r="B135" s="13" t="s">
        <v>153</v>
      </c>
      <c r="C135" s="14">
        <v>43152.5</v>
      </c>
      <c r="D135" s="13" t="s">
        <v>88</v>
      </c>
      <c r="E135" s="15" t="s">
        <v>89</v>
      </c>
      <c r="F135" s="13" t="s">
        <v>90</v>
      </c>
      <c r="G135" s="15" t="s">
        <v>91</v>
      </c>
      <c r="H135" s="13" t="s">
        <v>345</v>
      </c>
      <c r="I135" s="15" t="s">
        <v>346</v>
      </c>
      <c r="J135" s="15" t="s">
        <v>347</v>
      </c>
      <c r="K135" s="15" t="s">
        <v>348</v>
      </c>
      <c r="L135" s="13" t="s">
        <v>353</v>
      </c>
      <c r="M135" s="15" t="s">
        <v>354</v>
      </c>
      <c r="N135" s="13" t="s">
        <v>188</v>
      </c>
      <c r="O135" s="15" t="s">
        <v>189</v>
      </c>
      <c r="P135" s="15" t="s">
        <v>190</v>
      </c>
      <c r="Q135" s="15" t="s">
        <v>203</v>
      </c>
      <c r="R135" s="13" t="s">
        <v>204</v>
      </c>
      <c r="S135" s="13" t="s">
        <v>103</v>
      </c>
      <c r="T135" s="13" t="s">
        <v>205</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35" x14ac:dyDescent="0.25">
      <c r="A136" s="13" t="s">
        <v>202</v>
      </c>
      <c r="B136" s="13" t="s">
        <v>153</v>
      </c>
      <c r="C136" s="14">
        <v>43152.5</v>
      </c>
      <c r="D136" s="13" t="s">
        <v>88</v>
      </c>
      <c r="E136" s="15" t="s">
        <v>89</v>
      </c>
      <c r="F136" s="13" t="s">
        <v>90</v>
      </c>
      <c r="G136" s="15" t="s">
        <v>91</v>
      </c>
      <c r="H136" s="13" t="s">
        <v>345</v>
      </c>
      <c r="I136" s="15" t="s">
        <v>346</v>
      </c>
      <c r="J136" s="15" t="s">
        <v>347</v>
      </c>
      <c r="K136" s="15" t="s">
        <v>348</v>
      </c>
      <c r="L136" s="13" t="s">
        <v>349</v>
      </c>
      <c r="M136" s="15" t="s">
        <v>350</v>
      </c>
      <c r="N136" s="13" t="s">
        <v>98</v>
      </c>
      <c r="O136" s="15" t="s">
        <v>99</v>
      </c>
      <c r="P136" s="15" t="s">
        <v>100</v>
      </c>
      <c r="Q136" s="15" t="s">
        <v>206</v>
      </c>
      <c r="R136" s="13" t="s">
        <v>207</v>
      </c>
      <c r="S136" s="13" t="s">
        <v>103</v>
      </c>
      <c r="T136" s="13" t="s">
        <v>205</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35" x14ac:dyDescent="0.25">
      <c r="A137" s="13" t="s">
        <v>202</v>
      </c>
      <c r="B137" s="13" t="s">
        <v>153</v>
      </c>
      <c r="C137" s="14">
        <v>43152.5</v>
      </c>
      <c r="D137" s="13" t="s">
        <v>88</v>
      </c>
      <c r="E137" s="15" t="s">
        <v>89</v>
      </c>
      <c r="F137" s="13" t="s">
        <v>90</v>
      </c>
      <c r="G137" s="15" t="s">
        <v>91</v>
      </c>
      <c r="H137" s="13" t="s">
        <v>345</v>
      </c>
      <c r="I137" s="15" t="s">
        <v>346</v>
      </c>
      <c r="J137" s="15" t="s">
        <v>347</v>
      </c>
      <c r="K137" s="15" t="s">
        <v>348</v>
      </c>
      <c r="L137" s="13" t="s">
        <v>351</v>
      </c>
      <c r="M137" s="15" t="s">
        <v>352</v>
      </c>
      <c r="N137" s="13" t="s">
        <v>98</v>
      </c>
      <c r="O137" s="15" t="s">
        <v>170</v>
      </c>
      <c r="P137" s="15" t="s">
        <v>171</v>
      </c>
      <c r="Q137" s="15" t="s">
        <v>206</v>
      </c>
      <c r="R137" s="13" t="s">
        <v>207</v>
      </c>
      <c r="S137" s="13" t="s">
        <v>103</v>
      </c>
      <c r="T137" s="13" t="s">
        <v>205</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135" x14ac:dyDescent="0.25">
      <c r="A138" s="13" t="s">
        <v>202</v>
      </c>
      <c r="B138" s="13" t="s">
        <v>153</v>
      </c>
      <c r="C138" s="14">
        <v>43152.5</v>
      </c>
      <c r="D138" s="13" t="s">
        <v>88</v>
      </c>
      <c r="E138" s="15" t="s">
        <v>89</v>
      </c>
      <c r="F138" s="13" t="s">
        <v>90</v>
      </c>
      <c r="G138" s="15" t="s">
        <v>91</v>
      </c>
      <c r="H138" s="13" t="s">
        <v>345</v>
      </c>
      <c r="I138" s="15" t="s">
        <v>346</v>
      </c>
      <c r="J138" s="15" t="s">
        <v>347</v>
      </c>
      <c r="K138" s="15" t="s">
        <v>348</v>
      </c>
      <c r="L138" s="13" t="s">
        <v>353</v>
      </c>
      <c r="M138" s="15" t="s">
        <v>354</v>
      </c>
      <c r="N138" s="13" t="s">
        <v>188</v>
      </c>
      <c r="O138" s="15" t="s">
        <v>189</v>
      </c>
      <c r="P138" s="15" t="s">
        <v>190</v>
      </c>
      <c r="Q138" s="15" t="s">
        <v>206</v>
      </c>
      <c r="R138" s="13" t="s">
        <v>207</v>
      </c>
      <c r="S138" s="13" t="s">
        <v>103</v>
      </c>
      <c r="T138" s="13" t="s">
        <v>205</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35" x14ac:dyDescent="0.25">
      <c r="A139" s="13" t="s">
        <v>202</v>
      </c>
      <c r="B139" s="13" t="s">
        <v>153</v>
      </c>
      <c r="C139" s="14">
        <v>43152.5</v>
      </c>
      <c r="D139" s="13" t="s">
        <v>88</v>
      </c>
      <c r="E139" s="15" t="s">
        <v>89</v>
      </c>
      <c r="F139" s="13" t="s">
        <v>90</v>
      </c>
      <c r="G139" s="15" t="s">
        <v>91</v>
      </c>
      <c r="H139" s="13" t="s">
        <v>345</v>
      </c>
      <c r="I139" s="15" t="s">
        <v>346</v>
      </c>
      <c r="J139" s="15" t="s">
        <v>347</v>
      </c>
      <c r="K139" s="15" t="s">
        <v>348</v>
      </c>
      <c r="L139" s="13" t="s">
        <v>349</v>
      </c>
      <c r="M139" s="15" t="s">
        <v>350</v>
      </c>
      <c r="N139" s="13" t="s">
        <v>98</v>
      </c>
      <c r="O139" s="15" t="s">
        <v>99</v>
      </c>
      <c r="P139" s="15" t="s">
        <v>100</v>
      </c>
      <c r="Q139" s="15" t="s">
        <v>208</v>
      </c>
      <c r="R139" s="13" t="s">
        <v>209</v>
      </c>
      <c r="S139" s="13" t="s">
        <v>103</v>
      </c>
      <c r="T139" s="13" t="s">
        <v>205</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135" x14ac:dyDescent="0.25">
      <c r="A140" s="13" t="s">
        <v>202</v>
      </c>
      <c r="B140" s="13" t="s">
        <v>153</v>
      </c>
      <c r="C140" s="14">
        <v>43152.5</v>
      </c>
      <c r="D140" s="13" t="s">
        <v>88</v>
      </c>
      <c r="E140" s="15" t="s">
        <v>89</v>
      </c>
      <c r="F140" s="13" t="s">
        <v>90</v>
      </c>
      <c r="G140" s="15" t="s">
        <v>91</v>
      </c>
      <c r="H140" s="13" t="s">
        <v>345</v>
      </c>
      <c r="I140" s="15" t="s">
        <v>346</v>
      </c>
      <c r="J140" s="15" t="s">
        <v>347</v>
      </c>
      <c r="K140" s="15" t="s">
        <v>348</v>
      </c>
      <c r="L140" s="13" t="s">
        <v>351</v>
      </c>
      <c r="M140" s="15" t="s">
        <v>352</v>
      </c>
      <c r="N140" s="13" t="s">
        <v>98</v>
      </c>
      <c r="O140" s="15" t="s">
        <v>170</v>
      </c>
      <c r="P140" s="15" t="s">
        <v>171</v>
      </c>
      <c r="Q140" s="15" t="s">
        <v>208</v>
      </c>
      <c r="R140" s="13" t="s">
        <v>209</v>
      </c>
      <c r="S140" s="13" t="s">
        <v>103</v>
      </c>
      <c r="T140" s="13" t="s">
        <v>205</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135" x14ac:dyDescent="0.25">
      <c r="A141" s="13" t="s">
        <v>202</v>
      </c>
      <c r="B141" s="13" t="s">
        <v>153</v>
      </c>
      <c r="C141" s="14">
        <v>43152.5</v>
      </c>
      <c r="D141" s="13" t="s">
        <v>88</v>
      </c>
      <c r="E141" s="15" t="s">
        <v>89</v>
      </c>
      <c r="F141" s="13" t="s">
        <v>90</v>
      </c>
      <c r="G141" s="15" t="s">
        <v>91</v>
      </c>
      <c r="H141" s="13" t="s">
        <v>345</v>
      </c>
      <c r="I141" s="15" t="s">
        <v>346</v>
      </c>
      <c r="J141" s="15" t="s">
        <v>347</v>
      </c>
      <c r="K141" s="15" t="s">
        <v>348</v>
      </c>
      <c r="L141" s="13" t="s">
        <v>353</v>
      </c>
      <c r="M141" s="15" t="s">
        <v>354</v>
      </c>
      <c r="N141" s="13" t="s">
        <v>188</v>
      </c>
      <c r="O141" s="15" t="s">
        <v>189</v>
      </c>
      <c r="P141" s="15" t="s">
        <v>190</v>
      </c>
      <c r="Q141" s="15" t="s">
        <v>208</v>
      </c>
      <c r="R141" s="13" t="s">
        <v>209</v>
      </c>
      <c r="S141" s="13" t="s">
        <v>103</v>
      </c>
      <c r="T141" s="13" t="s">
        <v>205</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35" x14ac:dyDescent="0.25">
      <c r="A142" s="13" t="s">
        <v>86</v>
      </c>
      <c r="B142" s="13" t="s">
        <v>87</v>
      </c>
      <c r="C142" s="14">
        <v>43850.552083333336</v>
      </c>
      <c r="D142" s="13" t="s">
        <v>88</v>
      </c>
      <c r="E142" s="15" t="s">
        <v>89</v>
      </c>
      <c r="F142" s="13" t="s">
        <v>90</v>
      </c>
      <c r="G142" s="15" t="s">
        <v>91</v>
      </c>
      <c r="H142" s="13" t="s">
        <v>345</v>
      </c>
      <c r="I142" s="15" t="s">
        <v>346</v>
      </c>
      <c r="J142" s="15" t="s">
        <v>347</v>
      </c>
      <c r="K142" s="15" t="s">
        <v>348</v>
      </c>
      <c r="L142" s="13" t="s">
        <v>349</v>
      </c>
      <c r="M142" s="15" t="s">
        <v>350</v>
      </c>
      <c r="N142" s="13" t="s">
        <v>98</v>
      </c>
      <c r="O142" s="15" t="s">
        <v>99</v>
      </c>
      <c r="P142" s="15" t="s">
        <v>100</v>
      </c>
      <c r="Q142" s="15" t="s">
        <v>332</v>
      </c>
      <c r="R142" s="13" t="s">
        <v>333</v>
      </c>
      <c r="S142" s="13" t="s">
        <v>212</v>
      </c>
      <c r="T142" s="13" t="s">
        <v>104</v>
      </c>
      <c r="U142" s="14">
        <v>40725</v>
      </c>
      <c r="V142" s="14">
        <v>43830</v>
      </c>
      <c r="W142" s="15"/>
      <c r="X142" s="15"/>
      <c r="Y142" s="13"/>
      <c r="Z142" s="15"/>
      <c r="AA142" s="15"/>
      <c r="AB142" s="15"/>
      <c r="AC142" s="13"/>
      <c r="AD142" s="15"/>
      <c r="AE142" s="15"/>
      <c r="AF142" s="15"/>
      <c r="AG142" s="13"/>
      <c r="AH142" s="15"/>
      <c r="AI142" s="15"/>
      <c r="AJ142" s="15"/>
      <c r="AK142" s="13"/>
      <c r="AL142" s="15"/>
      <c r="AM142" s="15"/>
      <c r="AN142" s="13"/>
      <c r="AO142" s="13"/>
    </row>
    <row r="143" spans="1:41" ht="135" x14ac:dyDescent="0.25">
      <c r="A143" s="13" t="s">
        <v>86</v>
      </c>
      <c r="B143" s="13" t="s">
        <v>153</v>
      </c>
      <c r="C143" s="14">
        <v>44012.459722222222</v>
      </c>
      <c r="D143" s="13" t="s">
        <v>88</v>
      </c>
      <c r="E143" s="15" t="s">
        <v>89</v>
      </c>
      <c r="F143" s="13" t="s">
        <v>90</v>
      </c>
      <c r="G143" s="15" t="s">
        <v>91</v>
      </c>
      <c r="H143" s="13" t="s">
        <v>345</v>
      </c>
      <c r="I143" s="15" t="s">
        <v>346</v>
      </c>
      <c r="J143" s="15" t="s">
        <v>347</v>
      </c>
      <c r="K143" s="15" t="s">
        <v>348</v>
      </c>
      <c r="L143" s="13" t="s">
        <v>349</v>
      </c>
      <c r="M143" s="15" t="s">
        <v>350</v>
      </c>
      <c r="N143" s="13" t="s">
        <v>98</v>
      </c>
      <c r="O143" s="15" t="s">
        <v>99</v>
      </c>
      <c r="P143" s="15" t="s">
        <v>100</v>
      </c>
      <c r="Q143" s="15" t="s">
        <v>332</v>
      </c>
      <c r="R143" s="13" t="s">
        <v>333</v>
      </c>
      <c r="S143" s="13" t="s">
        <v>212</v>
      </c>
      <c r="T143" s="13" t="s">
        <v>104</v>
      </c>
      <c r="U143" s="14">
        <v>43831</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135" x14ac:dyDescent="0.25">
      <c r="A144" s="13" t="s">
        <v>86</v>
      </c>
      <c r="B144" s="13" t="s">
        <v>87</v>
      </c>
      <c r="C144" s="14">
        <v>43850.552083333336</v>
      </c>
      <c r="D144" s="13" t="s">
        <v>88</v>
      </c>
      <c r="E144" s="15" t="s">
        <v>89</v>
      </c>
      <c r="F144" s="13" t="s">
        <v>90</v>
      </c>
      <c r="G144" s="15" t="s">
        <v>91</v>
      </c>
      <c r="H144" s="13" t="s">
        <v>345</v>
      </c>
      <c r="I144" s="15" t="s">
        <v>346</v>
      </c>
      <c r="J144" s="15" t="s">
        <v>347</v>
      </c>
      <c r="K144" s="15" t="s">
        <v>348</v>
      </c>
      <c r="L144" s="13" t="s">
        <v>351</v>
      </c>
      <c r="M144" s="15" t="s">
        <v>352</v>
      </c>
      <c r="N144" s="13" t="s">
        <v>98</v>
      </c>
      <c r="O144" s="15" t="s">
        <v>170</v>
      </c>
      <c r="P144" s="15" t="s">
        <v>171</v>
      </c>
      <c r="Q144" s="15" t="s">
        <v>332</v>
      </c>
      <c r="R144" s="13" t="s">
        <v>333</v>
      </c>
      <c r="S144" s="13" t="s">
        <v>212</v>
      </c>
      <c r="T144" s="13" t="s">
        <v>104</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135" x14ac:dyDescent="0.25">
      <c r="A145" s="13" t="s">
        <v>86</v>
      </c>
      <c r="B145" s="13" t="s">
        <v>87</v>
      </c>
      <c r="C145" s="14">
        <v>43850.552083333336</v>
      </c>
      <c r="D145" s="13" t="s">
        <v>88</v>
      </c>
      <c r="E145" s="15" t="s">
        <v>89</v>
      </c>
      <c r="F145" s="13" t="s">
        <v>90</v>
      </c>
      <c r="G145" s="15" t="s">
        <v>91</v>
      </c>
      <c r="H145" s="13" t="s">
        <v>345</v>
      </c>
      <c r="I145" s="15" t="s">
        <v>346</v>
      </c>
      <c r="J145" s="15" t="s">
        <v>347</v>
      </c>
      <c r="K145" s="15" t="s">
        <v>348</v>
      </c>
      <c r="L145" s="13" t="s">
        <v>353</v>
      </c>
      <c r="M145" s="15" t="s">
        <v>354</v>
      </c>
      <c r="N145" s="13" t="s">
        <v>188</v>
      </c>
      <c r="O145" s="15" t="s">
        <v>189</v>
      </c>
      <c r="P145" s="15" t="s">
        <v>190</v>
      </c>
      <c r="Q145" s="15" t="s">
        <v>332</v>
      </c>
      <c r="R145" s="13" t="s">
        <v>333</v>
      </c>
      <c r="S145" s="13" t="s">
        <v>212</v>
      </c>
      <c r="T145" s="13" t="s">
        <v>104</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20" x14ac:dyDescent="0.25">
      <c r="A146" s="13" t="s">
        <v>86</v>
      </c>
      <c r="B146" s="13" t="s">
        <v>87</v>
      </c>
      <c r="C146" s="14">
        <v>43850.552083333336</v>
      </c>
      <c r="D146" s="13" t="s">
        <v>88</v>
      </c>
      <c r="E146" s="15" t="s">
        <v>89</v>
      </c>
      <c r="F146" s="13" t="s">
        <v>90</v>
      </c>
      <c r="G146" s="15" t="s">
        <v>91</v>
      </c>
      <c r="H146" s="13" t="s">
        <v>355</v>
      </c>
      <c r="I146" s="15" t="s">
        <v>356</v>
      </c>
      <c r="J146" s="15" t="s">
        <v>357</v>
      </c>
      <c r="K146" s="15" t="s">
        <v>358</v>
      </c>
      <c r="L146" s="13" t="s">
        <v>359</v>
      </c>
      <c r="M146" s="15" t="s">
        <v>360</v>
      </c>
      <c r="N146" s="13" t="s">
        <v>98</v>
      </c>
      <c r="O146" s="15" t="s">
        <v>99</v>
      </c>
      <c r="P146" s="15" t="s">
        <v>100</v>
      </c>
      <c r="Q146" s="15" t="s">
        <v>101</v>
      </c>
      <c r="R146" s="13" t="s">
        <v>102</v>
      </c>
      <c r="S146" s="13" t="s">
        <v>103</v>
      </c>
      <c r="T146" s="13" t="s">
        <v>104</v>
      </c>
      <c r="U146" s="14">
        <v>40725</v>
      </c>
      <c r="V146" s="14">
        <v>43830</v>
      </c>
      <c r="W146" s="15"/>
      <c r="X146" s="15"/>
      <c r="Y146" s="13"/>
      <c r="Z146" s="15"/>
      <c r="AA146" s="15"/>
      <c r="AB146" s="15"/>
      <c r="AC146" s="13"/>
      <c r="AD146" s="15"/>
      <c r="AE146" s="15"/>
      <c r="AF146" s="15"/>
      <c r="AG146" s="13"/>
      <c r="AH146" s="15"/>
      <c r="AI146" s="15"/>
      <c r="AJ146" s="15"/>
      <c r="AK146" s="13"/>
      <c r="AL146" s="15"/>
      <c r="AM146" s="15"/>
      <c r="AN146" s="13"/>
      <c r="AO146" s="13"/>
    </row>
    <row r="147" spans="1:41" ht="120" x14ac:dyDescent="0.25">
      <c r="A147" s="13" t="s">
        <v>152</v>
      </c>
      <c r="B147" s="13" t="s">
        <v>153</v>
      </c>
      <c r="C147" s="14">
        <v>45807.45208333333</v>
      </c>
      <c r="D147" s="13" t="s">
        <v>88</v>
      </c>
      <c r="E147" s="15" t="s">
        <v>89</v>
      </c>
      <c r="F147" s="13" t="s">
        <v>90</v>
      </c>
      <c r="G147" s="15" t="s">
        <v>91</v>
      </c>
      <c r="H147" s="13" t="s">
        <v>355</v>
      </c>
      <c r="I147" s="15" t="s">
        <v>356</v>
      </c>
      <c r="J147" s="15" t="s">
        <v>357</v>
      </c>
      <c r="K147" s="15" t="s">
        <v>358</v>
      </c>
      <c r="L147" s="13" t="s">
        <v>359</v>
      </c>
      <c r="M147" s="15" t="s">
        <v>360</v>
      </c>
      <c r="N147" s="13" t="s">
        <v>98</v>
      </c>
      <c r="O147" s="15" t="s">
        <v>99</v>
      </c>
      <c r="P147" s="15" t="s">
        <v>100</v>
      </c>
      <c r="Q147" s="15" t="s">
        <v>101</v>
      </c>
      <c r="R147" s="13" t="s">
        <v>102</v>
      </c>
      <c r="S147" s="13" t="s">
        <v>103</v>
      </c>
      <c r="T147" s="13" t="s">
        <v>104</v>
      </c>
      <c r="U147" s="14">
        <v>43831</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120" x14ac:dyDescent="0.25">
      <c r="A148" s="13" t="s">
        <v>86</v>
      </c>
      <c r="B148" s="13" t="s">
        <v>87</v>
      </c>
      <c r="C148" s="14">
        <v>43850.552083333336</v>
      </c>
      <c r="D148" s="13" t="s">
        <v>88</v>
      </c>
      <c r="E148" s="15" t="s">
        <v>89</v>
      </c>
      <c r="F148" s="13" t="s">
        <v>90</v>
      </c>
      <c r="G148" s="15" t="s">
        <v>91</v>
      </c>
      <c r="H148" s="13" t="s">
        <v>355</v>
      </c>
      <c r="I148" s="15" t="s">
        <v>356</v>
      </c>
      <c r="J148" s="15" t="s">
        <v>357</v>
      </c>
      <c r="K148" s="15" t="s">
        <v>358</v>
      </c>
      <c r="L148" s="13" t="s">
        <v>362</v>
      </c>
      <c r="M148" s="15" t="s">
        <v>363</v>
      </c>
      <c r="N148" s="13" t="s">
        <v>98</v>
      </c>
      <c r="O148" s="15" t="s">
        <v>170</v>
      </c>
      <c r="P148" s="15" t="s">
        <v>171</v>
      </c>
      <c r="Q148" s="15" t="s">
        <v>101</v>
      </c>
      <c r="R148" s="13" t="s">
        <v>102</v>
      </c>
      <c r="S148" s="13" t="s">
        <v>103</v>
      </c>
      <c r="T148" s="13" t="s">
        <v>104</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90" x14ac:dyDescent="0.25">
      <c r="A149" s="13" t="s">
        <v>86</v>
      </c>
      <c r="B149" s="13" t="s">
        <v>87</v>
      </c>
      <c r="C149" s="14">
        <v>43850.552083333336</v>
      </c>
      <c r="D149" s="13" t="s">
        <v>88</v>
      </c>
      <c r="E149" s="15" t="s">
        <v>89</v>
      </c>
      <c r="F149" s="13" t="s">
        <v>90</v>
      </c>
      <c r="G149" s="15" t="s">
        <v>91</v>
      </c>
      <c r="H149" s="13" t="s">
        <v>355</v>
      </c>
      <c r="I149" s="15" t="s">
        <v>356</v>
      </c>
      <c r="J149" s="15" t="s">
        <v>357</v>
      </c>
      <c r="K149" s="15" t="s">
        <v>358</v>
      </c>
      <c r="L149" s="13" t="s">
        <v>364</v>
      </c>
      <c r="M149" s="15" t="s">
        <v>365</v>
      </c>
      <c r="N149" s="13" t="s">
        <v>188</v>
      </c>
      <c r="O149" s="15" t="s">
        <v>189</v>
      </c>
      <c r="P149" s="15" t="s">
        <v>190</v>
      </c>
      <c r="Q149" s="15" t="s">
        <v>101</v>
      </c>
      <c r="R149" s="13" t="s">
        <v>102</v>
      </c>
      <c r="S149" s="13" t="s">
        <v>103</v>
      </c>
      <c r="T149" s="13" t="s">
        <v>104</v>
      </c>
      <c r="U149" s="14">
        <v>40725</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120" x14ac:dyDescent="0.25">
      <c r="A150" s="13" t="s">
        <v>202</v>
      </c>
      <c r="B150" s="13" t="s">
        <v>153</v>
      </c>
      <c r="C150" s="14">
        <v>43152.5</v>
      </c>
      <c r="D150" s="13" t="s">
        <v>88</v>
      </c>
      <c r="E150" s="15" t="s">
        <v>89</v>
      </c>
      <c r="F150" s="13" t="s">
        <v>90</v>
      </c>
      <c r="G150" s="15" t="s">
        <v>91</v>
      </c>
      <c r="H150" s="13" t="s">
        <v>355</v>
      </c>
      <c r="I150" s="15" t="s">
        <v>356</v>
      </c>
      <c r="J150" s="15" t="s">
        <v>357</v>
      </c>
      <c r="K150" s="15" t="s">
        <v>358</v>
      </c>
      <c r="L150" s="13" t="s">
        <v>359</v>
      </c>
      <c r="M150" s="15" t="s">
        <v>360</v>
      </c>
      <c r="N150" s="13" t="s">
        <v>98</v>
      </c>
      <c r="O150" s="15" t="s">
        <v>99</v>
      </c>
      <c r="P150" s="15" t="s">
        <v>100</v>
      </c>
      <c r="Q150" s="15" t="s">
        <v>203</v>
      </c>
      <c r="R150" s="13" t="s">
        <v>204</v>
      </c>
      <c r="S150" s="13" t="s">
        <v>103</v>
      </c>
      <c r="T150" s="13" t="s">
        <v>205</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20" x14ac:dyDescent="0.25">
      <c r="A151" s="13" t="s">
        <v>202</v>
      </c>
      <c r="B151" s="13" t="s">
        <v>153</v>
      </c>
      <c r="C151" s="14">
        <v>43152.5</v>
      </c>
      <c r="D151" s="13" t="s">
        <v>88</v>
      </c>
      <c r="E151" s="15" t="s">
        <v>89</v>
      </c>
      <c r="F151" s="13" t="s">
        <v>90</v>
      </c>
      <c r="G151" s="15" t="s">
        <v>91</v>
      </c>
      <c r="H151" s="13" t="s">
        <v>355</v>
      </c>
      <c r="I151" s="15" t="s">
        <v>356</v>
      </c>
      <c r="J151" s="15" t="s">
        <v>357</v>
      </c>
      <c r="K151" s="15" t="s">
        <v>358</v>
      </c>
      <c r="L151" s="13" t="s">
        <v>362</v>
      </c>
      <c r="M151" s="15" t="s">
        <v>363</v>
      </c>
      <c r="N151" s="13" t="s">
        <v>98</v>
      </c>
      <c r="O151" s="15" t="s">
        <v>170</v>
      </c>
      <c r="P151" s="15" t="s">
        <v>171</v>
      </c>
      <c r="Q151" s="15" t="s">
        <v>203</v>
      </c>
      <c r="R151" s="13" t="s">
        <v>204</v>
      </c>
      <c r="S151" s="13" t="s">
        <v>103</v>
      </c>
      <c r="T151" s="13" t="s">
        <v>205</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90" x14ac:dyDescent="0.25">
      <c r="A152" s="13" t="s">
        <v>202</v>
      </c>
      <c r="B152" s="13" t="s">
        <v>153</v>
      </c>
      <c r="C152" s="14">
        <v>43152.5</v>
      </c>
      <c r="D152" s="13" t="s">
        <v>88</v>
      </c>
      <c r="E152" s="15" t="s">
        <v>89</v>
      </c>
      <c r="F152" s="13" t="s">
        <v>90</v>
      </c>
      <c r="G152" s="15" t="s">
        <v>91</v>
      </c>
      <c r="H152" s="13" t="s">
        <v>355</v>
      </c>
      <c r="I152" s="15" t="s">
        <v>356</v>
      </c>
      <c r="J152" s="15" t="s">
        <v>357</v>
      </c>
      <c r="K152" s="15" t="s">
        <v>358</v>
      </c>
      <c r="L152" s="13" t="s">
        <v>364</v>
      </c>
      <c r="M152" s="15" t="s">
        <v>365</v>
      </c>
      <c r="N152" s="13" t="s">
        <v>188</v>
      </c>
      <c r="O152" s="15" t="s">
        <v>189</v>
      </c>
      <c r="P152" s="15" t="s">
        <v>190</v>
      </c>
      <c r="Q152" s="15" t="s">
        <v>203</v>
      </c>
      <c r="R152" s="13" t="s">
        <v>204</v>
      </c>
      <c r="S152" s="13" t="s">
        <v>103</v>
      </c>
      <c r="T152" s="13" t="s">
        <v>205</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20" x14ac:dyDescent="0.25">
      <c r="A153" s="13" t="s">
        <v>202</v>
      </c>
      <c r="B153" s="13" t="s">
        <v>153</v>
      </c>
      <c r="C153" s="14">
        <v>43152.5</v>
      </c>
      <c r="D153" s="13" t="s">
        <v>88</v>
      </c>
      <c r="E153" s="15" t="s">
        <v>89</v>
      </c>
      <c r="F153" s="13" t="s">
        <v>90</v>
      </c>
      <c r="G153" s="15" t="s">
        <v>91</v>
      </c>
      <c r="H153" s="13" t="s">
        <v>355</v>
      </c>
      <c r="I153" s="15" t="s">
        <v>356</v>
      </c>
      <c r="J153" s="15" t="s">
        <v>357</v>
      </c>
      <c r="K153" s="15" t="s">
        <v>358</v>
      </c>
      <c r="L153" s="13" t="s">
        <v>359</v>
      </c>
      <c r="M153" s="15" t="s">
        <v>360</v>
      </c>
      <c r="N153" s="13" t="s">
        <v>98</v>
      </c>
      <c r="O153" s="15" t="s">
        <v>99</v>
      </c>
      <c r="P153" s="15" t="s">
        <v>100</v>
      </c>
      <c r="Q153" s="15" t="s">
        <v>206</v>
      </c>
      <c r="R153" s="13" t="s">
        <v>207</v>
      </c>
      <c r="S153" s="13" t="s">
        <v>103</v>
      </c>
      <c r="T153" s="13" t="s">
        <v>205</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120" x14ac:dyDescent="0.25">
      <c r="A154" s="13" t="s">
        <v>202</v>
      </c>
      <c r="B154" s="13" t="s">
        <v>153</v>
      </c>
      <c r="C154" s="14">
        <v>43152.5</v>
      </c>
      <c r="D154" s="13" t="s">
        <v>88</v>
      </c>
      <c r="E154" s="15" t="s">
        <v>89</v>
      </c>
      <c r="F154" s="13" t="s">
        <v>90</v>
      </c>
      <c r="G154" s="15" t="s">
        <v>91</v>
      </c>
      <c r="H154" s="13" t="s">
        <v>355</v>
      </c>
      <c r="I154" s="15" t="s">
        <v>356</v>
      </c>
      <c r="J154" s="15" t="s">
        <v>357</v>
      </c>
      <c r="K154" s="15" t="s">
        <v>358</v>
      </c>
      <c r="L154" s="13" t="s">
        <v>362</v>
      </c>
      <c r="M154" s="15" t="s">
        <v>363</v>
      </c>
      <c r="N154" s="13" t="s">
        <v>98</v>
      </c>
      <c r="O154" s="15" t="s">
        <v>170</v>
      </c>
      <c r="P154" s="15" t="s">
        <v>171</v>
      </c>
      <c r="Q154" s="15" t="s">
        <v>206</v>
      </c>
      <c r="R154" s="13" t="s">
        <v>207</v>
      </c>
      <c r="S154" s="13" t="s">
        <v>103</v>
      </c>
      <c r="T154" s="13" t="s">
        <v>205</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90" x14ac:dyDescent="0.25">
      <c r="A155" s="13" t="s">
        <v>202</v>
      </c>
      <c r="B155" s="13" t="s">
        <v>153</v>
      </c>
      <c r="C155" s="14">
        <v>43152.5</v>
      </c>
      <c r="D155" s="13" t="s">
        <v>88</v>
      </c>
      <c r="E155" s="15" t="s">
        <v>89</v>
      </c>
      <c r="F155" s="13" t="s">
        <v>90</v>
      </c>
      <c r="G155" s="15" t="s">
        <v>91</v>
      </c>
      <c r="H155" s="13" t="s">
        <v>355</v>
      </c>
      <c r="I155" s="15" t="s">
        <v>356</v>
      </c>
      <c r="J155" s="15" t="s">
        <v>357</v>
      </c>
      <c r="K155" s="15" t="s">
        <v>358</v>
      </c>
      <c r="L155" s="13" t="s">
        <v>364</v>
      </c>
      <c r="M155" s="15" t="s">
        <v>365</v>
      </c>
      <c r="N155" s="13" t="s">
        <v>188</v>
      </c>
      <c r="O155" s="15" t="s">
        <v>189</v>
      </c>
      <c r="P155" s="15" t="s">
        <v>190</v>
      </c>
      <c r="Q155" s="15" t="s">
        <v>206</v>
      </c>
      <c r="R155" s="13" t="s">
        <v>207</v>
      </c>
      <c r="S155" s="13" t="s">
        <v>103</v>
      </c>
      <c r="T155" s="13" t="s">
        <v>205</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20" x14ac:dyDescent="0.25">
      <c r="A156" s="13" t="s">
        <v>202</v>
      </c>
      <c r="B156" s="13" t="s">
        <v>153</v>
      </c>
      <c r="C156" s="14">
        <v>43152.5</v>
      </c>
      <c r="D156" s="13" t="s">
        <v>88</v>
      </c>
      <c r="E156" s="15" t="s">
        <v>89</v>
      </c>
      <c r="F156" s="13" t="s">
        <v>90</v>
      </c>
      <c r="G156" s="15" t="s">
        <v>91</v>
      </c>
      <c r="H156" s="13" t="s">
        <v>355</v>
      </c>
      <c r="I156" s="15" t="s">
        <v>356</v>
      </c>
      <c r="J156" s="15" t="s">
        <v>357</v>
      </c>
      <c r="K156" s="15" t="s">
        <v>358</v>
      </c>
      <c r="L156" s="13" t="s">
        <v>359</v>
      </c>
      <c r="M156" s="15" t="s">
        <v>360</v>
      </c>
      <c r="N156" s="13" t="s">
        <v>98</v>
      </c>
      <c r="O156" s="15" t="s">
        <v>99</v>
      </c>
      <c r="P156" s="15" t="s">
        <v>100</v>
      </c>
      <c r="Q156" s="15" t="s">
        <v>208</v>
      </c>
      <c r="R156" s="13" t="s">
        <v>209</v>
      </c>
      <c r="S156" s="13" t="s">
        <v>103</v>
      </c>
      <c r="T156" s="13" t="s">
        <v>205</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20" x14ac:dyDescent="0.25">
      <c r="A157" s="13" t="s">
        <v>202</v>
      </c>
      <c r="B157" s="13" t="s">
        <v>153</v>
      </c>
      <c r="C157" s="14">
        <v>43152.5</v>
      </c>
      <c r="D157" s="13" t="s">
        <v>88</v>
      </c>
      <c r="E157" s="15" t="s">
        <v>89</v>
      </c>
      <c r="F157" s="13" t="s">
        <v>90</v>
      </c>
      <c r="G157" s="15" t="s">
        <v>91</v>
      </c>
      <c r="H157" s="13" t="s">
        <v>355</v>
      </c>
      <c r="I157" s="15" t="s">
        <v>356</v>
      </c>
      <c r="J157" s="15" t="s">
        <v>357</v>
      </c>
      <c r="K157" s="15" t="s">
        <v>358</v>
      </c>
      <c r="L157" s="13" t="s">
        <v>362</v>
      </c>
      <c r="M157" s="15" t="s">
        <v>363</v>
      </c>
      <c r="N157" s="13" t="s">
        <v>98</v>
      </c>
      <c r="O157" s="15" t="s">
        <v>170</v>
      </c>
      <c r="P157" s="15" t="s">
        <v>171</v>
      </c>
      <c r="Q157" s="15" t="s">
        <v>208</v>
      </c>
      <c r="R157" s="13" t="s">
        <v>209</v>
      </c>
      <c r="S157" s="13" t="s">
        <v>103</v>
      </c>
      <c r="T157" s="13" t="s">
        <v>205</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90" x14ac:dyDescent="0.25">
      <c r="A158" s="13" t="s">
        <v>202</v>
      </c>
      <c r="B158" s="13" t="s">
        <v>153</v>
      </c>
      <c r="C158" s="14">
        <v>43152.5</v>
      </c>
      <c r="D158" s="13" t="s">
        <v>88</v>
      </c>
      <c r="E158" s="15" t="s">
        <v>89</v>
      </c>
      <c r="F158" s="13" t="s">
        <v>90</v>
      </c>
      <c r="G158" s="15" t="s">
        <v>91</v>
      </c>
      <c r="H158" s="13" t="s">
        <v>355</v>
      </c>
      <c r="I158" s="15" t="s">
        <v>356</v>
      </c>
      <c r="J158" s="15" t="s">
        <v>357</v>
      </c>
      <c r="K158" s="15" t="s">
        <v>358</v>
      </c>
      <c r="L158" s="13" t="s">
        <v>364</v>
      </c>
      <c r="M158" s="15" t="s">
        <v>365</v>
      </c>
      <c r="N158" s="13" t="s">
        <v>188</v>
      </c>
      <c r="O158" s="15" t="s">
        <v>189</v>
      </c>
      <c r="P158" s="15" t="s">
        <v>190</v>
      </c>
      <c r="Q158" s="15" t="s">
        <v>208</v>
      </c>
      <c r="R158" s="13" t="s">
        <v>209</v>
      </c>
      <c r="S158" s="13" t="s">
        <v>103</v>
      </c>
      <c r="T158" s="13" t="s">
        <v>205</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120" x14ac:dyDescent="0.25">
      <c r="A159" s="13" t="s">
        <v>202</v>
      </c>
      <c r="B159" s="13" t="s">
        <v>153</v>
      </c>
      <c r="C159" s="14">
        <v>43152.5</v>
      </c>
      <c r="D159" s="13" t="s">
        <v>88</v>
      </c>
      <c r="E159" s="15" t="s">
        <v>89</v>
      </c>
      <c r="F159" s="13" t="s">
        <v>90</v>
      </c>
      <c r="G159" s="15" t="s">
        <v>91</v>
      </c>
      <c r="H159" s="13" t="s">
        <v>355</v>
      </c>
      <c r="I159" s="15" t="s">
        <v>356</v>
      </c>
      <c r="J159" s="15" t="s">
        <v>357</v>
      </c>
      <c r="K159" s="15" t="s">
        <v>358</v>
      </c>
      <c r="L159" s="13" t="s">
        <v>359</v>
      </c>
      <c r="M159" s="15" t="s">
        <v>360</v>
      </c>
      <c r="N159" s="13" t="s">
        <v>98</v>
      </c>
      <c r="O159" s="15" t="s">
        <v>99</v>
      </c>
      <c r="P159" s="15" t="s">
        <v>100</v>
      </c>
      <c r="Q159" s="15" t="s">
        <v>366</v>
      </c>
      <c r="R159" s="13" t="s">
        <v>367</v>
      </c>
      <c r="S159" s="13" t="s">
        <v>212</v>
      </c>
      <c r="T159" s="13" t="s">
        <v>205</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20" x14ac:dyDescent="0.25">
      <c r="A160" s="13" t="s">
        <v>202</v>
      </c>
      <c r="B160" s="13" t="s">
        <v>153</v>
      </c>
      <c r="C160" s="14">
        <v>43152.5</v>
      </c>
      <c r="D160" s="13" t="s">
        <v>88</v>
      </c>
      <c r="E160" s="15" t="s">
        <v>89</v>
      </c>
      <c r="F160" s="13" t="s">
        <v>90</v>
      </c>
      <c r="G160" s="15" t="s">
        <v>91</v>
      </c>
      <c r="H160" s="13" t="s">
        <v>355</v>
      </c>
      <c r="I160" s="15" t="s">
        <v>356</v>
      </c>
      <c r="J160" s="15" t="s">
        <v>357</v>
      </c>
      <c r="K160" s="15" t="s">
        <v>358</v>
      </c>
      <c r="L160" s="13" t="s">
        <v>362</v>
      </c>
      <c r="M160" s="15" t="s">
        <v>363</v>
      </c>
      <c r="N160" s="13" t="s">
        <v>98</v>
      </c>
      <c r="O160" s="15" t="s">
        <v>170</v>
      </c>
      <c r="P160" s="15" t="s">
        <v>171</v>
      </c>
      <c r="Q160" s="15" t="s">
        <v>366</v>
      </c>
      <c r="R160" s="13" t="s">
        <v>367</v>
      </c>
      <c r="S160" s="13" t="s">
        <v>212</v>
      </c>
      <c r="T160" s="13" t="s">
        <v>205</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90" x14ac:dyDescent="0.25">
      <c r="A161" s="13" t="s">
        <v>202</v>
      </c>
      <c r="B161" s="13" t="s">
        <v>153</v>
      </c>
      <c r="C161" s="14">
        <v>43152.5</v>
      </c>
      <c r="D161" s="13" t="s">
        <v>88</v>
      </c>
      <c r="E161" s="15" t="s">
        <v>89</v>
      </c>
      <c r="F161" s="13" t="s">
        <v>90</v>
      </c>
      <c r="G161" s="15" t="s">
        <v>91</v>
      </c>
      <c r="H161" s="13" t="s">
        <v>355</v>
      </c>
      <c r="I161" s="15" t="s">
        <v>356</v>
      </c>
      <c r="J161" s="15" t="s">
        <v>357</v>
      </c>
      <c r="K161" s="15" t="s">
        <v>358</v>
      </c>
      <c r="L161" s="13" t="s">
        <v>364</v>
      </c>
      <c r="M161" s="15" t="s">
        <v>365</v>
      </c>
      <c r="N161" s="13" t="s">
        <v>188</v>
      </c>
      <c r="O161" s="15" t="s">
        <v>189</v>
      </c>
      <c r="P161" s="15" t="s">
        <v>190</v>
      </c>
      <c r="Q161" s="15" t="s">
        <v>366</v>
      </c>
      <c r="R161" s="13" t="s">
        <v>367</v>
      </c>
      <c r="S161" s="13" t="s">
        <v>212</v>
      </c>
      <c r="T161" s="13" t="s">
        <v>205</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20" x14ac:dyDescent="0.25">
      <c r="A162" s="13" t="s">
        <v>202</v>
      </c>
      <c r="B162" s="13" t="s">
        <v>153</v>
      </c>
      <c r="C162" s="14">
        <v>43152.5</v>
      </c>
      <c r="D162" s="13" t="s">
        <v>88</v>
      </c>
      <c r="E162" s="15" t="s">
        <v>89</v>
      </c>
      <c r="F162" s="13" t="s">
        <v>90</v>
      </c>
      <c r="G162" s="15" t="s">
        <v>91</v>
      </c>
      <c r="H162" s="13" t="s">
        <v>355</v>
      </c>
      <c r="I162" s="15" t="s">
        <v>356</v>
      </c>
      <c r="J162" s="15" t="s">
        <v>357</v>
      </c>
      <c r="K162" s="15" t="s">
        <v>358</v>
      </c>
      <c r="L162" s="13" t="s">
        <v>359</v>
      </c>
      <c r="M162" s="15" t="s">
        <v>360</v>
      </c>
      <c r="N162" s="13" t="s">
        <v>98</v>
      </c>
      <c r="O162" s="15" t="s">
        <v>99</v>
      </c>
      <c r="P162" s="15" t="s">
        <v>100</v>
      </c>
      <c r="Q162" s="15" t="s">
        <v>219</v>
      </c>
      <c r="R162" s="13" t="s">
        <v>220</v>
      </c>
      <c r="S162" s="13" t="s">
        <v>212</v>
      </c>
      <c r="T162" s="13" t="s">
        <v>205</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120" x14ac:dyDescent="0.25">
      <c r="A163" s="13" t="s">
        <v>202</v>
      </c>
      <c r="B163" s="13" t="s">
        <v>153</v>
      </c>
      <c r="C163" s="14">
        <v>43152.5</v>
      </c>
      <c r="D163" s="13" t="s">
        <v>88</v>
      </c>
      <c r="E163" s="15" t="s">
        <v>89</v>
      </c>
      <c r="F163" s="13" t="s">
        <v>90</v>
      </c>
      <c r="G163" s="15" t="s">
        <v>91</v>
      </c>
      <c r="H163" s="13" t="s">
        <v>355</v>
      </c>
      <c r="I163" s="15" t="s">
        <v>356</v>
      </c>
      <c r="J163" s="15" t="s">
        <v>357</v>
      </c>
      <c r="K163" s="15" t="s">
        <v>358</v>
      </c>
      <c r="L163" s="13" t="s">
        <v>362</v>
      </c>
      <c r="M163" s="15" t="s">
        <v>363</v>
      </c>
      <c r="N163" s="13" t="s">
        <v>98</v>
      </c>
      <c r="O163" s="15" t="s">
        <v>170</v>
      </c>
      <c r="P163" s="15" t="s">
        <v>171</v>
      </c>
      <c r="Q163" s="15" t="s">
        <v>219</v>
      </c>
      <c r="R163" s="13" t="s">
        <v>220</v>
      </c>
      <c r="S163" s="13" t="s">
        <v>212</v>
      </c>
      <c r="T163" s="13" t="s">
        <v>205</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90" x14ac:dyDescent="0.25">
      <c r="A164" s="13" t="s">
        <v>202</v>
      </c>
      <c r="B164" s="13" t="s">
        <v>153</v>
      </c>
      <c r="C164" s="14">
        <v>43152.5</v>
      </c>
      <c r="D164" s="13" t="s">
        <v>88</v>
      </c>
      <c r="E164" s="15" t="s">
        <v>89</v>
      </c>
      <c r="F164" s="13" t="s">
        <v>90</v>
      </c>
      <c r="G164" s="15" t="s">
        <v>91</v>
      </c>
      <c r="H164" s="13" t="s">
        <v>355</v>
      </c>
      <c r="I164" s="15" t="s">
        <v>356</v>
      </c>
      <c r="J164" s="15" t="s">
        <v>357</v>
      </c>
      <c r="K164" s="15" t="s">
        <v>358</v>
      </c>
      <c r="L164" s="13" t="s">
        <v>364</v>
      </c>
      <c r="M164" s="15" t="s">
        <v>365</v>
      </c>
      <c r="N164" s="13" t="s">
        <v>188</v>
      </c>
      <c r="O164" s="15" t="s">
        <v>189</v>
      </c>
      <c r="P164" s="15" t="s">
        <v>190</v>
      </c>
      <c r="Q164" s="15" t="s">
        <v>219</v>
      </c>
      <c r="R164" s="13" t="s">
        <v>220</v>
      </c>
      <c r="S164" s="13" t="s">
        <v>212</v>
      </c>
      <c r="T164" s="13" t="s">
        <v>205</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20" x14ac:dyDescent="0.25">
      <c r="A165" s="13" t="s">
        <v>86</v>
      </c>
      <c r="B165" s="13" t="s">
        <v>87</v>
      </c>
      <c r="C165" s="14">
        <v>43850.552083333336</v>
      </c>
      <c r="D165" s="13" t="s">
        <v>88</v>
      </c>
      <c r="E165" s="15" t="s">
        <v>89</v>
      </c>
      <c r="F165" s="13" t="s">
        <v>90</v>
      </c>
      <c r="G165" s="15" t="s">
        <v>91</v>
      </c>
      <c r="H165" s="13" t="s">
        <v>368</v>
      </c>
      <c r="I165" s="15" t="s">
        <v>369</v>
      </c>
      <c r="J165" s="15" t="s">
        <v>370</v>
      </c>
      <c r="K165" s="15" t="s">
        <v>371</v>
      </c>
      <c r="L165" s="13" t="s">
        <v>372</v>
      </c>
      <c r="M165" s="15" t="s">
        <v>373</v>
      </c>
      <c r="N165" s="13" t="s">
        <v>98</v>
      </c>
      <c r="O165" s="15" t="s">
        <v>99</v>
      </c>
      <c r="P165" s="15" t="s">
        <v>100</v>
      </c>
      <c r="Q165" s="15" t="s">
        <v>101</v>
      </c>
      <c r="R165" s="13" t="s">
        <v>102</v>
      </c>
      <c r="S165" s="13" t="s">
        <v>103</v>
      </c>
      <c r="T165" s="13" t="s">
        <v>104</v>
      </c>
      <c r="U165" s="14">
        <v>40725</v>
      </c>
      <c r="V165" s="14">
        <v>43830</v>
      </c>
      <c r="W165" s="15"/>
      <c r="X165" s="15"/>
      <c r="Y165" s="13"/>
      <c r="Z165" s="15"/>
      <c r="AA165" s="15"/>
      <c r="AB165" s="15"/>
      <c r="AC165" s="13"/>
      <c r="AD165" s="15"/>
      <c r="AE165" s="15"/>
      <c r="AF165" s="15"/>
      <c r="AG165" s="13"/>
      <c r="AH165" s="15"/>
      <c r="AI165" s="15"/>
      <c r="AJ165" s="15"/>
      <c r="AK165" s="13"/>
      <c r="AL165" s="15"/>
      <c r="AM165" s="15"/>
      <c r="AN165" s="13"/>
      <c r="AO165" s="13"/>
    </row>
    <row r="166" spans="1:41" ht="120" x14ac:dyDescent="0.25">
      <c r="A166" s="13" t="s">
        <v>152</v>
      </c>
      <c r="B166" s="13" t="s">
        <v>153</v>
      </c>
      <c r="C166" s="14">
        <v>45807.452777777777</v>
      </c>
      <c r="D166" s="13" t="s">
        <v>88</v>
      </c>
      <c r="E166" s="15" t="s">
        <v>89</v>
      </c>
      <c r="F166" s="13" t="s">
        <v>90</v>
      </c>
      <c r="G166" s="15" t="s">
        <v>91</v>
      </c>
      <c r="H166" s="13" t="s">
        <v>368</v>
      </c>
      <c r="I166" s="15" t="s">
        <v>369</v>
      </c>
      <c r="J166" s="15" t="s">
        <v>370</v>
      </c>
      <c r="K166" s="15" t="s">
        <v>371</v>
      </c>
      <c r="L166" s="13" t="s">
        <v>372</v>
      </c>
      <c r="M166" s="15" t="s">
        <v>373</v>
      </c>
      <c r="N166" s="13" t="s">
        <v>98</v>
      </c>
      <c r="O166" s="15" t="s">
        <v>99</v>
      </c>
      <c r="P166" s="15" t="s">
        <v>100</v>
      </c>
      <c r="Q166" s="15" t="s">
        <v>101</v>
      </c>
      <c r="R166" s="13" t="s">
        <v>102</v>
      </c>
      <c r="S166" s="13" t="s">
        <v>103</v>
      </c>
      <c r="T166" s="13" t="s">
        <v>104</v>
      </c>
      <c r="U166" s="14">
        <v>43831</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120" x14ac:dyDescent="0.25">
      <c r="A167" s="13" t="s">
        <v>86</v>
      </c>
      <c r="B167" s="13" t="s">
        <v>87</v>
      </c>
      <c r="C167" s="14">
        <v>43850.552083333336</v>
      </c>
      <c r="D167" s="13" t="s">
        <v>88</v>
      </c>
      <c r="E167" s="15" t="s">
        <v>89</v>
      </c>
      <c r="F167" s="13" t="s">
        <v>90</v>
      </c>
      <c r="G167" s="15" t="s">
        <v>91</v>
      </c>
      <c r="H167" s="13" t="s">
        <v>368</v>
      </c>
      <c r="I167" s="15" t="s">
        <v>369</v>
      </c>
      <c r="J167" s="15" t="s">
        <v>370</v>
      </c>
      <c r="K167" s="15" t="s">
        <v>371</v>
      </c>
      <c r="L167" s="13" t="s">
        <v>374</v>
      </c>
      <c r="M167" s="15" t="s">
        <v>375</v>
      </c>
      <c r="N167" s="13" t="s">
        <v>98</v>
      </c>
      <c r="O167" s="15" t="s">
        <v>170</v>
      </c>
      <c r="P167" s="15" t="s">
        <v>171</v>
      </c>
      <c r="Q167" s="15" t="s">
        <v>101</v>
      </c>
      <c r="R167" s="13" t="s">
        <v>102</v>
      </c>
      <c r="S167" s="13" t="s">
        <v>103</v>
      </c>
      <c r="T167" s="13" t="s">
        <v>104</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05" x14ac:dyDescent="0.25">
      <c r="A168" s="13" t="s">
        <v>86</v>
      </c>
      <c r="B168" s="13" t="s">
        <v>87</v>
      </c>
      <c r="C168" s="14">
        <v>43850.552083333336</v>
      </c>
      <c r="D168" s="13" t="s">
        <v>88</v>
      </c>
      <c r="E168" s="15" t="s">
        <v>89</v>
      </c>
      <c r="F168" s="13" t="s">
        <v>90</v>
      </c>
      <c r="G168" s="15" t="s">
        <v>91</v>
      </c>
      <c r="H168" s="13" t="s">
        <v>368</v>
      </c>
      <c r="I168" s="15" t="s">
        <v>369</v>
      </c>
      <c r="J168" s="15" t="s">
        <v>370</v>
      </c>
      <c r="K168" s="15" t="s">
        <v>371</v>
      </c>
      <c r="L168" s="13" t="s">
        <v>376</v>
      </c>
      <c r="M168" s="15" t="s">
        <v>377</v>
      </c>
      <c r="N168" s="13" t="s">
        <v>188</v>
      </c>
      <c r="O168" s="15" t="s">
        <v>189</v>
      </c>
      <c r="P168" s="15" t="s">
        <v>190</v>
      </c>
      <c r="Q168" s="15" t="s">
        <v>101</v>
      </c>
      <c r="R168" s="13" t="s">
        <v>102</v>
      </c>
      <c r="S168" s="13" t="s">
        <v>103</v>
      </c>
      <c r="T168" s="13" t="s">
        <v>104</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20" x14ac:dyDescent="0.25">
      <c r="A169" s="13" t="s">
        <v>202</v>
      </c>
      <c r="B169" s="13" t="s">
        <v>153</v>
      </c>
      <c r="C169" s="14">
        <v>43152.5</v>
      </c>
      <c r="D169" s="13" t="s">
        <v>88</v>
      </c>
      <c r="E169" s="15" t="s">
        <v>89</v>
      </c>
      <c r="F169" s="13" t="s">
        <v>90</v>
      </c>
      <c r="G169" s="15" t="s">
        <v>91</v>
      </c>
      <c r="H169" s="13" t="s">
        <v>368</v>
      </c>
      <c r="I169" s="15" t="s">
        <v>369</v>
      </c>
      <c r="J169" s="15" t="s">
        <v>370</v>
      </c>
      <c r="K169" s="15" t="s">
        <v>371</v>
      </c>
      <c r="L169" s="13" t="s">
        <v>372</v>
      </c>
      <c r="M169" s="15" t="s">
        <v>373</v>
      </c>
      <c r="N169" s="13" t="s">
        <v>98</v>
      </c>
      <c r="O169" s="15" t="s">
        <v>99</v>
      </c>
      <c r="P169" s="15" t="s">
        <v>100</v>
      </c>
      <c r="Q169" s="15" t="s">
        <v>203</v>
      </c>
      <c r="R169" s="13" t="s">
        <v>204</v>
      </c>
      <c r="S169" s="13" t="s">
        <v>103</v>
      </c>
      <c r="T169" s="13" t="s">
        <v>205</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120" x14ac:dyDescent="0.25">
      <c r="A170" s="13" t="s">
        <v>202</v>
      </c>
      <c r="B170" s="13" t="s">
        <v>153</v>
      </c>
      <c r="C170" s="14">
        <v>43152.5</v>
      </c>
      <c r="D170" s="13" t="s">
        <v>88</v>
      </c>
      <c r="E170" s="15" t="s">
        <v>89</v>
      </c>
      <c r="F170" s="13" t="s">
        <v>90</v>
      </c>
      <c r="G170" s="15" t="s">
        <v>91</v>
      </c>
      <c r="H170" s="13" t="s">
        <v>368</v>
      </c>
      <c r="I170" s="15" t="s">
        <v>369</v>
      </c>
      <c r="J170" s="15" t="s">
        <v>370</v>
      </c>
      <c r="K170" s="15" t="s">
        <v>371</v>
      </c>
      <c r="L170" s="13" t="s">
        <v>374</v>
      </c>
      <c r="M170" s="15" t="s">
        <v>375</v>
      </c>
      <c r="N170" s="13" t="s">
        <v>98</v>
      </c>
      <c r="O170" s="15" t="s">
        <v>170</v>
      </c>
      <c r="P170" s="15" t="s">
        <v>171</v>
      </c>
      <c r="Q170" s="15" t="s">
        <v>203</v>
      </c>
      <c r="R170" s="13" t="s">
        <v>204</v>
      </c>
      <c r="S170" s="13" t="s">
        <v>103</v>
      </c>
      <c r="T170" s="13" t="s">
        <v>205</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05" x14ac:dyDescent="0.25">
      <c r="A171" s="13" t="s">
        <v>202</v>
      </c>
      <c r="B171" s="13" t="s">
        <v>153</v>
      </c>
      <c r="C171" s="14">
        <v>43152.5</v>
      </c>
      <c r="D171" s="13" t="s">
        <v>88</v>
      </c>
      <c r="E171" s="15" t="s">
        <v>89</v>
      </c>
      <c r="F171" s="13" t="s">
        <v>90</v>
      </c>
      <c r="G171" s="15" t="s">
        <v>91</v>
      </c>
      <c r="H171" s="13" t="s">
        <v>368</v>
      </c>
      <c r="I171" s="15" t="s">
        <v>369</v>
      </c>
      <c r="J171" s="15" t="s">
        <v>370</v>
      </c>
      <c r="K171" s="15" t="s">
        <v>371</v>
      </c>
      <c r="L171" s="13" t="s">
        <v>376</v>
      </c>
      <c r="M171" s="15" t="s">
        <v>377</v>
      </c>
      <c r="N171" s="13" t="s">
        <v>188</v>
      </c>
      <c r="O171" s="15" t="s">
        <v>189</v>
      </c>
      <c r="P171" s="15" t="s">
        <v>190</v>
      </c>
      <c r="Q171" s="15" t="s">
        <v>203</v>
      </c>
      <c r="R171" s="13" t="s">
        <v>204</v>
      </c>
      <c r="S171" s="13" t="s">
        <v>103</v>
      </c>
      <c r="T171" s="13" t="s">
        <v>205</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20" x14ac:dyDescent="0.25">
      <c r="A172" s="13" t="s">
        <v>202</v>
      </c>
      <c r="B172" s="13" t="s">
        <v>153</v>
      </c>
      <c r="C172" s="14">
        <v>43152.5</v>
      </c>
      <c r="D172" s="13" t="s">
        <v>88</v>
      </c>
      <c r="E172" s="15" t="s">
        <v>89</v>
      </c>
      <c r="F172" s="13" t="s">
        <v>90</v>
      </c>
      <c r="G172" s="15" t="s">
        <v>91</v>
      </c>
      <c r="H172" s="13" t="s">
        <v>368</v>
      </c>
      <c r="I172" s="15" t="s">
        <v>369</v>
      </c>
      <c r="J172" s="15" t="s">
        <v>370</v>
      </c>
      <c r="K172" s="15" t="s">
        <v>371</v>
      </c>
      <c r="L172" s="13" t="s">
        <v>372</v>
      </c>
      <c r="M172" s="15" t="s">
        <v>373</v>
      </c>
      <c r="N172" s="13" t="s">
        <v>98</v>
      </c>
      <c r="O172" s="15" t="s">
        <v>99</v>
      </c>
      <c r="P172" s="15" t="s">
        <v>100</v>
      </c>
      <c r="Q172" s="15" t="s">
        <v>206</v>
      </c>
      <c r="R172" s="13" t="s">
        <v>207</v>
      </c>
      <c r="S172" s="13" t="s">
        <v>103</v>
      </c>
      <c r="T172" s="13" t="s">
        <v>205</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20" x14ac:dyDescent="0.25">
      <c r="A173" s="13" t="s">
        <v>202</v>
      </c>
      <c r="B173" s="13" t="s">
        <v>153</v>
      </c>
      <c r="C173" s="14">
        <v>43152.5</v>
      </c>
      <c r="D173" s="13" t="s">
        <v>88</v>
      </c>
      <c r="E173" s="15" t="s">
        <v>89</v>
      </c>
      <c r="F173" s="13" t="s">
        <v>90</v>
      </c>
      <c r="G173" s="15" t="s">
        <v>91</v>
      </c>
      <c r="H173" s="13" t="s">
        <v>368</v>
      </c>
      <c r="I173" s="15" t="s">
        <v>369</v>
      </c>
      <c r="J173" s="15" t="s">
        <v>370</v>
      </c>
      <c r="K173" s="15" t="s">
        <v>371</v>
      </c>
      <c r="L173" s="13" t="s">
        <v>374</v>
      </c>
      <c r="M173" s="15" t="s">
        <v>375</v>
      </c>
      <c r="N173" s="13" t="s">
        <v>98</v>
      </c>
      <c r="O173" s="15" t="s">
        <v>170</v>
      </c>
      <c r="P173" s="15" t="s">
        <v>171</v>
      </c>
      <c r="Q173" s="15" t="s">
        <v>206</v>
      </c>
      <c r="R173" s="13" t="s">
        <v>207</v>
      </c>
      <c r="S173" s="13" t="s">
        <v>103</v>
      </c>
      <c r="T173" s="13" t="s">
        <v>205</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05" x14ac:dyDescent="0.25">
      <c r="A174" s="13" t="s">
        <v>202</v>
      </c>
      <c r="B174" s="13" t="s">
        <v>153</v>
      </c>
      <c r="C174" s="14">
        <v>43152.5</v>
      </c>
      <c r="D174" s="13" t="s">
        <v>88</v>
      </c>
      <c r="E174" s="15" t="s">
        <v>89</v>
      </c>
      <c r="F174" s="13" t="s">
        <v>90</v>
      </c>
      <c r="G174" s="15" t="s">
        <v>91</v>
      </c>
      <c r="H174" s="13" t="s">
        <v>368</v>
      </c>
      <c r="I174" s="15" t="s">
        <v>369</v>
      </c>
      <c r="J174" s="15" t="s">
        <v>370</v>
      </c>
      <c r="K174" s="15" t="s">
        <v>371</v>
      </c>
      <c r="L174" s="13" t="s">
        <v>376</v>
      </c>
      <c r="M174" s="15" t="s">
        <v>377</v>
      </c>
      <c r="N174" s="13" t="s">
        <v>188</v>
      </c>
      <c r="O174" s="15" t="s">
        <v>189</v>
      </c>
      <c r="P174" s="15" t="s">
        <v>190</v>
      </c>
      <c r="Q174" s="15" t="s">
        <v>206</v>
      </c>
      <c r="R174" s="13" t="s">
        <v>207</v>
      </c>
      <c r="S174" s="13" t="s">
        <v>103</v>
      </c>
      <c r="T174" s="13" t="s">
        <v>205</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120" x14ac:dyDescent="0.25">
      <c r="A175" s="13" t="s">
        <v>202</v>
      </c>
      <c r="B175" s="13" t="s">
        <v>153</v>
      </c>
      <c r="C175" s="14">
        <v>43152.5</v>
      </c>
      <c r="D175" s="13" t="s">
        <v>88</v>
      </c>
      <c r="E175" s="15" t="s">
        <v>89</v>
      </c>
      <c r="F175" s="13" t="s">
        <v>90</v>
      </c>
      <c r="G175" s="15" t="s">
        <v>91</v>
      </c>
      <c r="H175" s="13" t="s">
        <v>368</v>
      </c>
      <c r="I175" s="15" t="s">
        <v>369</v>
      </c>
      <c r="J175" s="15" t="s">
        <v>370</v>
      </c>
      <c r="K175" s="15" t="s">
        <v>371</v>
      </c>
      <c r="L175" s="13" t="s">
        <v>372</v>
      </c>
      <c r="M175" s="15" t="s">
        <v>373</v>
      </c>
      <c r="N175" s="13" t="s">
        <v>98</v>
      </c>
      <c r="O175" s="15" t="s">
        <v>99</v>
      </c>
      <c r="P175" s="15" t="s">
        <v>100</v>
      </c>
      <c r="Q175" s="15" t="s">
        <v>208</v>
      </c>
      <c r="R175" s="13" t="s">
        <v>209</v>
      </c>
      <c r="S175" s="13" t="s">
        <v>103</v>
      </c>
      <c r="T175" s="13" t="s">
        <v>205</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120" x14ac:dyDescent="0.25">
      <c r="A176" s="13" t="s">
        <v>202</v>
      </c>
      <c r="B176" s="13" t="s">
        <v>153</v>
      </c>
      <c r="C176" s="14">
        <v>43152.5</v>
      </c>
      <c r="D176" s="13" t="s">
        <v>88</v>
      </c>
      <c r="E176" s="15" t="s">
        <v>89</v>
      </c>
      <c r="F176" s="13" t="s">
        <v>90</v>
      </c>
      <c r="G176" s="15" t="s">
        <v>91</v>
      </c>
      <c r="H176" s="13" t="s">
        <v>368</v>
      </c>
      <c r="I176" s="15" t="s">
        <v>369</v>
      </c>
      <c r="J176" s="15" t="s">
        <v>370</v>
      </c>
      <c r="K176" s="15" t="s">
        <v>371</v>
      </c>
      <c r="L176" s="13" t="s">
        <v>374</v>
      </c>
      <c r="M176" s="15" t="s">
        <v>375</v>
      </c>
      <c r="N176" s="13" t="s">
        <v>98</v>
      </c>
      <c r="O176" s="15" t="s">
        <v>170</v>
      </c>
      <c r="P176" s="15" t="s">
        <v>171</v>
      </c>
      <c r="Q176" s="15" t="s">
        <v>208</v>
      </c>
      <c r="R176" s="13" t="s">
        <v>209</v>
      </c>
      <c r="S176" s="13" t="s">
        <v>103</v>
      </c>
      <c r="T176" s="13" t="s">
        <v>205</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05" x14ac:dyDescent="0.25">
      <c r="A177" s="13" t="s">
        <v>202</v>
      </c>
      <c r="B177" s="13" t="s">
        <v>153</v>
      </c>
      <c r="C177" s="14">
        <v>43152.5</v>
      </c>
      <c r="D177" s="13" t="s">
        <v>88</v>
      </c>
      <c r="E177" s="15" t="s">
        <v>89</v>
      </c>
      <c r="F177" s="13" t="s">
        <v>90</v>
      </c>
      <c r="G177" s="15" t="s">
        <v>91</v>
      </c>
      <c r="H177" s="13" t="s">
        <v>368</v>
      </c>
      <c r="I177" s="15" t="s">
        <v>369</v>
      </c>
      <c r="J177" s="15" t="s">
        <v>370</v>
      </c>
      <c r="K177" s="15" t="s">
        <v>371</v>
      </c>
      <c r="L177" s="13" t="s">
        <v>376</v>
      </c>
      <c r="M177" s="15" t="s">
        <v>377</v>
      </c>
      <c r="N177" s="13" t="s">
        <v>188</v>
      </c>
      <c r="O177" s="15" t="s">
        <v>189</v>
      </c>
      <c r="P177" s="15" t="s">
        <v>190</v>
      </c>
      <c r="Q177" s="15" t="s">
        <v>208</v>
      </c>
      <c r="R177" s="13" t="s">
        <v>209</v>
      </c>
      <c r="S177" s="13" t="s">
        <v>103</v>
      </c>
      <c r="T177" s="13" t="s">
        <v>205</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120" x14ac:dyDescent="0.25">
      <c r="A178" s="13" t="s">
        <v>202</v>
      </c>
      <c r="B178" s="13" t="s">
        <v>153</v>
      </c>
      <c r="C178" s="14">
        <v>43152.5</v>
      </c>
      <c r="D178" s="13" t="s">
        <v>88</v>
      </c>
      <c r="E178" s="15" t="s">
        <v>89</v>
      </c>
      <c r="F178" s="13" t="s">
        <v>90</v>
      </c>
      <c r="G178" s="15" t="s">
        <v>91</v>
      </c>
      <c r="H178" s="13" t="s">
        <v>368</v>
      </c>
      <c r="I178" s="15" t="s">
        <v>369</v>
      </c>
      <c r="J178" s="15" t="s">
        <v>370</v>
      </c>
      <c r="K178" s="15" t="s">
        <v>371</v>
      </c>
      <c r="L178" s="13" t="s">
        <v>372</v>
      </c>
      <c r="M178" s="15" t="s">
        <v>373</v>
      </c>
      <c r="N178" s="13" t="s">
        <v>98</v>
      </c>
      <c r="O178" s="15" t="s">
        <v>99</v>
      </c>
      <c r="P178" s="15" t="s">
        <v>100</v>
      </c>
      <c r="Q178" s="15" t="s">
        <v>366</v>
      </c>
      <c r="R178" s="13" t="s">
        <v>367</v>
      </c>
      <c r="S178" s="13" t="s">
        <v>212</v>
      </c>
      <c r="T178" s="13" t="s">
        <v>205</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120" x14ac:dyDescent="0.25">
      <c r="A179" s="13" t="s">
        <v>202</v>
      </c>
      <c r="B179" s="13" t="s">
        <v>153</v>
      </c>
      <c r="C179" s="14">
        <v>43152.5</v>
      </c>
      <c r="D179" s="13" t="s">
        <v>88</v>
      </c>
      <c r="E179" s="15" t="s">
        <v>89</v>
      </c>
      <c r="F179" s="13" t="s">
        <v>90</v>
      </c>
      <c r="G179" s="15" t="s">
        <v>91</v>
      </c>
      <c r="H179" s="13" t="s">
        <v>368</v>
      </c>
      <c r="I179" s="15" t="s">
        <v>369</v>
      </c>
      <c r="J179" s="15" t="s">
        <v>370</v>
      </c>
      <c r="K179" s="15" t="s">
        <v>371</v>
      </c>
      <c r="L179" s="13" t="s">
        <v>374</v>
      </c>
      <c r="M179" s="15" t="s">
        <v>375</v>
      </c>
      <c r="N179" s="13" t="s">
        <v>98</v>
      </c>
      <c r="O179" s="15" t="s">
        <v>170</v>
      </c>
      <c r="P179" s="15" t="s">
        <v>171</v>
      </c>
      <c r="Q179" s="15" t="s">
        <v>366</v>
      </c>
      <c r="R179" s="13" t="s">
        <v>367</v>
      </c>
      <c r="S179" s="13" t="s">
        <v>212</v>
      </c>
      <c r="T179" s="13" t="s">
        <v>205</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105" x14ac:dyDescent="0.25">
      <c r="A180" s="13" t="s">
        <v>202</v>
      </c>
      <c r="B180" s="13" t="s">
        <v>153</v>
      </c>
      <c r="C180" s="14">
        <v>43152.5</v>
      </c>
      <c r="D180" s="13" t="s">
        <v>88</v>
      </c>
      <c r="E180" s="15" t="s">
        <v>89</v>
      </c>
      <c r="F180" s="13" t="s">
        <v>90</v>
      </c>
      <c r="G180" s="15" t="s">
        <v>91</v>
      </c>
      <c r="H180" s="13" t="s">
        <v>368</v>
      </c>
      <c r="I180" s="15" t="s">
        <v>369</v>
      </c>
      <c r="J180" s="15" t="s">
        <v>370</v>
      </c>
      <c r="K180" s="15" t="s">
        <v>371</v>
      </c>
      <c r="L180" s="13" t="s">
        <v>376</v>
      </c>
      <c r="M180" s="15" t="s">
        <v>377</v>
      </c>
      <c r="N180" s="13" t="s">
        <v>188</v>
      </c>
      <c r="O180" s="15" t="s">
        <v>189</v>
      </c>
      <c r="P180" s="15" t="s">
        <v>190</v>
      </c>
      <c r="Q180" s="15" t="s">
        <v>366</v>
      </c>
      <c r="R180" s="13" t="s">
        <v>367</v>
      </c>
      <c r="S180" s="13" t="s">
        <v>212</v>
      </c>
      <c r="T180" s="13" t="s">
        <v>205</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120" x14ac:dyDescent="0.25">
      <c r="A181" s="13" t="s">
        <v>202</v>
      </c>
      <c r="B181" s="13" t="s">
        <v>153</v>
      </c>
      <c r="C181" s="14">
        <v>43152.5</v>
      </c>
      <c r="D181" s="13" t="s">
        <v>88</v>
      </c>
      <c r="E181" s="15" t="s">
        <v>89</v>
      </c>
      <c r="F181" s="13" t="s">
        <v>90</v>
      </c>
      <c r="G181" s="15" t="s">
        <v>91</v>
      </c>
      <c r="H181" s="13" t="s">
        <v>368</v>
      </c>
      <c r="I181" s="15" t="s">
        <v>369</v>
      </c>
      <c r="J181" s="15" t="s">
        <v>370</v>
      </c>
      <c r="K181" s="15" t="s">
        <v>371</v>
      </c>
      <c r="L181" s="13" t="s">
        <v>372</v>
      </c>
      <c r="M181" s="15" t="s">
        <v>373</v>
      </c>
      <c r="N181" s="13" t="s">
        <v>98</v>
      </c>
      <c r="O181" s="15" t="s">
        <v>99</v>
      </c>
      <c r="P181" s="15" t="s">
        <v>100</v>
      </c>
      <c r="Q181" s="15" t="s">
        <v>219</v>
      </c>
      <c r="R181" s="13" t="s">
        <v>220</v>
      </c>
      <c r="S181" s="13" t="s">
        <v>212</v>
      </c>
      <c r="T181" s="13" t="s">
        <v>205</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120" x14ac:dyDescent="0.25">
      <c r="A182" s="13" t="s">
        <v>202</v>
      </c>
      <c r="B182" s="13" t="s">
        <v>153</v>
      </c>
      <c r="C182" s="14">
        <v>43152.5</v>
      </c>
      <c r="D182" s="13" t="s">
        <v>88</v>
      </c>
      <c r="E182" s="15" t="s">
        <v>89</v>
      </c>
      <c r="F182" s="13" t="s">
        <v>90</v>
      </c>
      <c r="G182" s="15" t="s">
        <v>91</v>
      </c>
      <c r="H182" s="13" t="s">
        <v>368</v>
      </c>
      <c r="I182" s="15" t="s">
        <v>369</v>
      </c>
      <c r="J182" s="15" t="s">
        <v>370</v>
      </c>
      <c r="K182" s="15" t="s">
        <v>371</v>
      </c>
      <c r="L182" s="13" t="s">
        <v>374</v>
      </c>
      <c r="M182" s="15" t="s">
        <v>375</v>
      </c>
      <c r="N182" s="13" t="s">
        <v>98</v>
      </c>
      <c r="O182" s="15" t="s">
        <v>170</v>
      </c>
      <c r="P182" s="15" t="s">
        <v>171</v>
      </c>
      <c r="Q182" s="15" t="s">
        <v>219</v>
      </c>
      <c r="R182" s="13" t="s">
        <v>220</v>
      </c>
      <c r="S182" s="13" t="s">
        <v>212</v>
      </c>
      <c r="T182" s="13" t="s">
        <v>205</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105" x14ac:dyDescent="0.25">
      <c r="A183" s="13" t="s">
        <v>202</v>
      </c>
      <c r="B183" s="13" t="s">
        <v>153</v>
      </c>
      <c r="C183" s="14">
        <v>43152.5</v>
      </c>
      <c r="D183" s="13" t="s">
        <v>88</v>
      </c>
      <c r="E183" s="15" t="s">
        <v>89</v>
      </c>
      <c r="F183" s="13" t="s">
        <v>90</v>
      </c>
      <c r="G183" s="15" t="s">
        <v>91</v>
      </c>
      <c r="H183" s="13" t="s">
        <v>368</v>
      </c>
      <c r="I183" s="15" t="s">
        <v>369</v>
      </c>
      <c r="J183" s="15" t="s">
        <v>370</v>
      </c>
      <c r="K183" s="15" t="s">
        <v>371</v>
      </c>
      <c r="L183" s="13" t="s">
        <v>376</v>
      </c>
      <c r="M183" s="15" t="s">
        <v>377</v>
      </c>
      <c r="N183" s="13" t="s">
        <v>188</v>
      </c>
      <c r="O183" s="15" t="s">
        <v>189</v>
      </c>
      <c r="P183" s="15" t="s">
        <v>190</v>
      </c>
      <c r="Q183" s="15" t="s">
        <v>219</v>
      </c>
      <c r="R183" s="13" t="s">
        <v>220</v>
      </c>
      <c r="S183" s="13" t="s">
        <v>212</v>
      </c>
      <c r="T183" s="13" t="s">
        <v>205</v>
      </c>
      <c r="U183" s="14">
        <v>40725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135" x14ac:dyDescent="0.25">
      <c r="A184" s="13" t="s">
        <v>86</v>
      </c>
      <c r="B184" s="13" t="s">
        <v>87</v>
      </c>
      <c r="C184" s="14">
        <v>43850.552083333336</v>
      </c>
      <c r="D184" s="13" t="s">
        <v>88</v>
      </c>
      <c r="E184" s="15" t="s">
        <v>89</v>
      </c>
      <c r="F184" s="13" t="s">
        <v>90</v>
      </c>
      <c r="G184" s="15" t="s">
        <v>91</v>
      </c>
      <c r="H184" s="13" t="s">
        <v>378</v>
      </c>
      <c r="I184" s="15" t="s">
        <v>379</v>
      </c>
      <c r="J184" s="15" t="s">
        <v>380</v>
      </c>
      <c r="K184" s="15" t="s">
        <v>381</v>
      </c>
      <c r="L184" s="13" t="s">
        <v>382</v>
      </c>
      <c r="M184" s="15" t="s">
        <v>383</v>
      </c>
      <c r="N184" s="13" t="s">
        <v>98</v>
      </c>
      <c r="O184" s="15" t="s">
        <v>99</v>
      </c>
      <c r="P184" s="15" t="s">
        <v>100</v>
      </c>
      <c r="Q184" s="15" t="s">
        <v>101</v>
      </c>
      <c r="R184" s="13" t="s">
        <v>102</v>
      </c>
      <c r="S184" s="13" t="s">
        <v>103</v>
      </c>
      <c r="T184" s="13" t="s">
        <v>104</v>
      </c>
      <c r="U184" s="14">
        <v>40725</v>
      </c>
      <c r="V184" s="14">
        <v>43830</v>
      </c>
      <c r="W184" s="15"/>
      <c r="X184" s="15"/>
      <c r="Y184" s="13"/>
      <c r="Z184" s="15"/>
      <c r="AA184" s="15"/>
      <c r="AB184" s="15"/>
      <c r="AC184" s="13"/>
      <c r="AD184" s="15"/>
      <c r="AE184" s="15"/>
      <c r="AF184" s="15"/>
      <c r="AG184" s="13"/>
      <c r="AH184" s="15"/>
      <c r="AI184" s="15"/>
      <c r="AJ184" s="15"/>
      <c r="AK184" s="13"/>
      <c r="AL184" s="15"/>
      <c r="AM184" s="15"/>
      <c r="AN184" s="13"/>
      <c r="AO184" s="13"/>
    </row>
    <row r="185" spans="1:41" ht="135" x14ac:dyDescent="0.25">
      <c r="A185" s="13" t="s">
        <v>152</v>
      </c>
      <c r="B185" s="13" t="s">
        <v>153</v>
      </c>
      <c r="C185" s="14">
        <v>45807.453472222223</v>
      </c>
      <c r="D185" s="13" t="s">
        <v>88</v>
      </c>
      <c r="E185" s="15" t="s">
        <v>89</v>
      </c>
      <c r="F185" s="13" t="s">
        <v>90</v>
      </c>
      <c r="G185" s="15" t="s">
        <v>91</v>
      </c>
      <c r="H185" s="13" t="s">
        <v>378</v>
      </c>
      <c r="I185" s="15" t="s">
        <v>379</v>
      </c>
      <c r="J185" s="15" t="s">
        <v>380</v>
      </c>
      <c r="K185" s="15" t="s">
        <v>381</v>
      </c>
      <c r="L185" s="13" t="s">
        <v>382</v>
      </c>
      <c r="M185" s="15" t="s">
        <v>383</v>
      </c>
      <c r="N185" s="13" t="s">
        <v>98</v>
      </c>
      <c r="O185" s="15" t="s">
        <v>99</v>
      </c>
      <c r="P185" s="15" t="s">
        <v>100</v>
      </c>
      <c r="Q185" s="15" t="s">
        <v>101</v>
      </c>
      <c r="R185" s="13" t="s">
        <v>102</v>
      </c>
      <c r="S185" s="13" t="s">
        <v>103</v>
      </c>
      <c r="T185" s="13" t="s">
        <v>104</v>
      </c>
      <c r="U185" s="14">
        <v>43831</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35" x14ac:dyDescent="0.25">
      <c r="A186" s="13" t="s">
        <v>86</v>
      </c>
      <c r="B186" s="13" t="s">
        <v>87</v>
      </c>
      <c r="C186" s="14">
        <v>43850.552083333336</v>
      </c>
      <c r="D186" s="13" t="s">
        <v>88</v>
      </c>
      <c r="E186" s="15" t="s">
        <v>89</v>
      </c>
      <c r="F186" s="13" t="s">
        <v>90</v>
      </c>
      <c r="G186" s="15" t="s">
        <v>91</v>
      </c>
      <c r="H186" s="13" t="s">
        <v>378</v>
      </c>
      <c r="I186" s="15" t="s">
        <v>379</v>
      </c>
      <c r="J186" s="15" t="s">
        <v>380</v>
      </c>
      <c r="K186" s="15" t="s">
        <v>381</v>
      </c>
      <c r="L186" s="13" t="s">
        <v>384</v>
      </c>
      <c r="M186" s="15" t="s">
        <v>385</v>
      </c>
      <c r="N186" s="13" t="s">
        <v>98</v>
      </c>
      <c r="O186" s="15" t="s">
        <v>170</v>
      </c>
      <c r="P186" s="15" t="s">
        <v>171</v>
      </c>
      <c r="Q186" s="15" t="s">
        <v>101</v>
      </c>
      <c r="R186" s="13" t="s">
        <v>102</v>
      </c>
      <c r="S186" s="13" t="s">
        <v>103</v>
      </c>
      <c r="T186" s="13" t="s">
        <v>104</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135" x14ac:dyDescent="0.25">
      <c r="A187" s="13" t="s">
        <v>86</v>
      </c>
      <c r="B187" s="13" t="s">
        <v>87</v>
      </c>
      <c r="C187" s="14">
        <v>43850.552083333336</v>
      </c>
      <c r="D187" s="13" t="s">
        <v>88</v>
      </c>
      <c r="E187" s="15" t="s">
        <v>89</v>
      </c>
      <c r="F187" s="13" t="s">
        <v>90</v>
      </c>
      <c r="G187" s="15" t="s">
        <v>91</v>
      </c>
      <c r="H187" s="13" t="s">
        <v>378</v>
      </c>
      <c r="I187" s="15" t="s">
        <v>379</v>
      </c>
      <c r="J187" s="15" t="s">
        <v>380</v>
      </c>
      <c r="K187" s="15" t="s">
        <v>381</v>
      </c>
      <c r="L187" s="13" t="s">
        <v>386</v>
      </c>
      <c r="M187" s="15" t="s">
        <v>387</v>
      </c>
      <c r="N187" s="13" t="s">
        <v>188</v>
      </c>
      <c r="O187" s="15" t="s">
        <v>189</v>
      </c>
      <c r="P187" s="15" t="s">
        <v>190</v>
      </c>
      <c r="Q187" s="15" t="s">
        <v>101</v>
      </c>
      <c r="R187" s="13" t="s">
        <v>102</v>
      </c>
      <c r="S187" s="13" t="s">
        <v>103</v>
      </c>
      <c r="T187" s="13" t="s">
        <v>104</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135" x14ac:dyDescent="0.25">
      <c r="A188" s="13" t="s">
        <v>202</v>
      </c>
      <c r="B188" s="13" t="s">
        <v>153</v>
      </c>
      <c r="C188" s="14">
        <v>43152.5</v>
      </c>
      <c r="D188" s="13" t="s">
        <v>88</v>
      </c>
      <c r="E188" s="15" t="s">
        <v>89</v>
      </c>
      <c r="F188" s="13" t="s">
        <v>90</v>
      </c>
      <c r="G188" s="15" t="s">
        <v>91</v>
      </c>
      <c r="H188" s="13" t="s">
        <v>378</v>
      </c>
      <c r="I188" s="15" t="s">
        <v>379</v>
      </c>
      <c r="J188" s="15" t="s">
        <v>380</v>
      </c>
      <c r="K188" s="15" t="s">
        <v>381</v>
      </c>
      <c r="L188" s="13" t="s">
        <v>382</v>
      </c>
      <c r="M188" s="15" t="s">
        <v>383</v>
      </c>
      <c r="N188" s="13" t="s">
        <v>98</v>
      </c>
      <c r="O188" s="15" t="s">
        <v>99</v>
      </c>
      <c r="P188" s="15" t="s">
        <v>100</v>
      </c>
      <c r="Q188" s="15" t="s">
        <v>203</v>
      </c>
      <c r="R188" s="13" t="s">
        <v>204</v>
      </c>
      <c r="S188" s="13" t="s">
        <v>103</v>
      </c>
      <c r="T188" s="13" t="s">
        <v>205</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135" x14ac:dyDescent="0.25">
      <c r="A189" s="13" t="s">
        <v>202</v>
      </c>
      <c r="B189" s="13" t="s">
        <v>153</v>
      </c>
      <c r="C189" s="14">
        <v>43152.5</v>
      </c>
      <c r="D189" s="13" t="s">
        <v>88</v>
      </c>
      <c r="E189" s="15" t="s">
        <v>89</v>
      </c>
      <c r="F189" s="13" t="s">
        <v>90</v>
      </c>
      <c r="G189" s="15" t="s">
        <v>91</v>
      </c>
      <c r="H189" s="13" t="s">
        <v>378</v>
      </c>
      <c r="I189" s="15" t="s">
        <v>379</v>
      </c>
      <c r="J189" s="15" t="s">
        <v>380</v>
      </c>
      <c r="K189" s="15" t="s">
        <v>381</v>
      </c>
      <c r="L189" s="13" t="s">
        <v>384</v>
      </c>
      <c r="M189" s="15" t="s">
        <v>385</v>
      </c>
      <c r="N189" s="13" t="s">
        <v>98</v>
      </c>
      <c r="O189" s="15" t="s">
        <v>170</v>
      </c>
      <c r="P189" s="15" t="s">
        <v>171</v>
      </c>
      <c r="Q189" s="15" t="s">
        <v>203</v>
      </c>
      <c r="R189" s="13" t="s">
        <v>204</v>
      </c>
      <c r="S189" s="13" t="s">
        <v>103</v>
      </c>
      <c r="T189" s="13" t="s">
        <v>205</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135" x14ac:dyDescent="0.25">
      <c r="A190" s="13" t="s">
        <v>202</v>
      </c>
      <c r="B190" s="13" t="s">
        <v>153</v>
      </c>
      <c r="C190" s="14">
        <v>43152.5</v>
      </c>
      <c r="D190" s="13" t="s">
        <v>88</v>
      </c>
      <c r="E190" s="15" t="s">
        <v>89</v>
      </c>
      <c r="F190" s="13" t="s">
        <v>90</v>
      </c>
      <c r="G190" s="15" t="s">
        <v>91</v>
      </c>
      <c r="H190" s="13" t="s">
        <v>378</v>
      </c>
      <c r="I190" s="15" t="s">
        <v>379</v>
      </c>
      <c r="J190" s="15" t="s">
        <v>380</v>
      </c>
      <c r="K190" s="15" t="s">
        <v>381</v>
      </c>
      <c r="L190" s="13" t="s">
        <v>386</v>
      </c>
      <c r="M190" s="15" t="s">
        <v>387</v>
      </c>
      <c r="N190" s="13" t="s">
        <v>188</v>
      </c>
      <c r="O190" s="15" t="s">
        <v>189</v>
      </c>
      <c r="P190" s="15" t="s">
        <v>190</v>
      </c>
      <c r="Q190" s="15" t="s">
        <v>203</v>
      </c>
      <c r="R190" s="13" t="s">
        <v>204</v>
      </c>
      <c r="S190" s="13" t="s">
        <v>103</v>
      </c>
      <c r="T190" s="13" t="s">
        <v>205</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135" x14ac:dyDescent="0.25">
      <c r="A191" s="13" t="s">
        <v>202</v>
      </c>
      <c r="B191" s="13" t="s">
        <v>153</v>
      </c>
      <c r="C191" s="14">
        <v>43152.5</v>
      </c>
      <c r="D191" s="13" t="s">
        <v>88</v>
      </c>
      <c r="E191" s="15" t="s">
        <v>89</v>
      </c>
      <c r="F191" s="13" t="s">
        <v>90</v>
      </c>
      <c r="G191" s="15" t="s">
        <v>91</v>
      </c>
      <c r="H191" s="13" t="s">
        <v>378</v>
      </c>
      <c r="I191" s="15" t="s">
        <v>379</v>
      </c>
      <c r="J191" s="15" t="s">
        <v>380</v>
      </c>
      <c r="K191" s="15" t="s">
        <v>381</v>
      </c>
      <c r="L191" s="13" t="s">
        <v>382</v>
      </c>
      <c r="M191" s="15" t="s">
        <v>383</v>
      </c>
      <c r="N191" s="13" t="s">
        <v>98</v>
      </c>
      <c r="O191" s="15" t="s">
        <v>99</v>
      </c>
      <c r="P191" s="15" t="s">
        <v>100</v>
      </c>
      <c r="Q191" s="15" t="s">
        <v>206</v>
      </c>
      <c r="R191" s="13" t="s">
        <v>207</v>
      </c>
      <c r="S191" s="13" t="s">
        <v>103</v>
      </c>
      <c r="T191" s="13" t="s">
        <v>205</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135" x14ac:dyDescent="0.25">
      <c r="A192" s="13" t="s">
        <v>202</v>
      </c>
      <c r="B192" s="13" t="s">
        <v>153</v>
      </c>
      <c r="C192" s="14">
        <v>43152.5</v>
      </c>
      <c r="D192" s="13" t="s">
        <v>88</v>
      </c>
      <c r="E192" s="15" t="s">
        <v>89</v>
      </c>
      <c r="F192" s="13" t="s">
        <v>90</v>
      </c>
      <c r="G192" s="15" t="s">
        <v>91</v>
      </c>
      <c r="H192" s="13" t="s">
        <v>378</v>
      </c>
      <c r="I192" s="15" t="s">
        <v>379</v>
      </c>
      <c r="J192" s="15" t="s">
        <v>380</v>
      </c>
      <c r="K192" s="15" t="s">
        <v>381</v>
      </c>
      <c r="L192" s="13" t="s">
        <v>384</v>
      </c>
      <c r="M192" s="15" t="s">
        <v>385</v>
      </c>
      <c r="N192" s="13" t="s">
        <v>98</v>
      </c>
      <c r="O192" s="15" t="s">
        <v>170</v>
      </c>
      <c r="P192" s="15" t="s">
        <v>171</v>
      </c>
      <c r="Q192" s="15" t="s">
        <v>206</v>
      </c>
      <c r="R192" s="13" t="s">
        <v>207</v>
      </c>
      <c r="S192" s="13" t="s">
        <v>103</v>
      </c>
      <c r="T192" s="13" t="s">
        <v>205</v>
      </c>
      <c r="U192" s="14">
        <v>40725</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135" x14ac:dyDescent="0.25">
      <c r="A193" s="13" t="s">
        <v>202</v>
      </c>
      <c r="B193" s="13" t="s">
        <v>153</v>
      </c>
      <c r="C193" s="14">
        <v>43152.5</v>
      </c>
      <c r="D193" s="13" t="s">
        <v>88</v>
      </c>
      <c r="E193" s="15" t="s">
        <v>89</v>
      </c>
      <c r="F193" s="13" t="s">
        <v>90</v>
      </c>
      <c r="G193" s="15" t="s">
        <v>91</v>
      </c>
      <c r="H193" s="13" t="s">
        <v>378</v>
      </c>
      <c r="I193" s="15" t="s">
        <v>379</v>
      </c>
      <c r="J193" s="15" t="s">
        <v>380</v>
      </c>
      <c r="K193" s="15" t="s">
        <v>381</v>
      </c>
      <c r="L193" s="13" t="s">
        <v>386</v>
      </c>
      <c r="M193" s="15" t="s">
        <v>387</v>
      </c>
      <c r="N193" s="13" t="s">
        <v>188</v>
      </c>
      <c r="O193" s="15" t="s">
        <v>189</v>
      </c>
      <c r="P193" s="15" t="s">
        <v>190</v>
      </c>
      <c r="Q193" s="15" t="s">
        <v>206</v>
      </c>
      <c r="R193" s="13" t="s">
        <v>207</v>
      </c>
      <c r="S193" s="13" t="s">
        <v>103</v>
      </c>
      <c r="T193" s="13" t="s">
        <v>205</v>
      </c>
      <c r="U193" s="14">
        <v>40725</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135" x14ac:dyDescent="0.25">
      <c r="A194" s="13" t="s">
        <v>202</v>
      </c>
      <c r="B194" s="13" t="s">
        <v>153</v>
      </c>
      <c r="C194" s="14">
        <v>43152.5</v>
      </c>
      <c r="D194" s="13" t="s">
        <v>88</v>
      </c>
      <c r="E194" s="15" t="s">
        <v>89</v>
      </c>
      <c r="F194" s="13" t="s">
        <v>90</v>
      </c>
      <c r="G194" s="15" t="s">
        <v>91</v>
      </c>
      <c r="H194" s="13" t="s">
        <v>378</v>
      </c>
      <c r="I194" s="15" t="s">
        <v>379</v>
      </c>
      <c r="J194" s="15" t="s">
        <v>380</v>
      </c>
      <c r="K194" s="15" t="s">
        <v>381</v>
      </c>
      <c r="L194" s="13" t="s">
        <v>382</v>
      </c>
      <c r="M194" s="15" t="s">
        <v>383</v>
      </c>
      <c r="N194" s="13" t="s">
        <v>98</v>
      </c>
      <c r="O194" s="15" t="s">
        <v>99</v>
      </c>
      <c r="P194" s="15" t="s">
        <v>100</v>
      </c>
      <c r="Q194" s="15" t="s">
        <v>208</v>
      </c>
      <c r="R194" s="13" t="s">
        <v>209</v>
      </c>
      <c r="S194" s="13" t="s">
        <v>103</v>
      </c>
      <c r="T194" s="13" t="s">
        <v>205</v>
      </c>
      <c r="U194" s="14">
        <v>40725</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135" x14ac:dyDescent="0.25">
      <c r="A195" s="13" t="s">
        <v>202</v>
      </c>
      <c r="B195" s="13" t="s">
        <v>153</v>
      </c>
      <c r="C195" s="14">
        <v>43152.5</v>
      </c>
      <c r="D195" s="13" t="s">
        <v>88</v>
      </c>
      <c r="E195" s="15" t="s">
        <v>89</v>
      </c>
      <c r="F195" s="13" t="s">
        <v>90</v>
      </c>
      <c r="G195" s="15" t="s">
        <v>91</v>
      </c>
      <c r="H195" s="13" t="s">
        <v>378</v>
      </c>
      <c r="I195" s="15" t="s">
        <v>379</v>
      </c>
      <c r="J195" s="15" t="s">
        <v>380</v>
      </c>
      <c r="K195" s="15" t="s">
        <v>381</v>
      </c>
      <c r="L195" s="13" t="s">
        <v>384</v>
      </c>
      <c r="M195" s="15" t="s">
        <v>385</v>
      </c>
      <c r="N195" s="13" t="s">
        <v>98</v>
      </c>
      <c r="O195" s="15" t="s">
        <v>170</v>
      </c>
      <c r="P195" s="15" t="s">
        <v>171</v>
      </c>
      <c r="Q195" s="15" t="s">
        <v>208</v>
      </c>
      <c r="R195" s="13" t="s">
        <v>209</v>
      </c>
      <c r="S195" s="13" t="s">
        <v>103</v>
      </c>
      <c r="T195" s="13" t="s">
        <v>205</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135" x14ac:dyDescent="0.25">
      <c r="A196" s="13" t="s">
        <v>202</v>
      </c>
      <c r="B196" s="13" t="s">
        <v>153</v>
      </c>
      <c r="C196" s="14">
        <v>43152.5</v>
      </c>
      <c r="D196" s="13" t="s">
        <v>88</v>
      </c>
      <c r="E196" s="15" t="s">
        <v>89</v>
      </c>
      <c r="F196" s="13" t="s">
        <v>90</v>
      </c>
      <c r="G196" s="15" t="s">
        <v>91</v>
      </c>
      <c r="H196" s="13" t="s">
        <v>378</v>
      </c>
      <c r="I196" s="15" t="s">
        <v>379</v>
      </c>
      <c r="J196" s="15" t="s">
        <v>380</v>
      </c>
      <c r="K196" s="15" t="s">
        <v>381</v>
      </c>
      <c r="L196" s="13" t="s">
        <v>386</v>
      </c>
      <c r="M196" s="15" t="s">
        <v>387</v>
      </c>
      <c r="N196" s="13" t="s">
        <v>188</v>
      </c>
      <c r="O196" s="15" t="s">
        <v>189</v>
      </c>
      <c r="P196" s="15" t="s">
        <v>190</v>
      </c>
      <c r="Q196" s="15" t="s">
        <v>208</v>
      </c>
      <c r="R196" s="13" t="s">
        <v>209</v>
      </c>
      <c r="S196" s="13" t="s">
        <v>103</v>
      </c>
      <c r="T196" s="13" t="s">
        <v>205</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35" x14ac:dyDescent="0.25">
      <c r="A197" s="13" t="s">
        <v>202</v>
      </c>
      <c r="B197" s="13" t="s">
        <v>153</v>
      </c>
      <c r="C197" s="14">
        <v>43152.5</v>
      </c>
      <c r="D197" s="13" t="s">
        <v>88</v>
      </c>
      <c r="E197" s="15" t="s">
        <v>89</v>
      </c>
      <c r="F197" s="13" t="s">
        <v>90</v>
      </c>
      <c r="G197" s="15" t="s">
        <v>91</v>
      </c>
      <c r="H197" s="13" t="s">
        <v>378</v>
      </c>
      <c r="I197" s="15" t="s">
        <v>379</v>
      </c>
      <c r="J197" s="15" t="s">
        <v>380</v>
      </c>
      <c r="K197" s="15" t="s">
        <v>381</v>
      </c>
      <c r="L197" s="13" t="s">
        <v>382</v>
      </c>
      <c r="M197" s="15" t="s">
        <v>383</v>
      </c>
      <c r="N197" s="13" t="s">
        <v>98</v>
      </c>
      <c r="O197" s="15" t="s">
        <v>99</v>
      </c>
      <c r="P197" s="15" t="s">
        <v>100</v>
      </c>
      <c r="Q197" s="15" t="s">
        <v>366</v>
      </c>
      <c r="R197" s="13" t="s">
        <v>367</v>
      </c>
      <c r="S197" s="13" t="s">
        <v>212</v>
      </c>
      <c r="T197" s="13" t="s">
        <v>205</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35" x14ac:dyDescent="0.25">
      <c r="A198" s="13" t="s">
        <v>202</v>
      </c>
      <c r="B198" s="13" t="s">
        <v>153</v>
      </c>
      <c r="C198" s="14">
        <v>43152.5</v>
      </c>
      <c r="D198" s="13" t="s">
        <v>88</v>
      </c>
      <c r="E198" s="15" t="s">
        <v>89</v>
      </c>
      <c r="F198" s="13" t="s">
        <v>90</v>
      </c>
      <c r="G198" s="15" t="s">
        <v>91</v>
      </c>
      <c r="H198" s="13" t="s">
        <v>378</v>
      </c>
      <c r="I198" s="15" t="s">
        <v>379</v>
      </c>
      <c r="J198" s="15" t="s">
        <v>380</v>
      </c>
      <c r="K198" s="15" t="s">
        <v>381</v>
      </c>
      <c r="L198" s="13" t="s">
        <v>384</v>
      </c>
      <c r="M198" s="15" t="s">
        <v>385</v>
      </c>
      <c r="N198" s="13" t="s">
        <v>98</v>
      </c>
      <c r="O198" s="15" t="s">
        <v>170</v>
      </c>
      <c r="P198" s="15" t="s">
        <v>171</v>
      </c>
      <c r="Q198" s="15" t="s">
        <v>366</v>
      </c>
      <c r="R198" s="13" t="s">
        <v>367</v>
      </c>
      <c r="S198" s="13" t="s">
        <v>212</v>
      </c>
      <c r="T198" s="13" t="s">
        <v>205</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35" x14ac:dyDescent="0.25">
      <c r="A199" s="13" t="s">
        <v>202</v>
      </c>
      <c r="B199" s="13" t="s">
        <v>153</v>
      </c>
      <c r="C199" s="14">
        <v>43152.5</v>
      </c>
      <c r="D199" s="13" t="s">
        <v>88</v>
      </c>
      <c r="E199" s="15" t="s">
        <v>89</v>
      </c>
      <c r="F199" s="13" t="s">
        <v>90</v>
      </c>
      <c r="G199" s="15" t="s">
        <v>91</v>
      </c>
      <c r="H199" s="13" t="s">
        <v>378</v>
      </c>
      <c r="I199" s="15" t="s">
        <v>379</v>
      </c>
      <c r="J199" s="15" t="s">
        <v>380</v>
      </c>
      <c r="K199" s="15" t="s">
        <v>381</v>
      </c>
      <c r="L199" s="13" t="s">
        <v>386</v>
      </c>
      <c r="M199" s="15" t="s">
        <v>387</v>
      </c>
      <c r="N199" s="13" t="s">
        <v>188</v>
      </c>
      <c r="O199" s="15" t="s">
        <v>189</v>
      </c>
      <c r="P199" s="15" t="s">
        <v>190</v>
      </c>
      <c r="Q199" s="15" t="s">
        <v>366</v>
      </c>
      <c r="R199" s="13" t="s">
        <v>367</v>
      </c>
      <c r="S199" s="13" t="s">
        <v>212</v>
      </c>
      <c r="T199" s="13" t="s">
        <v>205</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135" x14ac:dyDescent="0.25">
      <c r="A200" s="13" t="s">
        <v>202</v>
      </c>
      <c r="B200" s="13" t="s">
        <v>153</v>
      </c>
      <c r="C200" s="14">
        <v>43152.5</v>
      </c>
      <c r="D200" s="13" t="s">
        <v>88</v>
      </c>
      <c r="E200" s="15" t="s">
        <v>89</v>
      </c>
      <c r="F200" s="13" t="s">
        <v>90</v>
      </c>
      <c r="G200" s="15" t="s">
        <v>91</v>
      </c>
      <c r="H200" s="13" t="s">
        <v>378</v>
      </c>
      <c r="I200" s="15" t="s">
        <v>379</v>
      </c>
      <c r="J200" s="15" t="s">
        <v>380</v>
      </c>
      <c r="K200" s="15" t="s">
        <v>381</v>
      </c>
      <c r="L200" s="13" t="s">
        <v>382</v>
      </c>
      <c r="M200" s="15" t="s">
        <v>383</v>
      </c>
      <c r="N200" s="13" t="s">
        <v>98</v>
      </c>
      <c r="O200" s="15" t="s">
        <v>99</v>
      </c>
      <c r="P200" s="15" t="s">
        <v>100</v>
      </c>
      <c r="Q200" s="15" t="s">
        <v>219</v>
      </c>
      <c r="R200" s="13" t="s">
        <v>220</v>
      </c>
      <c r="S200" s="13" t="s">
        <v>212</v>
      </c>
      <c r="T200" s="13" t="s">
        <v>205</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35" x14ac:dyDescent="0.25">
      <c r="A201" s="13" t="s">
        <v>202</v>
      </c>
      <c r="B201" s="13" t="s">
        <v>153</v>
      </c>
      <c r="C201" s="14">
        <v>43152.5</v>
      </c>
      <c r="D201" s="13" t="s">
        <v>88</v>
      </c>
      <c r="E201" s="15" t="s">
        <v>89</v>
      </c>
      <c r="F201" s="13" t="s">
        <v>90</v>
      </c>
      <c r="G201" s="15" t="s">
        <v>91</v>
      </c>
      <c r="H201" s="13" t="s">
        <v>378</v>
      </c>
      <c r="I201" s="15" t="s">
        <v>379</v>
      </c>
      <c r="J201" s="15" t="s">
        <v>380</v>
      </c>
      <c r="K201" s="15" t="s">
        <v>381</v>
      </c>
      <c r="L201" s="13" t="s">
        <v>384</v>
      </c>
      <c r="M201" s="15" t="s">
        <v>385</v>
      </c>
      <c r="N201" s="13" t="s">
        <v>98</v>
      </c>
      <c r="O201" s="15" t="s">
        <v>170</v>
      </c>
      <c r="P201" s="15" t="s">
        <v>171</v>
      </c>
      <c r="Q201" s="15" t="s">
        <v>219</v>
      </c>
      <c r="R201" s="13" t="s">
        <v>220</v>
      </c>
      <c r="S201" s="13" t="s">
        <v>212</v>
      </c>
      <c r="T201" s="13" t="s">
        <v>205</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135" x14ac:dyDescent="0.25">
      <c r="A202" s="13" t="s">
        <v>202</v>
      </c>
      <c r="B202" s="13" t="s">
        <v>153</v>
      </c>
      <c r="C202" s="14">
        <v>43152.5</v>
      </c>
      <c r="D202" s="13" t="s">
        <v>88</v>
      </c>
      <c r="E202" s="15" t="s">
        <v>89</v>
      </c>
      <c r="F202" s="13" t="s">
        <v>90</v>
      </c>
      <c r="G202" s="15" t="s">
        <v>91</v>
      </c>
      <c r="H202" s="13" t="s">
        <v>378</v>
      </c>
      <c r="I202" s="15" t="s">
        <v>379</v>
      </c>
      <c r="J202" s="15" t="s">
        <v>380</v>
      </c>
      <c r="K202" s="15" t="s">
        <v>381</v>
      </c>
      <c r="L202" s="13" t="s">
        <v>386</v>
      </c>
      <c r="M202" s="15" t="s">
        <v>387</v>
      </c>
      <c r="N202" s="13" t="s">
        <v>188</v>
      </c>
      <c r="O202" s="15" t="s">
        <v>189</v>
      </c>
      <c r="P202" s="15" t="s">
        <v>190</v>
      </c>
      <c r="Q202" s="15" t="s">
        <v>219</v>
      </c>
      <c r="R202" s="13" t="s">
        <v>220</v>
      </c>
      <c r="S202" s="13" t="s">
        <v>212</v>
      </c>
      <c r="T202" s="13" t="s">
        <v>205</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50" x14ac:dyDescent="0.25">
      <c r="A203" s="13" t="s">
        <v>86</v>
      </c>
      <c r="B203" s="13" t="s">
        <v>87</v>
      </c>
      <c r="C203" s="14">
        <v>43850.552083333336</v>
      </c>
      <c r="D203" s="13" t="s">
        <v>88</v>
      </c>
      <c r="E203" s="15" t="s">
        <v>89</v>
      </c>
      <c r="F203" s="13" t="s">
        <v>90</v>
      </c>
      <c r="G203" s="15" t="s">
        <v>91</v>
      </c>
      <c r="H203" s="13" t="s">
        <v>388</v>
      </c>
      <c r="I203" s="15" t="s">
        <v>389</v>
      </c>
      <c r="J203" s="15" t="s">
        <v>390</v>
      </c>
      <c r="K203" s="15" t="s">
        <v>391</v>
      </c>
      <c r="L203" s="13" t="s">
        <v>392</v>
      </c>
      <c r="M203" s="15" t="s">
        <v>393</v>
      </c>
      <c r="N203" s="13" t="s">
        <v>98</v>
      </c>
      <c r="O203" s="15" t="s">
        <v>99</v>
      </c>
      <c r="P203" s="15" t="s">
        <v>100</v>
      </c>
      <c r="Q203" s="15" t="s">
        <v>101</v>
      </c>
      <c r="R203" s="13" t="s">
        <v>102</v>
      </c>
      <c r="S203" s="13" t="s">
        <v>103</v>
      </c>
      <c r="T203" s="13" t="s">
        <v>104</v>
      </c>
      <c r="U203" s="14">
        <v>40725</v>
      </c>
      <c r="V203" s="14">
        <v>43830</v>
      </c>
      <c r="W203" s="15"/>
      <c r="X203" s="15"/>
      <c r="Y203" s="13"/>
      <c r="Z203" s="15"/>
      <c r="AA203" s="15"/>
      <c r="AB203" s="15"/>
      <c r="AC203" s="13"/>
      <c r="AD203" s="15"/>
      <c r="AE203" s="15"/>
      <c r="AF203" s="15"/>
      <c r="AG203" s="13"/>
      <c r="AH203" s="15"/>
      <c r="AI203" s="15"/>
      <c r="AJ203" s="15"/>
      <c r="AK203" s="13"/>
      <c r="AL203" s="15"/>
      <c r="AM203" s="15"/>
      <c r="AN203" s="13"/>
      <c r="AO203" s="13"/>
    </row>
    <row r="204" spans="1:41" ht="150" x14ac:dyDescent="0.25">
      <c r="A204" s="13" t="s">
        <v>152</v>
      </c>
      <c r="B204" s="13" t="s">
        <v>153</v>
      </c>
      <c r="C204" s="14">
        <v>45807.45416666667</v>
      </c>
      <c r="D204" s="13" t="s">
        <v>88</v>
      </c>
      <c r="E204" s="15" t="s">
        <v>89</v>
      </c>
      <c r="F204" s="13" t="s">
        <v>90</v>
      </c>
      <c r="G204" s="15" t="s">
        <v>91</v>
      </c>
      <c r="H204" s="13" t="s">
        <v>388</v>
      </c>
      <c r="I204" s="15" t="s">
        <v>389</v>
      </c>
      <c r="J204" s="15" t="s">
        <v>390</v>
      </c>
      <c r="K204" s="15" t="s">
        <v>391</v>
      </c>
      <c r="L204" s="13" t="s">
        <v>392</v>
      </c>
      <c r="M204" s="15" t="s">
        <v>393</v>
      </c>
      <c r="N204" s="13" t="s">
        <v>98</v>
      </c>
      <c r="O204" s="15" t="s">
        <v>99</v>
      </c>
      <c r="P204" s="15" t="s">
        <v>100</v>
      </c>
      <c r="Q204" s="15" t="s">
        <v>101</v>
      </c>
      <c r="R204" s="13" t="s">
        <v>102</v>
      </c>
      <c r="S204" s="13" t="s">
        <v>103</v>
      </c>
      <c r="T204" s="13" t="s">
        <v>104</v>
      </c>
      <c r="U204" s="14">
        <v>43831</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150" x14ac:dyDescent="0.25">
      <c r="A205" s="13" t="s">
        <v>86</v>
      </c>
      <c r="B205" s="13" t="s">
        <v>87</v>
      </c>
      <c r="C205" s="14">
        <v>43850.552083333336</v>
      </c>
      <c r="D205" s="13" t="s">
        <v>88</v>
      </c>
      <c r="E205" s="15" t="s">
        <v>89</v>
      </c>
      <c r="F205" s="13" t="s">
        <v>90</v>
      </c>
      <c r="G205" s="15" t="s">
        <v>91</v>
      </c>
      <c r="H205" s="13" t="s">
        <v>388</v>
      </c>
      <c r="I205" s="15" t="s">
        <v>389</v>
      </c>
      <c r="J205" s="15" t="s">
        <v>390</v>
      </c>
      <c r="K205" s="15" t="s">
        <v>391</v>
      </c>
      <c r="L205" s="13" t="s">
        <v>394</v>
      </c>
      <c r="M205" s="15" t="s">
        <v>395</v>
      </c>
      <c r="N205" s="13" t="s">
        <v>98</v>
      </c>
      <c r="O205" s="15" t="s">
        <v>170</v>
      </c>
      <c r="P205" s="15" t="s">
        <v>171</v>
      </c>
      <c r="Q205" s="15" t="s">
        <v>101</v>
      </c>
      <c r="R205" s="13" t="s">
        <v>102</v>
      </c>
      <c r="S205" s="13" t="s">
        <v>103</v>
      </c>
      <c r="T205" s="13" t="s">
        <v>104</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150" x14ac:dyDescent="0.25">
      <c r="A206" s="13" t="s">
        <v>86</v>
      </c>
      <c r="B206" s="13" t="s">
        <v>87</v>
      </c>
      <c r="C206" s="14">
        <v>43850.552083333336</v>
      </c>
      <c r="D206" s="13" t="s">
        <v>88</v>
      </c>
      <c r="E206" s="15" t="s">
        <v>89</v>
      </c>
      <c r="F206" s="13" t="s">
        <v>90</v>
      </c>
      <c r="G206" s="15" t="s">
        <v>91</v>
      </c>
      <c r="H206" s="13" t="s">
        <v>388</v>
      </c>
      <c r="I206" s="15" t="s">
        <v>389</v>
      </c>
      <c r="J206" s="15" t="s">
        <v>390</v>
      </c>
      <c r="K206" s="15" t="s">
        <v>391</v>
      </c>
      <c r="L206" s="13" t="s">
        <v>396</v>
      </c>
      <c r="M206" s="15" t="s">
        <v>397</v>
      </c>
      <c r="N206" s="13" t="s">
        <v>188</v>
      </c>
      <c r="O206" s="15" t="s">
        <v>189</v>
      </c>
      <c r="P206" s="15" t="s">
        <v>190</v>
      </c>
      <c r="Q206" s="15" t="s">
        <v>101</v>
      </c>
      <c r="R206" s="13" t="s">
        <v>102</v>
      </c>
      <c r="S206" s="13" t="s">
        <v>103</v>
      </c>
      <c r="T206" s="13" t="s">
        <v>104</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150" x14ac:dyDescent="0.25">
      <c r="A207" s="13" t="s">
        <v>202</v>
      </c>
      <c r="B207" s="13" t="s">
        <v>153</v>
      </c>
      <c r="C207" s="14">
        <v>43152.5</v>
      </c>
      <c r="D207" s="13" t="s">
        <v>88</v>
      </c>
      <c r="E207" s="15" t="s">
        <v>89</v>
      </c>
      <c r="F207" s="13" t="s">
        <v>90</v>
      </c>
      <c r="G207" s="15" t="s">
        <v>91</v>
      </c>
      <c r="H207" s="13" t="s">
        <v>388</v>
      </c>
      <c r="I207" s="15" t="s">
        <v>389</v>
      </c>
      <c r="J207" s="15" t="s">
        <v>390</v>
      </c>
      <c r="K207" s="15" t="s">
        <v>391</v>
      </c>
      <c r="L207" s="13" t="s">
        <v>392</v>
      </c>
      <c r="M207" s="15" t="s">
        <v>393</v>
      </c>
      <c r="N207" s="13" t="s">
        <v>98</v>
      </c>
      <c r="O207" s="15" t="s">
        <v>99</v>
      </c>
      <c r="P207" s="15" t="s">
        <v>100</v>
      </c>
      <c r="Q207" s="15" t="s">
        <v>203</v>
      </c>
      <c r="R207" s="13" t="s">
        <v>204</v>
      </c>
      <c r="S207" s="13" t="s">
        <v>103</v>
      </c>
      <c r="T207" s="13" t="s">
        <v>205</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150" x14ac:dyDescent="0.25">
      <c r="A208" s="13" t="s">
        <v>202</v>
      </c>
      <c r="B208" s="13" t="s">
        <v>153</v>
      </c>
      <c r="C208" s="14">
        <v>43152.5</v>
      </c>
      <c r="D208" s="13" t="s">
        <v>88</v>
      </c>
      <c r="E208" s="15" t="s">
        <v>89</v>
      </c>
      <c r="F208" s="13" t="s">
        <v>90</v>
      </c>
      <c r="G208" s="15" t="s">
        <v>91</v>
      </c>
      <c r="H208" s="13" t="s">
        <v>388</v>
      </c>
      <c r="I208" s="15" t="s">
        <v>389</v>
      </c>
      <c r="J208" s="15" t="s">
        <v>390</v>
      </c>
      <c r="K208" s="15" t="s">
        <v>391</v>
      </c>
      <c r="L208" s="13" t="s">
        <v>394</v>
      </c>
      <c r="M208" s="15" t="s">
        <v>395</v>
      </c>
      <c r="N208" s="13" t="s">
        <v>98</v>
      </c>
      <c r="O208" s="15" t="s">
        <v>170</v>
      </c>
      <c r="P208" s="15" t="s">
        <v>171</v>
      </c>
      <c r="Q208" s="15" t="s">
        <v>203</v>
      </c>
      <c r="R208" s="13" t="s">
        <v>204</v>
      </c>
      <c r="S208" s="13" t="s">
        <v>103</v>
      </c>
      <c r="T208" s="13" t="s">
        <v>205</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150" x14ac:dyDescent="0.25">
      <c r="A209" s="13" t="s">
        <v>202</v>
      </c>
      <c r="B209" s="13" t="s">
        <v>153</v>
      </c>
      <c r="C209" s="14">
        <v>43152.5</v>
      </c>
      <c r="D209" s="13" t="s">
        <v>88</v>
      </c>
      <c r="E209" s="15" t="s">
        <v>89</v>
      </c>
      <c r="F209" s="13" t="s">
        <v>90</v>
      </c>
      <c r="G209" s="15" t="s">
        <v>91</v>
      </c>
      <c r="H209" s="13" t="s">
        <v>388</v>
      </c>
      <c r="I209" s="15" t="s">
        <v>389</v>
      </c>
      <c r="J209" s="15" t="s">
        <v>390</v>
      </c>
      <c r="K209" s="15" t="s">
        <v>391</v>
      </c>
      <c r="L209" s="13" t="s">
        <v>396</v>
      </c>
      <c r="M209" s="15" t="s">
        <v>397</v>
      </c>
      <c r="N209" s="13" t="s">
        <v>188</v>
      </c>
      <c r="O209" s="15" t="s">
        <v>189</v>
      </c>
      <c r="P209" s="15" t="s">
        <v>190</v>
      </c>
      <c r="Q209" s="15" t="s">
        <v>203</v>
      </c>
      <c r="R209" s="13" t="s">
        <v>204</v>
      </c>
      <c r="S209" s="13" t="s">
        <v>103</v>
      </c>
      <c r="T209" s="13" t="s">
        <v>205</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50" x14ac:dyDescent="0.25">
      <c r="A210" s="13" t="s">
        <v>202</v>
      </c>
      <c r="B210" s="13" t="s">
        <v>153</v>
      </c>
      <c r="C210" s="14">
        <v>43152.5</v>
      </c>
      <c r="D210" s="13" t="s">
        <v>88</v>
      </c>
      <c r="E210" s="15" t="s">
        <v>89</v>
      </c>
      <c r="F210" s="13" t="s">
        <v>90</v>
      </c>
      <c r="G210" s="15" t="s">
        <v>91</v>
      </c>
      <c r="H210" s="13" t="s">
        <v>388</v>
      </c>
      <c r="I210" s="15" t="s">
        <v>389</v>
      </c>
      <c r="J210" s="15" t="s">
        <v>390</v>
      </c>
      <c r="K210" s="15" t="s">
        <v>391</v>
      </c>
      <c r="L210" s="13" t="s">
        <v>392</v>
      </c>
      <c r="M210" s="15" t="s">
        <v>393</v>
      </c>
      <c r="N210" s="13" t="s">
        <v>98</v>
      </c>
      <c r="O210" s="15" t="s">
        <v>99</v>
      </c>
      <c r="P210" s="15" t="s">
        <v>100</v>
      </c>
      <c r="Q210" s="15" t="s">
        <v>206</v>
      </c>
      <c r="R210" s="13" t="s">
        <v>207</v>
      </c>
      <c r="S210" s="13" t="s">
        <v>103</v>
      </c>
      <c r="T210" s="13" t="s">
        <v>205</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150" x14ac:dyDescent="0.25">
      <c r="A211" s="13" t="s">
        <v>202</v>
      </c>
      <c r="B211" s="13" t="s">
        <v>153</v>
      </c>
      <c r="C211" s="14">
        <v>43152.5</v>
      </c>
      <c r="D211" s="13" t="s">
        <v>88</v>
      </c>
      <c r="E211" s="15" t="s">
        <v>89</v>
      </c>
      <c r="F211" s="13" t="s">
        <v>90</v>
      </c>
      <c r="G211" s="15" t="s">
        <v>91</v>
      </c>
      <c r="H211" s="13" t="s">
        <v>388</v>
      </c>
      <c r="I211" s="15" t="s">
        <v>389</v>
      </c>
      <c r="J211" s="15" t="s">
        <v>390</v>
      </c>
      <c r="K211" s="15" t="s">
        <v>391</v>
      </c>
      <c r="L211" s="13" t="s">
        <v>394</v>
      </c>
      <c r="M211" s="15" t="s">
        <v>395</v>
      </c>
      <c r="N211" s="13" t="s">
        <v>98</v>
      </c>
      <c r="O211" s="15" t="s">
        <v>170</v>
      </c>
      <c r="P211" s="15" t="s">
        <v>171</v>
      </c>
      <c r="Q211" s="15" t="s">
        <v>206</v>
      </c>
      <c r="R211" s="13" t="s">
        <v>207</v>
      </c>
      <c r="S211" s="13" t="s">
        <v>103</v>
      </c>
      <c r="T211" s="13" t="s">
        <v>205</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150" x14ac:dyDescent="0.25">
      <c r="A212" s="13" t="s">
        <v>202</v>
      </c>
      <c r="B212" s="13" t="s">
        <v>153</v>
      </c>
      <c r="C212" s="14">
        <v>43152.5</v>
      </c>
      <c r="D212" s="13" t="s">
        <v>88</v>
      </c>
      <c r="E212" s="15" t="s">
        <v>89</v>
      </c>
      <c r="F212" s="13" t="s">
        <v>90</v>
      </c>
      <c r="G212" s="15" t="s">
        <v>91</v>
      </c>
      <c r="H212" s="13" t="s">
        <v>388</v>
      </c>
      <c r="I212" s="15" t="s">
        <v>389</v>
      </c>
      <c r="J212" s="15" t="s">
        <v>390</v>
      </c>
      <c r="K212" s="15" t="s">
        <v>391</v>
      </c>
      <c r="L212" s="13" t="s">
        <v>396</v>
      </c>
      <c r="M212" s="15" t="s">
        <v>397</v>
      </c>
      <c r="N212" s="13" t="s">
        <v>188</v>
      </c>
      <c r="O212" s="15" t="s">
        <v>189</v>
      </c>
      <c r="P212" s="15" t="s">
        <v>190</v>
      </c>
      <c r="Q212" s="15" t="s">
        <v>206</v>
      </c>
      <c r="R212" s="13" t="s">
        <v>207</v>
      </c>
      <c r="S212" s="13" t="s">
        <v>103</v>
      </c>
      <c r="T212" s="13" t="s">
        <v>205</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150" x14ac:dyDescent="0.25">
      <c r="A213" s="13" t="s">
        <v>202</v>
      </c>
      <c r="B213" s="13" t="s">
        <v>153</v>
      </c>
      <c r="C213" s="14">
        <v>43152.5</v>
      </c>
      <c r="D213" s="13" t="s">
        <v>88</v>
      </c>
      <c r="E213" s="15" t="s">
        <v>89</v>
      </c>
      <c r="F213" s="13" t="s">
        <v>90</v>
      </c>
      <c r="G213" s="15" t="s">
        <v>91</v>
      </c>
      <c r="H213" s="13" t="s">
        <v>388</v>
      </c>
      <c r="I213" s="15" t="s">
        <v>389</v>
      </c>
      <c r="J213" s="15" t="s">
        <v>390</v>
      </c>
      <c r="K213" s="15" t="s">
        <v>391</v>
      </c>
      <c r="L213" s="13" t="s">
        <v>392</v>
      </c>
      <c r="M213" s="15" t="s">
        <v>393</v>
      </c>
      <c r="N213" s="13" t="s">
        <v>98</v>
      </c>
      <c r="O213" s="15" t="s">
        <v>99</v>
      </c>
      <c r="P213" s="15" t="s">
        <v>100</v>
      </c>
      <c r="Q213" s="15" t="s">
        <v>208</v>
      </c>
      <c r="R213" s="13" t="s">
        <v>209</v>
      </c>
      <c r="S213" s="13" t="s">
        <v>103</v>
      </c>
      <c r="T213" s="13" t="s">
        <v>205</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50" x14ac:dyDescent="0.25">
      <c r="A214" s="13" t="s">
        <v>202</v>
      </c>
      <c r="B214" s="13" t="s">
        <v>153</v>
      </c>
      <c r="C214" s="14">
        <v>43152.5</v>
      </c>
      <c r="D214" s="13" t="s">
        <v>88</v>
      </c>
      <c r="E214" s="15" t="s">
        <v>89</v>
      </c>
      <c r="F214" s="13" t="s">
        <v>90</v>
      </c>
      <c r="G214" s="15" t="s">
        <v>91</v>
      </c>
      <c r="H214" s="13" t="s">
        <v>388</v>
      </c>
      <c r="I214" s="15" t="s">
        <v>389</v>
      </c>
      <c r="J214" s="15" t="s">
        <v>390</v>
      </c>
      <c r="K214" s="15" t="s">
        <v>391</v>
      </c>
      <c r="L214" s="13" t="s">
        <v>394</v>
      </c>
      <c r="M214" s="15" t="s">
        <v>395</v>
      </c>
      <c r="N214" s="13" t="s">
        <v>98</v>
      </c>
      <c r="O214" s="15" t="s">
        <v>170</v>
      </c>
      <c r="P214" s="15" t="s">
        <v>171</v>
      </c>
      <c r="Q214" s="15" t="s">
        <v>208</v>
      </c>
      <c r="R214" s="13" t="s">
        <v>209</v>
      </c>
      <c r="S214" s="13" t="s">
        <v>103</v>
      </c>
      <c r="T214" s="13" t="s">
        <v>205</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150" x14ac:dyDescent="0.25">
      <c r="A215" s="13" t="s">
        <v>202</v>
      </c>
      <c r="B215" s="13" t="s">
        <v>153</v>
      </c>
      <c r="C215" s="14">
        <v>43152.5</v>
      </c>
      <c r="D215" s="13" t="s">
        <v>88</v>
      </c>
      <c r="E215" s="15" t="s">
        <v>89</v>
      </c>
      <c r="F215" s="13" t="s">
        <v>90</v>
      </c>
      <c r="G215" s="15" t="s">
        <v>91</v>
      </c>
      <c r="H215" s="13" t="s">
        <v>388</v>
      </c>
      <c r="I215" s="15" t="s">
        <v>389</v>
      </c>
      <c r="J215" s="15" t="s">
        <v>390</v>
      </c>
      <c r="K215" s="15" t="s">
        <v>391</v>
      </c>
      <c r="L215" s="13" t="s">
        <v>396</v>
      </c>
      <c r="M215" s="15" t="s">
        <v>397</v>
      </c>
      <c r="N215" s="13" t="s">
        <v>188</v>
      </c>
      <c r="O215" s="15" t="s">
        <v>189</v>
      </c>
      <c r="P215" s="15" t="s">
        <v>190</v>
      </c>
      <c r="Q215" s="15" t="s">
        <v>208</v>
      </c>
      <c r="R215" s="13" t="s">
        <v>209</v>
      </c>
      <c r="S215" s="13" t="s">
        <v>103</v>
      </c>
      <c r="T215" s="13" t="s">
        <v>205</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150" x14ac:dyDescent="0.25">
      <c r="A216" s="13" t="s">
        <v>202</v>
      </c>
      <c r="B216" s="13" t="s">
        <v>153</v>
      </c>
      <c r="C216" s="14">
        <v>43152.5</v>
      </c>
      <c r="D216" s="13" t="s">
        <v>88</v>
      </c>
      <c r="E216" s="15" t="s">
        <v>89</v>
      </c>
      <c r="F216" s="13" t="s">
        <v>90</v>
      </c>
      <c r="G216" s="15" t="s">
        <v>91</v>
      </c>
      <c r="H216" s="13" t="s">
        <v>388</v>
      </c>
      <c r="I216" s="15" t="s">
        <v>389</v>
      </c>
      <c r="J216" s="15" t="s">
        <v>390</v>
      </c>
      <c r="K216" s="15" t="s">
        <v>391</v>
      </c>
      <c r="L216" s="13" t="s">
        <v>392</v>
      </c>
      <c r="M216" s="15" t="s">
        <v>393</v>
      </c>
      <c r="N216" s="13" t="s">
        <v>98</v>
      </c>
      <c r="O216" s="15" t="s">
        <v>99</v>
      </c>
      <c r="P216" s="15" t="s">
        <v>100</v>
      </c>
      <c r="Q216" s="15" t="s">
        <v>366</v>
      </c>
      <c r="R216" s="13" t="s">
        <v>367</v>
      </c>
      <c r="S216" s="13" t="s">
        <v>212</v>
      </c>
      <c r="T216" s="13" t="s">
        <v>205</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150" x14ac:dyDescent="0.25">
      <c r="A217" s="13" t="s">
        <v>202</v>
      </c>
      <c r="B217" s="13" t="s">
        <v>153</v>
      </c>
      <c r="C217" s="14">
        <v>43152.5</v>
      </c>
      <c r="D217" s="13" t="s">
        <v>88</v>
      </c>
      <c r="E217" s="15" t="s">
        <v>89</v>
      </c>
      <c r="F217" s="13" t="s">
        <v>90</v>
      </c>
      <c r="G217" s="15" t="s">
        <v>91</v>
      </c>
      <c r="H217" s="13" t="s">
        <v>388</v>
      </c>
      <c r="I217" s="15" t="s">
        <v>389</v>
      </c>
      <c r="J217" s="15" t="s">
        <v>390</v>
      </c>
      <c r="K217" s="15" t="s">
        <v>391</v>
      </c>
      <c r="L217" s="13" t="s">
        <v>394</v>
      </c>
      <c r="M217" s="15" t="s">
        <v>395</v>
      </c>
      <c r="N217" s="13" t="s">
        <v>98</v>
      </c>
      <c r="O217" s="15" t="s">
        <v>170</v>
      </c>
      <c r="P217" s="15" t="s">
        <v>171</v>
      </c>
      <c r="Q217" s="15" t="s">
        <v>366</v>
      </c>
      <c r="R217" s="13" t="s">
        <v>367</v>
      </c>
      <c r="S217" s="13" t="s">
        <v>212</v>
      </c>
      <c r="T217" s="13" t="s">
        <v>205</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150" x14ac:dyDescent="0.25">
      <c r="A218" s="13" t="s">
        <v>202</v>
      </c>
      <c r="B218" s="13" t="s">
        <v>153</v>
      </c>
      <c r="C218" s="14">
        <v>43152.5</v>
      </c>
      <c r="D218" s="13" t="s">
        <v>88</v>
      </c>
      <c r="E218" s="15" t="s">
        <v>89</v>
      </c>
      <c r="F218" s="13" t="s">
        <v>90</v>
      </c>
      <c r="G218" s="15" t="s">
        <v>91</v>
      </c>
      <c r="H218" s="13" t="s">
        <v>388</v>
      </c>
      <c r="I218" s="15" t="s">
        <v>389</v>
      </c>
      <c r="J218" s="15" t="s">
        <v>390</v>
      </c>
      <c r="K218" s="15" t="s">
        <v>391</v>
      </c>
      <c r="L218" s="13" t="s">
        <v>396</v>
      </c>
      <c r="M218" s="15" t="s">
        <v>397</v>
      </c>
      <c r="N218" s="13" t="s">
        <v>188</v>
      </c>
      <c r="O218" s="15" t="s">
        <v>189</v>
      </c>
      <c r="P218" s="15" t="s">
        <v>190</v>
      </c>
      <c r="Q218" s="15" t="s">
        <v>366</v>
      </c>
      <c r="R218" s="13" t="s">
        <v>367</v>
      </c>
      <c r="S218" s="13" t="s">
        <v>212</v>
      </c>
      <c r="T218" s="13" t="s">
        <v>205</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50" x14ac:dyDescent="0.25">
      <c r="A219" s="13" t="s">
        <v>202</v>
      </c>
      <c r="B219" s="13" t="s">
        <v>153</v>
      </c>
      <c r="C219" s="14">
        <v>43152.5</v>
      </c>
      <c r="D219" s="13" t="s">
        <v>88</v>
      </c>
      <c r="E219" s="15" t="s">
        <v>89</v>
      </c>
      <c r="F219" s="13" t="s">
        <v>90</v>
      </c>
      <c r="G219" s="15" t="s">
        <v>91</v>
      </c>
      <c r="H219" s="13" t="s">
        <v>388</v>
      </c>
      <c r="I219" s="15" t="s">
        <v>389</v>
      </c>
      <c r="J219" s="15" t="s">
        <v>390</v>
      </c>
      <c r="K219" s="15" t="s">
        <v>391</v>
      </c>
      <c r="L219" s="13" t="s">
        <v>392</v>
      </c>
      <c r="M219" s="15" t="s">
        <v>393</v>
      </c>
      <c r="N219" s="13" t="s">
        <v>98</v>
      </c>
      <c r="O219" s="15" t="s">
        <v>99</v>
      </c>
      <c r="P219" s="15" t="s">
        <v>100</v>
      </c>
      <c r="Q219" s="15" t="s">
        <v>219</v>
      </c>
      <c r="R219" s="13" t="s">
        <v>220</v>
      </c>
      <c r="S219" s="13" t="s">
        <v>212</v>
      </c>
      <c r="T219" s="13" t="s">
        <v>205</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150" x14ac:dyDescent="0.25">
      <c r="A220" s="13" t="s">
        <v>202</v>
      </c>
      <c r="B220" s="13" t="s">
        <v>153</v>
      </c>
      <c r="C220" s="14">
        <v>43152.5</v>
      </c>
      <c r="D220" s="13" t="s">
        <v>88</v>
      </c>
      <c r="E220" s="15" t="s">
        <v>89</v>
      </c>
      <c r="F220" s="13" t="s">
        <v>90</v>
      </c>
      <c r="G220" s="15" t="s">
        <v>91</v>
      </c>
      <c r="H220" s="13" t="s">
        <v>388</v>
      </c>
      <c r="I220" s="15" t="s">
        <v>389</v>
      </c>
      <c r="J220" s="15" t="s">
        <v>390</v>
      </c>
      <c r="K220" s="15" t="s">
        <v>391</v>
      </c>
      <c r="L220" s="13" t="s">
        <v>394</v>
      </c>
      <c r="M220" s="15" t="s">
        <v>395</v>
      </c>
      <c r="N220" s="13" t="s">
        <v>98</v>
      </c>
      <c r="O220" s="15" t="s">
        <v>170</v>
      </c>
      <c r="P220" s="15" t="s">
        <v>171</v>
      </c>
      <c r="Q220" s="15" t="s">
        <v>219</v>
      </c>
      <c r="R220" s="13" t="s">
        <v>220</v>
      </c>
      <c r="S220" s="13" t="s">
        <v>212</v>
      </c>
      <c r="T220" s="13" t="s">
        <v>205</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150" x14ac:dyDescent="0.25">
      <c r="A221" s="13" t="s">
        <v>202</v>
      </c>
      <c r="B221" s="13" t="s">
        <v>153</v>
      </c>
      <c r="C221" s="14">
        <v>43152.5</v>
      </c>
      <c r="D221" s="13" t="s">
        <v>88</v>
      </c>
      <c r="E221" s="15" t="s">
        <v>89</v>
      </c>
      <c r="F221" s="13" t="s">
        <v>90</v>
      </c>
      <c r="G221" s="15" t="s">
        <v>91</v>
      </c>
      <c r="H221" s="13" t="s">
        <v>388</v>
      </c>
      <c r="I221" s="15" t="s">
        <v>389</v>
      </c>
      <c r="J221" s="15" t="s">
        <v>390</v>
      </c>
      <c r="K221" s="15" t="s">
        <v>391</v>
      </c>
      <c r="L221" s="13" t="s">
        <v>396</v>
      </c>
      <c r="M221" s="15" t="s">
        <v>397</v>
      </c>
      <c r="N221" s="13" t="s">
        <v>188</v>
      </c>
      <c r="O221" s="15" t="s">
        <v>189</v>
      </c>
      <c r="P221" s="15" t="s">
        <v>190</v>
      </c>
      <c r="Q221" s="15" t="s">
        <v>219</v>
      </c>
      <c r="R221" s="13" t="s">
        <v>220</v>
      </c>
      <c r="S221" s="13" t="s">
        <v>212</v>
      </c>
      <c r="T221" s="13" t="s">
        <v>205</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120" x14ac:dyDescent="0.25">
      <c r="A222" s="13" t="s">
        <v>202</v>
      </c>
      <c r="B222" s="13" t="s">
        <v>153</v>
      </c>
      <c r="C222" s="14">
        <v>43152.5</v>
      </c>
      <c r="D222" s="13" t="s">
        <v>88</v>
      </c>
      <c r="E222" s="15" t="s">
        <v>89</v>
      </c>
      <c r="F222" s="13" t="s">
        <v>90</v>
      </c>
      <c r="G222" s="15" t="s">
        <v>91</v>
      </c>
      <c r="H222" s="13" t="s">
        <v>398</v>
      </c>
      <c r="I222" s="15" t="s">
        <v>399</v>
      </c>
      <c r="J222" s="15" t="s">
        <v>400</v>
      </c>
      <c r="K222" s="15" t="s">
        <v>401</v>
      </c>
      <c r="L222" s="13" t="s">
        <v>402</v>
      </c>
      <c r="M222" s="15" t="s">
        <v>403</v>
      </c>
      <c r="N222" s="13" t="s">
        <v>98</v>
      </c>
      <c r="O222" s="15" t="s">
        <v>99</v>
      </c>
      <c r="P222" s="15" t="s">
        <v>100</v>
      </c>
      <c r="Q222" s="15" t="s">
        <v>101</v>
      </c>
      <c r="R222" s="13" t="s">
        <v>102</v>
      </c>
      <c r="S222" s="13" t="s">
        <v>103</v>
      </c>
      <c r="T222" s="13" t="s">
        <v>205</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120" x14ac:dyDescent="0.25">
      <c r="A223" s="13" t="s">
        <v>202</v>
      </c>
      <c r="B223" s="13" t="s">
        <v>153</v>
      </c>
      <c r="C223" s="14">
        <v>43152.5</v>
      </c>
      <c r="D223" s="13" t="s">
        <v>88</v>
      </c>
      <c r="E223" s="15" t="s">
        <v>89</v>
      </c>
      <c r="F223" s="13" t="s">
        <v>90</v>
      </c>
      <c r="G223" s="15" t="s">
        <v>91</v>
      </c>
      <c r="H223" s="13" t="s">
        <v>398</v>
      </c>
      <c r="I223" s="15" t="s">
        <v>399</v>
      </c>
      <c r="J223" s="15" t="s">
        <v>400</v>
      </c>
      <c r="K223" s="15" t="s">
        <v>401</v>
      </c>
      <c r="L223" s="13" t="s">
        <v>404</v>
      </c>
      <c r="M223" s="15" t="s">
        <v>405</v>
      </c>
      <c r="N223" s="13" t="s">
        <v>98</v>
      </c>
      <c r="O223" s="15" t="s">
        <v>170</v>
      </c>
      <c r="P223" s="15" t="s">
        <v>171</v>
      </c>
      <c r="Q223" s="15" t="s">
        <v>101</v>
      </c>
      <c r="R223" s="13" t="s">
        <v>102</v>
      </c>
      <c r="S223" s="13" t="s">
        <v>103</v>
      </c>
      <c r="T223" s="13" t="s">
        <v>205</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105" x14ac:dyDescent="0.25">
      <c r="A224" s="13" t="s">
        <v>202</v>
      </c>
      <c r="B224" s="13" t="s">
        <v>153</v>
      </c>
      <c r="C224" s="14">
        <v>43152.5</v>
      </c>
      <c r="D224" s="13" t="s">
        <v>88</v>
      </c>
      <c r="E224" s="15" t="s">
        <v>89</v>
      </c>
      <c r="F224" s="13" t="s">
        <v>90</v>
      </c>
      <c r="G224" s="15" t="s">
        <v>91</v>
      </c>
      <c r="H224" s="13" t="s">
        <v>398</v>
      </c>
      <c r="I224" s="15" t="s">
        <v>399</v>
      </c>
      <c r="J224" s="15" t="s">
        <v>400</v>
      </c>
      <c r="K224" s="15" t="s">
        <v>401</v>
      </c>
      <c r="L224" s="13" t="s">
        <v>406</v>
      </c>
      <c r="M224" s="15" t="s">
        <v>407</v>
      </c>
      <c r="N224" s="13" t="s">
        <v>188</v>
      </c>
      <c r="O224" s="15" t="s">
        <v>189</v>
      </c>
      <c r="P224" s="15" t="s">
        <v>190</v>
      </c>
      <c r="Q224" s="15" t="s">
        <v>101</v>
      </c>
      <c r="R224" s="13" t="s">
        <v>102</v>
      </c>
      <c r="S224" s="13" t="s">
        <v>103</v>
      </c>
      <c r="T224" s="13" t="s">
        <v>205</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120" x14ac:dyDescent="0.25">
      <c r="A225" s="13" t="s">
        <v>202</v>
      </c>
      <c r="B225" s="13" t="s">
        <v>153</v>
      </c>
      <c r="C225" s="14">
        <v>43152.5</v>
      </c>
      <c r="D225" s="13" t="s">
        <v>88</v>
      </c>
      <c r="E225" s="15" t="s">
        <v>89</v>
      </c>
      <c r="F225" s="13" t="s">
        <v>90</v>
      </c>
      <c r="G225" s="15" t="s">
        <v>91</v>
      </c>
      <c r="H225" s="13" t="s">
        <v>398</v>
      </c>
      <c r="I225" s="15" t="s">
        <v>399</v>
      </c>
      <c r="J225" s="15" t="s">
        <v>400</v>
      </c>
      <c r="K225" s="15" t="s">
        <v>401</v>
      </c>
      <c r="L225" s="13" t="s">
        <v>402</v>
      </c>
      <c r="M225" s="15" t="s">
        <v>403</v>
      </c>
      <c r="N225" s="13" t="s">
        <v>98</v>
      </c>
      <c r="O225" s="15" t="s">
        <v>99</v>
      </c>
      <c r="P225" s="15" t="s">
        <v>100</v>
      </c>
      <c r="Q225" s="15" t="s">
        <v>203</v>
      </c>
      <c r="R225" s="13" t="s">
        <v>204</v>
      </c>
      <c r="S225" s="13" t="s">
        <v>103</v>
      </c>
      <c r="T225" s="13" t="s">
        <v>205</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120" x14ac:dyDescent="0.25">
      <c r="A226" s="13" t="s">
        <v>202</v>
      </c>
      <c r="B226" s="13" t="s">
        <v>153</v>
      </c>
      <c r="C226" s="14">
        <v>43152.5</v>
      </c>
      <c r="D226" s="13" t="s">
        <v>88</v>
      </c>
      <c r="E226" s="15" t="s">
        <v>89</v>
      </c>
      <c r="F226" s="13" t="s">
        <v>90</v>
      </c>
      <c r="G226" s="15" t="s">
        <v>91</v>
      </c>
      <c r="H226" s="13" t="s">
        <v>398</v>
      </c>
      <c r="I226" s="15" t="s">
        <v>399</v>
      </c>
      <c r="J226" s="15" t="s">
        <v>400</v>
      </c>
      <c r="K226" s="15" t="s">
        <v>401</v>
      </c>
      <c r="L226" s="13" t="s">
        <v>404</v>
      </c>
      <c r="M226" s="15" t="s">
        <v>405</v>
      </c>
      <c r="N226" s="13" t="s">
        <v>98</v>
      </c>
      <c r="O226" s="15" t="s">
        <v>170</v>
      </c>
      <c r="P226" s="15" t="s">
        <v>171</v>
      </c>
      <c r="Q226" s="15" t="s">
        <v>203</v>
      </c>
      <c r="R226" s="13" t="s">
        <v>204</v>
      </c>
      <c r="S226" s="13" t="s">
        <v>103</v>
      </c>
      <c r="T226" s="13" t="s">
        <v>205</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105" x14ac:dyDescent="0.25">
      <c r="A227" s="13" t="s">
        <v>202</v>
      </c>
      <c r="B227" s="13" t="s">
        <v>153</v>
      </c>
      <c r="C227" s="14">
        <v>43152.5</v>
      </c>
      <c r="D227" s="13" t="s">
        <v>88</v>
      </c>
      <c r="E227" s="15" t="s">
        <v>89</v>
      </c>
      <c r="F227" s="13" t="s">
        <v>90</v>
      </c>
      <c r="G227" s="15" t="s">
        <v>91</v>
      </c>
      <c r="H227" s="13" t="s">
        <v>398</v>
      </c>
      <c r="I227" s="15" t="s">
        <v>399</v>
      </c>
      <c r="J227" s="15" t="s">
        <v>400</v>
      </c>
      <c r="K227" s="15" t="s">
        <v>401</v>
      </c>
      <c r="L227" s="13" t="s">
        <v>406</v>
      </c>
      <c r="M227" s="15" t="s">
        <v>407</v>
      </c>
      <c r="N227" s="13" t="s">
        <v>188</v>
      </c>
      <c r="O227" s="15" t="s">
        <v>189</v>
      </c>
      <c r="P227" s="15" t="s">
        <v>190</v>
      </c>
      <c r="Q227" s="15" t="s">
        <v>203</v>
      </c>
      <c r="R227" s="13" t="s">
        <v>204</v>
      </c>
      <c r="S227" s="13" t="s">
        <v>103</v>
      </c>
      <c r="T227" s="13" t="s">
        <v>205</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120" x14ac:dyDescent="0.25">
      <c r="A228" s="13" t="s">
        <v>202</v>
      </c>
      <c r="B228" s="13" t="s">
        <v>153</v>
      </c>
      <c r="C228" s="14">
        <v>43152.5</v>
      </c>
      <c r="D228" s="13" t="s">
        <v>88</v>
      </c>
      <c r="E228" s="15" t="s">
        <v>89</v>
      </c>
      <c r="F228" s="13" t="s">
        <v>90</v>
      </c>
      <c r="G228" s="15" t="s">
        <v>91</v>
      </c>
      <c r="H228" s="13" t="s">
        <v>398</v>
      </c>
      <c r="I228" s="15" t="s">
        <v>399</v>
      </c>
      <c r="J228" s="15" t="s">
        <v>400</v>
      </c>
      <c r="K228" s="15" t="s">
        <v>401</v>
      </c>
      <c r="L228" s="13" t="s">
        <v>402</v>
      </c>
      <c r="M228" s="15" t="s">
        <v>403</v>
      </c>
      <c r="N228" s="13" t="s">
        <v>98</v>
      </c>
      <c r="O228" s="15" t="s">
        <v>99</v>
      </c>
      <c r="P228" s="15" t="s">
        <v>100</v>
      </c>
      <c r="Q228" s="15" t="s">
        <v>206</v>
      </c>
      <c r="R228" s="13" t="s">
        <v>207</v>
      </c>
      <c r="S228" s="13" t="s">
        <v>103</v>
      </c>
      <c r="T228" s="13" t="s">
        <v>205</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20" x14ac:dyDescent="0.25">
      <c r="A229" s="13" t="s">
        <v>202</v>
      </c>
      <c r="B229" s="13" t="s">
        <v>153</v>
      </c>
      <c r="C229" s="14">
        <v>43152.5</v>
      </c>
      <c r="D229" s="13" t="s">
        <v>88</v>
      </c>
      <c r="E229" s="15" t="s">
        <v>89</v>
      </c>
      <c r="F229" s="13" t="s">
        <v>90</v>
      </c>
      <c r="G229" s="15" t="s">
        <v>91</v>
      </c>
      <c r="H229" s="13" t="s">
        <v>398</v>
      </c>
      <c r="I229" s="15" t="s">
        <v>399</v>
      </c>
      <c r="J229" s="15" t="s">
        <v>400</v>
      </c>
      <c r="K229" s="15" t="s">
        <v>401</v>
      </c>
      <c r="L229" s="13" t="s">
        <v>404</v>
      </c>
      <c r="M229" s="15" t="s">
        <v>405</v>
      </c>
      <c r="N229" s="13" t="s">
        <v>98</v>
      </c>
      <c r="O229" s="15" t="s">
        <v>170</v>
      </c>
      <c r="P229" s="15" t="s">
        <v>171</v>
      </c>
      <c r="Q229" s="15" t="s">
        <v>206</v>
      </c>
      <c r="R229" s="13" t="s">
        <v>207</v>
      </c>
      <c r="S229" s="13" t="s">
        <v>103</v>
      </c>
      <c r="T229" s="13" t="s">
        <v>205</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105" x14ac:dyDescent="0.25">
      <c r="A230" s="13" t="s">
        <v>202</v>
      </c>
      <c r="B230" s="13" t="s">
        <v>153</v>
      </c>
      <c r="C230" s="14">
        <v>43152.5</v>
      </c>
      <c r="D230" s="13" t="s">
        <v>88</v>
      </c>
      <c r="E230" s="15" t="s">
        <v>89</v>
      </c>
      <c r="F230" s="13" t="s">
        <v>90</v>
      </c>
      <c r="G230" s="15" t="s">
        <v>91</v>
      </c>
      <c r="H230" s="13" t="s">
        <v>398</v>
      </c>
      <c r="I230" s="15" t="s">
        <v>399</v>
      </c>
      <c r="J230" s="15" t="s">
        <v>400</v>
      </c>
      <c r="K230" s="15" t="s">
        <v>401</v>
      </c>
      <c r="L230" s="13" t="s">
        <v>406</v>
      </c>
      <c r="M230" s="15" t="s">
        <v>407</v>
      </c>
      <c r="N230" s="13" t="s">
        <v>188</v>
      </c>
      <c r="O230" s="15" t="s">
        <v>189</v>
      </c>
      <c r="P230" s="15" t="s">
        <v>190</v>
      </c>
      <c r="Q230" s="15" t="s">
        <v>206</v>
      </c>
      <c r="R230" s="13" t="s">
        <v>207</v>
      </c>
      <c r="S230" s="13" t="s">
        <v>103</v>
      </c>
      <c r="T230" s="13" t="s">
        <v>205</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20" x14ac:dyDescent="0.25">
      <c r="A231" s="13" t="s">
        <v>202</v>
      </c>
      <c r="B231" s="13" t="s">
        <v>153</v>
      </c>
      <c r="C231" s="14">
        <v>43152.5</v>
      </c>
      <c r="D231" s="13" t="s">
        <v>88</v>
      </c>
      <c r="E231" s="15" t="s">
        <v>89</v>
      </c>
      <c r="F231" s="13" t="s">
        <v>90</v>
      </c>
      <c r="G231" s="15" t="s">
        <v>91</v>
      </c>
      <c r="H231" s="13" t="s">
        <v>398</v>
      </c>
      <c r="I231" s="15" t="s">
        <v>399</v>
      </c>
      <c r="J231" s="15" t="s">
        <v>400</v>
      </c>
      <c r="K231" s="15" t="s">
        <v>401</v>
      </c>
      <c r="L231" s="13" t="s">
        <v>402</v>
      </c>
      <c r="M231" s="15" t="s">
        <v>403</v>
      </c>
      <c r="N231" s="13" t="s">
        <v>98</v>
      </c>
      <c r="O231" s="15" t="s">
        <v>99</v>
      </c>
      <c r="P231" s="15" t="s">
        <v>100</v>
      </c>
      <c r="Q231" s="15" t="s">
        <v>208</v>
      </c>
      <c r="R231" s="13" t="s">
        <v>209</v>
      </c>
      <c r="S231" s="13" t="s">
        <v>103</v>
      </c>
      <c r="T231" s="13" t="s">
        <v>205</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20" x14ac:dyDescent="0.25">
      <c r="A232" s="13" t="s">
        <v>202</v>
      </c>
      <c r="B232" s="13" t="s">
        <v>153</v>
      </c>
      <c r="C232" s="14">
        <v>43152.5</v>
      </c>
      <c r="D232" s="13" t="s">
        <v>88</v>
      </c>
      <c r="E232" s="15" t="s">
        <v>89</v>
      </c>
      <c r="F232" s="13" t="s">
        <v>90</v>
      </c>
      <c r="G232" s="15" t="s">
        <v>91</v>
      </c>
      <c r="H232" s="13" t="s">
        <v>398</v>
      </c>
      <c r="I232" s="15" t="s">
        <v>399</v>
      </c>
      <c r="J232" s="15" t="s">
        <v>400</v>
      </c>
      <c r="K232" s="15" t="s">
        <v>401</v>
      </c>
      <c r="L232" s="13" t="s">
        <v>404</v>
      </c>
      <c r="M232" s="15" t="s">
        <v>405</v>
      </c>
      <c r="N232" s="13" t="s">
        <v>98</v>
      </c>
      <c r="O232" s="15" t="s">
        <v>170</v>
      </c>
      <c r="P232" s="15" t="s">
        <v>171</v>
      </c>
      <c r="Q232" s="15" t="s">
        <v>208</v>
      </c>
      <c r="R232" s="13" t="s">
        <v>209</v>
      </c>
      <c r="S232" s="13" t="s">
        <v>103</v>
      </c>
      <c r="T232" s="13" t="s">
        <v>205</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105" x14ac:dyDescent="0.25">
      <c r="A233" s="13" t="s">
        <v>202</v>
      </c>
      <c r="B233" s="13" t="s">
        <v>153</v>
      </c>
      <c r="C233" s="14">
        <v>43152.5</v>
      </c>
      <c r="D233" s="13" t="s">
        <v>88</v>
      </c>
      <c r="E233" s="15" t="s">
        <v>89</v>
      </c>
      <c r="F233" s="13" t="s">
        <v>90</v>
      </c>
      <c r="G233" s="15" t="s">
        <v>91</v>
      </c>
      <c r="H233" s="13" t="s">
        <v>398</v>
      </c>
      <c r="I233" s="15" t="s">
        <v>399</v>
      </c>
      <c r="J233" s="15" t="s">
        <v>400</v>
      </c>
      <c r="K233" s="15" t="s">
        <v>401</v>
      </c>
      <c r="L233" s="13" t="s">
        <v>406</v>
      </c>
      <c r="M233" s="15" t="s">
        <v>407</v>
      </c>
      <c r="N233" s="13" t="s">
        <v>188</v>
      </c>
      <c r="O233" s="15" t="s">
        <v>189</v>
      </c>
      <c r="P233" s="15" t="s">
        <v>190</v>
      </c>
      <c r="Q233" s="15" t="s">
        <v>208</v>
      </c>
      <c r="R233" s="13" t="s">
        <v>209</v>
      </c>
      <c r="S233" s="13" t="s">
        <v>103</v>
      </c>
      <c r="T233" s="13" t="s">
        <v>205</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20" x14ac:dyDescent="0.25">
      <c r="A234" s="13" t="s">
        <v>86</v>
      </c>
      <c r="B234" s="13" t="s">
        <v>87</v>
      </c>
      <c r="C234" s="14">
        <v>43850.552083333336</v>
      </c>
      <c r="D234" s="13" t="s">
        <v>88</v>
      </c>
      <c r="E234" s="15" t="s">
        <v>89</v>
      </c>
      <c r="F234" s="13" t="s">
        <v>90</v>
      </c>
      <c r="G234" s="15" t="s">
        <v>91</v>
      </c>
      <c r="H234" s="13" t="s">
        <v>398</v>
      </c>
      <c r="I234" s="15" t="s">
        <v>399</v>
      </c>
      <c r="J234" s="15" t="s">
        <v>400</v>
      </c>
      <c r="K234" s="15" t="s">
        <v>401</v>
      </c>
      <c r="L234" s="13" t="s">
        <v>402</v>
      </c>
      <c r="M234" s="15" t="s">
        <v>403</v>
      </c>
      <c r="N234" s="13" t="s">
        <v>98</v>
      </c>
      <c r="O234" s="15" t="s">
        <v>99</v>
      </c>
      <c r="P234" s="15" t="s">
        <v>100</v>
      </c>
      <c r="Q234" s="15" t="s">
        <v>259</v>
      </c>
      <c r="R234" s="13" t="s">
        <v>260</v>
      </c>
      <c r="S234" s="13" t="s">
        <v>212</v>
      </c>
      <c r="T234" s="13" t="s">
        <v>104</v>
      </c>
      <c r="U234" s="14">
        <v>40725</v>
      </c>
      <c r="V234" s="14">
        <v>43830</v>
      </c>
      <c r="W234" s="15"/>
      <c r="X234" s="15"/>
      <c r="Y234" s="13"/>
      <c r="Z234" s="15"/>
      <c r="AA234" s="15"/>
      <c r="AB234" s="15"/>
      <c r="AC234" s="13"/>
      <c r="AD234" s="15"/>
      <c r="AE234" s="15"/>
      <c r="AF234" s="15"/>
      <c r="AG234" s="13"/>
      <c r="AH234" s="15"/>
      <c r="AI234" s="15"/>
      <c r="AJ234" s="15"/>
      <c r="AK234" s="13"/>
      <c r="AL234" s="15"/>
      <c r="AM234" s="15"/>
      <c r="AN234" s="13"/>
      <c r="AO234" s="13"/>
    </row>
    <row r="235" spans="1:41" ht="120" x14ac:dyDescent="0.25">
      <c r="A235" s="13" t="s">
        <v>86</v>
      </c>
      <c r="B235" s="13" t="s">
        <v>153</v>
      </c>
      <c r="C235" s="14">
        <v>44012.461111111108</v>
      </c>
      <c r="D235" s="13" t="s">
        <v>88</v>
      </c>
      <c r="E235" s="15" t="s">
        <v>89</v>
      </c>
      <c r="F235" s="13" t="s">
        <v>90</v>
      </c>
      <c r="G235" s="15" t="s">
        <v>91</v>
      </c>
      <c r="H235" s="13" t="s">
        <v>398</v>
      </c>
      <c r="I235" s="15" t="s">
        <v>399</v>
      </c>
      <c r="J235" s="15" t="s">
        <v>400</v>
      </c>
      <c r="K235" s="15" t="s">
        <v>401</v>
      </c>
      <c r="L235" s="13" t="s">
        <v>402</v>
      </c>
      <c r="M235" s="15" t="s">
        <v>403</v>
      </c>
      <c r="N235" s="13" t="s">
        <v>98</v>
      </c>
      <c r="O235" s="15" t="s">
        <v>99</v>
      </c>
      <c r="P235" s="15" t="s">
        <v>100</v>
      </c>
      <c r="Q235" s="15" t="s">
        <v>259</v>
      </c>
      <c r="R235" s="13" t="s">
        <v>260</v>
      </c>
      <c r="S235" s="13" t="s">
        <v>212</v>
      </c>
      <c r="T235" s="13" t="s">
        <v>104</v>
      </c>
      <c r="U235" s="14">
        <v>43831</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120" x14ac:dyDescent="0.25">
      <c r="A236" s="13" t="s">
        <v>86</v>
      </c>
      <c r="B236" s="13" t="s">
        <v>87</v>
      </c>
      <c r="C236" s="14">
        <v>43850.552083333336</v>
      </c>
      <c r="D236" s="13" t="s">
        <v>88</v>
      </c>
      <c r="E236" s="15" t="s">
        <v>89</v>
      </c>
      <c r="F236" s="13" t="s">
        <v>90</v>
      </c>
      <c r="G236" s="15" t="s">
        <v>91</v>
      </c>
      <c r="H236" s="13" t="s">
        <v>398</v>
      </c>
      <c r="I236" s="15" t="s">
        <v>399</v>
      </c>
      <c r="J236" s="15" t="s">
        <v>400</v>
      </c>
      <c r="K236" s="15" t="s">
        <v>401</v>
      </c>
      <c r="L236" s="13" t="s">
        <v>404</v>
      </c>
      <c r="M236" s="15" t="s">
        <v>405</v>
      </c>
      <c r="N236" s="13" t="s">
        <v>98</v>
      </c>
      <c r="O236" s="15" t="s">
        <v>170</v>
      </c>
      <c r="P236" s="15" t="s">
        <v>171</v>
      </c>
      <c r="Q236" s="15" t="s">
        <v>259</v>
      </c>
      <c r="R236" s="13" t="s">
        <v>260</v>
      </c>
      <c r="S236" s="13" t="s">
        <v>212</v>
      </c>
      <c r="T236" s="13" t="s">
        <v>104</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105" x14ac:dyDescent="0.25">
      <c r="A237" s="13" t="s">
        <v>86</v>
      </c>
      <c r="B237" s="13" t="s">
        <v>87</v>
      </c>
      <c r="C237" s="14">
        <v>43850.552083333336</v>
      </c>
      <c r="D237" s="13" t="s">
        <v>88</v>
      </c>
      <c r="E237" s="15" t="s">
        <v>89</v>
      </c>
      <c r="F237" s="13" t="s">
        <v>90</v>
      </c>
      <c r="G237" s="15" t="s">
        <v>91</v>
      </c>
      <c r="H237" s="13" t="s">
        <v>398</v>
      </c>
      <c r="I237" s="15" t="s">
        <v>399</v>
      </c>
      <c r="J237" s="15" t="s">
        <v>400</v>
      </c>
      <c r="K237" s="15" t="s">
        <v>401</v>
      </c>
      <c r="L237" s="13" t="s">
        <v>406</v>
      </c>
      <c r="M237" s="15" t="s">
        <v>407</v>
      </c>
      <c r="N237" s="13" t="s">
        <v>188</v>
      </c>
      <c r="O237" s="15" t="s">
        <v>189</v>
      </c>
      <c r="P237" s="15" t="s">
        <v>190</v>
      </c>
      <c r="Q237" s="15" t="s">
        <v>259</v>
      </c>
      <c r="R237" s="13" t="s">
        <v>260</v>
      </c>
      <c r="S237" s="13" t="s">
        <v>212</v>
      </c>
      <c r="T237" s="13" t="s">
        <v>104</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120" x14ac:dyDescent="0.25">
      <c r="A238" s="13" t="s">
        <v>202</v>
      </c>
      <c r="B238" s="13" t="s">
        <v>153</v>
      </c>
      <c r="C238" s="14">
        <v>43152.5</v>
      </c>
      <c r="D238" s="13" t="s">
        <v>88</v>
      </c>
      <c r="E238" s="15" t="s">
        <v>89</v>
      </c>
      <c r="F238" s="13" t="s">
        <v>90</v>
      </c>
      <c r="G238" s="15" t="s">
        <v>91</v>
      </c>
      <c r="H238" s="13" t="s">
        <v>412</v>
      </c>
      <c r="I238" s="15" t="s">
        <v>413</v>
      </c>
      <c r="J238" s="15" t="s">
        <v>414</v>
      </c>
      <c r="K238" s="15" t="s">
        <v>415</v>
      </c>
      <c r="L238" s="13" t="s">
        <v>416</v>
      </c>
      <c r="M238" s="15" t="s">
        <v>417</v>
      </c>
      <c r="N238" s="13" t="s">
        <v>98</v>
      </c>
      <c r="O238" s="15" t="s">
        <v>99</v>
      </c>
      <c r="P238" s="15" t="s">
        <v>100</v>
      </c>
      <c r="Q238" s="15" t="s">
        <v>101</v>
      </c>
      <c r="R238" s="13" t="s">
        <v>102</v>
      </c>
      <c r="S238" s="13" t="s">
        <v>103</v>
      </c>
      <c r="T238" s="13" t="s">
        <v>205</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120" x14ac:dyDescent="0.25">
      <c r="A239" s="13" t="s">
        <v>202</v>
      </c>
      <c r="B239" s="13" t="s">
        <v>153</v>
      </c>
      <c r="C239" s="14">
        <v>43152.5</v>
      </c>
      <c r="D239" s="13" t="s">
        <v>88</v>
      </c>
      <c r="E239" s="15" t="s">
        <v>89</v>
      </c>
      <c r="F239" s="13" t="s">
        <v>90</v>
      </c>
      <c r="G239" s="15" t="s">
        <v>91</v>
      </c>
      <c r="H239" s="13" t="s">
        <v>412</v>
      </c>
      <c r="I239" s="15" t="s">
        <v>413</v>
      </c>
      <c r="J239" s="15" t="s">
        <v>414</v>
      </c>
      <c r="K239" s="15" t="s">
        <v>415</v>
      </c>
      <c r="L239" s="13" t="s">
        <v>418</v>
      </c>
      <c r="M239" s="15" t="s">
        <v>419</v>
      </c>
      <c r="N239" s="13" t="s">
        <v>98</v>
      </c>
      <c r="O239" s="15" t="s">
        <v>170</v>
      </c>
      <c r="P239" s="15" t="s">
        <v>171</v>
      </c>
      <c r="Q239" s="15" t="s">
        <v>101</v>
      </c>
      <c r="R239" s="13" t="s">
        <v>102</v>
      </c>
      <c r="S239" s="13" t="s">
        <v>103</v>
      </c>
      <c r="T239" s="13" t="s">
        <v>205</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20" x14ac:dyDescent="0.25">
      <c r="A240" s="13" t="s">
        <v>202</v>
      </c>
      <c r="B240" s="13" t="s">
        <v>153</v>
      </c>
      <c r="C240" s="14">
        <v>43152.5</v>
      </c>
      <c r="D240" s="13" t="s">
        <v>88</v>
      </c>
      <c r="E240" s="15" t="s">
        <v>89</v>
      </c>
      <c r="F240" s="13" t="s">
        <v>90</v>
      </c>
      <c r="G240" s="15" t="s">
        <v>91</v>
      </c>
      <c r="H240" s="13" t="s">
        <v>412</v>
      </c>
      <c r="I240" s="15" t="s">
        <v>413</v>
      </c>
      <c r="J240" s="15" t="s">
        <v>414</v>
      </c>
      <c r="K240" s="15" t="s">
        <v>415</v>
      </c>
      <c r="L240" s="13" t="s">
        <v>420</v>
      </c>
      <c r="M240" s="15" t="s">
        <v>421</v>
      </c>
      <c r="N240" s="13" t="s">
        <v>188</v>
      </c>
      <c r="O240" s="15" t="s">
        <v>189</v>
      </c>
      <c r="P240" s="15" t="s">
        <v>190</v>
      </c>
      <c r="Q240" s="15" t="s">
        <v>101</v>
      </c>
      <c r="R240" s="13" t="s">
        <v>102</v>
      </c>
      <c r="S240" s="13" t="s">
        <v>103</v>
      </c>
      <c r="T240" s="13" t="s">
        <v>205</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120" x14ac:dyDescent="0.25">
      <c r="A241" s="13" t="s">
        <v>202</v>
      </c>
      <c r="B241" s="13" t="s">
        <v>153</v>
      </c>
      <c r="C241" s="14">
        <v>43152.5</v>
      </c>
      <c r="D241" s="13" t="s">
        <v>88</v>
      </c>
      <c r="E241" s="15" t="s">
        <v>89</v>
      </c>
      <c r="F241" s="13" t="s">
        <v>90</v>
      </c>
      <c r="G241" s="15" t="s">
        <v>91</v>
      </c>
      <c r="H241" s="13" t="s">
        <v>412</v>
      </c>
      <c r="I241" s="15" t="s">
        <v>413</v>
      </c>
      <c r="J241" s="15" t="s">
        <v>414</v>
      </c>
      <c r="K241" s="15" t="s">
        <v>415</v>
      </c>
      <c r="L241" s="13" t="s">
        <v>416</v>
      </c>
      <c r="M241" s="15" t="s">
        <v>417</v>
      </c>
      <c r="N241" s="13" t="s">
        <v>98</v>
      </c>
      <c r="O241" s="15" t="s">
        <v>99</v>
      </c>
      <c r="P241" s="15" t="s">
        <v>100</v>
      </c>
      <c r="Q241" s="15" t="s">
        <v>203</v>
      </c>
      <c r="R241" s="13" t="s">
        <v>204</v>
      </c>
      <c r="S241" s="13" t="s">
        <v>103</v>
      </c>
      <c r="T241" s="13" t="s">
        <v>205</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120" x14ac:dyDescent="0.25">
      <c r="A242" s="13" t="s">
        <v>202</v>
      </c>
      <c r="B242" s="13" t="s">
        <v>153</v>
      </c>
      <c r="C242" s="14">
        <v>43152.5</v>
      </c>
      <c r="D242" s="13" t="s">
        <v>88</v>
      </c>
      <c r="E242" s="15" t="s">
        <v>89</v>
      </c>
      <c r="F242" s="13" t="s">
        <v>90</v>
      </c>
      <c r="G242" s="15" t="s">
        <v>91</v>
      </c>
      <c r="H242" s="13" t="s">
        <v>412</v>
      </c>
      <c r="I242" s="15" t="s">
        <v>413</v>
      </c>
      <c r="J242" s="15" t="s">
        <v>414</v>
      </c>
      <c r="K242" s="15" t="s">
        <v>415</v>
      </c>
      <c r="L242" s="13" t="s">
        <v>418</v>
      </c>
      <c r="M242" s="15" t="s">
        <v>419</v>
      </c>
      <c r="N242" s="13" t="s">
        <v>98</v>
      </c>
      <c r="O242" s="15" t="s">
        <v>170</v>
      </c>
      <c r="P242" s="15" t="s">
        <v>171</v>
      </c>
      <c r="Q242" s="15" t="s">
        <v>203</v>
      </c>
      <c r="R242" s="13" t="s">
        <v>204</v>
      </c>
      <c r="S242" s="13" t="s">
        <v>103</v>
      </c>
      <c r="T242" s="13" t="s">
        <v>205</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120" x14ac:dyDescent="0.25">
      <c r="A243" s="13" t="s">
        <v>202</v>
      </c>
      <c r="B243" s="13" t="s">
        <v>153</v>
      </c>
      <c r="C243" s="14">
        <v>43152.5</v>
      </c>
      <c r="D243" s="13" t="s">
        <v>88</v>
      </c>
      <c r="E243" s="15" t="s">
        <v>89</v>
      </c>
      <c r="F243" s="13" t="s">
        <v>90</v>
      </c>
      <c r="G243" s="15" t="s">
        <v>91</v>
      </c>
      <c r="H243" s="13" t="s">
        <v>412</v>
      </c>
      <c r="I243" s="15" t="s">
        <v>413</v>
      </c>
      <c r="J243" s="15" t="s">
        <v>414</v>
      </c>
      <c r="K243" s="15" t="s">
        <v>415</v>
      </c>
      <c r="L243" s="13" t="s">
        <v>420</v>
      </c>
      <c r="M243" s="15" t="s">
        <v>421</v>
      </c>
      <c r="N243" s="13" t="s">
        <v>188</v>
      </c>
      <c r="O243" s="15" t="s">
        <v>189</v>
      </c>
      <c r="P243" s="15" t="s">
        <v>190</v>
      </c>
      <c r="Q243" s="15" t="s">
        <v>203</v>
      </c>
      <c r="R243" s="13" t="s">
        <v>204</v>
      </c>
      <c r="S243" s="13" t="s">
        <v>103</v>
      </c>
      <c r="T243" s="13" t="s">
        <v>205</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120" x14ac:dyDescent="0.25">
      <c r="A244" s="13" t="s">
        <v>202</v>
      </c>
      <c r="B244" s="13" t="s">
        <v>153</v>
      </c>
      <c r="C244" s="14">
        <v>43152.5</v>
      </c>
      <c r="D244" s="13" t="s">
        <v>88</v>
      </c>
      <c r="E244" s="15" t="s">
        <v>89</v>
      </c>
      <c r="F244" s="13" t="s">
        <v>90</v>
      </c>
      <c r="G244" s="15" t="s">
        <v>91</v>
      </c>
      <c r="H244" s="13" t="s">
        <v>412</v>
      </c>
      <c r="I244" s="15" t="s">
        <v>413</v>
      </c>
      <c r="J244" s="15" t="s">
        <v>414</v>
      </c>
      <c r="K244" s="15" t="s">
        <v>415</v>
      </c>
      <c r="L244" s="13" t="s">
        <v>416</v>
      </c>
      <c r="M244" s="15" t="s">
        <v>417</v>
      </c>
      <c r="N244" s="13" t="s">
        <v>98</v>
      </c>
      <c r="O244" s="15" t="s">
        <v>99</v>
      </c>
      <c r="P244" s="15" t="s">
        <v>100</v>
      </c>
      <c r="Q244" s="15" t="s">
        <v>206</v>
      </c>
      <c r="R244" s="13" t="s">
        <v>207</v>
      </c>
      <c r="S244" s="13" t="s">
        <v>103</v>
      </c>
      <c r="T244" s="13" t="s">
        <v>205</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120" x14ac:dyDescent="0.25">
      <c r="A245" s="13" t="s">
        <v>202</v>
      </c>
      <c r="B245" s="13" t="s">
        <v>153</v>
      </c>
      <c r="C245" s="14">
        <v>43152.5</v>
      </c>
      <c r="D245" s="13" t="s">
        <v>88</v>
      </c>
      <c r="E245" s="15" t="s">
        <v>89</v>
      </c>
      <c r="F245" s="13" t="s">
        <v>90</v>
      </c>
      <c r="G245" s="15" t="s">
        <v>91</v>
      </c>
      <c r="H245" s="13" t="s">
        <v>412</v>
      </c>
      <c r="I245" s="15" t="s">
        <v>413</v>
      </c>
      <c r="J245" s="15" t="s">
        <v>414</v>
      </c>
      <c r="K245" s="15" t="s">
        <v>415</v>
      </c>
      <c r="L245" s="13" t="s">
        <v>418</v>
      </c>
      <c r="M245" s="15" t="s">
        <v>419</v>
      </c>
      <c r="N245" s="13" t="s">
        <v>98</v>
      </c>
      <c r="O245" s="15" t="s">
        <v>170</v>
      </c>
      <c r="P245" s="15" t="s">
        <v>171</v>
      </c>
      <c r="Q245" s="15" t="s">
        <v>206</v>
      </c>
      <c r="R245" s="13" t="s">
        <v>207</v>
      </c>
      <c r="S245" s="13" t="s">
        <v>103</v>
      </c>
      <c r="T245" s="13" t="s">
        <v>205</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120" x14ac:dyDescent="0.25">
      <c r="A246" s="13" t="s">
        <v>202</v>
      </c>
      <c r="B246" s="13" t="s">
        <v>153</v>
      </c>
      <c r="C246" s="14">
        <v>43152.5</v>
      </c>
      <c r="D246" s="13" t="s">
        <v>88</v>
      </c>
      <c r="E246" s="15" t="s">
        <v>89</v>
      </c>
      <c r="F246" s="13" t="s">
        <v>90</v>
      </c>
      <c r="G246" s="15" t="s">
        <v>91</v>
      </c>
      <c r="H246" s="13" t="s">
        <v>412</v>
      </c>
      <c r="I246" s="15" t="s">
        <v>413</v>
      </c>
      <c r="J246" s="15" t="s">
        <v>414</v>
      </c>
      <c r="K246" s="15" t="s">
        <v>415</v>
      </c>
      <c r="L246" s="13" t="s">
        <v>420</v>
      </c>
      <c r="M246" s="15" t="s">
        <v>421</v>
      </c>
      <c r="N246" s="13" t="s">
        <v>188</v>
      </c>
      <c r="O246" s="15" t="s">
        <v>189</v>
      </c>
      <c r="P246" s="15" t="s">
        <v>190</v>
      </c>
      <c r="Q246" s="15" t="s">
        <v>206</v>
      </c>
      <c r="R246" s="13" t="s">
        <v>207</v>
      </c>
      <c r="S246" s="13" t="s">
        <v>103</v>
      </c>
      <c r="T246" s="13" t="s">
        <v>205</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120" x14ac:dyDescent="0.25">
      <c r="A247" s="13" t="s">
        <v>202</v>
      </c>
      <c r="B247" s="13" t="s">
        <v>153</v>
      </c>
      <c r="C247" s="14">
        <v>43152.5</v>
      </c>
      <c r="D247" s="13" t="s">
        <v>88</v>
      </c>
      <c r="E247" s="15" t="s">
        <v>89</v>
      </c>
      <c r="F247" s="13" t="s">
        <v>90</v>
      </c>
      <c r="G247" s="15" t="s">
        <v>91</v>
      </c>
      <c r="H247" s="13" t="s">
        <v>412</v>
      </c>
      <c r="I247" s="15" t="s">
        <v>413</v>
      </c>
      <c r="J247" s="15" t="s">
        <v>414</v>
      </c>
      <c r="K247" s="15" t="s">
        <v>415</v>
      </c>
      <c r="L247" s="13" t="s">
        <v>416</v>
      </c>
      <c r="M247" s="15" t="s">
        <v>417</v>
      </c>
      <c r="N247" s="13" t="s">
        <v>98</v>
      </c>
      <c r="O247" s="15" t="s">
        <v>99</v>
      </c>
      <c r="P247" s="15" t="s">
        <v>100</v>
      </c>
      <c r="Q247" s="15" t="s">
        <v>208</v>
      </c>
      <c r="R247" s="13" t="s">
        <v>209</v>
      </c>
      <c r="S247" s="13" t="s">
        <v>103</v>
      </c>
      <c r="T247" s="13" t="s">
        <v>205</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120" x14ac:dyDescent="0.25">
      <c r="A248" s="13" t="s">
        <v>202</v>
      </c>
      <c r="B248" s="13" t="s">
        <v>153</v>
      </c>
      <c r="C248" s="14">
        <v>43152.5</v>
      </c>
      <c r="D248" s="13" t="s">
        <v>88</v>
      </c>
      <c r="E248" s="15" t="s">
        <v>89</v>
      </c>
      <c r="F248" s="13" t="s">
        <v>90</v>
      </c>
      <c r="G248" s="15" t="s">
        <v>91</v>
      </c>
      <c r="H248" s="13" t="s">
        <v>412</v>
      </c>
      <c r="I248" s="15" t="s">
        <v>413</v>
      </c>
      <c r="J248" s="15" t="s">
        <v>414</v>
      </c>
      <c r="K248" s="15" t="s">
        <v>415</v>
      </c>
      <c r="L248" s="13" t="s">
        <v>418</v>
      </c>
      <c r="M248" s="15" t="s">
        <v>419</v>
      </c>
      <c r="N248" s="13" t="s">
        <v>98</v>
      </c>
      <c r="O248" s="15" t="s">
        <v>170</v>
      </c>
      <c r="P248" s="15" t="s">
        <v>171</v>
      </c>
      <c r="Q248" s="15" t="s">
        <v>208</v>
      </c>
      <c r="R248" s="13" t="s">
        <v>209</v>
      </c>
      <c r="S248" s="13" t="s">
        <v>103</v>
      </c>
      <c r="T248" s="13" t="s">
        <v>205</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120" x14ac:dyDescent="0.25">
      <c r="A249" s="13" t="s">
        <v>202</v>
      </c>
      <c r="B249" s="13" t="s">
        <v>153</v>
      </c>
      <c r="C249" s="14">
        <v>43152.5</v>
      </c>
      <c r="D249" s="13" t="s">
        <v>88</v>
      </c>
      <c r="E249" s="15" t="s">
        <v>89</v>
      </c>
      <c r="F249" s="13" t="s">
        <v>90</v>
      </c>
      <c r="G249" s="15" t="s">
        <v>91</v>
      </c>
      <c r="H249" s="13" t="s">
        <v>412</v>
      </c>
      <c r="I249" s="15" t="s">
        <v>413</v>
      </c>
      <c r="J249" s="15" t="s">
        <v>414</v>
      </c>
      <c r="K249" s="15" t="s">
        <v>415</v>
      </c>
      <c r="L249" s="13" t="s">
        <v>420</v>
      </c>
      <c r="M249" s="15" t="s">
        <v>421</v>
      </c>
      <c r="N249" s="13" t="s">
        <v>188</v>
      </c>
      <c r="O249" s="15" t="s">
        <v>189</v>
      </c>
      <c r="P249" s="15" t="s">
        <v>190</v>
      </c>
      <c r="Q249" s="15" t="s">
        <v>208</v>
      </c>
      <c r="R249" s="13" t="s">
        <v>209</v>
      </c>
      <c r="S249" s="13" t="s">
        <v>103</v>
      </c>
      <c r="T249" s="13" t="s">
        <v>205</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120" x14ac:dyDescent="0.25">
      <c r="A250" s="13" t="s">
        <v>86</v>
      </c>
      <c r="B250" s="13" t="s">
        <v>87</v>
      </c>
      <c r="C250" s="14">
        <v>43850.552083333336</v>
      </c>
      <c r="D250" s="13" t="s">
        <v>88</v>
      </c>
      <c r="E250" s="15" t="s">
        <v>89</v>
      </c>
      <c r="F250" s="13" t="s">
        <v>90</v>
      </c>
      <c r="G250" s="15" t="s">
        <v>91</v>
      </c>
      <c r="H250" s="13" t="s">
        <v>412</v>
      </c>
      <c r="I250" s="15" t="s">
        <v>413</v>
      </c>
      <c r="J250" s="15" t="s">
        <v>414</v>
      </c>
      <c r="K250" s="15" t="s">
        <v>415</v>
      </c>
      <c r="L250" s="13" t="s">
        <v>416</v>
      </c>
      <c r="M250" s="15" t="s">
        <v>417</v>
      </c>
      <c r="N250" s="13" t="s">
        <v>98</v>
      </c>
      <c r="O250" s="15" t="s">
        <v>99</v>
      </c>
      <c r="P250" s="15" t="s">
        <v>100</v>
      </c>
      <c r="Q250" s="15" t="s">
        <v>259</v>
      </c>
      <c r="R250" s="13" t="s">
        <v>260</v>
      </c>
      <c r="S250" s="13" t="s">
        <v>212</v>
      </c>
      <c r="T250" s="13" t="s">
        <v>104</v>
      </c>
      <c r="U250" s="14">
        <v>40725</v>
      </c>
      <c r="V250" s="14">
        <v>43830</v>
      </c>
      <c r="W250" s="15"/>
      <c r="X250" s="15"/>
      <c r="Y250" s="13"/>
      <c r="Z250" s="15"/>
      <c r="AA250" s="15"/>
      <c r="AB250" s="15"/>
      <c r="AC250" s="13"/>
      <c r="AD250" s="15"/>
      <c r="AE250" s="15"/>
      <c r="AF250" s="15"/>
      <c r="AG250" s="13"/>
      <c r="AH250" s="15"/>
      <c r="AI250" s="15"/>
      <c r="AJ250" s="15"/>
      <c r="AK250" s="13"/>
      <c r="AL250" s="15"/>
      <c r="AM250" s="15"/>
      <c r="AN250" s="13"/>
      <c r="AO250" s="13"/>
    </row>
    <row r="251" spans="1:41" ht="120" x14ac:dyDescent="0.25">
      <c r="A251" s="13" t="s">
        <v>86</v>
      </c>
      <c r="B251" s="13" t="s">
        <v>153</v>
      </c>
      <c r="C251" s="14">
        <v>44012.461805555555</v>
      </c>
      <c r="D251" s="13" t="s">
        <v>88</v>
      </c>
      <c r="E251" s="15" t="s">
        <v>89</v>
      </c>
      <c r="F251" s="13" t="s">
        <v>90</v>
      </c>
      <c r="G251" s="15" t="s">
        <v>91</v>
      </c>
      <c r="H251" s="13" t="s">
        <v>412</v>
      </c>
      <c r="I251" s="15" t="s">
        <v>413</v>
      </c>
      <c r="J251" s="15" t="s">
        <v>414</v>
      </c>
      <c r="K251" s="15" t="s">
        <v>415</v>
      </c>
      <c r="L251" s="13" t="s">
        <v>416</v>
      </c>
      <c r="M251" s="15" t="s">
        <v>417</v>
      </c>
      <c r="N251" s="13" t="s">
        <v>98</v>
      </c>
      <c r="O251" s="15" t="s">
        <v>99</v>
      </c>
      <c r="P251" s="15" t="s">
        <v>100</v>
      </c>
      <c r="Q251" s="15" t="s">
        <v>259</v>
      </c>
      <c r="R251" s="13" t="s">
        <v>260</v>
      </c>
      <c r="S251" s="13" t="s">
        <v>212</v>
      </c>
      <c r="T251" s="13" t="s">
        <v>104</v>
      </c>
      <c r="U251" s="14">
        <v>43831</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120" x14ac:dyDescent="0.25">
      <c r="A252" s="13" t="s">
        <v>86</v>
      </c>
      <c r="B252" s="13" t="s">
        <v>87</v>
      </c>
      <c r="C252" s="14">
        <v>43850.552083333336</v>
      </c>
      <c r="D252" s="13" t="s">
        <v>88</v>
      </c>
      <c r="E252" s="15" t="s">
        <v>89</v>
      </c>
      <c r="F252" s="13" t="s">
        <v>90</v>
      </c>
      <c r="G252" s="15" t="s">
        <v>91</v>
      </c>
      <c r="H252" s="13" t="s">
        <v>412</v>
      </c>
      <c r="I252" s="15" t="s">
        <v>413</v>
      </c>
      <c r="J252" s="15" t="s">
        <v>414</v>
      </c>
      <c r="K252" s="15" t="s">
        <v>415</v>
      </c>
      <c r="L252" s="13" t="s">
        <v>418</v>
      </c>
      <c r="M252" s="15" t="s">
        <v>419</v>
      </c>
      <c r="N252" s="13" t="s">
        <v>98</v>
      </c>
      <c r="O252" s="15" t="s">
        <v>170</v>
      </c>
      <c r="P252" s="15" t="s">
        <v>171</v>
      </c>
      <c r="Q252" s="15" t="s">
        <v>259</v>
      </c>
      <c r="R252" s="13" t="s">
        <v>260</v>
      </c>
      <c r="S252" s="13" t="s">
        <v>212</v>
      </c>
      <c r="T252" s="13" t="s">
        <v>104</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120" x14ac:dyDescent="0.25">
      <c r="A253" s="13" t="s">
        <v>86</v>
      </c>
      <c r="B253" s="13" t="s">
        <v>87</v>
      </c>
      <c r="C253" s="14">
        <v>43850.552083333336</v>
      </c>
      <c r="D253" s="13" t="s">
        <v>88</v>
      </c>
      <c r="E253" s="15" t="s">
        <v>89</v>
      </c>
      <c r="F253" s="13" t="s">
        <v>90</v>
      </c>
      <c r="G253" s="15" t="s">
        <v>91</v>
      </c>
      <c r="H253" s="13" t="s">
        <v>412</v>
      </c>
      <c r="I253" s="15" t="s">
        <v>413</v>
      </c>
      <c r="J253" s="15" t="s">
        <v>414</v>
      </c>
      <c r="K253" s="15" t="s">
        <v>415</v>
      </c>
      <c r="L253" s="13" t="s">
        <v>420</v>
      </c>
      <c r="M253" s="15" t="s">
        <v>421</v>
      </c>
      <c r="N253" s="13" t="s">
        <v>188</v>
      </c>
      <c r="O253" s="15" t="s">
        <v>189</v>
      </c>
      <c r="P253" s="15" t="s">
        <v>190</v>
      </c>
      <c r="Q253" s="15" t="s">
        <v>259</v>
      </c>
      <c r="R253" s="13" t="s">
        <v>260</v>
      </c>
      <c r="S253" s="13" t="s">
        <v>212</v>
      </c>
      <c r="T253" s="13" t="s">
        <v>104</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120" x14ac:dyDescent="0.25">
      <c r="A254" s="13" t="s">
        <v>86</v>
      </c>
      <c r="B254" s="13" t="s">
        <v>87</v>
      </c>
      <c r="C254" s="14">
        <v>44007.711805555555</v>
      </c>
      <c r="D254" s="13" t="s">
        <v>88</v>
      </c>
      <c r="E254" s="15" t="s">
        <v>89</v>
      </c>
      <c r="F254" s="13" t="s">
        <v>90</v>
      </c>
      <c r="G254" s="15" t="s">
        <v>91</v>
      </c>
      <c r="H254" s="13" t="s">
        <v>422</v>
      </c>
      <c r="I254" s="15" t="s">
        <v>423</v>
      </c>
      <c r="J254" s="15" t="s">
        <v>424</v>
      </c>
      <c r="K254" s="15" t="s">
        <v>425</v>
      </c>
      <c r="L254" s="13" t="s">
        <v>426</v>
      </c>
      <c r="M254" s="15" t="s">
        <v>427</v>
      </c>
      <c r="N254" s="13" t="s">
        <v>98</v>
      </c>
      <c r="O254" s="15" t="s">
        <v>428</v>
      </c>
      <c r="P254" s="15" t="s">
        <v>429</v>
      </c>
      <c r="Q254" s="15" t="s">
        <v>101</v>
      </c>
      <c r="R254" s="13" t="s">
        <v>102</v>
      </c>
      <c r="S254" s="13" t="s">
        <v>103</v>
      </c>
      <c r="T254" s="13" t="s">
        <v>104</v>
      </c>
      <c r="U254" s="14">
        <v>40725</v>
      </c>
      <c r="V254" s="14">
        <v>43830</v>
      </c>
      <c r="W254" s="15"/>
      <c r="X254" s="15"/>
      <c r="Y254" s="13"/>
      <c r="Z254" s="15"/>
      <c r="AA254" s="15"/>
      <c r="AB254" s="15"/>
      <c r="AC254" s="13"/>
      <c r="AD254" s="15"/>
      <c r="AE254" s="15"/>
      <c r="AF254" s="15"/>
      <c r="AG254" s="13"/>
      <c r="AH254" s="15"/>
      <c r="AI254" s="15"/>
      <c r="AJ254" s="15"/>
      <c r="AK254" s="13"/>
      <c r="AL254" s="15"/>
      <c r="AM254" s="15"/>
      <c r="AN254" s="13"/>
      <c r="AO254" s="13"/>
    </row>
    <row r="255" spans="1:41" ht="120" x14ac:dyDescent="0.25">
      <c r="A255" s="13" t="s">
        <v>86</v>
      </c>
      <c r="B255" s="13" t="s">
        <v>153</v>
      </c>
      <c r="C255" s="14">
        <v>44007.713888888888</v>
      </c>
      <c r="D255" s="13" t="s">
        <v>88</v>
      </c>
      <c r="E255" s="15" t="s">
        <v>89</v>
      </c>
      <c r="F255" s="13" t="s">
        <v>90</v>
      </c>
      <c r="G255" s="15" t="s">
        <v>91</v>
      </c>
      <c r="H255" s="13" t="s">
        <v>422</v>
      </c>
      <c r="I255" s="15" t="s">
        <v>423</v>
      </c>
      <c r="J255" s="15" t="s">
        <v>424</v>
      </c>
      <c r="K255" s="15" t="s">
        <v>425</v>
      </c>
      <c r="L255" s="13" t="s">
        <v>426</v>
      </c>
      <c r="M255" s="15" t="s">
        <v>427</v>
      </c>
      <c r="N255" s="13" t="s">
        <v>98</v>
      </c>
      <c r="O255" s="15" t="s">
        <v>428</v>
      </c>
      <c r="P255" s="15" t="s">
        <v>429</v>
      </c>
      <c r="Q255" s="15" t="s">
        <v>101</v>
      </c>
      <c r="R255" s="13" t="s">
        <v>102</v>
      </c>
      <c r="S255" s="13" t="s">
        <v>103</v>
      </c>
      <c r="T255" s="13" t="s">
        <v>104</v>
      </c>
      <c r="U255" s="14">
        <v>43831</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120" x14ac:dyDescent="0.25">
      <c r="A256" s="13" t="s">
        <v>86</v>
      </c>
      <c r="B256" s="13" t="s">
        <v>87</v>
      </c>
      <c r="C256" s="14">
        <v>43850.552083333336</v>
      </c>
      <c r="D256" s="13" t="s">
        <v>88</v>
      </c>
      <c r="E256" s="15" t="s">
        <v>89</v>
      </c>
      <c r="F256" s="13" t="s">
        <v>90</v>
      </c>
      <c r="G256" s="15" t="s">
        <v>91</v>
      </c>
      <c r="H256" s="13" t="s">
        <v>422</v>
      </c>
      <c r="I256" s="15" t="s">
        <v>423</v>
      </c>
      <c r="J256" s="15" t="s">
        <v>424</v>
      </c>
      <c r="K256" s="15" t="s">
        <v>425</v>
      </c>
      <c r="L256" s="13" t="s">
        <v>434</v>
      </c>
      <c r="M256" s="15" t="s">
        <v>435</v>
      </c>
      <c r="N256" s="13" t="s">
        <v>188</v>
      </c>
      <c r="O256" s="15" t="s">
        <v>436</v>
      </c>
      <c r="P256" s="15" t="s">
        <v>437</v>
      </c>
      <c r="Q256" s="15" t="s">
        <v>101</v>
      </c>
      <c r="R256" s="13" t="s">
        <v>102</v>
      </c>
      <c r="S256" s="13" t="s">
        <v>103</v>
      </c>
      <c r="T256" s="13" t="s">
        <v>104</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120" x14ac:dyDescent="0.25">
      <c r="A257" s="13" t="s">
        <v>202</v>
      </c>
      <c r="B257" s="13" t="s">
        <v>153</v>
      </c>
      <c r="C257" s="14">
        <v>43152.5</v>
      </c>
      <c r="D257" s="13" t="s">
        <v>88</v>
      </c>
      <c r="E257" s="15" t="s">
        <v>89</v>
      </c>
      <c r="F257" s="13" t="s">
        <v>90</v>
      </c>
      <c r="G257" s="15" t="s">
        <v>91</v>
      </c>
      <c r="H257" s="13" t="s">
        <v>422</v>
      </c>
      <c r="I257" s="15" t="s">
        <v>423</v>
      </c>
      <c r="J257" s="15" t="s">
        <v>424</v>
      </c>
      <c r="K257" s="15" t="s">
        <v>425</v>
      </c>
      <c r="L257" s="13" t="s">
        <v>426</v>
      </c>
      <c r="M257" s="15" t="s">
        <v>427</v>
      </c>
      <c r="N257" s="13" t="s">
        <v>98</v>
      </c>
      <c r="O257" s="15" t="s">
        <v>428</v>
      </c>
      <c r="P257" s="15" t="s">
        <v>429</v>
      </c>
      <c r="Q257" s="15" t="s">
        <v>203</v>
      </c>
      <c r="R257" s="13" t="s">
        <v>204</v>
      </c>
      <c r="S257" s="13" t="s">
        <v>103</v>
      </c>
      <c r="T257" s="13" t="s">
        <v>205</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120" x14ac:dyDescent="0.25">
      <c r="A258" s="13" t="s">
        <v>202</v>
      </c>
      <c r="B258" s="13" t="s">
        <v>153</v>
      </c>
      <c r="C258" s="14">
        <v>43152.5</v>
      </c>
      <c r="D258" s="13" t="s">
        <v>88</v>
      </c>
      <c r="E258" s="15" t="s">
        <v>89</v>
      </c>
      <c r="F258" s="13" t="s">
        <v>90</v>
      </c>
      <c r="G258" s="15" t="s">
        <v>91</v>
      </c>
      <c r="H258" s="13" t="s">
        <v>422</v>
      </c>
      <c r="I258" s="15" t="s">
        <v>423</v>
      </c>
      <c r="J258" s="15" t="s">
        <v>424</v>
      </c>
      <c r="K258" s="15" t="s">
        <v>425</v>
      </c>
      <c r="L258" s="13" t="s">
        <v>434</v>
      </c>
      <c r="M258" s="15" t="s">
        <v>435</v>
      </c>
      <c r="N258" s="13" t="s">
        <v>188</v>
      </c>
      <c r="O258" s="15" t="s">
        <v>436</v>
      </c>
      <c r="P258" s="15" t="s">
        <v>437</v>
      </c>
      <c r="Q258" s="15" t="s">
        <v>203</v>
      </c>
      <c r="R258" s="13" t="s">
        <v>204</v>
      </c>
      <c r="S258" s="13" t="s">
        <v>103</v>
      </c>
      <c r="T258" s="13" t="s">
        <v>205</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120" x14ac:dyDescent="0.25">
      <c r="A259" s="13" t="s">
        <v>438</v>
      </c>
      <c r="B259" s="13" t="s">
        <v>87</v>
      </c>
      <c r="C259" s="14">
        <v>44300.498611111114</v>
      </c>
      <c r="D259" s="13" t="s">
        <v>88</v>
      </c>
      <c r="E259" s="15" t="s">
        <v>89</v>
      </c>
      <c r="F259" s="13" t="s">
        <v>90</v>
      </c>
      <c r="G259" s="15" t="s">
        <v>91</v>
      </c>
      <c r="H259" s="13" t="s">
        <v>422</v>
      </c>
      <c r="I259" s="15" t="s">
        <v>423</v>
      </c>
      <c r="J259" s="15" t="s">
        <v>424</v>
      </c>
      <c r="K259" s="15" t="s">
        <v>425</v>
      </c>
      <c r="L259" s="13" t="s">
        <v>426</v>
      </c>
      <c r="M259" s="15" t="s">
        <v>427</v>
      </c>
      <c r="N259" s="13" t="s">
        <v>98</v>
      </c>
      <c r="O259" s="15" t="s">
        <v>428</v>
      </c>
      <c r="P259" s="15" t="s">
        <v>429</v>
      </c>
      <c r="Q259" s="15" t="s">
        <v>206</v>
      </c>
      <c r="R259" s="13" t="s">
        <v>207</v>
      </c>
      <c r="S259" s="13" t="s">
        <v>103</v>
      </c>
      <c r="T259" s="13" t="s">
        <v>104</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120" x14ac:dyDescent="0.25">
      <c r="A260" s="13" t="s">
        <v>438</v>
      </c>
      <c r="B260" s="13" t="s">
        <v>153</v>
      </c>
      <c r="C260" s="14">
        <v>44300.5</v>
      </c>
      <c r="D260" s="13" t="s">
        <v>88</v>
      </c>
      <c r="E260" s="15" t="s">
        <v>89</v>
      </c>
      <c r="F260" s="13" t="s">
        <v>90</v>
      </c>
      <c r="G260" s="15" t="s">
        <v>91</v>
      </c>
      <c r="H260" s="13" t="s">
        <v>422</v>
      </c>
      <c r="I260" s="15" t="s">
        <v>423</v>
      </c>
      <c r="J260" s="15" t="s">
        <v>424</v>
      </c>
      <c r="K260" s="15" t="s">
        <v>425</v>
      </c>
      <c r="L260" s="13" t="s">
        <v>434</v>
      </c>
      <c r="M260" s="15" t="s">
        <v>435</v>
      </c>
      <c r="N260" s="13" t="s">
        <v>188</v>
      </c>
      <c r="O260" s="15" t="s">
        <v>436</v>
      </c>
      <c r="P260" s="15" t="s">
        <v>437</v>
      </c>
      <c r="Q260" s="15" t="s">
        <v>206</v>
      </c>
      <c r="R260" s="13" t="s">
        <v>207</v>
      </c>
      <c r="S260" s="13" t="s">
        <v>103</v>
      </c>
      <c r="T260" s="13" t="s">
        <v>104</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120" x14ac:dyDescent="0.25">
      <c r="A261" s="13" t="s">
        <v>202</v>
      </c>
      <c r="B261" s="13" t="s">
        <v>153</v>
      </c>
      <c r="C261" s="14">
        <v>43152.5</v>
      </c>
      <c r="D261" s="13" t="s">
        <v>88</v>
      </c>
      <c r="E261" s="15" t="s">
        <v>89</v>
      </c>
      <c r="F261" s="13" t="s">
        <v>90</v>
      </c>
      <c r="G261" s="15" t="s">
        <v>91</v>
      </c>
      <c r="H261" s="13" t="s">
        <v>422</v>
      </c>
      <c r="I261" s="15" t="s">
        <v>423</v>
      </c>
      <c r="J261" s="15" t="s">
        <v>424</v>
      </c>
      <c r="K261" s="15" t="s">
        <v>425</v>
      </c>
      <c r="L261" s="13" t="s">
        <v>426</v>
      </c>
      <c r="M261" s="15" t="s">
        <v>427</v>
      </c>
      <c r="N261" s="13" t="s">
        <v>98</v>
      </c>
      <c r="O261" s="15" t="s">
        <v>428</v>
      </c>
      <c r="P261" s="15" t="s">
        <v>429</v>
      </c>
      <c r="Q261" s="15" t="s">
        <v>208</v>
      </c>
      <c r="R261" s="13" t="s">
        <v>209</v>
      </c>
      <c r="S261" s="13" t="s">
        <v>103</v>
      </c>
      <c r="T261" s="13" t="s">
        <v>205</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120" x14ac:dyDescent="0.25">
      <c r="A262" s="13" t="s">
        <v>202</v>
      </c>
      <c r="B262" s="13" t="s">
        <v>153</v>
      </c>
      <c r="C262" s="14">
        <v>43152.5</v>
      </c>
      <c r="D262" s="13" t="s">
        <v>88</v>
      </c>
      <c r="E262" s="15" t="s">
        <v>89</v>
      </c>
      <c r="F262" s="13" t="s">
        <v>90</v>
      </c>
      <c r="G262" s="15" t="s">
        <v>91</v>
      </c>
      <c r="H262" s="13" t="s">
        <v>422</v>
      </c>
      <c r="I262" s="15" t="s">
        <v>423</v>
      </c>
      <c r="J262" s="15" t="s">
        <v>424</v>
      </c>
      <c r="K262" s="15" t="s">
        <v>425</v>
      </c>
      <c r="L262" s="13" t="s">
        <v>434</v>
      </c>
      <c r="M262" s="15" t="s">
        <v>435</v>
      </c>
      <c r="N262" s="13" t="s">
        <v>188</v>
      </c>
      <c r="O262" s="15" t="s">
        <v>436</v>
      </c>
      <c r="P262" s="15" t="s">
        <v>437</v>
      </c>
      <c r="Q262" s="15" t="s">
        <v>208</v>
      </c>
      <c r="R262" s="13" t="s">
        <v>209</v>
      </c>
      <c r="S262" s="13" t="s">
        <v>103</v>
      </c>
      <c r="T262" s="13" t="s">
        <v>205</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120" x14ac:dyDescent="0.25">
      <c r="A263" s="13" t="s">
        <v>202</v>
      </c>
      <c r="B263" s="13" t="s">
        <v>153</v>
      </c>
      <c r="C263" s="14">
        <v>43152.5</v>
      </c>
      <c r="D263" s="13" t="s">
        <v>88</v>
      </c>
      <c r="E263" s="15" t="s">
        <v>89</v>
      </c>
      <c r="F263" s="13" t="s">
        <v>90</v>
      </c>
      <c r="G263" s="15" t="s">
        <v>91</v>
      </c>
      <c r="H263" s="13" t="s">
        <v>422</v>
      </c>
      <c r="I263" s="15" t="s">
        <v>423</v>
      </c>
      <c r="J263" s="15" t="s">
        <v>424</v>
      </c>
      <c r="K263" s="15" t="s">
        <v>425</v>
      </c>
      <c r="L263" s="13" t="s">
        <v>426</v>
      </c>
      <c r="M263" s="15" t="s">
        <v>427</v>
      </c>
      <c r="N263" s="13" t="s">
        <v>98</v>
      </c>
      <c r="O263" s="15" t="s">
        <v>428</v>
      </c>
      <c r="P263" s="15" t="s">
        <v>429</v>
      </c>
      <c r="Q263" s="15" t="s">
        <v>366</v>
      </c>
      <c r="R263" s="13" t="s">
        <v>367</v>
      </c>
      <c r="S263" s="13" t="s">
        <v>212</v>
      </c>
      <c r="T263" s="13" t="s">
        <v>205</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120" x14ac:dyDescent="0.25">
      <c r="A264" s="13" t="s">
        <v>202</v>
      </c>
      <c r="B264" s="13" t="s">
        <v>153</v>
      </c>
      <c r="C264" s="14">
        <v>43152.5</v>
      </c>
      <c r="D264" s="13" t="s">
        <v>88</v>
      </c>
      <c r="E264" s="15" t="s">
        <v>89</v>
      </c>
      <c r="F264" s="13" t="s">
        <v>90</v>
      </c>
      <c r="G264" s="15" t="s">
        <v>91</v>
      </c>
      <c r="H264" s="13" t="s">
        <v>422</v>
      </c>
      <c r="I264" s="15" t="s">
        <v>423</v>
      </c>
      <c r="J264" s="15" t="s">
        <v>424</v>
      </c>
      <c r="K264" s="15" t="s">
        <v>425</v>
      </c>
      <c r="L264" s="13" t="s">
        <v>434</v>
      </c>
      <c r="M264" s="15" t="s">
        <v>435</v>
      </c>
      <c r="N264" s="13" t="s">
        <v>188</v>
      </c>
      <c r="O264" s="15" t="s">
        <v>436</v>
      </c>
      <c r="P264" s="15" t="s">
        <v>437</v>
      </c>
      <c r="Q264" s="15" t="s">
        <v>366</v>
      </c>
      <c r="R264" s="13" t="s">
        <v>367</v>
      </c>
      <c r="S264" s="13" t="s">
        <v>212</v>
      </c>
      <c r="T264" s="13" t="s">
        <v>205</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120" x14ac:dyDescent="0.25">
      <c r="A265" s="13" t="s">
        <v>202</v>
      </c>
      <c r="B265" s="13" t="s">
        <v>153</v>
      </c>
      <c r="C265" s="14">
        <v>43152.5</v>
      </c>
      <c r="D265" s="13" t="s">
        <v>88</v>
      </c>
      <c r="E265" s="15" t="s">
        <v>89</v>
      </c>
      <c r="F265" s="13" t="s">
        <v>90</v>
      </c>
      <c r="G265" s="15" t="s">
        <v>91</v>
      </c>
      <c r="H265" s="13" t="s">
        <v>422</v>
      </c>
      <c r="I265" s="15" t="s">
        <v>423</v>
      </c>
      <c r="J265" s="15" t="s">
        <v>424</v>
      </c>
      <c r="K265" s="15" t="s">
        <v>425</v>
      </c>
      <c r="L265" s="13" t="s">
        <v>426</v>
      </c>
      <c r="M265" s="15" t="s">
        <v>427</v>
      </c>
      <c r="N265" s="13" t="s">
        <v>98</v>
      </c>
      <c r="O265" s="15" t="s">
        <v>428</v>
      </c>
      <c r="P265" s="15" t="s">
        <v>429</v>
      </c>
      <c r="Q265" s="15" t="s">
        <v>219</v>
      </c>
      <c r="R265" s="13" t="s">
        <v>220</v>
      </c>
      <c r="S265" s="13" t="s">
        <v>212</v>
      </c>
      <c r="T265" s="13" t="s">
        <v>205</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120" x14ac:dyDescent="0.25">
      <c r="A266" s="13" t="s">
        <v>202</v>
      </c>
      <c r="B266" s="13" t="s">
        <v>153</v>
      </c>
      <c r="C266" s="14">
        <v>43152.5</v>
      </c>
      <c r="D266" s="13" t="s">
        <v>88</v>
      </c>
      <c r="E266" s="15" t="s">
        <v>89</v>
      </c>
      <c r="F266" s="13" t="s">
        <v>90</v>
      </c>
      <c r="G266" s="15" t="s">
        <v>91</v>
      </c>
      <c r="H266" s="13" t="s">
        <v>422</v>
      </c>
      <c r="I266" s="15" t="s">
        <v>423</v>
      </c>
      <c r="J266" s="15" t="s">
        <v>424</v>
      </c>
      <c r="K266" s="15" t="s">
        <v>425</v>
      </c>
      <c r="L266" s="13" t="s">
        <v>434</v>
      </c>
      <c r="M266" s="15" t="s">
        <v>435</v>
      </c>
      <c r="N266" s="13" t="s">
        <v>188</v>
      </c>
      <c r="O266" s="15" t="s">
        <v>436</v>
      </c>
      <c r="P266" s="15" t="s">
        <v>437</v>
      </c>
      <c r="Q266" s="15" t="s">
        <v>219</v>
      </c>
      <c r="R266" s="13" t="s">
        <v>220</v>
      </c>
      <c r="S266" s="13" t="s">
        <v>212</v>
      </c>
      <c r="T266" s="13" t="s">
        <v>205</v>
      </c>
      <c r="U266" s="14">
        <v>40725</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135" x14ac:dyDescent="0.25">
      <c r="A267" s="13" t="s">
        <v>86</v>
      </c>
      <c r="B267" s="13" t="s">
        <v>87</v>
      </c>
      <c r="C267" s="14">
        <v>44007.720833333333</v>
      </c>
      <c r="D267" s="13" t="s">
        <v>88</v>
      </c>
      <c r="E267" s="15" t="s">
        <v>89</v>
      </c>
      <c r="F267" s="13" t="s">
        <v>90</v>
      </c>
      <c r="G267" s="15" t="s">
        <v>91</v>
      </c>
      <c r="H267" s="13" t="s">
        <v>443</v>
      </c>
      <c r="I267" s="15" t="s">
        <v>444</v>
      </c>
      <c r="J267" s="15" t="s">
        <v>445</v>
      </c>
      <c r="K267" s="15" t="s">
        <v>446</v>
      </c>
      <c r="L267" s="13" t="s">
        <v>447</v>
      </c>
      <c r="M267" s="15" t="s">
        <v>448</v>
      </c>
      <c r="N267" s="13" t="s">
        <v>98</v>
      </c>
      <c r="O267" s="15" t="s">
        <v>428</v>
      </c>
      <c r="P267" s="15" t="s">
        <v>429</v>
      </c>
      <c r="Q267" s="15" t="s">
        <v>101</v>
      </c>
      <c r="R267" s="13" t="s">
        <v>102</v>
      </c>
      <c r="S267" s="13" t="s">
        <v>103</v>
      </c>
      <c r="T267" s="13" t="s">
        <v>104</v>
      </c>
      <c r="U267" s="14">
        <v>40725</v>
      </c>
      <c r="V267" s="14">
        <v>43830</v>
      </c>
      <c r="W267" s="15"/>
      <c r="X267" s="15"/>
      <c r="Y267" s="13"/>
      <c r="Z267" s="15"/>
      <c r="AA267" s="15"/>
      <c r="AB267" s="15"/>
      <c r="AC267" s="13"/>
      <c r="AD267" s="15"/>
      <c r="AE267" s="15"/>
      <c r="AF267" s="15"/>
      <c r="AG267" s="13"/>
      <c r="AH267" s="15"/>
      <c r="AI267" s="15"/>
      <c r="AJ267" s="15"/>
      <c r="AK267" s="13"/>
      <c r="AL267" s="15"/>
      <c r="AM267" s="15"/>
      <c r="AN267" s="13"/>
      <c r="AO267" s="13"/>
    </row>
    <row r="268" spans="1:41" ht="135" x14ac:dyDescent="0.25">
      <c r="A268" s="13" t="s">
        <v>86</v>
      </c>
      <c r="B268" s="13" t="s">
        <v>153</v>
      </c>
      <c r="C268" s="14">
        <v>44007.731944444444</v>
      </c>
      <c r="D268" s="13" t="s">
        <v>88</v>
      </c>
      <c r="E268" s="15" t="s">
        <v>89</v>
      </c>
      <c r="F268" s="13" t="s">
        <v>90</v>
      </c>
      <c r="G268" s="15" t="s">
        <v>91</v>
      </c>
      <c r="H268" s="13" t="s">
        <v>443</v>
      </c>
      <c r="I268" s="15" t="s">
        <v>444</v>
      </c>
      <c r="J268" s="15" t="s">
        <v>445</v>
      </c>
      <c r="K268" s="15" t="s">
        <v>446</v>
      </c>
      <c r="L268" s="13" t="s">
        <v>447</v>
      </c>
      <c r="M268" s="15" t="s">
        <v>448</v>
      </c>
      <c r="N268" s="13" t="s">
        <v>98</v>
      </c>
      <c r="O268" s="15" t="s">
        <v>428</v>
      </c>
      <c r="P268" s="15" t="s">
        <v>429</v>
      </c>
      <c r="Q268" s="15" t="s">
        <v>101</v>
      </c>
      <c r="R268" s="13" t="s">
        <v>102</v>
      </c>
      <c r="S268" s="13" t="s">
        <v>103</v>
      </c>
      <c r="T268" s="13" t="s">
        <v>104</v>
      </c>
      <c r="U268" s="14">
        <v>43831</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135" x14ac:dyDescent="0.25">
      <c r="A269" s="13" t="s">
        <v>86</v>
      </c>
      <c r="B269" s="13" t="s">
        <v>87</v>
      </c>
      <c r="C269" s="14">
        <v>43850.552083333336</v>
      </c>
      <c r="D269" s="13" t="s">
        <v>88</v>
      </c>
      <c r="E269" s="15" t="s">
        <v>89</v>
      </c>
      <c r="F269" s="13" t="s">
        <v>90</v>
      </c>
      <c r="G269" s="15" t="s">
        <v>91</v>
      </c>
      <c r="H269" s="13" t="s">
        <v>443</v>
      </c>
      <c r="I269" s="15" t="s">
        <v>444</v>
      </c>
      <c r="J269" s="15" t="s">
        <v>445</v>
      </c>
      <c r="K269" s="15" t="s">
        <v>446</v>
      </c>
      <c r="L269" s="13" t="s">
        <v>449</v>
      </c>
      <c r="M269" s="15" t="s">
        <v>450</v>
      </c>
      <c r="N269" s="13" t="s">
        <v>188</v>
      </c>
      <c r="O269" s="15" t="s">
        <v>436</v>
      </c>
      <c r="P269" s="15" t="s">
        <v>437</v>
      </c>
      <c r="Q269" s="15" t="s">
        <v>101</v>
      </c>
      <c r="R269" s="13" t="s">
        <v>102</v>
      </c>
      <c r="S269" s="13" t="s">
        <v>103</v>
      </c>
      <c r="T269" s="13" t="s">
        <v>104</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135" x14ac:dyDescent="0.25">
      <c r="A270" s="13" t="s">
        <v>202</v>
      </c>
      <c r="B270" s="13" t="s">
        <v>153</v>
      </c>
      <c r="C270" s="14">
        <v>43152.5</v>
      </c>
      <c r="D270" s="13" t="s">
        <v>88</v>
      </c>
      <c r="E270" s="15" t="s">
        <v>89</v>
      </c>
      <c r="F270" s="13" t="s">
        <v>90</v>
      </c>
      <c r="G270" s="15" t="s">
        <v>91</v>
      </c>
      <c r="H270" s="13" t="s">
        <v>443</v>
      </c>
      <c r="I270" s="15" t="s">
        <v>444</v>
      </c>
      <c r="J270" s="15" t="s">
        <v>445</v>
      </c>
      <c r="K270" s="15" t="s">
        <v>446</v>
      </c>
      <c r="L270" s="13" t="s">
        <v>447</v>
      </c>
      <c r="M270" s="15" t="s">
        <v>448</v>
      </c>
      <c r="N270" s="13" t="s">
        <v>98</v>
      </c>
      <c r="O270" s="15" t="s">
        <v>428</v>
      </c>
      <c r="P270" s="15" t="s">
        <v>429</v>
      </c>
      <c r="Q270" s="15" t="s">
        <v>203</v>
      </c>
      <c r="R270" s="13" t="s">
        <v>204</v>
      </c>
      <c r="S270" s="13" t="s">
        <v>103</v>
      </c>
      <c r="T270" s="13" t="s">
        <v>205</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135" x14ac:dyDescent="0.25">
      <c r="A271" s="13" t="s">
        <v>202</v>
      </c>
      <c r="B271" s="13" t="s">
        <v>153</v>
      </c>
      <c r="C271" s="14">
        <v>43152.5</v>
      </c>
      <c r="D271" s="13" t="s">
        <v>88</v>
      </c>
      <c r="E271" s="15" t="s">
        <v>89</v>
      </c>
      <c r="F271" s="13" t="s">
        <v>90</v>
      </c>
      <c r="G271" s="15" t="s">
        <v>91</v>
      </c>
      <c r="H271" s="13" t="s">
        <v>443</v>
      </c>
      <c r="I271" s="15" t="s">
        <v>444</v>
      </c>
      <c r="J271" s="15" t="s">
        <v>445</v>
      </c>
      <c r="K271" s="15" t="s">
        <v>446</v>
      </c>
      <c r="L271" s="13" t="s">
        <v>449</v>
      </c>
      <c r="M271" s="15" t="s">
        <v>450</v>
      </c>
      <c r="N271" s="13" t="s">
        <v>188</v>
      </c>
      <c r="O271" s="15" t="s">
        <v>436</v>
      </c>
      <c r="P271" s="15" t="s">
        <v>437</v>
      </c>
      <c r="Q271" s="15" t="s">
        <v>203</v>
      </c>
      <c r="R271" s="13" t="s">
        <v>204</v>
      </c>
      <c r="S271" s="13" t="s">
        <v>103</v>
      </c>
      <c r="T271" s="13" t="s">
        <v>205</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135" x14ac:dyDescent="0.25">
      <c r="A272" s="13" t="s">
        <v>438</v>
      </c>
      <c r="B272" s="13" t="s">
        <v>87</v>
      </c>
      <c r="C272" s="14">
        <v>44300.59097222222</v>
      </c>
      <c r="D272" s="13" t="s">
        <v>88</v>
      </c>
      <c r="E272" s="15" t="s">
        <v>89</v>
      </c>
      <c r="F272" s="13" t="s">
        <v>90</v>
      </c>
      <c r="G272" s="15" t="s">
        <v>91</v>
      </c>
      <c r="H272" s="13" t="s">
        <v>443</v>
      </c>
      <c r="I272" s="15" t="s">
        <v>444</v>
      </c>
      <c r="J272" s="15" t="s">
        <v>445</v>
      </c>
      <c r="K272" s="15" t="s">
        <v>446</v>
      </c>
      <c r="L272" s="13" t="s">
        <v>447</v>
      </c>
      <c r="M272" s="15" t="s">
        <v>448</v>
      </c>
      <c r="N272" s="13" t="s">
        <v>98</v>
      </c>
      <c r="O272" s="15" t="s">
        <v>428</v>
      </c>
      <c r="P272" s="15" t="s">
        <v>429</v>
      </c>
      <c r="Q272" s="15" t="s">
        <v>206</v>
      </c>
      <c r="R272" s="13" t="s">
        <v>207</v>
      </c>
      <c r="S272" s="13" t="s">
        <v>103</v>
      </c>
      <c r="T272" s="13" t="s">
        <v>104</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35" x14ac:dyDescent="0.25">
      <c r="A273" s="13" t="s">
        <v>438</v>
      </c>
      <c r="B273" s="13" t="s">
        <v>153</v>
      </c>
      <c r="C273" s="14">
        <v>44300.591666666667</v>
      </c>
      <c r="D273" s="13" t="s">
        <v>88</v>
      </c>
      <c r="E273" s="15" t="s">
        <v>89</v>
      </c>
      <c r="F273" s="13" t="s">
        <v>90</v>
      </c>
      <c r="G273" s="15" t="s">
        <v>91</v>
      </c>
      <c r="H273" s="13" t="s">
        <v>443</v>
      </c>
      <c r="I273" s="15" t="s">
        <v>444</v>
      </c>
      <c r="J273" s="15" t="s">
        <v>445</v>
      </c>
      <c r="K273" s="15" t="s">
        <v>446</v>
      </c>
      <c r="L273" s="13" t="s">
        <v>449</v>
      </c>
      <c r="M273" s="15" t="s">
        <v>450</v>
      </c>
      <c r="N273" s="13" t="s">
        <v>188</v>
      </c>
      <c r="O273" s="15" t="s">
        <v>436</v>
      </c>
      <c r="P273" s="15" t="s">
        <v>437</v>
      </c>
      <c r="Q273" s="15" t="s">
        <v>206</v>
      </c>
      <c r="R273" s="13" t="s">
        <v>207</v>
      </c>
      <c r="S273" s="13" t="s">
        <v>103</v>
      </c>
      <c r="T273" s="13" t="s">
        <v>104</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135" x14ac:dyDescent="0.25">
      <c r="A274" s="13" t="s">
        <v>202</v>
      </c>
      <c r="B274" s="13" t="s">
        <v>153</v>
      </c>
      <c r="C274" s="14">
        <v>43152.5</v>
      </c>
      <c r="D274" s="13" t="s">
        <v>88</v>
      </c>
      <c r="E274" s="15" t="s">
        <v>89</v>
      </c>
      <c r="F274" s="13" t="s">
        <v>90</v>
      </c>
      <c r="G274" s="15" t="s">
        <v>91</v>
      </c>
      <c r="H274" s="13" t="s">
        <v>443</v>
      </c>
      <c r="I274" s="15" t="s">
        <v>444</v>
      </c>
      <c r="J274" s="15" t="s">
        <v>445</v>
      </c>
      <c r="K274" s="15" t="s">
        <v>446</v>
      </c>
      <c r="L274" s="13" t="s">
        <v>447</v>
      </c>
      <c r="M274" s="15" t="s">
        <v>448</v>
      </c>
      <c r="N274" s="13" t="s">
        <v>98</v>
      </c>
      <c r="O274" s="15" t="s">
        <v>428</v>
      </c>
      <c r="P274" s="15" t="s">
        <v>429</v>
      </c>
      <c r="Q274" s="15" t="s">
        <v>208</v>
      </c>
      <c r="R274" s="13" t="s">
        <v>209</v>
      </c>
      <c r="S274" s="13" t="s">
        <v>103</v>
      </c>
      <c r="T274" s="13" t="s">
        <v>205</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135" x14ac:dyDescent="0.25">
      <c r="A275" s="13" t="s">
        <v>202</v>
      </c>
      <c r="B275" s="13" t="s">
        <v>153</v>
      </c>
      <c r="C275" s="14">
        <v>43152.5</v>
      </c>
      <c r="D275" s="13" t="s">
        <v>88</v>
      </c>
      <c r="E275" s="15" t="s">
        <v>89</v>
      </c>
      <c r="F275" s="13" t="s">
        <v>90</v>
      </c>
      <c r="G275" s="15" t="s">
        <v>91</v>
      </c>
      <c r="H275" s="13" t="s">
        <v>443</v>
      </c>
      <c r="I275" s="15" t="s">
        <v>444</v>
      </c>
      <c r="J275" s="15" t="s">
        <v>445</v>
      </c>
      <c r="K275" s="15" t="s">
        <v>446</v>
      </c>
      <c r="L275" s="13" t="s">
        <v>449</v>
      </c>
      <c r="M275" s="15" t="s">
        <v>450</v>
      </c>
      <c r="N275" s="13" t="s">
        <v>188</v>
      </c>
      <c r="O275" s="15" t="s">
        <v>436</v>
      </c>
      <c r="P275" s="15" t="s">
        <v>437</v>
      </c>
      <c r="Q275" s="15" t="s">
        <v>208</v>
      </c>
      <c r="R275" s="13" t="s">
        <v>209</v>
      </c>
      <c r="S275" s="13" t="s">
        <v>103</v>
      </c>
      <c r="T275" s="13" t="s">
        <v>205</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35" x14ac:dyDescent="0.25">
      <c r="A276" s="13" t="s">
        <v>202</v>
      </c>
      <c r="B276" s="13" t="s">
        <v>153</v>
      </c>
      <c r="C276" s="14">
        <v>43152.5</v>
      </c>
      <c r="D276" s="13" t="s">
        <v>88</v>
      </c>
      <c r="E276" s="15" t="s">
        <v>89</v>
      </c>
      <c r="F276" s="13" t="s">
        <v>90</v>
      </c>
      <c r="G276" s="15" t="s">
        <v>91</v>
      </c>
      <c r="H276" s="13" t="s">
        <v>443</v>
      </c>
      <c r="I276" s="15" t="s">
        <v>444</v>
      </c>
      <c r="J276" s="15" t="s">
        <v>445</v>
      </c>
      <c r="K276" s="15" t="s">
        <v>446</v>
      </c>
      <c r="L276" s="13" t="s">
        <v>447</v>
      </c>
      <c r="M276" s="15" t="s">
        <v>448</v>
      </c>
      <c r="N276" s="13" t="s">
        <v>98</v>
      </c>
      <c r="O276" s="15" t="s">
        <v>428</v>
      </c>
      <c r="P276" s="15" t="s">
        <v>429</v>
      </c>
      <c r="Q276" s="15" t="s">
        <v>366</v>
      </c>
      <c r="R276" s="13" t="s">
        <v>367</v>
      </c>
      <c r="S276" s="13" t="s">
        <v>212</v>
      </c>
      <c r="T276" s="13" t="s">
        <v>205</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135" x14ac:dyDescent="0.25">
      <c r="A277" s="13" t="s">
        <v>202</v>
      </c>
      <c r="B277" s="13" t="s">
        <v>153</v>
      </c>
      <c r="C277" s="14">
        <v>43152.5</v>
      </c>
      <c r="D277" s="13" t="s">
        <v>88</v>
      </c>
      <c r="E277" s="15" t="s">
        <v>89</v>
      </c>
      <c r="F277" s="13" t="s">
        <v>90</v>
      </c>
      <c r="G277" s="15" t="s">
        <v>91</v>
      </c>
      <c r="H277" s="13" t="s">
        <v>443</v>
      </c>
      <c r="I277" s="15" t="s">
        <v>444</v>
      </c>
      <c r="J277" s="15" t="s">
        <v>445</v>
      </c>
      <c r="K277" s="15" t="s">
        <v>446</v>
      </c>
      <c r="L277" s="13" t="s">
        <v>449</v>
      </c>
      <c r="M277" s="15" t="s">
        <v>450</v>
      </c>
      <c r="N277" s="13" t="s">
        <v>188</v>
      </c>
      <c r="O277" s="15" t="s">
        <v>436</v>
      </c>
      <c r="P277" s="15" t="s">
        <v>437</v>
      </c>
      <c r="Q277" s="15" t="s">
        <v>366</v>
      </c>
      <c r="R277" s="13" t="s">
        <v>367</v>
      </c>
      <c r="S277" s="13" t="s">
        <v>212</v>
      </c>
      <c r="T277" s="13" t="s">
        <v>205</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135" x14ac:dyDescent="0.25">
      <c r="A278" s="13" t="s">
        <v>202</v>
      </c>
      <c r="B278" s="13" t="s">
        <v>153</v>
      </c>
      <c r="C278" s="14">
        <v>43152.5</v>
      </c>
      <c r="D278" s="13" t="s">
        <v>88</v>
      </c>
      <c r="E278" s="15" t="s">
        <v>89</v>
      </c>
      <c r="F278" s="13" t="s">
        <v>90</v>
      </c>
      <c r="G278" s="15" t="s">
        <v>91</v>
      </c>
      <c r="H278" s="13" t="s">
        <v>443</v>
      </c>
      <c r="I278" s="15" t="s">
        <v>444</v>
      </c>
      <c r="J278" s="15" t="s">
        <v>445</v>
      </c>
      <c r="K278" s="15" t="s">
        <v>446</v>
      </c>
      <c r="L278" s="13" t="s">
        <v>447</v>
      </c>
      <c r="M278" s="15" t="s">
        <v>448</v>
      </c>
      <c r="N278" s="13" t="s">
        <v>98</v>
      </c>
      <c r="O278" s="15" t="s">
        <v>428</v>
      </c>
      <c r="P278" s="15" t="s">
        <v>429</v>
      </c>
      <c r="Q278" s="15" t="s">
        <v>219</v>
      </c>
      <c r="R278" s="13" t="s">
        <v>220</v>
      </c>
      <c r="S278" s="13" t="s">
        <v>212</v>
      </c>
      <c r="T278" s="13" t="s">
        <v>205</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135" x14ac:dyDescent="0.25">
      <c r="A279" s="13" t="s">
        <v>202</v>
      </c>
      <c r="B279" s="13" t="s">
        <v>153</v>
      </c>
      <c r="C279" s="14">
        <v>43152.5</v>
      </c>
      <c r="D279" s="13" t="s">
        <v>88</v>
      </c>
      <c r="E279" s="15" t="s">
        <v>89</v>
      </c>
      <c r="F279" s="13" t="s">
        <v>90</v>
      </c>
      <c r="G279" s="15" t="s">
        <v>91</v>
      </c>
      <c r="H279" s="13" t="s">
        <v>443</v>
      </c>
      <c r="I279" s="15" t="s">
        <v>444</v>
      </c>
      <c r="J279" s="15" t="s">
        <v>445</v>
      </c>
      <c r="K279" s="15" t="s">
        <v>446</v>
      </c>
      <c r="L279" s="13" t="s">
        <v>449</v>
      </c>
      <c r="M279" s="15" t="s">
        <v>450</v>
      </c>
      <c r="N279" s="13" t="s">
        <v>188</v>
      </c>
      <c r="O279" s="15" t="s">
        <v>436</v>
      </c>
      <c r="P279" s="15" t="s">
        <v>437</v>
      </c>
      <c r="Q279" s="15" t="s">
        <v>219</v>
      </c>
      <c r="R279" s="13" t="s">
        <v>220</v>
      </c>
      <c r="S279" s="13" t="s">
        <v>212</v>
      </c>
      <c r="T279" s="13" t="s">
        <v>205</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120" x14ac:dyDescent="0.25">
      <c r="A280" s="13" t="s">
        <v>86</v>
      </c>
      <c r="B280" s="13" t="s">
        <v>87</v>
      </c>
      <c r="C280" s="14">
        <v>43850.552083333336</v>
      </c>
      <c r="D280" s="13" t="s">
        <v>88</v>
      </c>
      <c r="E280" s="15" t="s">
        <v>89</v>
      </c>
      <c r="F280" s="13" t="s">
        <v>90</v>
      </c>
      <c r="G280" s="15" t="s">
        <v>91</v>
      </c>
      <c r="H280" s="13" t="s">
        <v>451</v>
      </c>
      <c r="I280" s="15" t="s">
        <v>452</v>
      </c>
      <c r="J280" s="15" t="s">
        <v>453</v>
      </c>
      <c r="K280" s="15" t="s">
        <v>454</v>
      </c>
      <c r="L280" s="13" t="s">
        <v>455</v>
      </c>
      <c r="M280" s="15" t="s">
        <v>456</v>
      </c>
      <c r="N280" s="13" t="s">
        <v>98</v>
      </c>
      <c r="O280" s="15" t="s">
        <v>428</v>
      </c>
      <c r="P280" s="15" t="s">
        <v>429</v>
      </c>
      <c r="Q280" s="15" t="s">
        <v>101</v>
      </c>
      <c r="R280" s="13" t="s">
        <v>102</v>
      </c>
      <c r="S280" s="13" t="s">
        <v>103</v>
      </c>
      <c r="T280" s="13" t="s">
        <v>104</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120" x14ac:dyDescent="0.25">
      <c r="A281" s="13" t="s">
        <v>86</v>
      </c>
      <c r="B281" s="13" t="s">
        <v>87</v>
      </c>
      <c r="C281" s="14">
        <v>43850.552083333336</v>
      </c>
      <c r="D281" s="13" t="s">
        <v>88</v>
      </c>
      <c r="E281" s="15" t="s">
        <v>89</v>
      </c>
      <c r="F281" s="13" t="s">
        <v>90</v>
      </c>
      <c r="G281" s="15" t="s">
        <v>91</v>
      </c>
      <c r="H281" s="13" t="s">
        <v>451</v>
      </c>
      <c r="I281" s="15" t="s">
        <v>452</v>
      </c>
      <c r="J281" s="15" t="s">
        <v>453</v>
      </c>
      <c r="K281" s="15" t="s">
        <v>454</v>
      </c>
      <c r="L281" s="13" t="s">
        <v>462</v>
      </c>
      <c r="M281" s="15" t="s">
        <v>463</v>
      </c>
      <c r="N281" s="13" t="s">
        <v>188</v>
      </c>
      <c r="O281" s="15" t="s">
        <v>464</v>
      </c>
      <c r="P281" s="15" t="s">
        <v>437</v>
      </c>
      <c r="Q281" s="15" t="s">
        <v>101</v>
      </c>
      <c r="R281" s="13" t="s">
        <v>102</v>
      </c>
      <c r="S281" s="13" t="s">
        <v>103</v>
      </c>
      <c r="T281" s="13" t="s">
        <v>104</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120" x14ac:dyDescent="0.25">
      <c r="A282" s="13" t="s">
        <v>202</v>
      </c>
      <c r="B282" s="13" t="s">
        <v>153</v>
      </c>
      <c r="C282" s="14">
        <v>43152.5</v>
      </c>
      <c r="D282" s="13" t="s">
        <v>88</v>
      </c>
      <c r="E282" s="15" t="s">
        <v>89</v>
      </c>
      <c r="F282" s="13" t="s">
        <v>90</v>
      </c>
      <c r="G282" s="15" t="s">
        <v>91</v>
      </c>
      <c r="H282" s="13" t="s">
        <v>451</v>
      </c>
      <c r="I282" s="15" t="s">
        <v>452</v>
      </c>
      <c r="J282" s="15" t="s">
        <v>453</v>
      </c>
      <c r="K282" s="15" t="s">
        <v>454</v>
      </c>
      <c r="L282" s="13" t="s">
        <v>455</v>
      </c>
      <c r="M282" s="15" t="s">
        <v>456</v>
      </c>
      <c r="N282" s="13" t="s">
        <v>98</v>
      </c>
      <c r="O282" s="15" t="s">
        <v>428</v>
      </c>
      <c r="P282" s="15" t="s">
        <v>429</v>
      </c>
      <c r="Q282" s="15" t="s">
        <v>203</v>
      </c>
      <c r="R282" s="13" t="s">
        <v>204</v>
      </c>
      <c r="S282" s="13" t="s">
        <v>103</v>
      </c>
      <c r="T282" s="13" t="s">
        <v>205</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120" x14ac:dyDescent="0.25">
      <c r="A283" s="13" t="s">
        <v>202</v>
      </c>
      <c r="B283" s="13" t="s">
        <v>153</v>
      </c>
      <c r="C283" s="14">
        <v>43152.5</v>
      </c>
      <c r="D283" s="13" t="s">
        <v>88</v>
      </c>
      <c r="E283" s="15" t="s">
        <v>89</v>
      </c>
      <c r="F283" s="13" t="s">
        <v>90</v>
      </c>
      <c r="G283" s="15" t="s">
        <v>91</v>
      </c>
      <c r="H283" s="13" t="s">
        <v>451</v>
      </c>
      <c r="I283" s="15" t="s">
        <v>452</v>
      </c>
      <c r="J283" s="15" t="s">
        <v>453</v>
      </c>
      <c r="K283" s="15" t="s">
        <v>454</v>
      </c>
      <c r="L283" s="13" t="s">
        <v>462</v>
      </c>
      <c r="M283" s="15" t="s">
        <v>463</v>
      </c>
      <c r="N283" s="13" t="s">
        <v>188</v>
      </c>
      <c r="O283" s="15" t="s">
        <v>464</v>
      </c>
      <c r="P283" s="15" t="s">
        <v>437</v>
      </c>
      <c r="Q283" s="15" t="s">
        <v>203</v>
      </c>
      <c r="R283" s="13" t="s">
        <v>204</v>
      </c>
      <c r="S283" s="13" t="s">
        <v>103</v>
      </c>
      <c r="T283" s="13" t="s">
        <v>205</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120" x14ac:dyDescent="0.25">
      <c r="A284" s="13" t="s">
        <v>202</v>
      </c>
      <c r="B284" s="13" t="s">
        <v>153</v>
      </c>
      <c r="C284" s="14">
        <v>43152.5</v>
      </c>
      <c r="D284" s="13" t="s">
        <v>88</v>
      </c>
      <c r="E284" s="15" t="s">
        <v>89</v>
      </c>
      <c r="F284" s="13" t="s">
        <v>90</v>
      </c>
      <c r="G284" s="15" t="s">
        <v>91</v>
      </c>
      <c r="H284" s="13" t="s">
        <v>451</v>
      </c>
      <c r="I284" s="15" t="s">
        <v>452</v>
      </c>
      <c r="J284" s="15" t="s">
        <v>453</v>
      </c>
      <c r="K284" s="15" t="s">
        <v>454</v>
      </c>
      <c r="L284" s="13" t="s">
        <v>455</v>
      </c>
      <c r="M284" s="15" t="s">
        <v>456</v>
      </c>
      <c r="N284" s="13" t="s">
        <v>98</v>
      </c>
      <c r="O284" s="15" t="s">
        <v>428</v>
      </c>
      <c r="P284" s="15" t="s">
        <v>429</v>
      </c>
      <c r="Q284" s="15" t="s">
        <v>206</v>
      </c>
      <c r="R284" s="13" t="s">
        <v>207</v>
      </c>
      <c r="S284" s="13" t="s">
        <v>103</v>
      </c>
      <c r="T284" s="13" t="s">
        <v>205</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20" x14ac:dyDescent="0.25">
      <c r="A285" s="13" t="s">
        <v>202</v>
      </c>
      <c r="B285" s="13" t="s">
        <v>153</v>
      </c>
      <c r="C285" s="14">
        <v>43152.5</v>
      </c>
      <c r="D285" s="13" t="s">
        <v>88</v>
      </c>
      <c r="E285" s="15" t="s">
        <v>89</v>
      </c>
      <c r="F285" s="13" t="s">
        <v>90</v>
      </c>
      <c r="G285" s="15" t="s">
        <v>91</v>
      </c>
      <c r="H285" s="13" t="s">
        <v>451</v>
      </c>
      <c r="I285" s="15" t="s">
        <v>452</v>
      </c>
      <c r="J285" s="15" t="s">
        <v>453</v>
      </c>
      <c r="K285" s="15" t="s">
        <v>454</v>
      </c>
      <c r="L285" s="13" t="s">
        <v>462</v>
      </c>
      <c r="M285" s="15" t="s">
        <v>463</v>
      </c>
      <c r="N285" s="13" t="s">
        <v>188</v>
      </c>
      <c r="O285" s="15" t="s">
        <v>464</v>
      </c>
      <c r="P285" s="15" t="s">
        <v>437</v>
      </c>
      <c r="Q285" s="15" t="s">
        <v>206</v>
      </c>
      <c r="R285" s="13" t="s">
        <v>207</v>
      </c>
      <c r="S285" s="13" t="s">
        <v>103</v>
      </c>
      <c r="T285" s="13" t="s">
        <v>205</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120" x14ac:dyDescent="0.25">
      <c r="A286" s="13" t="s">
        <v>202</v>
      </c>
      <c r="B286" s="13" t="s">
        <v>153</v>
      </c>
      <c r="C286" s="14">
        <v>43152.5</v>
      </c>
      <c r="D286" s="13" t="s">
        <v>88</v>
      </c>
      <c r="E286" s="15" t="s">
        <v>89</v>
      </c>
      <c r="F286" s="13" t="s">
        <v>90</v>
      </c>
      <c r="G286" s="15" t="s">
        <v>91</v>
      </c>
      <c r="H286" s="13" t="s">
        <v>451</v>
      </c>
      <c r="I286" s="15" t="s">
        <v>452</v>
      </c>
      <c r="J286" s="15" t="s">
        <v>453</v>
      </c>
      <c r="K286" s="15" t="s">
        <v>454</v>
      </c>
      <c r="L286" s="13" t="s">
        <v>455</v>
      </c>
      <c r="M286" s="15" t="s">
        <v>456</v>
      </c>
      <c r="N286" s="13" t="s">
        <v>98</v>
      </c>
      <c r="O286" s="15" t="s">
        <v>428</v>
      </c>
      <c r="P286" s="15" t="s">
        <v>429</v>
      </c>
      <c r="Q286" s="15" t="s">
        <v>208</v>
      </c>
      <c r="R286" s="13" t="s">
        <v>209</v>
      </c>
      <c r="S286" s="13" t="s">
        <v>103</v>
      </c>
      <c r="T286" s="13" t="s">
        <v>205</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120" x14ac:dyDescent="0.25">
      <c r="A287" s="13" t="s">
        <v>202</v>
      </c>
      <c r="B287" s="13" t="s">
        <v>153</v>
      </c>
      <c r="C287" s="14">
        <v>43152.5</v>
      </c>
      <c r="D287" s="13" t="s">
        <v>88</v>
      </c>
      <c r="E287" s="15" t="s">
        <v>89</v>
      </c>
      <c r="F287" s="13" t="s">
        <v>90</v>
      </c>
      <c r="G287" s="15" t="s">
        <v>91</v>
      </c>
      <c r="H287" s="13" t="s">
        <v>451</v>
      </c>
      <c r="I287" s="15" t="s">
        <v>452</v>
      </c>
      <c r="J287" s="15" t="s">
        <v>453</v>
      </c>
      <c r="K287" s="15" t="s">
        <v>454</v>
      </c>
      <c r="L287" s="13" t="s">
        <v>462</v>
      </c>
      <c r="M287" s="15" t="s">
        <v>463</v>
      </c>
      <c r="N287" s="13" t="s">
        <v>188</v>
      </c>
      <c r="O287" s="15" t="s">
        <v>464</v>
      </c>
      <c r="P287" s="15" t="s">
        <v>437</v>
      </c>
      <c r="Q287" s="15" t="s">
        <v>208</v>
      </c>
      <c r="R287" s="13" t="s">
        <v>209</v>
      </c>
      <c r="S287" s="13" t="s">
        <v>103</v>
      </c>
      <c r="T287" s="13" t="s">
        <v>205</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20" x14ac:dyDescent="0.25">
      <c r="A288" s="13" t="s">
        <v>86</v>
      </c>
      <c r="B288" s="13" t="s">
        <v>87</v>
      </c>
      <c r="C288" s="14">
        <v>43850.552083333336</v>
      </c>
      <c r="D288" s="13" t="s">
        <v>88</v>
      </c>
      <c r="E288" s="15" t="s">
        <v>89</v>
      </c>
      <c r="F288" s="13" t="s">
        <v>90</v>
      </c>
      <c r="G288" s="15" t="s">
        <v>91</v>
      </c>
      <c r="H288" s="13" t="s">
        <v>467</v>
      </c>
      <c r="I288" s="15" t="s">
        <v>468</v>
      </c>
      <c r="J288" s="15" t="s">
        <v>469</v>
      </c>
      <c r="K288" s="15" t="s">
        <v>470</v>
      </c>
      <c r="L288" s="13" t="s">
        <v>471</v>
      </c>
      <c r="M288" s="15" t="s">
        <v>472</v>
      </c>
      <c r="N288" s="13" t="s">
        <v>98</v>
      </c>
      <c r="O288" s="15" t="s">
        <v>428</v>
      </c>
      <c r="P288" s="15" t="s">
        <v>429</v>
      </c>
      <c r="Q288" s="15" t="s">
        <v>101</v>
      </c>
      <c r="R288" s="13" t="s">
        <v>102</v>
      </c>
      <c r="S288" s="13" t="s">
        <v>103</v>
      </c>
      <c r="T288" s="13" t="s">
        <v>104</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120" x14ac:dyDescent="0.25">
      <c r="A289" s="13" t="s">
        <v>86</v>
      </c>
      <c r="B289" s="13" t="s">
        <v>87</v>
      </c>
      <c r="C289" s="14">
        <v>43850.552083333336</v>
      </c>
      <c r="D289" s="13" t="s">
        <v>88</v>
      </c>
      <c r="E289" s="15" t="s">
        <v>89</v>
      </c>
      <c r="F289" s="13" t="s">
        <v>90</v>
      </c>
      <c r="G289" s="15" t="s">
        <v>91</v>
      </c>
      <c r="H289" s="13" t="s">
        <v>467</v>
      </c>
      <c r="I289" s="15" t="s">
        <v>468</v>
      </c>
      <c r="J289" s="15" t="s">
        <v>469</v>
      </c>
      <c r="K289" s="15" t="s">
        <v>470</v>
      </c>
      <c r="L289" s="13" t="s">
        <v>473</v>
      </c>
      <c r="M289" s="15" t="s">
        <v>474</v>
      </c>
      <c r="N289" s="13" t="s">
        <v>188</v>
      </c>
      <c r="O289" s="15" t="s">
        <v>464</v>
      </c>
      <c r="P289" s="15" t="s">
        <v>437</v>
      </c>
      <c r="Q289" s="15" t="s">
        <v>101</v>
      </c>
      <c r="R289" s="13" t="s">
        <v>102</v>
      </c>
      <c r="S289" s="13" t="s">
        <v>103</v>
      </c>
      <c r="T289" s="13" t="s">
        <v>104</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120" x14ac:dyDescent="0.25">
      <c r="A290" s="13" t="s">
        <v>202</v>
      </c>
      <c r="B290" s="13" t="s">
        <v>153</v>
      </c>
      <c r="C290" s="14">
        <v>43152.5</v>
      </c>
      <c r="D290" s="13" t="s">
        <v>88</v>
      </c>
      <c r="E290" s="15" t="s">
        <v>89</v>
      </c>
      <c r="F290" s="13" t="s">
        <v>90</v>
      </c>
      <c r="G290" s="15" t="s">
        <v>91</v>
      </c>
      <c r="H290" s="13" t="s">
        <v>467</v>
      </c>
      <c r="I290" s="15" t="s">
        <v>468</v>
      </c>
      <c r="J290" s="15" t="s">
        <v>469</v>
      </c>
      <c r="K290" s="15" t="s">
        <v>470</v>
      </c>
      <c r="L290" s="13" t="s">
        <v>471</v>
      </c>
      <c r="M290" s="15" t="s">
        <v>472</v>
      </c>
      <c r="N290" s="13" t="s">
        <v>98</v>
      </c>
      <c r="O290" s="15" t="s">
        <v>428</v>
      </c>
      <c r="P290" s="15" t="s">
        <v>429</v>
      </c>
      <c r="Q290" s="15" t="s">
        <v>203</v>
      </c>
      <c r="R290" s="13" t="s">
        <v>204</v>
      </c>
      <c r="S290" s="13" t="s">
        <v>103</v>
      </c>
      <c r="T290" s="13" t="s">
        <v>205</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120" x14ac:dyDescent="0.25">
      <c r="A291" s="13" t="s">
        <v>202</v>
      </c>
      <c r="B291" s="13" t="s">
        <v>153</v>
      </c>
      <c r="C291" s="14">
        <v>43152.5</v>
      </c>
      <c r="D291" s="13" t="s">
        <v>88</v>
      </c>
      <c r="E291" s="15" t="s">
        <v>89</v>
      </c>
      <c r="F291" s="13" t="s">
        <v>90</v>
      </c>
      <c r="G291" s="15" t="s">
        <v>91</v>
      </c>
      <c r="H291" s="13" t="s">
        <v>467</v>
      </c>
      <c r="I291" s="15" t="s">
        <v>468</v>
      </c>
      <c r="J291" s="15" t="s">
        <v>469</v>
      </c>
      <c r="K291" s="15" t="s">
        <v>470</v>
      </c>
      <c r="L291" s="13" t="s">
        <v>473</v>
      </c>
      <c r="M291" s="15" t="s">
        <v>474</v>
      </c>
      <c r="N291" s="13" t="s">
        <v>188</v>
      </c>
      <c r="O291" s="15" t="s">
        <v>464</v>
      </c>
      <c r="P291" s="15" t="s">
        <v>437</v>
      </c>
      <c r="Q291" s="15" t="s">
        <v>203</v>
      </c>
      <c r="R291" s="13" t="s">
        <v>204</v>
      </c>
      <c r="S291" s="13" t="s">
        <v>103</v>
      </c>
      <c r="T291" s="13" t="s">
        <v>205</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120" x14ac:dyDescent="0.25">
      <c r="A292" s="13" t="s">
        <v>202</v>
      </c>
      <c r="B292" s="13" t="s">
        <v>153</v>
      </c>
      <c r="C292" s="14">
        <v>43152.5</v>
      </c>
      <c r="D292" s="13" t="s">
        <v>88</v>
      </c>
      <c r="E292" s="15" t="s">
        <v>89</v>
      </c>
      <c r="F292" s="13" t="s">
        <v>90</v>
      </c>
      <c r="G292" s="15" t="s">
        <v>91</v>
      </c>
      <c r="H292" s="13" t="s">
        <v>467</v>
      </c>
      <c r="I292" s="15" t="s">
        <v>468</v>
      </c>
      <c r="J292" s="15" t="s">
        <v>469</v>
      </c>
      <c r="K292" s="15" t="s">
        <v>470</v>
      </c>
      <c r="L292" s="13" t="s">
        <v>471</v>
      </c>
      <c r="M292" s="15" t="s">
        <v>472</v>
      </c>
      <c r="N292" s="13" t="s">
        <v>98</v>
      </c>
      <c r="O292" s="15" t="s">
        <v>428</v>
      </c>
      <c r="P292" s="15" t="s">
        <v>429</v>
      </c>
      <c r="Q292" s="15" t="s">
        <v>206</v>
      </c>
      <c r="R292" s="13" t="s">
        <v>207</v>
      </c>
      <c r="S292" s="13" t="s">
        <v>103</v>
      </c>
      <c r="T292" s="13" t="s">
        <v>205</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120" x14ac:dyDescent="0.25">
      <c r="A293" s="13" t="s">
        <v>202</v>
      </c>
      <c r="B293" s="13" t="s">
        <v>153</v>
      </c>
      <c r="C293" s="14">
        <v>43152.5</v>
      </c>
      <c r="D293" s="13" t="s">
        <v>88</v>
      </c>
      <c r="E293" s="15" t="s">
        <v>89</v>
      </c>
      <c r="F293" s="13" t="s">
        <v>90</v>
      </c>
      <c r="G293" s="15" t="s">
        <v>91</v>
      </c>
      <c r="H293" s="13" t="s">
        <v>467</v>
      </c>
      <c r="I293" s="15" t="s">
        <v>468</v>
      </c>
      <c r="J293" s="15" t="s">
        <v>469</v>
      </c>
      <c r="K293" s="15" t="s">
        <v>470</v>
      </c>
      <c r="L293" s="13" t="s">
        <v>473</v>
      </c>
      <c r="M293" s="15" t="s">
        <v>474</v>
      </c>
      <c r="N293" s="13" t="s">
        <v>188</v>
      </c>
      <c r="O293" s="15" t="s">
        <v>464</v>
      </c>
      <c r="P293" s="15" t="s">
        <v>437</v>
      </c>
      <c r="Q293" s="15" t="s">
        <v>206</v>
      </c>
      <c r="R293" s="13" t="s">
        <v>207</v>
      </c>
      <c r="S293" s="13" t="s">
        <v>103</v>
      </c>
      <c r="T293" s="13" t="s">
        <v>205</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120" x14ac:dyDescent="0.25">
      <c r="A294" s="13" t="s">
        <v>202</v>
      </c>
      <c r="B294" s="13" t="s">
        <v>153</v>
      </c>
      <c r="C294" s="14">
        <v>43152.5</v>
      </c>
      <c r="D294" s="13" t="s">
        <v>88</v>
      </c>
      <c r="E294" s="15" t="s">
        <v>89</v>
      </c>
      <c r="F294" s="13" t="s">
        <v>90</v>
      </c>
      <c r="G294" s="15" t="s">
        <v>91</v>
      </c>
      <c r="H294" s="13" t="s">
        <v>467</v>
      </c>
      <c r="I294" s="15" t="s">
        <v>468</v>
      </c>
      <c r="J294" s="15" t="s">
        <v>469</v>
      </c>
      <c r="K294" s="15" t="s">
        <v>470</v>
      </c>
      <c r="L294" s="13" t="s">
        <v>471</v>
      </c>
      <c r="M294" s="15" t="s">
        <v>472</v>
      </c>
      <c r="N294" s="13" t="s">
        <v>98</v>
      </c>
      <c r="O294" s="15" t="s">
        <v>428</v>
      </c>
      <c r="P294" s="15" t="s">
        <v>429</v>
      </c>
      <c r="Q294" s="15" t="s">
        <v>208</v>
      </c>
      <c r="R294" s="13" t="s">
        <v>209</v>
      </c>
      <c r="S294" s="13" t="s">
        <v>103</v>
      </c>
      <c r="T294" s="13" t="s">
        <v>205</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120" x14ac:dyDescent="0.25">
      <c r="A295" s="13" t="s">
        <v>202</v>
      </c>
      <c r="B295" s="13" t="s">
        <v>153</v>
      </c>
      <c r="C295" s="14">
        <v>43152.5</v>
      </c>
      <c r="D295" s="13" t="s">
        <v>88</v>
      </c>
      <c r="E295" s="15" t="s">
        <v>89</v>
      </c>
      <c r="F295" s="13" t="s">
        <v>90</v>
      </c>
      <c r="G295" s="15" t="s">
        <v>91</v>
      </c>
      <c r="H295" s="13" t="s">
        <v>467</v>
      </c>
      <c r="I295" s="15" t="s">
        <v>468</v>
      </c>
      <c r="J295" s="15" t="s">
        <v>469</v>
      </c>
      <c r="K295" s="15" t="s">
        <v>470</v>
      </c>
      <c r="L295" s="13" t="s">
        <v>473</v>
      </c>
      <c r="M295" s="15" t="s">
        <v>474</v>
      </c>
      <c r="N295" s="13" t="s">
        <v>188</v>
      </c>
      <c r="O295" s="15" t="s">
        <v>464</v>
      </c>
      <c r="P295" s="15" t="s">
        <v>437</v>
      </c>
      <c r="Q295" s="15" t="s">
        <v>208</v>
      </c>
      <c r="R295" s="13" t="s">
        <v>209</v>
      </c>
      <c r="S295" s="13" t="s">
        <v>103</v>
      </c>
      <c r="T295" s="13" t="s">
        <v>205</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90" x14ac:dyDescent="0.25">
      <c r="A296" s="13" t="s">
        <v>202</v>
      </c>
      <c r="B296" s="13" t="s">
        <v>153</v>
      </c>
      <c r="C296" s="14">
        <v>43152.5</v>
      </c>
      <c r="D296" s="13" t="s">
        <v>88</v>
      </c>
      <c r="E296" s="15" t="s">
        <v>89</v>
      </c>
      <c r="F296" s="13" t="s">
        <v>90</v>
      </c>
      <c r="G296" s="15" t="s">
        <v>91</v>
      </c>
      <c r="H296" s="13" t="s">
        <v>475</v>
      </c>
      <c r="I296" s="15" t="s">
        <v>476</v>
      </c>
      <c r="J296" s="15" t="s">
        <v>477</v>
      </c>
      <c r="K296" s="15" t="s">
        <v>478</v>
      </c>
      <c r="L296" s="13" t="s">
        <v>479</v>
      </c>
      <c r="M296" s="15" t="s">
        <v>480</v>
      </c>
      <c r="N296" s="13" t="s">
        <v>98</v>
      </c>
      <c r="O296" s="15" t="s">
        <v>428</v>
      </c>
      <c r="P296" s="15" t="s">
        <v>429</v>
      </c>
      <c r="Q296" s="15" t="s">
        <v>101</v>
      </c>
      <c r="R296" s="13" t="s">
        <v>102</v>
      </c>
      <c r="S296" s="13" t="s">
        <v>103</v>
      </c>
      <c r="T296" s="13" t="s">
        <v>205</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90" x14ac:dyDescent="0.25">
      <c r="A297" s="13" t="s">
        <v>202</v>
      </c>
      <c r="B297" s="13" t="s">
        <v>153</v>
      </c>
      <c r="C297" s="14">
        <v>43152.5</v>
      </c>
      <c r="D297" s="13" t="s">
        <v>88</v>
      </c>
      <c r="E297" s="15" t="s">
        <v>89</v>
      </c>
      <c r="F297" s="13" t="s">
        <v>90</v>
      </c>
      <c r="G297" s="15" t="s">
        <v>91</v>
      </c>
      <c r="H297" s="13" t="s">
        <v>475</v>
      </c>
      <c r="I297" s="15" t="s">
        <v>476</v>
      </c>
      <c r="J297" s="15" t="s">
        <v>477</v>
      </c>
      <c r="K297" s="15" t="s">
        <v>478</v>
      </c>
      <c r="L297" s="13" t="s">
        <v>481</v>
      </c>
      <c r="M297" s="15" t="s">
        <v>482</v>
      </c>
      <c r="N297" s="13" t="s">
        <v>188</v>
      </c>
      <c r="O297" s="15" t="s">
        <v>436</v>
      </c>
      <c r="P297" s="15" t="s">
        <v>437</v>
      </c>
      <c r="Q297" s="15" t="s">
        <v>101</v>
      </c>
      <c r="R297" s="13" t="s">
        <v>102</v>
      </c>
      <c r="S297" s="13" t="s">
        <v>103</v>
      </c>
      <c r="T297" s="13" t="s">
        <v>205</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90" x14ac:dyDescent="0.25">
      <c r="A298" s="13" t="s">
        <v>202</v>
      </c>
      <c r="B298" s="13" t="s">
        <v>153</v>
      </c>
      <c r="C298" s="14">
        <v>43152.5</v>
      </c>
      <c r="D298" s="13" t="s">
        <v>88</v>
      </c>
      <c r="E298" s="15" t="s">
        <v>89</v>
      </c>
      <c r="F298" s="13" t="s">
        <v>90</v>
      </c>
      <c r="G298" s="15" t="s">
        <v>91</v>
      </c>
      <c r="H298" s="13" t="s">
        <v>475</v>
      </c>
      <c r="I298" s="15" t="s">
        <v>476</v>
      </c>
      <c r="J298" s="15" t="s">
        <v>477</v>
      </c>
      <c r="K298" s="15" t="s">
        <v>478</v>
      </c>
      <c r="L298" s="13" t="s">
        <v>479</v>
      </c>
      <c r="M298" s="15" t="s">
        <v>480</v>
      </c>
      <c r="N298" s="13" t="s">
        <v>98</v>
      </c>
      <c r="O298" s="15" t="s">
        <v>428</v>
      </c>
      <c r="P298" s="15" t="s">
        <v>429</v>
      </c>
      <c r="Q298" s="15" t="s">
        <v>203</v>
      </c>
      <c r="R298" s="13" t="s">
        <v>204</v>
      </c>
      <c r="S298" s="13" t="s">
        <v>103</v>
      </c>
      <c r="T298" s="13" t="s">
        <v>205</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90" x14ac:dyDescent="0.25">
      <c r="A299" s="13" t="s">
        <v>202</v>
      </c>
      <c r="B299" s="13" t="s">
        <v>153</v>
      </c>
      <c r="C299" s="14">
        <v>43152.5</v>
      </c>
      <c r="D299" s="13" t="s">
        <v>88</v>
      </c>
      <c r="E299" s="15" t="s">
        <v>89</v>
      </c>
      <c r="F299" s="13" t="s">
        <v>90</v>
      </c>
      <c r="G299" s="15" t="s">
        <v>91</v>
      </c>
      <c r="H299" s="13" t="s">
        <v>475</v>
      </c>
      <c r="I299" s="15" t="s">
        <v>476</v>
      </c>
      <c r="J299" s="15" t="s">
        <v>477</v>
      </c>
      <c r="K299" s="15" t="s">
        <v>478</v>
      </c>
      <c r="L299" s="13" t="s">
        <v>481</v>
      </c>
      <c r="M299" s="15" t="s">
        <v>482</v>
      </c>
      <c r="N299" s="13" t="s">
        <v>188</v>
      </c>
      <c r="O299" s="15" t="s">
        <v>436</v>
      </c>
      <c r="P299" s="15" t="s">
        <v>437</v>
      </c>
      <c r="Q299" s="15" t="s">
        <v>203</v>
      </c>
      <c r="R299" s="13" t="s">
        <v>204</v>
      </c>
      <c r="S299" s="13" t="s">
        <v>103</v>
      </c>
      <c r="T299" s="13" t="s">
        <v>205</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90" x14ac:dyDescent="0.25">
      <c r="A300" s="13" t="s">
        <v>202</v>
      </c>
      <c r="B300" s="13" t="s">
        <v>153</v>
      </c>
      <c r="C300" s="14">
        <v>43152.5</v>
      </c>
      <c r="D300" s="13" t="s">
        <v>88</v>
      </c>
      <c r="E300" s="15" t="s">
        <v>89</v>
      </c>
      <c r="F300" s="13" t="s">
        <v>90</v>
      </c>
      <c r="G300" s="15" t="s">
        <v>91</v>
      </c>
      <c r="H300" s="13" t="s">
        <v>475</v>
      </c>
      <c r="I300" s="15" t="s">
        <v>476</v>
      </c>
      <c r="J300" s="15" t="s">
        <v>477</v>
      </c>
      <c r="K300" s="15" t="s">
        <v>478</v>
      </c>
      <c r="L300" s="13" t="s">
        <v>479</v>
      </c>
      <c r="M300" s="15" t="s">
        <v>480</v>
      </c>
      <c r="N300" s="13" t="s">
        <v>98</v>
      </c>
      <c r="O300" s="15" t="s">
        <v>428</v>
      </c>
      <c r="P300" s="15" t="s">
        <v>429</v>
      </c>
      <c r="Q300" s="15" t="s">
        <v>206</v>
      </c>
      <c r="R300" s="13" t="s">
        <v>207</v>
      </c>
      <c r="S300" s="13" t="s">
        <v>103</v>
      </c>
      <c r="T300" s="13" t="s">
        <v>205</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90" x14ac:dyDescent="0.25">
      <c r="A301" s="13" t="s">
        <v>202</v>
      </c>
      <c r="B301" s="13" t="s">
        <v>153</v>
      </c>
      <c r="C301" s="14">
        <v>43152.5</v>
      </c>
      <c r="D301" s="13" t="s">
        <v>88</v>
      </c>
      <c r="E301" s="15" t="s">
        <v>89</v>
      </c>
      <c r="F301" s="13" t="s">
        <v>90</v>
      </c>
      <c r="G301" s="15" t="s">
        <v>91</v>
      </c>
      <c r="H301" s="13" t="s">
        <v>475</v>
      </c>
      <c r="I301" s="15" t="s">
        <v>476</v>
      </c>
      <c r="J301" s="15" t="s">
        <v>477</v>
      </c>
      <c r="K301" s="15" t="s">
        <v>478</v>
      </c>
      <c r="L301" s="13" t="s">
        <v>481</v>
      </c>
      <c r="M301" s="15" t="s">
        <v>482</v>
      </c>
      <c r="N301" s="13" t="s">
        <v>188</v>
      </c>
      <c r="O301" s="15" t="s">
        <v>436</v>
      </c>
      <c r="P301" s="15" t="s">
        <v>437</v>
      </c>
      <c r="Q301" s="15" t="s">
        <v>206</v>
      </c>
      <c r="R301" s="13" t="s">
        <v>207</v>
      </c>
      <c r="S301" s="13" t="s">
        <v>103</v>
      </c>
      <c r="T301" s="13" t="s">
        <v>205</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90" x14ac:dyDescent="0.25">
      <c r="A302" s="13" t="s">
        <v>202</v>
      </c>
      <c r="B302" s="13" t="s">
        <v>153</v>
      </c>
      <c r="C302" s="14">
        <v>43152.5</v>
      </c>
      <c r="D302" s="13" t="s">
        <v>88</v>
      </c>
      <c r="E302" s="15" t="s">
        <v>89</v>
      </c>
      <c r="F302" s="13" t="s">
        <v>90</v>
      </c>
      <c r="G302" s="15" t="s">
        <v>91</v>
      </c>
      <c r="H302" s="13" t="s">
        <v>475</v>
      </c>
      <c r="I302" s="15" t="s">
        <v>476</v>
      </c>
      <c r="J302" s="15" t="s">
        <v>477</v>
      </c>
      <c r="K302" s="15" t="s">
        <v>478</v>
      </c>
      <c r="L302" s="13" t="s">
        <v>479</v>
      </c>
      <c r="M302" s="15" t="s">
        <v>480</v>
      </c>
      <c r="N302" s="13" t="s">
        <v>98</v>
      </c>
      <c r="O302" s="15" t="s">
        <v>428</v>
      </c>
      <c r="P302" s="15" t="s">
        <v>429</v>
      </c>
      <c r="Q302" s="15" t="s">
        <v>208</v>
      </c>
      <c r="R302" s="13" t="s">
        <v>209</v>
      </c>
      <c r="S302" s="13" t="s">
        <v>103</v>
      </c>
      <c r="T302" s="13" t="s">
        <v>205</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90" x14ac:dyDescent="0.25">
      <c r="A303" s="13" t="s">
        <v>202</v>
      </c>
      <c r="B303" s="13" t="s">
        <v>153</v>
      </c>
      <c r="C303" s="14">
        <v>43152.5</v>
      </c>
      <c r="D303" s="13" t="s">
        <v>88</v>
      </c>
      <c r="E303" s="15" t="s">
        <v>89</v>
      </c>
      <c r="F303" s="13" t="s">
        <v>90</v>
      </c>
      <c r="G303" s="15" t="s">
        <v>91</v>
      </c>
      <c r="H303" s="13" t="s">
        <v>475</v>
      </c>
      <c r="I303" s="15" t="s">
        <v>476</v>
      </c>
      <c r="J303" s="15" t="s">
        <v>477</v>
      </c>
      <c r="K303" s="15" t="s">
        <v>478</v>
      </c>
      <c r="L303" s="13" t="s">
        <v>481</v>
      </c>
      <c r="M303" s="15" t="s">
        <v>482</v>
      </c>
      <c r="N303" s="13" t="s">
        <v>188</v>
      </c>
      <c r="O303" s="15" t="s">
        <v>436</v>
      </c>
      <c r="P303" s="15" t="s">
        <v>437</v>
      </c>
      <c r="Q303" s="15" t="s">
        <v>208</v>
      </c>
      <c r="R303" s="13" t="s">
        <v>209</v>
      </c>
      <c r="S303" s="13" t="s">
        <v>103</v>
      </c>
      <c r="T303" s="13" t="s">
        <v>205</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90" x14ac:dyDescent="0.25">
      <c r="A304" s="13" t="s">
        <v>86</v>
      </c>
      <c r="B304" s="13" t="s">
        <v>87</v>
      </c>
      <c r="C304" s="14">
        <v>43850.552083333336</v>
      </c>
      <c r="D304" s="13" t="s">
        <v>88</v>
      </c>
      <c r="E304" s="15" t="s">
        <v>89</v>
      </c>
      <c r="F304" s="13" t="s">
        <v>90</v>
      </c>
      <c r="G304" s="15" t="s">
        <v>91</v>
      </c>
      <c r="H304" s="13" t="s">
        <v>475</v>
      </c>
      <c r="I304" s="15" t="s">
        <v>476</v>
      </c>
      <c r="J304" s="15" t="s">
        <v>477</v>
      </c>
      <c r="K304" s="15" t="s">
        <v>478</v>
      </c>
      <c r="L304" s="13" t="s">
        <v>479</v>
      </c>
      <c r="M304" s="15" t="s">
        <v>480</v>
      </c>
      <c r="N304" s="13" t="s">
        <v>98</v>
      </c>
      <c r="O304" s="15" t="s">
        <v>428</v>
      </c>
      <c r="P304" s="15" t="s">
        <v>429</v>
      </c>
      <c r="Q304" s="15" t="s">
        <v>366</v>
      </c>
      <c r="R304" s="13" t="s">
        <v>367</v>
      </c>
      <c r="S304" s="13" t="s">
        <v>212</v>
      </c>
      <c r="T304" s="13" t="s">
        <v>104</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90" x14ac:dyDescent="0.25">
      <c r="A305" s="13" t="s">
        <v>86</v>
      </c>
      <c r="B305" s="13" t="s">
        <v>87</v>
      </c>
      <c r="C305" s="14">
        <v>43850.552083333336</v>
      </c>
      <c r="D305" s="13" t="s">
        <v>88</v>
      </c>
      <c r="E305" s="15" t="s">
        <v>89</v>
      </c>
      <c r="F305" s="13" t="s">
        <v>90</v>
      </c>
      <c r="G305" s="15" t="s">
        <v>91</v>
      </c>
      <c r="H305" s="13" t="s">
        <v>475</v>
      </c>
      <c r="I305" s="15" t="s">
        <v>476</v>
      </c>
      <c r="J305" s="15" t="s">
        <v>477</v>
      </c>
      <c r="K305" s="15" t="s">
        <v>478</v>
      </c>
      <c r="L305" s="13" t="s">
        <v>481</v>
      </c>
      <c r="M305" s="15" t="s">
        <v>482</v>
      </c>
      <c r="N305" s="13" t="s">
        <v>188</v>
      </c>
      <c r="O305" s="15" t="s">
        <v>436</v>
      </c>
      <c r="P305" s="15" t="s">
        <v>437</v>
      </c>
      <c r="Q305" s="15" t="s">
        <v>366</v>
      </c>
      <c r="R305" s="13" t="s">
        <v>367</v>
      </c>
      <c r="S305" s="13" t="s">
        <v>212</v>
      </c>
      <c r="T305" s="13" t="s">
        <v>104</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90" x14ac:dyDescent="0.25">
      <c r="A306" s="13" t="s">
        <v>202</v>
      </c>
      <c r="B306" s="13" t="s">
        <v>153</v>
      </c>
      <c r="C306" s="14">
        <v>43152.5</v>
      </c>
      <c r="D306" s="13" t="s">
        <v>88</v>
      </c>
      <c r="E306" s="15" t="s">
        <v>89</v>
      </c>
      <c r="F306" s="13" t="s">
        <v>90</v>
      </c>
      <c r="G306" s="15" t="s">
        <v>91</v>
      </c>
      <c r="H306" s="13" t="s">
        <v>503</v>
      </c>
      <c r="I306" s="15" t="s">
        <v>504</v>
      </c>
      <c r="J306" s="15" t="s">
        <v>505</v>
      </c>
      <c r="K306" s="15" t="s">
        <v>506</v>
      </c>
      <c r="L306" s="13" t="s">
        <v>507</v>
      </c>
      <c r="M306" s="15" t="s">
        <v>508</v>
      </c>
      <c r="N306" s="13" t="s">
        <v>98</v>
      </c>
      <c r="O306" s="15" t="s">
        <v>428</v>
      </c>
      <c r="P306" s="15" t="s">
        <v>429</v>
      </c>
      <c r="Q306" s="15" t="s">
        <v>101</v>
      </c>
      <c r="R306" s="13" t="s">
        <v>102</v>
      </c>
      <c r="S306" s="13" t="s">
        <v>103</v>
      </c>
      <c r="T306" s="13" t="s">
        <v>205</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90" x14ac:dyDescent="0.25">
      <c r="A307" s="13" t="s">
        <v>202</v>
      </c>
      <c r="B307" s="13" t="s">
        <v>153</v>
      </c>
      <c r="C307" s="14">
        <v>43152.5</v>
      </c>
      <c r="D307" s="13" t="s">
        <v>88</v>
      </c>
      <c r="E307" s="15" t="s">
        <v>89</v>
      </c>
      <c r="F307" s="13" t="s">
        <v>90</v>
      </c>
      <c r="G307" s="15" t="s">
        <v>91</v>
      </c>
      <c r="H307" s="13" t="s">
        <v>503</v>
      </c>
      <c r="I307" s="15" t="s">
        <v>504</v>
      </c>
      <c r="J307" s="15" t="s">
        <v>505</v>
      </c>
      <c r="K307" s="15" t="s">
        <v>506</v>
      </c>
      <c r="L307" s="13" t="s">
        <v>509</v>
      </c>
      <c r="M307" s="15" t="s">
        <v>510</v>
      </c>
      <c r="N307" s="13" t="s">
        <v>188</v>
      </c>
      <c r="O307" s="15" t="s">
        <v>436</v>
      </c>
      <c r="P307" s="15" t="s">
        <v>437</v>
      </c>
      <c r="Q307" s="15" t="s">
        <v>101</v>
      </c>
      <c r="R307" s="13" t="s">
        <v>102</v>
      </c>
      <c r="S307" s="13" t="s">
        <v>103</v>
      </c>
      <c r="T307" s="13" t="s">
        <v>205</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90" x14ac:dyDescent="0.25">
      <c r="A308" s="13" t="s">
        <v>202</v>
      </c>
      <c r="B308" s="13" t="s">
        <v>153</v>
      </c>
      <c r="C308" s="14">
        <v>43152.5</v>
      </c>
      <c r="D308" s="13" t="s">
        <v>88</v>
      </c>
      <c r="E308" s="15" t="s">
        <v>89</v>
      </c>
      <c r="F308" s="13" t="s">
        <v>90</v>
      </c>
      <c r="G308" s="15" t="s">
        <v>91</v>
      </c>
      <c r="H308" s="13" t="s">
        <v>503</v>
      </c>
      <c r="I308" s="15" t="s">
        <v>504</v>
      </c>
      <c r="J308" s="15" t="s">
        <v>505</v>
      </c>
      <c r="K308" s="15" t="s">
        <v>506</v>
      </c>
      <c r="L308" s="13" t="s">
        <v>507</v>
      </c>
      <c r="M308" s="15" t="s">
        <v>508</v>
      </c>
      <c r="N308" s="13" t="s">
        <v>98</v>
      </c>
      <c r="O308" s="15" t="s">
        <v>428</v>
      </c>
      <c r="P308" s="15" t="s">
        <v>429</v>
      </c>
      <c r="Q308" s="15" t="s">
        <v>203</v>
      </c>
      <c r="R308" s="13" t="s">
        <v>204</v>
      </c>
      <c r="S308" s="13" t="s">
        <v>103</v>
      </c>
      <c r="T308" s="13" t="s">
        <v>205</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90" x14ac:dyDescent="0.25">
      <c r="A309" s="13" t="s">
        <v>202</v>
      </c>
      <c r="B309" s="13" t="s">
        <v>153</v>
      </c>
      <c r="C309" s="14">
        <v>43152.5</v>
      </c>
      <c r="D309" s="13" t="s">
        <v>88</v>
      </c>
      <c r="E309" s="15" t="s">
        <v>89</v>
      </c>
      <c r="F309" s="13" t="s">
        <v>90</v>
      </c>
      <c r="G309" s="15" t="s">
        <v>91</v>
      </c>
      <c r="H309" s="13" t="s">
        <v>503</v>
      </c>
      <c r="I309" s="15" t="s">
        <v>504</v>
      </c>
      <c r="J309" s="15" t="s">
        <v>505</v>
      </c>
      <c r="K309" s="15" t="s">
        <v>506</v>
      </c>
      <c r="L309" s="13" t="s">
        <v>509</v>
      </c>
      <c r="M309" s="15" t="s">
        <v>510</v>
      </c>
      <c r="N309" s="13" t="s">
        <v>188</v>
      </c>
      <c r="O309" s="15" t="s">
        <v>436</v>
      </c>
      <c r="P309" s="15" t="s">
        <v>437</v>
      </c>
      <c r="Q309" s="15" t="s">
        <v>203</v>
      </c>
      <c r="R309" s="13" t="s">
        <v>204</v>
      </c>
      <c r="S309" s="13" t="s">
        <v>103</v>
      </c>
      <c r="T309" s="13" t="s">
        <v>205</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90" x14ac:dyDescent="0.25">
      <c r="A310" s="13" t="s">
        <v>202</v>
      </c>
      <c r="B310" s="13" t="s">
        <v>153</v>
      </c>
      <c r="C310" s="14">
        <v>43152.5</v>
      </c>
      <c r="D310" s="13" t="s">
        <v>88</v>
      </c>
      <c r="E310" s="15" t="s">
        <v>89</v>
      </c>
      <c r="F310" s="13" t="s">
        <v>90</v>
      </c>
      <c r="G310" s="15" t="s">
        <v>91</v>
      </c>
      <c r="H310" s="13" t="s">
        <v>503</v>
      </c>
      <c r="I310" s="15" t="s">
        <v>504</v>
      </c>
      <c r="J310" s="15" t="s">
        <v>505</v>
      </c>
      <c r="K310" s="15" t="s">
        <v>506</v>
      </c>
      <c r="L310" s="13" t="s">
        <v>507</v>
      </c>
      <c r="M310" s="15" t="s">
        <v>508</v>
      </c>
      <c r="N310" s="13" t="s">
        <v>98</v>
      </c>
      <c r="O310" s="15" t="s">
        <v>428</v>
      </c>
      <c r="P310" s="15" t="s">
        <v>429</v>
      </c>
      <c r="Q310" s="15" t="s">
        <v>206</v>
      </c>
      <c r="R310" s="13" t="s">
        <v>207</v>
      </c>
      <c r="S310" s="13" t="s">
        <v>103</v>
      </c>
      <c r="T310" s="13" t="s">
        <v>205</v>
      </c>
      <c r="U310" s="14">
        <v>40725</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90" x14ac:dyDescent="0.25">
      <c r="A311" s="13" t="s">
        <v>202</v>
      </c>
      <c r="B311" s="13" t="s">
        <v>153</v>
      </c>
      <c r="C311" s="14">
        <v>43152.5</v>
      </c>
      <c r="D311" s="13" t="s">
        <v>88</v>
      </c>
      <c r="E311" s="15" t="s">
        <v>89</v>
      </c>
      <c r="F311" s="13" t="s">
        <v>90</v>
      </c>
      <c r="G311" s="15" t="s">
        <v>91</v>
      </c>
      <c r="H311" s="13" t="s">
        <v>503</v>
      </c>
      <c r="I311" s="15" t="s">
        <v>504</v>
      </c>
      <c r="J311" s="15" t="s">
        <v>505</v>
      </c>
      <c r="K311" s="15" t="s">
        <v>506</v>
      </c>
      <c r="L311" s="13" t="s">
        <v>509</v>
      </c>
      <c r="M311" s="15" t="s">
        <v>510</v>
      </c>
      <c r="N311" s="13" t="s">
        <v>188</v>
      </c>
      <c r="O311" s="15" t="s">
        <v>436</v>
      </c>
      <c r="P311" s="15" t="s">
        <v>437</v>
      </c>
      <c r="Q311" s="15" t="s">
        <v>206</v>
      </c>
      <c r="R311" s="13" t="s">
        <v>207</v>
      </c>
      <c r="S311" s="13" t="s">
        <v>103</v>
      </c>
      <c r="T311" s="13" t="s">
        <v>205</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90" x14ac:dyDescent="0.25">
      <c r="A312" s="13" t="s">
        <v>202</v>
      </c>
      <c r="B312" s="13" t="s">
        <v>153</v>
      </c>
      <c r="C312" s="14">
        <v>43152.5</v>
      </c>
      <c r="D312" s="13" t="s">
        <v>88</v>
      </c>
      <c r="E312" s="15" t="s">
        <v>89</v>
      </c>
      <c r="F312" s="13" t="s">
        <v>90</v>
      </c>
      <c r="G312" s="15" t="s">
        <v>91</v>
      </c>
      <c r="H312" s="13" t="s">
        <v>503</v>
      </c>
      <c r="I312" s="15" t="s">
        <v>504</v>
      </c>
      <c r="J312" s="15" t="s">
        <v>505</v>
      </c>
      <c r="K312" s="15" t="s">
        <v>506</v>
      </c>
      <c r="L312" s="13" t="s">
        <v>507</v>
      </c>
      <c r="M312" s="15" t="s">
        <v>508</v>
      </c>
      <c r="N312" s="13" t="s">
        <v>98</v>
      </c>
      <c r="O312" s="15" t="s">
        <v>428</v>
      </c>
      <c r="P312" s="15" t="s">
        <v>429</v>
      </c>
      <c r="Q312" s="15" t="s">
        <v>208</v>
      </c>
      <c r="R312" s="13" t="s">
        <v>209</v>
      </c>
      <c r="S312" s="13" t="s">
        <v>103</v>
      </c>
      <c r="T312" s="13" t="s">
        <v>205</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90" x14ac:dyDescent="0.25">
      <c r="A313" s="13" t="s">
        <v>202</v>
      </c>
      <c r="B313" s="13" t="s">
        <v>153</v>
      </c>
      <c r="C313" s="14">
        <v>43152.5</v>
      </c>
      <c r="D313" s="13" t="s">
        <v>88</v>
      </c>
      <c r="E313" s="15" t="s">
        <v>89</v>
      </c>
      <c r="F313" s="13" t="s">
        <v>90</v>
      </c>
      <c r="G313" s="15" t="s">
        <v>91</v>
      </c>
      <c r="H313" s="13" t="s">
        <v>503</v>
      </c>
      <c r="I313" s="15" t="s">
        <v>504</v>
      </c>
      <c r="J313" s="15" t="s">
        <v>505</v>
      </c>
      <c r="K313" s="15" t="s">
        <v>506</v>
      </c>
      <c r="L313" s="13" t="s">
        <v>509</v>
      </c>
      <c r="M313" s="15" t="s">
        <v>510</v>
      </c>
      <c r="N313" s="13" t="s">
        <v>188</v>
      </c>
      <c r="O313" s="15" t="s">
        <v>436</v>
      </c>
      <c r="P313" s="15" t="s">
        <v>437</v>
      </c>
      <c r="Q313" s="15" t="s">
        <v>208</v>
      </c>
      <c r="R313" s="13" t="s">
        <v>209</v>
      </c>
      <c r="S313" s="13" t="s">
        <v>103</v>
      </c>
      <c r="T313" s="13" t="s">
        <v>205</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90" x14ac:dyDescent="0.25">
      <c r="A314" s="13" t="s">
        <v>86</v>
      </c>
      <c r="B314" s="13" t="s">
        <v>87</v>
      </c>
      <c r="C314" s="14">
        <v>43850.552083333336</v>
      </c>
      <c r="D314" s="13" t="s">
        <v>88</v>
      </c>
      <c r="E314" s="15" t="s">
        <v>89</v>
      </c>
      <c r="F314" s="13" t="s">
        <v>90</v>
      </c>
      <c r="G314" s="15" t="s">
        <v>91</v>
      </c>
      <c r="H314" s="13" t="s">
        <v>503</v>
      </c>
      <c r="I314" s="15" t="s">
        <v>504</v>
      </c>
      <c r="J314" s="15" t="s">
        <v>505</v>
      </c>
      <c r="K314" s="15" t="s">
        <v>506</v>
      </c>
      <c r="L314" s="13" t="s">
        <v>507</v>
      </c>
      <c r="M314" s="15" t="s">
        <v>508</v>
      </c>
      <c r="N314" s="13" t="s">
        <v>98</v>
      </c>
      <c r="O314" s="15" t="s">
        <v>428</v>
      </c>
      <c r="P314" s="15" t="s">
        <v>429</v>
      </c>
      <c r="Q314" s="15" t="s">
        <v>366</v>
      </c>
      <c r="R314" s="13" t="s">
        <v>367</v>
      </c>
      <c r="S314" s="13" t="s">
        <v>212</v>
      </c>
      <c r="T314" s="13" t="s">
        <v>104</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90" x14ac:dyDescent="0.25">
      <c r="A315" s="13" t="s">
        <v>86</v>
      </c>
      <c r="B315" s="13" t="s">
        <v>87</v>
      </c>
      <c r="C315" s="14">
        <v>43850.552083333336</v>
      </c>
      <c r="D315" s="13" t="s">
        <v>88</v>
      </c>
      <c r="E315" s="15" t="s">
        <v>89</v>
      </c>
      <c r="F315" s="13" t="s">
        <v>90</v>
      </c>
      <c r="G315" s="15" t="s">
        <v>91</v>
      </c>
      <c r="H315" s="13" t="s">
        <v>503</v>
      </c>
      <c r="I315" s="15" t="s">
        <v>504</v>
      </c>
      <c r="J315" s="15" t="s">
        <v>505</v>
      </c>
      <c r="K315" s="15" t="s">
        <v>506</v>
      </c>
      <c r="L315" s="13" t="s">
        <v>509</v>
      </c>
      <c r="M315" s="15" t="s">
        <v>510</v>
      </c>
      <c r="N315" s="13" t="s">
        <v>188</v>
      </c>
      <c r="O315" s="15" t="s">
        <v>436</v>
      </c>
      <c r="P315" s="15" t="s">
        <v>437</v>
      </c>
      <c r="Q315" s="15" t="s">
        <v>366</v>
      </c>
      <c r="R315" s="13" t="s">
        <v>367</v>
      </c>
      <c r="S315" s="13" t="s">
        <v>212</v>
      </c>
      <c r="T315" s="13" t="s">
        <v>104</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105" x14ac:dyDescent="0.25">
      <c r="A316" s="13" t="s">
        <v>86</v>
      </c>
      <c r="B316" s="13" t="s">
        <v>87</v>
      </c>
      <c r="C316" s="14">
        <v>44006.450694444444</v>
      </c>
      <c r="D316" s="13" t="s">
        <v>88</v>
      </c>
      <c r="E316" s="15" t="s">
        <v>89</v>
      </c>
      <c r="F316" s="13" t="s">
        <v>90</v>
      </c>
      <c r="G316" s="15" t="s">
        <v>91</v>
      </c>
      <c r="H316" s="13" t="s">
        <v>511</v>
      </c>
      <c r="I316" s="15" t="s">
        <v>512</v>
      </c>
      <c r="J316" s="15" t="s">
        <v>513</v>
      </c>
      <c r="K316" s="15" t="s">
        <v>514</v>
      </c>
      <c r="L316" s="13" t="s">
        <v>515</v>
      </c>
      <c r="M316" s="15" t="s">
        <v>512</v>
      </c>
      <c r="N316" s="13" t="s">
        <v>98</v>
      </c>
      <c r="O316" s="15"/>
      <c r="P316" s="15"/>
      <c r="Q316" s="15" t="s">
        <v>101</v>
      </c>
      <c r="R316" s="13" t="s">
        <v>102</v>
      </c>
      <c r="S316" s="13" t="s">
        <v>103</v>
      </c>
      <c r="T316" s="13" t="s">
        <v>104</v>
      </c>
      <c r="U316" s="14">
        <v>40725</v>
      </c>
      <c r="V316" s="14">
        <v>43825</v>
      </c>
      <c r="W316" s="15"/>
      <c r="X316" s="15"/>
      <c r="Y316" s="13"/>
      <c r="Z316" s="15"/>
      <c r="AA316" s="15"/>
      <c r="AB316" s="15"/>
      <c r="AC316" s="13"/>
      <c r="AD316" s="15"/>
      <c r="AE316" s="15"/>
      <c r="AF316" s="15"/>
      <c r="AG316" s="13"/>
      <c r="AH316" s="15"/>
      <c r="AI316" s="15"/>
      <c r="AJ316" s="15"/>
      <c r="AK316" s="13"/>
      <c r="AL316" s="15"/>
      <c r="AM316" s="15"/>
      <c r="AN316" s="13"/>
      <c r="AO316" s="13"/>
    </row>
    <row r="317" spans="1:41" ht="105" x14ac:dyDescent="0.25">
      <c r="A317" s="13" t="s">
        <v>86</v>
      </c>
      <c r="B317" s="13" t="s">
        <v>153</v>
      </c>
      <c r="C317" s="14">
        <v>44006.48541666667</v>
      </c>
      <c r="D317" s="13" t="s">
        <v>88</v>
      </c>
      <c r="E317" s="15" t="s">
        <v>89</v>
      </c>
      <c r="F317" s="13" t="s">
        <v>90</v>
      </c>
      <c r="G317" s="15" t="s">
        <v>91</v>
      </c>
      <c r="H317" s="13" t="s">
        <v>511</v>
      </c>
      <c r="I317" s="15" t="s">
        <v>512</v>
      </c>
      <c r="J317" s="15" t="s">
        <v>513</v>
      </c>
      <c r="K317" s="15" t="s">
        <v>514</v>
      </c>
      <c r="L317" s="13" t="s">
        <v>515</v>
      </c>
      <c r="M317" s="15" t="s">
        <v>512</v>
      </c>
      <c r="N317" s="13" t="s">
        <v>98</v>
      </c>
      <c r="O317" s="15"/>
      <c r="P317" s="15"/>
      <c r="Q317" s="15" t="s">
        <v>101</v>
      </c>
      <c r="R317" s="13" t="s">
        <v>102</v>
      </c>
      <c r="S317" s="13" t="s">
        <v>103</v>
      </c>
      <c r="T317" s="13" t="s">
        <v>104</v>
      </c>
      <c r="U317" s="14">
        <v>43826</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105" x14ac:dyDescent="0.25">
      <c r="A318" s="13" t="s">
        <v>86</v>
      </c>
      <c r="B318" s="13" t="s">
        <v>153</v>
      </c>
      <c r="C318" s="14">
        <v>44006.453472222223</v>
      </c>
      <c r="D318" s="13" t="s">
        <v>88</v>
      </c>
      <c r="E318" s="15" t="s">
        <v>89</v>
      </c>
      <c r="F318" s="13" t="s">
        <v>90</v>
      </c>
      <c r="G318" s="15" t="s">
        <v>91</v>
      </c>
      <c r="H318" s="13" t="s">
        <v>511</v>
      </c>
      <c r="I318" s="15" t="s">
        <v>512</v>
      </c>
      <c r="J318" s="15" t="s">
        <v>513</v>
      </c>
      <c r="K318" s="15" t="s">
        <v>514</v>
      </c>
      <c r="L318" s="13" t="s">
        <v>515</v>
      </c>
      <c r="M318" s="15" t="s">
        <v>512</v>
      </c>
      <c r="N318" s="13" t="s">
        <v>98</v>
      </c>
      <c r="O318" s="15"/>
      <c r="P318" s="15"/>
      <c r="Q318" s="15" t="s">
        <v>203</v>
      </c>
      <c r="R318" s="13" t="s">
        <v>204</v>
      </c>
      <c r="S318" s="13" t="s">
        <v>103</v>
      </c>
      <c r="T318" s="13" t="s">
        <v>104</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105" x14ac:dyDescent="0.25">
      <c r="A319" s="13" t="s">
        <v>86</v>
      </c>
      <c r="B319" s="13" t="s">
        <v>87</v>
      </c>
      <c r="C319" s="14">
        <v>44006.450694444444</v>
      </c>
      <c r="D319" s="13" t="s">
        <v>88</v>
      </c>
      <c r="E319" s="15" t="s">
        <v>89</v>
      </c>
      <c r="F319" s="13" t="s">
        <v>90</v>
      </c>
      <c r="G319" s="15" t="s">
        <v>91</v>
      </c>
      <c r="H319" s="13" t="s">
        <v>511</v>
      </c>
      <c r="I319" s="15" t="s">
        <v>512</v>
      </c>
      <c r="J319" s="15" t="s">
        <v>513</v>
      </c>
      <c r="K319" s="15" t="s">
        <v>514</v>
      </c>
      <c r="L319" s="13" t="s">
        <v>515</v>
      </c>
      <c r="M319" s="15" t="s">
        <v>512</v>
      </c>
      <c r="N319" s="13" t="s">
        <v>98</v>
      </c>
      <c r="O319" s="15"/>
      <c r="P319" s="15"/>
      <c r="Q319" s="15" t="s">
        <v>206</v>
      </c>
      <c r="R319" s="13" t="s">
        <v>207</v>
      </c>
      <c r="S319" s="13" t="s">
        <v>103</v>
      </c>
      <c r="T319" s="13" t="s">
        <v>104</v>
      </c>
      <c r="U319" s="14">
        <v>40725</v>
      </c>
      <c r="V319" s="14">
        <v>43825</v>
      </c>
      <c r="W319" s="15"/>
      <c r="X319" s="15"/>
      <c r="Y319" s="13"/>
      <c r="Z319" s="15"/>
      <c r="AA319" s="15"/>
      <c r="AB319" s="15"/>
      <c r="AC319" s="13"/>
      <c r="AD319" s="15"/>
      <c r="AE319" s="15"/>
      <c r="AF319" s="15"/>
      <c r="AG319" s="13"/>
      <c r="AH319" s="15"/>
      <c r="AI319" s="15"/>
      <c r="AJ319" s="15"/>
      <c r="AK319" s="13"/>
      <c r="AL319" s="15"/>
      <c r="AM319" s="15"/>
      <c r="AN319" s="13"/>
      <c r="AO319" s="13"/>
    </row>
    <row r="320" spans="1:41" ht="105" x14ac:dyDescent="0.25">
      <c r="A320" s="13" t="s">
        <v>86</v>
      </c>
      <c r="B320" s="13" t="s">
        <v>153</v>
      </c>
      <c r="C320" s="14">
        <v>44018.390972222223</v>
      </c>
      <c r="D320" s="13" t="s">
        <v>88</v>
      </c>
      <c r="E320" s="15" t="s">
        <v>89</v>
      </c>
      <c r="F320" s="13" t="s">
        <v>90</v>
      </c>
      <c r="G320" s="15" t="s">
        <v>91</v>
      </c>
      <c r="H320" s="13" t="s">
        <v>511</v>
      </c>
      <c r="I320" s="15" t="s">
        <v>512</v>
      </c>
      <c r="J320" s="15" t="s">
        <v>513</v>
      </c>
      <c r="K320" s="15" t="s">
        <v>514</v>
      </c>
      <c r="L320" s="13" t="s">
        <v>515</v>
      </c>
      <c r="M320" s="15" t="s">
        <v>512</v>
      </c>
      <c r="N320" s="13" t="s">
        <v>98</v>
      </c>
      <c r="O320" s="15"/>
      <c r="P320" s="15"/>
      <c r="Q320" s="15" t="s">
        <v>206</v>
      </c>
      <c r="R320" s="13" t="s">
        <v>207</v>
      </c>
      <c r="S320" s="13" t="s">
        <v>103</v>
      </c>
      <c r="T320" s="13" t="s">
        <v>104</v>
      </c>
      <c r="U320" s="14">
        <v>43826</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105" x14ac:dyDescent="0.25">
      <c r="A321" s="13" t="s">
        <v>202</v>
      </c>
      <c r="B321" s="13" t="s">
        <v>153</v>
      </c>
      <c r="C321" s="14">
        <v>43152.5</v>
      </c>
      <c r="D321" s="13" t="s">
        <v>88</v>
      </c>
      <c r="E321" s="15" t="s">
        <v>89</v>
      </c>
      <c r="F321" s="13" t="s">
        <v>90</v>
      </c>
      <c r="G321" s="15" t="s">
        <v>91</v>
      </c>
      <c r="H321" s="13" t="s">
        <v>511</v>
      </c>
      <c r="I321" s="15" t="s">
        <v>512</v>
      </c>
      <c r="J321" s="15" t="s">
        <v>513</v>
      </c>
      <c r="K321" s="15" t="s">
        <v>514</v>
      </c>
      <c r="L321" s="13" t="s">
        <v>515</v>
      </c>
      <c r="M321" s="15" t="s">
        <v>512</v>
      </c>
      <c r="N321" s="13" t="s">
        <v>98</v>
      </c>
      <c r="O321" s="15"/>
      <c r="P321" s="15"/>
      <c r="Q321" s="15" t="s">
        <v>208</v>
      </c>
      <c r="R321" s="13" t="s">
        <v>209</v>
      </c>
      <c r="S321" s="13" t="s">
        <v>103</v>
      </c>
      <c r="T321" s="13" t="s">
        <v>205</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120" x14ac:dyDescent="0.25">
      <c r="A322" s="13" t="s">
        <v>86</v>
      </c>
      <c r="B322" s="13" t="s">
        <v>87</v>
      </c>
      <c r="C322" s="14">
        <v>43850.552083333336</v>
      </c>
      <c r="D322" s="13" t="s">
        <v>88</v>
      </c>
      <c r="E322" s="15" t="s">
        <v>89</v>
      </c>
      <c r="F322" s="13" t="s">
        <v>90</v>
      </c>
      <c r="G322" s="15" t="s">
        <v>91</v>
      </c>
      <c r="H322" s="13" t="s">
        <v>531</v>
      </c>
      <c r="I322" s="15" t="s">
        <v>532</v>
      </c>
      <c r="J322" s="15" t="s">
        <v>533</v>
      </c>
      <c r="K322" s="15" t="s">
        <v>534</v>
      </c>
      <c r="L322" s="13" t="s">
        <v>535</v>
      </c>
      <c r="M322" s="15" t="s">
        <v>536</v>
      </c>
      <c r="N322" s="13" t="s">
        <v>98</v>
      </c>
      <c r="O322" s="15" t="s">
        <v>537</v>
      </c>
      <c r="P322" s="15" t="s">
        <v>429</v>
      </c>
      <c r="Q322" s="15" t="s">
        <v>101</v>
      </c>
      <c r="R322" s="13" t="s">
        <v>102</v>
      </c>
      <c r="S322" s="13" t="s">
        <v>103</v>
      </c>
      <c r="T322" s="13" t="s">
        <v>104</v>
      </c>
      <c r="U322" s="14">
        <v>42482</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120" x14ac:dyDescent="0.25">
      <c r="A323" s="13" t="s">
        <v>86</v>
      </c>
      <c r="B323" s="13" t="s">
        <v>87</v>
      </c>
      <c r="C323" s="14">
        <v>43850.552083333336</v>
      </c>
      <c r="D323" s="13" t="s">
        <v>88</v>
      </c>
      <c r="E323" s="15" t="s">
        <v>89</v>
      </c>
      <c r="F323" s="13" t="s">
        <v>90</v>
      </c>
      <c r="G323" s="15" t="s">
        <v>91</v>
      </c>
      <c r="H323" s="13" t="s">
        <v>531</v>
      </c>
      <c r="I323" s="15" t="s">
        <v>532</v>
      </c>
      <c r="J323" s="15" t="s">
        <v>533</v>
      </c>
      <c r="K323" s="15" t="s">
        <v>534</v>
      </c>
      <c r="L323" s="13" t="s">
        <v>541</v>
      </c>
      <c r="M323" s="15" t="s">
        <v>542</v>
      </c>
      <c r="N323" s="13" t="s">
        <v>188</v>
      </c>
      <c r="O323" s="15" t="s">
        <v>436</v>
      </c>
      <c r="P323" s="15" t="s">
        <v>437</v>
      </c>
      <c r="Q323" s="15" t="s">
        <v>101</v>
      </c>
      <c r="R323" s="13" t="s">
        <v>102</v>
      </c>
      <c r="S323" s="13" t="s">
        <v>103</v>
      </c>
      <c r="T323" s="13" t="s">
        <v>104</v>
      </c>
      <c r="U323" s="14">
        <v>42482</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120" x14ac:dyDescent="0.25">
      <c r="A324" s="13" t="s">
        <v>202</v>
      </c>
      <c r="B324" s="13" t="s">
        <v>153</v>
      </c>
      <c r="C324" s="14">
        <v>43152.5</v>
      </c>
      <c r="D324" s="13" t="s">
        <v>88</v>
      </c>
      <c r="E324" s="15" t="s">
        <v>89</v>
      </c>
      <c r="F324" s="13" t="s">
        <v>90</v>
      </c>
      <c r="G324" s="15" t="s">
        <v>91</v>
      </c>
      <c r="H324" s="13" t="s">
        <v>531</v>
      </c>
      <c r="I324" s="15" t="s">
        <v>532</v>
      </c>
      <c r="J324" s="15" t="s">
        <v>533</v>
      </c>
      <c r="K324" s="15" t="s">
        <v>534</v>
      </c>
      <c r="L324" s="13" t="s">
        <v>535</v>
      </c>
      <c r="M324" s="15" t="s">
        <v>536</v>
      </c>
      <c r="N324" s="13" t="s">
        <v>98</v>
      </c>
      <c r="O324" s="15" t="s">
        <v>537</v>
      </c>
      <c r="P324" s="15" t="s">
        <v>429</v>
      </c>
      <c r="Q324" s="15" t="s">
        <v>203</v>
      </c>
      <c r="R324" s="13" t="s">
        <v>204</v>
      </c>
      <c r="S324" s="13" t="s">
        <v>103</v>
      </c>
      <c r="T324" s="13" t="s">
        <v>205</v>
      </c>
      <c r="U324" s="14">
        <v>40725</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120" x14ac:dyDescent="0.25">
      <c r="A325" s="13" t="s">
        <v>202</v>
      </c>
      <c r="B325" s="13" t="s">
        <v>153</v>
      </c>
      <c r="C325" s="14">
        <v>43152.5</v>
      </c>
      <c r="D325" s="13" t="s">
        <v>88</v>
      </c>
      <c r="E325" s="15" t="s">
        <v>89</v>
      </c>
      <c r="F325" s="13" t="s">
        <v>90</v>
      </c>
      <c r="G325" s="15" t="s">
        <v>91</v>
      </c>
      <c r="H325" s="13" t="s">
        <v>531</v>
      </c>
      <c r="I325" s="15" t="s">
        <v>532</v>
      </c>
      <c r="J325" s="15" t="s">
        <v>533</v>
      </c>
      <c r="K325" s="15" t="s">
        <v>534</v>
      </c>
      <c r="L325" s="13" t="s">
        <v>541</v>
      </c>
      <c r="M325" s="15" t="s">
        <v>542</v>
      </c>
      <c r="N325" s="13" t="s">
        <v>188</v>
      </c>
      <c r="O325" s="15" t="s">
        <v>436</v>
      </c>
      <c r="P325" s="15" t="s">
        <v>437</v>
      </c>
      <c r="Q325" s="15" t="s">
        <v>203</v>
      </c>
      <c r="R325" s="13" t="s">
        <v>204</v>
      </c>
      <c r="S325" s="13" t="s">
        <v>103</v>
      </c>
      <c r="T325" s="13" t="s">
        <v>205</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120" x14ac:dyDescent="0.25">
      <c r="A326" s="13" t="s">
        <v>202</v>
      </c>
      <c r="B326" s="13" t="s">
        <v>153</v>
      </c>
      <c r="C326" s="14">
        <v>43152.5</v>
      </c>
      <c r="D326" s="13" t="s">
        <v>88</v>
      </c>
      <c r="E326" s="15" t="s">
        <v>89</v>
      </c>
      <c r="F326" s="13" t="s">
        <v>90</v>
      </c>
      <c r="G326" s="15" t="s">
        <v>91</v>
      </c>
      <c r="H326" s="13" t="s">
        <v>531</v>
      </c>
      <c r="I326" s="15" t="s">
        <v>532</v>
      </c>
      <c r="J326" s="15" t="s">
        <v>533</v>
      </c>
      <c r="K326" s="15" t="s">
        <v>534</v>
      </c>
      <c r="L326" s="13" t="s">
        <v>535</v>
      </c>
      <c r="M326" s="15" t="s">
        <v>536</v>
      </c>
      <c r="N326" s="13" t="s">
        <v>98</v>
      </c>
      <c r="O326" s="15" t="s">
        <v>537</v>
      </c>
      <c r="P326" s="15" t="s">
        <v>429</v>
      </c>
      <c r="Q326" s="15" t="s">
        <v>206</v>
      </c>
      <c r="R326" s="13" t="s">
        <v>207</v>
      </c>
      <c r="S326" s="13" t="s">
        <v>103</v>
      </c>
      <c r="T326" s="13" t="s">
        <v>205</v>
      </c>
      <c r="U326" s="14">
        <v>40725</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120" x14ac:dyDescent="0.25">
      <c r="A327" s="13" t="s">
        <v>202</v>
      </c>
      <c r="B327" s="13" t="s">
        <v>153</v>
      </c>
      <c r="C327" s="14">
        <v>43152.5</v>
      </c>
      <c r="D327" s="13" t="s">
        <v>88</v>
      </c>
      <c r="E327" s="15" t="s">
        <v>89</v>
      </c>
      <c r="F327" s="13" t="s">
        <v>90</v>
      </c>
      <c r="G327" s="15" t="s">
        <v>91</v>
      </c>
      <c r="H327" s="13" t="s">
        <v>531</v>
      </c>
      <c r="I327" s="15" t="s">
        <v>532</v>
      </c>
      <c r="J327" s="15" t="s">
        <v>533</v>
      </c>
      <c r="K327" s="15" t="s">
        <v>534</v>
      </c>
      <c r="L327" s="13" t="s">
        <v>541</v>
      </c>
      <c r="M327" s="15" t="s">
        <v>542</v>
      </c>
      <c r="N327" s="13" t="s">
        <v>188</v>
      </c>
      <c r="O327" s="15" t="s">
        <v>436</v>
      </c>
      <c r="P327" s="15" t="s">
        <v>437</v>
      </c>
      <c r="Q327" s="15" t="s">
        <v>206</v>
      </c>
      <c r="R327" s="13" t="s">
        <v>207</v>
      </c>
      <c r="S327" s="13" t="s">
        <v>103</v>
      </c>
      <c r="T327" s="13" t="s">
        <v>205</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120" x14ac:dyDescent="0.25">
      <c r="A328" s="13" t="s">
        <v>202</v>
      </c>
      <c r="B328" s="13" t="s">
        <v>153</v>
      </c>
      <c r="C328" s="14">
        <v>43152.5</v>
      </c>
      <c r="D328" s="13" t="s">
        <v>88</v>
      </c>
      <c r="E328" s="15" t="s">
        <v>89</v>
      </c>
      <c r="F328" s="13" t="s">
        <v>90</v>
      </c>
      <c r="G328" s="15" t="s">
        <v>91</v>
      </c>
      <c r="H328" s="13" t="s">
        <v>531</v>
      </c>
      <c r="I328" s="15" t="s">
        <v>532</v>
      </c>
      <c r="J328" s="15" t="s">
        <v>533</v>
      </c>
      <c r="K328" s="15" t="s">
        <v>534</v>
      </c>
      <c r="L328" s="13" t="s">
        <v>535</v>
      </c>
      <c r="M328" s="15" t="s">
        <v>536</v>
      </c>
      <c r="N328" s="13" t="s">
        <v>98</v>
      </c>
      <c r="O328" s="15" t="s">
        <v>537</v>
      </c>
      <c r="P328" s="15" t="s">
        <v>429</v>
      </c>
      <c r="Q328" s="15" t="s">
        <v>208</v>
      </c>
      <c r="R328" s="13" t="s">
        <v>209</v>
      </c>
      <c r="S328" s="13" t="s">
        <v>103</v>
      </c>
      <c r="T328" s="13" t="s">
        <v>205</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120" x14ac:dyDescent="0.25">
      <c r="A329" s="13" t="s">
        <v>202</v>
      </c>
      <c r="B329" s="13" t="s">
        <v>153</v>
      </c>
      <c r="C329" s="14">
        <v>43152.5</v>
      </c>
      <c r="D329" s="13" t="s">
        <v>88</v>
      </c>
      <c r="E329" s="15" t="s">
        <v>89</v>
      </c>
      <c r="F329" s="13" t="s">
        <v>90</v>
      </c>
      <c r="G329" s="15" t="s">
        <v>91</v>
      </c>
      <c r="H329" s="13" t="s">
        <v>531</v>
      </c>
      <c r="I329" s="15" t="s">
        <v>532</v>
      </c>
      <c r="J329" s="15" t="s">
        <v>533</v>
      </c>
      <c r="K329" s="15" t="s">
        <v>534</v>
      </c>
      <c r="L329" s="13" t="s">
        <v>541</v>
      </c>
      <c r="M329" s="15" t="s">
        <v>542</v>
      </c>
      <c r="N329" s="13" t="s">
        <v>188</v>
      </c>
      <c r="O329" s="15" t="s">
        <v>436</v>
      </c>
      <c r="P329" s="15" t="s">
        <v>437</v>
      </c>
      <c r="Q329" s="15" t="s">
        <v>208</v>
      </c>
      <c r="R329" s="13" t="s">
        <v>209</v>
      </c>
      <c r="S329" s="13" t="s">
        <v>103</v>
      </c>
      <c r="T329" s="13" t="s">
        <v>205</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135" x14ac:dyDescent="0.25">
      <c r="A330" s="13" t="s">
        <v>86</v>
      </c>
      <c r="B330" s="13" t="s">
        <v>87</v>
      </c>
      <c r="C330" s="14">
        <v>43850.552083333336</v>
      </c>
      <c r="D330" s="13" t="s">
        <v>88</v>
      </c>
      <c r="E330" s="15" t="s">
        <v>89</v>
      </c>
      <c r="F330" s="13" t="s">
        <v>90</v>
      </c>
      <c r="G330" s="15" t="s">
        <v>91</v>
      </c>
      <c r="H330" s="13" t="s">
        <v>544</v>
      </c>
      <c r="I330" s="15" t="s">
        <v>545</v>
      </c>
      <c r="J330" s="15" t="s">
        <v>546</v>
      </c>
      <c r="K330" s="15" t="s">
        <v>547</v>
      </c>
      <c r="L330" s="13" t="s">
        <v>548</v>
      </c>
      <c r="M330" s="15" t="s">
        <v>549</v>
      </c>
      <c r="N330" s="13" t="s">
        <v>98</v>
      </c>
      <c r="O330" s="15" t="s">
        <v>537</v>
      </c>
      <c r="P330" s="15" t="s">
        <v>429</v>
      </c>
      <c r="Q330" s="15" t="s">
        <v>101</v>
      </c>
      <c r="R330" s="13" t="s">
        <v>102</v>
      </c>
      <c r="S330" s="13" t="s">
        <v>103</v>
      </c>
      <c r="T330" s="13" t="s">
        <v>104</v>
      </c>
      <c r="U330" s="14">
        <v>42482</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135" x14ac:dyDescent="0.25">
      <c r="A331" s="13" t="s">
        <v>86</v>
      </c>
      <c r="B331" s="13" t="s">
        <v>87</v>
      </c>
      <c r="C331" s="14">
        <v>43850.552083333336</v>
      </c>
      <c r="D331" s="13" t="s">
        <v>88</v>
      </c>
      <c r="E331" s="15" t="s">
        <v>89</v>
      </c>
      <c r="F331" s="13" t="s">
        <v>90</v>
      </c>
      <c r="G331" s="15" t="s">
        <v>91</v>
      </c>
      <c r="H331" s="13" t="s">
        <v>544</v>
      </c>
      <c r="I331" s="15" t="s">
        <v>545</v>
      </c>
      <c r="J331" s="15" t="s">
        <v>546</v>
      </c>
      <c r="K331" s="15" t="s">
        <v>547</v>
      </c>
      <c r="L331" s="13" t="s">
        <v>550</v>
      </c>
      <c r="M331" s="15" t="s">
        <v>551</v>
      </c>
      <c r="N331" s="13" t="s">
        <v>188</v>
      </c>
      <c r="O331" s="15" t="s">
        <v>436</v>
      </c>
      <c r="P331" s="15" t="s">
        <v>437</v>
      </c>
      <c r="Q331" s="15" t="s">
        <v>101</v>
      </c>
      <c r="R331" s="13" t="s">
        <v>102</v>
      </c>
      <c r="S331" s="13" t="s">
        <v>103</v>
      </c>
      <c r="T331" s="13" t="s">
        <v>104</v>
      </c>
      <c r="U331" s="14">
        <v>42482</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135" x14ac:dyDescent="0.25">
      <c r="A332" s="13" t="s">
        <v>202</v>
      </c>
      <c r="B332" s="13" t="s">
        <v>153</v>
      </c>
      <c r="C332" s="14">
        <v>43152.5</v>
      </c>
      <c r="D332" s="13" t="s">
        <v>88</v>
      </c>
      <c r="E332" s="15" t="s">
        <v>89</v>
      </c>
      <c r="F332" s="13" t="s">
        <v>90</v>
      </c>
      <c r="G332" s="15" t="s">
        <v>91</v>
      </c>
      <c r="H332" s="13" t="s">
        <v>544</v>
      </c>
      <c r="I332" s="15" t="s">
        <v>545</v>
      </c>
      <c r="J332" s="15" t="s">
        <v>546</v>
      </c>
      <c r="K332" s="15" t="s">
        <v>547</v>
      </c>
      <c r="L332" s="13" t="s">
        <v>548</v>
      </c>
      <c r="M332" s="15" t="s">
        <v>549</v>
      </c>
      <c r="N332" s="13" t="s">
        <v>98</v>
      </c>
      <c r="O332" s="15" t="s">
        <v>537</v>
      </c>
      <c r="P332" s="15" t="s">
        <v>429</v>
      </c>
      <c r="Q332" s="15" t="s">
        <v>203</v>
      </c>
      <c r="R332" s="13" t="s">
        <v>204</v>
      </c>
      <c r="S332" s="13" t="s">
        <v>103</v>
      </c>
      <c r="T332" s="13" t="s">
        <v>205</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135" x14ac:dyDescent="0.25">
      <c r="A333" s="13" t="s">
        <v>202</v>
      </c>
      <c r="B333" s="13" t="s">
        <v>153</v>
      </c>
      <c r="C333" s="14">
        <v>43152.5</v>
      </c>
      <c r="D333" s="13" t="s">
        <v>88</v>
      </c>
      <c r="E333" s="15" t="s">
        <v>89</v>
      </c>
      <c r="F333" s="13" t="s">
        <v>90</v>
      </c>
      <c r="G333" s="15" t="s">
        <v>91</v>
      </c>
      <c r="H333" s="13" t="s">
        <v>544</v>
      </c>
      <c r="I333" s="15" t="s">
        <v>545</v>
      </c>
      <c r="J333" s="15" t="s">
        <v>546</v>
      </c>
      <c r="K333" s="15" t="s">
        <v>547</v>
      </c>
      <c r="L333" s="13" t="s">
        <v>550</v>
      </c>
      <c r="M333" s="15" t="s">
        <v>551</v>
      </c>
      <c r="N333" s="13" t="s">
        <v>188</v>
      </c>
      <c r="O333" s="15" t="s">
        <v>436</v>
      </c>
      <c r="P333" s="15" t="s">
        <v>437</v>
      </c>
      <c r="Q333" s="15" t="s">
        <v>203</v>
      </c>
      <c r="R333" s="13" t="s">
        <v>204</v>
      </c>
      <c r="S333" s="13" t="s">
        <v>103</v>
      </c>
      <c r="T333" s="13" t="s">
        <v>205</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135" x14ac:dyDescent="0.25">
      <c r="A334" s="13" t="s">
        <v>202</v>
      </c>
      <c r="B334" s="13" t="s">
        <v>153</v>
      </c>
      <c r="C334" s="14">
        <v>43152.5</v>
      </c>
      <c r="D334" s="13" t="s">
        <v>88</v>
      </c>
      <c r="E334" s="15" t="s">
        <v>89</v>
      </c>
      <c r="F334" s="13" t="s">
        <v>90</v>
      </c>
      <c r="G334" s="15" t="s">
        <v>91</v>
      </c>
      <c r="H334" s="13" t="s">
        <v>544</v>
      </c>
      <c r="I334" s="15" t="s">
        <v>545</v>
      </c>
      <c r="J334" s="15" t="s">
        <v>546</v>
      </c>
      <c r="K334" s="15" t="s">
        <v>547</v>
      </c>
      <c r="L334" s="13" t="s">
        <v>548</v>
      </c>
      <c r="M334" s="15" t="s">
        <v>549</v>
      </c>
      <c r="N334" s="13" t="s">
        <v>98</v>
      </c>
      <c r="O334" s="15" t="s">
        <v>537</v>
      </c>
      <c r="P334" s="15" t="s">
        <v>429</v>
      </c>
      <c r="Q334" s="15" t="s">
        <v>206</v>
      </c>
      <c r="R334" s="13" t="s">
        <v>207</v>
      </c>
      <c r="S334" s="13" t="s">
        <v>103</v>
      </c>
      <c r="T334" s="13" t="s">
        <v>205</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135" x14ac:dyDescent="0.25">
      <c r="A335" s="13" t="s">
        <v>202</v>
      </c>
      <c r="B335" s="13" t="s">
        <v>153</v>
      </c>
      <c r="C335" s="14">
        <v>43152.5</v>
      </c>
      <c r="D335" s="13" t="s">
        <v>88</v>
      </c>
      <c r="E335" s="15" t="s">
        <v>89</v>
      </c>
      <c r="F335" s="13" t="s">
        <v>90</v>
      </c>
      <c r="G335" s="15" t="s">
        <v>91</v>
      </c>
      <c r="H335" s="13" t="s">
        <v>544</v>
      </c>
      <c r="I335" s="15" t="s">
        <v>545</v>
      </c>
      <c r="J335" s="15" t="s">
        <v>546</v>
      </c>
      <c r="K335" s="15" t="s">
        <v>547</v>
      </c>
      <c r="L335" s="13" t="s">
        <v>550</v>
      </c>
      <c r="M335" s="15" t="s">
        <v>551</v>
      </c>
      <c r="N335" s="13" t="s">
        <v>188</v>
      </c>
      <c r="O335" s="15" t="s">
        <v>436</v>
      </c>
      <c r="P335" s="15" t="s">
        <v>437</v>
      </c>
      <c r="Q335" s="15" t="s">
        <v>206</v>
      </c>
      <c r="R335" s="13" t="s">
        <v>207</v>
      </c>
      <c r="S335" s="13" t="s">
        <v>103</v>
      </c>
      <c r="T335" s="13" t="s">
        <v>205</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135" x14ac:dyDescent="0.25">
      <c r="A336" s="13" t="s">
        <v>202</v>
      </c>
      <c r="B336" s="13" t="s">
        <v>153</v>
      </c>
      <c r="C336" s="14">
        <v>43152.5</v>
      </c>
      <c r="D336" s="13" t="s">
        <v>88</v>
      </c>
      <c r="E336" s="15" t="s">
        <v>89</v>
      </c>
      <c r="F336" s="13" t="s">
        <v>90</v>
      </c>
      <c r="G336" s="15" t="s">
        <v>91</v>
      </c>
      <c r="H336" s="13" t="s">
        <v>544</v>
      </c>
      <c r="I336" s="15" t="s">
        <v>545</v>
      </c>
      <c r="J336" s="15" t="s">
        <v>546</v>
      </c>
      <c r="K336" s="15" t="s">
        <v>547</v>
      </c>
      <c r="L336" s="13" t="s">
        <v>548</v>
      </c>
      <c r="M336" s="15" t="s">
        <v>549</v>
      </c>
      <c r="N336" s="13" t="s">
        <v>98</v>
      </c>
      <c r="O336" s="15" t="s">
        <v>537</v>
      </c>
      <c r="P336" s="15" t="s">
        <v>429</v>
      </c>
      <c r="Q336" s="15" t="s">
        <v>208</v>
      </c>
      <c r="R336" s="13" t="s">
        <v>209</v>
      </c>
      <c r="S336" s="13" t="s">
        <v>103</v>
      </c>
      <c r="T336" s="13" t="s">
        <v>205</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135" x14ac:dyDescent="0.25">
      <c r="A337" s="13" t="s">
        <v>202</v>
      </c>
      <c r="B337" s="13" t="s">
        <v>153</v>
      </c>
      <c r="C337" s="14">
        <v>43152.5</v>
      </c>
      <c r="D337" s="13" t="s">
        <v>88</v>
      </c>
      <c r="E337" s="15" t="s">
        <v>89</v>
      </c>
      <c r="F337" s="13" t="s">
        <v>90</v>
      </c>
      <c r="G337" s="15" t="s">
        <v>91</v>
      </c>
      <c r="H337" s="13" t="s">
        <v>544</v>
      </c>
      <c r="I337" s="15" t="s">
        <v>545</v>
      </c>
      <c r="J337" s="15" t="s">
        <v>546</v>
      </c>
      <c r="K337" s="15" t="s">
        <v>547</v>
      </c>
      <c r="L337" s="13" t="s">
        <v>550</v>
      </c>
      <c r="M337" s="15" t="s">
        <v>551</v>
      </c>
      <c r="N337" s="13" t="s">
        <v>188</v>
      </c>
      <c r="O337" s="15" t="s">
        <v>436</v>
      </c>
      <c r="P337" s="15" t="s">
        <v>437</v>
      </c>
      <c r="Q337" s="15" t="s">
        <v>208</v>
      </c>
      <c r="R337" s="13" t="s">
        <v>209</v>
      </c>
      <c r="S337" s="13" t="s">
        <v>103</v>
      </c>
      <c r="T337" s="13" t="s">
        <v>205</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120" x14ac:dyDescent="0.25">
      <c r="A338" s="13" t="s">
        <v>202</v>
      </c>
      <c r="B338" s="13" t="s">
        <v>153</v>
      </c>
      <c r="C338" s="14">
        <v>43152.5</v>
      </c>
      <c r="D338" s="13" t="s">
        <v>88</v>
      </c>
      <c r="E338" s="15" t="s">
        <v>89</v>
      </c>
      <c r="F338" s="13" t="s">
        <v>90</v>
      </c>
      <c r="G338" s="15" t="s">
        <v>91</v>
      </c>
      <c r="H338" s="13" t="s">
        <v>552</v>
      </c>
      <c r="I338" s="15" t="s">
        <v>553</v>
      </c>
      <c r="J338" s="15" t="s">
        <v>554</v>
      </c>
      <c r="K338" s="15" t="s">
        <v>555</v>
      </c>
      <c r="L338" s="13" t="s">
        <v>556</v>
      </c>
      <c r="M338" s="15" t="s">
        <v>557</v>
      </c>
      <c r="N338" s="13" t="s">
        <v>98</v>
      </c>
      <c r="O338" s="15" t="s">
        <v>99</v>
      </c>
      <c r="P338" s="15" t="s">
        <v>100</v>
      </c>
      <c r="Q338" s="15" t="s">
        <v>101</v>
      </c>
      <c r="R338" s="13" t="s">
        <v>102</v>
      </c>
      <c r="S338" s="13" t="s">
        <v>103</v>
      </c>
      <c r="T338" s="13" t="s">
        <v>205</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120" x14ac:dyDescent="0.25">
      <c r="A339" s="13" t="s">
        <v>202</v>
      </c>
      <c r="B339" s="13" t="s">
        <v>153</v>
      </c>
      <c r="C339" s="14">
        <v>43152.5</v>
      </c>
      <c r="D339" s="13" t="s">
        <v>88</v>
      </c>
      <c r="E339" s="15" t="s">
        <v>89</v>
      </c>
      <c r="F339" s="13" t="s">
        <v>90</v>
      </c>
      <c r="G339" s="15" t="s">
        <v>91</v>
      </c>
      <c r="H339" s="13" t="s">
        <v>552</v>
      </c>
      <c r="I339" s="15" t="s">
        <v>553</v>
      </c>
      <c r="J339" s="15" t="s">
        <v>554</v>
      </c>
      <c r="K339" s="15" t="s">
        <v>555</v>
      </c>
      <c r="L339" s="13" t="s">
        <v>558</v>
      </c>
      <c r="M339" s="15" t="s">
        <v>559</v>
      </c>
      <c r="N339" s="13" t="s">
        <v>98</v>
      </c>
      <c r="O339" s="15" t="s">
        <v>170</v>
      </c>
      <c r="P339" s="15" t="s">
        <v>171</v>
      </c>
      <c r="Q339" s="15" t="s">
        <v>101</v>
      </c>
      <c r="R339" s="13" t="s">
        <v>102</v>
      </c>
      <c r="S339" s="13" t="s">
        <v>103</v>
      </c>
      <c r="T339" s="13" t="s">
        <v>205</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120" x14ac:dyDescent="0.25">
      <c r="A340" s="13" t="s">
        <v>202</v>
      </c>
      <c r="B340" s="13" t="s">
        <v>153</v>
      </c>
      <c r="C340" s="14">
        <v>43152.5</v>
      </c>
      <c r="D340" s="13" t="s">
        <v>88</v>
      </c>
      <c r="E340" s="15" t="s">
        <v>89</v>
      </c>
      <c r="F340" s="13" t="s">
        <v>90</v>
      </c>
      <c r="G340" s="15" t="s">
        <v>91</v>
      </c>
      <c r="H340" s="13" t="s">
        <v>552</v>
      </c>
      <c r="I340" s="15" t="s">
        <v>553</v>
      </c>
      <c r="J340" s="15" t="s">
        <v>554</v>
      </c>
      <c r="K340" s="15" t="s">
        <v>555</v>
      </c>
      <c r="L340" s="13" t="s">
        <v>560</v>
      </c>
      <c r="M340" s="15" t="s">
        <v>561</v>
      </c>
      <c r="N340" s="13" t="s">
        <v>188</v>
      </c>
      <c r="O340" s="15" t="s">
        <v>189</v>
      </c>
      <c r="P340" s="15" t="s">
        <v>190</v>
      </c>
      <c r="Q340" s="15" t="s">
        <v>101</v>
      </c>
      <c r="R340" s="13" t="s">
        <v>102</v>
      </c>
      <c r="S340" s="13" t="s">
        <v>103</v>
      </c>
      <c r="T340" s="13" t="s">
        <v>205</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120" x14ac:dyDescent="0.25">
      <c r="A341" s="13" t="s">
        <v>202</v>
      </c>
      <c r="B341" s="13" t="s">
        <v>153</v>
      </c>
      <c r="C341" s="14">
        <v>43152.5</v>
      </c>
      <c r="D341" s="13" t="s">
        <v>88</v>
      </c>
      <c r="E341" s="15" t="s">
        <v>89</v>
      </c>
      <c r="F341" s="13" t="s">
        <v>90</v>
      </c>
      <c r="G341" s="15" t="s">
        <v>91</v>
      </c>
      <c r="H341" s="13" t="s">
        <v>552</v>
      </c>
      <c r="I341" s="15" t="s">
        <v>553</v>
      </c>
      <c r="J341" s="15" t="s">
        <v>554</v>
      </c>
      <c r="K341" s="15" t="s">
        <v>555</v>
      </c>
      <c r="L341" s="13" t="s">
        <v>556</v>
      </c>
      <c r="M341" s="15" t="s">
        <v>557</v>
      </c>
      <c r="N341" s="13" t="s">
        <v>98</v>
      </c>
      <c r="O341" s="15" t="s">
        <v>99</v>
      </c>
      <c r="P341" s="15" t="s">
        <v>100</v>
      </c>
      <c r="Q341" s="15" t="s">
        <v>203</v>
      </c>
      <c r="R341" s="13" t="s">
        <v>204</v>
      </c>
      <c r="S341" s="13" t="s">
        <v>103</v>
      </c>
      <c r="T341" s="13" t="s">
        <v>205</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120" x14ac:dyDescent="0.25">
      <c r="A342" s="13" t="s">
        <v>202</v>
      </c>
      <c r="B342" s="13" t="s">
        <v>153</v>
      </c>
      <c r="C342" s="14">
        <v>43152.5</v>
      </c>
      <c r="D342" s="13" t="s">
        <v>88</v>
      </c>
      <c r="E342" s="15" t="s">
        <v>89</v>
      </c>
      <c r="F342" s="13" t="s">
        <v>90</v>
      </c>
      <c r="G342" s="15" t="s">
        <v>91</v>
      </c>
      <c r="H342" s="13" t="s">
        <v>552</v>
      </c>
      <c r="I342" s="15" t="s">
        <v>553</v>
      </c>
      <c r="J342" s="15" t="s">
        <v>554</v>
      </c>
      <c r="K342" s="15" t="s">
        <v>555</v>
      </c>
      <c r="L342" s="13" t="s">
        <v>558</v>
      </c>
      <c r="M342" s="15" t="s">
        <v>559</v>
      </c>
      <c r="N342" s="13" t="s">
        <v>98</v>
      </c>
      <c r="O342" s="15" t="s">
        <v>170</v>
      </c>
      <c r="P342" s="15" t="s">
        <v>171</v>
      </c>
      <c r="Q342" s="15" t="s">
        <v>203</v>
      </c>
      <c r="R342" s="13" t="s">
        <v>204</v>
      </c>
      <c r="S342" s="13" t="s">
        <v>103</v>
      </c>
      <c r="T342" s="13" t="s">
        <v>205</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120" x14ac:dyDescent="0.25">
      <c r="A343" s="13" t="s">
        <v>202</v>
      </c>
      <c r="B343" s="13" t="s">
        <v>153</v>
      </c>
      <c r="C343" s="14">
        <v>43152.5</v>
      </c>
      <c r="D343" s="13" t="s">
        <v>88</v>
      </c>
      <c r="E343" s="15" t="s">
        <v>89</v>
      </c>
      <c r="F343" s="13" t="s">
        <v>90</v>
      </c>
      <c r="G343" s="15" t="s">
        <v>91</v>
      </c>
      <c r="H343" s="13" t="s">
        <v>552</v>
      </c>
      <c r="I343" s="15" t="s">
        <v>553</v>
      </c>
      <c r="J343" s="15" t="s">
        <v>554</v>
      </c>
      <c r="K343" s="15" t="s">
        <v>555</v>
      </c>
      <c r="L343" s="13" t="s">
        <v>560</v>
      </c>
      <c r="M343" s="15" t="s">
        <v>561</v>
      </c>
      <c r="N343" s="13" t="s">
        <v>188</v>
      </c>
      <c r="O343" s="15" t="s">
        <v>189</v>
      </c>
      <c r="P343" s="15" t="s">
        <v>190</v>
      </c>
      <c r="Q343" s="15" t="s">
        <v>203</v>
      </c>
      <c r="R343" s="13" t="s">
        <v>204</v>
      </c>
      <c r="S343" s="13" t="s">
        <v>103</v>
      </c>
      <c r="T343" s="13" t="s">
        <v>205</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120" x14ac:dyDescent="0.25">
      <c r="A344" s="13" t="s">
        <v>202</v>
      </c>
      <c r="B344" s="13" t="s">
        <v>153</v>
      </c>
      <c r="C344" s="14">
        <v>43152.5</v>
      </c>
      <c r="D344" s="13" t="s">
        <v>88</v>
      </c>
      <c r="E344" s="15" t="s">
        <v>89</v>
      </c>
      <c r="F344" s="13" t="s">
        <v>90</v>
      </c>
      <c r="G344" s="15" t="s">
        <v>91</v>
      </c>
      <c r="H344" s="13" t="s">
        <v>552</v>
      </c>
      <c r="I344" s="15" t="s">
        <v>553</v>
      </c>
      <c r="J344" s="15" t="s">
        <v>554</v>
      </c>
      <c r="K344" s="15" t="s">
        <v>555</v>
      </c>
      <c r="L344" s="13" t="s">
        <v>556</v>
      </c>
      <c r="M344" s="15" t="s">
        <v>557</v>
      </c>
      <c r="N344" s="13" t="s">
        <v>98</v>
      </c>
      <c r="O344" s="15" t="s">
        <v>99</v>
      </c>
      <c r="P344" s="15" t="s">
        <v>100</v>
      </c>
      <c r="Q344" s="15" t="s">
        <v>206</v>
      </c>
      <c r="R344" s="13" t="s">
        <v>207</v>
      </c>
      <c r="S344" s="13" t="s">
        <v>103</v>
      </c>
      <c r="T344" s="13" t="s">
        <v>205</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120" x14ac:dyDescent="0.25">
      <c r="A345" s="13" t="s">
        <v>202</v>
      </c>
      <c r="B345" s="13" t="s">
        <v>153</v>
      </c>
      <c r="C345" s="14">
        <v>43152.5</v>
      </c>
      <c r="D345" s="13" t="s">
        <v>88</v>
      </c>
      <c r="E345" s="15" t="s">
        <v>89</v>
      </c>
      <c r="F345" s="13" t="s">
        <v>90</v>
      </c>
      <c r="G345" s="15" t="s">
        <v>91</v>
      </c>
      <c r="H345" s="13" t="s">
        <v>552</v>
      </c>
      <c r="I345" s="15" t="s">
        <v>553</v>
      </c>
      <c r="J345" s="15" t="s">
        <v>554</v>
      </c>
      <c r="K345" s="15" t="s">
        <v>555</v>
      </c>
      <c r="L345" s="13" t="s">
        <v>558</v>
      </c>
      <c r="M345" s="15" t="s">
        <v>559</v>
      </c>
      <c r="N345" s="13" t="s">
        <v>98</v>
      </c>
      <c r="O345" s="15" t="s">
        <v>170</v>
      </c>
      <c r="P345" s="15" t="s">
        <v>171</v>
      </c>
      <c r="Q345" s="15" t="s">
        <v>206</v>
      </c>
      <c r="R345" s="13" t="s">
        <v>207</v>
      </c>
      <c r="S345" s="13" t="s">
        <v>103</v>
      </c>
      <c r="T345" s="13" t="s">
        <v>205</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120" x14ac:dyDescent="0.25">
      <c r="A346" s="13" t="s">
        <v>202</v>
      </c>
      <c r="B346" s="13" t="s">
        <v>153</v>
      </c>
      <c r="C346" s="14">
        <v>43152.5</v>
      </c>
      <c r="D346" s="13" t="s">
        <v>88</v>
      </c>
      <c r="E346" s="15" t="s">
        <v>89</v>
      </c>
      <c r="F346" s="13" t="s">
        <v>90</v>
      </c>
      <c r="G346" s="15" t="s">
        <v>91</v>
      </c>
      <c r="H346" s="13" t="s">
        <v>552</v>
      </c>
      <c r="I346" s="15" t="s">
        <v>553</v>
      </c>
      <c r="J346" s="15" t="s">
        <v>554</v>
      </c>
      <c r="K346" s="15" t="s">
        <v>555</v>
      </c>
      <c r="L346" s="13" t="s">
        <v>560</v>
      </c>
      <c r="M346" s="15" t="s">
        <v>561</v>
      </c>
      <c r="N346" s="13" t="s">
        <v>188</v>
      </c>
      <c r="O346" s="15" t="s">
        <v>189</v>
      </c>
      <c r="P346" s="15" t="s">
        <v>190</v>
      </c>
      <c r="Q346" s="15" t="s">
        <v>206</v>
      </c>
      <c r="R346" s="13" t="s">
        <v>207</v>
      </c>
      <c r="S346" s="13" t="s">
        <v>103</v>
      </c>
      <c r="T346" s="13" t="s">
        <v>205</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120" x14ac:dyDescent="0.25">
      <c r="A347" s="13" t="s">
        <v>202</v>
      </c>
      <c r="B347" s="13" t="s">
        <v>153</v>
      </c>
      <c r="C347" s="14">
        <v>43152.5</v>
      </c>
      <c r="D347" s="13" t="s">
        <v>88</v>
      </c>
      <c r="E347" s="15" t="s">
        <v>89</v>
      </c>
      <c r="F347" s="13" t="s">
        <v>90</v>
      </c>
      <c r="G347" s="15" t="s">
        <v>91</v>
      </c>
      <c r="H347" s="13" t="s">
        <v>552</v>
      </c>
      <c r="I347" s="15" t="s">
        <v>553</v>
      </c>
      <c r="J347" s="15" t="s">
        <v>554</v>
      </c>
      <c r="K347" s="15" t="s">
        <v>555</v>
      </c>
      <c r="L347" s="13" t="s">
        <v>556</v>
      </c>
      <c r="M347" s="15" t="s">
        <v>557</v>
      </c>
      <c r="N347" s="13" t="s">
        <v>98</v>
      </c>
      <c r="O347" s="15" t="s">
        <v>99</v>
      </c>
      <c r="P347" s="15" t="s">
        <v>100</v>
      </c>
      <c r="Q347" s="15" t="s">
        <v>208</v>
      </c>
      <c r="R347" s="13" t="s">
        <v>209</v>
      </c>
      <c r="S347" s="13" t="s">
        <v>103</v>
      </c>
      <c r="T347" s="13" t="s">
        <v>205</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120" x14ac:dyDescent="0.25">
      <c r="A348" s="13" t="s">
        <v>202</v>
      </c>
      <c r="B348" s="13" t="s">
        <v>153</v>
      </c>
      <c r="C348" s="14">
        <v>43152.5</v>
      </c>
      <c r="D348" s="13" t="s">
        <v>88</v>
      </c>
      <c r="E348" s="15" t="s">
        <v>89</v>
      </c>
      <c r="F348" s="13" t="s">
        <v>90</v>
      </c>
      <c r="G348" s="15" t="s">
        <v>91</v>
      </c>
      <c r="H348" s="13" t="s">
        <v>552</v>
      </c>
      <c r="I348" s="15" t="s">
        <v>553</v>
      </c>
      <c r="J348" s="15" t="s">
        <v>554</v>
      </c>
      <c r="K348" s="15" t="s">
        <v>555</v>
      </c>
      <c r="L348" s="13" t="s">
        <v>558</v>
      </c>
      <c r="M348" s="15" t="s">
        <v>559</v>
      </c>
      <c r="N348" s="13" t="s">
        <v>98</v>
      </c>
      <c r="O348" s="15" t="s">
        <v>170</v>
      </c>
      <c r="P348" s="15" t="s">
        <v>171</v>
      </c>
      <c r="Q348" s="15" t="s">
        <v>208</v>
      </c>
      <c r="R348" s="13" t="s">
        <v>209</v>
      </c>
      <c r="S348" s="13" t="s">
        <v>103</v>
      </c>
      <c r="T348" s="13" t="s">
        <v>205</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120" x14ac:dyDescent="0.25">
      <c r="A349" s="13" t="s">
        <v>202</v>
      </c>
      <c r="B349" s="13" t="s">
        <v>153</v>
      </c>
      <c r="C349" s="14">
        <v>43152.5</v>
      </c>
      <c r="D349" s="13" t="s">
        <v>88</v>
      </c>
      <c r="E349" s="15" t="s">
        <v>89</v>
      </c>
      <c r="F349" s="13" t="s">
        <v>90</v>
      </c>
      <c r="G349" s="15" t="s">
        <v>91</v>
      </c>
      <c r="H349" s="13" t="s">
        <v>552</v>
      </c>
      <c r="I349" s="15" t="s">
        <v>553</v>
      </c>
      <c r="J349" s="15" t="s">
        <v>554</v>
      </c>
      <c r="K349" s="15" t="s">
        <v>555</v>
      </c>
      <c r="L349" s="13" t="s">
        <v>560</v>
      </c>
      <c r="M349" s="15" t="s">
        <v>561</v>
      </c>
      <c r="N349" s="13" t="s">
        <v>188</v>
      </c>
      <c r="O349" s="15" t="s">
        <v>189</v>
      </c>
      <c r="P349" s="15" t="s">
        <v>190</v>
      </c>
      <c r="Q349" s="15" t="s">
        <v>208</v>
      </c>
      <c r="R349" s="13" t="s">
        <v>209</v>
      </c>
      <c r="S349" s="13" t="s">
        <v>103</v>
      </c>
      <c r="T349" s="13" t="s">
        <v>205</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120" x14ac:dyDescent="0.25">
      <c r="A350" s="13" t="s">
        <v>86</v>
      </c>
      <c r="B350" s="13" t="s">
        <v>87</v>
      </c>
      <c r="C350" s="14">
        <v>43850.552083333336</v>
      </c>
      <c r="D350" s="13" t="s">
        <v>88</v>
      </c>
      <c r="E350" s="15" t="s">
        <v>89</v>
      </c>
      <c r="F350" s="13" t="s">
        <v>90</v>
      </c>
      <c r="G350" s="15" t="s">
        <v>91</v>
      </c>
      <c r="H350" s="13" t="s">
        <v>552</v>
      </c>
      <c r="I350" s="15" t="s">
        <v>553</v>
      </c>
      <c r="J350" s="15" t="s">
        <v>554</v>
      </c>
      <c r="K350" s="15" t="s">
        <v>555</v>
      </c>
      <c r="L350" s="13" t="s">
        <v>556</v>
      </c>
      <c r="M350" s="15" t="s">
        <v>557</v>
      </c>
      <c r="N350" s="13" t="s">
        <v>98</v>
      </c>
      <c r="O350" s="15" t="s">
        <v>99</v>
      </c>
      <c r="P350" s="15" t="s">
        <v>100</v>
      </c>
      <c r="Q350" s="15" t="s">
        <v>366</v>
      </c>
      <c r="R350" s="13" t="s">
        <v>367</v>
      </c>
      <c r="S350" s="13" t="s">
        <v>212</v>
      </c>
      <c r="T350" s="13" t="s">
        <v>104</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120" x14ac:dyDescent="0.25">
      <c r="A351" s="13" t="s">
        <v>86</v>
      </c>
      <c r="B351" s="13" t="s">
        <v>87</v>
      </c>
      <c r="C351" s="14">
        <v>43850.552083333336</v>
      </c>
      <c r="D351" s="13" t="s">
        <v>88</v>
      </c>
      <c r="E351" s="15" t="s">
        <v>89</v>
      </c>
      <c r="F351" s="13" t="s">
        <v>90</v>
      </c>
      <c r="G351" s="15" t="s">
        <v>91</v>
      </c>
      <c r="H351" s="13" t="s">
        <v>552</v>
      </c>
      <c r="I351" s="15" t="s">
        <v>553</v>
      </c>
      <c r="J351" s="15" t="s">
        <v>554</v>
      </c>
      <c r="K351" s="15" t="s">
        <v>555</v>
      </c>
      <c r="L351" s="13" t="s">
        <v>558</v>
      </c>
      <c r="M351" s="15" t="s">
        <v>559</v>
      </c>
      <c r="N351" s="13" t="s">
        <v>98</v>
      </c>
      <c r="O351" s="15" t="s">
        <v>170</v>
      </c>
      <c r="P351" s="15" t="s">
        <v>171</v>
      </c>
      <c r="Q351" s="15" t="s">
        <v>366</v>
      </c>
      <c r="R351" s="13" t="s">
        <v>367</v>
      </c>
      <c r="S351" s="13" t="s">
        <v>212</v>
      </c>
      <c r="T351" s="13" t="s">
        <v>104</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120" x14ac:dyDescent="0.25">
      <c r="A352" s="13" t="s">
        <v>86</v>
      </c>
      <c r="B352" s="13" t="s">
        <v>87</v>
      </c>
      <c r="C352" s="14">
        <v>43850.552083333336</v>
      </c>
      <c r="D352" s="13" t="s">
        <v>88</v>
      </c>
      <c r="E352" s="15" t="s">
        <v>89</v>
      </c>
      <c r="F352" s="13" t="s">
        <v>90</v>
      </c>
      <c r="G352" s="15" t="s">
        <v>91</v>
      </c>
      <c r="H352" s="13" t="s">
        <v>552</v>
      </c>
      <c r="I352" s="15" t="s">
        <v>553</v>
      </c>
      <c r="J352" s="15" t="s">
        <v>554</v>
      </c>
      <c r="K352" s="15" t="s">
        <v>555</v>
      </c>
      <c r="L352" s="13" t="s">
        <v>560</v>
      </c>
      <c r="M352" s="15" t="s">
        <v>561</v>
      </c>
      <c r="N352" s="13" t="s">
        <v>188</v>
      </c>
      <c r="O352" s="15" t="s">
        <v>189</v>
      </c>
      <c r="P352" s="15" t="s">
        <v>190</v>
      </c>
      <c r="Q352" s="15" t="s">
        <v>366</v>
      </c>
      <c r="R352" s="13" t="s">
        <v>367</v>
      </c>
      <c r="S352" s="13" t="s">
        <v>212</v>
      </c>
      <c r="T352" s="13" t="s">
        <v>104</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225" x14ac:dyDescent="0.25">
      <c r="A353" s="13" t="s">
        <v>301</v>
      </c>
      <c r="B353" s="13" t="s">
        <v>87</v>
      </c>
      <c r="C353" s="14">
        <v>44713.636805555558</v>
      </c>
      <c r="D353" s="13" t="s">
        <v>88</v>
      </c>
      <c r="E353" s="15" t="s">
        <v>89</v>
      </c>
      <c r="F353" s="13" t="s">
        <v>90</v>
      </c>
      <c r="G353" s="15" t="s">
        <v>91</v>
      </c>
      <c r="H353" s="13" t="s">
        <v>579</v>
      </c>
      <c r="I353" s="15" t="s">
        <v>580</v>
      </c>
      <c r="J353" s="15" t="s">
        <v>581</v>
      </c>
      <c r="K353" s="15" t="s">
        <v>582</v>
      </c>
      <c r="L353" s="13" t="s">
        <v>583</v>
      </c>
      <c r="M353" s="15" t="s">
        <v>584</v>
      </c>
      <c r="N353" s="13" t="s">
        <v>98</v>
      </c>
      <c r="O353" s="15" t="s">
        <v>99</v>
      </c>
      <c r="P353" s="15" t="s">
        <v>171</v>
      </c>
      <c r="Q353" s="15" t="s">
        <v>101</v>
      </c>
      <c r="R353" s="13" t="s">
        <v>102</v>
      </c>
      <c r="S353" s="13" t="s">
        <v>103</v>
      </c>
      <c r="T353" s="13" t="s">
        <v>104</v>
      </c>
      <c r="U353" s="14">
        <v>43274</v>
      </c>
      <c r="V353" s="14">
        <v>44681</v>
      </c>
      <c r="W353" s="15"/>
      <c r="X353" s="15"/>
      <c r="Y353" s="13"/>
      <c r="Z353" s="15"/>
      <c r="AA353" s="15"/>
      <c r="AB353" s="15"/>
      <c r="AC353" s="13"/>
      <c r="AD353" s="15"/>
      <c r="AE353" s="15"/>
      <c r="AF353" s="15"/>
      <c r="AG353" s="13"/>
      <c r="AH353" s="15"/>
      <c r="AI353" s="15"/>
      <c r="AJ353" s="15"/>
      <c r="AK353" s="13"/>
      <c r="AL353" s="15"/>
      <c r="AM353" s="15"/>
      <c r="AN353" s="13"/>
      <c r="AO353" s="13"/>
    </row>
    <row r="354" spans="1:41" ht="225" x14ac:dyDescent="0.25">
      <c r="A354" s="13" t="s">
        <v>301</v>
      </c>
      <c r="B354" s="13" t="s">
        <v>153</v>
      </c>
      <c r="C354" s="14">
        <v>44713.638888888891</v>
      </c>
      <c r="D354" s="13" t="s">
        <v>88</v>
      </c>
      <c r="E354" s="15" t="s">
        <v>89</v>
      </c>
      <c r="F354" s="13" t="s">
        <v>90</v>
      </c>
      <c r="G354" s="15" t="s">
        <v>91</v>
      </c>
      <c r="H354" s="13" t="s">
        <v>579</v>
      </c>
      <c r="I354" s="15" t="s">
        <v>580</v>
      </c>
      <c r="J354" s="15" t="s">
        <v>581</v>
      </c>
      <c r="K354" s="15" t="s">
        <v>582</v>
      </c>
      <c r="L354" s="13" t="s">
        <v>583</v>
      </c>
      <c r="M354" s="15" t="s">
        <v>584</v>
      </c>
      <c r="N354" s="13" t="s">
        <v>98</v>
      </c>
      <c r="O354" s="15" t="s">
        <v>99</v>
      </c>
      <c r="P354" s="15" t="s">
        <v>171</v>
      </c>
      <c r="Q354" s="15" t="s">
        <v>101</v>
      </c>
      <c r="R354" s="13" t="s">
        <v>102</v>
      </c>
      <c r="S354" s="13" t="s">
        <v>103</v>
      </c>
      <c r="T354" s="13" t="s">
        <v>104</v>
      </c>
      <c r="U354" s="14">
        <v>44682</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225" x14ac:dyDescent="0.25">
      <c r="A355" s="13" t="s">
        <v>301</v>
      </c>
      <c r="B355" s="13" t="s">
        <v>87</v>
      </c>
      <c r="C355" s="14">
        <v>44713.64166666667</v>
      </c>
      <c r="D355" s="13" t="s">
        <v>88</v>
      </c>
      <c r="E355" s="15" t="s">
        <v>89</v>
      </c>
      <c r="F355" s="13" t="s">
        <v>90</v>
      </c>
      <c r="G355" s="15" t="s">
        <v>91</v>
      </c>
      <c r="H355" s="13" t="s">
        <v>579</v>
      </c>
      <c r="I355" s="15" t="s">
        <v>580</v>
      </c>
      <c r="J355" s="15" t="s">
        <v>581</v>
      </c>
      <c r="K355" s="15" t="s">
        <v>582</v>
      </c>
      <c r="L355" s="13" t="s">
        <v>599</v>
      </c>
      <c r="M355" s="15" t="s">
        <v>600</v>
      </c>
      <c r="N355" s="13" t="s">
        <v>98</v>
      </c>
      <c r="O355" s="15" t="s">
        <v>170</v>
      </c>
      <c r="P355" s="15" t="s">
        <v>171</v>
      </c>
      <c r="Q355" s="15" t="s">
        <v>101</v>
      </c>
      <c r="R355" s="13" t="s">
        <v>102</v>
      </c>
      <c r="S355" s="13" t="s">
        <v>103</v>
      </c>
      <c r="T355" s="13" t="s">
        <v>104</v>
      </c>
      <c r="U355" s="14">
        <v>43274</v>
      </c>
      <c r="V355" s="14">
        <v>44681</v>
      </c>
      <c r="W355" s="15"/>
      <c r="X355" s="15"/>
      <c r="Y355" s="13"/>
      <c r="Z355" s="15"/>
      <c r="AA355" s="15"/>
      <c r="AB355" s="15"/>
      <c r="AC355" s="13"/>
      <c r="AD355" s="15"/>
      <c r="AE355" s="15"/>
      <c r="AF355" s="15"/>
      <c r="AG355" s="13"/>
      <c r="AH355" s="15"/>
      <c r="AI355" s="15"/>
      <c r="AJ355" s="15"/>
      <c r="AK355" s="13"/>
      <c r="AL355" s="15"/>
      <c r="AM355" s="15"/>
      <c r="AN355" s="13"/>
      <c r="AO355" s="13"/>
    </row>
    <row r="356" spans="1:41" ht="225" x14ac:dyDescent="0.25">
      <c r="A356" s="13" t="s">
        <v>301</v>
      </c>
      <c r="B356" s="13" t="s">
        <v>153</v>
      </c>
      <c r="C356" s="14">
        <v>44713.643055555556</v>
      </c>
      <c r="D356" s="13" t="s">
        <v>88</v>
      </c>
      <c r="E356" s="15" t="s">
        <v>89</v>
      </c>
      <c r="F356" s="13" t="s">
        <v>90</v>
      </c>
      <c r="G356" s="15" t="s">
        <v>91</v>
      </c>
      <c r="H356" s="13" t="s">
        <v>579</v>
      </c>
      <c r="I356" s="15" t="s">
        <v>580</v>
      </c>
      <c r="J356" s="15" t="s">
        <v>581</v>
      </c>
      <c r="K356" s="15" t="s">
        <v>582</v>
      </c>
      <c r="L356" s="13" t="s">
        <v>599</v>
      </c>
      <c r="M356" s="15" t="s">
        <v>600</v>
      </c>
      <c r="N356" s="13" t="s">
        <v>98</v>
      </c>
      <c r="O356" s="15" t="s">
        <v>170</v>
      </c>
      <c r="P356" s="15" t="s">
        <v>171</v>
      </c>
      <c r="Q356" s="15" t="s">
        <v>101</v>
      </c>
      <c r="R356" s="13" t="s">
        <v>102</v>
      </c>
      <c r="S356" s="13" t="s">
        <v>103</v>
      </c>
      <c r="T356" s="13" t="s">
        <v>104</v>
      </c>
      <c r="U356" s="14">
        <v>44682</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225" x14ac:dyDescent="0.25">
      <c r="A357" s="13" t="s">
        <v>86</v>
      </c>
      <c r="B357" s="13" t="s">
        <v>87</v>
      </c>
      <c r="C357" s="14">
        <v>43850.552083333336</v>
      </c>
      <c r="D357" s="13" t="s">
        <v>88</v>
      </c>
      <c r="E357" s="15" t="s">
        <v>89</v>
      </c>
      <c r="F357" s="13" t="s">
        <v>90</v>
      </c>
      <c r="G357" s="15" t="s">
        <v>91</v>
      </c>
      <c r="H357" s="13" t="s">
        <v>579</v>
      </c>
      <c r="I357" s="15" t="s">
        <v>580</v>
      </c>
      <c r="J357" s="15" t="s">
        <v>581</v>
      </c>
      <c r="K357" s="15" t="s">
        <v>582</v>
      </c>
      <c r="L357" s="13" t="s">
        <v>611</v>
      </c>
      <c r="M357" s="15" t="s">
        <v>612</v>
      </c>
      <c r="N357" s="13" t="s">
        <v>188</v>
      </c>
      <c r="O357" s="15" t="s">
        <v>189</v>
      </c>
      <c r="P357" s="15" t="s">
        <v>190</v>
      </c>
      <c r="Q357" s="15" t="s">
        <v>101</v>
      </c>
      <c r="R357" s="13" t="s">
        <v>102</v>
      </c>
      <c r="S357" s="13" t="s">
        <v>103</v>
      </c>
      <c r="T357" s="13" t="s">
        <v>104</v>
      </c>
      <c r="U357" s="14">
        <v>43274</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225" x14ac:dyDescent="0.25">
      <c r="A358" s="13" t="s">
        <v>614</v>
      </c>
      <c r="B358" s="13" t="s">
        <v>153</v>
      </c>
      <c r="C358" s="14">
        <v>43649.741666666669</v>
      </c>
      <c r="D358" s="13" t="s">
        <v>88</v>
      </c>
      <c r="E358" s="15" t="s">
        <v>89</v>
      </c>
      <c r="F358" s="13" t="s">
        <v>90</v>
      </c>
      <c r="G358" s="15" t="s">
        <v>91</v>
      </c>
      <c r="H358" s="13" t="s">
        <v>579</v>
      </c>
      <c r="I358" s="15" t="s">
        <v>580</v>
      </c>
      <c r="J358" s="15" t="s">
        <v>581</v>
      </c>
      <c r="K358" s="15" t="s">
        <v>582</v>
      </c>
      <c r="L358" s="13" t="s">
        <v>583</v>
      </c>
      <c r="M358" s="15" t="s">
        <v>584</v>
      </c>
      <c r="N358" s="13" t="s">
        <v>98</v>
      </c>
      <c r="O358" s="15" t="s">
        <v>99</v>
      </c>
      <c r="P358" s="15" t="s">
        <v>171</v>
      </c>
      <c r="Q358" s="15" t="s">
        <v>615</v>
      </c>
      <c r="R358" s="13" t="s">
        <v>616</v>
      </c>
      <c r="S358" s="13" t="s">
        <v>103</v>
      </c>
      <c r="T358" s="13" t="s">
        <v>205</v>
      </c>
      <c r="U358" s="14">
        <v>43274</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225" x14ac:dyDescent="0.25">
      <c r="A359" s="13" t="s">
        <v>614</v>
      </c>
      <c r="B359" s="13" t="s">
        <v>153</v>
      </c>
      <c r="C359" s="14">
        <v>43649.742361111108</v>
      </c>
      <c r="D359" s="13" t="s">
        <v>88</v>
      </c>
      <c r="E359" s="15" t="s">
        <v>89</v>
      </c>
      <c r="F359" s="13" t="s">
        <v>90</v>
      </c>
      <c r="G359" s="15" t="s">
        <v>91</v>
      </c>
      <c r="H359" s="13" t="s">
        <v>579</v>
      </c>
      <c r="I359" s="15" t="s">
        <v>580</v>
      </c>
      <c r="J359" s="15" t="s">
        <v>581</v>
      </c>
      <c r="K359" s="15" t="s">
        <v>582</v>
      </c>
      <c r="L359" s="13" t="s">
        <v>599</v>
      </c>
      <c r="M359" s="15" t="s">
        <v>600</v>
      </c>
      <c r="N359" s="13" t="s">
        <v>98</v>
      </c>
      <c r="O359" s="15" t="s">
        <v>170</v>
      </c>
      <c r="P359" s="15" t="s">
        <v>171</v>
      </c>
      <c r="Q359" s="15" t="s">
        <v>615</v>
      </c>
      <c r="R359" s="13" t="s">
        <v>616</v>
      </c>
      <c r="S359" s="13" t="s">
        <v>103</v>
      </c>
      <c r="T359" s="13" t="s">
        <v>205</v>
      </c>
      <c r="U359" s="14">
        <v>43274</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225" x14ac:dyDescent="0.25">
      <c r="A360" s="13" t="s">
        <v>614</v>
      </c>
      <c r="B360" s="13" t="s">
        <v>153</v>
      </c>
      <c r="C360" s="14">
        <v>43649.743750000001</v>
      </c>
      <c r="D360" s="13" t="s">
        <v>88</v>
      </c>
      <c r="E360" s="15" t="s">
        <v>89</v>
      </c>
      <c r="F360" s="13" t="s">
        <v>90</v>
      </c>
      <c r="G360" s="15" t="s">
        <v>91</v>
      </c>
      <c r="H360" s="13" t="s">
        <v>579</v>
      </c>
      <c r="I360" s="15" t="s">
        <v>580</v>
      </c>
      <c r="J360" s="15" t="s">
        <v>581</v>
      </c>
      <c r="K360" s="15" t="s">
        <v>582</v>
      </c>
      <c r="L360" s="13" t="s">
        <v>611</v>
      </c>
      <c r="M360" s="15" t="s">
        <v>612</v>
      </c>
      <c r="N360" s="13" t="s">
        <v>188</v>
      </c>
      <c r="O360" s="15" t="s">
        <v>189</v>
      </c>
      <c r="P360" s="15" t="s">
        <v>190</v>
      </c>
      <c r="Q360" s="15" t="s">
        <v>615</v>
      </c>
      <c r="R360" s="13" t="s">
        <v>616</v>
      </c>
      <c r="S360" s="13" t="s">
        <v>103</v>
      </c>
      <c r="T360" s="13" t="s">
        <v>205</v>
      </c>
      <c r="U360" s="14">
        <v>43274</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225" x14ac:dyDescent="0.25">
      <c r="A361" s="13" t="s">
        <v>614</v>
      </c>
      <c r="B361" s="13" t="s">
        <v>153</v>
      </c>
      <c r="C361" s="14">
        <v>43649.740277777775</v>
      </c>
      <c r="D361" s="13" t="s">
        <v>88</v>
      </c>
      <c r="E361" s="15" t="s">
        <v>89</v>
      </c>
      <c r="F361" s="13" t="s">
        <v>90</v>
      </c>
      <c r="G361" s="15" t="s">
        <v>91</v>
      </c>
      <c r="H361" s="13" t="s">
        <v>579</v>
      </c>
      <c r="I361" s="15" t="s">
        <v>580</v>
      </c>
      <c r="J361" s="15" t="s">
        <v>581</v>
      </c>
      <c r="K361" s="15" t="s">
        <v>582</v>
      </c>
      <c r="L361" s="13" t="s">
        <v>583</v>
      </c>
      <c r="M361" s="15" t="s">
        <v>584</v>
      </c>
      <c r="N361" s="13" t="s">
        <v>98</v>
      </c>
      <c r="O361" s="15" t="s">
        <v>99</v>
      </c>
      <c r="P361" s="15" t="s">
        <v>171</v>
      </c>
      <c r="Q361" s="15" t="s">
        <v>203</v>
      </c>
      <c r="R361" s="13" t="s">
        <v>204</v>
      </c>
      <c r="S361" s="13" t="s">
        <v>103</v>
      </c>
      <c r="T361" s="13" t="s">
        <v>205</v>
      </c>
      <c r="U361" s="14">
        <v>43274</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225" x14ac:dyDescent="0.25">
      <c r="A362" s="13" t="s">
        <v>614</v>
      </c>
      <c r="B362" s="13" t="s">
        <v>153</v>
      </c>
      <c r="C362" s="14">
        <v>43649.741666666669</v>
      </c>
      <c r="D362" s="13" t="s">
        <v>88</v>
      </c>
      <c r="E362" s="15" t="s">
        <v>89</v>
      </c>
      <c r="F362" s="13" t="s">
        <v>90</v>
      </c>
      <c r="G362" s="15" t="s">
        <v>91</v>
      </c>
      <c r="H362" s="13" t="s">
        <v>579</v>
      </c>
      <c r="I362" s="15" t="s">
        <v>580</v>
      </c>
      <c r="J362" s="15" t="s">
        <v>581</v>
      </c>
      <c r="K362" s="15" t="s">
        <v>582</v>
      </c>
      <c r="L362" s="13" t="s">
        <v>599</v>
      </c>
      <c r="M362" s="15" t="s">
        <v>600</v>
      </c>
      <c r="N362" s="13" t="s">
        <v>98</v>
      </c>
      <c r="O362" s="15" t="s">
        <v>170</v>
      </c>
      <c r="P362" s="15" t="s">
        <v>171</v>
      </c>
      <c r="Q362" s="15" t="s">
        <v>203</v>
      </c>
      <c r="R362" s="13" t="s">
        <v>204</v>
      </c>
      <c r="S362" s="13" t="s">
        <v>103</v>
      </c>
      <c r="T362" s="13" t="s">
        <v>205</v>
      </c>
      <c r="U362" s="14">
        <v>43274</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225" x14ac:dyDescent="0.25">
      <c r="A363" s="13" t="s">
        <v>614</v>
      </c>
      <c r="B363" s="13" t="s">
        <v>153</v>
      </c>
      <c r="C363" s="14">
        <v>43649.743055555555</v>
      </c>
      <c r="D363" s="13" t="s">
        <v>88</v>
      </c>
      <c r="E363" s="15" t="s">
        <v>89</v>
      </c>
      <c r="F363" s="13" t="s">
        <v>90</v>
      </c>
      <c r="G363" s="15" t="s">
        <v>91</v>
      </c>
      <c r="H363" s="13" t="s">
        <v>579</v>
      </c>
      <c r="I363" s="15" t="s">
        <v>580</v>
      </c>
      <c r="J363" s="15" t="s">
        <v>581</v>
      </c>
      <c r="K363" s="15" t="s">
        <v>582</v>
      </c>
      <c r="L363" s="13" t="s">
        <v>611</v>
      </c>
      <c r="M363" s="15" t="s">
        <v>612</v>
      </c>
      <c r="N363" s="13" t="s">
        <v>188</v>
      </c>
      <c r="O363" s="15" t="s">
        <v>189</v>
      </c>
      <c r="P363" s="15" t="s">
        <v>190</v>
      </c>
      <c r="Q363" s="15" t="s">
        <v>203</v>
      </c>
      <c r="R363" s="13" t="s">
        <v>204</v>
      </c>
      <c r="S363" s="13" t="s">
        <v>103</v>
      </c>
      <c r="T363" s="13" t="s">
        <v>205</v>
      </c>
      <c r="U363" s="14">
        <v>43274</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225" x14ac:dyDescent="0.25">
      <c r="A364" s="13" t="s">
        <v>614</v>
      </c>
      <c r="B364" s="13" t="s">
        <v>153</v>
      </c>
      <c r="C364" s="14">
        <v>43649.740277777775</v>
      </c>
      <c r="D364" s="13" t="s">
        <v>88</v>
      </c>
      <c r="E364" s="15" t="s">
        <v>89</v>
      </c>
      <c r="F364" s="13" t="s">
        <v>90</v>
      </c>
      <c r="G364" s="15" t="s">
        <v>91</v>
      </c>
      <c r="H364" s="13" t="s">
        <v>579</v>
      </c>
      <c r="I364" s="15" t="s">
        <v>580</v>
      </c>
      <c r="J364" s="15" t="s">
        <v>581</v>
      </c>
      <c r="K364" s="15" t="s">
        <v>582</v>
      </c>
      <c r="L364" s="13" t="s">
        <v>583</v>
      </c>
      <c r="M364" s="15" t="s">
        <v>584</v>
      </c>
      <c r="N364" s="13" t="s">
        <v>98</v>
      </c>
      <c r="O364" s="15" t="s">
        <v>99</v>
      </c>
      <c r="P364" s="15" t="s">
        <v>171</v>
      </c>
      <c r="Q364" s="15" t="s">
        <v>206</v>
      </c>
      <c r="R364" s="13" t="s">
        <v>207</v>
      </c>
      <c r="S364" s="13" t="s">
        <v>103</v>
      </c>
      <c r="T364" s="13" t="s">
        <v>205</v>
      </c>
      <c r="U364" s="14">
        <v>43274</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225" x14ac:dyDescent="0.25">
      <c r="A365" s="13" t="s">
        <v>614</v>
      </c>
      <c r="B365" s="13" t="s">
        <v>153</v>
      </c>
      <c r="C365" s="14">
        <v>43649.741666666669</v>
      </c>
      <c r="D365" s="13" t="s">
        <v>88</v>
      </c>
      <c r="E365" s="15" t="s">
        <v>89</v>
      </c>
      <c r="F365" s="13" t="s">
        <v>90</v>
      </c>
      <c r="G365" s="15" t="s">
        <v>91</v>
      </c>
      <c r="H365" s="13" t="s">
        <v>579</v>
      </c>
      <c r="I365" s="15" t="s">
        <v>580</v>
      </c>
      <c r="J365" s="15" t="s">
        <v>581</v>
      </c>
      <c r="K365" s="15" t="s">
        <v>582</v>
      </c>
      <c r="L365" s="13" t="s">
        <v>599</v>
      </c>
      <c r="M365" s="15" t="s">
        <v>600</v>
      </c>
      <c r="N365" s="13" t="s">
        <v>98</v>
      </c>
      <c r="O365" s="15" t="s">
        <v>170</v>
      </c>
      <c r="P365" s="15" t="s">
        <v>171</v>
      </c>
      <c r="Q365" s="15" t="s">
        <v>206</v>
      </c>
      <c r="R365" s="13" t="s">
        <v>207</v>
      </c>
      <c r="S365" s="13" t="s">
        <v>103</v>
      </c>
      <c r="T365" s="13" t="s">
        <v>205</v>
      </c>
      <c r="U365" s="14">
        <v>43639</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225" x14ac:dyDescent="0.25">
      <c r="A366" s="13" t="s">
        <v>614</v>
      </c>
      <c r="B366" s="13" t="s">
        <v>153</v>
      </c>
      <c r="C366" s="14">
        <v>43649.743055555555</v>
      </c>
      <c r="D366" s="13" t="s">
        <v>88</v>
      </c>
      <c r="E366" s="15" t="s">
        <v>89</v>
      </c>
      <c r="F366" s="13" t="s">
        <v>90</v>
      </c>
      <c r="G366" s="15" t="s">
        <v>91</v>
      </c>
      <c r="H366" s="13" t="s">
        <v>579</v>
      </c>
      <c r="I366" s="15" t="s">
        <v>580</v>
      </c>
      <c r="J366" s="15" t="s">
        <v>581</v>
      </c>
      <c r="K366" s="15" t="s">
        <v>582</v>
      </c>
      <c r="L366" s="13" t="s">
        <v>611</v>
      </c>
      <c r="M366" s="15" t="s">
        <v>612</v>
      </c>
      <c r="N366" s="13" t="s">
        <v>188</v>
      </c>
      <c r="O366" s="15" t="s">
        <v>189</v>
      </c>
      <c r="P366" s="15" t="s">
        <v>190</v>
      </c>
      <c r="Q366" s="15" t="s">
        <v>206</v>
      </c>
      <c r="R366" s="13" t="s">
        <v>207</v>
      </c>
      <c r="S366" s="13" t="s">
        <v>103</v>
      </c>
      <c r="T366" s="13" t="s">
        <v>205</v>
      </c>
      <c r="U366" s="14">
        <v>43274</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225" x14ac:dyDescent="0.25">
      <c r="A367" s="13" t="s">
        <v>614</v>
      </c>
      <c r="B367" s="13" t="s">
        <v>153</v>
      </c>
      <c r="C367" s="14">
        <v>43649.740972222222</v>
      </c>
      <c r="D367" s="13" t="s">
        <v>88</v>
      </c>
      <c r="E367" s="15" t="s">
        <v>89</v>
      </c>
      <c r="F367" s="13" t="s">
        <v>90</v>
      </c>
      <c r="G367" s="15" t="s">
        <v>91</v>
      </c>
      <c r="H367" s="13" t="s">
        <v>579</v>
      </c>
      <c r="I367" s="15" t="s">
        <v>580</v>
      </c>
      <c r="J367" s="15" t="s">
        <v>581</v>
      </c>
      <c r="K367" s="15" t="s">
        <v>582</v>
      </c>
      <c r="L367" s="13" t="s">
        <v>583</v>
      </c>
      <c r="M367" s="15" t="s">
        <v>584</v>
      </c>
      <c r="N367" s="13" t="s">
        <v>98</v>
      </c>
      <c r="O367" s="15" t="s">
        <v>99</v>
      </c>
      <c r="P367" s="15" t="s">
        <v>171</v>
      </c>
      <c r="Q367" s="15" t="s">
        <v>208</v>
      </c>
      <c r="R367" s="13" t="s">
        <v>209</v>
      </c>
      <c r="S367" s="13" t="s">
        <v>103</v>
      </c>
      <c r="T367" s="13" t="s">
        <v>205</v>
      </c>
      <c r="U367" s="14">
        <v>43274</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225" x14ac:dyDescent="0.25">
      <c r="A368" s="13" t="s">
        <v>614</v>
      </c>
      <c r="B368" s="13" t="s">
        <v>153</v>
      </c>
      <c r="C368" s="14">
        <v>43649.742361111108</v>
      </c>
      <c r="D368" s="13" t="s">
        <v>88</v>
      </c>
      <c r="E368" s="15" t="s">
        <v>89</v>
      </c>
      <c r="F368" s="13" t="s">
        <v>90</v>
      </c>
      <c r="G368" s="15" t="s">
        <v>91</v>
      </c>
      <c r="H368" s="13" t="s">
        <v>579</v>
      </c>
      <c r="I368" s="15" t="s">
        <v>580</v>
      </c>
      <c r="J368" s="15" t="s">
        <v>581</v>
      </c>
      <c r="K368" s="15" t="s">
        <v>582</v>
      </c>
      <c r="L368" s="13" t="s">
        <v>599</v>
      </c>
      <c r="M368" s="15" t="s">
        <v>600</v>
      </c>
      <c r="N368" s="13" t="s">
        <v>98</v>
      </c>
      <c r="O368" s="15" t="s">
        <v>170</v>
      </c>
      <c r="P368" s="15" t="s">
        <v>171</v>
      </c>
      <c r="Q368" s="15" t="s">
        <v>208</v>
      </c>
      <c r="R368" s="13" t="s">
        <v>209</v>
      </c>
      <c r="S368" s="13" t="s">
        <v>103</v>
      </c>
      <c r="T368" s="13" t="s">
        <v>205</v>
      </c>
      <c r="U368" s="14">
        <v>43274</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225" x14ac:dyDescent="0.25">
      <c r="A369" s="13" t="s">
        <v>614</v>
      </c>
      <c r="B369" s="13" t="s">
        <v>153</v>
      </c>
      <c r="C369" s="14">
        <v>43649.743750000001</v>
      </c>
      <c r="D369" s="13" t="s">
        <v>88</v>
      </c>
      <c r="E369" s="15" t="s">
        <v>89</v>
      </c>
      <c r="F369" s="13" t="s">
        <v>90</v>
      </c>
      <c r="G369" s="15" t="s">
        <v>91</v>
      </c>
      <c r="H369" s="13" t="s">
        <v>579</v>
      </c>
      <c r="I369" s="15" t="s">
        <v>580</v>
      </c>
      <c r="J369" s="15" t="s">
        <v>581</v>
      </c>
      <c r="K369" s="15" t="s">
        <v>582</v>
      </c>
      <c r="L369" s="13" t="s">
        <v>611</v>
      </c>
      <c r="M369" s="15" t="s">
        <v>612</v>
      </c>
      <c r="N369" s="13" t="s">
        <v>188</v>
      </c>
      <c r="O369" s="15" t="s">
        <v>189</v>
      </c>
      <c r="P369" s="15" t="s">
        <v>190</v>
      </c>
      <c r="Q369" s="15" t="s">
        <v>208</v>
      </c>
      <c r="R369" s="13" t="s">
        <v>209</v>
      </c>
      <c r="S369" s="13" t="s">
        <v>103</v>
      </c>
      <c r="T369" s="13" t="s">
        <v>205</v>
      </c>
      <c r="U369" s="14">
        <v>43274</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210" x14ac:dyDescent="0.25">
      <c r="A370" s="13" t="s">
        <v>301</v>
      </c>
      <c r="B370" s="13" t="s">
        <v>87</v>
      </c>
      <c r="C370" s="14">
        <v>44713.644444444442</v>
      </c>
      <c r="D370" s="13" t="s">
        <v>88</v>
      </c>
      <c r="E370" s="15" t="s">
        <v>89</v>
      </c>
      <c r="F370" s="13" t="s">
        <v>90</v>
      </c>
      <c r="G370" s="15" t="s">
        <v>91</v>
      </c>
      <c r="H370" s="13" t="s">
        <v>617</v>
      </c>
      <c r="I370" s="15" t="s">
        <v>618</v>
      </c>
      <c r="J370" s="15" t="s">
        <v>619</v>
      </c>
      <c r="K370" s="15" t="s">
        <v>620</v>
      </c>
      <c r="L370" s="13" t="s">
        <v>621</v>
      </c>
      <c r="M370" s="15" t="s">
        <v>622</v>
      </c>
      <c r="N370" s="13" t="s">
        <v>98</v>
      </c>
      <c r="O370" s="15" t="s">
        <v>99</v>
      </c>
      <c r="P370" s="15" t="s">
        <v>100</v>
      </c>
      <c r="Q370" s="15" t="s">
        <v>101</v>
      </c>
      <c r="R370" s="13" t="s">
        <v>102</v>
      </c>
      <c r="S370" s="13" t="s">
        <v>103</v>
      </c>
      <c r="T370" s="13" t="s">
        <v>104</v>
      </c>
      <c r="U370" s="14">
        <v>43274</v>
      </c>
      <c r="V370" s="14">
        <v>44681</v>
      </c>
      <c r="W370" s="15"/>
      <c r="X370" s="15"/>
      <c r="Y370" s="13"/>
      <c r="Z370" s="15"/>
      <c r="AA370" s="15"/>
      <c r="AB370" s="15"/>
      <c r="AC370" s="13"/>
      <c r="AD370" s="15"/>
      <c r="AE370" s="15"/>
      <c r="AF370" s="15"/>
      <c r="AG370" s="13"/>
      <c r="AH370" s="15"/>
      <c r="AI370" s="15"/>
      <c r="AJ370" s="15"/>
      <c r="AK370" s="13"/>
      <c r="AL370" s="15"/>
      <c r="AM370" s="15"/>
      <c r="AN370" s="13"/>
      <c r="AO370" s="13"/>
    </row>
    <row r="371" spans="1:41" ht="210" x14ac:dyDescent="0.25">
      <c r="A371" s="13" t="s">
        <v>301</v>
      </c>
      <c r="B371" s="13" t="s">
        <v>153</v>
      </c>
      <c r="C371" s="14">
        <v>44713.645138888889</v>
      </c>
      <c r="D371" s="13" t="s">
        <v>88</v>
      </c>
      <c r="E371" s="15" t="s">
        <v>89</v>
      </c>
      <c r="F371" s="13" t="s">
        <v>90</v>
      </c>
      <c r="G371" s="15" t="s">
        <v>91</v>
      </c>
      <c r="H371" s="13" t="s">
        <v>617</v>
      </c>
      <c r="I371" s="15" t="s">
        <v>618</v>
      </c>
      <c r="J371" s="15" t="s">
        <v>619</v>
      </c>
      <c r="K371" s="15" t="s">
        <v>620</v>
      </c>
      <c r="L371" s="13" t="s">
        <v>621</v>
      </c>
      <c r="M371" s="15" t="s">
        <v>622</v>
      </c>
      <c r="N371" s="13" t="s">
        <v>98</v>
      </c>
      <c r="O371" s="15" t="s">
        <v>99</v>
      </c>
      <c r="P371" s="15" t="s">
        <v>100</v>
      </c>
      <c r="Q371" s="15" t="s">
        <v>101</v>
      </c>
      <c r="R371" s="13" t="s">
        <v>102</v>
      </c>
      <c r="S371" s="13" t="s">
        <v>103</v>
      </c>
      <c r="T371" s="13" t="s">
        <v>104</v>
      </c>
      <c r="U371" s="14">
        <v>44682</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210" x14ac:dyDescent="0.25">
      <c r="A372" s="13" t="s">
        <v>301</v>
      </c>
      <c r="B372" s="13" t="s">
        <v>87</v>
      </c>
      <c r="C372" s="14">
        <v>44713.645833333336</v>
      </c>
      <c r="D372" s="13" t="s">
        <v>88</v>
      </c>
      <c r="E372" s="15" t="s">
        <v>89</v>
      </c>
      <c r="F372" s="13" t="s">
        <v>90</v>
      </c>
      <c r="G372" s="15" t="s">
        <v>91</v>
      </c>
      <c r="H372" s="13" t="s">
        <v>617</v>
      </c>
      <c r="I372" s="15" t="s">
        <v>618</v>
      </c>
      <c r="J372" s="15" t="s">
        <v>619</v>
      </c>
      <c r="K372" s="15" t="s">
        <v>620</v>
      </c>
      <c r="L372" s="13" t="s">
        <v>623</v>
      </c>
      <c r="M372" s="15" t="s">
        <v>624</v>
      </c>
      <c r="N372" s="13" t="s">
        <v>98</v>
      </c>
      <c r="O372" s="15" t="s">
        <v>170</v>
      </c>
      <c r="P372" s="15" t="s">
        <v>171</v>
      </c>
      <c r="Q372" s="15" t="s">
        <v>101</v>
      </c>
      <c r="R372" s="13" t="s">
        <v>102</v>
      </c>
      <c r="S372" s="13" t="s">
        <v>103</v>
      </c>
      <c r="T372" s="13" t="s">
        <v>104</v>
      </c>
      <c r="U372" s="14">
        <v>43274</v>
      </c>
      <c r="V372" s="14">
        <v>44681</v>
      </c>
      <c r="W372" s="15"/>
      <c r="X372" s="15"/>
      <c r="Y372" s="13"/>
      <c r="Z372" s="15"/>
      <c r="AA372" s="15"/>
      <c r="AB372" s="15"/>
      <c r="AC372" s="13"/>
      <c r="AD372" s="15"/>
      <c r="AE372" s="15"/>
      <c r="AF372" s="15"/>
      <c r="AG372" s="13"/>
      <c r="AH372" s="15"/>
      <c r="AI372" s="15"/>
      <c r="AJ372" s="15"/>
      <c r="AK372" s="13"/>
      <c r="AL372" s="15"/>
      <c r="AM372" s="15"/>
      <c r="AN372" s="13"/>
      <c r="AO372" s="13"/>
    </row>
    <row r="373" spans="1:41" ht="210" x14ac:dyDescent="0.25">
      <c r="A373" s="13" t="s">
        <v>301</v>
      </c>
      <c r="B373" s="13" t="s">
        <v>153</v>
      </c>
      <c r="C373" s="14">
        <v>44713.646527777775</v>
      </c>
      <c r="D373" s="13" t="s">
        <v>88</v>
      </c>
      <c r="E373" s="15" t="s">
        <v>89</v>
      </c>
      <c r="F373" s="13" t="s">
        <v>90</v>
      </c>
      <c r="G373" s="15" t="s">
        <v>91</v>
      </c>
      <c r="H373" s="13" t="s">
        <v>617</v>
      </c>
      <c r="I373" s="15" t="s">
        <v>618</v>
      </c>
      <c r="J373" s="15" t="s">
        <v>619</v>
      </c>
      <c r="K373" s="15" t="s">
        <v>620</v>
      </c>
      <c r="L373" s="13" t="s">
        <v>623</v>
      </c>
      <c r="M373" s="15" t="s">
        <v>624</v>
      </c>
      <c r="N373" s="13" t="s">
        <v>98</v>
      </c>
      <c r="O373" s="15" t="s">
        <v>170</v>
      </c>
      <c r="P373" s="15" t="s">
        <v>171</v>
      </c>
      <c r="Q373" s="15" t="s">
        <v>101</v>
      </c>
      <c r="R373" s="13" t="s">
        <v>102</v>
      </c>
      <c r="S373" s="13" t="s">
        <v>103</v>
      </c>
      <c r="T373" s="13" t="s">
        <v>104</v>
      </c>
      <c r="U373" s="14">
        <v>44682</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210" x14ac:dyDescent="0.25">
      <c r="A374" s="13" t="s">
        <v>86</v>
      </c>
      <c r="B374" s="13" t="s">
        <v>87</v>
      </c>
      <c r="C374" s="14">
        <v>43850.552083333336</v>
      </c>
      <c r="D374" s="13" t="s">
        <v>88</v>
      </c>
      <c r="E374" s="15" t="s">
        <v>89</v>
      </c>
      <c r="F374" s="13" t="s">
        <v>90</v>
      </c>
      <c r="G374" s="15" t="s">
        <v>91</v>
      </c>
      <c r="H374" s="13" t="s">
        <v>617</v>
      </c>
      <c r="I374" s="15" t="s">
        <v>618</v>
      </c>
      <c r="J374" s="15" t="s">
        <v>619</v>
      </c>
      <c r="K374" s="15" t="s">
        <v>620</v>
      </c>
      <c r="L374" s="13" t="s">
        <v>625</v>
      </c>
      <c r="M374" s="15" t="s">
        <v>626</v>
      </c>
      <c r="N374" s="13" t="s">
        <v>188</v>
      </c>
      <c r="O374" s="15" t="s">
        <v>189</v>
      </c>
      <c r="P374" s="15" t="s">
        <v>190</v>
      </c>
      <c r="Q374" s="15" t="s">
        <v>101</v>
      </c>
      <c r="R374" s="13" t="s">
        <v>102</v>
      </c>
      <c r="S374" s="13" t="s">
        <v>103</v>
      </c>
      <c r="T374" s="13" t="s">
        <v>104</v>
      </c>
      <c r="U374" s="14">
        <v>43274</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210" x14ac:dyDescent="0.25">
      <c r="A375" s="13" t="s">
        <v>614</v>
      </c>
      <c r="B375" s="13" t="s">
        <v>153</v>
      </c>
      <c r="C375" s="14">
        <v>43649.745138888888</v>
      </c>
      <c r="D375" s="13" t="s">
        <v>88</v>
      </c>
      <c r="E375" s="15" t="s">
        <v>89</v>
      </c>
      <c r="F375" s="13" t="s">
        <v>90</v>
      </c>
      <c r="G375" s="15" t="s">
        <v>91</v>
      </c>
      <c r="H375" s="13" t="s">
        <v>617</v>
      </c>
      <c r="I375" s="15" t="s">
        <v>618</v>
      </c>
      <c r="J375" s="15" t="s">
        <v>619</v>
      </c>
      <c r="K375" s="15" t="s">
        <v>620</v>
      </c>
      <c r="L375" s="13" t="s">
        <v>621</v>
      </c>
      <c r="M375" s="15" t="s">
        <v>622</v>
      </c>
      <c r="N375" s="13" t="s">
        <v>98</v>
      </c>
      <c r="O375" s="15" t="s">
        <v>99</v>
      </c>
      <c r="P375" s="15" t="s">
        <v>100</v>
      </c>
      <c r="Q375" s="15" t="s">
        <v>615</v>
      </c>
      <c r="R375" s="13" t="s">
        <v>616</v>
      </c>
      <c r="S375" s="13" t="s">
        <v>103</v>
      </c>
      <c r="T375" s="13" t="s">
        <v>205</v>
      </c>
      <c r="U375" s="14">
        <v>43274</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210" x14ac:dyDescent="0.25">
      <c r="A376" s="13" t="s">
        <v>614</v>
      </c>
      <c r="B376" s="13" t="s">
        <v>153</v>
      </c>
      <c r="C376" s="14">
        <v>43649.746527777781</v>
      </c>
      <c r="D376" s="13" t="s">
        <v>88</v>
      </c>
      <c r="E376" s="15" t="s">
        <v>89</v>
      </c>
      <c r="F376" s="13" t="s">
        <v>90</v>
      </c>
      <c r="G376" s="15" t="s">
        <v>91</v>
      </c>
      <c r="H376" s="13" t="s">
        <v>617</v>
      </c>
      <c r="I376" s="15" t="s">
        <v>618</v>
      </c>
      <c r="J376" s="15" t="s">
        <v>619</v>
      </c>
      <c r="K376" s="15" t="s">
        <v>620</v>
      </c>
      <c r="L376" s="13" t="s">
        <v>623</v>
      </c>
      <c r="M376" s="15" t="s">
        <v>624</v>
      </c>
      <c r="N376" s="13" t="s">
        <v>98</v>
      </c>
      <c r="O376" s="15" t="s">
        <v>170</v>
      </c>
      <c r="P376" s="15" t="s">
        <v>171</v>
      </c>
      <c r="Q376" s="15" t="s">
        <v>615</v>
      </c>
      <c r="R376" s="13" t="s">
        <v>616</v>
      </c>
      <c r="S376" s="13" t="s">
        <v>103</v>
      </c>
      <c r="T376" s="13" t="s">
        <v>205</v>
      </c>
      <c r="U376" s="14">
        <v>43274</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210" x14ac:dyDescent="0.25">
      <c r="A377" s="13" t="s">
        <v>614</v>
      </c>
      <c r="B377" s="13" t="s">
        <v>153</v>
      </c>
      <c r="C377" s="14">
        <v>43649.748611111114</v>
      </c>
      <c r="D377" s="13" t="s">
        <v>88</v>
      </c>
      <c r="E377" s="15" t="s">
        <v>89</v>
      </c>
      <c r="F377" s="13" t="s">
        <v>90</v>
      </c>
      <c r="G377" s="15" t="s">
        <v>91</v>
      </c>
      <c r="H377" s="13" t="s">
        <v>617</v>
      </c>
      <c r="I377" s="15" t="s">
        <v>618</v>
      </c>
      <c r="J377" s="15" t="s">
        <v>619</v>
      </c>
      <c r="K377" s="15" t="s">
        <v>620</v>
      </c>
      <c r="L377" s="13" t="s">
        <v>625</v>
      </c>
      <c r="M377" s="15" t="s">
        <v>626</v>
      </c>
      <c r="N377" s="13" t="s">
        <v>188</v>
      </c>
      <c r="O377" s="15" t="s">
        <v>189</v>
      </c>
      <c r="P377" s="15" t="s">
        <v>190</v>
      </c>
      <c r="Q377" s="15" t="s">
        <v>615</v>
      </c>
      <c r="R377" s="13" t="s">
        <v>616</v>
      </c>
      <c r="S377" s="13" t="s">
        <v>103</v>
      </c>
      <c r="T377" s="13" t="s">
        <v>205</v>
      </c>
      <c r="U377" s="14">
        <v>43274</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210" x14ac:dyDescent="0.25">
      <c r="A378" s="13" t="s">
        <v>614</v>
      </c>
      <c r="B378" s="13" t="s">
        <v>153</v>
      </c>
      <c r="C378" s="14">
        <v>43649.744444444441</v>
      </c>
      <c r="D378" s="13" t="s">
        <v>88</v>
      </c>
      <c r="E378" s="15" t="s">
        <v>89</v>
      </c>
      <c r="F378" s="13" t="s">
        <v>90</v>
      </c>
      <c r="G378" s="15" t="s">
        <v>91</v>
      </c>
      <c r="H378" s="13" t="s">
        <v>617</v>
      </c>
      <c r="I378" s="15" t="s">
        <v>618</v>
      </c>
      <c r="J378" s="15" t="s">
        <v>619</v>
      </c>
      <c r="K378" s="15" t="s">
        <v>620</v>
      </c>
      <c r="L378" s="13" t="s">
        <v>621</v>
      </c>
      <c r="M378" s="15" t="s">
        <v>622</v>
      </c>
      <c r="N378" s="13" t="s">
        <v>98</v>
      </c>
      <c r="O378" s="15" t="s">
        <v>99</v>
      </c>
      <c r="P378" s="15" t="s">
        <v>100</v>
      </c>
      <c r="Q378" s="15" t="s">
        <v>203</v>
      </c>
      <c r="R378" s="13" t="s">
        <v>204</v>
      </c>
      <c r="S378" s="13" t="s">
        <v>103</v>
      </c>
      <c r="T378" s="13" t="s">
        <v>205</v>
      </c>
      <c r="U378" s="14">
        <v>43274</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210" x14ac:dyDescent="0.25">
      <c r="A379" s="13" t="s">
        <v>614</v>
      </c>
      <c r="B379" s="13" t="s">
        <v>153</v>
      </c>
      <c r="C379" s="14">
        <v>43649.745833333334</v>
      </c>
      <c r="D379" s="13" t="s">
        <v>88</v>
      </c>
      <c r="E379" s="15" t="s">
        <v>89</v>
      </c>
      <c r="F379" s="13" t="s">
        <v>90</v>
      </c>
      <c r="G379" s="15" t="s">
        <v>91</v>
      </c>
      <c r="H379" s="13" t="s">
        <v>617</v>
      </c>
      <c r="I379" s="15" t="s">
        <v>618</v>
      </c>
      <c r="J379" s="15" t="s">
        <v>619</v>
      </c>
      <c r="K379" s="15" t="s">
        <v>620</v>
      </c>
      <c r="L379" s="13" t="s">
        <v>623</v>
      </c>
      <c r="M379" s="15" t="s">
        <v>624</v>
      </c>
      <c r="N379" s="13" t="s">
        <v>98</v>
      </c>
      <c r="O379" s="15" t="s">
        <v>170</v>
      </c>
      <c r="P379" s="15" t="s">
        <v>171</v>
      </c>
      <c r="Q379" s="15" t="s">
        <v>203</v>
      </c>
      <c r="R379" s="13" t="s">
        <v>204</v>
      </c>
      <c r="S379" s="13" t="s">
        <v>103</v>
      </c>
      <c r="T379" s="13" t="s">
        <v>205</v>
      </c>
      <c r="U379" s="14">
        <v>43274</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210" x14ac:dyDescent="0.25">
      <c r="A380" s="13" t="s">
        <v>614</v>
      </c>
      <c r="B380" s="13" t="s">
        <v>153</v>
      </c>
      <c r="C380" s="14">
        <v>43649.74722222222</v>
      </c>
      <c r="D380" s="13" t="s">
        <v>88</v>
      </c>
      <c r="E380" s="15" t="s">
        <v>89</v>
      </c>
      <c r="F380" s="13" t="s">
        <v>90</v>
      </c>
      <c r="G380" s="15" t="s">
        <v>91</v>
      </c>
      <c r="H380" s="13" t="s">
        <v>617</v>
      </c>
      <c r="I380" s="15" t="s">
        <v>618</v>
      </c>
      <c r="J380" s="15" t="s">
        <v>619</v>
      </c>
      <c r="K380" s="15" t="s">
        <v>620</v>
      </c>
      <c r="L380" s="13" t="s">
        <v>625</v>
      </c>
      <c r="M380" s="15" t="s">
        <v>626</v>
      </c>
      <c r="N380" s="13" t="s">
        <v>188</v>
      </c>
      <c r="O380" s="15" t="s">
        <v>189</v>
      </c>
      <c r="P380" s="15" t="s">
        <v>190</v>
      </c>
      <c r="Q380" s="15" t="s">
        <v>203</v>
      </c>
      <c r="R380" s="13" t="s">
        <v>204</v>
      </c>
      <c r="S380" s="13" t="s">
        <v>103</v>
      </c>
      <c r="T380" s="13" t="s">
        <v>205</v>
      </c>
      <c r="U380" s="14">
        <v>43274</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210" x14ac:dyDescent="0.25">
      <c r="A381" s="13" t="s">
        <v>614</v>
      </c>
      <c r="B381" s="13" t="s">
        <v>153</v>
      </c>
      <c r="C381" s="14">
        <v>43649.744444444441</v>
      </c>
      <c r="D381" s="13" t="s">
        <v>88</v>
      </c>
      <c r="E381" s="15" t="s">
        <v>89</v>
      </c>
      <c r="F381" s="13" t="s">
        <v>90</v>
      </c>
      <c r="G381" s="15" t="s">
        <v>91</v>
      </c>
      <c r="H381" s="13" t="s">
        <v>617</v>
      </c>
      <c r="I381" s="15" t="s">
        <v>618</v>
      </c>
      <c r="J381" s="15" t="s">
        <v>619</v>
      </c>
      <c r="K381" s="15" t="s">
        <v>620</v>
      </c>
      <c r="L381" s="13" t="s">
        <v>621</v>
      </c>
      <c r="M381" s="15" t="s">
        <v>622</v>
      </c>
      <c r="N381" s="13" t="s">
        <v>98</v>
      </c>
      <c r="O381" s="15" t="s">
        <v>99</v>
      </c>
      <c r="P381" s="15" t="s">
        <v>100</v>
      </c>
      <c r="Q381" s="15" t="s">
        <v>206</v>
      </c>
      <c r="R381" s="13" t="s">
        <v>207</v>
      </c>
      <c r="S381" s="13" t="s">
        <v>103</v>
      </c>
      <c r="T381" s="13" t="s">
        <v>205</v>
      </c>
      <c r="U381" s="14">
        <v>43274</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210" x14ac:dyDescent="0.25">
      <c r="A382" s="13" t="s">
        <v>614</v>
      </c>
      <c r="B382" s="13" t="s">
        <v>153</v>
      </c>
      <c r="C382" s="14">
        <v>43649.745833333334</v>
      </c>
      <c r="D382" s="13" t="s">
        <v>88</v>
      </c>
      <c r="E382" s="15" t="s">
        <v>89</v>
      </c>
      <c r="F382" s="13" t="s">
        <v>90</v>
      </c>
      <c r="G382" s="15" t="s">
        <v>91</v>
      </c>
      <c r="H382" s="13" t="s">
        <v>617</v>
      </c>
      <c r="I382" s="15" t="s">
        <v>618</v>
      </c>
      <c r="J382" s="15" t="s">
        <v>619</v>
      </c>
      <c r="K382" s="15" t="s">
        <v>620</v>
      </c>
      <c r="L382" s="13" t="s">
        <v>623</v>
      </c>
      <c r="M382" s="15" t="s">
        <v>624</v>
      </c>
      <c r="N382" s="13" t="s">
        <v>98</v>
      </c>
      <c r="O382" s="15" t="s">
        <v>170</v>
      </c>
      <c r="P382" s="15" t="s">
        <v>171</v>
      </c>
      <c r="Q382" s="15" t="s">
        <v>206</v>
      </c>
      <c r="R382" s="13" t="s">
        <v>207</v>
      </c>
      <c r="S382" s="13" t="s">
        <v>103</v>
      </c>
      <c r="T382" s="13" t="s">
        <v>205</v>
      </c>
      <c r="U382" s="14">
        <v>43274</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210" x14ac:dyDescent="0.25">
      <c r="A383" s="13" t="s">
        <v>614</v>
      </c>
      <c r="B383" s="13" t="s">
        <v>153</v>
      </c>
      <c r="C383" s="14">
        <v>43649.746527777781</v>
      </c>
      <c r="D383" s="13" t="s">
        <v>88</v>
      </c>
      <c r="E383" s="15" t="s">
        <v>89</v>
      </c>
      <c r="F383" s="13" t="s">
        <v>90</v>
      </c>
      <c r="G383" s="15" t="s">
        <v>91</v>
      </c>
      <c r="H383" s="13" t="s">
        <v>617</v>
      </c>
      <c r="I383" s="15" t="s">
        <v>618</v>
      </c>
      <c r="J383" s="15" t="s">
        <v>619</v>
      </c>
      <c r="K383" s="15" t="s">
        <v>620</v>
      </c>
      <c r="L383" s="13" t="s">
        <v>625</v>
      </c>
      <c r="M383" s="15" t="s">
        <v>626</v>
      </c>
      <c r="N383" s="13" t="s">
        <v>188</v>
      </c>
      <c r="O383" s="15" t="s">
        <v>189</v>
      </c>
      <c r="P383" s="15" t="s">
        <v>190</v>
      </c>
      <c r="Q383" s="15" t="s">
        <v>206</v>
      </c>
      <c r="R383" s="13" t="s">
        <v>207</v>
      </c>
      <c r="S383" s="13" t="s">
        <v>103</v>
      </c>
      <c r="T383" s="13" t="s">
        <v>205</v>
      </c>
      <c r="U383" s="14">
        <v>43274</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210" x14ac:dyDescent="0.25">
      <c r="A384" s="13" t="s">
        <v>614</v>
      </c>
      <c r="B384" s="13" t="s">
        <v>153</v>
      </c>
      <c r="C384" s="14">
        <v>43649.745138888888</v>
      </c>
      <c r="D384" s="13" t="s">
        <v>88</v>
      </c>
      <c r="E384" s="15" t="s">
        <v>89</v>
      </c>
      <c r="F384" s="13" t="s">
        <v>90</v>
      </c>
      <c r="G384" s="15" t="s">
        <v>91</v>
      </c>
      <c r="H384" s="13" t="s">
        <v>617</v>
      </c>
      <c r="I384" s="15" t="s">
        <v>618</v>
      </c>
      <c r="J384" s="15" t="s">
        <v>619</v>
      </c>
      <c r="K384" s="15" t="s">
        <v>620</v>
      </c>
      <c r="L384" s="13" t="s">
        <v>621</v>
      </c>
      <c r="M384" s="15" t="s">
        <v>622</v>
      </c>
      <c r="N384" s="13" t="s">
        <v>98</v>
      </c>
      <c r="O384" s="15" t="s">
        <v>99</v>
      </c>
      <c r="P384" s="15" t="s">
        <v>100</v>
      </c>
      <c r="Q384" s="15" t="s">
        <v>208</v>
      </c>
      <c r="R384" s="13" t="s">
        <v>209</v>
      </c>
      <c r="S384" s="13" t="s">
        <v>103</v>
      </c>
      <c r="T384" s="13" t="s">
        <v>205</v>
      </c>
      <c r="U384" s="14">
        <v>43274</v>
      </c>
      <c r="V384" s="14"/>
      <c r="W384" s="15"/>
      <c r="X384" s="15"/>
      <c r="Y384" s="13"/>
      <c r="Z384" s="15"/>
      <c r="AA384" s="15"/>
      <c r="AB384" s="15"/>
      <c r="AC384" s="13"/>
      <c r="AD384" s="15"/>
      <c r="AE384" s="15"/>
      <c r="AF384" s="15"/>
      <c r="AG384" s="13"/>
      <c r="AH384" s="15"/>
      <c r="AI384" s="15"/>
      <c r="AJ384" s="15"/>
      <c r="AK384" s="13"/>
      <c r="AL384" s="15"/>
      <c r="AM384" s="15"/>
      <c r="AN384" s="13"/>
      <c r="AO384" s="13"/>
    </row>
    <row r="385" spans="1:41" ht="210" x14ac:dyDescent="0.25">
      <c r="A385" s="13" t="s">
        <v>614</v>
      </c>
      <c r="B385" s="13" t="s">
        <v>153</v>
      </c>
      <c r="C385" s="14">
        <v>43649.746527777781</v>
      </c>
      <c r="D385" s="13" t="s">
        <v>88</v>
      </c>
      <c r="E385" s="15" t="s">
        <v>89</v>
      </c>
      <c r="F385" s="13" t="s">
        <v>90</v>
      </c>
      <c r="G385" s="15" t="s">
        <v>91</v>
      </c>
      <c r="H385" s="13" t="s">
        <v>617</v>
      </c>
      <c r="I385" s="15" t="s">
        <v>618</v>
      </c>
      <c r="J385" s="15" t="s">
        <v>619</v>
      </c>
      <c r="K385" s="15" t="s">
        <v>620</v>
      </c>
      <c r="L385" s="13" t="s">
        <v>623</v>
      </c>
      <c r="M385" s="15" t="s">
        <v>624</v>
      </c>
      <c r="N385" s="13" t="s">
        <v>98</v>
      </c>
      <c r="O385" s="15" t="s">
        <v>170</v>
      </c>
      <c r="P385" s="15" t="s">
        <v>171</v>
      </c>
      <c r="Q385" s="15" t="s">
        <v>208</v>
      </c>
      <c r="R385" s="13" t="s">
        <v>209</v>
      </c>
      <c r="S385" s="13" t="s">
        <v>103</v>
      </c>
      <c r="T385" s="13" t="s">
        <v>205</v>
      </c>
      <c r="U385" s="14">
        <v>43274</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210" x14ac:dyDescent="0.25">
      <c r="A386" s="13" t="s">
        <v>614</v>
      </c>
      <c r="B386" s="13" t="s">
        <v>153</v>
      </c>
      <c r="C386" s="14">
        <v>43649.747916666667</v>
      </c>
      <c r="D386" s="13" t="s">
        <v>88</v>
      </c>
      <c r="E386" s="15" t="s">
        <v>89</v>
      </c>
      <c r="F386" s="13" t="s">
        <v>90</v>
      </c>
      <c r="G386" s="15" t="s">
        <v>91</v>
      </c>
      <c r="H386" s="13" t="s">
        <v>617</v>
      </c>
      <c r="I386" s="15" t="s">
        <v>618</v>
      </c>
      <c r="J386" s="15" t="s">
        <v>619</v>
      </c>
      <c r="K386" s="15" t="s">
        <v>620</v>
      </c>
      <c r="L386" s="13" t="s">
        <v>625</v>
      </c>
      <c r="M386" s="15" t="s">
        <v>626</v>
      </c>
      <c r="N386" s="13" t="s">
        <v>188</v>
      </c>
      <c r="O386" s="15" t="s">
        <v>189</v>
      </c>
      <c r="P386" s="15" t="s">
        <v>190</v>
      </c>
      <c r="Q386" s="15" t="s">
        <v>208</v>
      </c>
      <c r="R386" s="13" t="s">
        <v>209</v>
      </c>
      <c r="S386" s="13" t="s">
        <v>103</v>
      </c>
      <c r="T386" s="13" t="s">
        <v>205</v>
      </c>
      <c r="U386" s="14">
        <v>43274</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120" x14ac:dyDescent="0.25">
      <c r="A387" s="13" t="s">
        <v>627</v>
      </c>
      <c r="B387" s="13" t="s">
        <v>153</v>
      </c>
      <c r="C387" s="14">
        <v>45084.673611111109</v>
      </c>
      <c r="D387" s="13" t="s">
        <v>88</v>
      </c>
      <c r="E387" s="15" t="s">
        <v>89</v>
      </c>
      <c r="F387" s="13" t="s">
        <v>90</v>
      </c>
      <c r="G387" s="15" t="s">
        <v>91</v>
      </c>
      <c r="H387" s="13" t="s">
        <v>628</v>
      </c>
      <c r="I387" s="15" t="s">
        <v>629</v>
      </c>
      <c r="J387" s="15" t="s">
        <v>630</v>
      </c>
      <c r="K387" s="15" t="s">
        <v>631</v>
      </c>
      <c r="L387" s="13" t="s">
        <v>632</v>
      </c>
      <c r="M387" s="15" t="s">
        <v>633</v>
      </c>
      <c r="N387" s="13" t="s">
        <v>98</v>
      </c>
      <c r="O387" s="15" t="s">
        <v>99</v>
      </c>
      <c r="P387" s="15" t="s">
        <v>100</v>
      </c>
      <c r="Q387" s="15" t="s">
        <v>101</v>
      </c>
      <c r="R387" s="13" t="s">
        <v>102</v>
      </c>
      <c r="S387" s="13" t="s">
        <v>103</v>
      </c>
      <c r="T387" s="13" t="s">
        <v>104</v>
      </c>
      <c r="U387" s="14">
        <v>43831</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120" x14ac:dyDescent="0.25">
      <c r="A388" s="13" t="s">
        <v>627</v>
      </c>
      <c r="B388" s="13" t="s">
        <v>153</v>
      </c>
      <c r="C388" s="14">
        <v>45084.45208333333</v>
      </c>
      <c r="D388" s="13" t="s">
        <v>88</v>
      </c>
      <c r="E388" s="15" t="s">
        <v>89</v>
      </c>
      <c r="F388" s="13" t="s">
        <v>90</v>
      </c>
      <c r="G388" s="15" t="s">
        <v>91</v>
      </c>
      <c r="H388" s="13" t="s">
        <v>628</v>
      </c>
      <c r="I388" s="15" t="s">
        <v>629</v>
      </c>
      <c r="J388" s="15" t="s">
        <v>630</v>
      </c>
      <c r="K388" s="15" t="s">
        <v>631</v>
      </c>
      <c r="L388" s="13" t="s">
        <v>655</v>
      </c>
      <c r="M388" s="15" t="s">
        <v>656</v>
      </c>
      <c r="N388" s="13" t="s">
        <v>98</v>
      </c>
      <c r="O388" s="15" t="s">
        <v>170</v>
      </c>
      <c r="P388" s="15" t="s">
        <v>171</v>
      </c>
      <c r="Q388" s="15" t="s">
        <v>101</v>
      </c>
      <c r="R388" s="13" t="s">
        <v>102</v>
      </c>
      <c r="S388" s="13" t="s">
        <v>103</v>
      </c>
      <c r="T388" s="13" t="s">
        <v>104</v>
      </c>
      <c r="U388" s="14">
        <v>43831</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105" x14ac:dyDescent="0.25">
      <c r="A389" s="13" t="s">
        <v>627</v>
      </c>
      <c r="B389" s="13" t="s">
        <v>153</v>
      </c>
      <c r="C389" s="14">
        <v>45084.458333333336</v>
      </c>
      <c r="D389" s="13" t="s">
        <v>88</v>
      </c>
      <c r="E389" s="15" t="s">
        <v>89</v>
      </c>
      <c r="F389" s="13" t="s">
        <v>90</v>
      </c>
      <c r="G389" s="15" t="s">
        <v>91</v>
      </c>
      <c r="H389" s="13" t="s">
        <v>628</v>
      </c>
      <c r="I389" s="15" t="s">
        <v>629</v>
      </c>
      <c r="J389" s="15" t="s">
        <v>630</v>
      </c>
      <c r="K389" s="15" t="s">
        <v>631</v>
      </c>
      <c r="L389" s="13" t="s">
        <v>658</v>
      </c>
      <c r="M389" s="15" t="s">
        <v>659</v>
      </c>
      <c r="N389" s="13" t="s">
        <v>188</v>
      </c>
      <c r="O389" s="15" t="s">
        <v>189</v>
      </c>
      <c r="P389" s="15" t="s">
        <v>190</v>
      </c>
      <c r="Q389" s="15" t="s">
        <v>101</v>
      </c>
      <c r="R389" s="13" t="s">
        <v>102</v>
      </c>
      <c r="S389" s="13" t="s">
        <v>103</v>
      </c>
      <c r="T389" s="13" t="s">
        <v>104</v>
      </c>
      <c r="U389" s="14">
        <v>43831</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120" x14ac:dyDescent="0.25">
      <c r="A390" s="13" t="s">
        <v>627</v>
      </c>
      <c r="B390" s="13" t="s">
        <v>153</v>
      </c>
      <c r="C390" s="14">
        <v>45084.449305555558</v>
      </c>
      <c r="D390" s="13" t="s">
        <v>88</v>
      </c>
      <c r="E390" s="15" t="s">
        <v>89</v>
      </c>
      <c r="F390" s="13" t="s">
        <v>90</v>
      </c>
      <c r="G390" s="15" t="s">
        <v>91</v>
      </c>
      <c r="H390" s="13" t="s">
        <v>628</v>
      </c>
      <c r="I390" s="15" t="s">
        <v>629</v>
      </c>
      <c r="J390" s="15" t="s">
        <v>630</v>
      </c>
      <c r="K390" s="15" t="s">
        <v>631</v>
      </c>
      <c r="L390" s="13" t="s">
        <v>632</v>
      </c>
      <c r="M390" s="15" t="s">
        <v>633</v>
      </c>
      <c r="N390" s="13" t="s">
        <v>98</v>
      </c>
      <c r="O390" s="15" t="s">
        <v>99</v>
      </c>
      <c r="P390" s="15" t="s">
        <v>100</v>
      </c>
      <c r="Q390" s="15" t="s">
        <v>615</v>
      </c>
      <c r="R390" s="13" t="s">
        <v>616</v>
      </c>
      <c r="S390" s="13" t="s">
        <v>103</v>
      </c>
      <c r="T390" s="13" t="s">
        <v>205</v>
      </c>
      <c r="U390" s="14">
        <v>43831</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120" x14ac:dyDescent="0.25">
      <c r="A391" s="13" t="s">
        <v>627</v>
      </c>
      <c r="B391" s="13" t="s">
        <v>153</v>
      </c>
      <c r="C391" s="14">
        <v>45084.456250000003</v>
      </c>
      <c r="D391" s="13" t="s">
        <v>88</v>
      </c>
      <c r="E391" s="15" t="s">
        <v>89</v>
      </c>
      <c r="F391" s="13" t="s">
        <v>90</v>
      </c>
      <c r="G391" s="15" t="s">
        <v>91</v>
      </c>
      <c r="H391" s="13" t="s">
        <v>628</v>
      </c>
      <c r="I391" s="15" t="s">
        <v>629</v>
      </c>
      <c r="J391" s="15" t="s">
        <v>630</v>
      </c>
      <c r="K391" s="15" t="s">
        <v>631</v>
      </c>
      <c r="L391" s="13" t="s">
        <v>655</v>
      </c>
      <c r="M391" s="15" t="s">
        <v>656</v>
      </c>
      <c r="N391" s="13" t="s">
        <v>98</v>
      </c>
      <c r="O391" s="15" t="s">
        <v>170</v>
      </c>
      <c r="P391" s="15" t="s">
        <v>171</v>
      </c>
      <c r="Q391" s="15" t="s">
        <v>615</v>
      </c>
      <c r="R391" s="13" t="s">
        <v>616</v>
      </c>
      <c r="S391" s="13" t="s">
        <v>103</v>
      </c>
      <c r="T391" s="13" t="s">
        <v>205</v>
      </c>
      <c r="U391" s="14">
        <v>43831</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105" x14ac:dyDescent="0.25">
      <c r="A392" s="13" t="s">
        <v>627</v>
      </c>
      <c r="B392" s="13" t="s">
        <v>153</v>
      </c>
      <c r="C392" s="14">
        <v>45084.46597222222</v>
      </c>
      <c r="D392" s="13" t="s">
        <v>88</v>
      </c>
      <c r="E392" s="15" t="s">
        <v>89</v>
      </c>
      <c r="F392" s="13" t="s">
        <v>90</v>
      </c>
      <c r="G392" s="15" t="s">
        <v>91</v>
      </c>
      <c r="H392" s="13" t="s">
        <v>628</v>
      </c>
      <c r="I392" s="15" t="s">
        <v>629</v>
      </c>
      <c r="J392" s="15" t="s">
        <v>630</v>
      </c>
      <c r="K392" s="15" t="s">
        <v>631</v>
      </c>
      <c r="L392" s="13" t="s">
        <v>658</v>
      </c>
      <c r="M392" s="15" t="s">
        <v>659</v>
      </c>
      <c r="N392" s="13" t="s">
        <v>188</v>
      </c>
      <c r="O392" s="15" t="s">
        <v>189</v>
      </c>
      <c r="P392" s="15" t="s">
        <v>190</v>
      </c>
      <c r="Q392" s="15" t="s">
        <v>615</v>
      </c>
      <c r="R392" s="13" t="s">
        <v>616</v>
      </c>
      <c r="S392" s="13" t="s">
        <v>103</v>
      </c>
      <c r="T392" s="13" t="s">
        <v>205</v>
      </c>
      <c r="U392" s="14">
        <v>43831</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120" x14ac:dyDescent="0.25">
      <c r="A393" s="13" t="s">
        <v>627</v>
      </c>
      <c r="B393" s="13" t="s">
        <v>153</v>
      </c>
      <c r="C393" s="14">
        <v>45084.447916666664</v>
      </c>
      <c r="D393" s="13" t="s">
        <v>88</v>
      </c>
      <c r="E393" s="15" t="s">
        <v>89</v>
      </c>
      <c r="F393" s="13" t="s">
        <v>90</v>
      </c>
      <c r="G393" s="15" t="s">
        <v>91</v>
      </c>
      <c r="H393" s="13" t="s">
        <v>628</v>
      </c>
      <c r="I393" s="15" t="s">
        <v>629</v>
      </c>
      <c r="J393" s="15" t="s">
        <v>630</v>
      </c>
      <c r="K393" s="15" t="s">
        <v>631</v>
      </c>
      <c r="L393" s="13" t="s">
        <v>632</v>
      </c>
      <c r="M393" s="15" t="s">
        <v>633</v>
      </c>
      <c r="N393" s="13" t="s">
        <v>98</v>
      </c>
      <c r="O393" s="15" t="s">
        <v>99</v>
      </c>
      <c r="P393" s="15" t="s">
        <v>100</v>
      </c>
      <c r="Q393" s="15" t="s">
        <v>203</v>
      </c>
      <c r="R393" s="13" t="s">
        <v>204</v>
      </c>
      <c r="S393" s="13" t="s">
        <v>103</v>
      </c>
      <c r="T393" s="13" t="s">
        <v>205</v>
      </c>
      <c r="U393" s="14">
        <v>43831</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120" x14ac:dyDescent="0.25">
      <c r="A394" s="13" t="s">
        <v>627</v>
      </c>
      <c r="B394" s="13" t="s">
        <v>153</v>
      </c>
      <c r="C394" s="14">
        <v>45084.453472222223</v>
      </c>
      <c r="D394" s="13" t="s">
        <v>88</v>
      </c>
      <c r="E394" s="15" t="s">
        <v>89</v>
      </c>
      <c r="F394" s="13" t="s">
        <v>90</v>
      </c>
      <c r="G394" s="15" t="s">
        <v>91</v>
      </c>
      <c r="H394" s="13" t="s">
        <v>628</v>
      </c>
      <c r="I394" s="15" t="s">
        <v>629</v>
      </c>
      <c r="J394" s="15" t="s">
        <v>630</v>
      </c>
      <c r="K394" s="15" t="s">
        <v>631</v>
      </c>
      <c r="L394" s="13" t="s">
        <v>655</v>
      </c>
      <c r="M394" s="15" t="s">
        <v>656</v>
      </c>
      <c r="N394" s="13" t="s">
        <v>98</v>
      </c>
      <c r="O394" s="15" t="s">
        <v>170</v>
      </c>
      <c r="P394" s="15" t="s">
        <v>171</v>
      </c>
      <c r="Q394" s="15" t="s">
        <v>203</v>
      </c>
      <c r="R394" s="13" t="s">
        <v>204</v>
      </c>
      <c r="S394" s="13" t="s">
        <v>103</v>
      </c>
      <c r="T394" s="13" t="s">
        <v>205</v>
      </c>
      <c r="U394" s="14">
        <v>43831</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105" x14ac:dyDescent="0.25">
      <c r="A395" s="13" t="s">
        <v>627</v>
      </c>
      <c r="B395" s="13" t="s">
        <v>153</v>
      </c>
      <c r="C395" s="14">
        <v>45084.463888888888</v>
      </c>
      <c r="D395" s="13" t="s">
        <v>88</v>
      </c>
      <c r="E395" s="15" t="s">
        <v>89</v>
      </c>
      <c r="F395" s="13" t="s">
        <v>90</v>
      </c>
      <c r="G395" s="15" t="s">
        <v>91</v>
      </c>
      <c r="H395" s="13" t="s">
        <v>628</v>
      </c>
      <c r="I395" s="15" t="s">
        <v>629</v>
      </c>
      <c r="J395" s="15" t="s">
        <v>630</v>
      </c>
      <c r="K395" s="15" t="s">
        <v>631</v>
      </c>
      <c r="L395" s="13" t="s">
        <v>658</v>
      </c>
      <c r="M395" s="15" t="s">
        <v>659</v>
      </c>
      <c r="N395" s="13" t="s">
        <v>188</v>
      </c>
      <c r="O395" s="15" t="s">
        <v>189</v>
      </c>
      <c r="P395" s="15" t="s">
        <v>190</v>
      </c>
      <c r="Q395" s="15" t="s">
        <v>203</v>
      </c>
      <c r="R395" s="13" t="s">
        <v>204</v>
      </c>
      <c r="S395" s="13" t="s">
        <v>103</v>
      </c>
      <c r="T395" s="13" t="s">
        <v>205</v>
      </c>
      <c r="U395" s="14">
        <v>43831</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120" x14ac:dyDescent="0.25">
      <c r="A396" s="13" t="s">
        <v>627</v>
      </c>
      <c r="B396" s="13" t="s">
        <v>153</v>
      </c>
      <c r="C396" s="14">
        <v>45084.447916666664</v>
      </c>
      <c r="D396" s="13" t="s">
        <v>88</v>
      </c>
      <c r="E396" s="15" t="s">
        <v>89</v>
      </c>
      <c r="F396" s="13" t="s">
        <v>90</v>
      </c>
      <c r="G396" s="15" t="s">
        <v>91</v>
      </c>
      <c r="H396" s="13" t="s">
        <v>628</v>
      </c>
      <c r="I396" s="15" t="s">
        <v>629</v>
      </c>
      <c r="J396" s="15" t="s">
        <v>630</v>
      </c>
      <c r="K396" s="15" t="s">
        <v>631</v>
      </c>
      <c r="L396" s="13" t="s">
        <v>632</v>
      </c>
      <c r="M396" s="15" t="s">
        <v>633</v>
      </c>
      <c r="N396" s="13" t="s">
        <v>98</v>
      </c>
      <c r="O396" s="15" t="s">
        <v>99</v>
      </c>
      <c r="P396" s="15" t="s">
        <v>100</v>
      </c>
      <c r="Q396" s="15" t="s">
        <v>206</v>
      </c>
      <c r="R396" s="13" t="s">
        <v>207</v>
      </c>
      <c r="S396" s="13" t="s">
        <v>103</v>
      </c>
      <c r="T396" s="13" t="s">
        <v>205</v>
      </c>
      <c r="U396" s="14">
        <v>43831</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120" x14ac:dyDescent="0.25">
      <c r="A397" s="13" t="s">
        <v>627</v>
      </c>
      <c r="B397" s="13" t="s">
        <v>153</v>
      </c>
      <c r="C397" s="14">
        <v>45084.452777777777</v>
      </c>
      <c r="D397" s="13" t="s">
        <v>88</v>
      </c>
      <c r="E397" s="15" t="s">
        <v>89</v>
      </c>
      <c r="F397" s="13" t="s">
        <v>90</v>
      </c>
      <c r="G397" s="15" t="s">
        <v>91</v>
      </c>
      <c r="H397" s="13" t="s">
        <v>628</v>
      </c>
      <c r="I397" s="15" t="s">
        <v>629</v>
      </c>
      <c r="J397" s="15" t="s">
        <v>630</v>
      </c>
      <c r="K397" s="15" t="s">
        <v>631</v>
      </c>
      <c r="L397" s="13" t="s">
        <v>655</v>
      </c>
      <c r="M397" s="15" t="s">
        <v>656</v>
      </c>
      <c r="N397" s="13" t="s">
        <v>98</v>
      </c>
      <c r="O397" s="15" t="s">
        <v>170</v>
      </c>
      <c r="P397" s="15" t="s">
        <v>171</v>
      </c>
      <c r="Q397" s="15" t="s">
        <v>206</v>
      </c>
      <c r="R397" s="13" t="s">
        <v>207</v>
      </c>
      <c r="S397" s="13" t="s">
        <v>103</v>
      </c>
      <c r="T397" s="13" t="s">
        <v>205</v>
      </c>
      <c r="U397" s="14">
        <v>43831</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105" x14ac:dyDescent="0.25">
      <c r="A398" s="13" t="s">
        <v>627</v>
      </c>
      <c r="B398" s="13" t="s">
        <v>153</v>
      </c>
      <c r="C398" s="14">
        <v>45084.459027777775</v>
      </c>
      <c r="D398" s="13" t="s">
        <v>88</v>
      </c>
      <c r="E398" s="15" t="s">
        <v>89</v>
      </c>
      <c r="F398" s="13" t="s">
        <v>90</v>
      </c>
      <c r="G398" s="15" t="s">
        <v>91</v>
      </c>
      <c r="H398" s="13" t="s">
        <v>628</v>
      </c>
      <c r="I398" s="15" t="s">
        <v>629</v>
      </c>
      <c r="J398" s="15" t="s">
        <v>630</v>
      </c>
      <c r="K398" s="15" t="s">
        <v>631</v>
      </c>
      <c r="L398" s="13" t="s">
        <v>658</v>
      </c>
      <c r="M398" s="15" t="s">
        <v>659</v>
      </c>
      <c r="N398" s="13" t="s">
        <v>188</v>
      </c>
      <c r="O398" s="15" t="s">
        <v>189</v>
      </c>
      <c r="P398" s="15" t="s">
        <v>190</v>
      </c>
      <c r="Q398" s="15" t="s">
        <v>206</v>
      </c>
      <c r="R398" s="13" t="s">
        <v>207</v>
      </c>
      <c r="S398" s="13" t="s">
        <v>103</v>
      </c>
      <c r="T398" s="13" t="s">
        <v>205</v>
      </c>
      <c r="U398" s="14">
        <v>43831</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120" x14ac:dyDescent="0.25">
      <c r="A399" s="13" t="s">
        <v>627</v>
      </c>
      <c r="B399" s="13" t="s">
        <v>153</v>
      </c>
      <c r="C399" s="14">
        <v>45084.448611111111</v>
      </c>
      <c r="D399" s="13" t="s">
        <v>88</v>
      </c>
      <c r="E399" s="15" t="s">
        <v>89</v>
      </c>
      <c r="F399" s="13" t="s">
        <v>90</v>
      </c>
      <c r="G399" s="15" t="s">
        <v>91</v>
      </c>
      <c r="H399" s="13" t="s">
        <v>628</v>
      </c>
      <c r="I399" s="15" t="s">
        <v>629</v>
      </c>
      <c r="J399" s="15" t="s">
        <v>630</v>
      </c>
      <c r="K399" s="15" t="s">
        <v>631</v>
      </c>
      <c r="L399" s="13" t="s">
        <v>632</v>
      </c>
      <c r="M399" s="15" t="s">
        <v>633</v>
      </c>
      <c r="N399" s="13" t="s">
        <v>98</v>
      </c>
      <c r="O399" s="15" t="s">
        <v>99</v>
      </c>
      <c r="P399" s="15" t="s">
        <v>100</v>
      </c>
      <c r="Q399" s="15" t="s">
        <v>208</v>
      </c>
      <c r="R399" s="13" t="s">
        <v>209</v>
      </c>
      <c r="S399" s="13" t="s">
        <v>103</v>
      </c>
      <c r="T399" s="13" t="s">
        <v>205</v>
      </c>
      <c r="U399" s="14">
        <v>43831</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120" x14ac:dyDescent="0.25">
      <c r="A400" s="13" t="s">
        <v>627</v>
      </c>
      <c r="B400" s="13" t="s">
        <v>153</v>
      </c>
      <c r="C400" s="14">
        <v>45084.455555555556</v>
      </c>
      <c r="D400" s="13" t="s">
        <v>88</v>
      </c>
      <c r="E400" s="15" t="s">
        <v>89</v>
      </c>
      <c r="F400" s="13" t="s">
        <v>90</v>
      </c>
      <c r="G400" s="15" t="s">
        <v>91</v>
      </c>
      <c r="H400" s="13" t="s">
        <v>628</v>
      </c>
      <c r="I400" s="15" t="s">
        <v>629</v>
      </c>
      <c r="J400" s="15" t="s">
        <v>630</v>
      </c>
      <c r="K400" s="15" t="s">
        <v>631</v>
      </c>
      <c r="L400" s="13" t="s">
        <v>655</v>
      </c>
      <c r="M400" s="15" t="s">
        <v>656</v>
      </c>
      <c r="N400" s="13" t="s">
        <v>98</v>
      </c>
      <c r="O400" s="15" t="s">
        <v>170</v>
      </c>
      <c r="P400" s="15" t="s">
        <v>171</v>
      </c>
      <c r="Q400" s="15" t="s">
        <v>208</v>
      </c>
      <c r="R400" s="13" t="s">
        <v>209</v>
      </c>
      <c r="S400" s="13" t="s">
        <v>103</v>
      </c>
      <c r="T400" s="13" t="s">
        <v>205</v>
      </c>
      <c r="U400" s="14">
        <v>43831</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105" x14ac:dyDescent="0.25">
      <c r="A401" s="13" t="s">
        <v>627</v>
      </c>
      <c r="B401" s="13" t="s">
        <v>153</v>
      </c>
      <c r="C401" s="14">
        <v>45084.465277777781</v>
      </c>
      <c r="D401" s="13" t="s">
        <v>88</v>
      </c>
      <c r="E401" s="15" t="s">
        <v>89</v>
      </c>
      <c r="F401" s="13" t="s">
        <v>90</v>
      </c>
      <c r="G401" s="15" t="s">
        <v>91</v>
      </c>
      <c r="H401" s="13" t="s">
        <v>628</v>
      </c>
      <c r="I401" s="15" t="s">
        <v>629</v>
      </c>
      <c r="J401" s="15" t="s">
        <v>630</v>
      </c>
      <c r="K401" s="15" t="s">
        <v>631</v>
      </c>
      <c r="L401" s="13" t="s">
        <v>658</v>
      </c>
      <c r="M401" s="15" t="s">
        <v>659</v>
      </c>
      <c r="N401" s="13" t="s">
        <v>188</v>
      </c>
      <c r="O401" s="15" t="s">
        <v>189</v>
      </c>
      <c r="P401" s="15" t="s">
        <v>190</v>
      </c>
      <c r="Q401" s="15" t="s">
        <v>208</v>
      </c>
      <c r="R401" s="13" t="s">
        <v>209</v>
      </c>
      <c r="S401" s="13" t="s">
        <v>103</v>
      </c>
      <c r="T401" s="13" t="s">
        <v>205</v>
      </c>
      <c r="U401" s="14">
        <v>43831</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120" x14ac:dyDescent="0.25">
      <c r="A402" s="13" t="s">
        <v>627</v>
      </c>
      <c r="B402" s="13" t="s">
        <v>153</v>
      </c>
      <c r="C402" s="14">
        <v>45084.675694444442</v>
      </c>
      <c r="D402" s="13" t="s">
        <v>88</v>
      </c>
      <c r="E402" s="15" t="s">
        <v>89</v>
      </c>
      <c r="F402" s="13" t="s">
        <v>90</v>
      </c>
      <c r="G402" s="15" t="s">
        <v>91</v>
      </c>
      <c r="H402" s="13" t="s">
        <v>663</v>
      </c>
      <c r="I402" s="15" t="s">
        <v>664</v>
      </c>
      <c r="J402" s="15" t="s">
        <v>665</v>
      </c>
      <c r="K402" s="15" t="s">
        <v>666</v>
      </c>
      <c r="L402" s="13" t="s">
        <v>667</v>
      </c>
      <c r="M402" s="15" t="s">
        <v>668</v>
      </c>
      <c r="N402" s="13" t="s">
        <v>98</v>
      </c>
      <c r="O402" s="15" t="s">
        <v>99</v>
      </c>
      <c r="P402" s="15" t="s">
        <v>100</v>
      </c>
      <c r="Q402" s="15" t="s">
        <v>101</v>
      </c>
      <c r="R402" s="13" t="s">
        <v>102</v>
      </c>
      <c r="S402" s="13" t="s">
        <v>103</v>
      </c>
      <c r="T402" s="13" t="s">
        <v>104</v>
      </c>
      <c r="U402" s="14">
        <v>43831</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120" x14ac:dyDescent="0.25">
      <c r="A403" s="13" t="s">
        <v>627</v>
      </c>
      <c r="B403" s="13" t="s">
        <v>153</v>
      </c>
      <c r="C403" s="14">
        <v>45084.601388888892</v>
      </c>
      <c r="D403" s="13" t="s">
        <v>88</v>
      </c>
      <c r="E403" s="15" t="s">
        <v>89</v>
      </c>
      <c r="F403" s="13" t="s">
        <v>90</v>
      </c>
      <c r="G403" s="15" t="s">
        <v>91</v>
      </c>
      <c r="H403" s="13" t="s">
        <v>663</v>
      </c>
      <c r="I403" s="15" t="s">
        <v>664</v>
      </c>
      <c r="J403" s="15" t="s">
        <v>665</v>
      </c>
      <c r="K403" s="15" t="s">
        <v>666</v>
      </c>
      <c r="L403" s="13" t="s">
        <v>669</v>
      </c>
      <c r="M403" s="15" t="s">
        <v>670</v>
      </c>
      <c r="N403" s="13" t="s">
        <v>98</v>
      </c>
      <c r="O403" s="15" t="s">
        <v>170</v>
      </c>
      <c r="P403" s="15" t="s">
        <v>171</v>
      </c>
      <c r="Q403" s="15" t="s">
        <v>101</v>
      </c>
      <c r="R403" s="13" t="s">
        <v>102</v>
      </c>
      <c r="S403" s="13" t="s">
        <v>103</v>
      </c>
      <c r="T403" s="13" t="s">
        <v>104</v>
      </c>
      <c r="U403" s="14">
        <v>43831</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120" x14ac:dyDescent="0.25">
      <c r="A404" s="13" t="s">
        <v>627</v>
      </c>
      <c r="B404" s="13" t="s">
        <v>153</v>
      </c>
      <c r="C404" s="14">
        <v>45084.603472222225</v>
      </c>
      <c r="D404" s="13" t="s">
        <v>88</v>
      </c>
      <c r="E404" s="15" t="s">
        <v>89</v>
      </c>
      <c r="F404" s="13" t="s">
        <v>90</v>
      </c>
      <c r="G404" s="15" t="s">
        <v>91</v>
      </c>
      <c r="H404" s="13" t="s">
        <v>663</v>
      </c>
      <c r="I404" s="15" t="s">
        <v>664</v>
      </c>
      <c r="J404" s="15" t="s">
        <v>665</v>
      </c>
      <c r="K404" s="15" t="s">
        <v>666</v>
      </c>
      <c r="L404" s="13" t="s">
        <v>671</v>
      </c>
      <c r="M404" s="15" t="s">
        <v>672</v>
      </c>
      <c r="N404" s="13" t="s">
        <v>188</v>
      </c>
      <c r="O404" s="15" t="s">
        <v>189</v>
      </c>
      <c r="P404" s="15" t="s">
        <v>190</v>
      </c>
      <c r="Q404" s="15" t="s">
        <v>101</v>
      </c>
      <c r="R404" s="13" t="s">
        <v>102</v>
      </c>
      <c r="S404" s="13" t="s">
        <v>103</v>
      </c>
      <c r="T404" s="13" t="s">
        <v>104</v>
      </c>
      <c r="U404" s="14">
        <v>43831</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120" x14ac:dyDescent="0.25">
      <c r="A405" s="13" t="s">
        <v>627</v>
      </c>
      <c r="B405" s="13" t="s">
        <v>153</v>
      </c>
      <c r="C405" s="14">
        <v>45084.599305555559</v>
      </c>
      <c r="D405" s="13" t="s">
        <v>88</v>
      </c>
      <c r="E405" s="15" t="s">
        <v>89</v>
      </c>
      <c r="F405" s="13" t="s">
        <v>90</v>
      </c>
      <c r="G405" s="15" t="s">
        <v>91</v>
      </c>
      <c r="H405" s="13" t="s">
        <v>663</v>
      </c>
      <c r="I405" s="15" t="s">
        <v>664</v>
      </c>
      <c r="J405" s="15" t="s">
        <v>665</v>
      </c>
      <c r="K405" s="15" t="s">
        <v>666</v>
      </c>
      <c r="L405" s="13" t="s">
        <v>667</v>
      </c>
      <c r="M405" s="15" t="s">
        <v>668</v>
      </c>
      <c r="N405" s="13" t="s">
        <v>98</v>
      </c>
      <c r="O405" s="15" t="s">
        <v>99</v>
      </c>
      <c r="P405" s="15" t="s">
        <v>100</v>
      </c>
      <c r="Q405" s="15" t="s">
        <v>615</v>
      </c>
      <c r="R405" s="13" t="s">
        <v>616</v>
      </c>
      <c r="S405" s="13" t="s">
        <v>103</v>
      </c>
      <c r="T405" s="13" t="s">
        <v>205</v>
      </c>
      <c r="U405" s="14">
        <v>43831</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120" x14ac:dyDescent="0.25">
      <c r="A406" s="13" t="s">
        <v>627</v>
      </c>
      <c r="B406" s="13" t="s">
        <v>153</v>
      </c>
      <c r="C406" s="14">
        <v>45084.602777777778</v>
      </c>
      <c r="D406" s="13" t="s">
        <v>88</v>
      </c>
      <c r="E406" s="15" t="s">
        <v>89</v>
      </c>
      <c r="F406" s="13" t="s">
        <v>90</v>
      </c>
      <c r="G406" s="15" t="s">
        <v>91</v>
      </c>
      <c r="H406" s="13" t="s">
        <v>663</v>
      </c>
      <c r="I406" s="15" t="s">
        <v>664</v>
      </c>
      <c r="J406" s="15" t="s">
        <v>665</v>
      </c>
      <c r="K406" s="15" t="s">
        <v>666</v>
      </c>
      <c r="L406" s="13" t="s">
        <v>669</v>
      </c>
      <c r="M406" s="15" t="s">
        <v>670</v>
      </c>
      <c r="N406" s="13" t="s">
        <v>98</v>
      </c>
      <c r="O406" s="15" t="s">
        <v>170</v>
      </c>
      <c r="P406" s="15" t="s">
        <v>171</v>
      </c>
      <c r="Q406" s="15" t="s">
        <v>615</v>
      </c>
      <c r="R406" s="13" t="s">
        <v>616</v>
      </c>
      <c r="S406" s="13" t="s">
        <v>103</v>
      </c>
      <c r="T406" s="13" t="s">
        <v>205</v>
      </c>
      <c r="U406" s="14">
        <v>43831</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120" x14ac:dyDescent="0.25">
      <c r="A407" s="13" t="s">
        <v>627</v>
      </c>
      <c r="B407" s="13" t="s">
        <v>153</v>
      </c>
      <c r="C407" s="14">
        <v>45084.604861111111</v>
      </c>
      <c r="D407" s="13" t="s">
        <v>88</v>
      </c>
      <c r="E407" s="15" t="s">
        <v>89</v>
      </c>
      <c r="F407" s="13" t="s">
        <v>90</v>
      </c>
      <c r="G407" s="15" t="s">
        <v>91</v>
      </c>
      <c r="H407" s="13" t="s">
        <v>663</v>
      </c>
      <c r="I407" s="15" t="s">
        <v>664</v>
      </c>
      <c r="J407" s="15" t="s">
        <v>665</v>
      </c>
      <c r="K407" s="15" t="s">
        <v>666</v>
      </c>
      <c r="L407" s="13" t="s">
        <v>671</v>
      </c>
      <c r="M407" s="15" t="s">
        <v>672</v>
      </c>
      <c r="N407" s="13" t="s">
        <v>188</v>
      </c>
      <c r="O407" s="15" t="s">
        <v>189</v>
      </c>
      <c r="P407" s="15" t="s">
        <v>190</v>
      </c>
      <c r="Q407" s="15" t="s">
        <v>615</v>
      </c>
      <c r="R407" s="13" t="s">
        <v>616</v>
      </c>
      <c r="S407" s="13" t="s">
        <v>103</v>
      </c>
      <c r="T407" s="13" t="s">
        <v>205</v>
      </c>
      <c r="U407" s="14">
        <v>43831</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120" x14ac:dyDescent="0.25">
      <c r="A408" s="13" t="s">
        <v>627</v>
      </c>
      <c r="B408" s="13" t="s">
        <v>153</v>
      </c>
      <c r="C408" s="14">
        <v>45084.598611111112</v>
      </c>
      <c r="D408" s="13" t="s">
        <v>88</v>
      </c>
      <c r="E408" s="15" t="s">
        <v>89</v>
      </c>
      <c r="F408" s="13" t="s">
        <v>90</v>
      </c>
      <c r="G408" s="15" t="s">
        <v>91</v>
      </c>
      <c r="H408" s="13" t="s">
        <v>663</v>
      </c>
      <c r="I408" s="15" t="s">
        <v>664</v>
      </c>
      <c r="J408" s="15" t="s">
        <v>665</v>
      </c>
      <c r="K408" s="15" t="s">
        <v>666</v>
      </c>
      <c r="L408" s="13" t="s">
        <v>667</v>
      </c>
      <c r="M408" s="15" t="s">
        <v>668</v>
      </c>
      <c r="N408" s="13" t="s">
        <v>98</v>
      </c>
      <c r="O408" s="15" t="s">
        <v>99</v>
      </c>
      <c r="P408" s="15" t="s">
        <v>100</v>
      </c>
      <c r="Q408" s="15" t="s">
        <v>203</v>
      </c>
      <c r="R408" s="13" t="s">
        <v>204</v>
      </c>
      <c r="S408" s="13" t="s">
        <v>103</v>
      </c>
      <c r="T408" s="13" t="s">
        <v>205</v>
      </c>
      <c r="U408" s="14">
        <v>43831</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120" x14ac:dyDescent="0.25">
      <c r="A409" s="13" t="s">
        <v>627</v>
      </c>
      <c r="B409" s="13" t="s">
        <v>153</v>
      </c>
      <c r="C409" s="14">
        <v>45084.602083333331</v>
      </c>
      <c r="D409" s="13" t="s">
        <v>88</v>
      </c>
      <c r="E409" s="15" t="s">
        <v>89</v>
      </c>
      <c r="F409" s="13" t="s">
        <v>90</v>
      </c>
      <c r="G409" s="15" t="s">
        <v>91</v>
      </c>
      <c r="H409" s="13" t="s">
        <v>663</v>
      </c>
      <c r="I409" s="15" t="s">
        <v>664</v>
      </c>
      <c r="J409" s="15" t="s">
        <v>665</v>
      </c>
      <c r="K409" s="15" t="s">
        <v>666</v>
      </c>
      <c r="L409" s="13" t="s">
        <v>669</v>
      </c>
      <c r="M409" s="15" t="s">
        <v>670</v>
      </c>
      <c r="N409" s="13" t="s">
        <v>98</v>
      </c>
      <c r="O409" s="15" t="s">
        <v>170</v>
      </c>
      <c r="P409" s="15" t="s">
        <v>171</v>
      </c>
      <c r="Q409" s="15" t="s">
        <v>203</v>
      </c>
      <c r="R409" s="13" t="s">
        <v>204</v>
      </c>
      <c r="S409" s="13" t="s">
        <v>103</v>
      </c>
      <c r="T409" s="13" t="s">
        <v>205</v>
      </c>
      <c r="U409" s="14">
        <v>43831</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120" x14ac:dyDescent="0.25">
      <c r="A410" s="13" t="s">
        <v>627</v>
      </c>
      <c r="B410" s="13" t="s">
        <v>153</v>
      </c>
      <c r="C410" s="14">
        <v>45084.604166666664</v>
      </c>
      <c r="D410" s="13" t="s">
        <v>88</v>
      </c>
      <c r="E410" s="15" t="s">
        <v>89</v>
      </c>
      <c r="F410" s="13" t="s">
        <v>90</v>
      </c>
      <c r="G410" s="15" t="s">
        <v>91</v>
      </c>
      <c r="H410" s="13" t="s">
        <v>663</v>
      </c>
      <c r="I410" s="15" t="s">
        <v>664</v>
      </c>
      <c r="J410" s="15" t="s">
        <v>665</v>
      </c>
      <c r="K410" s="15" t="s">
        <v>666</v>
      </c>
      <c r="L410" s="13" t="s">
        <v>671</v>
      </c>
      <c r="M410" s="15" t="s">
        <v>672</v>
      </c>
      <c r="N410" s="13" t="s">
        <v>188</v>
      </c>
      <c r="O410" s="15" t="s">
        <v>189</v>
      </c>
      <c r="P410" s="15" t="s">
        <v>190</v>
      </c>
      <c r="Q410" s="15" t="s">
        <v>203</v>
      </c>
      <c r="R410" s="13" t="s">
        <v>204</v>
      </c>
      <c r="S410" s="13" t="s">
        <v>103</v>
      </c>
      <c r="T410" s="13" t="s">
        <v>205</v>
      </c>
      <c r="U410" s="14">
        <v>43831</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120" x14ac:dyDescent="0.25">
      <c r="A411" s="13" t="s">
        <v>627</v>
      </c>
      <c r="B411" s="13" t="s">
        <v>153</v>
      </c>
      <c r="C411" s="14">
        <v>45084.598611111112</v>
      </c>
      <c r="D411" s="13" t="s">
        <v>88</v>
      </c>
      <c r="E411" s="15" t="s">
        <v>89</v>
      </c>
      <c r="F411" s="13" t="s">
        <v>90</v>
      </c>
      <c r="G411" s="15" t="s">
        <v>91</v>
      </c>
      <c r="H411" s="13" t="s">
        <v>663</v>
      </c>
      <c r="I411" s="15" t="s">
        <v>664</v>
      </c>
      <c r="J411" s="15" t="s">
        <v>665</v>
      </c>
      <c r="K411" s="15" t="s">
        <v>666</v>
      </c>
      <c r="L411" s="13" t="s">
        <v>667</v>
      </c>
      <c r="M411" s="15" t="s">
        <v>668</v>
      </c>
      <c r="N411" s="13" t="s">
        <v>98</v>
      </c>
      <c r="O411" s="15" t="s">
        <v>99</v>
      </c>
      <c r="P411" s="15" t="s">
        <v>100</v>
      </c>
      <c r="Q411" s="15" t="s">
        <v>206</v>
      </c>
      <c r="R411" s="13" t="s">
        <v>207</v>
      </c>
      <c r="S411" s="13" t="s">
        <v>103</v>
      </c>
      <c r="T411" s="13" t="s">
        <v>205</v>
      </c>
      <c r="U411" s="14">
        <v>43831</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120" x14ac:dyDescent="0.25">
      <c r="A412" s="13" t="s">
        <v>627</v>
      </c>
      <c r="B412" s="13" t="s">
        <v>153</v>
      </c>
      <c r="C412" s="14">
        <v>45084.601388888892</v>
      </c>
      <c r="D412" s="13" t="s">
        <v>88</v>
      </c>
      <c r="E412" s="15" t="s">
        <v>89</v>
      </c>
      <c r="F412" s="13" t="s">
        <v>90</v>
      </c>
      <c r="G412" s="15" t="s">
        <v>91</v>
      </c>
      <c r="H412" s="13" t="s">
        <v>663</v>
      </c>
      <c r="I412" s="15" t="s">
        <v>664</v>
      </c>
      <c r="J412" s="15" t="s">
        <v>665</v>
      </c>
      <c r="K412" s="15" t="s">
        <v>666</v>
      </c>
      <c r="L412" s="13" t="s">
        <v>669</v>
      </c>
      <c r="M412" s="15" t="s">
        <v>670</v>
      </c>
      <c r="N412" s="13" t="s">
        <v>98</v>
      </c>
      <c r="O412" s="15" t="s">
        <v>170</v>
      </c>
      <c r="P412" s="15" t="s">
        <v>171</v>
      </c>
      <c r="Q412" s="15" t="s">
        <v>206</v>
      </c>
      <c r="R412" s="13" t="s">
        <v>207</v>
      </c>
      <c r="S412" s="13" t="s">
        <v>103</v>
      </c>
      <c r="T412" s="13" t="s">
        <v>205</v>
      </c>
      <c r="U412" s="14">
        <v>43831</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120" x14ac:dyDescent="0.25">
      <c r="A413" s="13" t="s">
        <v>627</v>
      </c>
      <c r="B413" s="13" t="s">
        <v>153</v>
      </c>
      <c r="C413" s="14">
        <v>45084.604166666664</v>
      </c>
      <c r="D413" s="13" t="s">
        <v>88</v>
      </c>
      <c r="E413" s="15" t="s">
        <v>89</v>
      </c>
      <c r="F413" s="13" t="s">
        <v>90</v>
      </c>
      <c r="G413" s="15" t="s">
        <v>91</v>
      </c>
      <c r="H413" s="13" t="s">
        <v>663</v>
      </c>
      <c r="I413" s="15" t="s">
        <v>664</v>
      </c>
      <c r="J413" s="15" t="s">
        <v>665</v>
      </c>
      <c r="K413" s="15" t="s">
        <v>666</v>
      </c>
      <c r="L413" s="13" t="s">
        <v>671</v>
      </c>
      <c r="M413" s="15" t="s">
        <v>672</v>
      </c>
      <c r="N413" s="13" t="s">
        <v>188</v>
      </c>
      <c r="O413" s="15" t="s">
        <v>189</v>
      </c>
      <c r="P413" s="15" t="s">
        <v>190</v>
      </c>
      <c r="Q413" s="15" t="s">
        <v>206</v>
      </c>
      <c r="R413" s="13" t="s">
        <v>207</v>
      </c>
      <c r="S413" s="13" t="s">
        <v>103</v>
      </c>
      <c r="T413" s="13" t="s">
        <v>205</v>
      </c>
      <c r="U413" s="14">
        <v>43831</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120" x14ac:dyDescent="0.25">
      <c r="A414" s="13" t="s">
        <v>627</v>
      </c>
      <c r="B414" s="13" t="s">
        <v>153</v>
      </c>
      <c r="C414" s="14">
        <v>45084.598611111112</v>
      </c>
      <c r="D414" s="13" t="s">
        <v>88</v>
      </c>
      <c r="E414" s="15" t="s">
        <v>89</v>
      </c>
      <c r="F414" s="13" t="s">
        <v>90</v>
      </c>
      <c r="G414" s="15" t="s">
        <v>91</v>
      </c>
      <c r="H414" s="13" t="s">
        <v>663</v>
      </c>
      <c r="I414" s="15" t="s">
        <v>664</v>
      </c>
      <c r="J414" s="15" t="s">
        <v>665</v>
      </c>
      <c r="K414" s="15" t="s">
        <v>666</v>
      </c>
      <c r="L414" s="13" t="s">
        <v>667</v>
      </c>
      <c r="M414" s="15" t="s">
        <v>668</v>
      </c>
      <c r="N414" s="13" t="s">
        <v>98</v>
      </c>
      <c r="O414" s="15" t="s">
        <v>99</v>
      </c>
      <c r="P414" s="15" t="s">
        <v>100</v>
      </c>
      <c r="Q414" s="15" t="s">
        <v>208</v>
      </c>
      <c r="R414" s="13" t="s">
        <v>209</v>
      </c>
      <c r="S414" s="13" t="s">
        <v>103</v>
      </c>
      <c r="T414" s="13" t="s">
        <v>205</v>
      </c>
      <c r="U414" s="14">
        <v>43831</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120" x14ac:dyDescent="0.25">
      <c r="A415" s="13" t="s">
        <v>627</v>
      </c>
      <c r="B415" s="13" t="s">
        <v>153</v>
      </c>
      <c r="C415" s="14">
        <v>45084.602777777778</v>
      </c>
      <c r="D415" s="13" t="s">
        <v>88</v>
      </c>
      <c r="E415" s="15" t="s">
        <v>89</v>
      </c>
      <c r="F415" s="13" t="s">
        <v>90</v>
      </c>
      <c r="G415" s="15" t="s">
        <v>91</v>
      </c>
      <c r="H415" s="13" t="s">
        <v>663</v>
      </c>
      <c r="I415" s="15" t="s">
        <v>664</v>
      </c>
      <c r="J415" s="15" t="s">
        <v>665</v>
      </c>
      <c r="K415" s="15" t="s">
        <v>666</v>
      </c>
      <c r="L415" s="13" t="s">
        <v>669</v>
      </c>
      <c r="M415" s="15" t="s">
        <v>670</v>
      </c>
      <c r="N415" s="13" t="s">
        <v>98</v>
      </c>
      <c r="O415" s="15" t="s">
        <v>170</v>
      </c>
      <c r="P415" s="15" t="s">
        <v>171</v>
      </c>
      <c r="Q415" s="15" t="s">
        <v>208</v>
      </c>
      <c r="R415" s="13" t="s">
        <v>209</v>
      </c>
      <c r="S415" s="13" t="s">
        <v>103</v>
      </c>
      <c r="T415" s="13" t="s">
        <v>205</v>
      </c>
      <c r="U415" s="14">
        <v>43831</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120" x14ac:dyDescent="0.25">
      <c r="A416" s="13" t="s">
        <v>627</v>
      </c>
      <c r="B416" s="13" t="s">
        <v>153</v>
      </c>
      <c r="C416" s="14">
        <v>45084.604166666664</v>
      </c>
      <c r="D416" s="13" t="s">
        <v>88</v>
      </c>
      <c r="E416" s="15" t="s">
        <v>89</v>
      </c>
      <c r="F416" s="13" t="s">
        <v>90</v>
      </c>
      <c r="G416" s="15" t="s">
        <v>91</v>
      </c>
      <c r="H416" s="13" t="s">
        <v>663</v>
      </c>
      <c r="I416" s="15" t="s">
        <v>664</v>
      </c>
      <c r="J416" s="15" t="s">
        <v>665</v>
      </c>
      <c r="K416" s="15" t="s">
        <v>666</v>
      </c>
      <c r="L416" s="13" t="s">
        <v>671</v>
      </c>
      <c r="M416" s="15" t="s">
        <v>672</v>
      </c>
      <c r="N416" s="13" t="s">
        <v>188</v>
      </c>
      <c r="O416" s="15" t="s">
        <v>189</v>
      </c>
      <c r="P416" s="15" t="s">
        <v>190</v>
      </c>
      <c r="Q416" s="15" t="s">
        <v>208</v>
      </c>
      <c r="R416" s="13" t="s">
        <v>209</v>
      </c>
      <c r="S416" s="13" t="s">
        <v>103</v>
      </c>
      <c r="T416" s="13" t="s">
        <v>205</v>
      </c>
      <c r="U416" s="14">
        <v>43831</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75" x14ac:dyDescent="0.25">
      <c r="A417" s="13" t="s">
        <v>152</v>
      </c>
      <c r="B417" s="13" t="s">
        <v>153</v>
      </c>
      <c r="C417" s="14">
        <v>45799.686805555553</v>
      </c>
      <c r="D417" s="13" t="s">
        <v>88</v>
      </c>
      <c r="E417" s="15" t="s">
        <v>89</v>
      </c>
      <c r="F417" s="13" t="s">
        <v>90</v>
      </c>
      <c r="G417" s="15" t="s">
        <v>91</v>
      </c>
      <c r="H417" s="13" t="s">
        <v>673</v>
      </c>
      <c r="I417" s="15" t="s">
        <v>674</v>
      </c>
      <c r="J417" s="15" t="s">
        <v>675</v>
      </c>
      <c r="K417" s="15" t="s">
        <v>676</v>
      </c>
      <c r="L417" s="13" t="s">
        <v>677</v>
      </c>
      <c r="M417" s="15" t="s">
        <v>678</v>
      </c>
      <c r="N417" s="13" t="s">
        <v>98</v>
      </c>
      <c r="O417" s="15"/>
      <c r="P417" s="15"/>
      <c r="Q417" s="15" t="s">
        <v>101</v>
      </c>
      <c r="R417" s="13" t="s">
        <v>102</v>
      </c>
      <c r="S417" s="13" t="s">
        <v>103</v>
      </c>
      <c r="T417" s="13" t="s">
        <v>104</v>
      </c>
      <c r="U417" s="14">
        <v>45658</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75" x14ac:dyDescent="0.25">
      <c r="A418" s="13" t="s">
        <v>152</v>
      </c>
      <c r="B418" s="13" t="s">
        <v>153</v>
      </c>
      <c r="C418" s="14">
        <v>45799.688194444447</v>
      </c>
      <c r="D418" s="13" t="s">
        <v>88</v>
      </c>
      <c r="E418" s="15" t="s">
        <v>89</v>
      </c>
      <c r="F418" s="13" t="s">
        <v>90</v>
      </c>
      <c r="G418" s="15" t="s">
        <v>91</v>
      </c>
      <c r="H418" s="13" t="s">
        <v>673</v>
      </c>
      <c r="I418" s="15" t="s">
        <v>674</v>
      </c>
      <c r="J418" s="15" t="s">
        <v>675</v>
      </c>
      <c r="K418" s="15" t="s">
        <v>676</v>
      </c>
      <c r="L418" s="13" t="s">
        <v>679</v>
      </c>
      <c r="M418" s="15" t="s">
        <v>680</v>
      </c>
      <c r="N418" s="13" t="s">
        <v>98</v>
      </c>
      <c r="O418" s="15"/>
      <c r="P418" s="15"/>
      <c r="Q418" s="15" t="s">
        <v>101</v>
      </c>
      <c r="R418" s="13" t="s">
        <v>102</v>
      </c>
      <c r="S418" s="13" t="s">
        <v>103</v>
      </c>
      <c r="T418" s="13" t="s">
        <v>104</v>
      </c>
      <c r="U418" s="14">
        <v>45658</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75" x14ac:dyDescent="0.25">
      <c r="A419" s="13" t="s">
        <v>152</v>
      </c>
      <c r="B419" s="13" t="s">
        <v>153</v>
      </c>
      <c r="C419" s="14">
        <v>45799.689583333333</v>
      </c>
      <c r="D419" s="13" t="s">
        <v>88</v>
      </c>
      <c r="E419" s="15" t="s">
        <v>89</v>
      </c>
      <c r="F419" s="13" t="s">
        <v>90</v>
      </c>
      <c r="G419" s="15" t="s">
        <v>91</v>
      </c>
      <c r="H419" s="13" t="s">
        <v>673</v>
      </c>
      <c r="I419" s="15" t="s">
        <v>674</v>
      </c>
      <c r="J419" s="15" t="s">
        <v>675</v>
      </c>
      <c r="K419" s="15" t="s">
        <v>676</v>
      </c>
      <c r="L419" s="13" t="s">
        <v>682</v>
      </c>
      <c r="M419" s="15" t="s">
        <v>683</v>
      </c>
      <c r="N419" s="13" t="s">
        <v>188</v>
      </c>
      <c r="O419" s="15"/>
      <c r="P419" s="15"/>
      <c r="Q419" s="15" t="s">
        <v>101</v>
      </c>
      <c r="R419" s="13" t="s">
        <v>102</v>
      </c>
      <c r="S419" s="13" t="s">
        <v>103</v>
      </c>
      <c r="T419" s="13" t="s">
        <v>104</v>
      </c>
      <c r="U419" s="14">
        <v>45658</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75" x14ac:dyDescent="0.25">
      <c r="A420" s="13" t="s">
        <v>152</v>
      </c>
      <c r="B420" s="13" t="s">
        <v>153</v>
      </c>
      <c r="C420" s="14">
        <v>45799.6875</v>
      </c>
      <c r="D420" s="13" t="s">
        <v>88</v>
      </c>
      <c r="E420" s="15" t="s">
        <v>89</v>
      </c>
      <c r="F420" s="13" t="s">
        <v>90</v>
      </c>
      <c r="G420" s="15" t="s">
        <v>91</v>
      </c>
      <c r="H420" s="13" t="s">
        <v>673</v>
      </c>
      <c r="I420" s="15" t="s">
        <v>674</v>
      </c>
      <c r="J420" s="15" t="s">
        <v>675</v>
      </c>
      <c r="K420" s="15" t="s">
        <v>676</v>
      </c>
      <c r="L420" s="13" t="s">
        <v>677</v>
      </c>
      <c r="M420" s="15" t="s">
        <v>678</v>
      </c>
      <c r="N420" s="13" t="s">
        <v>98</v>
      </c>
      <c r="O420" s="15"/>
      <c r="P420" s="15"/>
      <c r="Q420" s="15" t="s">
        <v>615</v>
      </c>
      <c r="R420" s="13" t="s">
        <v>616</v>
      </c>
      <c r="S420" s="13" t="s">
        <v>103</v>
      </c>
      <c r="T420" s="13" t="s">
        <v>205</v>
      </c>
      <c r="U420" s="14">
        <v>45658</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75" x14ac:dyDescent="0.25">
      <c r="A421" s="13" t="s">
        <v>152</v>
      </c>
      <c r="B421" s="13" t="s">
        <v>153</v>
      </c>
      <c r="C421" s="14">
        <v>45799.688194444447</v>
      </c>
      <c r="D421" s="13" t="s">
        <v>88</v>
      </c>
      <c r="E421" s="15" t="s">
        <v>89</v>
      </c>
      <c r="F421" s="13" t="s">
        <v>90</v>
      </c>
      <c r="G421" s="15" t="s">
        <v>91</v>
      </c>
      <c r="H421" s="13" t="s">
        <v>673</v>
      </c>
      <c r="I421" s="15" t="s">
        <v>674</v>
      </c>
      <c r="J421" s="15" t="s">
        <v>675</v>
      </c>
      <c r="K421" s="15" t="s">
        <v>676</v>
      </c>
      <c r="L421" s="13" t="s">
        <v>679</v>
      </c>
      <c r="M421" s="15" t="s">
        <v>680</v>
      </c>
      <c r="N421" s="13" t="s">
        <v>98</v>
      </c>
      <c r="O421" s="15"/>
      <c r="P421" s="15"/>
      <c r="Q421" s="15" t="s">
        <v>615</v>
      </c>
      <c r="R421" s="13" t="s">
        <v>616</v>
      </c>
      <c r="S421" s="13" t="s">
        <v>103</v>
      </c>
      <c r="T421" s="13" t="s">
        <v>205</v>
      </c>
      <c r="U421" s="14">
        <v>45658</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75" x14ac:dyDescent="0.25">
      <c r="A422" s="13" t="s">
        <v>152</v>
      </c>
      <c r="B422" s="13" t="s">
        <v>153</v>
      </c>
      <c r="C422" s="14">
        <v>45799.69027777778</v>
      </c>
      <c r="D422" s="13" t="s">
        <v>88</v>
      </c>
      <c r="E422" s="15" t="s">
        <v>89</v>
      </c>
      <c r="F422" s="13" t="s">
        <v>90</v>
      </c>
      <c r="G422" s="15" t="s">
        <v>91</v>
      </c>
      <c r="H422" s="13" t="s">
        <v>673</v>
      </c>
      <c r="I422" s="15" t="s">
        <v>674</v>
      </c>
      <c r="J422" s="15" t="s">
        <v>675</v>
      </c>
      <c r="K422" s="15" t="s">
        <v>676</v>
      </c>
      <c r="L422" s="13" t="s">
        <v>682</v>
      </c>
      <c r="M422" s="15" t="s">
        <v>683</v>
      </c>
      <c r="N422" s="13" t="s">
        <v>188</v>
      </c>
      <c r="O422" s="15"/>
      <c r="P422" s="15"/>
      <c r="Q422" s="15" t="s">
        <v>615</v>
      </c>
      <c r="R422" s="13" t="s">
        <v>616</v>
      </c>
      <c r="S422" s="13" t="s">
        <v>103</v>
      </c>
      <c r="T422" s="13" t="s">
        <v>205</v>
      </c>
      <c r="U422" s="14">
        <v>45658</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75" x14ac:dyDescent="0.25">
      <c r="A423" s="13" t="s">
        <v>152</v>
      </c>
      <c r="B423" s="13" t="s">
        <v>153</v>
      </c>
      <c r="C423" s="14">
        <v>45799.6875</v>
      </c>
      <c r="D423" s="13" t="s">
        <v>88</v>
      </c>
      <c r="E423" s="15" t="s">
        <v>89</v>
      </c>
      <c r="F423" s="13" t="s">
        <v>90</v>
      </c>
      <c r="G423" s="15" t="s">
        <v>91</v>
      </c>
      <c r="H423" s="13" t="s">
        <v>673</v>
      </c>
      <c r="I423" s="15" t="s">
        <v>674</v>
      </c>
      <c r="J423" s="15" t="s">
        <v>675</v>
      </c>
      <c r="K423" s="15" t="s">
        <v>676</v>
      </c>
      <c r="L423" s="13" t="s">
        <v>677</v>
      </c>
      <c r="M423" s="15" t="s">
        <v>678</v>
      </c>
      <c r="N423" s="13" t="s">
        <v>98</v>
      </c>
      <c r="O423" s="15"/>
      <c r="P423" s="15"/>
      <c r="Q423" s="15" t="s">
        <v>203</v>
      </c>
      <c r="R423" s="13" t="s">
        <v>204</v>
      </c>
      <c r="S423" s="13" t="s">
        <v>103</v>
      </c>
      <c r="T423" s="13" t="s">
        <v>205</v>
      </c>
      <c r="U423" s="14">
        <v>45658</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75" x14ac:dyDescent="0.25">
      <c r="A424" s="13" t="s">
        <v>152</v>
      </c>
      <c r="B424" s="13" t="s">
        <v>153</v>
      </c>
      <c r="C424" s="14">
        <v>45799.688888888886</v>
      </c>
      <c r="D424" s="13" t="s">
        <v>88</v>
      </c>
      <c r="E424" s="15" t="s">
        <v>89</v>
      </c>
      <c r="F424" s="13" t="s">
        <v>90</v>
      </c>
      <c r="G424" s="15" t="s">
        <v>91</v>
      </c>
      <c r="H424" s="13" t="s">
        <v>673</v>
      </c>
      <c r="I424" s="15" t="s">
        <v>674</v>
      </c>
      <c r="J424" s="15" t="s">
        <v>675</v>
      </c>
      <c r="K424" s="15" t="s">
        <v>676</v>
      </c>
      <c r="L424" s="13" t="s">
        <v>679</v>
      </c>
      <c r="M424" s="15" t="s">
        <v>680</v>
      </c>
      <c r="N424" s="13" t="s">
        <v>98</v>
      </c>
      <c r="O424" s="15"/>
      <c r="P424" s="15"/>
      <c r="Q424" s="15" t="s">
        <v>203</v>
      </c>
      <c r="R424" s="13" t="s">
        <v>204</v>
      </c>
      <c r="S424" s="13" t="s">
        <v>103</v>
      </c>
      <c r="T424" s="13" t="s">
        <v>205</v>
      </c>
      <c r="U424" s="14">
        <v>45658</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75" x14ac:dyDescent="0.25">
      <c r="A425" s="13" t="s">
        <v>152</v>
      </c>
      <c r="B425" s="13" t="s">
        <v>153</v>
      </c>
      <c r="C425" s="14">
        <v>45799.69027777778</v>
      </c>
      <c r="D425" s="13" t="s">
        <v>88</v>
      </c>
      <c r="E425" s="15" t="s">
        <v>89</v>
      </c>
      <c r="F425" s="13" t="s">
        <v>90</v>
      </c>
      <c r="G425" s="15" t="s">
        <v>91</v>
      </c>
      <c r="H425" s="13" t="s">
        <v>673</v>
      </c>
      <c r="I425" s="15" t="s">
        <v>674</v>
      </c>
      <c r="J425" s="15" t="s">
        <v>675</v>
      </c>
      <c r="K425" s="15" t="s">
        <v>676</v>
      </c>
      <c r="L425" s="13" t="s">
        <v>682</v>
      </c>
      <c r="M425" s="15" t="s">
        <v>683</v>
      </c>
      <c r="N425" s="13" t="s">
        <v>188</v>
      </c>
      <c r="O425" s="15"/>
      <c r="P425" s="15"/>
      <c r="Q425" s="15" t="s">
        <v>203</v>
      </c>
      <c r="R425" s="13" t="s">
        <v>204</v>
      </c>
      <c r="S425" s="13" t="s">
        <v>103</v>
      </c>
      <c r="T425" s="13" t="s">
        <v>205</v>
      </c>
      <c r="U425" s="14">
        <v>45658</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75" x14ac:dyDescent="0.25">
      <c r="A426" s="13" t="s">
        <v>152</v>
      </c>
      <c r="B426" s="13" t="s">
        <v>153</v>
      </c>
      <c r="C426" s="14">
        <v>45799.6875</v>
      </c>
      <c r="D426" s="13" t="s">
        <v>88</v>
      </c>
      <c r="E426" s="15" t="s">
        <v>89</v>
      </c>
      <c r="F426" s="13" t="s">
        <v>90</v>
      </c>
      <c r="G426" s="15" t="s">
        <v>91</v>
      </c>
      <c r="H426" s="13" t="s">
        <v>673</v>
      </c>
      <c r="I426" s="15" t="s">
        <v>674</v>
      </c>
      <c r="J426" s="15" t="s">
        <v>675</v>
      </c>
      <c r="K426" s="15" t="s">
        <v>676</v>
      </c>
      <c r="L426" s="13" t="s">
        <v>677</v>
      </c>
      <c r="M426" s="15" t="s">
        <v>678</v>
      </c>
      <c r="N426" s="13" t="s">
        <v>98</v>
      </c>
      <c r="O426" s="15"/>
      <c r="P426" s="15"/>
      <c r="Q426" s="15" t="s">
        <v>206</v>
      </c>
      <c r="R426" s="13" t="s">
        <v>207</v>
      </c>
      <c r="S426" s="13" t="s">
        <v>103</v>
      </c>
      <c r="T426" s="13" t="s">
        <v>205</v>
      </c>
      <c r="U426" s="14">
        <v>45658</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75" x14ac:dyDescent="0.25">
      <c r="A427" s="13" t="s">
        <v>152</v>
      </c>
      <c r="B427" s="13" t="s">
        <v>153</v>
      </c>
      <c r="C427" s="14">
        <v>45799.688888888886</v>
      </c>
      <c r="D427" s="13" t="s">
        <v>88</v>
      </c>
      <c r="E427" s="15" t="s">
        <v>89</v>
      </c>
      <c r="F427" s="13" t="s">
        <v>90</v>
      </c>
      <c r="G427" s="15" t="s">
        <v>91</v>
      </c>
      <c r="H427" s="13" t="s">
        <v>673</v>
      </c>
      <c r="I427" s="15" t="s">
        <v>674</v>
      </c>
      <c r="J427" s="15" t="s">
        <v>675</v>
      </c>
      <c r="K427" s="15" t="s">
        <v>676</v>
      </c>
      <c r="L427" s="13" t="s">
        <v>679</v>
      </c>
      <c r="M427" s="15" t="s">
        <v>680</v>
      </c>
      <c r="N427" s="13" t="s">
        <v>98</v>
      </c>
      <c r="O427" s="15"/>
      <c r="P427" s="15"/>
      <c r="Q427" s="15" t="s">
        <v>206</v>
      </c>
      <c r="R427" s="13" t="s">
        <v>207</v>
      </c>
      <c r="S427" s="13" t="s">
        <v>103</v>
      </c>
      <c r="T427" s="13" t="s">
        <v>205</v>
      </c>
      <c r="U427" s="14">
        <v>45658</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75" x14ac:dyDescent="0.25">
      <c r="A428" s="13" t="s">
        <v>152</v>
      </c>
      <c r="B428" s="13" t="s">
        <v>153</v>
      </c>
      <c r="C428" s="14">
        <v>45799.69027777778</v>
      </c>
      <c r="D428" s="13" t="s">
        <v>88</v>
      </c>
      <c r="E428" s="15" t="s">
        <v>89</v>
      </c>
      <c r="F428" s="13" t="s">
        <v>90</v>
      </c>
      <c r="G428" s="15" t="s">
        <v>91</v>
      </c>
      <c r="H428" s="13" t="s">
        <v>673</v>
      </c>
      <c r="I428" s="15" t="s">
        <v>674</v>
      </c>
      <c r="J428" s="15" t="s">
        <v>675</v>
      </c>
      <c r="K428" s="15" t="s">
        <v>676</v>
      </c>
      <c r="L428" s="13" t="s">
        <v>682</v>
      </c>
      <c r="M428" s="15" t="s">
        <v>683</v>
      </c>
      <c r="N428" s="13" t="s">
        <v>188</v>
      </c>
      <c r="O428" s="15"/>
      <c r="P428" s="15"/>
      <c r="Q428" s="15" t="s">
        <v>206</v>
      </c>
      <c r="R428" s="13" t="s">
        <v>207</v>
      </c>
      <c r="S428" s="13" t="s">
        <v>103</v>
      </c>
      <c r="T428" s="13" t="s">
        <v>205</v>
      </c>
      <c r="U428" s="14">
        <v>45658</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75" x14ac:dyDescent="0.25">
      <c r="A429" s="13" t="s">
        <v>152</v>
      </c>
      <c r="B429" s="13" t="s">
        <v>153</v>
      </c>
      <c r="C429" s="14">
        <v>45799.6875</v>
      </c>
      <c r="D429" s="13" t="s">
        <v>88</v>
      </c>
      <c r="E429" s="15" t="s">
        <v>89</v>
      </c>
      <c r="F429" s="13" t="s">
        <v>90</v>
      </c>
      <c r="G429" s="15" t="s">
        <v>91</v>
      </c>
      <c r="H429" s="13" t="s">
        <v>673</v>
      </c>
      <c r="I429" s="15" t="s">
        <v>674</v>
      </c>
      <c r="J429" s="15" t="s">
        <v>675</v>
      </c>
      <c r="K429" s="15" t="s">
        <v>676</v>
      </c>
      <c r="L429" s="13" t="s">
        <v>677</v>
      </c>
      <c r="M429" s="15" t="s">
        <v>678</v>
      </c>
      <c r="N429" s="13" t="s">
        <v>98</v>
      </c>
      <c r="O429" s="15"/>
      <c r="P429" s="15"/>
      <c r="Q429" s="15" t="s">
        <v>208</v>
      </c>
      <c r="R429" s="13" t="s">
        <v>209</v>
      </c>
      <c r="S429" s="13" t="s">
        <v>103</v>
      </c>
      <c r="T429" s="13" t="s">
        <v>205</v>
      </c>
      <c r="U429" s="14">
        <v>45658</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75" x14ac:dyDescent="0.25">
      <c r="A430" s="13" t="s">
        <v>152</v>
      </c>
      <c r="B430" s="13" t="s">
        <v>153</v>
      </c>
      <c r="C430" s="14">
        <v>45799.688888888886</v>
      </c>
      <c r="D430" s="13" t="s">
        <v>88</v>
      </c>
      <c r="E430" s="15" t="s">
        <v>89</v>
      </c>
      <c r="F430" s="13" t="s">
        <v>90</v>
      </c>
      <c r="G430" s="15" t="s">
        <v>91</v>
      </c>
      <c r="H430" s="13" t="s">
        <v>673</v>
      </c>
      <c r="I430" s="15" t="s">
        <v>674</v>
      </c>
      <c r="J430" s="15" t="s">
        <v>675</v>
      </c>
      <c r="K430" s="15" t="s">
        <v>676</v>
      </c>
      <c r="L430" s="13" t="s">
        <v>679</v>
      </c>
      <c r="M430" s="15" t="s">
        <v>680</v>
      </c>
      <c r="N430" s="13" t="s">
        <v>98</v>
      </c>
      <c r="O430" s="15"/>
      <c r="P430" s="15"/>
      <c r="Q430" s="15" t="s">
        <v>208</v>
      </c>
      <c r="R430" s="13" t="s">
        <v>209</v>
      </c>
      <c r="S430" s="13" t="s">
        <v>103</v>
      </c>
      <c r="T430" s="13" t="s">
        <v>205</v>
      </c>
      <c r="U430" s="14">
        <v>45658</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75" x14ac:dyDescent="0.25">
      <c r="A431" s="13" t="s">
        <v>152</v>
      </c>
      <c r="B431" s="13" t="s">
        <v>153</v>
      </c>
      <c r="C431" s="14">
        <v>45799.69027777778</v>
      </c>
      <c r="D431" s="13" t="s">
        <v>88</v>
      </c>
      <c r="E431" s="15" t="s">
        <v>89</v>
      </c>
      <c r="F431" s="13" t="s">
        <v>90</v>
      </c>
      <c r="G431" s="15" t="s">
        <v>91</v>
      </c>
      <c r="H431" s="13" t="s">
        <v>673</v>
      </c>
      <c r="I431" s="15" t="s">
        <v>674</v>
      </c>
      <c r="J431" s="15" t="s">
        <v>675</v>
      </c>
      <c r="K431" s="15" t="s">
        <v>676</v>
      </c>
      <c r="L431" s="13" t="s">
        <v>682</v>
      </c>
      <c r="M431" s="15" t="s">
        <v>683</v>
      </c>
      <c r="N431" s="13" t="s">
        <v>188</v>
      </c>
      <c r="O431" s="15"/>
      <c r="P431" s="15"/>
      <c r="Q431" s="15" t="s">
        <v>208</v>
      </c>
      <c r="R431" s="13" t="s">
        <v>209</v>
      </c>
      <c r="S431" s="13" t="s">
        <v>103</v>
      </c>
      <c r="T431" s="13" t="s">
        <v>205</v>
      </c>
      <c r="U431" s="14">
        <v>45658</v>
      </c>
      <c r="V431" s="14"/>
      <c r="W431" s="15"/>
      <c r="X431" s="15"/>
      <c r="Y431" s="13"/>
      <c r="Z431" s="15"/>
      <c r="AA431" s="15"/>
      <c r="AB431" s="15"/>
      <c r="AC431" s="13"/>
      <c r="AD431" s="15"/>
      <c r="AE431" s="15"/>
      <c r="AF431" s="15"/>
      <c r="AG431" s="13"/>
      <c r="AH431" s="15"/>
      <c r="AI431" s="15"/>
      <c r="AJ431" s="15"/>
      <c r="AK431" s="13"/>
      <c r="AL431" s="15"/>
      <c r="AM431" s="15"/>
      <c r="AN431" s="13"/>
      <c r="AO431" s="13"/>
    </row>
  </sheetData>
  <autoFilter ref="A1:AS1" xr:uid="{DCF1D6C3-0F24-4773-AAFA-8CB3A0F3147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4160-AF43-471A-91C1-0B091D5F6EBF}">
  <dimension ref="A1:U137"/>
  <sheetViews>
    <sheetView workbookViewId="0">
      <pane ySplit="1" topLeftCell="A2" activePane="bottomLeft" state="frozenSplit"/>
      <selection pane="bottomLeft" activeCell="A2" sqref="A2"/>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7" customWidth="1"/>
    <col min="7" max="7" width="25.7109375" style="12" customWidth="1"/>
    <col min="8" max="9" width="12.7109375" style="12" customWidth="1"/>
    <col min="10" max="11" width="40.7109375" style="17" customWidth="1"/>
    <col min="12" max="12" width="14.7109375" style="12" customWidth="1"/>
    <col min="13" max="13" width="25.7109375" style="17" customWidth="1"/>
    <col min="14" max="17" width="25.7109375" style="12" customWidth="1"/>
    <col min="18" max="18" width="9.7109375" style="12" customWidth="1"/>
    <col min="19" max="20" width="15.7109375" style="12" customWidth="1"/>
    <col min="21" max="21" width="40.7109375" style="17" customWidth="1"/>
    <col min="22" max="16384" width="11.42578125" style="12"/>
  </cols>
  <sheetData>
    <row r="1" spans="1:21" ht="60" x14ac:dyDescent="0.25">
      <c r="A1" s="10" t="s">
        <v>2</v>
      </c>
      <c r="B1" s="10" t="s">
        <v>3</v>
      </c>
      <c r="C1" s="11" t="s">
        <v>4</v>
      </c>
      <c r="D1" s="10" t="s">
        <v>747</v>
      </c>
      <c r="E1" s="10" t="s">
        <v>748</v>
      </c>
      <c r="F1" s="10" t="s">
        <v>749</v>
      </c>
      <c r="G1" s="10" t="s">
        <v>750</v>
      </c>
      <c r="H1" s="11" t="s">
        <v>21</v>
      </c>
      <c r="I1" s="11" t="s">
        <v>22</v>
      </c>
      <c r="J1" s="10" t="s">
        <v>751</v>
      </c>
      <c r="K1" s="10" t="s">
        <v>752</v>
      </c>
      <c r="L1" s="10" t="s">
        <v>753</v>
      </c>
      <c r="M1" s="10" t="s">
        <v>746</v>
      </c>
      <c r="N1" s="10" t="s">
        <v>754</v>
      </c>
      <c r="O1" s="10" t="s">
        <v>755</v>
      </c>
      <c r="P1" s="10" t="s">
        <v>756</v>
      </c>
      <c r="Q1" s="10" t="s">
        <v>757</v>
      </c>
      <c r="R1" s="10" t="s">
        <v>84</v>
      </c>
      <c r="S1" s="10" t="s">
        <v>85</v>
      </c>
      <c r="T1" s="10" t="s">
        <v>758</v>
      </c>
      <c r="U1" s="10" t="s">
        <v>759</v>
      </c>
    </row>
    <row r="2" spans="1:21" ht="120" x14ac:dyDescent="0.25">
      <c r="A2" s="13" t="s">
        <v>202</v>
      </c>
      <c r="B2" s="13" t="s">
        <v>153</v>
      </c>
      <c r="C2" s="14">
        <v>43152.5</v>
      </c>
      <c r="D2" s="13" t="s">
        <v>114</v>
      </c>
      <c r="E2" s="13" t="s">
        <v>751</v>
      </c>
      <c r="F2" s="15" t="s">
        <v>115</v>
      </c>
      <c r="G2" s="13" t="s">
        <v>760</v>
      </c>
      <c r="H2" s="14">
        <v>40725</v>
      </c>
      <c r="I2" s="14"/>
      <c r="J2" s="15" t="s">
        <v>761</v>
      </c>
      <c r="K2" s="15" t="s">
        <v>762</v>
      </c>
      <c r="L2" s="13" t="s">
        <v>763</v>
      </c>
      <c r="M2" s="15" t="s">
        <v>764</v>
      </c>
      <c r="N2" s="13"/>
      <c r="O2" s="13"/>
      <c r="P2" s="13"/>
      <c r="Q2" s="13"/>
      <c r="R2" s="13"/>
      <c r="S2" s="13"/>
      <c r="T2" s="13" t="s">
        <v>765</v>
      </c>
      <c r="U2" s="15" t="s">
        <v>766</v>
      </c>
    </row>
    <row r="3" spans="1:21" ht="120" x14ac:dyDescent="0.25">
      <c r="A3" s="13" t="s">
        <v>202</v>
      </c>
      <c r="B3" s="13" t="s">
        <v>153</v>
      </c>
      <c r="C3" s="14">
        <v>43152.5</v>
      </c>
      <c r="D3" s="13" t="s">
        <v>122</v>
      </c>
      <c r="E3" s="13" t="s">
        <v>751</v>
      </c>
      <c r="F3" s="15" t="s">
        <v>123</v>
      </c>
      <c r="G3" s="13" t="s">
        <v>760</v>
      </c>
      <c r="H3" s="14">
        <v>40725</v>
      </c>
      <c r="I3" s="14"/>
      <c r="J3" s="15" t="s">
        <v>767</v>
      </c>
      <c r="K3" s="15" t="s">
        <v>768</v>
      </c>
      <c r="L3" s="13" t="s">
        <v>763</v>
      </c>
      <c r="M3" s="15" t="s">
        <v>764</v>
      </c>
      <c r="N3" s="13"/>
      <c r="O3" s="13"/>
      <c r="P3" s="13"/>
      <c r="Q3" s="13"/>
      <c r="R3" s="13"/>
      <c r="S3" s="13"/>
      <c r="T3" s="13" t="s">
        <v>765</v>
      </c>
      <c r="U3" s="15" t="s">
        <v>769</v>
      </c>
    </row>
    <row r="4" spans="1:21" ht="75" x14ac:dyDescent="0.25">
      <c r="A4" s="13" t="s">
        <v>202</v>
      </c>
      <c r="B4" s="13" t="s">
        <v>153</v>
      </c>
      <c r="C4" s="14">
        <v>43158.461805555555</v>
      </c>
      <c r="D4" s="13" t="s">
        <v>177</v>
      </c>
      <c r="E4" s="13" t="s">
        <v>751</v>
      </c>
      <c r="F4" s="15" t="s">
        <v>178</v>
      </c>
      <c r="G4" s="13" t="s">
        <v>760</v>
      </c>
      <c r="H4" s="14">
        <v>40725</v>
      </c>
      <c r="I4" s="14"/>
      <c r="J4" s="15"/>
      <c r="K4" s="15" t="s">
        <v>770</v>
      </c>
      <c r="L4" s="13" t="s">
        <v>771</v>
      </c>
      <c r="M4" s="15"/>
      <c r="N4" s="13"/>
      <c r="O4" s="13"/>
      <c r="P4" s="13"/>
      <c r="Q4" s="13"/>
      <c r="R4" s="13"/>
      <c r="S4" s="13"/>
      <c r="T4" s="13" t="s">
        <v>765</v>
      </c>
      <c r="U4" s="15" t="s">
        <v>772</v>
      </c>
    </row>
    <row r="5" spans="1:21" ht="120" x14ac:dyDescent="0.25">
      <c r="A5" s="13" t="s">
        <v>202</v>
      </c>
      <c r="B5" s="13" t="s">
        <v>153</v>
      </c>
      <c r="C5" s="14">
        <v>43152.5</v>
      </c>
      <c r="D5" s="13" t="s">
        <v>222</v>
      </c>
      <c r="E5" s="13" t="s">
        <v>751</v>
      </c>
      <c r="F5" s="15" t="s">
        <v>223</v>
      </c>
      <c r="G5" s="13" t="s">
        <v>773</v>
      </c>
      <c r="H5" s="14">
        <v>40725</v>
      </c>
      <c r="I5" s="14"/>
      <c r="J5" s="15" t="s">
        <v>774</v>
      </c>
      <c r="K5" s="15" t="s">
        <v>775</v>
      </c>
      <c r="L5" s="13" t="s">
        <v>763</v>
      </c>
      <c r="M5" s="15" t="s">
        <v>764</v>
      </c>
      <c r="N5" s="13"/>
      <c r="O5" s="13"/>
      <c r="P5" s="13"/>
      <c r="Q5" s="13"/>
      <c r="R5" s="13"/>
      <c r="S5" s="13"/>
      <c r="T5" s="13" t="s">
        <v>765</v>
      </c>
      <c r="U5" s="15" t="s">
        <v>776</v>
      </c>
    </row>
    <row r="6" spans="1:21" ht="120" x14ac:dyDescent="0.25">
      <c r="A6" s="13" t="s">
        <v>202</v>
      </c>
      <c r="B6" s="13" t="s">
        <v>153</v>
      </c>
      <c r="C6" s="14">
        <v>43152.5</v>
      </c>
      <c r="D6" s="13" t="s">
        <v>494</v>
      </c>
      <c r="E6" s="13" t="s">
        <v>751</v>
      </c>
      <c r="F6" s="15" t="s">
        <v>495</v>
      </c>
      <c r="G6" s="13" t="s">
        <v>777</v>
      </c>
      <c r="H6" s="14">
        <v>40725</v>
      </c>
      <c r="I6" s="14"/>
      <c r="J6" s="15" t="s">
        <v>774</v>
      </c>
      <c r="K6" s="15" t="s">
        <v>768</v>
      </c>
      <c r="L6" s="13" t="s">
        <v>763</v>
      </c>
      <c r="M6" s="15" t="s">
        <v>764</v>
      </c>
      <c r="N6" s="13"/>
      <c r="O6" s="13"/>
      <c r="P6" s="13"/>
      <c r="Q6" s="13"/>
      <c r="R6" s="13"/>
      <c r="S6" s="13"/>
      <c r="T6" s="13" t="s">
        <v>765</v>
      </c>
      <c r="U6" s="15" t="s">
        <v>778</v>
      </c>
    </row>
    <row r="7" spans="1:21" ht="120" x14ac:dyDescent="0.25">
      <c r="A7" s="13" t="s">
        <v>202</v>
      </c>
      <c r="B7" s="13" t="s">
        <v>153</v>
      </c>
      <c r="C7" s="14">
        <v>43152.5</v>
      </c>
      <c r="D7" s="13" t="s">
        <v>264</v>
      </c>
      <c r="E7" s="13" t="s">
        <v>751</v>
      </c>
      <c r="F7" s="15" t="s">
        <v>265</v>
      </c>
      <c r="G7" s="13" t="s">
        <v>779</v>
      </c>
      <c r="H7" s="14">
        <v>40725</v>
      </c>
      <c r="I7" s="14"/>
      <c r="J7" s="15" t="s">
        <v>774</v>
      </c>
      <c r="K7" s="15" t="s">
        <v>780</v>
      </c>
      <c r="L7" s="13" t="s">
        <v>763</v>
      </c>
      <c r="M7" s="15" t="s">
        <v>764</v>
      </c>
      <c r="N7" s="13"/>
      <c r="O7" s="13"/>
      <c r="P7" s="13"/>
      <c r="Q7" s="13"/>
      <c r="R7" s="13"/>
      <c r="S7" s="13"/>
      <c r="T7" s="13" t="s">
        <v>765</v>
      </c>
      <c r="U7" s="15" t="s">
        <v>781</v>
      </c>
    </row>
    <row r="8" spans="1:21" ht="30" x14ac:dyDescent="0.25">
      <c r="A8" s="13" t="s">
        <v>301</v>
      </c>
      <c r="B8" s="13" t="s">
        <v>87</v>
      </c>
      <c r="C8" s="14">
        <v>44711.532638888886</v>
      </c>
      <c r="D8" s="13" t="s">
        <v>569</v>
      </c>
      <c r="E8" s="13" t="s">
        <v>751</v>
      </c>
      <c r="F8" s="15" t="s">
        <v>570</v>
      </c>
      <c r="G8" s="13" t="s">
        <v>782</v>
      </c>
      <c r="H8" s="14">
        <v>40725</v>
      </c>
      <c r="I8" s="14"/>
      <c r="J8" s="15"/>
      <c r="K8" s="15" t="s">
        <v>783</v>
      </c>
      <c r="L8" s="13" t="s">
        <v>771</v>
      </c>
      <c r="M8" s="15"/>
      <c r="N8" s="13"/>
      <c r="O8" s="13"/>
      <c r="P8" s="13"/>
      <c r="Q8" s="13"/>
      <c r="R8" s="13"/>
      <c r="S8" s="13"/>
      <c r="T8" s="13" t="s">
        <v>765</v>
      </c>
      <c r="U8" s="15" t="s">
        <v>784</v>
      </c>
    </row>
    <row r="9" spans="1:21" ht="120" x14ac:dyDescent="0.25">
      <c r="A9" s="13" t="s">
        <v>301</v>
      </c>
      <c r="B9" s="13" t="s">
        <v>87</v>
      </c>
      <c r="C9" s="14">
        <v>44711.533333333333</v>
      </c>
      <c r="D9" s="13" t="s">
        <v>565</v>
      </c>
      <c r="E9" s="13" t="s">
        <v>751</v>
      </c>
      <c r="F9" s="15" t="s">
        <v>566</v>
      </c>
      <c r="G9" s="13" t="s">
        <v>785</v>
      </c>
      <c r="H9" s="14">
        <v>40725</v>
      </c>
      <c r="I9" s="14"/>
      <c r="J9" s="15" t="s">
        <v>774</v>
      </c>
      <c r="K9" s="15" t="s">
        <v>768</v>
      </c>
      <c r="L9" s="13" t="s">
        <v>763</v>
      </c>
      <c r="M9" s="15" t="s">
        <v>764</v>
      </c>
      <c r="N9" s="13"/>
      <c r="O9" s="13"/>
      <c r="P9" s="13"/>
      <c r="Q9" s="13"/>
      <c r="R9" s="13"/>
      <c r="S9" s="13"/>
      <c r="T9" s="13" t="s">
        <v>765</v>
      </c>
      <c r="U9" s="15" t="s">
        <v>786</v>
      </c>
    </row>
    <row r="10" spans="1:21" ht="45" x14ac:dyDescent="0.25">
      <c r="A10" s="13" t="s">
        <v>301</v>
      </c>
      <c r="B10" s="13" t="s">
        <v>87</v>
      </c>
      <c r="C10" s="14">
        <v>44711.53402777778</v>
      </c>
      <c r="D10" s="13" t="s">
        <v>571</v>
      </c>
      <c r="E10" s="13" t="s">
        <v>751</v>
      </c>
      <c r="F10" s="15" t="s">
        <v>572</v>
      </c>
      <c r="G10" s="13" t="s">
        <v>782</v>
      </c>
      <c r="H10" s="14">
        <v>40725</v>
      </c>
      <c r="I10" s="14"/>
      <c r="J10" s="15"/>
      <c r="K10" s="15" t="s">
        <v>787</v>
      </c>
      <c r="L10" s="13" t="s">
        <v>771</v>
      </c>
      <c r="M10" s="15"/>
      <c r="N10" s="13"/>
      <c r="O10" s="13"/>
      <c r="P10" s="13"/>
      <c r="Q10" s="13"/>
      <c r="R10" s="13"/>
      <c r="S10" s="13"/>
      <c r="T10" s="13" t="s">
        <v>765</v>
      </c>
      <c r="U10" s="15" t="s">
        <v>788</v>
      </c>
    </row>
    <row r="11" spans="1:21" ht="120" x14ac:dyDescent="0.25">
      <c r="A11" s="13" t="s">
        <v>202</v>
      </c>
      <c r="B11" s="13" t="s">
        <v>153</v>
      </c>
      <c r="C11" s="14">
        <v>43152.5</v>
      </c>
      <c r="D11" s="13" t="s">
        <v>116</v>
      </c>
      <c r="E11" s="13" t="s">
        <v>751</v>
      </c>
      <c r="F11" s="15" t="s">
        <v>117</v>
      </c>
      <c r="G11" s="13" t="s">
        <v>760</v>
      </c>
      <c r="H11" s="14">
        <v>40725</v>
      </c>
      <c r="I11" s="14"/>
      <c r="J11" s="15" t="s">
        <v>789</v>
      </c>
      <c r="K11" s="15" t="s">
        <v>790</v>
      </c>
      <c r="L11" s="13" t="s">
        <v>763</v>
      </c>
      <c r="M11" s="15" t="s">
        <v>764</v>
      </c>
      <c r="N11" s="13"/>
      <c r="O11" s="13"/>
      <c r="P11" s="13"/>
      <c r="Q11" s="13"/>
      <c r="R11" s="13"/>
      <c r="S11" s="13"/>
      <c r="T11" s="13"/>
      <c r="U11" s="15"/>
    </row>
    <row r="12" spans="1:21" ht="120" x14ac:dyDescent="0.25">
      <c r="A12" s="13" t="s">
        <v>202</v>
      </c>
      <c r="B12" s="13" t="s">
        <v>153</v>
      </c>
      <c r="C12" s="14">
        <v>43152.5</v>
      </c>
      <c r="D12" s="13" t="s">
        <v>124</v>
      </c>
      <c r="E12" s="13" t="s">
        <v>751</v>
      </c>
      <c r="F12" s="15" t="s">
        <v>125</v>
      </c>
      <c r="G12" s="13" t="s">
        <v>760</v>
      </c>
      <c r="H12" s="14">
        <v>40725</v>
      </c>
      <c r="I12" s="14"/>
      <c r="J12" s="15" t="s">
        <v>791</v>
      </c>
      <c r="K12" s="15" t="s">
        <v>792</v>
      </c>
      <c r="L12" s="13" t="s">
        <v>763</v>
      </c>
      <c r="M12" s="15" t="s">
        <v>764</v>
      </c>
      <c r="N12" s="13"/>
      <c r="O12" s="13"/>
      <c r="P12" s="13"/>
      <c r="Q12" s="13"/>
      <c r="R12" s="13"/>
      <c r="S12" s="13"/>
      <c r="T12" s="13"/>
      <c r="U12" s="15"/>
    </row>
    <row r="13" spans="1:21" ht="120" x14ac:dyDescent="0.25">
      <c r="A13" s="13" t="s">
        <v>202</v>
      </c>
      <c r="B13" s="13" t="s">
        <v>153</v>
      </c>
      <c r="C13" s="14">
        <v>43152.5</v>
      </c>
      <c r="D13" s="13" t="s">
        <v>496</v>
      </c>
      <c r="E13" s="13" t="s">
        <v>751</v>
      </c>
      <c r="F13" s="15" t="s">
        <v>497</v>
      </c>
      <c r="G13" s="13" t="s">
        <v>777</v>
      </c>
      <c r="H13" s="14">
        <v>40725</v>
      </c>
      <c r="I13" s="14"/>
      <c r="J13" s="15" t="s">
        <v>793</v>
      </c>
      <c r="K13" s="15" t="s">
        <v>792</v>
      </c>
      <c r="L13" s="13" t="s">
        <v>763</v>
      </c>
      <c r="M13" s="15" t="s">
        <v>764</v>
      </c>
      <c r="N13" s="13"/>
      <c r="O13" s="13"/>
      <c r="P13" s="13"/>
      <c r="Q13" s="13"/>
      <c r="R13" s="13"/>
      <c r="S13" s="13"/>
      <c r="T13" s="13"/>
      <c r="U13" s="15"/>
    </row>
    <row r="14" spans="1:21" ht="120" x14ac:dyDescent="0.25">
      <c r="A14" s="13" t="s">
        <v>202</v>
      </c>
      <c r="B14" s="13" t="s">
        <v>153</v>
      </c>
      <c r="C14" s="14">
        <v>43152.5</v>
      </c>
      <c r="D14" s="13" t="s">
        <v>266</v>
      </c>
      <c r="E14" s="13" t="s">
        <v>751</v>
      </c>
      <c r="F14" s="15" t="s">
        <v>267</v>
      </c>
      <c r="G14" s="13" t="s">
        <v>794</v>
      </c>
      <c r="H14" s="14">
        <v>40725</v>
      </c>
      <c r="I14" s="14"/>
      <c r="J14" s="15" t="s">
        <v>793</v>
      </c>
      <c r="K14" s="15" t="s">
        <v>795</v>
      </c>
      <c r="L14" s="13" t="s">
        <v>763</v>
      </c>
      <c r="M14" s="15" t="s">
        <v>764</v>
      </c>
      <c r="N14" s="13"/>
      <c r="O14" s="13"/>
      <c r="P14" s="13"/>
      <c r="Q14" s="13"/>
      <c r="R14" s="13"/>
      <c r="S14" s="13"/>
      <c r="T14" s="13"/>
      <c r="U14" s="15"/>
    </row>
    <row r="15" spans="1:21" ht="120" x14ac:dyDescent="0.25">
      <c r="A15" s="13" t="s">
        <v>202</v>
      </c>
      <c r="B15" s="13" t="s">
        <v>153</v>
      </c>
      <c r="C15" s="14">
        <v>43152.5</v>
      </c>
      <c r="D15" s="13" t="s">
        <v>224</v>
      </c>
      <c r="E15" s="13" t="s">
        <v>751</v>
      </c>
      <c r="F15" s="15" t="s">
        <v>225</v>
      </c>
      <c r="G15" s="13" t="s">
        <v>773</v>
      </c>
      <c r="H15" s="14">
        <v>40725</v>
      </c>
      <c r="I15" s="14"/>
      <c r="J15" s="15" t="s">
        <v>793</v>
      </c>
      <c r="K15" s="15" t="s">
        <v>796</v>
      </c>
      <c r="L15" s="13" t="s">
        <v>763</v>
      </c>
      <c r="M15" s="15" t="s">
        <v>764</v>
      </c>
      <c r="N15" s="13"/>
      <c r="O15" s="13"/>
      <c r="P15" s="13"/>
      <c r="Q15" s="13"/>
      <c r="R15" s="13"/>
      <c r="S15" s="13"/>
      <c r="T15" s="13"/>
      <c r="U15" s="15"/>
    </row>
    <row r="16" spans="1:21" ht="120" x14ac:dyDescent="0.25">
      <c r="A16" s="13" t="s">
        <v>301</v>
      </c>
      <c r="B16" s="13" t="s">
        <v>87</v>
      </c>
      <c r="C16" s="14">
        <v>44711.534722222219</v>
      </c>
      <c r="D16" s="13" t="s">
        <v>567</v>
      </c>
      <c r="E16" s="13" t="s">
        <v>751</v>
      </c>
      <c r="F16" s="15" t="s">
        <v>568</v>
      </c>
      <c r="G16" s="13" t="s">
        <v>785</v>
      </c>
      <c r="H16" s="14">
        <v>40725</v>
      </c>
      <c r="I16" s="14"/>
      <c r="J16" s="15" t="s">
        <v>793</v>
      </c>
      <c r="K16" s="15" t="s">
        <v>792</v>
      </c>
      <c r="L16" s="13" t="s">
        <v>763</v>
      </c>
      <c r="M16" s="15" t="s">
        <v>764</v>
      </c>
      <c r="N16" s="13"/>
      <c r="O16" s="13"/>
      <c r="P16" s="13"/>
      <c r="Q16" s="13"/>
      <c r="R16" s="13"/>
      <c r="S16" s="13"/>
      <c r="T16" s="13"/>
      <c r="U16" s="15"/>
    </row>
    <row r="17" spans="1:21" ht="60" x14ac:dyDescent="0.25">
      <c r="A17" s="13" t="s">
        <v>202</v>
      </c>
      <c r="B17" s="13" t="s">
        <v>153</v>
      </c>
      <c r="C17" s="14">
        <v>43152.5</v>
      </c>
      <c r="D17" s="13" t="s">
        <v>214</v>
      </c>
      <c r="E17" s="13" t="s">
        <v>751</v>
      </c>
      <c r="F17" s="15" t="s">
        <v>215</v>
      </c>
      <c r="G17" s="13" t="s">
        <v>797</v>
      </c>
      <c r="H17" s="14">
        <v>40725</v>
      </c>
      <c r="I17" s="14"/>
      <c r="J17" s="15"/>
      <c r="K17" s="15" t="s">
        <v>798</v>
      </c>
      <c r="L17" s="13" t="s">
        <v>771</v>
      </c>
      <c r="M17" s="15"/>
      <c r="N17" s="13"/>
      <c r="O17" s="13"/>
      <c r="P17" s="13"/>
      <c r="Q17" s="13"/>
      <c r="R17" s="13"/>
      <c r="S17" s="13"/>
      <c r="T17" s="13" t="s">
        <v>765</v>
      </c>
      <c r="U17" s="15" t="s">
        <v>799</v>
      </c>
    </row>
    <row r="18" spans="1:21" ht="120" x14ac:dyDescent="0.25">
      <c r="A18" s="13" t="s">
        <v>202</v>
      </c>
      <c r="B18" s="13" t="s">
        <v>153</v>
      </c>
      <c r="C18" s="14">
        <v>43152.5</v>
      </c>
      <c r="D18" s="13" t="s">
        <v>118</v>
      </c>
      <c r="E18" s="13" t="s">
        <v>751</v>
      </c>
      <c r="F18" s="15" t="s">
        <v>119</v>
      </c>
      <c r="G18" s="13" t="s">
        <v>760</v>
      </c>
      <c r="H18" s="14">
        <v>40725</v>
      </c>
      <c r="I18" s="14"/>
      <c r="J18" s="15" t="s">
        <v>800</v>
      </c>
      <c r="K18" s="15" t="s">
        <v>801</v>
      </c>
      <c r="L18" s="13" t="s">
        <v>763</v>
      </c>
      <c r="M18" s="15" t="s">
        <v>764</v>
      </c>
      <c r="N18" s="13"/>
      <c r="O18" s="13"/>
      <c r="P18" s="13"/>
      <c r="Q18" s="13"/>
      <c r="R18" s="13"/>
      <c r="S18" s="13"/>
      <c r="T18" s="13" t="s">
        <v>765</v>
      </c>
      <c r="U18" s="15" t="s">
        <v>802</v>
      </c>
    </row>
    <row r="19" spans="1:21" ht="75" x14ac:dyDescent="0.25">
      <c r="A19" s="13" t="s">
        <v>627</v>
      </c>
      <c r="B19" s="13" t="s">
        <v>153</v>
      </c>
      <c r="C19" s="14">
        <v>45084.443055555559</v>
      </c>
      <c r="D19" s="13" t="s">
        <v>647</v>
      </c>
      <c r="E19" s="13" t="s">
        <v>751</v>
      </c>
      <c r="F19" s="15" t="s">
        <v>648</v>
      </c>
      <c r="G19" s="13" t="s">
        <v>803</v>
      </c>
      <c r="H19" s="14">
        <v>43831</v>
      </c>
      <c r="I19" s="14"/>
      <c r="J19" s="15" t="s">
        <v>774</v>
      </c>
      <c r="K19" s="15" t="s">
        <v>804</v>
      </c>
      <c r="L19" s="13" t="s">
        <v>763</v>
      </c>
      <c r="M19" s="15" t="s">
        <v>805</v>
      </c>
      <c r="N19" s="13" t="s">
        <v>806</v>
      </c>
      <c r="O19" s="13"/>
      <c r="P19" s="13"/>
      <c r="Q19" s="13"/>
      <c r="R19" s="13"/>
      <c r="S19" s="13"/>
      <c r="T19" s="13"/>
      <c r="U19" s="15"/>
    </row>
    <row r="20" spans="1:21" ht="75" x14ac:dyDescent="0.25">
      <c r="A20" s="13" t="s">
        <v>627</v>
      </c>
      <c r="B20" s="13" t="s">
        <v>153</v>
      </c>
      <c r="C20" s="14">
        <v>45086.374305555553</v>
      </c>
      <c r="D20" s="13" t="s">
        <v>649</v>
      </c>
      <c r="E20" s="13" t="s">
        <v>751</v>
      </c>
      <c r="F20" s="15" t="s">
        <v>650</v>
      </c>
      <c r="G20" s="13" t="s">
        <v>803</v>
      </c>
      <c r="H20" s="14">
        <v>43831</v>
      </c>
      <c r="I20" s="14"/>
      <c r="J20" s="15" t="s">
        <v>793</v>
      </c>
      <c r="K20" s="15" t="s">
        <v>807</v>
      </c>
      <c r="L20" s="13" t="s">
        <v>763</v>
      </c>
      <c r="M20" s="15" t="s">
        <v>805</v>
      </c>
      <c r="N20" s="13" t="s">
        <v>806</v>
      </c>
      <c r="O20" s="13"/>
      <c r="P20" s="13"/>
      <c r="Q20" s="13"/>
      <c r="R20" s="13"/>
      <c r="S20" s="13"/>
      <c r="T20" s="13" t="s">
        <v>765</v>
      </c>
      <c r="U20" s="15" t="s">
        <v>808</v>
      </c>
    </row>
    <row r="21" spans="1:21" ht="90" x14ac:dyDescent="0.25">
      <c r="A21" s="13" t="s">
        <v>627</v>
      </c>
      <c r="B21" s="13" t="s">
        <v>153</v>
      </c>
      <c r="C21" s="14">
        <v>45086.37777777778</v>
      </c>
      <c r="D21" s="13" t="s">
        <v>651</v>
      </c>
      <c r="E21" s="13" t="s">
        <v>751</v>
      </c>
      <c r="F21" s="15" t="s">
        <v>652</v>
      </c>
      <c r="G21" s="13" t="s">
        <v>803</v>
      </c>
      <c r="H21" s="14">
        <v>43831</v>
      </c>
      <c r="I21" s="14"/>
      <c r="J21" s="15" t="s">
        <v>774</v>
      </c>
      <c r="K21" s="15" t="s">
        <v>809</v>
      </c>
      <c r="L21" s="13" t="s">
        <v>763</v>
      </c>
      <c r="M21" s="15" t="s">
        <v>805</v>
      </c>
      <c r="N21" s="13" t="s">
        <v>806</v>
      </c>
      <c r="O21" s="13"/>
      <c r="P21" s="13"/>
      <c r="Q21" s="13"/>
      <c r="R21" s="13"/>
      <c r="S21" s="13"/>
      <c r="T21" s="13"/>
      <c r="U21" s="15"/>
    </row>
    <row r="22" spans="1:21" ht="90" x14ac:dyDescent="0.25">
      <c r="A22" s="13" t="s">
        <v>627</v>
      </c>
      <c r="B22" s="13" t="s">
        <v>153</v>
      </c>
      <c r="C22" s="14">
        <v>45084.444444444445</v>
      </c>
      <c r="D22" s="13" t="s">
        <v>653</v>
      </c>
      <c r="E22" s="13" t="s">
        <v>751</v>
      </c>
      <c r="F22" s="15" t="s">
        <v>654</v>
      </c>
      <c r="G22" s="13" t="s">
        <v>803</v>
      </c>
      <c r="H22" s="14">
        <v>43831</v>
      </c>
      <c r="I22" s="14"/>
      <c r="J22" s="15" t="s">
        <v>793</v>
      </c>
      <c r="K22" s="15" t="s">
        <v>810</v>
      </c>
      <c r="L22" s="13" t="s">
        <v>763</v>
      </c>
      <c r="M22" s="15" t="s">
        <v>805</v>
      </c>
      <c r="N22" s="13" t="s">
        <v>806</v>
      </c>
      <c r="O22" s="13"/>
      <c r="P22" s="13"/>
      <c r="Q22" s="13"/>
      <c r="R22" s="13"/>
      <c r="S22" s="13"/>
      <c r="T22" s="13" t="s">
        <v>765</v>
      </c>
      <c r="U22" s="15" t="s">
        <v>811</v>
      </c>
    </row>
    <row r="23" spans="1:21" ht="120" x14ac:dyDescent="0.25">
      <c r="A23" s="13" t="s">
        <v>202</v>
      </c>
      <c r="B23" s="13" t="s">
        <v>153</v>
      </c>
      <c r="C23" s="14">
        <v>43152.5</v>
      </c>
      <c r="D23" s="13" t="s">
        <v>120</v>
      </c>
      <c r="E23" s="13" t="s">
        <v>751</v>
      </c>
      <c r="F23" s="15" t="s">
        <v>121</v>
      </c>
      <c r="G23" s="13" t="s">
        <v>760</v>
      </c>
      <c r="H23" s="14">
        <v>40725</v>
      </c>
      <c r="I23" s="14"/>
      <c r="J23" s="15" t="s">
        <v>812</v>
      </c>
      <c r="K23" s="15" t="s">
        <v>813</v>
      </c>
      <c r="L23" s="13" t="s">
        <v>763</v>
      </c>
      <c r="M23" s="15" t="s">
        <v>764</v>
      </c>
      <c r="N23" s="13"/>
      <c r="O23" s="13"/>
      <c r="P23" s="13"/>
      <c r="Q23" s="13"/>
      <c r="R23" s="13"/>
      <c r="S23" s="13"/>
      <c r="T23" s="13"/>
      <c r="U23" s="15"/>
    </row>
    <row r="24" spans="1:21" ht="105" x14ac:dyDescent="0.25">
      <c r="A24" s="13" t="s">
        <v>86</v>
      </c>
      <c r="B24" s="13" t="s">
        <v>153</v>
      </c>
      <c r="C24" s="14">
        <v>44005.455555555556</v>
      </c>
      <c r="D24" s="13" t="s">
        <v>524</v>
      </c>
      <c r="E24" s="13" t="s">
        <v>751</v>
      </c>
      <c r="F24" s="15" t="s">
        <v>525</v>
      </c>
      <c r="G24" s="13" t="s">
        <v>814</v>
      </c>
      <c r="H24" s="14">
        <v>43826</v>
      </c>
      <c r="I24" s="14"/>
      <c r="J24" s="15" t="s">
        <v>815</v>
      </c>
      <c r="K24" s="15" t="s">
        <v>816</v>
      </c>
      <c r="L24" s="13" t="s">
        <v>763</v>
      </c>
      <c r="M24" s="15" t="s">
        <v>817</v>
      </c>
      <c r="N24" s="13"/>
      <c r="O24" s="13"/>
      <c r="P24" s="13"/>
      <c r="Q24" s="13"/>
      <c r="R24" s="13"/>
      <c r="S24" s="13"/>
      <c r="T24" s="13" t="s">
        <v>765</v>
      </c>
      <c r="U24" s="15" t="s">
        <v>818</v>
      </c>
    </row>
    <row r="25" spans="1:21" ht="60" x14ac:dyDescent="0.25">
      <c r="A25" s="13" t="s">
        <v>86</v>
      </c>
      <c r="B25" s="13" t="s">
        <v>153</v>
      </c>
      <c r="C25" s="14">
        <v>44005.456250000003</v>
      </c>
      <c r="D25" s="13" t="s">
        <v>526</v>
      </c>
      <c r="E25" s="13" t="s">
        <v>751</v>
      </c>
      <c r="F25" s="15" t="s">
        <v>527</v>
      </c>
      <c r="G25" s="13" t="s">
        <v>814</v>
      </c>
      <c r="H25" s="14">
        <v>43826</v>
      </c>
      <c r="I25" s="14"/>
      <c r="J25" s="15" t="s">
        <v>815</v>
      </c>
      <c r="K25" s="15" t="s">
        <v>819</v>
      </c>
      <c r="L25" s="13" t="s">
        <v>763</v>
      </c>
      <c r="M25" s="15" t="s">
        <v>817</v>
      </c>
      <c r="N25" s="13"/>
      <c r="O25" s="13"/>
      <c r="P25" s="13"/>
      <c r="Q25" s="13"/>
      <c r="R25" s="13"/>
      <c r="S25" s="13"/>
      <c r="T25" s="13"/>
      <c r="U25" s="15"/>
    </row>
    <row r="26" spans="1:21" ht="120" x14ac:dyDescent="0.25">
      <c r="A26" s="13" t="s">
        <v>202</v>
      </c>
      <c r="B26" s="13" t="s">
        <v>153</v>
      </c>
      <c r="C26" s="14">
        <v>43662.665277777778</v>
      </c>
      <c r="D26" s="13" t="s">
        <v>126</v>
      </c>
      <c r="E26" s="13" t="s">
        <v>820</v>
      </c>
      <c r="F26" s="15" t="s">
        <v>127</v>
      </c>
      <c r="G26" s="13"/>
      <c r="H26" s="14">
        <v>40725</v>
      </c>
      <c r="I26" s="14"/>
      <c r="J26" s="15" t="s">
        <v>774</v>
      </c>
      <c r="K26" s="15" t="s">
        <v>821</v>
      </c>
      <c r="L26" s="13" t="s">
        <v>771</v>
      </c>
      <c r="M26" s="15"/>
      <c r="N26" s="13"/>
      <c r="O26" s="13" t="s">
        <v>822</v>
      </c>
      <c r="P26" s="13"/>
      <c r="Q26" s="13"/>
      <c r="R26" s="13"/>
      <c r="S26" s="13"/>
      <c r="T26" s="13"/>
      <c r="U26" s="15"/>
    </row>
    <row r="27" spans="1:21" ht="105" x14ac:dyDescent="0.25">
      <c r="A27" s="13" t="s">
        <v>202</v>
      </c>
      <c r="B27" s="13" t="s">
        <v>153</v>
      </c>
      <c r="C27" s="14">
        <v>43662.665972222225</v>
      </c>
      <c r="D27" s="13" t="s">
        <v>128</v>
      </c>
      <c r="E27" s="13" t="s">
        <v>820</v>
      </c>
      <c r="F27" s="15" t="s">
        <v>129</v>
      </c>
      <c r="G27" s="13"/>
      <c r="H27" s="14">
        <v>40725</v>
      </c>
      <c r="I27" s="14"/>
      <c r="J27" s="15"/>
      <c r="K27" s="15" t="s">
        <v>823</v>
      </c>
      <c r="L27" s="13" t="s">
        <v>771</v>
      </c>
      <c r="M27" s="15"/>
      <c r="N27" s="13"/>
      <c r="O27" s="13" t="s">
        <v>824</v>
      </c>
      <c r="P27" s="13"/>
      <c r="Q27" s="13"/>
      <c r="R27" s="13"/>
      <c r="S27" s="13"/>
      <c r="T27" s="13"/>
      <c r="U27" s="15"/>
    </row>
    <row r="28" spans="1:21" ht="45" x14ac:dyDescent="0.25">
      <c r="A28" s="13" t="s">
        <v>202</v>
      </c>
      <c r="B28" s="13" t="s">
        <v>153</v>
      </c>
      <c r="C28" s="14">
        <v>43152.5</v>
      </c>
      <c r="D28" s="13" t="s">
        <v>250</v>
      </c>
      <c r="E28" s="13" t="s">
        <v>820</v>
      </c>
      <c r="F28" s="15" t="s">
        <v>251</v>
      </c>
      <c r="G28" s="13"/>
      <c r="H28" s="14">
        <v>40725</v>
      </c>
      <c r="I28" s="14"/>
      <c r="J28" s="15" t="s">
        <v>825</v>
      </c>
      <c r="K28" s="15" t="s">
        <v>826</v>
      </c>
      <c r="L28" s="13" t="s">
        <v>771</v>
      </c>
      <c r="M28" s="15"/>
      <c r="N28" s="13"/>
      <c r="O28" s="13" t="s">
        <v>827</v>
      </c>
      <c r="P28" s="13"/>
      <c r="Q28" s="13"/>
      <c r="R28" s="13"/>
      <c r="S28" s="13"/>
      <c r="T28" s="13"/>
      <c r="U28" s="15"/>
    </row>
    <row r="29" spans="1:21" ht="105" x14ac:dyDescent="0.25">
      <c r="A29" s="13" t="s">
        <v>202</v>
      </c>
      <c r="B29" s="13" t="s">
        <v>153</v>
      </c>
      <c r="C29" s="14">
        <v>44895.470833333333</v>
      </c>
      <c r="D29" s="13" t="s">
        <v>130</v>
      </c>
      <c r="E29" s="13" t="s">
        <v>820</v>
      </c>
      <c r="F29" s="15" t="s">
        <v>131</v>
      </c>
      <c r="G29" s="13"/>
      <c r="H29" s="14">
        <v>40725</v>
      </c>
      <c r="I29" s="14"/>
      <c r="J29" s="15" t="s">
        <v>793</v>
      </c>
      <c r="K29" s="15" t="s">
        <v>828</v>
      </c>
      <c r="L29" s="13" t="s">
        <v>763</v>
      </c>
      <c r="M29" s="15" t="s">
        <v>829</v>
      </c>
      <c r="N29" s="13"/>
      <c r="O29" s="13" t="s">
        <v>830</v>
      </c>
      <c r="P29" s="13"/>
      <c r="Q29" s="13"/>
      <c r="R29" s="13"/>
      <c r="S29" s="13"/>
      <c r="T29" s="13"/>
      <c r="U29" s="15"/>
    </row>
    <row r="30" spans="1:21" ht="45" x14ac:dyDescent="0.25">
      <c r="A30" s="13" t="s">
        <v>202</v>
      </c>
      <c r="B30" s="13" t="s">
        <v>153</v>
      </c>
      <c r="C30" s="14">
        <v>43152.5</v>
      </c>
      <c r="D30" s="13" t="s">
        <v>252</v>
      </c>
      <c r="E30" s="13" t="s">
        <v>820</v>
      </c>
      <c r="F30" s="15" t="s">
        <v>253</v>
      </c>
      <c r="G30" s="13"/>
      <c r="H30" s="14">
        <v>40725</v>
      </c>
      <c r="I30" s="14"/>
      <c r="J30" s="15"/>
      <c r="K30" s="15" t="s">
        <v>831</v>
      </c>
      <c r="L30" s="13" t="s">
        <v>771</v>
      </c>
      <c r="M30" s="15"/>
      <c r="N30" s="13"/>
      <c r="O30" s="13" t="s">
        <v>832</v>
      </c>
      <c r="P30" s="13"/>
      <c r="Q30" s="13"/>
      <c r="R30" s="13"/>
      <c r="S30" s="13"/>
      <c r="T30" s="13"/>
      <c r="U30" s="15"/>
    </row>
    <row r="31" spans="1:21" ht="105" x14ac:dyDescent="0.25">
      <c r="A31" s="13" t="s">
        <v>202</v>
      </c>
      <c r="B31" s="13" t="s">
        <v>153</v>
      </c>
      <c r="C31" s="14">
        <v>43662.667361111111</v>
      </c>
      <c r="D31" s="13" t="s">
        <v>132</v>
      </c>
      <c r="E31" s="13" t="s">
        <v>820</v>
      </c>
      <c r="F31" s="15" t="s">
        <v>133</v>
      </c>
      <c r="G31" s="13"/>
      <c r="H31" s="14">
        <v>40725</v>
      </c>
      <c r="I31" s="14"/>
      <c r="J31" s="15" t="s">
        <v>793</v>
      </c>
      <c r="K31" s="15" t="s">
        <v>833</v>
      </c>
      <c r="L31" s="13" t="s">
        <v>771</v>
      </c>
      <c r="M31" s="15"/>
      <c r="N31" s="13"/>
      <c r="O31" s="13" t="s">
        <v>824</v>
      </c>
      <c r="P31" s="13"/>
      <c r="Q31" s="13"/>
      <c r="R31" s="13"/>
      <c r="S31" s="13"/>
      <c r="T31" s="13"/>
      <c r="U31" s="15"/>
    </row>
    <row r="32" spans="1:21" ht="105" x14ac:dyDescent="0.25">
      <c r="A32" s="13" t="s">
        <v>202</v>
      </c>
      <c r="B32" s="13" t="s">
        <v>153</v>
      </c>
      <c r="C32" s="14">
        <v>43662.674305555556</v>
      </c>
      <c r="D32" s="13" t="s">
        <v>134</v>
      </c>
      <c r="E32" s="13" t="s">
        <v>820</v>
      </c>
      <c r="F32" s="15" t="s">
        <v>135</v>
      </c>
      <c r="G32" s="13"/>
      <c r="H32" s="14">
        <v>40725</v>
      </c>
      <c r="I32" s="14"/>
      <c r="J32" s="15" t="s">
        <v>774</v>
      </c>
      <c r="K32" s="15" t="s">
        <v>834</v>
      </c>
      <c r="L32" s="13" t="s">
        <v>763</v>
      </c>
      <c r="M32" s="15" t="s">
        <v>829</v>
      </c>
      <c r="N32" s="13"/>
      <c r="O32" s="13" t="s">
        <v>835</v>
      </c>
      <c r="P32" s="13"/>
      <c r="Q32" s="13"/>
      <c r="R32" s="13"/>
      <c r="S32" s="13"/>
      <c r="T32" s="13"/>
      <c r="U32" s="15"/>
    </row>
    <row r="33" spans="1:21" ht="30" x14ac:dyDescent="0.25">
      <c r="A33" s="13" t="s">
        <v>202</v>
      </c>
      <c r="B33" s="13" t="s">
        <v>153</v>
      </c>
      <c r="C33" s="14">
        <v>43152.5</v>
      </c>
      <c r="D33" s="13" t="s">
        <v>136</v>
      </c>
      <c r="E33" s="13" t="s">
        <v>820</v>
      </c>
      <c r="F33" s="15" t="s">
        <v>137</v>
      </c>
      <c r="G33" s="13"/>
      <c r="H33" s="14">
        <v>40725</v>
      </c>
      <c r="I33" s="14"/>
      <c r="J33" s="15"/>
      <c r="K33" s="15" t="s">
        <v>836</v>
      </c>
      <c r="L33" s="13" t="s">
        <v>771</v>
      </c>
      <c r="M33" s="15"/>
      <c r="N33" s="13"/>
      <c r="O33" s="13"/>
      <c r="P33" s="13"/>
      <c r="Q33" s="13"/>
      <c r="R33" s="13"/>
      <c r="S33" s="13"/>
      <c r="T33" s="13"/>
      <c r="U33" s="15"/>
    </row>
    <row r="34" spans="1:21" ht="105" x14ac:dyDescent="0.25">
      <c r="A34" s="13" t="s">
        <v>202</v>
      </c>
      <c r="B34" s="13" t="s">
        <v>153</v>
      </c>
      <c r="C34" s="14">
        <v>43152.5</v>
      </c>
      <c r="D34" s="13" t="s">
        <v>138</v>
      </c>
      <c r="E34" s="13" t="s">
        <v>820</v>
      </c>
      <c r="F34" s="15" t="s">
        <v>139</v>
      </c>
      <c r="G34" s="13"/>
      <c r="H34" s="14">
        <v>40725</v>
      </c>
      <c r="I34" s="14"/>
      <c r="J34" s="15" t="s">
        <v>837</v>
      </c>
      <c r="K34" s="15" t="s">
        <v>838</v>
      </c>
      <c r="L34" s="13" t="s">
        <v>771</v>
      </c>
      <c r="M34" s="15" t="s">
        <v>839</v>
      </c>
      <c r="N34" s="13"/>
      <c r="O34" s="13" t="s">
        <v>840</v>
      </c>
      <c r="P34" s="13"/>
      <c r="Q34" s="13"/>
      <c r="R34" s="13"/>
      <c r="S34" s="13"/>
      <c r="T34" s="13"/>
      <c r="U34" s="15"/>
    </row>
    <row r="35" spans="1:21" ht="60" x14ac:dyDescent="0.25">
      <c r="A35" s="13" t="s">
        <v>202</v>
      </c>
      <c r="B35" s="13" t="s">
        <v>153</v>
      </c>
      <c r="C35" s="14">
        <v>43152.5</v>
      </c>
      <c r="D35" s="13" t="s">
        <v>140</v>
      </c>
      <c r="E35" s="13" t="s">
        <v>820</v>
      </c>
      <c r="F35" s="15" t="s">
        <v>141</v>
      </c>
      <c r="G35" s="13"/>
      <c r="H35" s="14">
        <v>40725</v>
      </c>
      <c r="I35" s="14"/>
      <c r="J35" s="15"/>
      <c r="K35" s="15" t="s">
        <v>841</v>
      </c>
      <c r="L35" s="13" t="s">
        <v>771</v>
      </c>
      <c r="M35" s="15"/>
      <c r="N35" s="13"/>
      <c r="O35" s="13"/>
      <c r="P35" s="13"/>
      <c r="Q35" s="13"/>
      <c r="R35" s="13"/>
      <c r="S35" s="13"/>
      <c r="T35" s="13"/>
      <c r="U35" s="15"/>
    </row>
    <row r="36" spans="1:21" ht="75" x14ac:dyDescent="0.25">
      <c r="A36" s="13" t="s">
        <v>202</v>
      </c>
      <c r="B36" s="13" t="s">
        <v>153</v>
      </c>
      <c r="C36" s="14">
        <v>43152.5</v>
      </c>
      <c r="D36" s="13" t="s">
        <v>142</v>
      </c>
      <c r="E36" s="13" t="s">
        <v>820</v>
      </c>
      <c r="F36" s="15" t="s">
        <v>143</v>
      </c>
      <c r="G36" s="13"/>
      <c r="H36" s="14">
        <v>40725</v>
      </c>
      <c r="I36" s="14"/>
      <c r="J36" s="15" t="s">
        <v>842</v>
      </c>
      <c r="K36" s="15" t="s">
        <v>843</v>
      </c>
      <c r="L36" s="13" t="s">
        <v>771</v>
      </c>
      <c r="M36" s="15"/>
      <c r="N36" s="13"/>
      <c r="O36" s="13"/>
      <c r="P36" s="13"/>
      <c r="Q36" s="13"/>
      <c r="R36" s="13"/>
      <c r="S36" s="13"/>
      <c r="T36" s="13"/>
      <c r="U36" s="15"/>
    </row>
    <row r="37" spans="1:21" ht="75" x14ac:dyDescent="0.25">
      <c r="A37" s="13" t="s">
        <v>202</v>
      </c>
      <c r="B37" s="13" t="s">
        <v>153</v>
      </c>
      <c r="C37" s="14">
        <v>43152.5</v>
      </c>
      <c r="D37" s="13" t="s">
        <v>144</v>
      </c>
      <c r="E37" s="13" t="s">
        <v>820</v>
      </c>
      <c r="F37" s="15" t="s">
        <v>145</v>
      </c>
      <c r="G37" s="13"/>
      <c r="H37" s="14">
        <v>40725</v>
      </c>
      <c r="I37" s="14"/>
      <c r="J37" s="15" t="s">
        <v>844</v>
      </c>
      <c r="K37" s="15" t="s">
        <v>845</v>
      </c>
      <c r="L37" s="13" t="s">
        <v>771</v>
      </c>
      <c r="M37" s="15"/>
      <c r="N37" s="13"/>
      <c r="O37" s="13"/>
      <c r="P37" s="13"/>
      <c r="Q37" s="13"/>
      <c r="R37" s="13"/>
      <c r="S37" s="13"/>
      <c r="T37" s="13"/>
      <c r="U37" s="15"/>
    </row>
    <row r="38" spans="1:21" ht="45" x14ac:dyDescent="0.25">
      <c r="A38" s="13" t="s">
        <v>202</v>
      </c>
      <c r="B38" s="13" t="s">
        <v>153</v>
      </c>
      <c r="C38" s="14">
        <v>43152.5</v>
      </c>
      <c r="D38" s="13" t="s">
        <v>146</v>
      </c>
      <c r="E38" s="13" t="s">
        <v>820</v>
      </c>
      <c r="F38" s="15" t="s">
        <v>147</v>
      </c>
      <c r="G38" s="13"/>
      <c r="H38" s="14">
        <v>40725</v>
      </c>
      <c r="I38" s="14"/>
      <c r="J38" s="15" t="s">
        <v>846</v>
      </c>
      <c r="K38" s="15" t="s">
        <v>847</v>
      </c>
      <c r="L38" s="13" t="s">
        <v>771</v>
      </c>
      <c r="M38" s="15"/>
      <c r="N38" s="13"/>
      <c r="O38" s="13"/>
      <c r="P38" s="13"/>
      <c r="Q38" s="13"/>
      <c r="R38" s="13"/>
      <c r="S38" s="13"/>
      <c r="T38" s="13"/>
      <c r="U38" s="15"/>
    </row>
    <row r="39" spans="1:21" ht="45" x14ac:dyDescent="0.25">
      <c r="A39" s="13" t="s">
        <v>202</v>
      </c>
      <c r="B39" s="13" t="s">
        <v>153</v>
      </c>
      <c r="C39" s="14">
        <v>43152.5</v>
      </c>
      <c r="D39" s="13" t="s">
        <v>148</v>
      </c>
      <c r="E39" s="13" t="s">
        <v>820</v>
      </c>
      <c r="F39" s="15" t="s">
        <v>149</v>
      </c>
      <c r="G39" s="13"/>
      <c r="H39" s="14">
        <v>40725</v>
      </c>
      <c r="I39" s="14"/>
      <c r="J39" s="15" t="s">
        <v>848</v>
      </c>
      <c r="K39" s="15" t="s">
        <v>849</v>
      </c>
      <c r="L39" s="13" t="s">
        <v>771</v>
      </c>
      <c r="M39" s="15"/>
      <c r="N39" s="13"/>
      <c r="O39" s="13"/>
      <c r="P39" s="13"/>
      <c r="Q39" s="13"/>
      <c r="R39" s="13"/>
      <c r="S39" s="13"/>
      <c r="T39" s="13"/>
      <c r="U39" s="15"/>
    </row>
    <row r="40" spans="1:21" ht="30" x14ac:dyDescent="0.25">
      <c r="A40" s="13" t="s">
        <v>202</v>
      </c>
      <c r="B40" s="13" t="s">
        <v>153</v>
      </c>
      <c r="C40" s="14">
        <v>43178.390972222223</v>
      </c>
      <c r="D40" s="13" t="s">
        <v>519</v>
      </c>
      <c r="E40" s="13" t="s">
        <v>820</v>
      </c>
      <c r="F40" s="15" t="s">
        <v>520</v>
      </c>
      <c r="G40" s="13"/>
      <c r="H40" s="14">
        <v>40725</v>
      </c>
      <c r="I40" s="14"/>
      <c r="J40" s="15"/>
      <c r="K40" s="15" t="s">
        <v>850</v>
      </c>
      <c r="L40" s="13" t="s">
        <v>771</v>
      </c>
      <c r="M40" s="15"/>
      <c r="N40" s="13"/>
      <c r="O40" s="13"/>
      <c r="P40" s="13"/>
      <c r="Q40" s="13"/>
      <c r="R40" s="13"/>
      <c r="S40" s="13"/>
      <c r="T40" s="13" t="s">
        <v>765</v>
      </c>
      <c r="U40" s="15" t="s">
        <v>851</v>
      </c>
    </row>
    <row r="41" spans="1:21" ht="45" x14ac:dyDescent="0.25">
      <c r="A41" s="13" t="s">
        <v>202</v>
      </c>
      <c r="B41" s="13" t="s">
        <v>153</v>
      </c>
      <c r="C41" s="14">
        <v>43152.5</v>
      </c>
      <c r="D41" s="13" t="s">
        <v>254</v>
      </c>
      <c r="E41" s="13" t="s">
        <v>820</v>
      </c>
      <c r="F41" s="15" t="s">
        <v>255</v>
      </c>
      <c r="G41" s="13"/>
      <c r="H41" s="14">
        <v>40725</v>
      </c>
      <c r="I41" s="14"/>
      <c r="J41" s="15" t="s">
        <v>852</v>
      </c>
      <c r="K41" s="15" t="s">
        <v>853</v>
      </c>
      <c r="L41" s="13" t="s">
        <v>771</v>
      </c>
      <c r="M41" s="15"/>
      <c r="N41" s="13"/>
      <c r="O41" s="13" t="s">
        <v>854</v>
      </c>
      <c r="P41" s="13"/>
      <c r="Q41" s="13"/>
      <c r="R41" s="13"/>
      <c r="S41" s="13"/>
      <c r="T41" s="13"/>
      <c r="U41" s="15"/>
    </row>
    <row r="42" spans="1:21" ht="45" x14ac:dyDescent="0.25">
      <c r="A42" s="13" t="s">
        <v>202</v>
      </c>
      <c r="B42" s="13" t="s">
        <v>153</v>
      </c>
      <c r="C42" s="14">
        <v>43152.5</v>
      </c>
      <c r="D42" s="13" t="s">
        <v>521</v>
      </c>
      <c r="E42" s="13" t="s">
        <v>820</v>
      </c>
      <c r="F42" s="15" t="s">
        <v>522</v>
      </c>
      <c r="G42" s="13"/>
      <c r="H42" s="14">
        <v>40725</v>
      </c>
      <c r="I42" s="14"/>
      <c r="J42" s="15"/>
      <c r="K42" s="15" t="s">
        <v>855</v>
      </c>
      <c r="L42" s="13" t="s">
        <v>771</v>
      </c>
      <c r="M42" s="15"/>
      <c r="N42" s="13"/>
      <c r="O42" s="13"/>
      <c r="P42" s="13"/>
      <c r="Q42" s="13"/>
      <c r="R42" s="13"/>
      <c r="S42" s="13"/>
      <c r="T42" s="13"/>
      <c r="U42" s="15"/>
    </row>
    <row r="43" spans="1:21" ht="105" x14ac:dyDescent="0.25">
      <c r="A43" s="13" t="s">
        <v>202</v>
      </c>
      <c r="B43" s="13" t="s">
        <v>153</v>
      </c>
      <c r="C43" s="14">
        <v>43662.668749999997</v>
      </c>
      <c r="D43" s="13" t="s">
        <v>150</v>
      </c>
      <c r="E43" s="13" t="s">
        <v>820</v>
      </c>
      <c r="F43" s="15" t="s">
        <v>151</v>
      </c>
      <c r="G43" s="13"/>
      <c r="H43" s="14">
        <v>40725</v>
      </c>
      <c r="I43" s="14"/>
      <c r="J43" s="15"/>
      <c r="K43" s="15" t="s">
        <v>856</v>
      </c>
      <c r="L43" s="13" t="s">
        <v>771</v>
      </c>
      <c r="M43" s="15"/>
      <c r="N43" s="13"/>
      <c r="O43" s="13" t="s">
        <v>857</v>
      </c>
      <c r="P43" s="13"/>
      <c r="Q43" s="13"/>
      <c r="R43" s="13"/>
      <c r="S43" s="13"/>
      <c r="T43" s="13"/>
      <c r="U43" s="15"/>
    </row>
    <row r="44" spans="1:21" ht="120" x14ac:dyDescent="0.25">
      <c r="A44" s="13" t="s">
        <v>858</v>
      </c>
      <c r="B44" s="13" t="s">
        <v>87</v>
      </c>
      <c r="C44" s="14">
        <v>44557.711805555555</v>
      </c>
      <c r="D44" s="13" t="s">
        <v>460</v>
      </c>
      <c r="E44" s="13" t="s">
        <v>820</v>
      </c>
      <c r="F44" s="15" t="s">
        <v>461</v>
      </c>
      <c r="G44" s="13"/>
      <c r="H44" s="14">
        <v>40725</v>
      </c>
      <c r="I44" s="14"/>
      <c r="J44" s="15"/>
      <c r="K44" s="15" t="s">
        <v>859</v>
      </c>
      <c r="L44" s="13" t="s">
        <v>763</v>
      </c>
      <c r="M44" s="15" t="s">
        <v>860</v>
      </c>
      <c r="N44" s="13"/>
      <c r="O44" s="13"/>
      <c r="P44" s="13"/>
      <c r="Q44" s="13"/>
      <c r="R44" s="13"/>
      <c r="S44" s="13"/>
      <c r="T44" s="13"/>
      <c r="U44" s="15"/>
    </row>
    <row r="45" spans="1:21" ht="90" x14ac:dyDescent="0.25">
      <c r="A45" s="13" t="s">
        <v>614</v>
      </c>
      <c r="B45" s="13" t="s">
        <v>153</v>
      </c>
      <c r="C45" s="14">
        <v>43649.613888888889</v>
      </c>
      <c r="D45" s="13" t="s">
        <v>592</v>
      </c>
      <c r="E45" s="13" t="s">
        <v>820</v>
      </c>
      <c r="F45" s="15" t="s">
        <v>593</v>
      </c>
      <c r="G45" s="13"/>
      <c r="H45" s="14">
        <v>43274</v>
      </c>
      <c r="I45" s="14"/>
      <c r="J45" s="15" t="s">
        <v>861</v>
      </c>
      <c r="K45" s="15" t="s">
        <v>862</v>
      </c>
      <c r="L45" s="13" t="s">
        <v>771</v>
      </c>
      <c r="M45" s="15"/>
      <c r="N45" s="13"/>
      <c r="O45" s="13" t="s">
        <v>863</v>
      </c>
      <c r="P45" s="13"/>
      <c r="Q45" s="13"/>
      <c r="R45" s="13"/>
      <c r="S45" s="13"/>
      <c r="T45" s="13"/>
      <c r="U45" s="15"/>
    </row>
    <row r="46" spans="1:21" ht="75" x14ac:dyDescent="0.25">
      <c r="A46" s="13" t="s">
        <v>614</v>
      </c>
      <c r="B46" s="13" t="s">
        <v>153</v>
      </c>
      <c r="C46" s="14">
        <v>43649.615972222222</v>
      </c>
      <c r="D46" s="13" t="s">
        <v>594</v>
      </c>
      <c r="E46" s="13" t="s">
        <v>820</v>
      </c>
      <c r="F46" s="15" t="s">
        <v>595</v>
      </c>
      <c r="G46" s="13"/>
      <c r="H46" s="14">
        <v>43274</v>
      </c>
      <c r="I46" s="14"/>
      <c r="J46" s="15" t="s">
        <v>864</v>
      </c>
      <c r="K46" s="15" t="s">
        <v>865</v>
      </c>
      <c r="L46" s="13" t="s">
        <v>771</v>
      </c>
      <c r="M46" s="15"/>
      <c r="N46" s="13"/>
      <c r="O46" s="13" t="s">
        <v>866</v>
      </c>
      <c r="P46" s="13"/>
      <c r="Q46" s="13"/>
      <c r="R46" s="13"/>
      <c r="S46" s="13"/>
      <c r="T46" s="13"/>
      <c r="U46" s="15"/>
    </row>
    <row r="47" spans="1:21" ht="45" x14ac:dyDescent="0.25">
      <c r="A47" s="13" t="s">
        <v>301</v>
      </c>
      <c r="B47" s="13" t="s">
        <v>87</v>
      </c>
      <c r="C47" s="14">
        <v>44711.535416666666</v>
      </c>
      <c r="D47" s="13" t="s">
        <v>106</v>
      </c>
      <c r="E47" s="13" t="s">
        <v>867</v>
      </c>
      <c r="F47" s="15" t="s">
        <v>107</v>
      </c>
      <c r="G47" s="13" t="s">
        <v>868</v>
      </c>
      <c r="H47" s="14">
        <v>40725</v>
      </c>
      <c r="I47" s="14"/>
      <c r="J47" s="15"/>
      <c r="K47" s="15"/>
      <c r="L47" s="13" t="s">
        <v>763</v>
      </c>
      <c r="M47" s="15"/>
      <c r="N47" s="13"/>
      <c r="O47" s="13"/>
      <c r="P47" s="13"/>
      <c r="Q47" s="13"/>
      <c r="R47" s="13"/>
      <c r="S47" s="13"/>
      <c r="T47" s="13" t="s">
        <v>765</v>
      </c>
      <c r="U47" s="15" t="s">
        <v>107</v>
      </c>
    </row>
    <row r="48" spans="1:21" ht="30" x14ac:dyDescent="0.25">
      <c r="A48" s="13" t="s">
        <v>301</v>
      </c>
      <c r="B48" s="13" t="s">
        <v>87</v>
      </c>
      <c r="C48" s="14">
        <v>44711.536805555559</v>
      </c>
      <c r="D48" s="13" t="s">
        <v>108</v>
      </c>
      <c r="E48" s="13" t="s">
        <v>867</v>
      </c>
      <c r="F48" s="15" t="s">
        <v>109</v>
      </c>
      <c r="G48" s="13" t="s">
        <v>869</v>
      </c>
      <c r="H48" s="14">
        <v>40725</v>
      </c>
      <c r="I48" s="14"/>
      <c r="J48" s="15"/>
      <c r="K48" s="15"/>
      <c r="L48" s="13" t="s">
        <v>763</v>
      </c>
      <c r="M48" s="15"/>
      <c r="N48" s="13"/>
      <c r="O48" s="13"/>
      <c r="P48" s="13"/>
      <c r="Q48" s="13"/>
      <c r="R48" s="13"/>
      <c r="S48" s="13"/>
      <c r="T48" s="13" t="s">
        <v>765</v>
      </c>
      <c r="U48" s="15" t="s">
        <v>109</v>
      </c>
    </row>
    <row r="49" spans="1:21" ht="30" x14ac:dyDescent="0.25">
      <c r="A49" s="13" t="s">
        <v>202</v>
      </c>
      <c r="B49" s="13" t="s">
        <v>153</v>
      </c>
      <c r="C49" s="14">
        <v>43168.620833333334</v>
      </c>
      <c r="D49" s="13" t="s">
        <v>112</v>
      </c>
      <c r="E49" s="13" t="s">
        <v>867</v>
      </c>
      <c r="F49" s="15" t="s">
        <v>113</v>
      </c>
      <c r="G49" s="13" t="s">
        <v>870</v>
      </c>
      <c r="H49" s="14">
        <v>40725</v>
      </c>
      <c r="I49" s="14"/>
      <c r="J49" s="15"/>
      <c r="K49" s="15"/>
      <c r="L49" s="13" t="s">
        <v>763</v>
      </c>
      <c r="M49" s="15"/>
      <c r="N49" s="13"/>
      <c r="O49" s="13"/>
      <c r="P49" s="13"/>
      <c r="Q49" s="13"/>
      <c r="R49" s="13"/>
      <c r="S49" s="13"/>
      <c r="T49" s="13" t="s">
        <v>765</v>
      </c>
      <c r="U49" s="15" t="s">
        <v>113</v>
      </c>
    </row>
    <row r="50" spans="1:21" ht="60" x14ac:dyDescent="0.25">
      <c r="A50" s="13" t="s">
        <v>86</v>
      </c>
      <c r="B50" s="13" t="s">
        <v>87</v>
      </c>
      <c r="C50" s="14">
        <v>44007.745833333334</v>
      </c>
      <c r="D50" s="13" t="s">
        <v>431</v>
      </c>
      <c r="E50" s="13" t="s">
        <v>867</v>
      </c>
      <c r="F50" s="15" t="s">
        <v>432</v>
      </c>
      <c r="G50" s="13" t="s">
        <v>871</v>
      </c>
      <c r="H50" s="14">
        <v>40725</v>
      </c>
      <c r="I50" s="14">
        <v>43830</v>
      </c>
      <c r="J50" s="15"/>
      <c r="K50" s="15"/>
      <c r="L50" s="13" t="s">
        <v>763</v>
      </c>
      <c r="M50" s="15"/>
      <c r="N50" s="13"/>
      <c r="O50" s="13"/>
      <c r="P50" s="13"/>
      <c r="Q50" s="13"/>
      <c r="R50" s="13"/>
      <c r="S50" s="13"/>
      <c r="T50" s="13" t="s">
        <v>765</v>
      </c>
      <c r="U50" s="15" t="s">
        <v>432</v>
      </c>
    </row>
    <row r="51" spans="1:21" ht="45" x14ac:dyDescent="0.25">
      <c r="A51" s="13" t="s">
        <v>86</v>
      </c>
      <c r="B51" s="13" t="s">
        <v>87</v>
      </c>
      <c r="C51" s="14">
        <v>44012.463194444441</v>
      </c>
      <c r="D51" s="13" t="s">
        <v>110</v>
      </c>
      <c r="E51" s="13" t="s">
        <v>867</v>
      </c>
      <c r="F51" s="15" t="s">
        <v>111</v>
      </c>
      <c r="G51" s="13" t="s">
        <v>872</v>
      </c>
      <c r="H51" s="14">
        <v>40725</v>
      </c>
      <c r="I51" s="14">
        <v>43830</v>
      </c>
      <c r="J51" s="15"/>
      <c r="K51" s="15"/>
      <c r="L51" s="13" t="s">
        <v>763</v>
      </c>
      <c r="M51" s="15"/>
      <c r="N51" s="13"/>
      <c r="O51" s="13"/>
      <c r="P51" s="13"/>
      <c r="Q51" s="13"/>
      <c r="R51" s="13"/>
      <c r="S51" s="13"/>
      <c r="T51" s="13" t="s">
        <v>765</v>
      </c>
      <c r="U51" s="15" t="s">
        <v>111</v>
      </c>
    </row>
    <row r="52" spans="1:21" ht="45" x14ac:dyDescent="0.25">
      <c r="A52" s="13" t="s">
        <v>202</v>
      </c>
      <c r="B52" s="13" t="s">
        <v>153</v>
      </c>
      <c r="C52" s="14">
        <v>43168.620833333334</v>
      </c>
      <c r="D52" s="13" t="s">
        <v>297</v>
      </c>
      <c r="E52" s="13" t="s">
        <v>867</v>
      </c>
      <c r="F52" s="15" t="s">
        <v>298</v>
      </c>
      <c r="G52" s="13" t="s">
        <v>873</v>
      </c>
      <c r="H52" s="14">
        <v>40725</v>
      </c>
      <c r="I52" s="14"/>
      <c r="J52" s="15"/>
      <c r="K52" s="15"/>
      <c r="L52" s="13" t="s">
        <v>763</v>
      </c>
      <c r="M52" s="15"/>
      <c r="N52" s="13"/>
      <c r="O52" s="13"/>
      <c r="P52" s="13"/>
      <c r="Q52" s="13"/>
      <c r="R52" s="13"/>
      <c r="S52" s="13"/>
      <c r="T52" s="13" t="s">
        <v>765</v>
      </c>
      <c r="U52" s="15" t="s">
        <v>298</v>
      </c>
    </row>
    <row r="53" spans="1:21" s="22" customFormat="1" ht="30" x14ac:dyDescent="0.25">
      <c r="A53" s="19" t="s">
        <v>874</v>
      </c>
      <c r="B53" s="19" t="s">
        <v>87</v>
      </c>
      <c r="C53" s="20">
        <v>46044.431944444441</v>
      </c>
      <c r="D53" s="19" t="s">
        <v>335</v>
      </c>
      <c r="E53" s="19" t="s">
        <v>867</v>
      </c>
      <c r="F53" s="21" t="s">
        <v>336</v>
      </c>
      <c r="G53" s="19" t="s">
        <v>875</v>
      </c>
      <c r="H53" s="20">
        <v>40725</v>
      </c>
      <c r="I53" s="20"/>
      <c r="J53" s="21"/>
      <c r="K53" s="21"/>
      <c r="L53" s="19" t="s">
        <v>763</v>
      </c>
      <c r="M53" s="21"/>
      <c r="N53" s="19"/>
      <c r="O53" s="19"/>
      <c r="P53" s="19"/>
      <c r="Q53" s="19"/>
      <c r="R53" s="19" t="s">
        <v>876</v>
      </c>
      <c r="S53" s="19"/>
      <c r="T53" s="19" t="s">
        <v>765</v>
      </c>
      <c r="U53" s="21" t="s">
        <v>336</v>
      </c>
    </row>
    <row r="54" spans="1:21" s="22" customFormat="1" ht="30" x14ac:dyDescent="0.25">
      <c r="A54" s="19" t="s">
        <v>874</v>
      </c>
      <c r="B54" s="19" t="s">
        <v>87</v>
      </c>
      <c r="C54" s="20">
        <v>46044.432638888888</v>
      </c>
      <c r="D54" s="19" t="s">
        <v>337</v>
      </c>
      <c r="E54" s="19" t="s">
        <v>867</v>
      </c>
      <c r="F54" s="21" t="s">
        <v>338</v>
      </c>
      <c r="G54" s="19" t="s">
        <v>877</v>
      </c>
      <c r="H54" s="20">
        <v>40725</v>
      </c>
      <c r="I54" s="20"/>
      <c r="J54" s="21"/>
      <c r="K54" s="21"/>
      <c r="L54" s="19" t="s">
        <v>763</v>
      </c>
      <c r="M54" s="21"/>
      <c r="N54" s="19"/>
      <c r="O54" s="19"/>
      <c r="P54" s="19"/>
      <c r="Q54" s="19"/>
      <c r="R54" s="19" t="s">
        <v>876</v>
      </c>
      <c r="S54" s="19"/>
      <c r="T54" s="19" t="s">
        <v>765</v>
      </c>
      <c r="U54" s="21" t="s">
        <v>338</v>
      </c>
    </row>
    <row r="55" spans="1:21" ht="45" x14ac:dyDescent="0.25">
      <c r="A55" s="13" t="s">
        <v>202</v>
      </c>
      <c r="B55" s="13" t="s">
        <v>153</v>
      </c>
      <c r="C55" s="14">
        <v>43168.621527777781</v>
      </c>
      <c r="D55" s="13" t="s">
        <v>339</v>
      </c>
      <c r="E55" s="13" t="s">
        <v>867</v>
      </c>
      <c r="F55" s="15" t="s">
        <v>340</v>
      </c>
      <c r="G55" s="13" t="s">
        <v>878</v>
      </c>
      <c r="H55" s="14">
        <v>40725</v>
      </c>
      <c r="I55" s="14"/>
      <c r="J55" s="15"/>
      <c r="K55" s="15"/>
      <c r="L55" s="13" t="s">
        <v>763</v>
      </c>
      <c r="M55" s="15"/>
      <c r="N55" s="13"/>
      <c r="O55" s="13"/>
      <c r="P55" s="13"/>
      <c r="Q55" s="13"/>
      <c r="R55" s="13"/>
      <c r="S55" s="13"/>
      <c r="T55" s="13" t="s">
        <v>765</v>
      </c>
      <c r="U55" s="15" t="s">
        <v>340</v>
      </c>
    </row>
    <row r="56" spans="1:21" ht="75" x14ac:dyDescent="0.25">
      <c r="A56" s="13" t="s">
        <v>202</v>
      </c>
      <c r="B56" s="13" t="s">
        <v>153</v>
      </c>
      <c r="C56" s="14">
        <v>43168.621527777781</v>
      </c>
      <c r="D56" s="13" t="s">
        <v>173</v>
      </c>
      <c r="E56" s="13" t="s">
        <v>867</v>
      </c>
      <c r="F56" s="15" t="s">
        <v>174</v>
      </c>
      <c r="G56" s="13" t="s">
        <v>879</v>
      </c>
      <c r="H56" s="14">
        <v>40725</v>
      </c>
      <c r="I56" s="14"/>
      <c r="J56" s="15"/>
      <c r="K56" s="15"/>
      <c r="L56" s="13" t="s">
        <v>763</v>
      </c>
      <c r="M56" s="15"/>
      <c r="N56" s="13"/>
      <c r="O56" s="13"/>
      <c r="P56" s="13"/>
      <c r="Q56" s="13"/>
      <c r="R56" s="13"/>
      <c r="S56" s="13"/>
      <c r="T56" s="13" t="s">
        <v>765</v>
      </c>
      <c r="U56" s="15" t="s">
        <v>174</v>
      </c>
    </row>
    <row r="57" spans="1:21" ht="60" x14ac:dyDescent="0.25">
      <c r="A57" s="13" t="s">
        <v>202</v>
      </c>
      <c r="B57" s="13" t="s">
        <v>153</v>
      </c>
      <c r="C57" s="14">
        <v>43168.621527777781</v>
      </c>
      <c r="D57" s="13" t="s">
        <v>175</v>
      </c>
      <c r="E57" s="13" t="s">
        <v>867</v>
      </c>
      <c r="F57" s="15" t="s">
        <v>176</v>
      </c>
      <c r="G57" s="13" t="s">
        <v>879</v>
      </c>
      <c r="H57" s="14">
        <v>40725</v>
      </c>
      <c r="I57" s="14"/>
      <c r="J57" s="15"/>
      <c r="K57" s="15"/>
      <c r="L57" s="13" t="s">
        <v>763</v>
      </c>
      <c r="M57" s="15"/>
      <c r="N57" s="13"/>
      <c r="O57" s="13"/>
      <c r="P57" s="13"/>
      <c r="Q57" s="13"/>
      <c r="R57" s="13"/>
      <c r="S57" s="13"/>
      <c r="T57" s="13" t="s">
        <v>765</v>
      </c>
      <c r="U57" s="15" t="s">
        <v>176</v>
      </c>
    </row>
    <row r="58" spans="1:21" ht="30" x14ac:dyDescent="0.25">
      <c r="A58" s="13" t="s">
        <v>202</v>
      </c>
      <c r="B58" s="13" t="s">
        <v>153</v>
      </c>
      <c r="C58" s="14">
        <v>43168.621527777781</v>
      </c>
      <c r="D58" s="13" t="s">
        <v>343</v>
      </c>
      <c r="E58" s="13" t="s">
        <v>867</v>
      </c>
      <c r="F58" s="15" t="s">
        <v>344</v>
      </c>
      <c r="G58" s="13" t="s">
        <v>880</v>
      </c>
      <c r="H58" s="14">
        <v>40725</v>
      </c>
      <c r="I58" s="14"/>
      <c r="J58" s="15"/>
      <c r="K58" s="15"/>
      <c r="L58" s="13" t="s">
        <v>763</v>
      </c>
      <c r="M58" s="15"/>
      <c r="N58" s="13"/>
      <c r="O58" s="13"/>
      <c r="P58" s="13"/>
      <c r="Q58" s="13"/>
      <c r="R58" s="13"/>
      <c r="S58" s="13"/>
      <c r="T58" s="13" t="s">
        <v>765</v>
      </c>
      <c r="U58" s="15" t="s">
        <v>344</v>
      </c>
    </row>
    <row r="59" spans="1:21" ht="75" x14ac:dyDescent="0.25">
      <c r="A59" s="13" t="s">
        <v>202</v>
      </c>
      <c r="B59" s="13" t="s">
        <v>153</v>
      </c>
      <c r="C59" s="14">
        <v>43168.621527777781</v>
      </c>
      <c r="D59" s="13" t="s">
        <v>458</v>
      </c>
      <c r="E59" s="13" t="s">
        <v>867</v>
      </c>
      <c r="F59" s="15" t="s">
        <v>459</v>
      </c>
      <c r="G59" s="13" t="s">
        <v>881</v>
      </c>
      <c r="H59" s="14">
        <v>40725</v>
      </c>
      <c r="I59" s="14"/>
      <c r="J59" s="15"/>
      <c r="K59" s="15"/>
      <c r="L59" s="13" t="s">
        <v>763</v>
      </c>
      <c r="M59" s="15"/>
      <c r="N59" s="13"/>
      <c r="O59" s="13"/>
      <c r="P59" s="13"/>
      <c r="Q59" s="13"/>
      <c r="R59" s="13"/>
      <c r="S59" s="13"/>
      <c r="T59" s="13" t="s">
        <v>765</v>
      </c>
      <c r="U59" s="15" t="s">
        <v>459</v>
      </c>
    </row>
    <row r="60" spans="1:21" ht="90" x14ac:dyDescent="0.25">
      <c r="A60" s="13" t="s">
        <v>301</v>
      </c>
      <c r="B60" s="13" t="s">
        <v>87</v>
      </c>
      <c r="C60" s="14">
        <v>46044.438888888886</v>
      </c>
      <c r="D60" s="13" t="s">
        <v>539</v>
      </c>
      <c r="E60" s="13" t="s">
        <v>867</v>
      </c>
      <c r="F60" s="15" t="s">
        <v>540</v>
      </c>
      <c r="G60" s="13" t="s">
        <v>882</v>
      </c>
      <c r="H60" s="14">
        <v>42482</v>
      </c>
      <c r="I60" s="14"/>
      <c r="J60" s="15"/>
      <c r="K60" s="15"/>
      <c r="L60" s="13" t="s">
        <v>763</v>
      </c>
      <c r="M60" s="15"/>
      <c r="N60" s="13"/>
      <c r="O60" s="13"/>
      <c r="P60" s="13"/>
      <c r="Q60" s="13"/>
      <c r="R60" s="13"/>
      <c r="S60" s="13"/>
      <c r="T60" s="13" t="s">
        <v>765</v>
      </c>
      <c r="U60" s="15" t="s">
        <v>540</v>
      </c>
    </row>
    <row r="61" spans="1:21" ht="60" x14ac:dyDescent="0.25">
      <c r="A61" s="13" t="s">
        <v>202</v>
      </c>
      <c r="B61" s="13" t="s">
        <v>153</v>
      </c>
      <c r="C61" s="14">
        <v>43168.621527777781</v>
      </c>
      <c r="D61" s="13" t="s">
        <v>196</v>
      </c>
      <c r="E61" s="13" t="s">
        <v>867</v>
      </c>
      <c r="F61" s="15" t="s">
        <v>197</v>
      </c>
      <c r="G61" s="13" t="s">
        <v>879</v>
      </c>
      <c r="H61" s="14">
        <v>40725</v>
      </c>
      <c r="I61" s="14"/>
      <c r="J61" s="15"/>
      <c r="K61" s="15"/>
      <c r="L61" s="13" t="s">
        <v>763</v>
      </c>
      <c r="M61" s="15"/>
      <c r="N61" s="13"/>
      <c r="O61" s="13"/>
      <c r="P61" s="13"/>
      <c r="Q61" s="13"/>
      <c r="R61" s="13"/>
      <c r="S61" s="13"/>
      <c r="T61" s="13" t="s">
        <v>765</v>
      </c>
      <c r="U61" s="15" t="s">
        <v>197</v>
      </c>
    </row>
    <row r="62" spans="1:21" ht="75" x14ac:dyDescent="0.25">
      <c r="A62" s="13" t="s">
        <v>202</v>
      </c>
      <c r="B62" s="13" t="s">
        <v>153</v>
      </c>
      <c r="C62" s="14">
        <v>43168.621527777781</v>
      </c>
      <c r="D62" s="13" t="s">
        <v>198</v>
      </c>
      <c r="E62" s="13" t="s">
        <v>867</v>
      </c>
      <c r="F62" s="15" t="s">
        <v>199</v>
      </c>
      <c r="G62" s="13" t="s">
        <v>883</v>
      </c>
      <c r="H62" s="14">
        <v>40725</v>
      </c>
      <c r="I62" s="14"/>
      <c r="J62" s="15"/>
      <c r="K62" s="15"/>
      <c r="L62" s="13" t="s">
        <v>763</v>
      </c>
      <c r="M62" s="15"/>
      <c r="N62" s="13"/>
      <c r="O62" s="13"/>
      <c r="P62" s="13"/>
      <c r="Q62" s="13"/>
      <c r="R62" s="13"/>
      <c r="S62" s="13"/>
      <c r="T62" s="13" t="s">
        <v>765</v>
      </c>
      <c r="U62" s="15" t="s">
        <v>199</v>
      </c>
    </row>
    <row r="63" spans="1:21" ht="60" x14ac:dyDescent="0.25">
      <c r="A63" s="13" t="s">
        <v>202</v>
      </c>
      <c r="B63" s="13" t="s">
        <v>153</v>
      </c>
      <c r="C63" s="14">
        <v>43168.621527777781</v>
      </c>
      <c r="D63" s="13" t="s">
        <v>192</v>
      </c>
      <c r="E63" s="13" t="s">
        <v>867</v>
      </c>
      <c r="F63" s="15" t="s">
        <v>193</v>
      </c>
      <c r="G63" s="13" t="s">
        <v>884</v>
      </c>
      <c r="H63" s="14">
        <v>40725</v>
      </c>
      <c r="I63" s="14"/>
      <c r="J63" s="15"/>
      <c r="K63" s="15"/>
      <c r="L63" s="13" t="s">
        <v>763</v>
      </c>
      <c r="M63" s="15"/>
      <c r="N63" s="13"/>
      <c r="O63" s="13"/>
      <c r="P63" s="13"/>
      <c r="Q63" s="13"/>
      <c r="R63" s="13"/>
      <c r="S63" s="13"/>
      <c r="T63" s="13" t="s">
        <v>765</v>
      </c>
      <c r="U63" s="15" t="s">
        <v>193</v>
      </c>
    </row>
    <row r="64" spans="1:21" ht="60" x14ac:dyDescent="0.25">
      <c r="A64" s="13" t="s">
        <v>202</v>
      </c>
      <c r="B64" s="13" t="s">
        <v>153</v>
      </c>
      <c r="C64" s="14">
        <v>43168.62222222222</v>
      </c>
      <c r="D64" s="13" t="s">
        <v>466</v>
      </c>
      <c r="E64" s="13" t="s">
        <v>867</v>
      </c>
      <c r="F64" s="15" t="s">
        <v>193</v>
      </c>
      <c r="G64" s="13" t="s">
        <v>885</v>
      </c>
      <c r="H64" s="14">
        <v>40725</v>
      </c>
      <c r="I64" s="14"/>
      <c r="J64" s="15"/>
      <c r="K64" s="15"/>
      <c r="L64" s="13" t="s">
        <v>763</v>
      </c>
      <c r="M64" s="15"/>
      <c r="N64" s="13"/>
      <c r="O64" s="13"/>
      <c r="P64" s="13"/>
      <c r="Q64" s="13"/>
      <c r="R64" s="13"/>
      <c r="S64" s="13"/>
      <c r="T64" s="13" t="s">
        <v>765</v>
      </c>
      <c r="U64" s="15" t="s">
        <v>193</v>
      </c>
    </row>
    <row r="65" spans="1:21" s="22" customFormat="1" ht="45" x14ac:dyDescent="0.25">
      <c r="A65" s="19" t="s">
        <v>874</v>
      </c>
      <c r="B65" s="19" t="s">
        <v>87</v>
      </c>
      <c r="C65" s="20">
        <v>45993.638888888891</v>
      </c>
      <c r="D65" s="19" t="s">
        <v>303</v>
      </c>
      <c r="E65" s="19" t="s">
        <v>867</v>
      </c>
      <c r="F65" s="21" t="s">
        <v>304</v>
      </c>
      <c r="G65" s="19" t="s">
        <v>886</v>
      </c>
      <c r="H65" s="20">
        <v>40725</v>
      </c>
      <c r="I65" s="20"/>
      <c r="J65" s="21"/>
      <c r="K65" s="21"/>
      <c r="L65" s="19" t="s">
        <v>763</v>
      </c>
      <c r="M65" s="21"/>
      <c r="N65" s="19"/>
      <c r="O65" s="19"/>
      <c r="P65" s="19"/>
      <c r="Q65" s="19"/>
      <c r="R65" s="19" t="s">
        <v>887</v>
      </c>
      <c r="S65" s="19"/>
      <c r="T65" s="19" t="s">
        <v>765</v>
      </c>
      <c r="U65" s="21" t="s">
        <v>304</v>
      </c>
    </row>
    <row r="66" spans="1:21" s="22" customFormat="1" ht="45" x14ac:dyDescent="0.25">
      <c r="A66" s="19" t="s">
        <v>874</v>
      </c>
      <c r="B66" s="19" t="s">
        <v>87</v>
      </c>
      <c r="C66" s="20">
        <v>45993.638888888891</v>
      </c>
      <c r="D66" s="19" t="s">
        <v>305</v>
      </c>
      <c r="E66" s="19" t="s">
        <v>867</v>
      </c>
      <c r="F66" s="21" t="s">
        <v>306</v>
      </c>
      <c r="G66" s="19" t="s">
        <v>888</v>
      </c>
      <c r="H66" s="20">
        <v>40725</v>
      </c>
      <c r="I66" s="20"/>
      <c r="J66" s="21"/>
      <c r="K66" s="21"/>
      <c r="L66" s="19" t="s">
        <v>763</v>
      </c>
      <c r="M66" s="21"/>
      <c r="N66" s="19"/>
      <c r="O66" s="19"/>
      <c r="P66" s="19"/>
      <c r="Q66" s="19"/>
      <c r="R66" s="19" t="s">
        <v>887</v>
      </c>
      <c r="S66" s="19"/>
      <c r="T66" s="19" t="s">
        <v>765</v>
      </c>
      <c r="U66" s="21" t="s">
        <v>306</v>
      </c>
    </row>
    <row r="67" spans="1:21" ht="75" x14ac:dyDescent="0.25">
      <c r="A67" s="13" t="s">
        <v>301</v>
      </c>
      <c r="B67" s="13" t="s">
        <v>87</v>
      </c>
      <c r="C67" s="14">
        <v>44713.647916666669</v>
      </c>
      <c r="D67" s="13" t="s">
        <v>307</v>
      </c>
      <c r="E67" s="13" t="s">
        <v>867</v>
      </c>
      <c r="F67" s="15" t="s">
        <v>308</v>
      </c>
      <c r="G67" s="13" t="s">
        <v>889</v>
      </c>
      <c r="H67" s="14">
        <v>40725</v>
      </c>
      <c r="I67" s="14">
        <v>44633</v>
      </c>
      <c r="J67" s="15"/>
      <c r="K67" s="15"/>
      <c r="L67" s="13" t="s">
        <v>763</v>
      </c>
      <c r="M67" s="15"/>
      <c r="N67" s="13"/>
      <c r="O67" s="13"/>
      <c r="P67" s="13"/>
      <c r="Q67" s="13"/>
      <c r="R67" s="13"/>
      <c r="S67" s="13"/>
      <c r="T67" s="13" t="s">
        <v>765</v>
      </c>
      <c r="U67" s="15" t="s">
        <v>308</v>
      </c>
    </row>
    <row r="68" spans="1:21" ht="30" x14ac:dyDescent="0.25">
      <c r="A68" s="13" t="s">
        <v>202</v>
      </c>
      <c r="B68" s="13" t="s">
        <v>153</v>
      </c>
      <c r="C68" s="14">
        <v>43168.62222222222</v>
      </c>
      <c r="D68" s="13" t="s">
        <v>270</v>
      </c>
      <c r="E68" s="13" t="s">
        <v>867</v>
      </c>
      <c r="F68" s="15" t="s">
        <v>271</v>
      </c>
      <c r="G68" s="13" t="s">
        <v>890</v>
      </c>
      <c r="H68" s="14">
        <v>40725</v>
      </c>
      <c r="I68" s="14"/>
      <c r="J68" s="15"/>
      <c r="K68" s="15"/>
      <c r="L68" s="13" t="s">
        <v>763</v>
      </c>
      <c r="M68" s="15"/>
      <c r="N68" s="13"/>
      <c r="O68" s="13"/>
      <c r="P68" s="13"/>
      <c r="Q68" s="13"/>
      <c r="R68" s="13"/>
      <c r="S68" s="13"/>
      <c r="T68" s="13" t="s">
        <v>765</v>
      </c>
      <c r="U68" s="15" t="s">
        <v>271</v>
      </c>
    </row>
    <row r="69" spans="1:21" ht="75" x14ac:dyDescent="0.25">
      <c r="A69" s="13" t="s">
        <v>202</v>
      </c>
      <c r="B69" s="13" t="s">
        <v>153</v>
      </c>
      <c r="C69" s="14">
        <v>43168.62222222222</v>
      </c>
      <c r="D69" s="13" t="s">
        <v>272</v>
      </c>
      <c r="E69" s="13" t="s">
        <v>867</v>
      </c>
      <c r="F69" s="15" t="s">
        <v>273</v>
      </c>
      <c r="G69" s="13" t="s">
        <v>891</v>
      </c>
      <c r="H69" s="14">
        <v>40725</v>
      </c>
      <c r="I69" s="14"/>
      <c r="J69" s="15"/>
      <c r="K69" s="15"/>
      <c r="L69" s="13" t="s">
        <v>763</v>
      </c>
      <c r="M69" s="15"/>
      <c r="N69" s="13"/>
      <c r="O69" s="13"/>
      <c r="P69" s="13"/>
      <c r="Q69" s="13"/>
      <c r="R69" s="13"/>
      <c r="S69" s="13"/>
      <c r="T69" s="13" t="s">
        <v>765</v>
      </c>
      <c r="U69" s="15" t="s">
        <v>273</v>
      </c>
    </row>
    <row r="70" spans="1:21" ht="105" x14ac:dyDescent="0.25">
      <c r="A70" s="13" t="s">
        <v>202</v>
      </c>
      <c r="B70" s="13" t="s">
        <v>153</v>
      </c>
      <c r="C70" s="14">
        <v>43168.62222222222</v>
      </c>
      <c r="D70" s="13" t="s">
        <v>517</v>
      </c>
      <c r="E70" s="13" t="s">
        <v>867</v>
      </c>
      <c r="F70" s="15" t="s">
        <v>518</v>
      </c>
      <c r="G70" s="13" t="s">
        <v>883</v>
      </c>
      <c r="H70" s="14">
        <v>40725</v>
      </c>
      <c r="I70" s="14"/>
      <c r="J70" s="15"/>
      <c r="K70" s="15"/>
      <c r="L70" s="13" t="s">
        <v>763</v>
      </c>
      <c r="M70" s="15"/>
      <c r="N70" s="13"/>
      <c r="O70" s="13"/>
      <c r="P70" s="13"/>
      <c r="Q70" s="13"/>
      <c r="R70" s="13"/>
      <c r="S70" s="13"/>
      <c r="T70" s="13" t="s">
        <v>765</v>
      </c>
      <c r="U70" s="15" t="s">
        <v>518</v>
      </c>
    </row>
    <row r="71" spans="1:21" ht="90" x14ac:dyDescent="0.25">
      <c r="A71" s="13" t="s">
        <v>202</v>
      </c>
      <c r="B71" s="13" t="s">
        <v>153</v>
      </c>
      <c r="C71" s="14">
        <v>43168.62222222222</v>
      </c>
      <c r="D71" s="13" t="s">
        <v>194</v>
      </c>
      <c r="E71" s="13" t="s">
        <v>867</v>
      </c>
      <c r="F71" s="15" t="s">
        <v>195</v>
      </c>
      <c r="G71" s="13" t="s">
        <v>884</v>
      </c>
      <c r="H71" s="14">
        <v>40725</v>
      </c>
      <c r="I71" s="14"/>
      <c r="J71" s="15"/>
      <c r="K71" s="15"/>
      <c r="L71" s="13" t="s">
        <v>763</v>
      </c>
      <c r="M71" s="15"/>
      <c r="N71" s="13"/>
      <c r="O71" s="13"/>
      <c r="P71" s="13"/>
      <c r="Q71" s="13"/>
      <c r="R71" s="13"/>
      <c r="S71" s="13"/>
      <c r="T71" s="13" t="s">
        <v>765</v>
      </c>
      <c r="U71" s="15" t="s">
        <v>195</v>
      </c>
    </row>
    <row r="72" spans="1:21" ht="60" x14ac:dyDescent="0.25">
      <c r="A72" s="13" t="s">
        <v>202</v>
      </c>
      <c r="B72" s="13" t="s">
        <v>153</v>
      </c>
      <c r="C72" s="14">
        <v>43168.62222222222</v>
      </c>
      <c r="D72" s="13" t="s">
        <v>484</v>
      </c>
      <c r="E72" s="13" t="s">
        <v>867</v>
      </c>
      <c r="F72" s="15" t="s">
        <v>485</v>
      </c>
      <c r="G72" s="13" t="s">
        <v>892</v>
      </c>
      <c r="H72" s="14">
        <v>40725</v>
      </c>
      <c r="I72" s="14"/>
      <c r="J72" s="15"/>
      <c r="K72" s="15"/>
      <c r="L72" s="13" t="s">
        <v>763</v>
      </c>
      <c r="M72" s="15"/>
      <c r="N72" s="13"/>
      <c r="O72" s="13"/>
      <c r="P72" s="13"/>
      <c r="Q72" s="13"/>
      <c r="R72" s="13"/>
      <c r="S72" s="13"/>
      <c r="T72" s="13" t="s">
        <v>765</v>
      </c>
      <c r="U72" s="15" t="s">
        <v>485</v>
      </c>
    </row>
    <row r="73" spans="1:21" ht="30" x14ac:dyDescent="0.25">
      <c r="A73" s="13" t="s">
        <v>202</v>
      </c>
      <c r="B73" s="13" t="s">
        <v>153</v>
      </c>
      <c r="C73" s="14">
        <v>43168.622916666667</v>
      </c>
      <c r="D73" s="13" t="s">
        <v>486</v>
      </c>
      <c r="E73" s="13" t="s">
        <v>867</v>
      </c>
      <c r="F73" s="15" t="s">
        <v>487</v>
      </c>
      <c r="G73" s="13" t="s">
        <v>892</v>
      </c>
      <c r="H73" s="14">
        <v>40725</v>
      </c>
      <c r="I73" s="14"/>
      <c r="J73" s="15"/>
      <c r="K73" s="15"/>
      <c r="L73" s="13" t="s">
        <v>763</v>
      </c>
      <c r="M73" s="15"/>
      <c r="N73" s="13"/>
      <c r="O73" s="13"/>
      <c r="P73" s="13"/>
      <c r="Q73" s="13"/>
      <c r="R73" s="13"/>
      <c r="S73" s="13"/>
      <c r="T73" s="13" t="s">
        <v>765</v>
      </c>
      <c r="U73" s="15" t="s">
        <v>487</v>
      </c>
    </row>
    <row r="74" spans="1:21" ht="45" x14ac:dyDescent="0.25">
      <c r="A74" s="13" t="s">
        <v>202</v>
      </c>
      <c r="B74" s="13" t="s">
        <v>153</v>
      </c>
      <c r="C74" s="14">
        <v>43168.622916666667</v>
      </c>
      <c r="D74" s="13" t="s">
        <v>488</v>
      </c>
      <c r="E74" s="13" t="s">
        <v>867</v>
      </c>
      <c r="F74" s="15" t="s">
        <v>489</v>
      </c>
      <c r="G74" s="13" t="s">
        <v>892</v>
      </c>
      <c r="H74" s="14">
        <v>40725</v>
      </c>
      <c r="I74" s="14"/>
      <c r="J74" s="15"/>
      <c r="K74" s="15"/>
      <c r="L74" s="13" t="s">
        <v>763</v>
      </c>
      <c r="M74" s="15"/>
      <c r="N74" s="13"/>
      <c r="O74" s="13"/>
      <c r="P74" s="13"/>
      <c r="Q74" s="13"/>
      <c r="R74" s="13"/>
      <c r="S74" s="13"/>
      <c r="T74" s="13" t="s">
        <v>765</v>
      </c>
      <c r="U74" s="15" t="s">
        <v>489</v>
      </c>
    </row>
    <row r="75" spans="1:21" ht="30" x14ac:dyDescent="0.25">
      <c r="A75" s="13" t="s">
        <v>202</v>
      </c>
      <c r="B75" s="13" t="s">
        <v>153</v>
      </c>
      <c r="C75" s="14">
        <v>43168.622916666667</v>
      </c>
      <c r="D75" s="13" t="s">
        <v>492</v>
      </c>
      <c r="E75" s="13" t="s">
        <v>867</v>
      </c>
      <c r="F75" s="15" t="s">
        <v>493</v>
      </c>
      <c r="G75" s="13" t="s">
        <v>893</v>
      </c>
      <c r="H75" s="14">
        <v>40725</v>
      </c>
      <c r="I75" s="14"/>
      <c r="J75" s="15"/>
      <c r="K75" s="15"/>
      <c r="L75" s="13" t="s">
        <v>763</v>
      </c>
      <c r="M75" s="15"/>
      <c r="N75" s="13"/>
      <c r="O75" s="13"/>
      <c r="P75" s="13"/>
      <c r="Q75" s="13"/>
      <c r="R75" s="13"/>
      <c r="S75" s="13"/>
      <c r="T75" s="13" t="s">
        <v>765</v>
      </c>
      <c r="U75" s="15" t="s">
        <v>493</v>
      </c>
    </row>
    <row r="76" spans="1:21" ht="45" x14ac:dyDescent="0.25">
      <c r="A76" s="13" t="s">
        <v>202</v>
      </c>
      <c r="B76" s="13" t="s">
        <v>153</v>
      </c>
      <c r="C76" s="14">
        <v>43168.622916666667</v>
      </c>
      <c r="D76" s="13" t="s">
        <v>490</v>
      </c>
      <c r="E76" s="13" t="s">
        <v>867</v>
      </c>
      <c r="F76" s="15" t="s">
        <v>491</v>
      </c>
      <c r="G76" s="13" t="s">
        <v>894</v>
      </c>
      <c r="H76" s="14">
        <v>40725</v>
      </c>
      <c r="I76" s="14"/>
      <c r="J76" s="15"/>
      <c r="K76" s="15"/>
      <c r="L76" s="13" t="s">
        <v>763</v>
      </c>
      <c r="M76" s="15"/>
      <c r="N76" s="13"/>
      <c r="O76" s="13"/>
      <c r="P76" s="13"/>
      <c r="Q76" s="13"/>
      <c r="R76" s="13"/>
      <c r="S76" s="13"/>
      <c r="T76" s="13" t="s">
        <v>765</v>
      </c>
      <c r="U76" s="15" t="s">
        <v>491</v>
      </c>
    </row>
    <row r="77" spans="1:21" ht="30" x14ac:dyDescent="0.25">
      <c r="A77" s="13" t="s">
        <v>202</v>
      </c>
      <c r="B77" s="13" t="s">
        <v>153</v>
      </c>
      <c r="C77" s="14">
        <v>43168.622916666667</v>
      </c>
      <c r="D77" s="13" t="s">
        <v>499</v>
      </c>
      <c r="E77" s="13" t="s">
        <v>867</v>
      </c>
      <c r="F77" s="15" t="s">
        <v>500</v>
      </c>
      <c r="G77" s="13" t="s">
        <v>777</v>
      </c>
      <c r="H77" s="14">
        <v>40725</v>
      </c>
      <c r="I77" s="14"/>
      <c r="J77" s="15"/>
      <c r="K77" s="15"/>
      <c r="L77" s="13" t="s">
        <v>763</v>
      </c>
      <c r="M77" s="15"/>
      <c r="N77" s="13"/>
      <c r="O77" s="13"/>
      <c r="P77" s="13"/>
      <c r="Q77" s="13"/>
      <c r="R77" s="13"/>
      <c r="S77" s="13"/>
      <c r="T77" s="13" t="s">
        <v>765</v>
      </c>
      <c r="U77" s="15" t="s">
        <v>500</v>
      </c>
    </row>
    <row r="78" spans="1:21" ht="90" x14ac:dyDescent="0.25">
      <c r="A78" s="13" t="s">
        <v>202</v>
      </c>
      <c r="B78" s="13" t="s">
        <v>153</v>
      </c>
      <c r="C78" s="14">
        <v>43168.623611111114</v>
      </c>
      <c r="D78" s="13" t="s">
        <v>501</v>
      </c>
      <c r="E78" s="13" t="s">
        <v>867</v>
      </c>
      <c r="F78" s="15" t="s">
        <v>502</v>
      </c>
      <c r="G78" s="13" t="s">
        <v>895</v>
      </c>
      <c r="H78" s="14">
        <v>40725</v>
      </c>
      <c r="I78" s="14"/>
      <c r="J78" s="15"/>
      <c r="K78" s="15"/>
      <c r="L78" s="13" t="s">
        <v>763</v>
      </c>
      <c r="M78" s="15"/>
      <c r="N78" s="13"/>
      <c r="O78" s="13"/>
      <c r="P78" s="13"/>
      <c r="Q78" s="13"/>
      <c r="R78" s="13"/>
      <c r="S78" s="13"/>
      <c r="T78" s="13" t="s">
        <v>765</v>
      </c>
      <c r="U78" s="15" t="s">
        <v>502</v>
      </c>
    </row>
    <row r="79" spans="1:21" ht="45" x14ac:dyDescent="0.25">
      <c r="A79" s="13" t="s">
        <v>202</v>
      </c>
      <c r="B79" s="13" t="s">
        <v>153</v>
      </c>
      <c r="C79" s="14">
        <v>43168.623611111114</v>
      </c>
      <c r="D79" s="13" t="s">
        <v>563</v>
      </c>
      <c r="E79" s="13" t="s">
        <v>867</v>
      </c>
      <c r="F79" s="15" t="s">
        <v>564</v>
      </c>
      <c r="G79" s="13" t="s">
        <v>896</v>
      </c>
      <c r="H79" s="14">
        <v>40725</v>
      </c>
      <c r="I79" s="14"/>
      <c r="J79" s="15"/>
      <c r="K79" s="15"/>
      <c r="L79" s="13" t="s">
        <v>763</v>
      </c>
      <c r="M79" s="15"/>
      <c r="N79" s="13"/>
      <c r="O79" s="13"/>
      <c r="P79" s="13"/>
      <c r="Q79" s="13"/>
      <c r="R79" s="13"/>
      <c r="S79" s="13"/>
      <c r="T79" s="13" t="s">
        <v>765</v>
      </c>
      <c r="U79" s="15" t="s">
        <v>564</v>
      </c>
    </row>
    <row r="80" spans="1:21" ht="60" x14ac:dyDescent="0.25">
      <c r="A80" s="13" t="s">
        <v>202</v>
      </c>
      <c r="B80" s="13" t="s">
        <v>153</v>
      </c>
      <c r="C80" s="14">
        <v>43168.623611111114</v>
      </c>
      <c r="D80" s="13" t="s">
        <v>575</v>
      </c>
      <c r="E80" s="13" t="s">
        <v>867</v>
      </c>
      <c r="F80" s="15" t="s">
        <v>576</v>
      </c>
      <c r="G80" s="13" t="s">
        <v>785</v>
      </c>
      <c r="H80" s="14">
        <v>40725</v>
      </c>
      <c r="I80" s="14"/>
      <c r="J80" s="15"/>
      <c r="K80" s="15"/>
      <c r="L80" s="13" t="s">
        <v>763</v>
      </c>
      <c r="M80" s="15"/>
      <c r="N80" s="13"/>
      <c r="O80" s="13"/>
      <c r="P80" s="13"/>
      <c r="Q80" s="13"/>
      <c r="R80" s="13"/>
      <c r="S80" s="13"/>
      <c r="T80" s="13" t="s">
        <v>765</v>
      </c>
      <c r="U80" s="15" t="s">
        <v>576</v>
      </c>
    </row>
    <row r="81" spans="1:21" ht="60" x14ac:dyDescent="0.25">
      <c r="A81" s="13" t="s">
        <v>202</v>
      </c>
      <c r="B81" s="13" t="s">
        <v>153</v>
      </c>
      <c r="C81" s="14">
        <v>43168.623611111114</v>
      </c>
      <c r="D81" s="13" t="s">
        <v>577</v>
      </c>
      <c r="E81" s="13" t="s">
        <v>867</v>
      </c>
      <c r="F81" s="15" t="s">
        <v>578</v>
      </c>
      <c r="G81" s="13" t="s">
        <v>897</v>
      </c>
      <c r="H81" s="14">
        <v>40725</v>
      </c>
      <c r="I81" s="14"/>
      <c r="J81" s="15"/>
      <c r="K81" s="15"/>
      <c r="L81" s="13" t="s">
        <v>763</v>
      </c>
      <c r="M81" s="15"/>
      <c r="N81" s="13"/>
      <c r="O81" s="13"/>
      <c r="P81" s="13"/>
      <c r="Q81" s="13"/>
      <c r="R81" s="13"/>
      <c r="S81" s="13"/>
      <c r="T81" s="13" t="s">
        <v>765</v>
      </c>
      <c r="U81" s="15" t="s">
        <v>578</v>
      </c>
    </row>
    <row r="82" spans="1:21" ht="60" x14ac:dyDescent="0.25">
      <c r="A82" s="13" t="s">
        <v>202</v>
      </c>
      <c r="B82" s="13" t="s">
        <v>153</v>
      </c>
      <c r="C82" s="14">
        <v>43168.623611111114</v>
      </c>
      <c r="D82" s="13" t="s">
        <v>200</v>
      </c>
      <c r="E82" s="13" t="s">
        <v>867</v>
      </c>
      <c r="F82" s="15" t="s">
        <v>201</v>
      </c>
      <c r="G82" s="13" t="s">
        <v>898</v>
      </c>
      <c r="H82" s="14">
        <v>40725</v>
      </c>
      <c r="I82" s="14"/>
      <c r="J82" s="15"/>
      <c r="K82" s="15"/>
      <c r="L82" s="13" t="s">
        <v>763</v>
      </c>
      <c r="M82" s="15"/>
      <c r="N82" s="13"/>
      <c r="O82" s="13"/>
      <c r="P82" s="13"/>
      <c r="Q82" s="13"/>
      <c r="R82" s="13"/>
      <c r="S82" s="13"/>
      <c r="T82" s="13" t="s">
        <v>765</v>
      </c>
      <c r="U82" s="15" t="s">
        <v>201</v>
      </c>
    </row>
    <row r="83" spans="1:21" ht="45" x14ac:dyDescent="0.25">
      <c r="A83" s="13" t="s">
        <v>614</v>
      </c>
      <c r="B83" s="13" t="s">
        <v>153</v>
      </c>
      <c r="C83" s="14">
        <v>43649.636805555558</v>
      </c>
      <c r="D83" s="13" t="s">
        <v>586</v>
      </c>
      <c r="E83" s="13" t="s">
        <v>867</v>
      </c>
      <c r="F83" s="15" t="s">
        <v>587</v>
      </c>
      <c r="G83" s="13" t="s">
        <v>899</v>
      </c>
      <c r="H83" s="14">
        <v>43274</v>
      </c>
      <c r="I83" s="14"/>
      <c r="J83" s="15"/>
      <c r="K83" s="15"/>
      <c r="L83" s="13" t="s">
        <v>763</v>
      </c>
      <c r="M83" s="15"/>
      <c r="N83" s="13"/>
      <c r="O83" s="13"/>
      <c r="P83" s="13" t="s">
        <v>863</v>
      </c>
      <c r="Q83" s="13"/>
      <c r="R83" s="13"/>
      <c r="S83" s="13"/>
      <c r="T83" s="13" t="s">
        <v>765</v>
      </c>
      <c r="U83" s="15" t="s">
        <v>587</v>
      </c>
    </row>
    <row r="84" spans="1:21" ht="45" x14ac:dyDescent="0.25">
      <c r="A84" s="13" t="s">
        <v>614</v>
      </c>
      <c r="B84" s="13" t="s">
        <v>153</v>
      </c>
      <c r="C84" s="14">
        <v>43649.637499999997</v>
      </c>
      <c r="D84" s="13" t="s">
        <v>588</v>
      </c>
      <c r="E84" s="13" t="s">
        <v>867</v>
      </c>
      <c r="F84" s="15" t="s">
        <v>589</v>
      </c>
      <c r="G84" s="13" t="s">
        <v>899</v>
      </c>
      <c r="H84" s="14">
        <v>43274</v>
      </c>
      <c r="I84" s="14"/>
      <c r="J84" s="15"/>
      <c r="K84" s="15"/>
      <c r="L84" s="13" t="s">
        <v>763</v>
      </c>
      <c r="M84" s="15"/>
      <c r="N84" s="13"/>
      <c r="O84" s="13"/>
      <c r="P84" s="13" t="s">
        <v>863</v>
      </c>
      <c r="Q84" s="13"/>
      <c r="R84" s="13"/>
      <c r="S84" s="13"/>
      <c r="T84" s="13" t="s">
        <v>765</v>
      </c>
      <c r="U84" s="15" t="s">
        <v>589</v>
      </c>
    </row>
    <row r="85" spans="1:21" ht="45" x14ac:dyDescent="0.25">
      <c r="A85" s="13" t="s">
        <v>301</v>
      </c>
      <c r="B85" s="13" t="s">
        <v>87</v>
      </c>
      <c r="C85" s="14">
        <v>44713.648611111108</v>
      </c>
      <c r="D85" s="13" t="s">
        <v>590</v>
      </c>
      <c r="E85" s="13" t="s">
        <v>867</v>
      </c>
      <c r="F85" s="15" t="s">
        <v>591</v>
      </c>
      <c r="G85" s="13" t="s">
        <v>899</v>
      </c>
      <c r="H85" s="14">
        <v>43274</v>
      </c>
      <c r="I85" s="14">
        <v>44681</v>
      </c>
      <c r="J85" s="15"/>
      <c r="K85" s="15"/>
      <c r="L85" s="13" t="s">
        <v>763</v>
      </c>
      <c r="M85" s="15"/>
      <c r="N85" s="13"/>
      <c r="O85" s="13"/>
      <c r="P85" s="13" t="s">
        <v>900</v>
      </c>
      <c r="Q85" s="13"/>
      <c r="R85" s="13"/>
      <c r="S85" s="13"/>
      <c r="T85" s="13" t="s">
        <v>765</v>
      </c>
      <c r="U85" s="15" t="s">
        <v>591</v>
      </c>
    </row>
    <row r="86" spans="1:21" ht="60" x14ac:dyDescent="0.25">
      <c r="A86" s="13" t="s">
        <v>301</v>
      </c>
      <c r="B86" s="13" t="s">
        <v>87</v>
      </c>
      <c r="C86" s="14">
        <v>44713.649305555555</v>
      </c>
      <c r="D86" s="13" t="s">
        <v>602</v>
      </c>
      <c r="E86" s="13" t="s">
        <v>867</v>
      </c>
      <c r="F86" s="15" t="s">
        <v>603</v>
      </c>
      <c r="G86" s="13" t="s">
        <v>901</v>
      </c>
      <c r="H86" s="14">
        <v>43274</v>
      </c>
      <c r="I86" s="14">
        <v>44681</v>
      </c>
      <c r="J86" s="15"/>
      <c r="K86" s="15"/>
      <c r="L86" s="13" t="s">
        <v>763</v>
      </c>
      <c r="M86" s="15"/>
      <c r="N86" s="13"/>
      <c r="O86" s="13"/>
      <c r="P86" s="13" t="s">
        <v>900</v>
      </c>
      <c r="Q86" s="13"/>
      <c r="R86" s="13"/>
      <c r="S86" s="13"/>
      <c r="T86" s="13" t="s">
        <v>765</v>
      </c>
      <c r="U86" s="15" t="s">
        <v>603</v>
      </c>
    </row>
    <row r="87" spans="1:21" ht="75" x14ac:dyDescent="0.25">
      <c r="A87" s="13" t="s">
        <v>301</v>
      </c>
      <c r="B87" s="13" t="s">
        <v>87</v>
      </c>
      <c r="C87" s="14">
        <v>44713.65</v>
      </c>
      <c r="D87" s="13" t="s">
        <v>604</v>
      </c>
      <c r="E87" s="13" t="s">
        <v>867</v>
      </c>
      <c r="F87" s="15" t="s">
        <v>605</v>
      </c>
      <c r="G87" s="13" t="s">
        <v>901</v>
      </c>
      <c r="H87" s="14">
        <v>43274</v>
      </c>
      <c r="I87" s="14">
        <v>44681</v>
      </c>
      <c r="J87" s="15"/>
      <c r="K87" s="15"/>
      <c r="L87" s="13" t="s">
        <v>763</v>
      </c>
      <c r="M87" s="15"/>
      <c r="N87" s="13"/>
      <c r="O87" s="13"/>
      <c r="P87" s="13" t="s">
        <v>900</v>
      </c>
      <c r="Q87" s="13"/>
      <c r="R87" s="13"/>
      <c r="S87" s="13"/>
      <c r="T87" s="13" t="s">
        <v>765</v>
      </c>
      <c r="U87" s="15" t="s">
        <v>605</v>
      </c>
    </row>
    <row r="88" spans="1:21" ht="60" x14ac:dyDescent="0.25">
      <c r="A88" s="13" t="s">
        <v>167</v>
      </c>
      <c r="B88" s="13" t="s">
        <v>153</v>
      </c>
      <c r="C88" s="14">
        <v>44081.558333333334</v>
      </c>
      <c r="D88" s="13" t="s">
        <v>180</v>
      </c>
      <c r="E88" s="13" t="s">
        <v>867</v>
      </c>
      <c r="F88" s="15" t="s">
        <v>181</v>
      </c>
      <c r="G88" s="13" t="s">
        <v>902</v>
      </c>
      <c r="H88" s="14">
        <v>43831</v>
      </c>
      <c r="I88" s="14"/>
      <c r="J88" s="15"/>
      <c r="K88" s="15"/>
      <c r="L88" s="13" t="s">
        <v>763</v>
      </c>
      <c r="M88" s="15"/>
      <c r="N88" s="13"/>
      <c r="O88" s="13"/>
      <c r="P88" s="13" t="s">
        <v>903</v>
      </c>
      <c r="Q88" s="13"/>
      <c r="R88" s="13"/>
      <c r="S88" s="13"/>
      <c r="T88" s="13" t="s">
        <v>765</v>
      </c>
      <c r="U88" s="15" t="s">
        <v>181</v>
      </c>
    </row>
    <row r="89" spans="1:21" ht="60" x14ac:dyDescent="0.25">
      <c r="A89" s="13" t="s">
        <v>167</v>
      </c>
      <c r="B89" s="13" t="s">
        <v>153</v>
      </c>
      <c r="C89" s="14">
        <v>44078.354166666664</v>
      </c>
      <c r="D89" s="13" t="s">
        <v>182</v>
      </c>
      <c r="E89" s="13" t="s">
        <v>867</v>
      </c>
      <c r="F89" s="15" t="s">
        <v>183</v>
      </c>
      <c r="G89" s="13" t="s">
        <v>902</v>
      </c>
      <c r="H89" s="14">
        <v>43831</v>
      </c>
      <c r="I89" s="14"/>
      <c r="J89" s="15"/>
      <c r="K89" s="15"/>
      <c r="L89" s="13" t="s">
        <v>763</v>
      </c>
      <c r="M89" s="15"/>
      <c r="N89" s="13"/>
      <c r="O89" s="13"/>
      <c r="P89" s="13" t="s">
        <v>903</v>
      </c>
      <c r="Q89" s="13"/>
      <c r="R89" s="13"/>
      <c r="S89" s="13"/>
      <c r="T89" s="13" t="s">
        <v>765</v>
      </c>
      <c r="U89" s="15" t="s">
        <v>183</v>
      </c>
    </row>
    <row r="90" spans="1:21" ht="45" x14ac:dyDescent="0.25">
      <c r="A90" s="13" t="s">
        <v>167</v>
      </c>
      <c r="B90" s="13" t="s">
        <v>153</v>
      </c>
      <c r="C90" s="14">
        <v>44071.452777777777</v>
      </c>
      <c r="D90" s="13" t="s">
        <v>155</v>
      </c>
      <c r="E90" s="13" t="s">
        <v>867</v>
      </c>
      <c r="F90" s="15" t="s">
        <v>156</v>
      </c>
      <c r="G90" s="13" t="s">
        <v>904</v>
      </c>
      <c r="H90" s="14">
        <v>43831</v>
      </c>
      <c r="I90" s="14"/>
      <c r="J90" s="15"/>
      <c r="K90" s="15"/>
      <c r="L90" s="13" t="s">
        <v>763</v>
      </c>
      <c r="M90" s="15"/>
      <c r="N90" s="13"/>
      <c r="O90" s="13"/>
      <c r="P90" s="13" t="s">
        <v>903</v>
      </c>
      <c r="Q90" s="13"/>
      <c r="R90" s="13"/>
      <c r="S90" s="13"/>
      <c r="T90" s="13" t="s">
        <v>765</v>
      </c>
      <c r="U90" s="15" t="s">
        <v>156</v>
      </c>
    </row>
    <row r="91" spans="1:21" ht="90" x14ac:dyDescent="0.25">
      <c r="A91" s="13" t="s">
        <v>167</v>
      </c>
      <c r="B91" s="13" t="s">
        <v>153</v>
      </c>
      <c r="C91" s="14">
        <v>46044.439583333333</v>
      </c>
      <c r="D91" s="13" t="s">
        <v>157</v>
      </c>
      <c r="E91" s="13" t="s">
        <v>867</v>
      </c>
      <c r="F91" s="15" t="s">
        <v>158</v>
      </c>
      <c r="G91" s="13" t="s">
        <v>904</v>
      </c>
      <c r="H91" s="14">
        <v>43831</v>
      </c>
      <c r="I91" s="14"/>
      <c r="J91" s="15"/>
      <c r="K91" s="15"/>
      <c r="L91" s="13" t="s">
        <v>763</v>
      </c>
      <c r="M91" s="15"/>
      <c r="N91" s="13"/>
      <c r="O91" s="13"/>
      <c r="P91" s="13" t="s">
        <v>903</v>
      </c>
      <c r="Q91" s="13"/>
      <c r="R91" s="13"/>
      <c r="S91" s="13"/>
      <c r="T91" s="13" t="s">
        <v>765</v>
      </c>
      <c r="U91" s="15" t="s">
        <v>158</v>
      </c>
    </row>
    <row r="92" spans="1:21" ht="75" x14ac:dyDescent="0.25">
      <c r="A92" s="13" t="s">
        <v>167</v>
      </c>
      <c r="B92" s="13" t="s">
        <v>153</v>
      </c>
      <c r="C92" s="14">
        <v>44071.452777777777</v>
      </c>
      <c r="D92" s="13" t="s">
        <v>159</v>
      </c>
      <c r="E92" s="13" t="s">
        <v>867</v>
      </c>
      <c r="F92" s="15" t="s">
        <v>160</v>
      </c>
      <c r="G92" s="13" t="s">
        <v>904</v>
      </c>
      <c r="H92" s="14">
        <v>43831</v>
      </c>
      <c r="I92" s="14"/>
      <c r="J92" s="15"/>
      <c r="K92" s="15"/>
      <c r="L92" s="13" t="s">
        <v>763</v>
      </c>
      <c r="M92" s="15"/>
      <c r="N92" s="13"/>
      <c r="O92" s="13"/>
      <c r="P92" s="13" t="s">
        <v>903</v>
      </c>
      <c r="Q92" s="13"/>
      <c r="R92" s="13"/>
      <c r="S92" s="13"/>
      <c r="T92" s="13" t="s">
        <v>765</v>
      </c>
      <c r="U92" s="15" t="s">
        <v>160</v>
      </c>
    </row>
    <row r="93" spans="1:21" ht="45" x14ac:dyDescent="0.25">
      <c r="A93" s="13" t="s">
        <v>167</v>
      </c>
      <c r="B93" s="13" t="s">
        <v>153</v>
      </c>
      <c r="C93" s="14">
        <v>44071.452777777777</v>
      </c>
      <c r="D93" s="13" t="s">
        <v>184</v>
      </c>
      <c r="E93" s="13" t="s">
        <v>867</v>
      </c>
      <c r="F93" s="15" t="s">
        <v>185</v>
      </c>
      <c r="G93" s="13" t="s">
        <v>904</v>
      </c>
      <c r="H93" s="14">
        <v>43831</v>
      </c>
      <c r="I93" s="14"/>
      <c r="J93" s="15"/>
      <c r="K93" s="15"/>
      <c r="L93" s="13" t="s">
        <v>763</v>
      </c>
      <c r="M93" s="15"/>
      <c r="N93" s="13"/>
      <c r="O93" s="13"/>
      <c r="P93" s="13" t="s">
        <v>903</v>
      </c>
      <c r="Q93" s="13"/>
      <c r="R93" s="13"/>
      <c r="S93" s="13"/>
      <c r="T93" s="13" t="s">
        <v>765</v>
      </c>
      <c r="U93" s="15" t="s">
        <v>185</v>
      </c>
    </row>
    <row r="94" spans="1:21" s="22" customFormat="1" ht="90" x14ac:dyDescent="0.25">
      <c r="A94" s="19" t="s">
        <v>874</v>
      </c>
      <c r="B94" s="19" t="s">
        <v>87</v>
      </c>
      <c r="C94" s="20">
        <v>45993.640972222223</v>
      </c>
      <c r="D94" s="19" t="s">
        <v>440</v>
      </c>
      <c r="E94" s="19" t="s">
        <v>867</v>
      </c>
      <c r="F94" s="21" t="s">
        <v>441</v>
      </c>
      <c r="G94" s="19" t="s">
        <v>905</v>
      </c>
      <c r="H94" s="20">
        <v>40725</v>
      </c>
      <c r="I94" s="20"/>
      <c r="J94" s="21"/>
      <c r="K94" s="21"/>
      <c r="L94" s="19" t="s">
        <v>763</v>
      </c>
      <c r="M94" s="21"/>
      <c r="N94" s="19"/>
      <c r="O94" s="19"/>
      <c r="P94" s="19" t="s">
        <v>906</v>
      </c>
      <c r="Q94" s="19"/>
      <c r="R94" s="19" t="s">
        <v>887</v>
      </c>
      <c r="S94" s="19"/>
      <c r="T94" s="19" t="s">
        <v>765</v>
      </c>
      <c r="U94" s="21" t="s">
        <v>441</v>
      </c>
    </row>
    <row r="95" spans="1:21" s="22" customFormat="1" ht="60" x14ac:dyDescent="0.25">
      <c r="A95" s="19" t="s">
        <v>874</v>
      </c>
      <c r="B95" s="19" t="s">
        <v>87</v>
      </c>
      <c r="C95" s="20">
        <v>45993.64166666667</v>
      </c>
      <c r="D95" s="19" t="s">
        <v>310</v>
      </c>
      <c r="E95" s="19" t="s">
        <v>867</v>
      </c>
      <c r="F95" s="21" t="s">
        <v>311</v>
      </c>
      <c r="G95" s="19" t="s">
        <v>907</v>
      </c>
      <c r="H95" s="20">
        <v>44634</v>
      </c>
      <c r="I95" s="20"/>
      <c r="J95" s="21"/>
      <c r="K95" s="21"/>
      <c r="L95" s="19" t="s">
        <v>763</v>
      </c>
      <c r="M95" s="21"/>
      <c r="N95" s="19"/>
      <c r="O95" s="19"/>
      <c r="P95" s="19" t="s">
        <v>908</v>
      </c>
      <c r="Q95" s="19"/>
      <c r="R95" s="19" t="s">
        <v>887</v>
      </c>
      <c r="S95" s="19"/>
      <c r="T95" s="19" t="s">
        <v>765</v>
      </c>
      <c r="U95" s="21" t="s">
        <v>311</v>
      </c>
    </row>
    <row r="96" spans="1:21" ht="45" x14ac:dyDescent="0.25">
      <c r="A96" s="13" t="s">
        <v>301</v>
      </c>
      <c r="B96" s="13" t="s">
        <v>153</v>
      </c>
      <c r="C96" s="14">
        <v>44713.602083333331</v>
      </c>
      <c r="D96" s="13" t="s">
        <v>597</v>
      </c>
      <c r="E96" s="13" t="s">
        <v>867</v>
      </c>
      <c r="F96" s="15" t="s">
        <v>598</v>
      </c>
      <c r="G96" s="13" t="s">
        <v>899</v>
      </c>
      <c r="H96" s="14">
        <v>44682</v>
      </c>
      <c r="I96" s="14"/>
      <c r="J96" s="15"/>
      <c r="K96" s="15"/>
      <c r="L96" s="13" t="s">
        <v>763</v>
      </c>
      <c r="M96" s="15"/>
      <c r="N96" s="13"/>
      <c r="O96" s="13"/>
      <c r="P96" s="13" t="s">
        <v>909</v>
      </c>
      <c r="Q96" s="13"/>
      <c r="R96" s="13"/>
      <c r="S96" s="13"/>
      <c r="T96" s="13" t="s">
        <v>765</v>
      </c>
      <c r="U96" s="15" t="s">
        <v>598</v>
      </c>
    </row>
    <row r="97" spans="1:21" ht="60" x14ac:dyDescent="0.25">
      <c r="A97" s="13" t="s">
        <v>301</v>
      </c>
      <c r="B97" s="13" t="s">
        <v>153</v>
      </c>
      <c r="C97" s="14">
        <v>44713.604861111111</v>
      </c>
      <c r="D97" s="13" t="s">
        <v>607</v>
      </c>
      <c r="E97" s="13" t="s">
        <v>867</v>
      </c>
      <c r="F97" s="15" t="s">
        <v>608</v>
      </c>
      <c r="G97" s="13" t="s">
        <v>901</v>
      </c>
      <c r="H97" s="14">
        <v>44682</v>
      </c>
      <c r="I97" s="14"/>
      <c r="J97" s="15"/>
      <c r="K97" s="15"/>
      <c r="L97" s="13" t="s">
        <v>763</v>
      </c>
      <c r="M97" s="15"/>
      <c r="N97" s="13"/>
      <c r="O97" s="13"/>
      <c r="P97" s="13" t="s">
        <v>910</v>
      </c>
      <c r="Q97" s="13"/>
      <c r="R97" s="13"/>
      <c r="S97" s="13"/>
      <c r="T97" s="13" t="s">
        <v>765</v>
      </c>
      <c r="U97" s="15" t="s">
        <v>608</v>
      </c>
    </row>
    <row r="98" spans="1:21" ht="75" x14ac:dyDescent="0.25">
      <c r="A98" s="13" t="s">
        <v>301</v>
      </c>
      <c r="B98" s="13" t="s">
        <v>153</v>
      </c>
      <c r="C98" s="14">
        <v>44713.609027777777</v>
      </c>
      <c r="D98" s="13" t="s">
        <v>609</v>
      </c>
      <c r="E98" s="13" t="s">
        <v>867</v>
      </c>
      <c r="F98" s="15" t="s">
        <v>610</v>
      </c>
      <c r="G98" s="13" t="s">
        <v>901</v>
      </c>
      <c r="H98" s="14">
        <v>44682</v>
      </c>
      <c r="I98" s="14"/>
      <c r="J98" s="15"/>
      <c r="K98" s="15"/>
      <c r="L98" s="13" t="s">
        <v>763</v>
      </c>
      <c r="M98" s="15"/>
      <c r="N98" s="13"/>
      <c r="O98" s="13"/>
      <c r="P98" s="13" t="s">
        <v>910</v>
      </c>
      <c r="Q98" s="13"/>
      <c r="R98" s="13"/>
      <c r="S98" s="13"/>
      <c r="T98" s="13" t="s">
        <v>765</v>
      </c>
      <c r="U98" s="15" t="s">
        <v>610</v>
      </c>
    </row>
    <row r="99" spans="1:21" ht="105" x14ac:dyDescent="0.25">
      <c r="A99" s="13" t="s">
        <v>627</v>
      </c>
      <c r="B99" s="13" t="s">
        <v>153</v>
      </c>
      <c r="C99" s="14">
        <v>45086.382638888892</v>
      </c>
      <c r="D99" s="13" t="s">
        <v>635</v>
      </c>
      <c r="E99" s="13" t="s">
        <v>867</v>
      </c>
      <c r="F99" s="15" t="s">
        <v>636</v>
      </c>
      <c r="G99" s="13" t="s">
        <v>911</v>
      </c>
      <c r="H99" s="14">
        <v>43831</v>
      </c>
      <c r="I99" s="14"/>
      <c r="J99" s="15"/>
      <c r="K99" s="15"/>
      <c r="L99" s="13" t="s">
        <v>763</v>
      </c>
      <c r="M99" s="15"/>
      <c r="N99" s="13"/>
      <c r="O99" s="13"/>
      <c r="P99" s="13" t="s">
        <v>806</v>
      </c>
      <c r="Q99" s="13"/>
      <c r="R99" s="13"/>
      <c r="S99" s="13"/>
      <c r="T99" s="13" t="s">
        <v>765</v>
      </c>
      <c r="U99" s="15" t="s">
        <v>636</v>
      </c>
    </row>
    <row r="100" spans="1:21" x14ac:dyDescent="0.25">
      <c r="A100" s="13" t="s">
        <v>627</v>
      </c>
      <c r="B100" s="13" t="s">
        <v>153</v>
      </c>
      <c r="C100" s="14">
        <v>45084.44027777778</v>
      </c>
      <c r="D100" s="13" t="s">
        <v>637</v>
      </c>
      <c r="E100" s="13" t="s">
        <v>867</v>
      </c>
      <c r="F100" s="15" t="s">
        <v>638</v>
      </c>
      <c r="G100" s="13" t="s">
        <v>911</v>
      </c>
      <c r="H100" s="14">
        <v>43831</v>
      </c>
      <c r="I100" s="14"/>
      <c r="J100" s="15"/>
      <c r="K100" s="15"/>
      <c r="L100" s="13" t="s">
        <v>763</v>
      </c>
      <c r="M100" s="15"/>
      <c r="N100" s="13"/>
      <c r="O100" s="13"/>
      <c r="P100" s="13" t="s">
        <v>806</v>
      </c>
      <c r="Q100" s="13"/>
      <c r="R100" s="13"/>
      <c r="S100" s="13"/>
      <c r="T100" s="13" t="s">
        <v>765</v>
      </c>
      <c r="U100" s="15" t="s">
        <v>638</v>
      </c>
    </row>
    <row r="101" spans="1:21" ht="30" x14ac:dyDescent="0.25">
      <c r="A101" s="13" t="s">
        <v>627</v>
      </c>
      <c r="B101" s="13" t="s">
        <v>153</v>
      </c>
      <c r="C101" s="14">
        <v>45086.37777777778</v>
      </c>
      <c r="D101" s="13" t="s">
        <v>639</v>
      </c>
      <c r="E101" s="13" t="s">
        <v>867</v>
      </c>
      <c r="F101" s="15" t="s">
        <v>640</v>
      </c>
      <c r="G101" s="13" t="s">
        <v>911</v>
      </c>
      <c r="H101" s="14">
        <v>43831</v>
      </c>
      <c r="I101" s="14"/>
      <c r="J101" s="15"/>
      <c r="K101" s="15"/>
      <c r="L101" s="13" t="s">
        <v>763</v>
      </c>
      <c r="M101" s="15"/>
      <c r="N101" s="13"/>
      <c r="O101" s="13"/>
      <c r="P101" s="13" t="s">
        <v>806</v>
      </c>
      <c r="Q101" s="13"/>
      <c r="R101" s="13"/>
      <c r="S101" s="13"/>
      <c r="T101" s="13" t="s">
        <v>765</v>
      </c>
      <c r="U101" s="15" t="s">
        <v>640</v>
      </c>
    </row>
    <row r="102" spans="1:21" ht="75" x14ac:dyDescent="0.25">
      <c r="A102" s="13" t="s">
        <v>627</v>
      </c>
      <c r="B102" s="13" t="s">
        <v>153</v>
      </c>
      <c r="C102" s="14">
        <v>45084.440972222219</v>
      </c>
      <c r="D102" s="13" t="s">
        <v>641</v>
      </c>
      <c r="E102" s="13" t="s">
        <v>867</v>
      </c>
      <c r="F102" s="15" t="s">
        <v>642</v>
      </c>
      <c r="G102" s="13" t="s">
        <v>912</v>
      </c>
      <c r="H102" s="14">
        <v>43831</v>
      </c>
      <c r="I102" s="14"/>
      <c r="J102" s="15"/>
      <c r="K102" s="15"/>
      <c r="L102" s="13" t="s">
        <v>763</v>
      </c>
      <c r="M102" s="15"/>
      <c r="N102" s="13"/>
      <c r="O102" s="13"/>
      <c r="P102" s="13" t="s">
        <v>806</v>
      </c>
      <c r="Q102" s="13"/>
      <c r="R102" s="13"/>
      <c r="S102" s="13"/>
      <c r="T102" s="13" t="s">
        <v>765</v>
      </c>
      <c r="U102" s="15" t="s">
        <v>642</v>
      </c>
    </row>
    <row r="103" spans="1:21" ht="45" x14ac:dyDescent="0.25">
      <c r="A103" s="13" t="s">
        <v>627</v>
      </c>
      <c r="B103" s="13" t="s">
        <v>153</v>
      </c>
      <c r="C103" s="14">
        <v>45084.440972222219</v>
      </c>
      <c r="D103" s="13" t="s">
        <v>643</v>
      </c>
      <c r="E103" s="13" t="s">
        <v>867</v>
      </c>
      <c r="F103" s="15" t="s">
        <v>644</v>
      </c>
      <c r="G103" s="13" t="s">
        <v>911</v>
      </c>
      <c r="H103" s="14">
        <v>43831</v>
      </c>
      <c r="I103" s="14"/>
      <c r="J103" s="15"/>
      <c r="K103" s="15"/>
      <c r="L103" s="13" t="s">
        <v>763</v>
      </c>
      <c r="M103" s="15"/>
      <c r="N103" s="13"/>
      <c r="O103" s="13"/>
      <c r="P103" s="13" t="s">
        <v>806</v>
      </c>
      <c r="Q103" s="13"/>
      <c r="R103" s="13"/>
      <c r="S103" s="13"/>
      <c r="T103" s="13" t="s">
        <v>765</v>
      </c>
      <c r="U103" s="15" t="s">
        <v>644</v>
      </c>
    </row>
    <row r="104" spans="1:21" ht="105" x14ac:dyDescent="0.25">
      <c r="A104" s="13" t="s">
        <v>627</v>
      </c>
      <c r="B104" s="13" t="s">
        <v>153</v>
      </c>
      <c r="C104" s="14">
        <v>45084.441666666666</v>
      </c>
      <c r="D104" s="13" t="s">
        <v>645</v>
      </c>
      <c r="E104" s="13" t="s">
        <v>867</v>
      </c>
      <c r="F104" s="15" t="s">
        <v>646</v>
      </c>
      <c r="G104" s="13" t="s">
        <v>911</v>
      </c>
      <c r="H104" s="14">
        <v>43831</v>
      </c>
      <c r="I104" s="14"/>
      <c r="J104" s="15"/>
      <c r="K104" s="15"/>
      <c r="L104" s="13" t="s">
        <v>763</v>
      </c>
      <c r="M104" s="15"/>
      <c r="N104" s="13"/>
      <c r="O104" s="13"/>
      <c r="P104" s="13" t="s">
        <v>806</v>
      </c>
      <c r="Q104" s="13"/>
      <c r="R104" s="13"/>
      <c r="S104" s="13"/>
      <c r="T104" s="13" t="s">
        <v>765</v>
      </c>
      <c r="U104" s="15" t="s">
        <v>646</v>
      </c>
    </row>
    <row r="105" spans="1:21" ht="45" x14ac:dyDescent="0.25">
      <c r="A105" s="13" t="s">
        <v>627</v>
      </c>
      <c r="B105" s="13" t="s">
        <v>153</v>
      </c>
      <c r="C105" s="14">
        <v>45086.379861111112</v>
      </c>
      <c r="D105" s="13" t="s">
        <v>661</v>
      </c>
      <c r="E105" s="13" t="s">
        <v>867</v>
      </c>
      <c r="F105" s="15" t="s">
        <v>662</v>
      </c>
      <c r="G105" s="13" t="s">
        <v>911</v>
      </c>
      <c r="H105" s="14">
        <v>43831</v>
      </c>
      <c r="I105" s="14"/>
      <c r="J105" s="15"/>
      <c r="K105" s="15"/>
      <c r="L105" s="13" t="s">
        <v>763</v>
      </c>
      <c r="M105" s="15"/>
      <c r="N105" s="13"/>
      <c r="O105" s="13"/>
      <c r="P105" s="13" t="s">
        <v>806</v>
      </c>
      <c r="Q105" s="13"/>
      <c r="R105" s="13"/>
      <c r="S105" s="13"/>
      <c r="T105" s="13" t="s">
        <v>765</v>
      </c>
      <c r="U105" s="15" t="s">
        <v>662</v>
      </c>
    </row>
    <row r="106" spans="1:21" ht="60" x14ac:dyDescent="0.25">
      <c r="A106" s="13" t="s">
        <v>152</v>
      </c>
      <c r="B106" s="13" t="s">
        <v>153</v>
      </c>
      <c r="C106" s="14">
        <v>45807.613194444442</v>
      </c>
      <c r="D106" s="13" t="s">
        <v>161</v>
      </c>
      <c r="E106" s="13" t="s">
        <v>867</v>
      </c>
      <c r="F106" s="15" t="s">
        <v>162</v>
      </c>
      <c r="G106" s="13" t="s">
        <v>868</v>
      </c>
      <c r="H106" s="14">
        <v>40982</v>
      </c>
      <c r="I106" s="14"/>
      <c r="J106" s="15"/>
      <c r="K106" s="15"/>
      <c r="L106" s="13" t="s">
        <v>763</v>
      </c>
      <c r="M106" s="15"/>
      <c r="N106" s="13"/>
      <c r="O106" s="13"/>
      <c r="P106" s="13" t="s">
        <v>913</v>
      </c>
      <c r="Q106" s="13"/>
      <c r="R106" s="13"/>
      <c r="S106" s="13"/>
      <c r="T106" s="13" t="s">
        <v>765</v>
      </c>
      <c r="U106" s="15" t="s">
        <v>162</v>
      </c>
    </row>
    <row r="107" spans="1:21" ht="90" x14ac:dyDescent="0.25">
      <c r="A107" s="13" t="s">
        <v>152</v>
      </c>
      <c r="B107" s="13" t="s">
        <v>153</v>
      </c>
      <c r="C107" s="14">
        <v>45807.612500000003</v>
      </c>
      <c r="D107" s="13" t="s">
        <v>163</v>
      </c>
      <c r="E107" s="13" t="s">
        <v>867</v>
      </c>
      <c r="F107" s="15" t="s">
        <v>164</v>
      </c>
      <c r="G107" s="13" t="s">
        <v>868</v>
      </c>
      <c r="H107" s="14">
        <v>40982</v>
      </c>
      <c r="I107" s="14"/>
      <c r="J107" s="15"/>
      <c r="K107" s="15"/>
      <c r="L107" s="13" t="s">
        <v>763</v>
      </c>
      <c r="M107" s="15"/>
      <c r="N107" s="13"/>
      <c r="O107" s="13"/>
      <c r="P107" s="13" t="s">
        <v>913</v>
      </c>
      <c r="Q107" s="13"/>
      <c r="R107" s="13"/>
      <c r="S107" s="13"/>
      <c r="T107" s="13" t="s">
        <v>765</v>
      </c>
      <c r="U107" s="15" t="s">
        <v>164</v>
      </c>
    </row>
    <row r="108" spans="1:21" ht="75" x14ac:dyDescent="0.25">
      <c r="A108" s="13" t="s">
        <v>152</v>
      </c>
      <c r="B108" s="13" t="s">
        <v>153</v>
      </c>
      <c r="C108" s="14">
        <v>45807.446527777778</v>
      </c>
      <c r="D108" s="13" t="s">
        <v>165</v>
      </c>
      <c r="E108" s="13" t="s">
        <v>867</v>
      </c>
      <c r="F108" s="15" t="s">
        <v>166</v>
      </c>
      <c r="G108" s="13" t="s">
        <v>868</v>
      </c>
      <c r="H108" s="14">
        <v>40982</v>
      </c>
      <c r="I108" s="14"/>
      <c r="J108" s="15"/>
      <c r="K108" s="15"/>
      <c r="L108" s="13" t="s">
        <v>763</v>
      </c>
      <c r="M108" s="15"/>
      <c r="N108" s="13"/>
      <c r="O108" s="13"/>
      <c r="P108" s="13" t="s">
        <v>914</v>
      </c>
      <c r="Q108" s="13"/>
      <c r="R108" s="13"/>
      <c r="S108" s="13"/>
      <c r="T108" s="13" t="s">
        <v>765</v>
      </c>
      <c r="U108" s="15" t="s">
        <v>166</v>
      </c>
    </row>
    <row r="109" spans="1:21" ht="120" x14ac:dyDescent="0.25">
      <c r="A109" s="13" t="s">
        <v>202</v>
      </c>
      <c r="B109" s="13" t="s">
        <v>153</v>
      </c>
      <c r="C109" s="14">
        <v>43745.443749999999</v>
      </c>
      <c r="D109" s="13" t="s">
        <v>701</v>
      </c>
      <c r="E109" s="13" t="s">
        <v>915</v>
      </c>
      <c r="F109" s="15" t="s">
        <v>702</v>
      </c>
      <c r="G109" s="13"/>
      <c r="H109" s="14">
        <v>40725</v>
      </c>
      <c r="I109" s="14"/>
      <c r="J109" s="15"/>
      <c r="K109" s="15"/>
      <c r="L109" s="13" t="s">
        <v>763</v>
      </c>
      <c r="M109" s="15"/>
      <c r="N109" s="13"/>
      <c r="O109" s="13"/>
      <c r="P109" s="13"/>
      <c r="Q109" s="13" t="s">
        <v>916</v>
      </c>
      <c r="R109" s="13"/>
      <c r="S109" s="13"/>
      <c r="T109" s="13" t="s">
        <v>765</v>
      </c>
      <c r="U109" s="15" t="s">
        <v>917</v>
      </c>
    </row>
    <row r="110" spans="1:21" ht="120" x14ac:dyDescent="0.25">
      <c r="A110" s="13" t="s">
        <v>202</v>
      </c>
      <c r="B110" s="13" t="s">
        <v>153</v>
      </c>
      <c r="C110" s="14">
        <v>43745.445833333331</v>
      </c>
      <c r="D110" s="13" t="s">
        <v>721</v>
      </c>
      <c r="E110" s="13" t="s">
        <v>915</v>
      </c>
      <c r="F110" s="15" t="s">
        <v>722</v>
      </c>
      <c r="G110" s="13"/>
      <c r="H110" s="14">
        <v>40725</v>
      </c>
      <c r="I110" s="14"/>
      <c r="J110" s="15"/>
      <c r="K110" s="15"/>
      <c r="L110" s="13" t="s">
        <v>763</v>
      </c>
      <c r="M110" s="15"/>
      <c r="N110" s="13"/>
      <c r="O110" s="13"/>
      <c r="P110" s="13"/>
      <c r="Q110" s="13" t="s">
        <v>918</v>
      </c>
      <c r="R110" s="13"/>
      <c r="S110" s="13"/>
      <c r="T110" s="13" t="s">
        <v>765</v>
      </c>
      <c r="U110" s="15" t="s">
        <v>919</v>
      </c>
    </row>
    <row r="111" spans="1:21" ht="75" x14ac:dyDescent="0.25">
      <c r="A111" s="13" t="s">
        <v>202</v>
      </c>
      <c r="B111" s="13" t="s">
        <v>153</v>
      </c>
      <c r="C111" s="14">
        <v>43745.445833333331</v>
      </c>
      <c r="D111" s="13" t="s">
        <v>728</v>
      </c>
      <c r="E111" s="13" t="s">
        <v>915</v>
      </c>
      <c r="F111" s="15" t="s">
        <v>729</v>
      </c>
      <c r="G111" s="13"/>
      <c r="H111" s="14">
        <v>40725</v>
      </c>
      <c r="I111" s="14"/>
      <c r="J111" s="15"/>
      <c r="K111" s="15"/>
      <c r="L111" s="13" t="s">
        <v>763</v>
      </c>
      <c r="M111" s="15"/>
      <c r="N111" s="13"/>
      <c r="O111" s="13"/>
      <c r="P111" s="13"/>
      <c r="Q111" s="13" t="s">
        <v>920</v>
      </c>
      <c r="R111" s="13"/>
      <c r="S111" s="13"/>
      <c r="T111" s="13" t="s">
        <v>765</v>
      </c>
      <c r="U111" s="15" t="s">
        <v>921</v>
      </c>
    </row>
    <row r="112" spans="1:21" ht="45" x14ac:dyDescent="0.25">
      <c r="A112" s="13" t="s">
        <v>202</v>
      </c>
      <c r="B112" s="13" t="s">
        <v>153</v>
      </c>
      <c r="C112" s="14">
        <v>43745.445833333331</v>
      </c>
      <c r="D112" s="13" t="s">
        <v>716</v>
      </c>
      <c r="E112" s="13" t="s">
        <v>915</v>
      </c>
      <c r="F112" s="15" t="s">
        <v>717</v>
      </c>
      <c r="G112" s="13"/>
      <c r="H112" s="14">
        <v>40725</v>
      </c>
      <c r="I112" s="14"/>
      <c r="J112" s="15"/>
      <c r="K112" s="15"/>
      <c r="L112" s="13" t="s">
        <v>763</v>
      </c>
      <c r="M112" s="15"/>
      <c r="N112" s="13"/>
      <c r="O112" s="13"/>
      <c r="P112" s="13"/>
      <c r="Q112" s="13" t="s">
        <v>922</v>
      </c>
      <c r="R112" s="13"/>
      <c r="S112" s="13"/>
      <c r="T112" s="13" t="s">
        <v>765</v>
      </c>
      <c r="U112" s="15" t="s">
        <v>923</v>
      </c>
    </row>
    <row r="113" spans="1:21" ht="150" x14ac:dyDescent="0.25">
      <c r="A113" s="13" t="s">
        <v>202</v>
      </c>
      <c r="B113" s="13" t="s">
        <v>153</v>
      </c>
      <c r="C113" s="14">
        <v>43745.445833333331</v>
      </c>
      <c r="D113" s="13" t="s">
        <v>703</v>
      </c>
      <c r="E113" s="13" t="s">
        <v>915</v>
      </c>
      <c r="F113" s="15" t="s">
        <v>704</v>
      </c>
      <c r="G113" s="13"/>
      <c r="H113" s="14">
        <v>40725</v>
      </c>
      <c r="I113" s="14"/>
      <c r="J113" s="15"/>
      <c r="K113" s="15"/>
      <c r="L113" s="13" t="s">
        <v>763</v>
      </c>
      <c r="M113" s="15"/>
      <c r="N113" s="13"/>
      <c r="O113" s="13"/>
      <c r="P113" s="13"/>
      <c r="Q113" s="13" t="s">
        <v>924</v>
      </c>
      <c r="R113" s="13"/>
      <c r="S113" s="13"/>
      <c r="T113" s="13" t="s">
        <v>765</v>
      </c>
      <c r="U113" s="15" t="s">
        <v>704</v>
      </c>
    </row>
    <row r="114" spans="1:21" ht="120" x14ac:dyDescent="0.25">
      <c r="A114" s="13" t="s">
        <v>202</v>
      </c>
      <c r="B114" s="13" t="s">
        <v>153</v>
      </c>
      <c r="C114" s="14">
        <v>43745.445833333331</v>
      </c>
      <c r="D114" s="13" t="s">
        <v>723</v>
      </c>
      <c r="E114" s="13" t="s">
        <v>915</v>
      </c>
      <c r="F114" s="15" t="s">
        <v>724</v>
      </c>
      <c r="G114" s="13"/>
      <c r="H114" s="14">
        <v>40725</v>
      </c>
      <c r="I114" s="14"/>
      <c r="J114" s="15"/>
      <c r="K114" s="15"/>
      <c r="L114" s="13" t="s">
        <v>763</v>
      </c>
      <c r="M114" s="15"/>
      <c r="N114" s="13"/>
      <c r="O114" s="13"/>
      <c r="P114" s="13"/>
      <c r="Q114" s="13" t="s">
        <v>925</v>
      </c>
      <c r="R114" s="13"/>
      <c r="S114" s="13"/>
      <c r="T114" s="13" t="s">
        <v>765</v>
      </c>
      <c r="U114" s="15" t="s">
        <v>724</v>
      </c>
    </row>
    <row r="115" spans="1:21" ht="150" x14ac:dyDescent="0.25">
      <c r="A115" s="13" t="s">
        <v>202</v>
      </c>
      <c r="B115" s="13" t="s">
        <v>153</v>
      </c>
      <c r="C115" s="14">
        <v>43745.445833333331</v>
      </c>
      <c r="D115" s="13" t="s">
        <v>705</v>
      </c>
      <c r="E115" s="13" t="s">
        <v>915</v>
      </c>
      <c r="F115" s="15" t="s">
        <v>706</v>
      </c>
      <c r="G115" s="13"/>
      <c r="H115" s="14">
        <v>40725</v>
      </c>
      <c r="I115" s="14"/>
      <c r="J115" s="15"/>
      <c r="K115" s="15"/>
      <c r="L115" s="13" t="s">
        <v>763</v>
      </c>
      <c r="M115" s="15"/>
      <c r="N115" s="13"/>
      <c r="O115" s="13"/>
      <c r="P115" s="13"/>
      <c r="Q115" s="13" t="s">
        <v>926</v>
      </c>
      <c r="R115" s="13"/>
      <c r="S115" s="13"/>
      <c r="T115" s="13" t="s">
        <v>765</v>
      </c>
      <c r="U115" s="15" t="s">
        <v>927</v>
      </c>
    </row>
    <row r="116" spans="1:21" ht="120" x14ac:dyDescent="0.25">
      <c r="A116" s="13" t="s">
        <v>202</v>
      </c>
      <c r="B116" s="13" t="s">
        <v>153</v>
      </c>
      <c r="C116" s="14">
        <v>43745.445833333331</v>
      </c>
      <c r="D116" s="13" t="s">
        <v>725</v>
      </c>
      <c r="E116" s="13" t="s">
        <v>915</v>
      </c>
      <c r="F116" s="15" t="s">
        <v>726</v>
      </c>
      <c r="G116" s="13"/>
      <c r="H116" s="14">
        <v>40725</v>
      </c>
      <c r="I116" s="14"/>
      <c r="J116" s="15"/>
      <c r="K116" s="15"/>
      <c r="L116" s="13" t="s">
        <v>763</v>
      </c>
      <c r="M116" s="15"/>
      <c r="N116" s="13"/>
      <c r="O116" s="13"/>
      <c r="P116" s="13"/>
      <c r="Q116" s="13" t="s">
        <v>928</v>
      </c>
      <c r="R116" s="13"/>
      <c r="S116" s="13"/>
      <c r="T116" s="13" t="s">
        <v>765</v>
      </c>
      <c r="U116" s="15" t="s">
        <v>929</v>
      </c>
    </row>
    <row r="117" spans="1:21" ht="165" x14ac:dyDescent="0.25">
      <c r="A117" s="13" t="s">
        <v>202</v>
      </c>
      <c r="B117" s="13" t="s">
        <v>153</v>
      </c>
      <c r="C117" s="14">
        <v>43745.445833333331</v>
      </c>
      <c r="D117" s="13" t="s">
        <v>707</v>
      </c>
      <c r="E117" s="13" t="s">
        <v>915</v>
      </c>
      <c r="F117" s="15" t="s">
        <v>708</v>
      </c>
      <c r="G117" s="13"/>
      <c r="H117" s="14">
        <v>40725</v>
      </c>
      <c r="I117" s="14"/>
      <c r="J117" s="15"/>
      <c r="K117" s="15"/>
      <c r="L117" s="13" t="s">
        <v>763</v>
      </c>
      <c r="M117" s="15"/>
      <c r="N117" s="13"/>
      <c r="O117" s="13"/>
      <c r="P117" s="13"/>
      <c r="Q117" s="13" t="s">
        <v>930</v>
      </c>
      <c r="R117" s="13"/>
      <c r="S117" s="13"/>
      <c r="T117" s="13" t="s">
        <v>765</v>
      </c>
      <c r="U117" s="15" t="s">
        <v>708</v>
      </c>
    </row>
    <row r="118" spans="1:21" ht="165" x14ac:dyDescent="0.25">
      <c r="A118" s="13" t="s">
        <v>202</v>
      </c>
      <c r="B118" s="13" t="s">
        <v>153</v>
      </c>
      <c r="C118" s="14">
        <v>43745.445833333331</v>
      </c>
      <c r="D118" s="13" t="s">
        <v>709</v>
      </c>
      <c r="E118" s="13" t="s">
        <v>915</v>
      </c>
      <c r="F118" s="15" t="s">
        <v>710</v>
      </c>
      <c r="G118" s="13"/>
      <c r="H118" s="14">
        <v>40725</v>
      </c>
      <c r="I118" s="14"/>
      <c r="J118" s="15"/>
      <c r="K118" s="15"/>
      <c r="L118" s="13" t="s">
        <v>763</v>
      </c>
      <c r="M118" s="15"/>
      <c r="N118" s="13"/>
      <c r="O118" s="13"/>
      <c r="P118" s="13"/>
      <c r="Q118" s="13" t="s">
        <v>931</v>
      </c>
      <c r="R118" s="13"/>
      <c r="S118" s="13"/>
      <c r="T118" s="13" t="s">
        <v>765</v>
      </c>
      <c r="U118" s="15" t="s">
        <v>932</v>
      </c>
    </row>
    <row r="119" spans="1:21" ht="150" x14ac:dyDescent="0.25">
      <c r="A119" s="13" t="s">
        <v>202</v>
      </c>
      <c r="B119" s="13" t="s">
        <v>153</v>
      </c>
      <c r="C119" s="14">
        <v>43745.445833333331</v>
      </c>
      <c r="D119" s="13" t="s">
        <v>711</v>
      </c>
      <c r="E119" s="13" t="s">
        <v>915</v>
      </c>
      <c r="F119" s="15" t="s">
        <v>712</v>
      </c>
      <c r="G119" s="13"/>
      <c r="H119" s="14">
        <v>40725</v>
      </c>
      <c r="I119" s="14"/>
      <c r="J119" s="15"/>
      <c r="K119" s="15"/>
      <c r="L119" s="13" t="s">
        <v>763</v>
      </c>
      <c r="M119" s="15"/>
      <c r="N119" s="13"/>
      <c r="O119" s="13"/>
      <c r="P119" s="13"/>
      <c r="Q119" s="13" t="s">
        <v>933</v>
      </c>
      <c r="R119" s="13"/>
      <c r="S119" s="13"/>
      <c r="T119" s="13" t="s">
        <v>765</v>
      </c>
      <c r="U119" s="15" t="s">
        <v>934</v>
      </c>
    </row>
    <row r="120" spans="1:21" ht="90" x14ac:dyDescent="0.25">
      <c r="A120" s="13" t="s">
        <v>202</v>
      </c>
      <c r="B120" s="13" t="s">
        <v>153</v>
      </c>
      <c r="C120" s="14">
        <v>43745.445833333331</v>
      </c>
      <c r="D120" s="13" t="s">
        <v>718</v>
      </c>
      <c r="E120" s="13" t="s">
        <v>915</v>
      </c>
      <c r="F120" s="15" t="s">
        <v>719</v>
      </c>
      <c r="G120" s="13"/>
      <c r="H120" s="14">
        <v>40725</v>
      </c>
      <c r="I120" s="14"/>
      <c r="J120" s="15"/>
      <c r="K120" s="15"/>
      <c r="L120" s="13" t="s">
        <v>763</v>
      </c>
      <c r="M120" s="15"/>
      <c r="N120" s="13"/>
      <c r="O120" s="13"/>
      <c r="P120" s="13"/>
      <c r="Q120" s="13" t="s">
        <v>935</v>
      </c>
      <c r="R120" s="13"/>
      <c r="S120" s="13"/>
      <c r="T120" s="13" t="s">
        <v>765</v>
      </c>
      <c r="U120" s="15" t="s">
        <v>936</v>
      </c>
    </row>
    <row r="121" spans="1:21" ht="165" x14ac:dyDescent="0.25">
      <c r="A121" s="13" t="s">
        <v>202</v>
      </c>
      <c r="B121" s="13" t="s">
        <v>153</v>
      </c>
      <c r="C121" s="14">
        <v>43745.445833333331</v>
      </c>
      <c r="D121" s="13" t="s">
        <v>713</v>
      </c>
      <c r="E121" s="13" t="s">
        <v>915</v>
      </c>
      <c r="F121" s="15" t="s">
        <v>714</v>
      </c>
      <c r="G121" s="13"/>
      <c r="H121" s="14">
        <v>40725</v>
      </c>
      <c r="I121" s="14"/>
      <c r="J121" s="15"/>
      <c r="K121" s="15"/>
      <c r="L121" s="13" t="s">
        <v>763</v>
      </c>
      <c r="M121" s="15"/>
      <c r="N121" s="13"/>
      <c r="O121" s="13"/>
      <c r="P121" s="13"/>
      <c r="Q121" s="13" t="s">
        <v>937</v>
      </c>
      <c r="R121" s="13"/>
      <c r="S121" s="13"/>
      <c r="T121" s="13" t="s">
        <v>765</v>
      </c>
      <c r="U121" s="15" t="s">
        <v>714</v>
      </c>
    </row>
    <row r="122" spans="1:21" x14ac:dyDescent="0.25">
      <c r="C122" s="16"/>
      <c r="H122" s="16"/>
      <c r="I122" s="16"/>
    </row>
    <row r="123" spans="1:21" x14ac:dyDescent="0.25">
      <c r="C123" s="16"/>
      <c r="H123" s="16"/>
      <c r="I123" s="16"/>
    </row>
    <row r="124" spans="1:21" x14ac:dyDescent="0.25">
      <c r="C124" s="16"/>
      <c r="H124" s="16"/>
      <c r="I124" s="16"/>
    </row>
    <row r="125" spans="1:21" x14ac:dyDescent="0.25">
      <c r="C125" s="16"/>
      <c r="H125" s="16"/>
      <c r="I125" s="16"/>
    </row>
    <row r="126" spans="1:21" x14ac:dyDescent="0.25">
      <c r="C126" s="16"/>
      <c r="H126" s="16"/>
      <c r="I126" s="16"/>
    </row>
    <row r="127" spans="1:21" x14ac:dyDescent="0.25">
      <c r="C127" s="16"/>
      <c r="H127" s="16"/>
      <c r="I127" s="16"/>
    </row>
    <row r="128" spans="1:21" x14ac:dyDescent="0.25">
      <c r="C128" s="16"/>
      <c r="H128" s="16"/>
      <c r="I128" s="16"/>
    </row>
    <row r="129" spans="3:9" x14ac:dyDescent="0.25">
      <c r="C129" s="16"/>
      <c r="H129" s="16"/>
      <c r="I129" s="16"/>
    </row>
    <row r="130" spans="3:9" x14ac:dyDescent="0.25">
      <c r="C130" s="16"/>
      <c r="H130" s="16"/>
      <c r="I130" s="16"/>
    </row>
    <row r="131" spans="3:9" x14ac:dyDescent="0.25">
      <c r="C131" s="16"/>
      <c r="H131" s="16"/>
      <c r="I131" s="16"/>
    </row>
    <row r="132" spans="3:9" x14ac:dyDescent="0.25">
      <c r="C132" s="16"/>
      <c r="H132" s="16"/>
      <c r="I132" s="16"/>
    </row>
    <row r="133" spans="3:9" x14ac:dyDescent="0.25">
      <c r="C133" s="16"/>
      <c r="H133" s="16"/>
      <c r="I133" s="16"/>
    </row>
    <row r="134" spans="3:9" x14ac:dyDescent="0.25">
      <c r="C134" s="16"/>
      <c r="H134" s="16"/>
      <c r="I134" s="16"/>
    </row>
    <row r="135" spans="3:9" x14ac:dyDescent="0.25">
      <c r="C135" s="16"/>
      <c r="H135" s="16"/>
      <c r="I135" s="16"/>
    </row>
    <row r="136" spans="3:9" x14ac:dyDescent="0.25">
      <c r="C136" s="16"/>
      <c r="H136" s="16"/>
      <c r="I136" s="16"/>
    </row>
    <row r="137" spans="3:9" x14ac:dyDescent="0.25">
      <c r="C137" s="16"/>
      <c r="H137" s="16"/>
      <c r="I137" s="16"/>
    </row>
  </sheetData>
  <autoFilter ref="A1:Z121" xr:uid="{D2A34160-AF43-471A-91C1-0B091D5F6E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2026-01-22T10:24:34Z</dcterms:created>
  <dcterms:modified xsi:type="dcterms:W3CDTF">2026-01-22T10:26:14Z</dcterms:modified>
</cp:coreProperties>
</file>