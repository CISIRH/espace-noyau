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F86B8821-7C36-4191-B42E-34B9BC7AFA37}" xr6:coauthVersionLast="47" xr6:coauthVersionMax="47" xr10:uidLastSave="{00000000-0000-0000-0000-000000000000}"/>
  <bookViews>
    <workbookView xWindow="-110" yWindow="-110" windowWidth="19420" windowHeight="11500" xr2:uid="{67B31D45-BCA0-427A-B9A1-32FBBA1F9187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M49" i="4" l="1"/>
  <c r="AM47" i="4"/>
  <c r="AM43" i="4"/>
  <c r="AM41" i="4"/>
  <c r="AK49" i="4"/>
  <c r="AK47" i="4"/>
  <c r="AK43" i="4"/>
  <c r="AK41" i="4"/>
  <c r="AI49" i="4"/>
  <c r="AI47" i="4"/>
  <c r="AI43" i="4"/>
  <c r="AI41" i="4"/>
  <c r="AG49" i="4"/>
  <c r="AG47" i="4"/>
  <c r="AG43" i="4"/>
  <c r="AG41" i="4"/>
  <c r="AE71" i="4"/>
  <c r="AE70" i="4"/>
  <c r="AE68" i="4"/>
  <c r="AE67" i="4"/>
  <c r="AE49" i="4"/>
  <c r="AE47" i="4"/>
  <c r="AE43" i="4"/>
  <c r="AE41" i="4"/>
  <c r="AE23" i="4"/>
  <c r="AE22" i="4"/>
  <c r="AE21" i="4"/>
  <c r="AE19" i="4"/>
  <c r="AE18" i="4"/>
  <c r="AE17" i="4"/>
  <c r="AC71" i="4"/>
  <c r="AC70" i="4"/>
  <c r="AC68" i="4"/>
  <c r="AC67" i="4"/>
  <c r="AC49" i="4"/>
  <c r="AC47" i="4"/>
  <c r="AC43" i="4"/>
  <c r="AC41" i="4"/>
  <c r="AC23" i="4"/>
  <c r="AC22" i="4"/>
  <c r="AC21" i="4"/>
  <c r="AC19" i="4"/>
  <c r="AC18" i="4"/>
  <c r="AC17" i="4"/>
  <c r="AA71" i="4"/>
  <c r="AA70" i="4"/>
  <c r="AA68" i="4"/>
  <c r="AA67" i="4"/>
  <c r="AA49" i="4"/>
  <c r="AA47" i="4"/>
  <c r="AA43" i="4"/>
  <c r="AA41" i="4"/>
  <c r="AA23" i="4"/>
  <c r="AA22" i="4"/>
  <c r="AA21" i="4"/>
  <c r="AA19" i="4"/>
  <c r="AA18" i="4"/>
  <c r="AA17" i="4"/>
  <c r="Y71" i="4"/>
  <c r="Y70" i="4"/>
  <c r="Y68" i="4"/>
  <c r="Y67" i="4"/>
  <c r="Y49" i="4"/>
  <c r="Y47" i="4"/>
  <c r="Y43" i="4"/>
  <c r="Y41" i="4"/>
  <c r="Y23" i="4"/>
  <c r="Y22" i="4"/>
  <c r="Y21" i="4"/>
  <c r="Y19" i="4"/>
  <c r="Y18" i="4"/>
  <c r="Y17" i="4"/>
  <c r="CA50" i="5"/>
  <c r="CA49" i="5"/>
  <c r="CA47" i="5"/>
  <c r="CA46" i="5"/>
  <c r="CA44" i="5"/>
  <c r="CA43" i="5"/>
  <c r="CA41" i="5"/>
  <c r="CA40" i="5"/>
  <c r="BY50" i="5"/>
  <c r="BY49" i="5"/>
  <c r="BY47" i="5"/>
  <c r="BY46" i="5"/>
  <c r="BY44" i="5"/>
  <c r="BY43" i="5"/>
  <c r="BY41" i="5"/>
  <c r="BY40" i="5"/>
  <c r="BW71" i="5"/>
  <c r="BW70" i="5"/>
  <c r="BW51" i="5"/>
  <c r="BW50" i="5"/>
  <c r="BW49" i="5"/>
  <c r="BW48" i="5"/>
  <c r="BW47" i="5"/>
  <c r="BW46" i="5"/>
  <c r="BW45" i="5"/>
  <c r="BW44" i="5"/>
  <c r="BW43" i="5"/>
  <c r="BW42" i="5"/>
  <c r="BW41" i="5"/>
  <c r="BW40" i="5"/>
  <c r="BW23" i="5"/>
  <c r="BW22" i="5"/>
  <c r="BW21" i="5"/>
  <c r="BU71" i="5"/>
  <c r="BU70" i="5"/>
  <c r="BU51" i="5"/>
  <c r="BU50" i="5"/>
  <c r="BU49" i="5"/>
  <c r="BU48" i="5"/>
  <c r="BU47" i="5"/>
  <c r="BU46" i="5"/>
  <c r="BU45" i="5"/>
  <c r="BU44" i="5"/>
  <c r="BU43" i="5"/>
  <c r="BU42" i="5"/>
  <c r="BU41" i="5"/>
  <c r="BU40" i="5"/>
  <c r="BU23" i="5"/>
  <c r="BU22" i="5"/>
  <c r="BU21" i="5"/>
  <c r="BS72" i="5"/>
  <c r="BS71" i="5"/>
  <c r="BS70" i="5"/>
  <c r="BS68" i="5"/>
  <c r="BS67" i="5"/>
  <c r="BS51" i="5"/>
  <c r="BS50" i="5"/>
  <c r="BS49" i="5"/>
  <c r="BS48" i="5"/>
  <c r="BS47" i="5"/>
  <c r="BS46" i="5"/>
  <c r="BS45" i="5"/>
  <c r="BS44" i="5"/>
  <c r="BS43" i="5"/>
  <c r="BS42" i="5"/>
  <c r="BS41" i="5"/>
  <c r="BS40" i="5"/>
  <c r="BS24" i="5"/>
  <c r="BS23" i="5"/>
  <c r="BS22" i="5"/>
  <c r="BS21" i="5"/>
  <c r="BS19" i="5"/>
  <c r="BS18" i="5"/>
  <c r="BS17" i="5"/>
  <c r="BQ72" i="5"/>
  <c r="BQ71" i="5"/>
  <c r="BQ70" i="5"/>
  <c r="BQ68" i="5"/>
  <c r="BQ67" i="5"/>
  <c r="BQ51" i="5"/>
  <c r="BQ50" i="5"/>
  <c r="BQ49" i="5"/>
  <c r="BQ48" i="5"/>
  <c r="BQ47" i="5"/>
  <c r="BQ46" i="5"/>
  <c r="BQ45" i="5"/>
  <c r="BQ44" i="5"/>
  <c r="BQ43" i="5"/>
  <c r="BQ42" i="5"/>
  <c r="BQ41" i="5"/>
  <c r="BQ40" i="5"/>
  <c r="BQ24" i="5"/>
  <c r="BQ23" i="5"/>
  <c r="BQ22" i="5"/>
  <c r="BQ21" i="5"/>
  <c r="BQ19" i="5"/>
  <c r="BQ18" i="5"/>
  <c r="BQ17" i="5"/>
  <c r="BO72" i="5"/>
  <c r="BO71" i="5"/>
  <c r="BO70" i="5"/>
  <c r="BO69" i="5"/>
  <c r="BO68" i="5"/>
  <c r="BO67" i="5"/>
  <c r="BO51" i="5"/>
  <c r="BO50" i="5"/>
  <c r="BO49" i="5"/>
  <c r="BO48" i="5"/>
  <c r="BO47" i="5"/>
  <c r="BO46" i="5"/>
  <c r="BO45" i="5"/>
  <c r="BO44" i="5"/>
  <c r="BO43" i="5"/>
  <c r="BO42" i="5"/>
  <c r="BO41" i="5"/>
  <c r="BO40" i="5"/>
  <c r="BO24" i="5"/>
  <c r="BO23" i="5"/>
  <c r="BO22" i="5"/>
  <c r="BO21" i="5"/>
  <c r="BO20" i="5"/>
  <c r="BO19" i="5"/>
  <c r="BO18" i="5"/>
  <c r="BO17" i="5"/>
  <c r="BM72" i="5"/>
  <c r="BM71" i="5"/>
  <c r="BM70" i="5"/>
  <c r="BM69" i="5"/>
  <c r="BM68" i="5"/>
  <c r="BM67" i="5"/>
  <c r="BM51" i="5"/>
  <c r="BM50" i="5"/>
  <c r="BM49" i="5"/>
  <c r="BM48" i="5"/>
  <c r="BM47" i="5"/>
  <c r="BM46" i="5"/>
  <c r="BM45" i="5"/>
  <c r="BM44" i="5"/>
  <c r="BM43" i="5"/>
  <c r="BM42" i="5"/>
  <c r="BM41" i="5"/>
  <c r="BM40" i="5"/>
  <c r="BM24" i="5"/>
  <c r="BM23" i="5"/>
  <c r="BM22" i="5"/>
  <c r="BM21" i="5"/>
  <c r="BM20" i="5"/>
  <c r="BM19" i="5"/>
  <c r="BM18" i="5"/>
  <c r="BM17" i="5"/>
  <c r="BK72" i="5"/>
  <c r="BK71" i="5"/>
  <c r="BK70" i="5"/>
  <c r="BK69" i="5"/>
  <c r="BK68" i="5"/>
  <c r="BK67" i="5"/>
  <c r="BK51" i="5"/>
  <c r="BK50" i="5"/>
  <c r="BK49" i="5"/>
  <c r="BK48" i="5"/>
  <c r="BK47" i="5"/>
  <c r="BK46" i="5"/>
  <c r="BK45" i="5"/>
  <c r="BK44" i="5"/>
  <c r="BK43" i="5"/>
  <c r="BK42" i="5"/>
  <c r="BK41" i="5"/>
  <c r="BK40" i="5"/>
  <c r="BK24" i="5"/>
  <c r="BK23" i="5"/>
  <c r="BK22" i="5"/>
  <c r="BK21" i="5"/>
  <c r="BK20" i="5"/>
  <c r="BK19" i="5"/>
  <c r="BK18" i="5"/>
  <c r="BK17" i="5"/>
  <c r="BI72" i="5"/>
  <c r="BI71" i="5"/>
  <c r="BI70" i="5"/>
  <c r="BI69" i="5"/>
  <c r="BI68" i="5"/>
  <c r="BI67" i="5"/>
  <c r="BI51" i="5"/>
  <c r="BI50" i="5"/>
  <c r="BI49" i="5"/>
  <c r="BI48" i="5"/>
  <c r="BI47" i="5"/>
  <c r="BI46" i="5"/>
  <c r="BI45" i="5"/>
  <c r="BI44" i="5"/>
  <c r="BI43" i="5"/>
  <c r="BI42" i="5"/>
  <c r="BI41" i="5"/>
  <c r="BI40" i="5"/>
  <c r="BI24" i="5"/>
  <c r="BI23" i="5"/>
  <c r="BI22" i="5"/>
  <c r="BI21" i="5"/>
  <c r="BI20" i="5"/>
  <c r="BI19" i="5"/>
  <c r="BI18" i="5"/>
  <c r="BI17" i="5"/>
  <c r="BG72" i="5"/>
  <c r="BG71" i="5"/>
  <c r="BG70" i="5"/>
  <c r="BG69" i="5"/>
  <c r="BG68" i="5"/>
  <c r="BG67" i="5"/>
  <c r="BG51" i="5"/>
  <c r="BG50" i="5"/>
  <c r="BG49" i="5"/>
  <c r="BG48" i="5"/>
  <c r="BG47" i="5"/>
  <c r="BG46" i="5"/>
  <c r="BG45" i="5"/>
  <c r="BG44" i="5"/>
  <c r="BG43" i="5"/>
  <c r="BG42" i="5"/>
  <c r="BG41" i="5"/>
  <c r="BG40" i="5"/>
  <c r="BG24" i="5"/>
  <c r="BG23" i="5"/>
  <c r="BG22" i="5"/>
  <c r="BG21" i="5"/>
  <c r="BG20" i="5"/>
  <c r="BG19" i="5"/>
  <c r="BG18" i="5"/>
  <c r="BG17" i="5"/>
  <c r="BE72" i="5"/>
  <c r="BE71" i="5"/>
  <c r="BE70" i="5"/>
  <c r="BE69" i="5"/>
  <c r="BE68" i="5"/>
  <c r="BE67" i="5"/>
  <c r="BE51" i="5"/>
  <c r="BE50" i="5"/>
  <c r="BE49" i="5"/>
  <c r="BE48" i="5"/>
  <c r="BE47" i="5"/>
  <c r="BE46" i="5"/>
  <c r="BE45" i="5"/>
  <c r="BE44" i="5"/>
  <c r="BE43" i="5"/>
  <c r="BE42" i="5"/>
  <c r="BE41" i="5"/>
  <c r="BE40" i="5"/>
  <c r="BE24" i="5"/>
  <c r="BE23" i="5"/>
  <c r="BE22" i="5"/>
  <c r="BE21" i="5"/>
  <c r="BE20" i="5"/>
  <c r="BE19" i="5"/>
  <c r="BE18" i="5"/>
  <c r="BE17" i="5"/>
  <c r="BC72" i="5"/>
  <c r="BC71" i="5"/>
  <c r="BC70" i="5"/>
  <c r="BC69" i="5"/>
  <c r="BC68" i="5"/>
  <c r="BC67" i="5"/>
  <c r="BC51" i="5"/>
  <c r="BC50" i="5"/>
  <c r="BC49" i="5"/>
  <c r="BC48" i="5"/>
  <c r="BC47" i="5"/>
  <c r="BC46" i="5"/>
  <c r="BC45" i="5"/>
  <c r="BC44" i="5"/>
  <c r="BC43" i="5"/>
  <c r="BC42" i="5"/>
  <c r="BC41" i="5"/>
  <c r="BC40" i="5"/>
  <c r="BC24" i="5"/>
  <c r="BC23" i="5"/>
  <c r="BC22" i="5"/>
  <c r="BC21" i="5"/>
  <c r="BC20" i="5"/>
  <c r="BC19" i="5"/>
  <c r="BC18" i="5"/>
  <c r="BC17" i="5"/>
  <c r="BA45" i="5"/>
  <c r="BA44" i="5"/>
  <c r="BA43" i="5"/>
  <c r="BA42" i="5"/>
  <c r="BA41" i="5"/>
  <c r="BA40" i="5"/>
  <c r="AY45" i="5"/>
  <c r="AY44" i="5"/>
  <c r="AY43" i="5"/>
  <c r="AY42" i="5"/>
  <c r="AY41" i="5"/>
  <c r="AY40" i="5"/>
  <c r="AW69" i="5"/>
  <c r="AW68" i="5"/>
  <c r="AW67" i="5"/>
  <c r="AW51" i="5"/>
  <c r="AW50" i="5"/>
  <c r="AW49" i="5"/>
  <c r="AW48" i="5"/>
  <c r="AW47" i="5"/>
  <c r="AW46" i="5"/>
  <c r="AW45" i="5"/>
  <c r="AW44" i="5"/>
  <c r="AW43" i="5"/>
  <c r="AW42" i="5"/>
  <c r="AW41" i="5"/>
  <c r="AW40" i="5"/>
  <c r="AW20" i="5"/>
  <c r="AW19" i="5"/>
  <c r="AW18" i="5"/>
  <c r="AW17" i="5"/>
  <c r="AU69" i="5"/>
  <c r="AU68" i="5"/>
  <c r="AU67" i="5"/>
  <c r="AU51" i="5"/>
  <c r="AU50" i="5"/>
  <c r="AU49" i="5"/>
  <c r="AU48" i="5"/>
  <c r="AU47" i="5"/>
  <c r="AU46" i="5"/>
  <c r="AU45" i="5"/>
  <c r="AU44" i="5"/>
  <c r="AU43" i="5"/>
  <c r="AU42" i="5"/>
  <c r="AU41" i="5"/>
  <c r="AU40" i="5"/>
  <c r="AU20" i="5"/>
  <c r="AU19" i="5"/>
  <c r="AU18" i="5"/>
  <c r="AU17" i="5"/>
  <c r="AS72" i="5"/>
  <c r="AS71" i="5"/>
  <c r="AS70" i="5"/>
  <c r="AS69" i="5"/>
  <c r="AS68" i="5"/>
  <c r="AS67" i="5"/>
  <c r="AS51" i="5"/>
  <c r="AS50" i="5"/>
  <c r="AS49" i="5"/>
  <c r="AS48" i="5"/>
  <c r="AS47" i="5"/>
  <c r="AS46" i="5"/>
  <c r="AS45" i="5"/>
  <c r="AS44" i="5"/>
  <c r="AS43" i="5"/>
  <c r="AS42" i="5"/>
  <c r="AS41" i="5"/>
  <c r="AS40" i="5"/>
  <c r="AS24" i="5"/>
  <c r="AS23" i="5"/>
  <c r="AS22" i="5"/>
  <c r="AS21" i="5"/>
  <c r="AS20" i="5"/>
  <c r="AS19" i="5"/>
  <c r="AS18" i="5"/>
  <c r="AS17" i="5"/>
  <c r="AQ72" i="5"/>
  <c r="AQ71" i="5"/>
  <c r="AQ70" i="5"/>
  <c r="AQ69" i="5"/>
  <c r="AQ68" i="5"/>
  <c r="AQ67" i="5"/>
  <c r="AQ51" i="5"/>
  <c r="AQ50" i="5"/>
  <c r="AQ49" i="5"/>
  <c r="AQ48" i="5"/>
  <c r="AQ47" i="5"/>
  <c r="AQ46" i="5"/>
  <c r="AQ45" i="5"/>
  <c r="AQ44" i="5"/>
  <c r="AQ43" i="5"/>
  <c r="AQ42" i="5"/>
  <c r="AQ41" i="5"/>
  <c r="AQ40" i="5"/>
  <c r="AQ24" i="5"/>
  <c r="AQ23" i="5"/>
  <c r="AQ22" i="5"/>
  <c r="AQ21" i="5"/>
  <c r="AQ20" i="5"/>
  <c r="AQ19" i="5"/>
  <c r="AQ18" i="5"/>
  <c r="AQ17" i="5"/>
  <c r="AO72" i="5"/>
  <c r="AO71" i="5"/>
  <c r="AO70" i="5"/>
  <c r="AO69" i="5"/>
  <c r="AO68" i="5"/>
  <c r="AO67" i="5"/>
  <c r="AO51" i="5"/>
  <c r="AO50" i="5"/>
  <c r="AO49" i="5"/>
  <c r="AO48" i="5"/>
  <c r="AO47" i="5"/>
  <c r="AO46" i="5"/>
  <c r="AO45" i="5"/>
  <c r="AO44" i="5"/>
  <c r="AO43" i="5"/>
  <c r="AO42" i="5"/>
  <c r="AO41" i="5"/>
  <c r="AO40" i="5"/>
  <c r="AO24" i="5"/>
  <c r="AO23" i="5"/>
  <c r="AO22" i="5"/>
  <c r="AO21" i="5"/>
  <c r="AO20" i="5"/>
  <c r="AO19" i="5"/>
  <c r="AO18" i="5"/>
  <c r="AO17" i="5"/>
  <c r="AM49" i="5"/>
  <c r="AM48" i="5"/>
  <c r="AM43" i="5"/>
  <c r="AM42" i="5"/>
  <c r="AM21" i="5"/>
  <c r="AM17" i="5"/>
  <c r="AK49" i="5"/>
  <c r="AK48" i="5"/>
  <c r="AK47" i="5"/>
  <c r="AK46" i="5"/>
  <c r="AK43" i="5"/>
  <c r="AK42" i="5"/>
  <c r="AK41" i="5"/>
  <c r="AK40" i="5"/>
  <c r="AK22" i="5"/>
  <c r="AK21" i="5"/>
  <c r="AK18" i="5"/>
  <c r="AK17" i="5"/>
  <c r="AI49" i="5"/>
  <c r="AI48" i="5"/>
  <c r="AI47" i="5"/>
  <c r="AI46" i="5"/>
  <c r="AI43" i="5"/>
  <c r="AI42" i="5"/>
  <c r="AI41" i="5"/>
  <c r="AI40" i="5"/>
  <c r="AI22" i="5"/>
  <c r="AI21" i="5"/>
  <c r="AI18" i="5"/>
  <c r="AI17" i="5"/>
  <c r="AG71" i="5"/>
  <c r="AG68" i="5"/>
  <c r="AG49" i="5"/>
  <c r="AG48" i="5"/>
  <c r="AG47" i="5"/>
  <c r="AG46" i="5"/>
  <c r="AG43" i="5"/>
  <c r="AG42" i="5"/>
  <c r="AG41" i="5"/>
  <c r="AG40" i="5"/>
  <c r="AG23" i="5"/>
  <c r="AG22" i="5"/>
  <c r="AG21" i="5"/>
  <c r="AG19" i="5"/>
  <c r="AG18" i="5"/>
  <c r="AG17" i="5"/>
  <c r="AE71" i="5"/>
  <c r="AE70" i="5"/>
  <c r="AE68" i="5"/>
  <c r="AE67" i="5"/>
  <c r="AE49" i="5"/>
  <c r="AE48" i="5"/>
  <c r="AE47" i="5"/>
  <c r="AE46" i="5"/>
  <c r="AE43" i="5"/>
  <c r="AE42" i="5"/>
  <c r="AE41" i="5"/>
  <c r="AE40" i="5"/>
  <c r="AE23" i="5"/>
  <c r="AE22" i="5"/>
  <c r="AE21" i="5"/>
  <c r="AE19" i="5"/>
  <c r="AE18" i="5"/>
  <c r="AE17" i="5"/>
  <c r="AC71" i="5"/>
  <c r="AC70" i="5"/>
  <c r="AC68" i="5"/>
  <c r="AC67" i="5"/>
  <c r="AC49" i="5"/>
  <c r="AC48" i="5"/>
  <c r="AC47" i="5"/>
  <c r="AC46" i="5"/>
  <c r="AC43" i="5"/>
  <c r="AC42" i="5"/>
  <c r="AC41" i="5"/>
  <c r="AC40" i="5"/>
  <c r="AC23" i="5"/>
  <c r="AC22" i="5"/>
  <c r="AC21" i="5"/>
  <c r="AC19" i="5"/>
  <c r="AC18" i="5"/>
  <c r="AC17" i="5"/>
  <c r="AA72" i="5"/>
  <c r="AA71" i="5"/>
  <c r="AA70" i="5"/>
  <c r="AA69" i="5"/>
  <c r="AA68" i="5"/>
  <c r="AA67" i="5"/>
  <c r="AA51" i="5"/>
  <c r="AA50" i="5"/>
  <c r="AA49" i="5"/>
  <c r="AA48" i="5"/>
  <c r="AA47" i="5"/>
  <c r="AA46" i="5"/>
  <c r="AA45" i="5"/>
  <c r="AA44" i="5"/>
  <c r="AA43" i="5"/>
  <c r="AA42" i="5"/>
  <c r="AA41" i="5"/>
  <c r="AA40" i="5"/>
  <c r="AA24" i="5"/>
  <c r="AA23" i="5"/>
  <c r="AA22" i="5"/>
  <c r="AA21" i="5"/>
  <c r="AA20" i="5"/>
  <c r="AA19" i="5"/>
  <c r="AA18" i="5"/>
  <c r="AA17" i="5"/>
  <c r="Y72" i="5"/>
  <c r="Y71" i="5"/>
  <c r="Y70" i="5"/>
  <c r="Y69" i="5"/>
  <c r="Y68" i="5"/>
  <c r="Y67" i="5"/>
  <c r="Y51" i="5"/>
  <c r="Y50" i="5"/>
  <c r="Y49" i="5"/>
  <c r="Y48" i="5"/>
  <c r="Y47" i="5"/>
  <c r="Y46" i="5"/>
  <c r="Y45" i="5"/>
  <c r="Y44" i="5"/>
  <c r="Y43" i="5"/>
  <c r="Y42" i="5"/>
  <c r="Y41" i="5"/>
  <c r="Y40" i="5"/>
  <c r="Y24" i="5"/>
  <c r="Y23" i="5"/>
  <c r="Y22" i="5"/>
  <c r="Y21" i="5"/>
  <c r="Y20" i="5"/>
  <c r="Y19" i="5"/>
  <c r="Y18" i="5"/>
  <c r="Y17" i="5"/>
</calcChain>
</file>

<file path=xl/sharedStrings.xml><?xml version="1.0" encoding="utf-8"?>
<sst xmlns="http://schemas.openxmlformats.org/spreadsheetml/2006/main" count="5357" uniqueCount="399">
  <si>
    <t>MODE OPERATOIRE</t>
  </si>
  <si>
    <t>La transaction s'effectue au niveau de la sous-rubrique Position statutaire/situation administrative.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</si>
  <si>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</si>
  <si>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</si>
  <si>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</si>
  <si>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</si>
  <si>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</si>
  <si>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</si>
  <si>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</si>
  <si>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</si>
  <si>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</si>
  <si>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</si>
  <si>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</si>
  <si>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</si>
  <si>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</si>
  <si>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</si>
  <si>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</si>
  <si>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</si>
  <si>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</si>
  <si>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</si>
  <si>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</si>
  <si>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</si>
  <si>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</si>
  <si>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</si>
  <si>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</si>
  <si>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</si>
  <si>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</si>
  <si>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</si>
  <si>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</si>
  <si>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</si>
  <si>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</si>
  <si>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</si>
  <si>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contrôle intellectuel 5</t>
  </si>
  <si>
    <t>Libellé Règle de contrôle intellectuel 5</t>
  </si>
  <si>
    <t>Identifiant Règle de contrôle intellectuel 6</t>
  </si>
  <si>
    <t>Libellé Règle de contrôle intellectuel 6</t>
  </si>
  <si>
    <t>Identifiant Règle de contrôle intellectuel 7</t>
  </si>
  <si>
    <t>Libellé Règle de contrôle intellectuel 7</t>
  </si>
  <si>
    <t>Identifiant Règle de contrôle intellectuel 8</t>
  </si>
  <si>
    <t>Libellé Règle de contrôle intellectuel 8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</si>
  <si>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</si>
  <si>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</si>
  <si>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</si>
  <si>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</si>
  <si>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condition 3</t>
  </si>
  <si>
    <t>Libellé Règle de condition 3</t>
  </si>
  <si>
    <t>Identifiant Règle de condition 4</t>
  </si>
  <si>
    <t>Libellé Règle de condition 4</t>
  </si>
  <si>
    <t>Identifiant Règle de condition 5</t>
  </si>
  <si>
    <t>Libellé Règle de condition 5</t>
  </si>
  <si>
    <t>Identifiant Règle de condition 6</t>
  </si>
  <si>
    <t>Libellé Règle de condition 6</t>
  </si>
  <si>
    <t>Identifiant Règle de condition 7</t>
  </si>
  <si>
    <t>Libellé Règle de condition 7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</si>
  <si>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</si>
  <si>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</si>
  <si>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</si>
  <si>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</si>
  <si>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</si>
  <si>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</si>
  <si>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</si>
  <si>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</si>
  <si>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</si>
  <si>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</si>
  <si>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</si>
  <si>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</si>
  <si>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</si>
  <si>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</si>
  <si>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Identifiant Règle de contrôle 8</t>
  </si>
  <si>
    <t>Libellé Règle de contrôle 8</t>
  </si>
  <si>
    <t>Identifiant Règle de contrôle 9</t>
  </si>
  <si>
    <t>Libellé Règle de contrôle 9</t>
  </si>
  <si>
    <t>Identifiant Règle de contrôle 10</t>
  </si>
  <si>
    <t>Libellé Règle de contrôle 10</t>
  </si>
  <si>
    <t>Identifiant Règle de contrôle 11</t>
  </si>
  <si>
    <t>Libellé Règle de contrôle 11</t>
  </si>
  <si>
    <t>Identifiant Règle de contrôle 12</t>
  </si>
  <si>
    <t>Libellé Règle de contrôle 12</t>
  </si>
  <si>
    <t>Identifiant Règle de contrôle 13</t>
  </si>
  <si>
    <t>Libellé Règle de contrôle 13</t>
  </si>
  <si>
    <t>FIME</t>
  </si>
  <si>
    <t>Statut de travail</t>
  </si>
  <si>
    <t>22.10.00</t>
  </si>
  <si>
    <t>A</t>
  </si>
  <si>
    <t>D0004</t>
  </si>
  <si>
    <t>Position</t>
  </si>
  <si>
    <t>S0166</t>
  </si>
  <si>
    <t>Congé pour convenances personnelles (militaire)</t>
  </si>
  <si>
    <t>E0918</t>
  </si>
  <si>
    <t>Congé pour convenances personnelles militaire</t>
  </si>
  <si>
    <t>La position saisie est 'Congé pour convenances personnelles militaire'</t>
  </si>
  <si>
    <t>A_POS_POSIAD [Saisi] = 'NAM25'</t>
  </si>
  <si>
    <t>T2240</t>
  </si>
  <si>
    <t>Congé pour convenances personnelles (militaire) - Demande</t>
  </si>
  <si>
    <t>Création Modification</t>
  </si>
  <si>
    <t>Indicateur de renouvellement saisi = Non
ET (Indicateur de renouvellement saisi différent d'Indicateur de renouvellement avant saisi)</t>
  </si>
  <si>
    <t>A_POS_INDREN [Saisi] = '0'
ET (A_POS_INDREN [Saisi] &lt;&gt; A_POS_INDREN [Valeur avant saisie])</t>
  </si>
  <si>
    <t>Titulaire ou magistrat</t>
  </si>
  <si>
    <t>P0001</t>
  </si>
  <si>
    <t>Général</t>
  </si>
  <si>
    <t>Exclu</t>
  </si>
  <si>
    <t>T2241</t>
  </si>
  <si>
    <t>Congé pour convenances personnelles (militaire) - Renouvellement</t>
  </si>
  <si>
    <t>Indicateur de renouvellement saisi = Oui
ET (Indicateur de renouvellement saisi différent d'Indicateur de renouvellement avant saisi)</t>
  </si>
  <si>
    <t>A_POS_INDREN [Saisi] = '1'
ET (A_POS_INDREN [Saisi] &lt;&gt; A_POS_INDREN [Valeur avant saisie]</t>
  </si>
  <si>
    <t>T2242</t>
  </si>
  <si>
    <t>Congé pour convenances personnelles (militaire) - Fin</t>
  </si>
  <si>
    <t>Modification</t>
  </si>
  <si>
    <t>Indicateur de renouvellement saisi identique à Indicateur de renouvellement avant saisi</t>
  </si>
  <si>
    <t>A_POS_INDREN [Saisi] = A_POS_INDREN [Valeur avant saisie]</t>
  </si>
  <si>
    <t>Militaire</t>
  </si>
  <si>
    <t>P0002</t>
  </si>
  <si>
    <t>Contractuel</t>
  </si>
  <si>
    <t>P0003</t>
  </si>
  <si>
    <t>Stagiaire ou auditeur ou élève</t>
  </si>
  <si>
    <t>P0004</t>
  </si>
  <si>
    <t>Ouvrier d'état</t>
  </si>
  <si>
    <t>P0005</t>
  </si>
  <si>
    <t>24.00.00</t>
  </si>
  <si>
    <t>M</t>
  </si>
  <si>
    <t>Militaire sous contrat</t>
  </si>
  <si>
    <t>P0145</t>
  </si>
  <si>
    <t>Particulier</t>
  </si>
  <si>
    <t>Passant</t>
  </si>
  <si>
    <t>CCP_I_003 ET CCP_I_011 ET CCP_I_012 ET CCP_I_013 ET CCP_I_001 ET CCP_I_002 ET CCP_I_004 ET CCP_I_014 ET CCP_D_004 ET CCP_D_001 ET CCP_D_005 ET CCP_D_002 ET CCP_D_003 ET POS_C_004 ET POS_C_007 ET POS_C_009 ET POS_C_010 ET POS_C_012 ET POS_C_022 ET POS_C_111 ET POS_C_120 ET POS_C_121</t>
  </si>
  <si>
    <t>CCP_I_003</t>
  </si>
  <si>
    <t>Le militaire doit avoir accompli au moins 4 ans de services, dont 2 ans pour les officiers en cette qualité, sauf exceptions.</t>
  </si>
  <si>
    <t>CCP_I_011</t>
  </si>
  <si>
    <t>La condition de service n'est pas exigée pour suivre son conjoint ou son partenaire lié par un PACS lorsque celui-ci est astreint à établir sa résidence habituelle, en raison de sa profession, en un lieu éloigné d'affectation du militaire.</t>
  </si>
  <si>
    <t>CCP_I_012</t>
  </si>
  <si>
    <t>La condition de service n'est pas exigée du militaire qui sollicite un congé pour donner des soins à un enfant à charge, au conjoint, au partenaire avec lequel il est lié par un PACS, ou à un ascendant.</t>
  </si>
  <si>
    <t>CCP_I_013</t>
  </si>
  <si>
    <t>Les soins font suite à un accident ou une maladie grave ou à un handicap nécessitant la présence d'une tierce personne.</t>
  </si>
  <si>
    <t>CCP_I_001</t>
  </si>
  <si>
    <t>Le militaire doit présenter une demande.</t>
  </si>
  <si>
    <t>CCP_I_002</t>
  </si>
  <si>
    <t>Le militaire est placé en congé par décision du ministre compétent.</t>
  </si>
  <si>
    <t>CCP_I_004</t>
  </si>
  <si>
    <t>Le militaire officier qui demande à être placé dans ce congé, est tenu d'informer sans délai par écrit le ministre compétent de la nature de l'activité privée lucrative qu'il se propose d'exercer.</t>
  </si>
  <si>
    <t>CCP_I_014</t>
  </si>
  <si>
    <t>Le militaire officier est tenu d'informer sans délai par écrit le ministre compétent de tout changement d'activité privée lucrative.</t>
  </si>
  <si>
    <t>CCP_D_004</t>
  </si>
  <si>
    <t>La durée prévisionnelle du congé ne peut pas excéder 2 ans pour chaque période.</t>
  </si>
  <si>
    <t>CCP_D_001</t>
  </si>
  <si>
    <t>La durée réelle du congé ne peut pas excéder 2 ans pour chaque période.</t>
  </si>
  <si>
    <t>CCP_D_005</t>
  </si>
  <si>
    <t>La durée cumulée de l'ensemble des congés pour convenances personnelles ne doit pas excéder 10 ans.</t>
  </si>
  <si>
    <t>CCP_D_002</t>
  </si>
  <si>
    <t>La date de fin réelle du congé doit être antérieure ou égale à la date limite de fin réelle ou prévisionnelle du lien juridique. Le militaire ne voit pas son contrat prorogé jusqu'à la date de fin du congé.</t>
  </si>
  <si>
    <t>CCP_D_003</t>
  </si>
  <si>
    <t>La date de fin prévisionnelle du congé doit être antérieure ou égale à la date limite de fin réelle ou prévisionnelle du lien juridique. Le militaire ne voit pas son contrat prorogé jusqu'à la date de fin du congé.</t>
  </si>
  <si>
    <t>POS_C_004</t>
  </si>
  <si>
    <t>La date de début de position doit être antérieure ou égale à la date de fin prévisionnelle de position.</t>
  </si>
  <si>
    <t>POS_C_007</t>
  </si>
  <si>
    <t>La date de fin réelle de la position doit être antérieure à la date limite de départ à la retraite.</t>
  </si>
  <si>
    <t>POS_C_009</t>
  </si>
  <si>
    <t>La date de début de la position doit être postérieure ou égale à la date de début du lien juridique.</t>
  </si>
  <si>
    <t>POS_C_010</t>
  </si>
  <si>
    <t>La date de début de position doit être antérieure ou égale à la date de fin réelle de position.</t>
  </si>
  <si>
    <t>POS_C_012</t>
  </si>
  <si>
    <t>La date de fin prévisionnelle de la position doit être antérieure à la date limite de départ à la retraite.</t>
  </si>
  <si>
    <t>POS_C_022</t>
  </si>
  <si>
    <t>La date de début de position est à J+1 de la date de fin de position de l'occurrence précédente.</t>
  </si>
  <si>
    <t>POS_C_111</t>
  </si>
  <si>
    <t>La date de fin ou la date de fin prévisionnelle doit être saisie.</t>
  </si>
  <si>
    <t>POS_C_120</t>
  </si>
  <si>
    <t>La saisie d'une occurrence de congés/absences est interdite (date de fin réelle)</t>
  </si>
  <si>
    <t>POS_C_121</t>
  </si>
  <si>
    <t>La saisie d'une occurrence de congés/absences est interdite (date de fin prévisionnelle)</t>
  </si>
  <si>
    <t>CCP_I_003 ET CCP_I_012 ET CCP_I_013 ET CCP_I_001 ET CCP_I_002 ET CCP_I_004 ET CCP_I_014 ET CCP_D_004 ET CCP_D_001 ET CCP_D_005 ET CCP_D_002 ET CCP_D_003 ET POS_C_004 ET POS_C_007 ET POS_C_009 ET POS_C_010 ET POS_C_012 ET POS_C_022 ET POS_C_111 ET POS_C_120 ET POS_C_121</t>
  </si>
  <si>
    <t>CCP_I_005 ET CCP_I_001 ET CCP_I_002 ET CCP_I_004 ET CCP_I_014 ET CCP_D_004 ET CCP_D_001 ET CCP_D_005 ET CCP_D_002 ET CCP_D_003 ET POS_C_004 ET POS_C_007 ET POS_C_009 ET POS_C_010 ET POS_C_012 ET POS_C_022 ET POS_C_111 ET POS_C_120 ET POS_C_121</t>
  </si>
  <si>
    <t>CCP_I_005</t>
  </si>
  <si>
    <t>Le militaire peut demander le renouvellement du congé 3 mois avant l'expiration du congé.</t>
  </si>
  <si>
    <t>CCP_I_006 ET CCP_I_007 ET CCP_D_004 ET CCP_D_001 ET CCP_D_005 ET CCP_D_002 ET CCP_D_003 ET POS_C_004 ET POS_C_007 ET POS_C_010 ET POS_C_012 ET POS_C_111 ET POS_C_120 ET POS_C_121</t>
  </si>
  <si>
    <t>CCP_I_006</t>
  </si>
  <si>
    <t>Le militaire peut demander la réintégration dans son corps d'origine, laquelle est de droit, 3 mois avant l'expiration du congé.</t>
  </si>
  <si>
    <t>CCP_I_007</t>
  </si>
  <si>
    <t>Le militaire qui a formulé avant l'expiration du congé une demande de réintégration est maintenu dans cette situation jusqu'à ce qu'il puisse être affecté dans un emploi correspondant à son grade.</t>
  </si>
  <si>
    <t>Militaire de carrière</t>
  </si>
  <si>
    <t>P0189</t>
  </si>
  <si>
    <t>CCP_I_003 ET CCP_I_011 ET CCP_I_012 ET CCP_I_013 ET CCP_I_001 ET CCP_I_002 ET CCP_I_004 ET CCP_I_014 ET CCP_D_004 ET CCP_D_001 ET CCP_D_005 ET POS_C_004 ET POS_C_005 ET POS_C_007 ET POS_C_010 ET POS_C_012 ET POS_C_022 ET POS_C_055 ET POS_C_056 ET POS_C_111 ET POS_C_120 ET POS_C_121</t>
  </si>
  <si>
    <t>POS_C_005</t>
  </si>
  <si>
    <t>La date de début de la position doit être postérieure ou égale à la date d'entrée dans la FPE ou dans la carrière militaire.</t>
  </si>
  <si>
    <t>POS_C_055</t>
  </si>
  <si>
    <t>La date de fin réelle de la position doit être antérieure ou égale à la date de décès de l'enfant.</t>
  </si>
  <si>
    <t>POS_C_056</t>
  </si>
  <si>
    <t>La date de fin prévisionnelle de la position doit être antérieure ou égale à la date de décès de l'enfant.</t>
  </si>
  <si>
    <t>CCP_I_003 ET CCP_I_012 ET CCP_I_013 ET CCP_I_001 ET CCP_I_002 ET CCP_I_004 ET CCP_I_014 ET CCP_D_004 ET CCP_D_001 ET CCP_D_005 ET POS_C_004 ET POS_C_005 ET POS_C_007 ET POS_C_010 ET POS_C_012 ET POS_C_022 ET POS_C_055 ET POS_C_056 ET POS_C_111 ET POS_C_120 ET POS_C_121</t>
  </si>
  <si>
    <t>CCP_I_005 ET CCP_I_001 ET CCP_I_002 ET CCP_I_004 ET CCP_I_014 ET CCP_D_004 ET CCP_D_001 ET CCP_D_005 ET POS_C_004 ET POS_C_005 ET POS_C_007 ET POS_C_010 ET POS_C_012 ET POS_C_022 ET POS_C_055 ET POS_C_056 ET POS_C_111 ET POS_C_120 ET POS_C_121</t>
  </si>
  <si>
    <t>CCP_I_006 ET CCP_I_007 ET CCP_D_004 ET CCP_D_001 ET CCP_D_005 ET POS_C_004 ET POS_C_007 ET POS_C_010 ET POS_C_012 ET POS_C_055 ET POS_C_056 ET POS_C_111 ET POS_C_120 ET POS_C_121</t>
  </si>
  <si>
    <t>E0919</t>
  </si>
  <si>
    <t>Congé pour convenances personnelles pour élever un enfant militaire</t>
  </si>
  <si>
    <t>La position saisie est 'Congé pour convenances personnelles pour élever un enfant'</t>
  </si>
  <si>
    <t>A_POS_POSIAD [Saisi] = 'NAM30'</t>
  </si>
  <si>
    <t>T2243</t>
  </si>
  <si>
    <t>Congé pour convenances personnelles pour élever un enfant (militaire) - Demande</t>
  </si>
  <si>
    <t>T2244</t>
  </si>
  <si>
    <t>Congé pour convenances personnelles pour élever un enfant (militaire) - Renouvellement</t>
  </si>
  <si>
    <t>T2245</t>
  </si>
  <si>
    <t>Congé pour convenances personnelles pour élever un enfant (militaire) - Fin</t>
  </si>
  <si>
    <t>CCP_I_001 ET CCP_I_002 ET CCP_I_004 ET CCP_I_014 ET CCP_I_008 ET CCP_I_009 ET CCP_I_010 ET CCP_D_004 ET CCP_D_001 ET CCP_D_006 ET CCP_D_007 ET CCP_D_005 ET CCP_D_002 ET CCP_D_003 ET POS_C_004 ET POS_C_007 ET POS_C_009 ET POS_C_010 ET POS_C_012 ET POS_C_022 ET POS_C_050 ET POS_C_051 ET POS_C_055 ET POS_C_056 ET POS_C_111 ET POS_C_120 ET POS_C_121</t>
  </si>
  <si>
    <t>CCP_I_008</t>
  </si>
  <si>
    <t>Le militaire peut demander à souscrire un engagement à servir dans la réserve opérationnelle s'il est placé dans ce congé pour élever un enfant de moins de 8 ans.</t>
  </si>
  <si>
    <t>CCP_I_009</t>
  </si>
  <si>
    <t>La durée des activités à exercer au titre d'un engagement à servir dans la réserve opérationnelle est limitée à 90 jours par année civile.</t>
  </si>
  <si>
    <t>CCP_I_010</t>
  </si>
  <si>
    <t>En cas de nécessité liée à l'emploi des forces, la durée des activités à exercer au titre d'un engagement à servir dans la réserve opérationnelle peut être portée à 150 jours par année civile à la demande de l'administration, après accord du militaire.</t>
  </si>
  <si>
    <t>CCP_D_006</t>
  </si>
  <si>
    <t>La date de fin prévisionnelle de chaque période ne peut pas excéder les 8 ans de l'enfant élevé.</t>
  </si>
  <si>
    <t>CCP_D_007</t>
  </si>
  <si>
    <t>La date de fin réelle de chaque période ne peut pas excéder les 8 ans de l'enfant élevé.</t>
  </si>
  <si>
    <t>POS_C_050</t>
  </si>
  <si>
    <t>Le lien vers l'enfant doit être renseigné.</t>
  </si>
  <si>
    <t>POS_C_051</t>
  </si>
  <si>
    <t>La date de naissance de l'enfant doit être renseignée.</t>
  </si>
  <si>
    <t>CCP_I_001 ET CCP_I_002 ET CCP_I_004 ET CCP_I_014 ET CCP_I_008 ET CCP_I_009 ET CCP_I_010 ET CCP_D_004 ET CCP_D_001 ET CCP_D_008 ET CCP_D_009 ET CCP_D_005 ET CCP_D_002 ET CCP_D_003 ET POS_C_004 ET POS_C_007 ET POS_C_009 ET POS_C_010 ET POS_C_012 ET POS_C_022 ET POS_C_050 ET POS_C_051 ET POS_C_055 ET POS_C_056 ET POS_C_111 ET POS_C_120 ET POS_C_121</t>
  </si>
  <si>
    <t>CCP_D_008</t>
  </si>
  <si>
    <t>La date de fin prévisionnelle de chaque période ne peut pas excéder les 12 ans de l'enfant élevé.</t>
  </si>
  <si>
    <t>CCP_D_009</t>
  </si>
  <si>
    <t>La date de fin réelle de chaque période ne peut pas excéder les 12 ans de l'enfant élevé.</t>
  </si>
  <si>
    <t>CCP_I_005 ET CCP_I_001 ET CCP_I_002 ET CCP_I_004 ET CCP_I_014 ET CCP_I_008 ET CCP_I_009 ET CCP_I_010 ET CCP_D_004 ET CCP_D_001 ET CCP_D_006 ET CCP_D_007 ET CCP_D_005 ET CCP_D_002 ET CCP_D_003 ET POS_C_004 ET POS_C_007 ET POS_C_010 ET POS_C_012 ET POS_C_050 ET POS_C_051 ET POS_C_055 ET POS_C_056 ET POS_C_111 ET POS_C_120 ET POS_C_121</t>
  </si>
  <si>
    <t>CCP_I_005 ET CCP_I_001 ET CCP_I_002 ET CCP_I_004 ET CCP_I_014 ET CCP_I_008 ET CCP_I_009 ET CCP_I_010 ET CCP_D_004 ET CCP_D_001 ET CCP_D_008 ET CCP_D_009 ET CCP_D_005 ET CCP_D_002 ET CCP_D_003 ET POS_C_004 ET POS_C_007 ET POS_C_009 ET POS_C_010 ET POS_C_012 ET POS_C_022 ET POS_C_050 ET POS_C_051 ET POS_C_055 ET POS_C_056 ET POS_C_111 ET POS_C_120 ET POS_C_121</t>
  </si>
  <si>
    <t>CCP_I_006 ET CCP_I_007 ET CCP_D_004 ET CCP_D_001 ET CCP_D_006 ET CCP_D_007 ET CCP_D_005 ET CCP_D_002 ET CCP_D_003 ET POS_C_004 ET POS_C_007 ET POS_C_009 ET POS_C_010 ET POS_C_012 ET POS_C_022 ET POS_C_050 ET POS_C_051 ET POS_C_055 ET POS_C_056 ET POS_C_111 ET POS_C_120 ET POS_C_121</t>
  </si>
  <si>
    <t>CCP_I_006 ET CCP_I_007 ET CCP_D_004 ET CCP_D_001 ET CCP_D_008 ET CCP_D_009 ET CCP_D_005 ET CCP_D_002 ET CCP_D_003 ET POS_C_004 ET POS_C_007 ET POS_C_010 ET POS_C_012 ET POS_C_050 ET POS_C_051 ET POS_C_055 ET POS_C_056 ET POS_C_111 ET POS_C_120 ET POS_C_121</t>
  </si>
  <si>
    <t>CCP_I_001 ET CCP_I_002 ET CCP_I_004 ET CCP_I_014 ET CCP_I_008 ET CCP_I_009 ET CCP_I_010 ET CCP_D_004 ET CCP_D_001 ET CCP_D_006 ET CCP_D_007 ET CCP_D_005 ET POS_C_004 ET POS_C_005 ET POS_C_007 ET POS_C_010 ET POS_C_012 ET POS_C_022 ET POS_C_050 ET POS_C_055 ET POS_C_056 ET POS_C_111 ET POS_C_120 ET POS_C_121 ET POS_C_051</t>
  </si>
  <si>
    <t>CCP_I_001 ET CCP_I_002 ET CCP_I_004 ET CCP_I_014 ET CCP_I_008 ET CCP_I_009 ET CCP_I_010 ET CCP_D_004 ET CCP_D_001 ET CCP_D_008 ET CCP_D_009 ET CCP_D_005 ET POS_C_004 ET POS_C_005 ET POS_C_007 ET POS_C_010 ET POS_C_012 ET POS_C_022 ET POS_C_050 ET POS_C_055 ET POS_C_056 ET POS_C_111 ET POS_C_120 ET POS_C_121 ET POS_C_051</t>
  </si>
  <si>
    <t>CCP_I_005 ET CCP_I_001 ET CCP_I_002 ET CCP_I_004 ET CCP_I_014 ET CCP_I_008 ET CCP_I_009 ET CCP_I_010 ET CCP_D_004 ET CCP_D_001 ET CCP_D_006 ET CCP_D_007 ET CCP_D_005 ET POS_C_004 ET POS_C_007 ET POS_C_010 ET POS_C_012 ET POS_C_050 ET POS_C_055 ET POS_C_056 ET POS_C_111 ET POS_C_120 ET POS_C_121 ET POS_C_051</t>
  </si>
  <si>
    <t>CCP_I_005 ET CCP_I_001 ET CCP_I_002 ET CCP_I_004 ET CCP_I_014 ET CCP_I_008 ET CCP_I_009 ET CCP_I_010 ET CCP_D_004 ET CCP_D_001 ET CCP_D_008 ET CCP_D_009 ET CCP_D_005 ET POS_C_004 ET POS_C_005 ET POS_C_007 ET POS_C_010 ET POS_C_012 ET POS_C_022 ET POS_C_050 ET POS_C_055 ET POS_C_056 ET POS_C_111 ET POS_C_120 ET POS_C_121 ET POS_C_051</t>
  </si>
  <si>
    <t>CCP_I_006 ET CCP_I_007 ET CCP_D_004 ET CCP_D_001 ET CCP_D_006 ET CCP_D_007 ET CCP_D_005 ET POS_C_004 ET POS_C_005 ET POS_C_007 ET POS_C_010 ET POS_C_012 ET POS_C_022 ET POS_C_050 ET POS_C_055 ET POS_C_056 ET POS_C_111 ET POS_C_120 ET POS_C_121 ET POS_C_051</t>
  </si>
  <si>
    <t>CCP_I_006 ET CCP_I_007 ET CCP_D_004 ET CCP_D_001 ET CCP_D_008 ET CCP_D_009 ET CCP_D_005 ET POS_C_004 ET POS_C_007 ET POS_C_010 ET POS_C_012 ET POS_C_050 ET POS_C_055 ET POS_C_056 ET POS_C_111 ET POS_C_120 ET POS_C_121 ET POS_C_051</t>
  </si>
  <si>
    <t>E0957</t>
  </si>
  <si>
    <t>Congé pour convenances personnelles pour suivre son conjoint militaire ou un militaire auquel il est lié par un PACS</t>
  </si>
  <si>
    <t>La position saisie est 'Congé pour convenances personnelles pour suivre son conjoint militaire ou un militaire auquel il est lié par un PACS'</t>
  </si>
  <si>
    <t>A_POS_POSIAD [Saisi] = 'NAM32'</t>
  </si>
  <si>
    <t>T2324</t>
  </si>
  <si>
    <t>Congé pour convenances personnelles pour suivre son conjoint militaire ou un militaire auquel il est lié par un PACS - Demande</t>
  </si>
  <si>
    <t>T2325</t>
  </si>
  <si>
    <t>Congé pour convenances personnelles pour suivre son conjoint militaire ou un militaire auquel il est lié par un PACS - Renouvellement</t>
  </si>
  <si>
    <t>T2326</t>
  </si>
  <si>
    <t>Congé pour convenances personnelles pour suivre son conjoint militaire ou un militaire auquel il est lié par un PACS - Fin</t>
  </si>
  <si>
    <t>CCP_I_001 ET CCP_I_002 ET CCP_I_004 ET CCP_I_014 ET CCP_D_004 ET CCP_D_001 ET CCP_D_005 ET CCP_D_002 ET CCP_D_003 ET POS_C_004 ET POS_C_007 ET POS_C_009 ET POS_C_010 ET POS_C_012 ET POS_C_022 ET POS_C_111 ET POS_C_120 ET POS_C_121</t>
  </si>
  <si>
    <t>CCP_I_001 ET CCP_I_002 ET CCP_I_004 ET CCP_I_014 ET CCP_D_004 ET CCP_D_001 ET CCP_D_005 ET POS_C_004 ET POS_C_005 ET POS_C_007 ET POS_C_010 ET POS_C_012 ET POS_C_022 ET POS_C_055 ET POS_C_056 ET POS_C_111 ET POS_C_120 ET POS_C_121</t>
  </si>
  <si>
    <t>Impacts</t>
  </si>
  <si>
    <t>Identifiant Impacts  1</t>
  </si>
  <si>
    <t>Libellé Impacts  1</t>
  </si>
  <si>
    <t>Identifiant Impacts 2</t>
  </si>
  <si>
    <t>Libellé Impacts 2</t>
  </si>
  <si>
    <t>Identifiant Impacts 3</t>
  </si>
  <si>
    <t>Libellé Impacts 3</t>
  </si>
  <si>
    <t>Identifiant Impacts 4</t>
  </si>
  <si>
    <t>Libellé Impacts 4</t>
  </si>
  <si>
    <t>Identifiant Impacts 5</t>
  </si>
  <si>
    <t>Libellé Impacts 5</t>
  </si>
  <si>
    <t>Identifiant Impacts 6</t>
  </si>
  <si>
    <t>Libellé Impacts 6</t>
  </si>
  <si>
    <t>Identifiant Impacts 7</t>
  </si>
  <si>
    <t>Libellé Impacts 7</t>
  </si>
  <si>
    <t>Identifiant Impacts 8</t>
  </si>
  <si>
    <t>Libellé Impacts 8</t>
  </si>
  <si>
    <t>CCP_P_001 ET CCP_P_003 ET CCP_P_004 ET CCP_P_005</t>
  </si>
  <si>
    <t>CCP_P_001</t>
  </si>
  <si>
    <t>Rémunération : Le militaire ne perçoit pas sa rémunération.</t>
  </si>
  <si>
    <t>CCP_P_003</t>
  </si>
  <si>
    <t>Carrière : La durée du congé est prise en compte dans la durée totale de service du militaire servant en vertu d'un contrat.</t>
  </si>
  <si>
    <t>CCP_P_004</t>
  </si>
  <si>
    <t>Retraite : La durée du congé ne compte pas pour les droits à pension.</t>
  </si>
  <si>
    <t>CCP_P_005</t>
  </si>
  <si>
    <t>Acte : un acte administratif doit être produit.</t>
  </si>
  <si>
    <t>CCP_P_001 ET CCP_P_002 ET CCP_P_004 ET CCP_P_005</t>
  </si>
  <si>
    <t>CCP_P_002</t>
  </si>
  <si>
    <t>Carrière : La durée du congé ne compte pas pour l'avancement.</t>
  </si>
  <si>
    <t>CCP_P_001 ET CCP_P_003 ET CCP_P_008 ET CCP_P_005 ET CCP_P_009 ET CCP_P_010 ET CCP_P_012 ET CCP_P_013</t>
  </si>
  <si>
    <t>CCP_P_008</t>
  </si>
  <si>
    <t>Retraite : Le temps passé dans ce congé entre en compte dans la constitution du droit à pension, dans la limite de 3 ans par enfant né ou adopté.</t>
  </si>
  <si>
    <t>CCP_P_009</t>
  </si>
  <si>
    <t>Rémunération : Lorsque le militaire souscrit à un engagement à servir dans la réserve opérationnelle, le militaire perçoit une solde au titre de la réserve opérationnelle.</t>
  </si>
  <si>
    <t>CCP_P_010</t>
  </si>
  <si>
    <t>Carrière : Lorsque le militaire souscrit à un engagement à servir dans la réserve opérationnelle, il recouvre ses droits à l'avancement au prorata du nombre de jours d'activité accomplis sous contrat d'engagement à servir dans la réserve.</t>
  </si>
  <si>
    <t>CCP_P_012</t>
  </si>
  <si>
    <t>Carrière : Lorsque le militaire souscrit à un engagement à servir dans la réserve opérationnelle, le militaire conserve son grade.</t>
  </si>
  <si>
    <t>CCP_P_013</t>
  </si>
  <si>
    <t>Carrière : Lorsque le militaire souscrit à un engagement à servir dans la réserve opérationnelle, le militaire figure sur la liste d'anciennté de son corps sans avancer au titre de la réserve opérationnelle.</t>
  </si>
  <si>
    <t>CCP_P_001 ET CCP_P_006 ET CCP_P_008 ET CCP_P_005 ET CCP_P_009 ET CCP_P_010 ET CCP_P_012 ET CCP_P_013</t>
  </si>
  <si>
    <t>CCP_P_006</t>
  </si>
  <si>
    <t>Carrière : Le militaire conserve l'intégralité de ses droits à avancement, d'échelon et de grade, dans la limite d'une durée de 5 ans pour l'ensemble de sa carrière. La durée du congé est assimilée à des services effectifs dans le corps.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</si>
  <si>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</si>
  <si>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</si>
  <si>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</si>
  <si>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</si>
  <si>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</si>
  <si>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</si>
  <si>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</si>
  <si>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</si>
  <si>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</si>
  <si>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</si>
  <si>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</si>
  <si>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</si>
  <si>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</si>
  <si>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</si>
  <si>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</si>
  <si>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</si>
  <si>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</si>
  <si>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</si>
  <si>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</si>
  <si>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</si>
  <si>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</si>
  <si>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</si>
  <si>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</si>
  <si>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</si>
  <si>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</si>
  <si>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</si>
  <si>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</si>
  <si>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</si>
  <si>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</si>
  <si>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</si>
  <si>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Code de la défense L4138-16 / Code des pensions civiles et militaires L9</t>
  </si>
  <si>
    <t>SI A_POS_DAFIPS [Saisi] &lt;&gt; Vide</t>
  </si>
  <si>
    <t>A_POS_DAFIPS [Saisi] - A_POS_DADEPS [Saisi] &lt;= 2 AN</t>
  </si>
  <si>
    <t>Bloquant</t>
  </si>
  <si>
    <t>P0145 / P0189 - E0918 / E0919 / E0957 - Dem - Ren - Fin</t>
  </si>
  <si>
    <t>Code de la défense L4138-11</t>
  </si>
  <si>
    <t>SI A_CAR_TYPCOT [Dossier] = 'TC01' ET A_COA_DFRECA [Saisi] &lt;&gt; Vide</t>
  </si>
  <si>
    <t>A_COA_DFRECA [Saisi] &lt;= [Date limite de fin réelle ou prévisionnelle du lien juridique]</t>
  </si>
  <si>
    <t>P0145 - E0918 / E0919 / E0957 - Dem - Ren - Fin</t>
  </si>
  <si>
    <t>x</t>
  </si>
  <si>
    <t>Le militaire ne voit pas son contrat prorogé jusqu'à la date de fin du congé.</t>
  </si>
  <si>
    <t>SI A_POS_DAFIPS [Saisi] &lt;&gt; Vide ET A_CAR_TYPCOT [Dossier] = 'TC01'</t>
  </si>
  <si>
    <t>A_POS_DAFIPS [Saisi] &lt;= [Date limite de fin réelle ou prévisionnelle du lien juridique]</t>
  </si>
  <si>
    <t>SI A_POS_DAFPRE [Saisi] &lt;&gt; Vide ET A_POS_DAFIPS [Saisi] = Vide</t>
  </si>
  <si>
    <t>A_POS_DAFPRE [Saisi] - A_POS_DADEPS [Saisi] &lt;= 2 AN</t>
  </si>
  <si>
    <t>P0145 / P0189 - E0957 / E0918 / E0919 - Dem - Ren - Fin</t>
  </si>
  <si>
    <t>Le congé ne peut pas excéder 2 ans pour chaque période.</t>
  </si>
  <si>
    <t>A_POS_TYPCPS [Saisi] DANS ('NAM25','NAM30', 'NAM32') ET A_POS_DTOPOS [Saisi] &lt;= 10/00/00</t>
  </si>
  <si>
    <t>P0145 / P0189 - E0918 / E0919 / E0957 - Renouvellement</t>
  </si>
  <si>
    <t>Code de la défense R4138-65</t>
  </si>
  <si>
    <t>A_POS_DAFPRE [Saisi] - P_FAM_DNAEAC [Enfant lié(A_POS_LVEPAC)] &lt; 8 AN</t>
  </si>
  <si>
    <t>P0145 / P0189 - E0919 - Dem - Ren - Fin</t>
  </si>
  <si>
    <t>Le congé prend fin au plus tard aux 8 ans de l'enfant élevé.</t>
  </si>
  <si>
    <t>A_POS_DAFIPS [Saisi] - P_FAM_DNAEAC [Enfant lié(A_POS_LVEPAC)] &lt; 8 AN</t>
  </si>
  <si>
    <t>A_POS_DAFPRE [Saisi] - P_FAM_DNAEAC [Enfant lié(A_POS_LVEPAC)] &lt; 12 AN</t>
  </si>
  <si>
    <t>P0189 / P0145 - E0919 - Dem - Ren - Fin</t>
  </si>
  <si>
    <t>Le congé prend fin au plus tard aux 12 ans de l'enfant élevé.</t>
  </si>
  <si>
    <t>A_POS_DAFIPS [Saisi] - P_FAM_DNAEAC [Enfant lié(A_POS_LVEPAC)] &lt; 12 AN</t>
  </si>
  <si>
    <t>17.10.00</t>
  </si>
  <si>
    <t>Contrôle</t>
  </si>
  <si>
    <t>A_POS_DADEPS [Saisi] &lt;= A_POS_DAFPRE [Saisi]</t>
  </si>
  <si>
    <t>P0007 / P0264 - P0001 / P0003 / P0004 / P0005 - E0873 / E0874 / E0976 / E0977 / E0978 / E0979 / E0980 / E0981 / E0982 / E0983 / E0984 / E0985 / E0986 / E0987 / E1052 - Dem - Fin</t>
  </si>
  <si>
    <t>A_POS_DADEPS [Saisi] &gt;= A_SAP_DENFPE [Dossier]</t>
  </si>
  <si>
    <t>P0007 / P0264 - P0001 / P0003 / P0004 / P0005 - E0873 / E0874 / E0976 / E0977 / E0978 / E0979 / E0980 / E0981 / E0982 / E0983 / E0984 / E0985 / E0986 / E0987 / E1052</t>
  </si>
  <si>
    <t>A_POS_DAFIPS [Saisi] &lt; A_SAP_DLDPRE [Dossier]</t>
  </si>
  <si>
    <t>Non Bloquant</t>
  </si>
  <si>
    <t>.</t>
  </si>
  <si>
    <t>A_POS_DADEPS [Saisi] &gt;= A_CAR_DDLIJU [Dossier]</t>
  </si>
  <si>
    <t>P0003 / P0005 - E0873 / E0976 / E0977 / E0978 / E0979 / E0983</t>
  </si>
  <si>
    <t>A_POS_DADEPS [Saisi] &lt;= A_POS_DAFIPS [Saisi]</t>
  </si>
  <si>
    <t>A_POS_DAFPRE [Saisi] &lt; A_SAP_DLDPRE [Dossier]</t>
  </si>
  <si>
    <t>SI A_POS_DADEPS [Occurrence précédente] &lt;&gt; Vide</t>
  </si>
  <si>
    <t>A_POS_DADEPS [Saisi] - A_POS_DAFIPS [Occurrence précédente] = 1 JOUR</t>
  </si>
  <si>
    <t>Ce contrôle ne doit pas être fait lors de la saisie de la 1ère occurrence de position/situation.</t>
  </si>
  <si>
    <t>A_POS_LVEPAC [Saisi] &lt;&gt; Vide</t>
  </si>
  <si>
    <t>P_FAM_DNAEAC [Enfant lié(A_POS_LVEPAC)] &lt;&gt; Vide</t>
  </si>
  <si>
    <t>SI A_POS_DAFIPS [Saisi] &lt;&gt; Vide ET P_FAM_DECEAC [Enfant lié(A_POS_LVEPAC)] &lt;&gt; Vide</t>
  </si>
  <si>
    <t>A_POS_DAFIPS [Saisi] &lt;= P_FAM_DECEAC [Enfant lié(A_POS_LVEPAC)]</t>
  </si>
  <si>
    <t>SI A_POS_DAFPRE [Saisi] &lt;&gt; Vide ET A_POS_DAFIPS [Saisi] = Vide ET P_FAM_DECEAC [Enfant lié(A_POS_LVEPAC)] &lt;&gt; Vide</t>
  </si>
  <si>
    <t>A_POS_DAFPRE [Saisi] &lt;= P_FAM_DECEAC [Enfant lié(A_POS_LVEPAC)]</t>
  </si>
  <si>
    <t>A_POS_DAFIPS [Saisi] &lt;&gt; Vide OU A_POS_DAFPRE [Saisi] &lt;&gt; Vide</t>
  </si>
  <si>
    <t>P0007 / P0264 - P0001 / P0003 / P0005 - E0873 / E0874 / E0976 / E0977 / E0978 / E0979 / E0980 / E0981 / E0982 / E0983 / E0984 / E0985 / E0986 / E0987</t>
  </si>
  <si>
    <t>21.00.00</t>
  </si>
  <si>
    <t>SI A_COA_DFRECA [Dossier] &lt;&gt; Vide</t>
  </si>
  <si>
    <t>A_POS_DADEPS [Saisi] &gt; A_COA_DFRECA [Dossier]</t>
  </si>
  <si>
    <t>P0001 / P0003 / P0004</t>
  </si>
  <si>
    <t>L'agent ne peut pas être placé en congé.</t>
  </si>
  <si>
    <t>SI A_COA_DAFIPR [Dossier] &lt;&gt; Vide ET A_COA_DFRECA [Dossier] = Vide</t>
  </si>
  <si>
    <t>A_POS_DADEPS [Saisi] &gt; A_COA_DAFIPR [Dossier]</t>
  </si>
  <si>
    <t>Intellectuel</t>
  </si>
  <si>
    <t>Code de la défense L4138-16</t>
  </si>
  <si>
    <t>P0145 / P0189 - E0918 / E0919 / E0957 - Demande et Renouvellement</t>
  </si>
  <si>
    <t>Code de la défense L4138-16 | R4138-65</t>
  </si>
  <si>
    <t>P0189 / P0145 - E0918 - Demande</t>
  </si>
  <si>
    <t>Code de la défense R4122-14</t>
  </si>
  <si>
    <t>P0189 / P0145 - E0918 / E0919 / E0957 - Demande et Renouvellement</t>
  </si>
  <si>
    <t>Code de la défense R4138-66</t>
  </si>
  <si>
    <t>P0189 / P0145 - E0918 / E0919 / E0957 - Renouvellement</t>
  </si>
  <si>
    <t>P0189 / P0145 - E0918 / E0919 / E0957 - Fin</t>
  </si>
  <si>
    <t>Code de la défense L4138-16 | R4138-65-1</t>
  </si>
  <si>
    <t>P0145 / P0189 - E0919 - Demande et Renouvellement</t>
  </si>
  <si>
    <t>P0189 / P0145 - E0919 - Demande et Renouvellement</t>
  </si>
  <si>
    <t>P0145 / P0189 - E0918 - Demande</t>
  </si>
  <si>
    <t>P0189 / P0145 - E0918 / E0919 - Demande</t>
  </si>
  <si>
    <t>Code de la défense R4122-14 | R4122-24-1</t>
  </si>
  <si>
    <t>P0189 / P0145 - E0957 / E0918 / E0919 - Demande et Renouvellement</t>
  </si>
  <si>
    <t>Impact</t>
  </si>
  <si>
    <t>Code des pensions civiles et militaires L9 / Code de la défense L4138-16</t>
  </si>
  <si>
    <t>P0145 / P0189 - E0918 / E0957 - Demande et Renouvellement</t>
  </si>
  <si>
    <t>P0145 - E0918 / E0919 / E0957 - Demande et Renouvellement</t>
  </si>
  <si>
    <t>P0189 / P0145 - E0918 / E0957 - Demande et Renouvellement</t>
  </si>
  <si>
    <t>P0145 / P0189 - E0957 / E0918 / E0919 - Demande et Renouvellement</t>
  </si>
  <si>
    <t>Code de la défense L4138-16 | L4138-17 | R4138-65</t>
  </si>
  <si>
    <t>Code des pensions civiles et militaires L9 / Code de la défense L4138-16 | L4138-17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</si>
</sst>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33FC0-6CC6-4CD0-874E-DFC187CC71A3}">
  <sheetPr codeName="Feuil2"/>
  <dimension ref="A1:AG425"/>
  <sheetViews>
    <sheetView tabSelected="1" zoomScaleNormal="100" workbookViewId="0"/>
  </sheetViews>
  <sheetFormatPr baseColWidth="10" defaultRowHeight="14.5" x14ac:dyDescent="0.35"/>
  <cols>
    <col min="2" max="2" width="144.26953125" style="9" customWidth="1"/>
    <col min="3" max="3" width="64.81640625" style="2" bestFit="1" customWidth="1"/>
    <col min="18" max="19" width="10.90625" style="2"/>
  </cols>
  <sheetData>
    <row r="1" spans="1:33" x14ac:dyDescent="0.35">
      <c r="B1" s="1" t="s">
        <v>0</v>
      </c>
    </row>
    <row r="2" spans="1:33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8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8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8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8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8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8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8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8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8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8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8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8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8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8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8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8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8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8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49055-813D-4575-9DF1-5A16E74AF173}">
  <dimension ref="A1:CC353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15.6328125" style="18" customWidth="1"/>
    <col min="33" max="33" width="25.6328125" style="17" customWidth="1"/>
    <col min="34" max="34" width="15.6328125" style="18" customWidth="1"/>
    <col min="35" max="35" width="25.6328125" style="17" customWidth="1"/>
    <col min="36" max="36" width="15.6328125" style="18" customWidth="1"/>
    <col min="37" max="37" width="25.6328125" style="17" customWidth="1"/>
    <col min="38" max="38" width="15.6328125" style="18" customWidth="1"/>
    <col min="39" max="39" width="25.6328125" style="17" customWidth="1"/>
    <col min="40" max="40" width="15.6328125" style="18" customWidth="1"/>
    <col min="41" max="41" width="25.6328125" style="17" customWidth="1"/>
    <col min="42" max="42" width="15.6328125" style="18" customWidth="1"/>
    <col min="43" max="43" width="25.6328125" style="17" customWidth="1"/>
    <col min="44" max="44" width="15.6328125" style="18" customWidth="1"/>
    <col min="45" max="45" width="25.6328125" style="17" customWidth="1"/>
    <col min="46" max="46" width="15.6328125" style="18" customWidth="1"/>
    <col min="47" max="47" width="25.6328125" style="17" customWidth="1"/>
    <col min="48" max="48" width="15.6328125" style="18" customWidth="1"/>
    <col min="49" max="49" width="25.6328125" style="17" customWidth="1"/>
    <col min="50" max="50" width="15.6328125" style="18" customWidth="1"/>
    <col min="51" max="51" width="25.6328125" style="17" customWidth="1"/>
    <col min="52" max="52" width="15.6328125" style="18" customWidth="1"/>
    <col min="53" max="53" width="25.6328125" style="17" customWidth="1"/>
    <col min="54" max="54" width="15.6328125" style="18" customWidth="1"/>
    <col min="55" max="55" width="25.6328125" style="17" customWidth="1"/>
    <col min="56" max="56" width="15.6328125" style="18" customWidth="1"/>
    <col min="57" max="57" width="25.6328125" style="17" customWidth="1"/>
    <col min="58" max="58" width="15.6328125" style="18" customWidth="1"/>
    <col min="59" max="59" width="25.6328125" style="17" customWidth="1"/>
    <col min="60" max="60" width="15.6328125" style="18" customWidth="1"/>
    <col min="61" max="61" width="25.6328125" style="17" customWidth="1"/>
    <col min="62" max="62" width="15.6328125" style="18" customWidth="1"/>
    <col min="63" max="63" width="25.6328125" style="17" customWidth="1"/>
    <col min="64" max="64" width="15.6328125" style="18" customWidth="1"/>
    <col min="65" max="65" width="25.6328125" style="17" customWidth="1"/>
    <col min="66" max="66" width="15.6328125" style="18" customWidth="1"/>
    <col min="67" max="67" width="25.6328125" style="17" customWidth="1"/>
    <col min="68" max="68" width="15.6328125" style="18" customWidth="1"/>
    <col min="69" max="69" width="25.6328125" style="17" customWidth="1"/>
    <col min="70" max="70" width="15.6328125" style="18" customWidth="1"/>
    <col min="71" max="71" width="25.6328125" style="17" customWidth="1"/>
    <col min="72" max="72" width="15.6328125" style="18" customWidth="1"/>
    <col min="73" max="73" width="25.6328125" style="17" customWidth="1"/>
    <col min="74" max="74" width="15.6328125" style="18" customWidth="1"/>
    <col min="75" max="75" width="25.6328125" style="17" customWidth="1"/>
    <col min="76" max="76" width="15.6328125" style="18" customWidth="1"/>
    <col min="77" max="77" width="25.6328125" style="17" customWidth="1"/>
    <col min="78" max="78" width="15.6328125" style="18" customWidth="1"/>
    <col min="79" max="79" width="25.6328125" style="17" customWidth="1"/>
    <col min="80" max="80" width="9.6328125" style="18" customWidth="1"/>
    <col min="81" max="81" width="15.6328125" style="12" customWidth="1"/>
    <col min="82" max="16384" width="10.90625" style="12"/>
  </cols>
  <sheetData>
    <row r="1" spans="1:81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23</v>
      </c>
      <c r="X1" s="10" t="s">
        <v>24</v>
      </c>
      <c r="Y1" s="10" t="s">
        <v>25</v>
      </c>
      <c r="Z1" s="10" t="s">
        <v>26</v>
      </c>
      <c r="AA1" s="10" t="s">
        <v>27</v>
      </c>
      <c r="AB1" s="10" t="s">
        <v>28</v>
      </c>
      <c r="AC1" s="10" t="s">
        <v>29</v>
      </c>
      <c r="AD1" s="10" t="s">
        <v>30</v>
      </c>
      <c r="AE1" s="10" t="s">
        <v>31</v>
      </c>
      <c r="AF1" s="10" t="s">
        <v>32</v>
      </c>
      <c r="AG1" s="10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10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0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0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0" t="s">
        <v>65</v>
      </c>
      <c r="BN1" s="10" t="s">
        <v>66</v>
      </c>
      <c r="BO1" s="10" t="s">
        <v>67</v>
      </c>
      <c r="BP1" s="10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0" t="s">
        <v>74</v>
      </c>
      <c r="BW1" s="10" t="s">
        <v>75</v>
      </c>
      <c r="BX1" s="10" t="s">
        <v>76</v>
      </c>
      <c r="BY1" s="10" t="s">
        <v>77</v>
      </c>
      <c r="BZ1" s="10" t="s">
        <v>78</v>
      </c>
      <c r="CA1" s="10" t="s">
        <v>79</v>
      </c>
      <c r="CB1" s="10" t="s">
        <v>80</v>
      </c>
      <c r="CC1" s="10" t="s">
        <v>81</v>
      </c>
    </row>
    <row r="2" spans="1:81" ht="72.5" x14ac:dyDescent="0.35">
      <c r="A2" s="13" t="s">
        <v>82</v>
      </c>
      <c r="B2" s="13" t="s">
        <v>83</v>
      </c>
      <c r="C2" s="14">
        <v>44970.484027777777</v>
      </c>
      <c r="D2" s="13" t="s">
        <v>84</v>
      </c>
      <c r="E2" s="15" t="s">
        <v>85</v>
      </c>
      <c r="F2" s="13" t="s">
        <v>86</v>
      </c>
      <c r="G2" s="15" t="s">
        <v>87</v>
      </c>
      <c r="H2" s="13" t="s">
        <v>88</v>
      </c>
      <c r="I2" s="15" t="s">
        <v>89</v>
      </c>
      <c r="J2" s="15" t="s">
        <v>90</v>
      </c>
      <c r="K2" s="15" t="s">
        <v>91</v>
      </c>
      <c r="L2" s="13" t="s">
        <v>92</v>
      </c>
      <c r="M2" s="15" t="s">
        <v>93</v>
      </c>
      <c r="N2" s="13" t="s">
        <v>94</v>
      </c>
      <c r="O2" s="15" t="s">
        <v>95</v>
      </c>
      <c r="P2" s="15" t="s">
        <v>96</v>
      </c>
      <c r="Q2" s="15" t="s">
        <v>97</v>
      </c>
      <c r="R2" s="13" t="s">
        <v>98</v>
      </c>
      <c r="S2" s="13" t="s">
        <v>99</v>
      </c>
      <c r="T2" s="13" t="s">
        <v>100</v>
      </c>
      <c r="U2" s="14">
        <v>43831</v>
      </c>
      <c r="V2" s="14"/>
      <c r="W2" s="15"/>
      <c r="X2" s="13"/>
      <c r="Y2" s="15"/>
      <c r="Z2" s="13"/>
      <c r="AA2" s="15"/>
      <c r="AB2" s="13"/>
      <c r="AC2" s="15"/>
      <c r="AD2" s="13"/>
      <c r="AE2" s="15"/>
      <c r="AF2" s="13"/>
      <c r="AG2" s="15"/>
      <c r="AH2" s="13"/>
      <c r="AI2" s="15"/>
      <c r="AJ2" s="13"/>
      <c r="AK2" s="15"/>
      <c r="AL2" s="13"/>
      <c r="AM2" s="15"/>
      <c r="AN2" s="13"/>
      <c r="AO2" s="15"/>
      <c r="AP2" s="13"/>
      <c r="AQ2" s="15"/>
      <c r="AR2" s="13"/>
      <c r="AS2" s="15"/>
      <c r="AT2" s="13"/>
      <c r="AU2" s="15"/>
      <c r="AV2" s="13"/>
      <c r="AW2" s="15"/>
      <c r="AX2" s="13"/>
      <c r="AY2" s="15"/>
      <c r="AZ2" s="13"/>
      <c r="BA2" s="15"/>
      <c r="BB2" s="13"/>
      <c r="BC2" s="15"/>
      <c r="BD2" s="13"/>
      <c r="BE2" s="15"/>
      <c r="BF2" s="13"/>
      <c r="BG2" s="15"/>
      <c r="BH2" s="13"/>
      <c r="BI2" s="15"/>
      <c r="BJ2" s="13"/>
      <c r="BK2" s="15"/>
      <c r="BL2" s="13"/>
      <c r="BM2" s="15"/>
      <c r="BN2" s="13"/>
      <c r="BO2" s="15"/>
      <c r="BP2" s="13"/>
      <c r="BQ2" s="15"/>
      <c r="BR2" s="13"/>
      <c r="BS2" s="15"/>
      <c r="BT2" s="13"/>
      <c r="BU2" s="15"/>
      <c r="BV2" s="13"/>
      <c r="BW2" s="15"/>
      <c r="BX2" s="13"/>
      <c r="BY2" s="15"/>
      <c r="BZ2" s="13"/>
      <c r="CA2" s="15"/>
      <c r="CB2" s="13"/>
      <c r="CC2" s="13"/>
    </row>
    <row r="3" spans="1:81" ht="72.5" x14ac:dyDescent="0.35">
      <c r="A3" s="13" t="s">
        <v>82</v>
      </c>
      <c r="B3" s="13" t="s">
        <v>83</v>
      </c>
      <c r="C3" s="14">
        <v>44970.486111111109</v>
      </c>
      <c r="D3" s="13" t="s">
        <v>84</v>
      </c>
      <c r="E3" s="15" t="s">
        <v>85</v>
      </c>
      <c r="F3" s="13" t="s">
        <v>86</v>
      </c>
      <c r="G3" s="15" t="s">
        <v>87</v>
      </c>
      <c r="H3" s="13" t="s">
        <v>88</v>
      </c>
      <c r="I3" s="15" t="s">
        <v>89</v>
      </c>
      <c r="J3" s="15" t="s">
        <v>90</v>
      </c>
      <c r="K3" s="15" t="s">
        <v>91</v>
      </c>
      <c r="L3" s="13" t="s">
        <v>101</v>
      </c>
      <c r="M3" s="15" t="s">
        <v>102</v>
      </c>
      <c r="N3" s="13" t="s">
        <v>94</v>
      </c>
      <c r="O3" s="15" t="s">
        <v>103</v>
      </c>
      <c r="P3" s="15" t="s">
        <v>104</v>
      </c>
      <c r="Q3" s="15" t="s">
        <v>97</v>
      </c>
      <c r="R3" s="13" t="s">
        <v>98</v>
      </c>
      <c r="S3" s="13" t="s">
        <v>99</v>
      </c>
      <c r="T3" s="13" t="s">
        <v>100</v>
      </c>
      <c r="U3" s="14">
        <v>43831</v>
      </c>
      <c r="V3" s="14"/>
      <c r="W3" s="15"/>
      <c r="X3" s="13"/>
      <c r="Y3" s="15"/>
      <c r="Z3" s="13"/>
      <c r="AA3" s="15"/>
      <c r="AB3" s="13"/>
      <c r="AC3" s="15"/>
      <c r="AD3" s="13"/>
      <c r="AE3" s="15"/>
      <c r="AF3" s="13"/>
      <c r="AG3" s="15"/>
      <c r="AH3" s="13"/>
      <c r="AI3" s="15"/>
      <c r="AJ3" s="13"/>
      <c r="AK3" s="15"/>
      <c r="AL3" s="13"/>
      <c r="AM3" s="15"/>
      <c r="AN3" s="13"/>
      <c r="AO3" s="15"/>
      <c r="AP3" s="13"/>
      <c r="AQ3" s="15"/>
      <c r="AR3" s="13"/>
      <c r="AS3" s="15"/>
      <c r="AT3" s="13"/>
      <c r="AU3" s="15"/>
      <c r="AV3" s="13"/>
      <c r="AW3" s="15"/>
      <c r="AX3" s="13"/>
      <c r="AY3" s="15"/>
      <c r="AZ3" s="13"/>
      <c r="BA3" s="15"/>
      <c r="BB3" s="13"/>
      <c r="BC3" s="15"/>
      <c r="BD3" s="13"/>
      <c r="BE3" s="15"/>
      <c r="BF3" s="13"/>
      <c r="BG3" s="15"/>
      <c r="BH3" s="13"/>
      <c r="BI3" s="15"/>
      <c r="BJ3" s="13"/>
      <c r="BK3" s="15"/>
      <c r="BL3" s="13"/>
      <c r="BM3" s="15"/>
      <c r="BN3" s="13"/>
      <c r="BO3" s="15"/>
      <c r="BP3" s="13"/>
      <c r="BQ3" s="15"/>
      <c r="BR3" s="13"/>
      <c r="BS3" s="15"/>
      <c r="BT3" s="13"/>
      <c r="BU3" s="15"/>
      <c r="BV3" s="13"/>
      <c r="BW3" s="15"/>
      <c r="BX3" s="13"/>
      <c r="BY3" s="15"/>
      <c r="BZ3" s="13"/>
      <c r="CA3" s="15"/>
      <c r="CB3" s="13"/>
      <c r="CC3" s="13"/>
    </row>
    <row r="4" spans="1:81" ht="43.5" x14ac:dyDescent="0.35">
      <c r="A4" s="13" t="s">
        <v>82</v>
      </c>
      <c r="B4" s="13" t="s">
        <v>83</v>
      </c>
      <c r="C4" s="14">
        <v>44970.493055555555</v>
      </c>
      <c r="D4" s="13" t="s">
        <v>84</v>
      </c>
      <c r="E4" s="15" t="s">
        <v>85</v>
      </c>
      <c r="F4" s="13" t="s">
        <v>86</v>
      </c>
      <c r="G4" s="15" t="s">
        <v>87</v>
      </c>
      <c r="H4" s="13" t="s">
        <v>88</v>
      </c>
      <c r="I4" s="15" t="s">
        <v>89</v>
      </c>
      <c r="J4" s="15" t="s">
        <v>90</v>
      </c>
      <c r="K4" s="15" t="s">
        <v>91</v>
      </c>
      <c r="L4" s="13" t="s">
        <v>105</v>
      </c>
      <c r="M4" s="15" t="s">
        <v>106</v>
      </c>
      <c r="N4" s="13" t="s">
        <v>107</v>
      </c>
      <c r="O4" s="15" t="s">
        <v>108</v>
      </c>
      <c r="P4" s="15" t="s">
        <v>109</v>
      </c>
      <c r="Q4" s="15" t="s">
        <v>97</v>
      </c>
      <c r="R4" s="13" t="s">
        <v>98</v>
      </c>
      <c r="S4" s="13" t="s">
        <v>99</v>
      </c>
      <c r="T4" s="13" t="s">
        <v>100</v>
      </c>
      <c r="U4" s="14">
        <v>43831</v>
      </c>
      <c r="V4" s="14"/>
      <c r="W4" s="15"/>
      <c r="X4" s="13"/>
      <c r="Y4" s="15"/>
      <c r="Z4" s="13"/>
      <c r="AA4" s="15"/>
      <c r="AB4" s="13"/>
      <c r="AC4" s="15"/>
      <c r="AD4" s="13"/>
      <c r="AE4" s="15"/>
      <c r="AF4" s="13"/>
      <c r="AG4" s="15"/>
      <c r="AH4" s="13"/>
      <c r="AI4" s="15"/>
      <c r="AJ4" s="13"/>
      <c r="AK4" s="15"/>
      <c r="AL4" s="13"/>
      <c r="AM4" s="15"/>
      <c r="AN4" s="13"/>
      <c r="AO4" s="15"/>
      <c r="AP4" s="13"/>
      <c r="AQ4" s="15"/>
      <c r="AR4" s="13"/>
      <c r="AS4" s="15"/>
      <c r="AT4" s="13"/>
      <c r="AU4" s="15"/>
      <c r="AV4" s="13"/>
      <c r="AW4" s="15"/>
      <c r="AX4" s="13"/>
      <c r="AY4" s="15"/>
      <c r="AZ4" s="13"/>
      <c r="BA4" s="15"/>
      <c r="BB4" s="13"/>
      <c r="BC4" s="15"/>
      <c r="BD4" s="13"/>
      <c r="BE4" s="15"/>
      <c r="BF4" s="13"/>
      <c r="BG4" s="15"/>
      <c r="BH4" s="13"/>
      <c r="BI4" s="15"/>
      <c r="BJ4" s="13"/>
      <c r="BK4" s="15"/>
      <c r="BL4" s="13"/>
      <c r="BM4" s="15"/>
      <c r="BN4" s="13"/>
      <c r="BO4" s="15"/>
      <c r="BP4" s="13"/>
      <c r="BQ4" s="15"/>
      <c r="BR4" s="13"/>
      <c r="BS4" s="15"/>
      <c r="BT4" s="13"/>
      <c r="BU4" s="15"/>
      <c r="BV4" s="13"/>
      <c r="BW4" s="15"/>
      <c r="BX4" s="13"/>
      <c r="BY4" s="15"/>
      <c r="BZ4" s="13"/>
      <c r="CA4" s="15"/>
      <c r="CB4" s="13"/>
      <c r="CC4" s="13"/>
    </row>
    <row r="5" spans="1:81" ht="72.5" x14ac:dyDescent="0.35">
      <c r="A5" s="13" t="s">
        <v>82</v>
      </c>
      <c r="B5" s="13" t="s">
        <v>83</v>
      </c>
      <c r="C5" s="14">
        <v>44970.48541666667</v>
      </c>
      <c r="D5" s="13" t="s">
        <v>84</v>
      </c>
      <c r="E5" s="15" t="s">
        <v>85</v>
      </c>
      <c r="F5" s="13" t="s">
        <v>86</v>
      </c>
      <c r="G5" s="15" t="s">
        <v>87</v>
      </c>
      <c r="H5" s="13" t="s">
        <v>88</v>
      </c>
      <c r="I5" s="15" t="s">
        <v>89</v>
      </c>
      <c r="J5" s="15" t="s">
        <v>90</v>
      </c>
      <c r="K5" s="15" t="s">
        <v>91</v>
      </c>
      <c r="L5" s="13" t="s">
        <v>92</v>
      </c>
      <c r="M5" s="15" t="s">
        <v>93</v>
      </c>
      <c r="N5" s="13" t="s">
        <v>94</v>
      </c>
      <c r="O5" s="15" t="s">
        <v>95</v>
      </c>
      <c r="P5" s="15" t="s">
        <v>96</v>
      </c>
      <c r="Q5" s="15" t="s">
        <v>110</v>
      </c>
      <c r="R5" s="13" t="s">
        <v>111</v>
      </c>
      <c r="S5" s="13" t="s">
        <v>99</v>
      </c>
      <c r="T5" s="13" t="s">
        <v>100</v>
      </c>
      <c r="U5" s="14">
        <v>43831</v>
      </c>
      <c r="V5" s="14"/>
      <c r="W5" s="15"/>
      <c r="X5" s="13"/>
      <c r="Y5" s="15"/>
      <c r="Z5" s="13"/>
      <c r="AA5" s="15"/>
      <c r="AB5" s="13"/>
      <c r="AC5" s="15"/>
      <c r="AD5" s="13"/>
      <c r="AE5" s="15"/>
      <c r="AF5" s="13"/>
      <c r="AG5" s="15"/>
      <c r="AH5" s="13"/>
      <c r="AI5" s="15"/>
      <c r="AJ5" s="13"/>
      <c r="AK5" s="15"/>
      <c r="AL5" s="13"/>
      <c r="AM5" s="15"/>
      <c r="AN5" s="13"/>
      <c r="AO5" s="15"/>
      <c r="AP5" s="13"/>
      <c r="AQ5" s="15"/>
      <c r="AR5" s="13"/>
      <c r="AS5" s="15"/>
      <c r="AT5" s="13"/>
      <c r="AU5" s="15"/>
      <c r="AV5" s="13"/>
      <c r="AW5" s="15"/>
      <c r="AX5" s="13"/>
      <c r="AY5" s="15"/>
      <c r="AZ5" s="13"/>
      <c r="BA5" s="15"/>
      <c r="BB5" s="13"/>
      <c r="BC5" s="15"/>
      <c r="BD5" s="13"/>
      <c r="BE5" s="15"/>
      <c r="BF5" s="13"/>
      <c r="BG5" s="15"/>
      <c r="BH5" s="13"/>
      <c r="BI5" s="15"/>
      <c r="BJ5" s="13"/>
      <c r="BK5" s="15"/>
      <c r="BL5" s="13"/>
      <c r="BM5" s="15"/>
      <c r="BN5" s="13"/>
      <c r="BO5" s="15"/>
      <c r="BP5" s="13"/>
      <c r="BQ5" s="15"/>
      <c r="BR5" s="13"/>
      <c r="BS5" s="15"/>
      <c r="BT5" s="13"/>
      <c r="BU5" s="15"/>
      <c r="BV5" s="13"/>
      <c r="BW5" s="15"/>
      <c r="BX5" s="13"/>
      <c r="BY5" s="15"/>
      <c r="BZ5" s="13"/>
      <c r="CA5" s="15"/>
      <c r="CB5" s="13"/>
      <c r="CC5" s="13"/>
    </row>
    <row r="6" spans="1:81" ht="72.5" x14ac:dyDescent="0.35">
      <c r="A6" s="13" t="s">
        <v>82</v>
      </c>
      <c r="B6" s="13" t="s">
        <v>83</v>
      </c>
      <c r="C6" s="14">
        <v>44970.486805555556</v>
      </c>
      <c r="D6" s="13" t="s">
        <v>84</v>
      </c>
      <c r="E6" s="15" t="s">
        <v>85</v>
      </c>
      <c r="F6" s="13" t="s">
        <v>86</v>
      </c>
      <c r="G6" s="15" t="s">
        <v>87</v>
      </c>
      <c r="H6" s="13" t="s">
        <v>88</v>
      </c>
      <c r="I6" s="15" t="s">
        <v>89</v>
      </c>
      <c r="J6" s="15" t="s">
        <v>90</v>
      </c>
      <c r="K6" s="15" t="s">
        <v>91</v>
      </c>
      <c r="L6" s="13" t="s">
        <v>101</v>
      </c>
      <c r="M6" s="15" t="s">
        <v>102</v>
      </c>
      <c r="N6" s="13" t="s">
        <v>94</v>
      </c>
      <c r="O6" s="15" t="s">
        <v>103</v>
      </c>
      <c r="P6" s="15" t="s">
        <v>104</v>
      </c>
      <c r="Q6" s="15" t="s">
        <v>110</v>
      </c>
      <c r="R6" s="13" t="s">
        <v>111</v>
      </c>
      <c r="S6" s="13" t="s">
        <v>99</v>
      </c>
      <c r="T6" s="13" t="s">
        <v>100</v>
      </c>
      <c r="U6" s="14">
        <v>43831</v>
      </c>
      <c r="V6" s="14"/>
      <c r="W6" s="15"/>
      <c r="X6" s="13"/>
      <c r="Y6" s="15"/>
      <c r="Z6" s="13"/>
      <c r="AA6" s="15"/>
      <c r="AB6" s="13"/>
      <c r="AC6" s="15"/>
      <c r="AD6" s="13"/>
      <c r="AE6" s="15"/>
      <c r="AF6" s="13"/>
      <c r="AG6" s="15"/>
      <c r="AH6" s="13"/>
      <c r="AI6" s="15"/>
      <c r="AJ6" s="13"/>
      <c r="AK6" s="15"/>
      <c r="AL6" s="13"/>
      <c r="AM6" s="15"/>
      <c r="AN6" s="13"/>
      <c r="AO6" s="15"/>
      <c r="AP6" s="13"/>
      <c r="AQ6" s="15"/>
      <c r="AR6" s="13"/>
      <c r="AS6" s="15"/>
      <c r="AT6" s="13"/>
      <c r="AU6" s="15"/>
      <c r="AV6" s="13"/>
      <c r="AW6" s="15"/>
      <c r="AX6" s="13"/>
      <c r="AY6" s="15"/>
      <c r="AZ6" s="13"/>
      <c r="BA6" s="15"/>
      <c r="BB6" s="13"/>
      <c r="BC6" s="15"/>
      <c r="BD6" s="13"/>
      <c r="BE6" s="15"/>
      <c r="BF6" s="13"/>
      <c r="BG6" s="15"/>
      <c r="BH6" s="13"/>
      <c r="BI6" s="15"/>
      <c r="BJ6" s="13"/>
      <c r="BK6" s="15"/>
      <c r="BL6" s="13"/>
      <c r="BM6" s="15"/>
      <c r="BN6" s="13"/>
      <c r="BO6" s="15"/>
      <c r="BP6" s="13"/>
      <c r="BQ6" s="15"/>
      <c r="BR6" s="13"/>
      <c r="BS6" s="15"/>
      <c r="BT6" s="13"/>
      <c r="BU6" s="15"/>
      <c r="BV6" s="13"/>
      <c r="BW6" s="15"/>
      <c r="BX6" s="13"/>
      <c r="BY6" s="15"/>
      <c r="BZ6" s="13"/>
      <c r="CA6" s="15"/>
      <c r="CB6" s="13"/>
      <c r="CC6" s="13"/>
    </row>
    <row r="7" spans="1:81" ht="43.5" x14ac:dyDescent="0.35">
      <c r="A7" s="13" t="s">
        <v>82</v>
      </c>
      <c r="B7" s="13" t="s">
        <v>83</v>
      </c>
      <c r="C7" s="14">
        <v>44970.493055555555</v>
      </c>
      <c r="D7" s="13" t="s">
        <v>84</v>
      </c>
      <c r="E7" s="15" t="s">
        <v>85</v>
      </c>
      <c r="F7" s="13" t="s">
        <v>86</v>
      </c>
      <c r="G7" s="15" t="s">
        <v>87</v>
      </c>
      <c r="H7" s="13" t="s">
        <v>88</v>
      </c>
      <c r="I7" s="15" t="s">
        <v>89</v>
      </c>
      <c r="J7" s="15" t="s">
        <v>90</v>
      </c>
      <c r="K7" s="15" t="s">
        <v>91</v>
      </c>
      <c r="L7" s="13" t="s">
        <v>105</v>
      </c>
      <c r="M7" s="15" t="s">
        <v>106</v>
      </c>
      <c r="N7" s="13" t="s">
        <v>107</v>
      </c>
      <c r="O7" s="15" t="s">
        <v>108</v>
      </c>
      <c r="P7" s="15" t="s">
        <v>109</v>
      </c>
      <c r="Q7" s="15" t="s">
        <v>110</v>
      </c>
      <c r="R7" s="13" t="s">
        <v>111</v>
      </c>
      <c r="S7" s="13" t="s">
        <v>99</v>
      </c>
      <c r="T7" s="13" t="s">
        <v>100</v>
      </c>
      <c r="U7" s="14">
        <v>43831</v>
      </c>
      <c r="V7" s="14"/>
      <c r="W7" s="15"/>
      <c r="X7" s="13"/>
      <c r="Y7" s="15"/>
      <c r="Z7" s="13"/>
      <c r="AA7" s="15"/>
      <c r="AB7" s="13"/>
      <c r="AC7" s="15"/>
      <c r="AD7" s="13"/>
      <c r="AE7" s="15"/>
      <c r="AF7" s="13"/>
      <c r="AG7" s="15"/>
      <c r="AH7" s="13"/>
      <c r="AI7" s="15"/>
      <c r="AJ7" s="13"/>
      <c r="AK7" s="15"/>
      <c r="AL7" s="13"/>
      <c r="AM7" s="15"/>
      <c r="AN7" s="13"/>
      <c r="AO7" s="15"/>
      <c r="AP7" s="13"/>
      <c r="AQ7" s="15"/>
      <c r="AR7" s="13"/>
      <c r="AS7" s="15"/>
      <c r="AT7" s="13"/>
      <c r="AU7" s="15"/>
      <c r="AV7" s="13"/>
      <c r="AW7" s="15"/>
      <c r="AX7" s="13"/>
      <c r="AY7" s="15"/>
      <c r="AZ7" s="13"/>
      <c r="BA7" s="15"/>
      <c r="BB7" s="13"/>
      <c r="BC7" s="15"/>
      <c r="BD7" s="13"/>
      <c r="BE7" s="15"/>
      <c r="BF7" s="13"/>
      <c r="BG7" s="15"/>
      <c r="BH7" s="13"/>
      <c r="BI7" s="15"/>
      <c r="BJ7" s="13"/>
      <c r="BK7" s="15"/>
      <c r="BL7" s="13"/>
      <c r="BM7" s="15"/>
      <c r="BN7" s="13"/>
      <c r="BO7" s="15"/>
      <c r="BP7" s="13"/>
      <c r="BQ7" s="15"/>
      <c r="BR7" s="13"/>
      <c r="BS7" s="15"/>
      <c r="BT7" s="13"/>
      <c r="BU7" s="15"/>
      <c r="BV7" s="13"/>
      <c r="BW7" s="15"/>
      <c r="BX7" s="13"/>
      <c r="BY7" s="15"/>
      <c r="BZ7" s="13"/>
      <c r="CA7" s="15"/>
      <c r="CB7" s="13"/>
      <c r="CC7" s="13"/>
    </row>
    <row r="8" spans="1:81" ht="72.5" x14ac:dyDescent="0.35">
      <c r="A8" s="13" t="s">
        <v>82</v>
      </c>
      <c r="B8" s="13" t="s">
        <v>83</v>
      </c>
      <c r="C8" s="14">
        <v>44970.48541666667</v>
      </c>
      <c r="D8" s="13" t="s">
        <v>84</v>
      </c>
      <c r="E8" s="15" t="s">
        <v>85</v>
      </c>
      <c r="F8" s="13" t="s">
        <v>86</v>
      </c>
      <c r="G8" s="15" t="s">
        <v>87</v>
      </c>
      <c r="H8" s="13" t="s">
        <v>88</v>
      </c>
      <c r="I8" s="15" t="s">
        <v>89</v>
      </c>
      <c r="J8" s="15" t="s">
        <v>90</v>
      </c>
      <c r="K8" s="15" t="s">
        <v>91</v>
      </c>
      <c r="L8" s="13" t="s">
        <v>92</v>
      </c>
      <c r="M8" s="15" t="s">
        <v>93</v>
      </c>
      <c r="N8" s="13" t="s">
        <v>94</v>
      </c>
      <c r="O8" s="15" t="s">
        <v>95</v>
      </c>
      <c r="P8" s="15" t="s">
        <v>96</v>
      </c>
      <c r="Q8" s="15" t="s">
        <v>112</v>
      </c>
      <c r="R8" s="13" t="s">
        <v>113</v>
      </c>
      <c r="S8" s="13" t="s">
        <v>99</v>
      </c>
      <c r="T8" s="13" t="s">
        <v>100</v>
      </c>
      <c r="U8" s="14">
        <v>43831</v>
      </c>
      <c r="V8" s="14"/>
      <c r="W8" s="15"/>
      <c r="X8" s="13"/>
      <c r="Y8" s="15"/>
      <c r="Z8" s="13"/>
      <c r="AA8" s="15"/>
      <c r="AB8" s="13"/>
      <c r="AC8" s="15"/>
      <c r="AD8" s="13"/>
      <c r="AE8" s="15"/>
      <c r="AF8" s="13"/>
      <c r="AG8" s="15"/>
      <c r="AH8" s="13"/>
      <c r="AI8" s="15"/>
      <c r="AJ8" s="13"/>
      <c r="AK8" s="15"/>
      <c r="AL8" s="13"/>
      <c r="AM8" s="15"/>
      <c r="AN8" s="13"/>
      <c r="AO8" s="15"/>
      <c r="AP8" s="13"/>
      <c r="AQ8" s="15"/>
      <c r="AR8" s="13"/>
      <c r="AS8" s="15"/>
      <c r="AT8" s="13"/>
      <c r="AU8" s="15"/>
      <c r="AV8" s="13"/>
      <c r="AW8" s="15"/>
      <c r="AX8" s="13"/>
      <c r="AY8" s="15"/>
      <c r="AZ8" s="13"/>
      <c r="BA8" s="15"/>
      <c r="BB8" s="13"/>
      <c r="BC8" s="15"/>
      <c r="BD8" s="13"/>
      <c r="BE8" s="15"/>
      <c r="BF8" s="13"/>
      <c r="BG8" s="15"/>
      <c r="BH8" s="13"/>
      <c r="BI8" s="15"/>
      <c r="BJ8" s="13"/>
      <c r="BK8" s="15"/>
      <c r="BL8" s="13"/>
      <c r="BM8" s="15"/>
      <c r="BN8" s="13"/>
      <c r="BO8" s="15"/>
      <c r="BP8" s="13"/>
      <c r="BQ8" s="15"/>
      <c r="BR8" s="13"/>
      <c r="BS8" s="15"/>
      <c r="BT8" s="13"/>
      <c r="BU8" s="15"/>
      <c r="BV8" s="13"/>
      <c r="BW8" s="15"/>
      <c r="BX8" s="13"/>
      <c r="BY8" s="15"/>
      <c r="BZ8" s="13"/>
      <c r="CA8" s="15"/>
      <c r="CB8" s="13"/>
      <c r="CC8" s="13"/>
    </row>
    <row r="9" spans="1:81" ht="72.5" x14ac:dyDescent="0.35">
      <c r="A9" s="13" t="s">
        <v>82</v>
      </c>
      <c r="B9" s="13" t="s">
        <v>83</v>
      </c>
      <c r="C9" s="14">
        <v>44970.487500000003</v>
      </c>
      <c r="D9" s="13" t="s">
        <v>84</v>
      </c>
      <c r="E9" s="15" t="s">
        <v>85</v>
      </c>
      <c r="F9" s="13" t="s">
        <v>86</v>
      </c>
      <c r="G9" s="15" t="s">
        <v>87</v>
      </c>
      <c r="H9" s="13" t="s">
        <v>88</v>
      </c>
      <c r="I9" s="15" t="s">
        <v>89</v>
      </c>
      <c r="J9" s="15" t="s">
        <v>90</v>
      </c>
      <c r="K9" s="15" t="s">
        <v>91</v>
      </c>
      <c r="L9" s="13" t="s">
        <v>101</v>
      </c>
      <c r="M9" s="15" t="s">
        <v>102</v>
      </c>
      <c r="N9" s="13" t="s">
        <v>94</v>
      </c>
      <c r="O9" s="15" t="s">
        <v>103</v>
      </c>
      <c r="P9" s="15" t="s">
        <v>104</v>
      </c>
      <c r="Q9" s="15" t="s">
        <v>112</v>
      </c>
      <c r="R9" s="13" t="s">
        <v>113</v>
      </c>
      <c r="S9" s="13" t="s">
        <v>99</v>
      </c>
      <c r="T9" s="13" t="s">
        <v>100</v>
      </c>
      <c r="U9" s="14">
        <v>43831</v>
      </c>
      <c r="V9" s="14"/>
      <c r="W9" s="15"/>
      <c r="X9" s="13"/>
      <c r="Y9" s="15"/>
      <c r="Z9" s="13"/>
      <c r="AA9" s="15"/>
      <c r="AB9" s="13"/>
      <c r="AC9" s="15"/>
      <c r="AD9" s="13"/>
      <c r="AE9" s="15"/>
      <c r="AF9" s="13"/>
      <c r="AG9" s="15"/>
      <c r="AH9" s="13"/>
      <c r="AI9" s="15"/>
      <c r="AJ9" s="13"/>
      <c r="AK9" s="15"/>
      <c r="AL9" s="13"/>
      <c r="AM9" s="15"/>
      <c r="AN9" s="13"/>
      <c r="AO9" s="15"/>
      <c r="AP9" s="13"/>
      <c r="AQ9" s="15"/>
      <c r="AR9" s="13"/>
      <c r="AS9" s="15"/>
      <c r="AT9" s="13"/>
      <c r="AU9" s="15"/>
      <c r="AV9" s="13"/>
      <c r="AW9" s="15"/>
      <c r="AX9" s="13"/>
      <c r="AY9" s="15"/>
      <c r="AZ9" s="13"/>
      <c r="BA9" s="15"/>
      <c r="BB9" s="13"/>
      <c r="BC9" s="15"/>
      <c r="BD9" s="13"/>
      <c r="BE9" s="15"/>
      <c r="BF9" s="13"/>
      <c r="BG9" s="15"/>
      <c r="BH9" s="13"/>
      <c r="BI9" s="15"/>
      <c r="BJ9" s="13"/>
      <c r="BK9" s="15"/>
      <c r="BL9" s="13"/>
      <c r="BM9" s="15"/>
      <c r="BN9" s="13"/>
      <c r="BO9" s="15"/>
      <c r="BP9" s="13"/>
      <c r="BQ9" s="15"/>
      <c r="BR9" s="13"/>
      <c r="BS9" s="15"/>
      <c r="BT9" s="13"/>
      <c r="BU9" s="15"/>
      <c r="BV9" s="13"/>
      <c r="BW9" s="15"/>
      <c r="BX9" s="13"/>
      <c r="BY9" s="15"/>
      <c r="BZ9" s="13"/>
      <c r="CA9" s="15"/>
      <c r="CB9" s="13"/>
      <c r="CC9" s="13"/>
    </row>
    <row r="10" spans="1:81" ht="43.5" x14ac:dyDescent="0.35">
      <c r="A10" s="13" t="s">
        <v>82</v>
      </c>
      <c r="B10" s="13" t="s">
        <v>83</v>
      </c>
      <c r="C10" s="14">
        <v>44970.493055555555</v>
      </c>
      <c r="D10" s="13" t="s">
        <v>84</v>
      </c>
      <c r="E10" s="15" t="s">
        <v>85</v>
      </c>
      <c r="F10" s="13" t="s">
        <v>86</v>
      </c>
      <c r="G10" s="15" t="s">
        <v>87</v>
      </c>
      <c r="H10" s="13" t="s">
        <v>88</v>
      </c>
      <c r="I10" s="15" t="s">
        <v>89</v>
      </c>
      <c r="J10" s="15" t="s">
        <v>90</v>
      </c>
      <c r="K10" s="15" t="s">
        <v>91</v>
      </c>
      <c r="L10" s="13" t="s">
        <v>105</v>
      </c>
      <c r="M10" s="15" t="s">
        <v>106</v>
      </c>
      <c r="N10" s="13" t="s">
        <v>107</v>
      </c>
      <c r="O10" s="15" t="s">
        <v>108</v>
      </c>
      <c r="P10" s="15" t="s">
        <v>109</v>
      </c>
      <c r="Q10" s="15" t="s">
        <v>112</v>
      </c>
      <c r="R10" s="13" t="s">
        <v>113</v>
      </c>
      <c r="S10" s="13" t="s">
        <v>99</v>
      </c>
      <c r="T10" s="13" t="s">
        <v>100</v>
      </c>
      <c r="U10" s="14">
        <v>43831</v>
      </c>
      <c r="V10" s="14"/>
      <c r="W10" s="15"/>
      <c r="X10" s="13"/>
      <c r="Y10" s="15"/>
      <c r="Z10" s="13"/>
      <c r="AA10" s="15"/>
      <c r="AB10" s="13"/>
      <c r="AC10" s="15"/>
      <c r="AD10" s="13"/>
      <c r="AE10" s="15"/>
      <c r="AF10" s="13"/>
      <c r="AG10" s="15"/>
      <c r="AH10" s="13"/>
      <c r="AI10" s="15"/>
      <c r="AJ10" s="13"/>
      <c r="AK10" s="15"/>
      <c r="AL10" s="13"/>
      <c r="AM10" s="15"/>
      <c r="AN10" s="13"/>
      <c r="AO10" s="15"/>
      <c r="AP10" s="13"/>
      <c r="AQ10" s="15"/>
      <c r="AR10" s="13"/>
      <c r="AS10" s="15"/>
      <c r="AT10" s="13"/>
      <c r="AU10" s="15"/>
      <c r="AV10" s="13"/>
      <c r="AW10" s="15"/>
      <c r="AX10" s="13"/>
      <c r="AY10" s="15"/>
      <c r="AZ10" s="13"/>
      <c r="BA10" s="15"/>
      <c r="BB10" s="13"/>
      <c r="BC10" s="15"/>
      <c r="BD10" s="13"/>
      <c r="BE10" s="15"/>
      <c r="BF10" s="13"/>
      <c r="BG10" s="15"/>
      <c r="BH10" s="13"/>
      <c r="BI10" s="15"/>
      <c r="BJ10" s="13"/>
      <c r="BK10" s="15"/>
      <c r="BL10" s="13"/>
      <c r="BM10" s="15"/>
      <c r="BN10" s="13"/>
      <c r="BO10" s="15"/>
      <c r="BP10" s="13"/>
      <c r="BQ10" s="15"/>
      <c r="BR10" s="13"/>
      <c r="BS10" s="15"/>
      <c r="BT10" s="13"/>
      <c r="BU10" s="15"/>
      <c r="BV10" s="13"/>
      <c r="BW10" s="15"/>
      <c r="BX10" s="13"/>
      <c r="BY10" s="15"/>
      <c r="BZ10" s="13"/>
      <c r="CA10" s="15"/>
      <c r="CB10" s="13"/>
      <c r="CC10" s="13"/>
    </row>
    <row r="11" spans="1:81" ht="72.5" x14ac:dyDescent="0.35">
      <c r="A11" s="13" t="s">
        <v>82</v>
      </c>
      <c r="B11" s="13" t="s">
        <v>83</v>
      </c>
      <c r="C11" s="14">
        <v>44970.486111111109</v>
      </c>
      <c r="D11" s="13" t="s">
        <v>84</v>
      </c>
      <c r="E11" s="15" t="s">
        <v>85</v>
      </c>
      <c r="F11" s="13" t="s">
        <v>86</v>
      </c>
      <c r="G11" s="15" t="s">
        <v>87</v>
      </c>
      <c r="H11" s="13" t="s">
        <v>88</v>
      </c>
      <c r="I11" s="15" t="s">
        <v>89</v>
      </c>
      <c r="J11" s="15" t="s">
        <v>90</v>
      </c>
      <c r="K11" s="15" t="s">
        <v>91</v>
      </c>
      <c r="L11" s="13" t="s">
        <v>92</v>
      </c>
      <c r="M11" s="15" t="s">
        <v>93</v>
      </c>
      <c r="N11" s="13" t="s">
        <v>94</v>
      </c>
      <c r="O11" s="15" t="s">
        <v>95</v>
      </c>
      <c r="P11" s="15" t="s">
        <v>96</v>
      </c>
      <c r="Q11" s="15" t="s">
        <v>114</v>
      </c>
      <c r="R11" s="13" t="s">
        <v>115</v>
      </c>
      <c r="S11" s="13" t="s">
        <v>99</v>
      </c>
      <c r="T11" s="13" t="s">
        <v>100</v>
      </c>
      <c r="U11" s="14">
        <v>43831</v>
      </c>
      <c r="V11" s="14"/>
      <c r="W11" s="15"/>
      <c r="X11" s="13"/>
      <c r="Y11" s="15"/>
      <c r="Z11" s="13"/>
      <c r="AA11" s="15"/>
      <c r="AB11" s="13"/>
      <c r="AC11" s="15"/>
      <c r="AD11" s="13"/>
      <c r="AE11" s="15"/>
      <c r="AF11" s="13"/>
      <c r="AG11" s="15"/>
      <c r="AH11" s="13"/>
      <c r="AI11" s="15"/>
      <c r="AJ11" s="13"/>
      <c r="AK11" s="15"/>
      <c r="AL11" s="13"/>
      <c r="AM11" s="15"/>
      <c r="AN11" s="13"/>
      <c r="AO11" s="15"/>
      <c r="AP11" s="13"/>
      <c r="AQ11" s="15"/>
      <c r="AR11" s="13"/>
      <c r="AS11" s="15"/>
      <c r="AT11" s="13"/>
      <c r="AU11" s="15"/>
      <c r="AV11" s="13"/>
      <c r="AW11" s="15"/>
      <c r="AX11" s="13"/>
      <c r="AY11" s="15"/>
      <c r="AZ11" s="13"/>
      <c r="BA11" s="15"/>
      <c r="BB11" s="13"/>
      <c r="BC11" s="15"/>
      <c r="BD11" s="13"/>
      <c r="BE11" s="15"/>
      <c r="BF11" s="13"/>
      <c r="BG11" s="15"/>
      <c r="BH11" s="13"/>
      <c r="BI11" s="15"/>
      <c r="BJ11" s="13"/>
      <c r="BK11" s="15"/>
      <c r="BL11" s="13"/>
      <c r="BM11" s="15"/>
      <c r="BN11" s="13"/>
      <c r="BO11" s="15"/>
      <c r="BP11" s="13"/>
      <c r="BQ11" s="15"/>
      <c r="BR11" s="13"/>
      <c r="BS11" s="15"/>
      <c r="BT11" s="13"/>
      <c r="BU11" s="15"/>
      <c r="BV11" s="13"/>
      <c r="BW11" s="15"/>
      <c r="BX11" s="13"/>
      <c r="BY11" s="15"/>
      <c r="BZ11" s="13"/>
      <c r="CA11" s="15"/>
      <c r="CB11" s="13"/>
      <c r="CC11" s="13"/>
    </row>
    <row r="12" spans="1:81" ht="72.5" x14ac:dyDescent="0.35">
      <c r="A12" s="13" t="s">
        <v>82</v>
      </c>
      <c r="B12" s="13" t="s">
        <v>83</v>
      </c>
      <c r="C12" s="14">
        <v>44974.54583333333</v>
      </c>
      <c r="D12" s="13" t="s">
        <v>84</v>
      </c>
      <c r="E12" s="15" t="s">
        <v>85</v>
      </c>
      <c r="F12" s="13" t="s">
        <v>86</v>
      </c>
      <c r="G12" s="15" t="s">
        <v>87</v>
      </c>
      <c r="H12" s="13" t="s">
        <v>88</v>
      </c>
      <c r="I12" s="15" t="s">
        <v>89</v>
      </c>
      <c r="J12" s="15" t="s">
        <v>90</v>
      </c>
      <c r="K12" s="15" t="s">
        <v>91</v>
      </c>
      <c r="L12" s="13" t="s">
        <v>101</v>
      </c>
      <c r="M12" s="15" t="s">
        <v>102</v>
      </c>
      <c r="N12" s="13" t="s">
        <v>94</v>
      </c>
      <c r="O12" s="15" t="s">
        <v>103</v>
      </c>
      <c r="P12" s="15" t="s">
        <v>104</v>
      </c>
      <c r="Q12" s="15" t="s">
        <v>114</v>
      </c>
      <c r="R12" s="13" t="s">
        <v>115</v>
      </c>
      <c r="S12" s="13" t="s">
        <v>99</v>
      </c>
      <c r="T12" s="13" t="s">
        <v>100</v>
      </c>
      <c r="U12" s="14">
        <v>43832</v>
      </c>
      <c r="V12" s="14"/>
      <c r="W12" s="15"/>
      <c r="X12" s="13"/>
      <c r="Y12" s="15"/>
      <c r="Z12" s="13"/>
      <c r="AA12" s="15"/>
      <c r="AB12" s="13"/>
      <c r="AC12" s="15"/>
      <c r="AD12" s="13"/>
      <c r="AE12" s="15"/>
      <c r="AF12" s="13"/>
      <c r="AG12" s="15"/>
      <c r="AH12" s="13"/>
      <c r="AI12" s="15"/>
      <c r="AJ12" s="13"/>
      <c r="AK12" s="15"/>
      <c r="AL12" s="13"/>
      <c r="AM12" s="15"/>
      <c r="AN12" s="13"/>
      <c r="AO12" s="15"/>
      <c r="AP12" s="13"/>
      <c r="AQ12" s="15"/>
      <c r="AR12" s="13"/>
      <c r="AS12" s="15"/>
      <c r="AT12" s="13"/>
      <c r="AU12" s="15"/>
      <c r="AV12" s="13"/>
      <c r="AW12" s="15"/>
      <c r="AX12" s="13"/>
      <c r="AY12" s="15"/>
      <c r="AZ12" s="13"/>
      <c r="BA12" s="15"/>
      <c r="BB12" s="13"/>
      <c r="BC12" s="15"/>
      <c r="BD12" s="13"/>
      <c r="BE12" s="15"/>
      <c r="BF12" s="13"/>
      <c r="BG12" s="15"/>
      <c r="BH12" s="13"/>
      <c r="BI12" s="15"/>
      <c r="BJ12" s="13"/>
      <c r="BK12" s="15"/>
      <c r="BL12" s="13"/>
      <c r="BM12" s="15"/>
      <c r="BN12" s="13"/>
      <c r="BO12" s="15"/>
      <c r="BP12" s="13"/>
      <c r="BQ12" s="15"/>
      <c r="BR12" s="13"/>
      <c r="BS12" s="15"/>
      <c r="BT12" s="13"/>
      <c r="BU12" s="15"/>
      <c r="BV12" s="13"/>
      <c r="BW12" s="15"/>
      <c r="BX12" s="13"/>
      <c r="BY12" s="15"/>
      <c r="BZ12" s="13"/>
      <c r="CA12" s="15"/>
      <c r="CB12" s="13"/>
      <c r="CC12" s="13"/>
    </row>
    <row r="13" spans="1:81" ht="43.5" x14ac:dyDescent="0.35">
      <c r="A13" s="13" t="s">
        <v>82</v>
      </c>
      <c r="B13" s="13" t="s">
        <v>83</v>
      </c>
      <c r="C13" s="14">
        <v>44974.552083333336</v>
      </c>
      <c r="D13" s="13" t="s">
        <v>84</v>
      </c>
      <c r="E13" s="15" t="s">
        <v>85</v>
      </c>
      <c r="F13" s="13" t="s">
        <v>86</v>
      </c>
      <c r="G13" s="15" t="s">
        <v>87</v>
      </c>
      <c r="H13" s="13" t="s">
        <v>88</v>
      </c>
      <c r="I13" s="15" t="s">
        <v>89</v>
      </c>
      <c r="J13" s="15" t="s">
        <v>90</v>
      </c>
      <c r="K13" s="15" t="s">
        <v>91</v>
      </c>
      <c r="L13" s="13" t="s">
        <v>105</v>
      </c>
      <c r="M13" s="15" t="s">
        <v>106</v>
      </c>
      <c r="N13" s="13" t="s">
        <v>107</v>
      </c>
      <c r="O13" s="15" t="s">
        <v>108</v>
      </c>
      <c r="P13" s="15" t="s">
        <v>109</v>
      </c>
      <c r="Q13" s="15" t="s">
        <v>114</v>
      </c>
      <c r="R13" s="13" t="s">
        <v>115</v>
      </c>
      <c r="S13" s="13" t="s">
        <v>99</v>
      </c>
      <c r="T13" s="13" t="s">
        <v>100</v>
      </c>
      <c r="U13" s="14">
        <v>43832</v>
      </c>
      <c r="V13" s="14"/>
      <c r="W13" s="15"/>
      <c r="X13" s="13"/>
      <c r="Y13" s="15"/>
      <c r="Z13" s="13"/>
      <c r="AA13" s="15"/>
      <c r="AB13" s="13"/>
      <c r="AC13" s="15"/>
      <c r="AD13" s="13"/>
      <c r="AE13" s="15"/>
      <c r="AF13" s="13"/>
      <c r="AG13" s="15"/>
      <c r="AH13" s="13"/>
      <c r="AI13" s="15"/>
      <c r="AJ13" s="13"/>
      <c r="AK13" s="15"/>
      <c r="AL13" s="13"/>
      <c r="AM13" s="15"/>
      <c r="AN13" s="13"/>
      <c r="AO13" s="15"/>
      <c r="AP13" s="13"/>
      <c r="AQ13" s="15"/>
      <c r="AR13" s="13"/>
      <c r="AS13" s="15"/>
      <c r="AT13" s="13"/>
      <c r="AU13" s="15"/>
      <c r="AV13" s="13"/>
      <c r="AW13" s="15"/>
      <c r="AX13" s="13"/>
      <c r="AY13" s="15"/>
      <c r="AZ13" s="13"/>
      <c r="BA13" s="15"/>
      <c r="BB13" s="13"/>
      <c r="BC13" s="15"/>
      <c r="BD13" s="13"/>
      <c r="BE13" s="15"/>
      <c r="BF13" s="13"/>
      <c r="BG13" s="15"/>
      <c r="BH13" s="13"/>
      <c r="BI13" s="15"/>
      <c r="BJ13" s="13"/>
      <c r="BK13" s="15"/>
      <c r="BL13" s="13"/>
      <c r="BM13" s="15"/>
      <c r="BN13" s="13"/>
      <c r="BO13" s="15"/>
      <c r="BP13" s="13"/>
      <c r="BQ13" s="15"/>
      <c r="BR13" s="13"/>
      <c r="BS13" s="15"/>
      <c r="BT13" s="13"/>
      <c r="BU13" s="15"/>
      <c r="BV13" s="13"/>
      <c r="BW13" s="15"/>
      <c r="BX13" s="13"/>
      <c r="BY13" s="15"/>
      <c r="BZ13" s="13"/>
      <c r="CA13" s="15"/>
      <c r="CB13" s="13"/>
      <c r="CC13" s="13"/>
    </row>
    <row r="14" spans="1:81" ht="72.5" x14ac:dyDescent="0.35">
      <c r="A14" s="13" t="s">
        <v>82</v>
      </c>
      <c r="B14" s="13" t="s">
        <v>83</v>
      </c>
      <c r="C14" s="14">
        <v>44970.486111111109</v>
      </c>
      <c r="D14" s="13" t="s">
        <v>84</v>
      </c>
      <c r="E14" s="15" t="s">
        <v>85</v>
      </c>
      <c r="F14" s="13" t="s">
        <v>86</v>
      </c>
      <c r="G14" s="15" t="s">
        <v>87</v>
      </c>
      <c r="H14" s="13" t="s">
        <v>88</v>
      </c>
      <c r="I14" s="15" t="s">
        <v>89</v>
      </c>
      <c r="J14" s="15" t="s">
        <v>90</v>
      </c>
      <c r="K14" s="15" t="s">
        <v>91</v>
      </c>
      <c r="L14" s="13" t="s">
        <v>92</v>
      </c>
      <c r="M14" s="15" t="s">
        <v>93</v>
      </c>
      <c r="N14" s="13" t="s">
        <v>94</v>
      </c>
      <c r="O14" s="15" t="s">
        <v>95</v>
      </c>
      <c r="P14" s="15" t="s">
        <v>96</v>
      </c>
      <c r="Q14" s="15" t="s">
        <v>116</v>
      </c>
      <c r="R14" s="13" t="s">
        <v>117</v>
      </c>
      <c r="S14" s="13" t="s">
        <v>99</v>
      </c>
      <c r="T14" s="13" t="s">
        <v>100</v>
      </c>
      <c r="U14" s="14">
        <v>43831</v>
      </c>
      <c r="V14" s="14"/>
      <c r="W14" s="15"/>
      <c r="X14" s="13"/>
      <c r="Y14" s="15"/>
      <c r="Z14" s="13"/>
      <c r="AA14" s="15"/>
      <c r="AB14" s="13"/>
      <c r="AC14" s="15"/>
      <c r="AD14" s="13"/>
      <c r="AE14" s="15"/>
      <c r="AF14" s="13"/>
      <c r="AG14" s="15"/>
      <c r="AH14" s="13"/>
      <c r="AI14" s="15"/>
      <c r="AJ14" s="13"/>
      <c r="AK14" s="15"/>
      <c r="AL14" s="13"/>
      <c r="AM14" s="15"/>
      <c r="AN14" s="13"/>
      <c r="AO14" s="15"/>
      <c r="AP14" s="13"/>
      <c r="AQ14" s="15"/>
      <c r="AR14" s="13"/>
      <c r="AS14" s="15"/>
      <c r="AT14" s="13"/>
      <c r="AU14" s="15"/>
      <c r="AV14" s="13"/>
      <c r="AW14" s="15"/>
      <c r="AX14" s="13"/>
      <c r="AY14" s="15"/>
      <c r="AZ14" s="13"/>
      <c r="BA14" s="15"/>
      <c r="BB14" s="13"/>
      <c r="BC14" s="15"/>
      <c r="BD14" s="13"/>
      <c r="BE14" s="15"/>
      <c r="BF14" s="13"/>
      <c r="BG14" s="15"/>
      <c r="BH14" s="13"/>
      <c r="BI14" s="15"/>
      <c r="BJ14" s="13"/>
      <c r="BK14" s="15"/>
      <c r="BL14" s="13"/>
      <c r="BM14" s="15"/>
      <c r="BN14" s="13"/>
      <c r="BO14" s="15"/>
      <c r="BP14" s="13"/>
      <c r="BQ14" s="15"/>
      <c r="BR14" s="13"/>
      <c r="BS14" s="15"/>
      <c r="BT14" s="13"/>
      <c r="BU14" s="15"/>
      <c r="BV14" s="13"/>
      <c r="BW14" s="15"/>
      <c r="BX14" s="13"/>
      <c r="BY14" s="15"/>
      <c r="BZ14" s="13"/>
      <c r="CA14" s="15"/>
      <c r="CB14" s="13"/>
      <c r="CC14" s="13"/>
    </row>
    <row r="15" spans="1:81" ht="72.5" x14ac:dyDescent="0.35">
      <c r="A15" s="13" t="s">
        <v>82</v>
      </c>
      <c r="B15" s="13" t="s">
        <v>83</v>
      </c>
      <c r="C15" s="14">
        <v>44970.490972222222</v>
      </c>
      <c r="D15" s="13" t="s">
        <v>84</v>
      </c>
      <c r="E15" s="15" t="s">
        <v>85</v>
      </c>
      <c r="F15" s="13" t="s">
        <v>86</v>
      </c>
      <c r="G15" s="15" t="s">
        <v>87</v>
      </c>
      <c r="H15" s="13" t="s">
        <v>88</v>
      </c>
      <c r="I15" s="15" t="s">
        <v>89</v>
      </c>
      <c r="J15" s="15" t="s">
        <v>90</v>
      </c>
      <c r="K15" s="15" t="s">
        <v>91</v>
      </c>
      <c r="L15" s="13" t="s">
        <v>101</v>
      </c>
      <c r="M15" s="15" t="s">
        <v>102</v>
      </c>
      <c r="N15" s="13" t="s">
        <v>94</v>
      </c>
      <c r="O15" s="15" t="s">
        <v>103</v>
      </c>
      <c r="P15" s="15" t="s">
        <v>104</v>
      </c>
      <c r="Q15" s="15" t="s">
        <v>116</v>
      </c>
      <c r="R15" s="13" t="s">
        <v>117</v>
      </c>
      <c r="S15" s="13" t="s">
        <v>99</v>
      </c>
      <c r="T15" s="13" t="s">
        <v>100</v>
      </c>
      <c r="U15" s="14">
        <v>43831</v>
      </c>
      <c r="V15" s="14"/>
      <c r="W15" s="15"/>
      <c r="X15" s="13"/>
      <c r="Y15" s="15"/>
      <c r="Z15" s="13"/>
      <c r="AA15" s="15"/>
      <c r="AB15" s="13"/>
      <c r="AC15" s="15"/>
      <c r="AD15" s="13"/>
      <c r="AE15" s="15"/>
      <c r="AF15" s="13"/>
      <c r="AG15" s="15"/>
      <c r="AH15" s="13"/>
      <c r="AI15" s="15"/>
      <c r="AJ15" s="13"/>
      <c r="AK15" s="15"/>
      <c r="AL15" s="13"/>
      <c r="AM15" s="15"/>
      <c r="AN15" s="13"/>
      <c r="AO15" s="15"/>
      <c r="AP15" s="13"/>
      <c r="AQ15" s="15"/>
      <c r="AR15" s="13"/>
      <c r="AS15" s="15"/>
      <c r="AT15" s="13"/>
      <c r="AU15" s="15"/>
      <c r="AV15" s="13"/>
      <c r="AW15" s="15"/>
      <c r="AX15" s="13"/>
      <c r="AY15" s="15"/>
      <c r="AZ15" s="13"/>
      <c r="BA15" s="15"/>
      <c r="BB15" s="13"/>
      <c r="BC15" s="15"/>
      <c r="BD15" s="13"/>
      <c r="BE15" s="15"/>
      <c r="BF15" s="13"/>
      <c r="BG15" s="15"/>
      <c r="BH15" s="13"/>
      <c r="BI15" s="15"/>
      <c r="BJ15" s="13"/>
      <c r="BK15" s="15"/>
      <c r="BL15" s="13"/>
      <c r="BM15" s="15"/>
      <c r="BN15" s="13"/>
      <c r="BO15" s="15"/>
      <c r="BP15" s="13"/>
      <c r="BQ15" s="15"/>
      <c r="BR15" s="13"/>
      <c r="BS15" s="15"/>
      <c r="BT15" s="13"/>
      <c r="BU15" s="15"/>
      <c r="BV15" s="13"/>
      <c r="BW15" s="15"/>
      <c r="BX15" s="13"/>
      <c r="BY15" s="15"/>
      <c r="BZ15" s="13"/>
      <c r="CA15" s="15"/>
      <c r="CB15" s="13"/>
      <c r="CC15" s="13"/>
    </row>
    <row r="16" spans="1:81" ht="43.5" x14ac:dyDescent="0.35">
      <c r="A16" s="13" t="s">
        <v>82</v>
      </c>
      <c r="B16" s="13" t="s">
        <v>83</v>
      </c>
      <c r="C16" s="14">
        <v>44970.493750000001</v>
      </c>
      <c r="D16" s="13" t="s">
        <v>84</v>
      </c>
      <c r="E16" s="15" t="s">
        <v>85</v>
      </c>
      <c r="F16" s="13" t="s">
        <v>86</v>
      </c>
      <c r="G16" s="15" t="s">
        <v>87</v>
      </c>
      <c r="H16" s="13" t="s">
        <v>88</v>
      </c>
      <c r="I16" s="15" t="s">
        <v>89</v>
      </c>
      <c r="J16" s="15" t="s">
        <v>90</v>
      </c>
      <c r="K16" s="15" t="s">
        <v>91</v>
      </c>
      <c r="L16" s="13" t="s">
        <v>105</v>
      </c>
      <c r="M16" s="15" t="s">
        <v>106</v>
      </c>
      <c r="N16" s="13" t="s">
        <v>107</v>
      </c>
      <c r="O16" s="15" t="s">
        <v>108</v>
      </c>
      <c r="P16" s="15" t="s">
        <v>109</v>
      </c>
      <c r="Q16" s="15" t="s">
        <v>116</v>
      </c>
      <c r="R16" s="13" t="s">
        <v>117</v>
      </c>
      <c r="S16" s="13" t="s">
        <v>99</v>
      </c>
      <c r="T16" s="13" t="s">
        <v>100</v>
      </c>
      <c r="U16" s="14">
        <v>43831</v>
      </c>
      <c r="V16" s="14"/>
      <c r="W16" s="15"/>
      <c r="X16" s="13"/>
      <c r="Y16" s="15"/>
      <c r="Z16" s="13"/>
      <c r="AA16" s="15"/>
      <c r="AB16" s="13"/>
      <c r="AC16" s="15"/>
      <c r="AD16" s="13"/>
      <c r="AE16" s="15"/>
      <c r="AF16" s="13"/>
      <c r="AG16" s="15"/>
      <c r="AH16" s="13"/>
      <c r="AI16" s="15"/>
      <c r="AJ16" s="13"/>
      <c r="AK16" s="15"/>
      <c r="AL16" s="13"/>
      <c r="AM16" s="15"/>
      <c r="AN16" s="13"/>
      <c r="AO16" s="15"/>
      <c r="AP16" s="13"/>
      <c r="AQ16" s="15"/>
      <c r="AR16" s="13"/>
      <c r="AS16" s="15"/>
      <c r="AT16" s="13"/>
      <c r="AU16" s="15"/>
      <c r="AV16" s="13"/>
      <c r="AW16" s="15"/>
      <c r="AX16" s="13"/>
      <c r="AY16" s="15"/>
      <c r="AZ16" s="13"/>
      <c r="BA16" s="15"/>
      <c r="BB16" s="13"/>
      <c r="BC16" s="15"/>
      <c r="BD16" s="13"/>
      <c r="BE16" s="15"/>
      <c r="BF16" s="13"/>
      <c r="BG16" s="15"/>
      <c r="BH16" s="13"/>
      <c r="BI16" s="15"/>
      <c r="BJ16" s="13"/>
      <c r="BK16" s="15"/>
      <c r="BL16" s="13"/>
      <c r="BM16" s="15"/>
      <c r="BN16" s="13"/>
      <c r="BO16" s="15"/>
      <c r="BP16" s="13"/>
      <c r="BQ16" s="15"/>
      <c r="BR16" s="13"/>
      <c r="BS16" s="15"/>
      <c r="BT16" s="13"/>
      <c r="BU16" s="15"/>
      <c r="BV16" s="13"/>
      <c r="BW16" s="15"/>
      <c r="BX16" s="13"/>
      <c r="BY16" s="15"/>
      <c r="BZ16" s="13"/>
      <c r="CA16" s="15"/>
      <c r="CB16" s="13"/>
      <c r="CC16" s="13"/>
    </row>
    <row r="17" spans="1:81" ht="130.5" x14ac:dyDescent="0.35">
      <c r="A17" s="13" t="s">
        <v>118</v>
      </c>
      <c r="B17" s="13" t="s">
        <v>119</v>
      </c>
      <c r="C17" s="14">
        <v>45428.472222222219</v>
      </c>
      <c r="D17" s="13" t="s">
        <v>84</v>
      </c>
      <c r="E17" s="15" t="s">
        <v>85</v>
      </c>
      <c r="F17" s="13" t="s">
        <v>86</v>
      </c>
      <c r="G17" s="15" t="s">
        <v>87</v>
      </c>
      <c r="H17" s="13" t="s">
        <v>88</v>
      </c>
      <c r="I17" s="15" t="s">
        <v>89</v>
      </c>
      <c r="J17" s="15" t="s">
        <v>90</v>
      </c>
      <c r="K17" s="15" t="s">
        <v>91</v>
      </c>
      <c r="L17" s="13" t="s">
        <v>92</v>
      </c>
      <c r="M17" s="15" t="s">
        <v>93</v>
      </c>
      <c r="N17" s="13" t="s">
        <v>94</v>
      </c>
      <c r="O17" s="15" t="s">
        <v>95</v>
      </c>
      <c r="P17" s="15" t="s">
        <v>96</v>
      </c>
      <c r="Q17" s="15" t="s">
        <v>120</v>
      </c>
      <c r="R17" s="13" t="s">
        <v>121</v>
      </c>
      <c r="S17" s="13" t="s">
        <v>122</v>
      </c>
      <c r="T17" s="13" t="s">
        <v>123</v>
      </c>
      <c r="U17" s="14">
        <v>43831</v>
      </c>
      <c r="V17" s="14">
        <v>45123</v>
      </c>
      <c r="W17" s="15" t="s">
        <v>124</v>
      </c>
      <c r="X17" s="13" t="s">
        <v>125</v>
      </c>
      <c r="Y17" s="15" t="str">
        <f>VLOOKUP(X17,'Axe 2 Règles de gestion'!$D$2:$F$49,3, FALSE)</f>
        <v>Le militaire doit avoir accompli au moins 4 ans de services, dont 2 ans pour les officiers en cette qualité, sauf exceptions.</v>
      </c>
      <c r="Z17" s="13" t="s">
        <v>127</v>
      </c>
      <c r="AA17" s="15" t="str">
        <f>VLOOKUP(Z17,'Axe 2 Règles de gestion'!$D$2:$F$49,3, FALSE)</f>
        <v>La condition de service n'est pas exigée pour suivre son conjoint ou son partenaire lié par un PACS lorsque celui-ci est astreint à établir sa résidence habituelle, en raison de sa profession, en un lieu éloigné d'affectation du militaire.</v>
      </c>
      <c r="AB17" s="13" t="s">
        <v>129</v>
      </c>
      <c r="AC17" s="15" t="str">
        <f>VLOOKUP(AB17,'Axe 2 Règles de gestion'!$D$2:$F$49,3, FALSE)</f>
        <v>La condition de service n'est pas exigée du militaire qui sollicite un congé pour donner des soins à un enfant à charge, au conjoint, au partenaire avec lequel il est lié par un PACS, ou à un ascendant.</v>
      </c>
      <c r="AD17" s="13" t="s">
        <v>131</v>
      </c>
      <c r="AE17" s="15" t="str">
        <f>VLOOKUP(AD17,'Axe 2 Règles de gestion'!$D$2:$F$49,3, FALSE)</f>
        <v>Les soins font suite à un accident ou une maladie grave ou à un handicap nécessitant la présence d'une tierce personne.</v>
      </c>
      <c r="AF17" s="13" t="s">
        <v>133</v>
      </c>
      <c r="AG17" s="15" t="str">
        <f>VLOOKUP(AF17,'Axe 2 Règles de gestion'!$D$2:$F$49,3, FALSE)</f>
        <v>Le militaire doit présenter une demande.</v>
      </c>
      <c r="AH17" s="13" t="s">
        <v>135</v>
      </c>
      <c r="AI17" s="15" t="str">
        <f>VLOOKUP(AH17,'Axe 2 Règles de gestion'!$D$2:$F$49,3, FALSE)</f>
        <v>Le militaire est placé en congé par décision du ministre compétent.</v>
      </c>
      <c r="AJ17" s="13" t="s">
        <v>137</v>
      </c>
      <c r="AK17" s="15" t="str">
        <f>VLOOKUP(AJ17,'Axe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L17" s="13" t="s">
        <v>139</v>
      </c>
      <c r="AM17" s="15" t="str">
        <f>VLOOKUP(AL17,'Axe 2 Règles de gestion'!$D$2:$F$49,3, FALSE)</f>
        <v>Le militaire officier est tenu d'informer sans délai par écrit le ministre compétent de tout changement d'activité privée lucrative.</v>
      </c>
      <c r="AN17" s="13" t="s">
        <v>141</v>
      </c>
      <c r="AO17" s="15" t="str">
        <f>VLOOKUP(AN17,'Axe 2 Règles de gestion'!$D$2:$F$49,3, FALSE)</f>
        <v>La durée prévisionnelle du congé ne peut pas excéder 2 ans pour chaque période.</v>
      </c>
      <c r="AP17" s="13" t="s">
        <v>143</v>
      </c>
      <c r="AQ17" s="15" t="str">
        <f>VLOOKUP(AP17,'Axe 2 Règles de gestion'!$D$2:$F$49,3, FALSE)</f>
        <v>La durée réelle du congé ne peut pas excéder 2 ans pour chaque période.</v>
      </c>
      <c r="AR17" s="13" t="s">
        <v>145</v>
      </c>
      <c r="AS17" s="15" t="str">
        <f>VLOOKUP(AR17,'Axe 2 Règles de gestion'!$D$2:$F$49,3, FALSE)</f>
        <v>La durée cumulée de l'ensemble des congés pour convenances personnelles ne doit pas excéder 10 ans.</v>
      </c>
      <c r="AT17" s="13" t="s">
        <v>147</v>
      </c>
      <c r="AU17" s="15" t="str">
        <f>VLOOKUP(AT17,'Axe 2 Règles de gestion'!$D$2:$F$49,3, FALSE)</f>
        <v>La date de fin réelle du congé doit être antérieure ou égale à la date limite de fin réelle ou prévisionnelle du lien juridique. Le militaire ne voit pas son contrat prorogé jusqu'à la date de fin du congé.</v>
      </c>
      <c r="AV17" s="13" t="s">
        <v>149</v>
      </c>
      <c r="AW17" s="15" t="str">
        <f>VLOOKUP(AV17,'Axe 2 Règles de gestion'!$D$2:$F$49,3, FALSE)</f>
        <v>La date de fin prévisionnelle du congé doit être antérieure ou égale à la date limite de fin réelle ou prévisionnelle du lien juridique. Le militaire ne voit pas son contrat prorogé jusqu'à la date de fin du congé.</v>
      </c>
      <c r="AX17" s="13"/>
      <c r="AY17" s="15"/>
      <c r="AZ17" s="13"/>
      <c r="BA17" s="15"/>
      <c r="BB17" s="13" t="s">
        <v>151</v>
      </c>
      <c r="BC17" s="15" t="str">
        <f>VLOOKUP(BB17,'Axe 2 Règles de gestion'!$D$2:$F$49,3, FALSE)</f>
        <v>La date de début de position doit être antérieure ou égale à la date de fin prévisionnelle de position.</v>
      </c>
      <c r="BD17" s="13" t="s">
        <v>153</v>
      </c>
      <c r="BE17" s="15" t="str">
        <f>VLOOKUP(BD17,'Axe 2 Règles de gestion'!$D$2:$F$49,3, FALSE)</f>
        <v>La date de fin réelle de la position doit être antérieure à la date limite de départ à la retraite.</v>
      </c>
      <c r="BF17" s="13" t="s">
        <v>155</v>
      </c>
      <c r="BG17" s="15" t="str">
        <f>VLOOKUP(BF17,'Axe 2 Règles de gestion'!$D$2:$F$49,3, FALSE)</f>
        <v>La date de début de la position doit être postérieure ou égale à la date de début du lien juridique.</v>
      </c>
      <c r="BH17" s="13" t="s">
        <v>157</v>
      </c>
      <c r="BI17" s="15" t="str">
        <f>VLOOKUP(BH17,'Axe 2 Règles de gestion'!$D$2:$F$49,3, FALSE)</f>
        <v>La date de début de position doit être antérieure ou égale à la date de fin réelle de position.</v>
      </c>
      <c r="BJ17" s="13" t="s">
        <v>159</v>
      </c>
      <c r="BK17" s="15" t="str">
        <f>VLOOKUP(BJ17,'Axe 2 Règles de gestion'!$D$2:$F$49,3, FALSE)</f>
        <v>La date de fin prévisionnelle de la position doit être antérieure à la date limite de départ à la retraite.</v>
      </c>
      <c r="BL17" s="13" t="s">
        <v>161</v>
      </c>
      <c r="BM17" s="15" t="str">
        <f>VLOOKUP(BL17,'Axe 2 Règles de gestion'!$D$2:$F$49,3, FALSE)</f>
        <v>La date de début de position est à J+1 de la date de fin de position de l'occurrence précédente.</v>
      </c>
      <c r="BN17" s="13" t="s">
        <v>163</v>
      </c>
      <c r="BO17" s="15" t="str">
        <f>VLOOKUP(BN17,'Axe 2 Règles de gestion'!$D$2:$F$49,3, FALSE)</f>
        <v>La date de fin ou la date de fin prévisionnelle doit être saisie.</v>
      </c>
      <c r="BP17" s="13" t="s">
        <v>165</v>
      </c>
      <c r="BQ17" s="15" t="str">
        <f>VLOOKUP(BP17,'Axe 2 Règles de gestion'!$D$2:$F$49,3, FALSE)</f>
        <v>La saisie d'une occurrence de congés/absences est interdite (date de fin réelle)</v>
      </c>
      <c r="BR17" s="13" t="s">
        <v>167</v>
      </c>
      <c r="BS17" s="15" t="str">
        <f>VLOOKUP(BR17,'Axe 2 Règles de gestion'!$D$2:$F$49,3, FALSE)</f>
        <v>La saisie d'une occurrence de congés/absences est interdite (date de fin prévisionnelle)</v>
      </c>
      <c r="BT17" s="13"/>
      <c r="BU17" s="15"/>
      <c r="BV17" s="13"/>
      <c r="BW17" s="15"/>
      <c r="BX17" s="13"/>
      <c r="BY17" s="15"/>
      <c r="BZ17" s="13"/>
      <c r="CA17" s="15"/>
      <c r="CB17" s="13"/>
      <c r="CC17" s="13"/>
    </row>
    <row r="18" spans="1:81" ht="116" x14ac:dyDescent="0.35">
      <c r="A18" s="13" t="s">
        <v>118</v>
      </c>
      <c r="B18" s="13" t="s">
        <v>83</v>
      </c>
      <c r="C18" s="14">
        <v>45428.472222222219</v>
      </c>
      <c r="D18" s="13" t="s">
        <v>84</v>
      </c>
      <c r="E18" s="15" t="s">
        <v>85</v>
      </c>
      <c r="F18" s="13" t="s">
        <v>86</v>
      </c>
      <c r="G18" s="15" t="s">
        <v>87</v>
      </c>
      <c r="H18" s="13" t="s">
        <v>88</v>
      </c>
      <c r="I18" s="15" t="s">
        <v>89</v>
      </c>
      <c r="J18" s="15" t="s">
        <v>90</v>
      </c>
      <c r="K18" s="15" t="s">
        <v>91</v>
      </c>
      <c r="L18" s="13" t="s">
        <v>92</v>
      </c>
      <c r="M18" s="15" t="s">
        <v>93</v>
      </c>
      <c r="N18" s="13" t="s">
        <v>94</v>
      </c>
      <c r="O18" s="15" t="s">
        <v>95</v>
      </c>
      <c r="P18" s="15" t="s">
        <v>96</v>
      </c>
      <c r="Q18" s="15" t="s">
        <v>120</v>
      </c>
      <c r="R18" s="13" t="s">
        <v>121</v>
      </c>
      <c r="S18" s="13" t="s">
        <v>122</v>
      </c>
      <c r="T18" s="13" t="s">
        <v>123</v>
      </c>
      <c r="U18" s="14">
        <v>45124</v>
      </c>
      <c r="V18" s="14"/>
      <c r="W18" s="15" t="s">
        <v>169</v>
      </c>
      <c r="X18" s="13" t="s">
        <v>125</v>
      </c>
      <c r="Y18" s="15" t="str">
        <f>VLOOKUP(X18,'Axe 2 Règles de gestion'!$D$2:$F$49,3, FALSE)</f>
        <v>Le militaire doit avoir accompli au moins 4 ans de services, dont 2 ans pour les officiers en cette qualité, sauf exceptions.</v>
      </c>
      <c r="Z18" s="13" t="s">
        <v>129</v>
      </c>
      <c r="AA18" s="15" t="str">
        <f>VLOOKUP(Z18,'Axe 2 Règles de gestion'!$D$2:$F$49,3, FALSE)</f>
        <v>La condition de service n'est pas exigée du militaire qui sollicite un congé pour donner des soins à un enfant à charge, au conjoint, au partenaire avec lequel il est lié par un PACS, ou à un ascendant.</v>
      </c>
      <c r="AB18" s="13" t="s">
        <v>131</v>
      </c>
      <c r="AC18" s="15" t="str">
        <f>VLOOKUP(AB18,'Axe 2 Règles de gestion'!$D$2:$F$49,3, FALSE)</f>
        <v>Les soins font suite à un accident ou une maladie grave ou à un handicap nécessitant la présence d'une tierce personne.</v>
      </c>
      <c r="AD18" s="13" t="s">
        <v>133</v>
      </c>
      <c r="AE18" s="15" t="str">
        <f>VLOOKUP(AD18,'Axe 2 Règles de gestion'!$D$2:$F$49,3, FALSE)</f>
        <v>Le militaire doit présenter une demande.</v>
      </c>
      <c r="AF18" s="13" t="s">
        <v>135</v>
      </c>
      <c r="AG18" s="15" t="str">
        <f>VLOOKUP(AF18,'Axe 2 Règles de gestion'!$D$2:$F$49,3, FALSE)</f>
        <v>Le militaire est placé en congé par décision du ministre compétent.</v>
      </c>
      <c r="AH18" s="13" t="s">
        <v>137</v>
      </c>
      <c r="AI18" s="15" t="str">
        <f>VLOOKUP(AH18,'Axe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J18" s="13" t="s">
        <v>139</v>
      </c>
      <c r="AK18" s="15" t="str">
        <f>VLOOKUP(AJ18,'Axe 2 Règles de gestion'!$D$2:$F$49,3, FALSE)</f>
        <v>Le militaire officier est tenu d'informer sans délai par écrit le ministre compétent de tout changement d'activité privée lucrative.</v>
      </c>
      <c r="AL18" s="13"/>
      <c r="AM18" s="15"/>
      <c r="AN18" s="13" t="s">
        <v>141</v>
      </c>
      <c r="AO18" s="15" t="str">
        <f>VLOOKUP(AN18,'Axe 2 Règles de gestion'!$D$2:$F$49,3, FALSE)</f>
        <v>La durée prévisionnelle du congé ne peut pas excéder 2 ans pour chaque période.</v>
      </c>
      <c r="AP18" s="13" t="s">
        <v>143</v>
      </c>
      <c r="AQ18" s="15" t="str">
        <f>VLOOKUP(AP18,'Axe 2 Règles de gestion'!$D$2:$F$49,3, FALSE)</f>
        <v>La durée réelle du congé ne peut pas excéder 2 ans pour chaque période.</v>
      </c>
      <c r="AR18" s="13" t="s">
        <v>145</v>
      </c>
      <c r="AS18" s="15" t="str">
        <f>VLOOKUP(AR18,'Axe 2 Règles de gestion'!$D$2:$F$49,3, FALSE)</f>
        <v>La durée cumulée de l'ensemble des congés pour convenances personnelles ne doit pas excéder 10 ans.</v>
      </c>
      <c r="AT18" s="13" t="s">
        <v>147</v>
      </c>
      <c r="AU18" s="15" t="str">
        <f>VLOOKUP(AT18,'Axe 2 Règles de gestion'!$D$2:$F$49,3, FALSE)</f>
        <v>La date de fin réelle du congé doit être antérieure ou égale à la date limite de fin réelle ou prévisionnelle du lien juridique. Le militaire ne voit pas son contrat prorogé jusqu'à la date de fin du congé.</v>
      </c>
      <c r="AV18" s="13" t="s">
        <v>149</v>
      </c>
      <c r="AW18" s="15" t="str">
        <f>VLOOKUP(AV18,'Axe 2 Règles de gestion'!$D$2:$F$49,3, FALSE)</f>
        <v>La date de fin prévisionnelle du congé doit être antérieure ou égale à la date limite de fin réelle ou prévisionnelle du lien juridique. Le militaire ne voit pas son contrat prorogé jusqu'à la date de fin du congé.</v>
      </c>
      <c r="AX18" s="13"/>
      <c r="AY18" s="15"/>
      <c r="AZ18" s="13"/>
      <c r="BA18" s="15"/>
      <c r="BB18" s="13" t="s">
        <v>151</v>
      </c>
      <c r="BC18" s="15" t="str">
        <f>VLOOKUP(BB18,'Axe 2 Règles de gestion'!$D$2:$F$49,3, FALSE)</f>
        <v>La date de début de position doit être antérieure ou égale à la date de fin prévisionnelle de position.</v>
      </c>
      <c r="BD18" s="13" t="s">
        <v>153</v>
      </c>
      <c r="BE18" s="15" t="str">
        <f>VLOOKUP(BD18,'Axe 2 Règles de gestion'!$D$2:$F$49,3, FALSE)</f>
        <v>La date de fin réelle de la position doit être antérieure à la date limite de départ à la retraite.</v>
      </c>
      <c r="BF18" s="13" t="s">
        <v>155</v>
      </c>
      <c r="BG18" s="15" t="str">
        <f>VLOOKUP(BF18,'Axe 2 Règles de gestion'!$D$2:$F$49,3, FALSE)</f>
        <v>La date de début de la position doit être postérieure ou égale à la date de début du lien juridique.</v>
      </c>
      <c r="BH18" s="13" t="s">
        <v>157</v>
      </c>
      <c r="BI18" s="15" t="str">
        <f>VLOOKUP(BH18,'Axe 2 Règles de gestion'!$D$2:$F$49,3, FALSE)</f>
        <v>La date de début de position doit être antérieure ou égale à la date de fin réelle de position.</v>
      </c>
      <c r="BJ18" s="13" t="s">
        <v>159</v>
      </c>
      <c r="BK18" s="15" t="str">
        <f>VLOOKUP(BJ18,'Axe 2 Règles de gestion'!$D$2:$F$49,3, FALSE)</f>
        <v>La date de fin prévisionnelle de la position doit être antérieure à la date limite de départ à la retraite.</v>
      </c>
      <c r="BL18" s="13" t="s">
        <v>161</v>
      </c>
      <c r="BM18" s="15" t="str">
        <f>VLOOKUP(BL18,'Axe 2 Règles de gestion'!$D$2:$F$49,3, FALSE)</f>
        <v>La date de début de position est à J+1 de la date de fin de position de l'occurrence précédente.</v>
      </c>
      <c r="BN18" s="13" t="s">
        <v>163</v>
      </c>
      <c r="BO18" s="15" t="str">
        <f>VLOOKUP(BN18,'Axe 2 Règles de gestion'!$D$2:$F$49,3, FALSE)</f>
        <v>La date de fin ou la date de fin prévisionnelle doit être saisie.</v>
      </c>
      <c r="BP18" s="13" t="s">
        <v>165</v>
      </c>
      <c r="BQ18" s="15" t="str">
        <f>VLOOKUP(BP18,'Axe 2 Règles de gestion'!$D$2:$F$49,3, FALSE)</f>
        <v>La saisie d'une occurrence de congés/absences est interdite (date de fin réelle)</v>
      </c>
      <c r="BR18" s="13" t="s">
        <v>167</v>
      </c>
      <c r="BS18" s="15" t="str">
        <f>VLOOKUP(BR18,'Axe 2 Règles de gestion'!$D$2:$F$49,3, FALSE)</f>
        <v>La saisie d'une occurrence de congés/absences est interdite (date de fin prévisionnelle)</v>
      </c>
      <c r="BT18" s="13"/>
      <c r="BU18" s="15"/>
      <c r="BV18" s="13"/>
      <c r="BW18" s="15"/>
      <c r="BX18" s="13"/>
      <c r="BY18" s="15"/>
      <c r="BZ18" s="13"/>
      <c r="CA18" s="15"/>
      <c r="CB18" s="13"/>
      <c r="CC18" s="13"/>
    </row>
    <row r="19" spans="1:81" ht="116" x14ac:dyDescent="0.35">
      <c r="A19" s="13" t="s">
        <v>82</v>
      </c>
      <c r="B19" s="13" t="s">
        <v>83</v>
      </c>
      <c r="C19" s="14">
        <v>44970.658333333333</v>
      </c>
      <c r="D19" s="13" t="s">
        <v>84</v>
      </c>
      <c r="E19" s="15" t="s">
        <v>85</v>
      </c>
      <c r="F19" s="13" t="s">
        <v>86</v>
      </c>
      <c r="G19" s="15" t="s">
        <v>87</v>
      </c>
      <c r="H19" s="13" t="s">
        <v>88</v>
      </c>
      <c r="I19" s="15" t="s">
        <v>89</v>
      </c>
      <c r="J19" s="15" t="s">
        <v>90</v>
      </c>
      <c r="K19" s="15" t="s">
        <v>91</v>
      </c>
      <c r="L19" s="13" t="s">
        <v>101</v>
      </c>
      <c r="M19" s="15" t="s">
        <v>102</v>
      </c>
      <c r="N19" s="13" t="s">
        <v>94</v>
      </c>
      <c r="O19" s="15" t="s">
        <v>103</v>
      </c>
      <c r="P19" s="15" t="s">
        <v>104</v>
      </c>
      <c r="Q19" s="15" t="s">
        <v>120</v>
      </c>
      <c r="R19" s="13" t="s">
        <v>121</v>
      </c>
      <c r="S19" s="13" t="s">
        <v>122</v>
      </c>
      <c r="T19" s="13" t="s">
        <v>123</v>
      </c>
      <c r="U19" s="14">
        <v>43831</v>
      </c>
      <c r="V19" s="14"/>
      <c r="W19" s="15" t="s">
        <v>170</v>
      </c>
      <c r="X19" s="13" t="s">
        <v>171</v>
      </c>
      <c r="Y19" s="15" t="str">
        <f>VLOOKUP(X19,'Axe 2 Règles de gestion'!$D$2:$F$49,3, FALSE)</f>
        <v>Le militaire peut demander le renouvellement du congé 3 mois avant l'expiration du congé.</v>
      </c>
      <c r="Z19" s="13" t="s">
        <v>133</v>
      </c>
      <c r="AA19" s="15" t="str">
        <f>VLOOKUP(Z19,'Axe 2 Règles de gestion'!$D$2:$F$49,3, FALSE)</f>
        <v>Le militaire doit présenter une demande.</v>
      </c>
      <c r="AB19" s="13" t="s">
        <v>135</v>
      </c>
      <c r="AC19" s="15" t="str">
        <f>VLOOKUP(AB19,'Axe 2 Règles de gestion'!$D$2:$F$49,3, FALSE)</f>
        <v>Le militaire est placé en congé par décision du ministre compétent.</v>
      </c>
      <c r="AD19" s="13" t="s">
        <v>137</v>
      </c>
      <c r="AE19" s="15" t="str">
        <f>VLOOKUP(AD19,'Axe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F19" s="13" t="s">
        <v>139</v>
      </c>
      <c r="AG19" s="15" t="str">
        <f>VLOOKUP(AF19,'Axe 2 Règles de gestion'!$D$2:$F$49,3, FALSE)</f>
        <v>Le militaire officier est tenu d'informer sans délai par écrit le ministre compétent de tout changement d'activité privée lucrative.</v>
      </c>
      <c r="AH19" s="13"/>
      <c r="AI19" s="15"/>
      <c r="AJ19" s="13"/>
      <c r="AK19" s="15"/>
      <c r="AL19" s="13"/>
      <c r="AM19" s="15"/>
      <c r="AN19" s="13" t="s">
        <v>141</v>
      </c>
      <c r="AO19" s="15" t="str">
        <f>VLOOKUP(AN19,'Axe 2 Règles de gestion'!$D$2:$F$49,3, FALSE)</f>
        <v>La durée prévisionnelle du congé ne peut pas excéder 2 ans pour chaque période.</v>
      </c>
      <c r="AP19" s="13" t="s">
        <v>143</v>
      </c>
      <c r="AQ19" s="15" t="str">
        <f>VLOOKUP(AP19,'Axe 2 Règles de gestion'!$D$2:$F$49,3, FALSE)</f>
        <v>La durée réelle du congé ne peut pas excéder 2 ans pour chaque période.</v>
      </c>
      <c r="AR19" s="13" t="s">
        <v>145</v>
      </c>
      <c r="AS19" s="15" t="str">
        <f>VLOOKUP(AR19,'Axe 2 Règles de gestion'!$D$2:$F$49,3, FALSE)</f>
        <v>La durée cumulée de l'ensemble des congés pour convenances personnelles ne doit pas excéder 10 ans.</v>
      </c>
      <c r="AT19" s="13" t="s">
        <v>147</v>
      </c>
      <c r="AU19" s="15" t="str">
        <f>VLOOKUP(AT19,'Axe 2 Règles de gestion'!$D$2:$F$49,3, FALSE)</f>
        <v>La date de fin réelle du congé doit être antérieure ou égale à la date limite de fin réelle ou prévisionnelle du lien juridique. Le militaire ne voit pas son contrat prorogé jusqu'à la date de fin du congé.</v>
      </c>
      <c r="AV19" s="13" t="s">
        <v>149</v>
      </c>
      <c r="AW19" s="15" t="str">
        <f>VLOOKUP(AV19,'Axe 2 Règles de gestion'!$D$2:$F$49,3, FALSE)</f>
        <v>La date de fin prévisionnelle du congé doit être antérieure ou égale à la date limite de fin réelle ou prévisionnelle du lien juridique. Le militaire ne voit pas son contrat prorogé jusqu'à la date de fin du congé.</v>
      </c>
      <c r="AX19" s="13"/>
      <c r="AY19" s="15"/>
      <c r="AZ19" s="13"/>
      <c r="BA19" s="15"/>
      <c r="BB19" s="13" t="s">
        <v>151</v>
      </c>
      <c r="BC19" s="15" t="str">
        <f>VLOOKUP(BB19,'Axe 2 Règles de gestion'!$D$2:$F$49,3, FALSE)</f>
        <v>La date de début de position doit être antérieure ou égale à la date de fin prévisionnelle de position.</v>
      </c>
      <c r="BD19" s="13" t="s">
        <v>153</v>
      </c>
      <c r="BE19" s="15" t="str">
        <f>VLOOKUP(BD19,'Axe 2 Règles de gestion'!$D$2:$F$49,3, FALSE)</f>
        <v>La date de fin réelle de la position doit être antérieure à la date limite de départ à la retraite.</v>
      </c>
      <c r="BF19" s="13" t="s">
        <v>155</v>
      </c>
      <c r="BG19" s="15" t="str">
        <f>VLOOKUP(BF19,'Axe 2 Règles de gestion'!$D$2:$F$49,3, FALSE)</f>
        <v>La date de début de la position doit être postérieure ou égale à la date de début du lien juridique.</v>
      </c>
      <c r="BH19" s="13" t="s">
        <v>157</v>
      </c>
      <c r="BI19" s="15" t="str">
        <f>VLOOKUP(BH19,'Axe 2 Règles de gestion'!$D$2:$F$49,3, FALSE)</f>
        <v>La date de début de position doit être antérieure ou égale à la date de fin réelle de position.</v>
      </c>
      <c r="BJ19" s="13" t="s">
        <v>159</v>
      </c>
      <c r="BK19" s="15" t="str">
        <f>VLOOKUP(BJ19,'Axe 2 Règles de gestion'!$D$2:$F$49,3, FALSE)</f>
        <v>La date de fin prévisionnelle de la position doit être antérieure à la date limite de départ à la retraite.</v>
      </c>
      <c r="BL19" s="13" t="s">
        <v>161</v>
      </c>
      <c r="BM19" s="15" t="str">
        <f>VLOOKUP(BL19,'Axe 2 Règles de gestion'!$D$2:$F$49,3, FALSE)</f>
        <v>La date de début de position est à J+1 de la date de fin de position de l'occurrence précédente.</v>
      </c>
      <c r="BN19" s="13" t="s">
        <v>163</v>
      </c>
      <c r="BO19" s="15" t="str">
        <f>VLOOKUP(BN19,'Axe 2 Règles de gestion'!$D$2:$F$49,3, FALSE)</f>
        <v>La date de fin ou la date de fin prévisionnelle doit être saisie.</v>
      </c>
      <c r="BP19" s="13" t="s">
        <v>165</v>
      </c>
      <c r="BQ19" s="15" t="str">
        <f>VLOOKUP(BP19,'Axe 2 Règles de gestion'!$D$2:$F$49,3, FALSE)</f>
        <v>La saisie d'une occurrence de congés/absences est interdite (date de fin réelle)</v>
      </c>
      <c r="BR19" s="13" t="s">
        <v>167</v>
      </c>
      <c r="BS19" s="15" t="str">
        <f>VLOOKUP(BR19,'Axe 2 Règles de gestion'!$D$2:$F$49,3, FALSE)</f>
        <v>La saisie d'une occurrence de congés/absences est interdite (date de fin prévisionnelle)</v>
      </c>
      <c r="BT19" s="13"/>
      <c r="BU19" s="15"/>
      <c r="BV19" s="13"/>
      <c r="BW19" s="15"/>
      <c r="BX19" s="13"/>
      <c r="BY19" s="15"/>
      <c r="BZ19" s="13"/>
      <c r="CA19" s="15"/>
      <c r="CB19" s="13"/>
      <c r="CC19" s="13"/>
    </row>
    <row r="20" spans="1:81" ht="116" x14ac:dyDescent="0.35">
      <c r="A20" s="13" t="s">
        <v>82</v>
      </c>
      <c r="B20" s="13" t="s">
        <v>83</v>
      </c>
      <c r="C20" s="14">
        <v>44970.503472222219</v>
      </c>
      <c r="D20" s="13" t="s">
        <v>84</v>
      </c>
      <c r="E20" s="15" t="s">
        <v>85</v>
      </c>
      <c r="F20" s="13" t="s">
        <v>86</v>
      </c>
      <c r="G20" s="15" t="s">
        <v>87</v>
      </c>
      <c r="H20" s="13" t="s">
        <v>88</v>
      </c>
      <c r="I20" s="15" t="s">
        <v>89</v>
      </c>
      <c r="J20" s="15" t="s">
        <v>90</v>
      </c>
      <c r="K20" s="15" t="s">
        <v>91</v>
      </c>
      <c r="L20" s="13" t="s">
        <v>105</v>
      </c>
      <c r="M20" s="15" t="s">
        <v>106</v>
      </c>
      <c r="N20" s="13" t="s">
        <v>107</v>
      </c>
      <c r="O20" s="15" t="s">
        <v>108</v>
      </c>
      <c r="P20" s="15" t="s">
        <v>109</v>
      </c>
      <c r="Q20" s="15" t="s">
        <v>120</v>
      </c>
      <c r="R20" s="13" t="s">
        <v>121</v>
      </c>
      <c r="S20" s="13" t="s">
        <v>122</v>
      </c>
      <c r="T20" s="13" t="s">
        <v>123</v>
      </c>
      <c r="U20" s="14">
        <v>43831</v>
      </c>
      <c r="V20" s="14"/>
      <c r="W20" s="15" t="s">
        <v>173</v>
      </c>
      <c r="X20" s="13" t="s">
        <v>174</v>
      </c>
      <c r="Y20" s="15" t="str">
        <f>VLOOKUP(X20,'Axe 2 Règles de gestion'!$D$2:$F$49,3, FALSE)</f>
        <v>Le militaire peut demander la réintégration dans son corps d'origine, laquelle est de droit, 3 mois avant l'expiration du congé.</v>
      </c>
      <c r="Z20" s="13" t="s">
        <v>176</v>
      </c>
      <c r="AA20" s="15" t="str">
        <f>VLOOKUP(Z20,'Axe 2 Règles de gestion'!$D$2:$F$49,3, FALSE)</f>
        <v>Le militaire qui a formulé avant l'expiration du congé une demande de réintégration est maintenu dans cette situation jusqu'à ce qu'il puisse être affecté dans un emploi correspondant à son grade.</v>
      </c>
      <c r="AB20" s="13"/>
      <c r="AC20" s="15"/>
      <c r="AD20" s="13"/>
      <c r="AE20" s="15"/>
      <c r="AF20" s="13"/>
      <c r="AG20" s="15"/>
      <c r="AH20" s="13"/>
      <c r="AI20" s="15"/>
      <c r="AJ20" s="13"/>
      <c r="AK20" s="15"/>
      <c r="AL20" s="13"/>
      <c r="AM20" s="15"/>
      <c r="AN20" s="13" t="s">
        <v>141</v>
      </c>
      <c r="AO20" s="15" t="str">
        <f>VLOOKUP(AN20,'Axe 2 Règles de gestion'!$D$2:$F$49,3, FALSE)</f>
        <v>La durée prévisionnelle du congé ne peut pas excéder 2 ans pour chaque période.</v>
      </c>
      <c r="AP20" s="13" t="s">
        <v>143</v>
      </c>
      <c r="AQ20" s="15" t="str">
        <f>VLOOKUP(AP20,'Axe 2 Règles de gestion'!$D$2:$F$49,3, FALSE)</f>
        <v>La durée réelle du congé ne peut pas excéder 2 ans pour chaque période.</v>
      </c>
      <c r="AR20" s="13" t="s">
        <v>145</v>
      </c>
      <c r="AS20" s="15" t="str">
        <f>VLOOKUP(AR20,'Axe 2 Règles de gestion'!$D$2:$F$49,3, FALSE)</f>
        <v>La durée cumulée de l'ensemble des congés pour convenances personnelles ne doit pas excéder 10 ans.</v>
      </c>
      <c r="AT20" s="13" t="s">
        <v>147</v>
      </c>
      <c r="AU20" s="15" t="str">
        <f>VLOOKUP(AT20,'Axe 2 Règles de gestion'!$D$2:$F$49,3, FALSE)</f>
        <v>La date de fin réelle du congé doit être antérieure ou égale à la date limite de fin réelle ou prévisionnelle du lien juridique. Le militaire ne voit pas son contrat prorogé jusqu'à la date de fin du congé.</v>
      </c>
      <c r="AV20" s="13" t="s">
        <v>149</v>
      </c>
      <c r="AW20" s="15" t="str">
        <f>VLOOKUP(AV20,'Axe 2 Règles de gestion'!$D$2:$F$49,3, FALSE)</f>
        <v>La date de fin prévisionnelle du congé doit être antérieure ou égale à la date limite de fin réelle ou prévisionnelle du lien juridique. Le militaire ne voit pas son contrat prorogé jusqu'à la date de fin du congé.</v>
      </c>
      <c r="AX20" s="13"/>
      <c r="AY20" s="15"/>
      <c r="AZ20" s="13"/>
      <c r="BA20" s="15"/>
      <c r="BB20" s="13" t="s">
        <v>151</v>
      </c>
      <c r="BC20" s="15" t="str">
        <f>VLOOKUP(BB20,'Axe 2 Règles de gestion'!$D$2:$F$49,3, FALSE)</f>
        <v>La date de début de position doit être antérieure ou égale à la date de fin prévisionnelle de position.</v>
      </c>
      <c r="BD20" s="13" t="s">
        <v>153</v>
      </c>
      <c r="BE20" s="15" t="str">
        <f>VLOOKUP(BD20,'Axe 2 Règles de gestion'!$D$2:$F$49,3, FALSE)</f>
        <v>La date de fin réelle de la position doit être antérieure à la date limite de départ à la retraite.</v>
      </c>
      <c r="BF20" s="13" t="s">
        <v>157</v>
      </c>
      <c r="BG20" s="15" t="str">
        <f>VLOOKUP(BF20,'Axe 2 Règles de gestion'!$D$2:$F$49,3, FALSE)</f>
        <v>La date de début de position doit être antérieure ou égale à la date de fin réelle de position.</v>
      </c>
      <c r="BH20" s="13" t="s">
        <v>159</v>
      </c>
      <c r="BI20" s="15" t="str">
        <f>VLOOKUP(BH20,'Axe 2 Règles de gestion'!$D$2:$F$49,3, FALSE)</f>
        <v>La date de fin prévisionnelle de la position doit être antérieure à la date limite de départ à la retraite.</v>
      </c>
      <c r="BJ20" s="13" t="s">
        <v>163</v>
      </c>
      <c r="BK20" s="15" t="str">
        <f>VLOOKUP(BJ20,'Axe 2 Règles de gestion'!$D$2:$F$49,3, FALSE)</f>
        <v>La date de fin ou la date de fin prévisionnelle doit être saisie.</v>
      </c>
      <c r="BL20" s="13" t="s">
        <v>165</v>
      </c>
      <c r="BM20" s="15" t="str">
        <f>VLOOKUP(BL20,'Axe 2 Règles de gestion'!$D$2:$F$49,3, FALSE)</f>
        <v>La saisie d'une occurrence de congés/absences est interdite (date de fin réelle)</v>
      </c>
      <c r="BN20" s="13" t="s">
        <v>167</v>
      </c>
      <c r="BO20" s="15" t="str">
        <f>VLOOKUP(BN20,'Axe 2 Règles de gestion'!$D$2:$F$49,3, FALSE)</f>
        <v>La saisie d'une occurrence de congés/absences est interdite (date de fin prévisionnelle)</v>
      </c>
      <c r="BP20" s="13"/>
      <c r="BQ20" s="15"/>
      <c r="BR20" s="13"/>
      <c r="BS20" s="15"/>
      <c r="BT20" s="13"/>
      <c r="BU20" s="15"/>
      <c r="BV20" s="13"/>
      <c r="BW20" s="15"/>
      <c r="BX20" s="13"/>
      <c r="BY20" s="15"/>
      <c r="BZ20" s="13"/>
      <c r="CA20" s="15"/>
      <c r="CB20" s="13"/>
      <c r="CC20" s="13"/>
    </row>
    <row r="21" spans="1:81" ht="130.5" x14ac:dyDescent="0.35">
      <c r="A21" s="13" t="s">
        <v>118</v>
      </c>
      <c r="B21" s="13" t="s">
        <v>119</v>
      </c>
      <c r="C21" s="14">
        <v>45428.472916666666</v>
      </c>
      <c r="D21" s="13" t="s">
        <v>84</v>
      </c>
      <c r="E21" s="15" t="s">
        <v>85</v>
      </c>
      <c r="F21" s="13" t="s">
        <v>86</v>
      </c>
      <c r="G21" s="15" t="s">
        <v>87</v>
      </c>
      <c r="H21" s="13" t="s">
        <v>88</v>
      </c>
      <c r="I21" s="15" t="s">
        <v>89</v>
      </c>
      <c r="J21" s="15" t="s">
        <v>90</v>
      </c>
      <c r="K21" s="15" t="s">
        <v>91</v>
      </c>
      <c r="L21" s="13" t="s">
        <v>92</v>
      </c>
      <c r="M21" s="15" t="s">
        <v>93</v>
      </c>
      <c r="N21" s="13" t="s">
        <v>94</v>
      </c>
      <c r="O21" s="15" t="s">
        <v>95</v>
      </c>
      <c r="P21" s="15" t="s">
        <v>96</v>
      </c>
      <c r="Q21" s="15" t="s">
        <v>178</v>
      </c>
      <c r="R21" s="13" t="s">
        <v>179</v>
      </c>
      <c r="S21" s="13" t="s">
        <v>122</v>
      </c>
      <c r="T21" s="13" t="s">
        <v>123</v>
      </c>
      <c r="U21" s="14">
        <v>43831</v>
      </c>
      <c r="V21" s="14">
        <v>45123</v>
      </c>
      <c r="W21" s="15" t="s">
        <v>180</v>
      </c>
      <c r="X21" s="13" t="s">
        <v>125</v>
      </c>
      <c r="Y21" s="15" t="str">
        <f>VLOOKUP(X21,'Axe 2 Règles de gestion'!$D$2:$F$49,3, FALSE)</f>
        <v>Le militaire doit avoir accompli au moins 4 ans de services, dont 2 ans pour les officiers en cette qualité, sauf exceptions.</v>
      </c>
      <c r="Z21" s="13" t="s">
        <v>127</v>
      </c>
      <c r="AA21" s="15" t="str">
        <f>VLOOKUP(Z21,'Axe 2 Règles de gestion'!$D$2:$F$49,3, FALSE)</f>
        <v>La condition de service n'est pas exigée pour suivre son conjoint ou son partenaire lié par un PACS lorsque celui-ci est astreint à établir sa résidence habituelle, en raison de sa profession, en un lieu éloigné d'affectation du militaire.</v>
      </c>
      <c r="AB21" s="13" t="s">
        <v>129</v>
      </c>
      <c r="AC21" s="15" t="str">
        <f>VLOOKUP(AB21,'Axe 2 Règles de gestion'!$D$2:$F$49,3, FALSE)</f>
        <v>La condition de service n'est pas exigée du militaire qui sollicite un congé pour donner des soins à un enfant à charge, au conjoint, au partenaire avec lequel il est lié par un PACS, ou à un ascendant.</v>
      </c>
      <c r="AD21" s="13" t="s">
        <v>131</v>
      </c>
      <c r="AE21" s="15" t="str">
        <f>VLOOKUP(AD21,'Axe 2 Règles de gestion'!$D$2:$F$49,3, FALSE)</f>
        <v>Les soins font suite à un accident ou une maladie grave ou à un handicap nécessitant la présence d'une tierce personne.</v>
      </c>
      <c r="AF21" s="13" t="s">
        <v>133</v>
      </c>
      <c r="AG21" s="15" t="str">
        <f>VLOOKUP(AF21,'Axe 2 Règles de gestion'!$D$2:$F$49,3, FALSE)</f>
        <v>Le militaire doit présenter une demande.</v>
      </c>
      <c r="AH21" s="13" t="s">
        <v>135</v>
      </c>
      <c r="AI21" s="15" t="str">
        <f>VLOOKUP(AH21,'Axe 2 Règles de gestion'!$D$2:$F$49,3, FALSE)</f>
        <v>Le militaire est placé en congé par décision du ministre compétent.</v>
      </c>
      <c r="AJ21" s="13" t="s">
        <v>137</v>
      </c>
      <c r="AK21" s="15" t="str">
        <f>VLOOKUP(AJ21,'Axe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L21" s="13" t="s">
        <v>139</v>
      </c>
      <c r="AM21" s="15" t="str">
        <f>VLOOKUP(AL21,'Axe 2 Règles de gestion'!$D$2:$F$49,3, FALSE)</f>
        <v>Le militaire officier est tenu d'informer sans délai par écrit le ministre compétent de tout changement d'activité privée lucrative.</v>
      </c>
      <c r="AN21" s="13" t="s">
        <v>141</v>
      </c>
      <c r="AO21" s="15" t="str">
        <f>VLOOKUP(AN21,'Axe 2 Règles de gestion'!$D$2:$F$49,3, FALSE)</f>
        <v>La durée prévisionnelle du congé ne peut pas excéder 2 ans pour chaque période.</v>
      </c>
      <c r="AP21" s="13" t="s">
        <v>143</v>
      </c>
      <c r="AQ21" s="15" t="str">
        <f>VLOOKUP(AP21,'Axe 2 Règles de gestion'!$D$2:$F$49,3, FALSE)</f>
        <v>La durée réelle du congé ne peut pas excéder 2 ans pour chaque période.</v>
      </c>
      <c r="AR21" s="13" t="s">
        <v>145</v>
      </c>
      <c r="AS21" s="15" t="str">
        <f>VLOOKUP(AR21,'Axe 2 Règles de gestion'!$D$2:$F$49,3, FALSE)</f>
        <v>La durée cumulée de l'ensemble des congés pour convenances personnelles ne doit pas excéder 10 ans.</v>
      </c>
      <c r="AT21" s="13"/>
      <c r="AU21" s="15"/>
      <c r="AV21" s="13"/>
      <c r="AW21" s="15"/>
      <c r="AX21" s="13"/>
      <c r="AY21" s="15"/>
      <c r="AZ21" s="13"/>
      <c r="BA21" s="15"/>
      <c r="BB21" s="13" t="s">
        <v>151</v>
      </c>
      <c r="BC21" s="15" t="str">
        <f>VLOOKUP(BB21,'Axe 2 Règles de gestion'!$D$2:$F$49,3, FALSE)</f>
        <v>La date de début de position doit être antérieure ou égale à la date de fin prévisionnelle de position.</v>
      </c>
      <c r="BD21" s="13" t="s">
        <v>181</v>
      </c>
      <c r="BE21" s="15" t="str">
        <f>VLOOKUP(BD21,'Axe 2 Règles de gestion'!$D$2:$F$49,3, FALSE)</f>
        <v>La date de début de la position doit être postérieure ou égale à la date d'entrée dans la FPE ou dans la carrière militaire.</v>
      </c>
      <c r="BF21" s="13" t="s">
        <v>153</v>
      </c>
      <c r="BG21" s="15" t="str">
        <f>VLOOKUP(BF21,'Axe 2 Règles de gestion'!$D$2:$F$49,3, FALSE)</f>
        <v>La date de fin réelle de la position doit être antérieure à la date limite de départ à la retraite.</v>
      </c>
      <c r="BH21" s="13" t="s">
        <v>157</v>
      </c>
      <c r="BI21" s="15" t="str">
        <f>VLOOKUP(BH21,'Axe 2 Règles de gestion'!$D$2:$F$49,3, FALSE)</f>
        <v>La date de début de position doit être antérieure ou égale à la date de fin réelle de position.</v>
      </c>
      <c r="BJ21" s="13" t="s">
        <v>159</v>
      </c>
      <c r="BK21" s="15" t="str">
        <f>VLOOKUP(BJ21,'Axe 2 Règles de gestion'!$D$2:$F$49,3, FALSE)</f>
        <v>La date de fin prévisionnelle de la position doit être antérieure à la date limite de départ à la retraite.</v>
      </c>
      <c r="BL21" s="13" t="s">
        <v>161</v>
      </c>
      <c r="BM21" s="15" t="str">
        <f>VLOOKUP(BL21,'Axe 2 Règles de gestion'!$D$2:$F$49,3, FALSE)</f>
        <v>La date de début de position est à J+1 de la date de fin de position de l'occurrence précédente.</v>
      </c>
      <c r="BN21" s="13" t="s">
        <v>183</v>
      </c>
      <c r="BO21" s="15" t="str">
        <f>VLOOKUP(BN21,'Axe 2 Règles de gestion'!$D$2:$F$49,3, FALSE)</f>
        <v>La date de fin réelle de la position doit être antérieure ou égale à la date de décès de l'enfant.</v>
      </c>
      <c r="BP21" s="13" t="s">
        <v>185</v>
      </c>
      <c r="BQ21" s="15" t="str">
        <f>VLOOKUP(BP21,'Axe 2 Règles de gestion'!$D$2:$F$49,3, FALSE)</f>
        <v>La date de fin prévisionnelle de la position doit être antérieure ou égale à la date de décès de l'enfant.</v>
      </c>
      <c r="BR21" s="13" t="s">
        <v>163</v>
      </c>
      <c r="BS21" s="15" t="str">
        <f>VLOOKUP(BR21,'Axe 2 Règles de gestion'!$D$2:$F$49,3, FALSE)</f>
        <v>La date de fin ou la date de fin prévisionnelle doit être saisie.</v>
      </c>
      <c r="BT21" s="13" t="s">
        <v>165</v>
      </c>
      <c r="BU21" s="15" t="str">
        <f>VLOOKUP(BT21,'Axe 2 Règles de gestion'!$D$2:$F$49,3, FALSE)</f>
        <v>La saisie d'une occurrence de congés/absences est interdite (date de fin réelle)</v>
      </c>
      <c r="BV21" s="13" t="s">
        <v>167</v>
      </c>
      <c r="BW21" s="15" t="str">
        <f>VLOOKUP(BV21,'Axe 2 Règles de gestion'!$D$2:$F$49,3, FALSE)</f>
        <v>La saisie d'une occurrence de congés/absences est interdite (date de fin prévisionnelle)</v>
      </c>
      <c r="BX21" s="13"/>
      <c r="BY21" s="15"/>
      <c r="BZ21" s="13"/>
      <c r="CA21" s="15"/>
      <c r="CB21" s="13"/>
      <c r="CC21" s="13"/>
    </row>
    <row r="22" spans="1:81" ht="116" x14ac:dyDescent="0.35">
      <c r="A22" s="13" t="s">
        <v>118</v>
      </c>
      <c r="B22" s="13" t="s">
        <v>83</v>
      </c>
      <c r="C22" s="14">
        <v>45428.472916666666</v>
      </c>
      <c r="D22" s="13" t="s">
        <v>84</v>
      </c>
      <c r="E22" s="15" t="s">
        <v>85</v>
      </c>
      <c r="F22" s="13" t="s">
        <v>86</v>
      </c>
      <c r="G22" s="15" t="s">
        <v>87</v>
      </c>
      <c r="H22" s="13" t="s">
        <v>88</v>
      </c>
      <c r="I22" s="15" t="s">
        <v>89</v>
      </c>
      <c r="J22" s="15" t="s">
        <v>90</v>
      </c>
      <c r="K22" s="15" t="s">
        <v>91</v>
      </c>
      <c r="L22" s="13" t="s">
        <v>92</v>
      </c>
      <c r="M22" s="15" t="s">
        <v>93</v>
      </c>
      <c r="N22" s="13" t="s">
        <v>94</v>
      </c>
      <c r="O22" s="15" t="s">
        <v>95</v>
      </c>
      <c r="P22" s="15" t="s">
        <v>96</v>
      </c>
      <c r="Q22" s="15" t="s">
        <v>178</v>
      </c>
      <c r="R22" s="13" t="s">
        <v>179</v>
      </c>
      <c r="S22" s="13" t="s">
        <v>122</v>
      </c>
      <c r="T22" s="13" t="s">
        <v>123</v>
      </c>
      <c r="U22" s="14">
        <v>45124</v>
      </c>
      <c r="V22" s="14"/>
      <c r="W22" s="15" t="s">
        <v>187</v>
      </c>
      <c r="X22" s="13" t="s">
        <v>125</v>
      </c>
      <c r="Y22" s="15" t="str">
        <f>VLOOKUP(X22,'Axe 2 Règles de gestion'!$D$2:$F$49,3, FALSE)</f>
        <v>Le militaire doit avoir accompli au moins 4 ans de services, dont 2 ans pour les officiers en cette qualité, sauf exceptions.</v>
      </c>
      <c r="Z22" s="13" t="s">
        <v>129</v>
      </c>
      <c r="AA22" s="15" t="str">
        <f>VLOOKUP(Z22,'Axe 2 Règles de gestion'!$D$2:$F$49,3, FALSE)</f>
        <v>La condition de service n'est pas exigée du militaire qui sollicite un congé pour donner des soins à un enfant à charge, au conjoint, au partenaire avec lequel il est lié par un PACS, ou à un ascendant.</v>
      </c>
      <c r="AB22" s="13" t="s">
        <v>131</v>
      </c>
      <c r="AC22" s="15" t="str">
        <f>VLOOKUP(AB22,'Axe 2 Règles de gestion'!$D$2:$F$49,3, FALSE)</f>
        <v>Les soins font suite à un accident ou une maladie grave ou à un handicap nécessitant la présence d'une tierce personne.</v>
      </c>
      <c r="AD22" s="13" t="s">
        <v>133</v>
      </c>
      <c r="AE22" s="15" t="str">
        <f>VLOOKUP(AD22,'Axe 2 Règles de gestion'!$D$2:$F$49,3, FALSE)</f>
        <v>Le militaire doit présenter une demande.</v>
      </c>
      <c r="AF22" s="13" t="s">
        <v>135</v>
      </c>
      <c r="AG22" s="15" t="str">
        <f>VLOOKUP(AF22,'Axe 2 Règles de gestion'!$D$2:$F$49,3, FALSE)</f>
        <v>Le militaire est placé en congé par décision du ministre compétent.</v>
      </c>
      <c r="AH22" s="13" t="s">
        <v>137</v>
      </c>
      <c r="AI22" s="15" t="str">
        <f>VLOOKUP(AH22,'Axe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J22" s="13" t="s">
        <v>139</v>
      </c>
      <c r="AK22" s="15" t="str">
        <f>VLOOKUP(AJ22,'Axe 2 Règles de gestion'!$D$2:$F$49,3, FALSE)</f>
        <v>Le militaire officier est tenu d'informer sans délai par écrit le ministre compétent de tout changement d'activité privée lucrative.</v>
      </c>
      <c r="AL22" s="13"/>
      <c r="AM22" s="15"/>
      <c r="AN22" s="13" t="s">
        <v>141</v>
      </c>
      <c r="AO22" s="15" t="str">
        <f>VLOOKUP(AN22,'Axe 2 Règles de gestion'!$D$2:$F$49,3, FALSE)</f>
        <v>La durée prévisionnelle du congé ne peut pas excéder 2 ans pour chaque période.</v>
      </c>
      <c r="AP22" s="13" t="s">
        <v>143</v>
      </c>
      <c r="AQ22" s="15" t="str">
        <f>VLOOKUP(AP22,'Axe 2 Règles de gestion'!$D$2:$F$49,3, FALSE)</f>
        <v>La durée réelle du congé ne peut pas excéder 2 ans pour chaque période.</v>
      </c>
      <c r="AR22" s="13" t="s">
        <v>145</v>
      </c>
      <c r="AS22" s="15" t="str">
        <f>VLOOKUP(AR22,'Axe 2 Règles de gestion'!$D$2:$F$49,3, FALSE)</f>
        <v>La durée cumulée de l'ensemble des congés pour convenances personnelles ne doit pas excéder 10 ans.</v>
      </c>
      <c r="AT22" s="13"/>
      <c r="AU22" s="15"/>
      <c r="AV22" s="13"/>
      <c r="AW22" s="15"/>
      <c r="AX22" s="13"/>
      <c r="AY22" s="15"/>
      <c r="AZ22" s="13"/>
      <c r="BA22" s="15"/>
      <c r="BB22" s="13" t="s">
        <v>151</v>
      </c>
      <c r="BC22" s="15" t="str">
        <f>VLOOKUP(BB22,'Axe 2 Règles de gestion'!$D$2:$F$49,3, FALSE)</f>
        <v>La date de début de position doit être antérieure ou égale à la date de fin prévisionnelle de position.</v>
      </c>
      <c r="BD22" s="13" t="s">
        <v>181</v>
      </c>
      <c r="BE22" s="15" t="str">
        <f>VLOOKUP(BD22,'Axe 2 Règles de gestion'!$D$2:$F$49,3, FALSE)</f>
        <v>La date de début de la position doit être postérieure ou égale à la date d'entrée dans la FPE ou dans la carrière militaire.</v>
      </c>
      <c r="BF22" s="13" t="s">
        <v>153</v>
      </c>
      <c r="BG22" s="15" t="str">
        <f>VLOOKUP(BF22,'Axe 2 Règles de gestion'!$D$2:$F$49,3, FALSE)</f>
        <v>La date de fin réelle de la position doit être antérieure à la date limite de départ à la retraite.</v>
      </c>
      <c r="BH22" s="13" t="s">
        <v>157</v>
      </c>
      <c r="BI22" s="15" t="str">
        <f>VLOOKUP(BH22,'Axe 2 Règles de gestion'!$D$2:$F$49,3, FALSE)</f>
        <v>La date de début de position doit être antérieure ou égale à la date de fin réelle de position.</v>
      </c>
      <c r="BJ22" s="13" t="s">
        <v>159</v>
      </c>
      <c r="BK22" s="15" t="str">
        <f>VLOOKUP(BJ22,'Axe 2 Règles de gestion'!$D$2:$F$49,3, FALSE)</f>
        <v>La date de fin prévisionnelle de la position doit être antérieure à la date limite de départ à la retraite.</v>
      </c>
      <c r="BL22" s="13" t="s">
        <v>161</v>
      </c>
      <c r="BM22" s="15" t="str">
        <f>VLOOKUP(BL22,'Axe 2 Règles de gestion'!$D$2:$F$49,3, FALSE)</f>
        <v>La date de début de position est à J+1 de la date de fin de position de l'occurrence précédente.</v>
      </c>
      <c r="BN22" s="13" t="s">
        <v>183</v>
      </c>
      <c r="BO22" s="15" t="str">
        <f>VLOOKUP(BN22,'Axe 2 Règles de gestion'!$D$2:$F$49,3, FALSE)</f>
        <v>La date de fin réelle de la position doit être antérieure ou égale à la date de décès de l'enfant.</v>
      </c>
      <c r="BP22" s="13" t="s">
        <v>185</v>
      </c>
      <c r="BQ22" s="15" t="str">
        <f>VLOOKUP(BP22,'Axe 2 Règles de gestion'!$D$2:$F$49,3, FALSE)</f>
        <v>La date de fin prévisionnelle de la position doit être antérieure ou égale à la date de décès de l'enfant.</v>
      </c>
      <c r="BR22" s="13" t="s">
        <v>163</v>
      </c>
      <c r="BS22" s="15" t="str">
        <f>VLOOKUP(BR22,'Axe 2 Règles de gestion'!$D$2:$F$49,3, FALSE)</f>
        <v>La date de fin ou la date de fin prévisionnelle doit être saisie.</v>
      </c>
      <c r="BT22" s="13" t="s">
        <v>165</v>
      </c>
      <c r="BU22" s="15" t="str">
        <f>VLOOKUP(BT22,'Axe 2 Règles de gestion'!$D$2:$F$49,3, FALSE)</f>
        <v>La saisie d'une occurrence de congés/absences est interdite (date de fin réelle)</v>
      </c>
      <c r="BV22" s="13" t="s">
        <v>167</v>
      </c>
      <c r="BW22" s="15" t="str">
        <f>VLOOKUP(BV22,'Axe 2 Règles de gestion'!$D$2:$F$49,3, FALSE)</f>
        <v>La saisie d'une occurrence de congés/absences est interdite (date de fin prévisionnelle)</v>
      </c>
      <c r="BX22" s="13"/>
      <c r="BY22" s="15"/>
      <c r="BZ22" s="13"/>
      <c r="CA22" s="15"/>
      <c r="CB22" s="13"/>
      <c r="CC22" s="13"/>
    </row>
    <row r="23" spans="1:81" ht="116" x14ac:dyDescent="0.35">
      <c r="A23" s="13" t="s">
        <v>82</v>
      </c>
      <c r="B23" s="13" t="s">
        <v>83</v>
      </c>
      <c r="C23" s="14">
        <v>44970.670138888891</v>
      </c>
      <c r="D23" s="13" t="s">
        <v>84</v>
      </c>
      <c r="E23" s="15" t="s">
        <v>85</v>
      </c>
      <c r="F23" s="13" t="s">
        <v>86</v>
      </c>
      <c r="G23" s="15" t="s">
        <v>87</v>
      </c>
      <c r="H23" s="13" t="s">
        <v>88</v>
      </c>
      <c r="I23" s="15" t="s">
        <v>89</v>
      </c>
      <c r="J23" s="15" t="s">
        <v>90</v>
      </c>
      <c r="K23" s="15" t="s">
        <v>91</v>
      </c>
      <c r="L23" s="13" t="s">
        <v>101</v>
      </c>
      <c r="M23" s="15" t="s">
        <v>102</v>
      </c>
      <c r="N23" s="13" t="s">
        <v>94</v>
      </c>
      <c r="O23" s="15" t="s">
        <v>103</v>
      </c>
      <c r="P23" s="15" t="s">
        <v>104</v>
      </c>
      <c r="Q23" s="15" t="s">
        <v>178</v>
      </c>
      <c r="R23" s="13" t="s">
        <v>179</v>
      </c>
      <c r="S23" s="13" t="s">
        <v>122</v>
      </c>
      <c r="T23" s="13" t="s">
        <v>123</v>
      </c>
      <c r="U23" s="14">
        <v>43831</v>
      </c>
      <c r="V23" s="14"/>
      <c r="W23" s="15" t="s">
        <v>188</v>
      </c>
      <c r="X23" s="13" t="s">
        <v>171</v>
      </c>
      <c r="Y23" s="15" t="str">
        <f>VLOOKUP(X23,'Axe 2 Règles de gestion'!$D$2:$F$49,3, FALSE)</f>
        <v>Le militaire peut demander le renouvellement du congé 3 mois avant l'expiration du congé.</v>
      </c>
      <c r="Z23" s="13" t="s">
        <v>133</v>
      </c>
      <c r="AA23" s="15" t="str">
        <f>VLOOKUP(Z23,'Axe 2 Règles de gestion'!$D$2:$F$49,3, FALSE)</f>
        <v>Le militaire doit présenter une demande.</v>
      </c>
      <c r="AB23" s="13" t="s">
        <v>135</v>
      </c>
      <c r="AC23" s="15" t="str">
        <f>VLOOKUP(AB23,'Axe 2 Règles de gestion'!$D$2:$F$49,3, FALSE)</f>
        <v>Le militaire est placé en congé par décision du ministre compétent.</v>
      </c>
      <c r="AD23" s="13" t="s">
        <v>137</v>
      </c>
      <c r="AE23" s="15" t="str">
        <f>VLOOKUP(AD23,'Axe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F23" s="13" t="s">
        <v>139</v>
      </c>
      <c r="AG23" s="15" t="str">
        <f>VLOOKUP(AF23,'Axe 2 Règles de gestion'!$D$2:$F$49,3, FALSE)</f>
        <v>Le militaire officier est tenu d'informer sans délai par écrit le ministre compétent de tout changement d'activité privée lucrative.</v>
      </c>
      <c r="AH23" s="13"/>
      <c r="AI23" s="15"/>
      <c r="AJ23" s="13"/>
      <c r="AK23" s="15"/>
      <c r="AL23" s="13"/>
      <c r="AM23" s="15"/>
      <c r="AN23" s="13" t="s">
        <v>141</v>
      </c>
      <c r="AO23" s="15" t="str">
        <f>VLOOKUP(AN23,'Axe 2 Règles de gestion'!$D$2:$F$49,3, FALSE)</f>
        <v>La durée prévisionnelle du congé ne peut pas excéder 2 ans pour chaque période.</v>
      </c>
      <c r="AP23" s="13" t="s">
        <v>143</v>
      </c>
      <c r="AQ23" s="15" t="str">
        <f>VLOOKUP(AP23,'Axe 2 Règles de gestion'!$D$2:$F$49,3, FALSE)</f>
        <v>La durée réelle du congé ne peut pas excéder 2 ans pour chaque période.</v>
      </c>
      <c r="AR23" s="13" t="s">
        <v>145</v>
      </c>
      <c r="AS23" s="15" t="str">
        <f>VLOOKUP(AR23,'Axe 2 Règles de gestion'!$D$2:$F$49,3, FALSE)</f>
        <v>La durée cumulée de l'ensemble des congés pour convenances personnelles ne doit pas excéder 10 ans.</v>
      </c>
      <c r="AT23" s="13"/>
      <c r="AU23" s="15"/>
      <c r="AV23" s="13"/>
      <c r="AW23" s="15"/>
      <c r="AX23" s="13"/>
      <c r="AY23" s="15"/>
      <c r="AZ23" s="13"/>
      <c r="BA23" s="15"/>
      <c r="BB23" s="13" t="s">
        <v>151</v>
      </c>
      <c r="BC23" s="15" t="str">
        <f>VLOOKUP(BB23,'Axe 2 Règles de gestion'!$D$2:$F$49,3, FALSE)</f>
        <v>La date de début de position doit être antérieure ou égale à la date de fin prévisionnelle de position.</v>
      </c>
      <c r="BD23" s="13" t="s">
        <v>181</v>
      </c>
      <c r="BE23" s="15" t="str">
        <f>VLOOKUP(BD23,'Axe 2 Règles de gestion'!$D$2:$F$49,3, FALSE)</f>
        <v>La date de début de la position doit être postérieure ou égale à la date d'entrée dans la FPE ou dans la carrière militaire.</v>
      </c>
      <c r="BF23" s="13" t="s">
        <v>153</v>
      </c>
      <c r="BG23" s="15" t="str">
        <f>VLOOKUP(BF23,'Axe 2 Règles de gestion'!$D$2:$F$49,3, FALSE)</f>
        <v>La date de fin réelle de la position doit être antérieure à la date limite de départ à la retraite.</v>
      </c>
      <c r="BH23" s="13" t="s">
        <v>157</v>
      </c>
      <c r="BI23" s="15" t="str">
        <f>VLOOKUP(BH23,'Axe 2 Règles de gestion'!$D$2:$F$49,3, FALSE)</f>
        <v>La date de début de position doit être antérieure ou égale à la date de fin réelle de position.</v>
      </c>
      <c r="BJ23" s="13" t="s">
        <v>159</v>
      </c>
      <c r="BK23" s="15" t="str">
        <f>VLOOKUP(BJ23,'Axe 2 Règles de gestion'!$D$2:$F$49,3, FALSE)</f>
        <v>La date de fin prévisionnelle de la position doit être antérieure à la date limite de départ à la retraite.</v>
      </c>
      <c r="BL23" s="13" t="s">
        <v>161</v>
      </c>
      <c r="BM23" s="15" t="str">
        <f>VLOOKUP(BL23,'Axe 2 Règles de gestion'!$D$2:$F$49,3, FALSE)</f>
        <v>La date de début de position est à J+1 de la date de fin de position de l'occurrence précédente.</v>
      </c>
      <c r="BN23" s="13" t="s">
        <v>183</v>
      </c>
      <c r="BO23" s="15" t="str">
        <f>VLOOKUP(BN23,'Axe 2 Règles de gestion'!$D$2:$F$49,3, FALSE)</f>
        <v>La date de fin réelle de la position doit être antérieure ou égale à la date de décès de l'enfant.</v>
      </c>
      <c r="BP23" s="13" t="s">
        <v>185</v>
      </c>
      <c r="BQ23" s="15" t="str">
        <f>VLOOKUP(BP23,'Axe 2 Règles de gestion'!$D$2:$F$49,3, FALSE)</f>
        <v>La date de fin prévisionnelle de la position doit être antérieure ou égale à la date de décès de l'enfant.</v>
      </c>
      <c r="BR23" s="13" t="s">
        <v>163</v>
      </c>
      <c r="BS23" s="15" t="str">
        <f>VLOOKUP(BR23,'Axe 2 Règles de gestion'!$D$2:$F$49,3, FALSE)</f>
        <v>La date de fin ou la date de fin prévisionnelle doit être saisie.</v>
      </c>
      <c r="BT23" s="13" t="s">
        <v>165</v>
      </c>
      <c r="BU23" s="15" t="str">
        <f>VLOOKUP(BT23,'Axe 2 Règles de gestion'!$D$2:$F$49,3, FALSE)</f>
        <v>La saisie d'une occurrence de congés/absences est interdite (date de fin réelle)</v>
      </c>
      <c r="BV23" s="13" t="s">
        <v>167</v>
      </c>
      <c r="BW23" s="15" t="str">
        <f>VLOOKUP(BV23,'Axe 2 Règles de gestion'!$D$2:$F$49,3, FALSE)</f>
        <v>La saisie d'une occurrence de congés/absences est interdite (date de fin prévisionnelle)</v>
      </c>
      <c r="BX23" s="13"/>
      <c r="BY23" s="15"/>
      <c r="BZ23" s="13"/>
      <c r="CA23" s="15"/>
      <c r="CB23" s="13"/>
      <c r="CC23" s="13"/>
    </row>
    <row r="24" spans="1:81" ht="116" x14ac:dyDescent="0.35">
      <c r="A24" s="13" t="s">
        <v>82</v>
      </c>
      <c r="B24" s="13" t="s">
        <v>83</v>
      </c>
      <c r="C24" s="14">
        <v>44970.506249999999</v>
      </c>
      <c r="D24" s="13" t="s">
        <v>84</v>
      </c>
      <c r="E24" s="15" t="s">
        <v>85</v>
      </c>
      <c r="F24" s="13" t="s">
        <v>86</v>
      </c>
      <c r="G24" s="15" t="s">
        <v>87</v>
      </c>
      <c r="H24" s="13" t="s">
        <v>88</v>
      </c>
      <c r="I24" s="15" t="s">
        <v>89</v>
      </c>
      <c r="J24" s="15" t="s">
        <v>90</v>
      </c>
      <c r="K24" s="15" t="s">
        <v>91</v>
      </c>
      <c r="L24" s="13" t="s">
        <v>105</v>
      </c>
      <c r="M24" s="15" t="s">
        <v>106</v>
      </c>
      <c r="N24" s="13" t="s">
        <v>107</v>
      </c>
      <c r="O24" s="15" t="s">
        <v>108</v>
      </c>
      <c r="P24" s="15" t="s">
        <v>109</v>
      </c>
      <c r="Q24" s="15" t="s">
        <v>178</v>
      </c>
      <c r="R24" s="13" t="s">
        <v>179</v>
      </c>
      <c r="S24" s="13" t="s">
        <v>122</v>
      </c>
      <c r="T24" s="13" t="s">
        <v>123</v>
      </c>
      <c r="U24" s="14">
        <v>43831</v>
      </c>
      <c r="V24" s="14"/>
      <c r="W24" s="15" t="s">
        <v>189</v>
      </c>
      <c r="X24" s="13" t="s">
        <v>174</v>
      </c>
      <c r="Y24" s="15" t="str">
        <f>VLOOKUP(X24,'Axe 2 Règles de gestion'!$D$2:$F$49,3, FALSE)</f>
        <v>Le militaire peut demander la réintégration dans son corps d'origine, laquelle est de droit, 3 mois avant l'expiration du congé.</v>
      </c>
      <c r="Z24" s="13" t="s">
        <v>176</v>
      </c>
      <c r="AA24" s="15" t="str">
        <f>VLOOKUP(Z24,'Axe 2 Règles de gestion'!$D$2:$F$49,3, FALSE)</f>
        <v>Le militaire qui a formulé avant l'expiration du congé une demande de réintégration est maintenu dans cette situation jusqu'à ce qu'il puisse être affecté dans un emploi correspondant à son grade.</v>
      </c>
      <c r="AB24" s="13"/>
      <c r="AC24" s="15"/>
      <c r="AD24" s="13"/>
      <c r="AE24" s="15"/>
      <c r="AF24" s="13"/>
      <c r="AG24" s="15"/>
      <c r="AH24" s="13"/>
      <c r="AI24" s="15"/>
      <c r="AJ24" s="13"/>
      <c r="AK24" s="15"/>
      <c r="AL24" s="13"/>
      <c r="AM24" s="15"/>
      <c r="AN24" s="13" t="s">
        <v>141</v>
      </c>
      <c r="AO24" s="15" t="str">
        <f>VLOOKUP(AN24,'Axe 2 Règles de gestion'!$D$2:$F$49,3, FALSE)</f>
        <v>La durée prévisionnelle du congé ne peut pas excéder 2 ans pour chaque période.</v>
      </c>
      <c r="AP24" s="13" t="s">
        <v>143</v>
      </c>
      <c r="AQ24" s="15" t="str">
        <f>VLOOKUP(AP24,'Axe 2 Règles de gestion'!$D$2:$F$49,3, FALSE)</f>
        <v>La durée réelle du congé ne peut pas excéder 2 ans pour chaque période.</v>
      </c>
      <c r="AR24" s="13" t="s">
        <v>145</v>
      </c>
      <c r="AS24" s="15" t="str">
        <f>VLOOKUP(AR24,'Axe 2 Règles de gestion'!$D$2:$F$49,3, FALSE)</f>
        <v>La durée cumulée de l'ensemble des congés pour convenances personnelles ne doit pas excéder 10 ans.</v>
      </c>
      <c r="AT24" s="13"/>
      <c r="AU24" s="15"/>
      <c r="AV24" s="13"/>
      <c r="AW24" s="15"/>
      <c r="AX24" s="13"/>
      <c r="AY24" s="15"/>
      <c r="AZ24" s="13"/>
      <c r="BA24" s="15"/>
      <c r="BB24" s="13" t="s">
        <v>151</v>
      </c>
      <c r="BC24" s="15" t="str">
        <f>VLOOKUP(BB24,'Axe 2 Règles de gestion'!$D$2:$F$49,3, FALSE)</f>
        <v>La date de début de position doit être antérieure ou égale à la date de fin prévisionnelle de position.</v>
      </c>
      <c r="BD24" s="13" t="s">
        <v>153</v>
      </c>
      <c r="BE24" s="15" t="str">
        <f>VLOOKUP(BD24,'Axe 2 Règles de gestion'!$D$2:$F$49,3, FALSE)</f>
        <v>La date de fin réelle de la position doit être antérieure à la date limite de départ à la retraite.</v>
      </c>
      <c r="BF24" s="13" t="s">
        <v>157</v>
      </c>
      <c r="BG24" s="15" t="str">
        <f>VLOOKUP(BF24,'Axe 2 Règles de gestion'!$D$2:$F$49,3, FALSE)</f>
        <v>La date de début de position doit être antérieure ou égale à la date de fin réelle de position.</v>
      </c>
      <c r="BH24" s="13" t="s">
        <v>159</v>
      </c>
      <c r="BI24" s="15" t="str">
        <f>VLOOKUP(BH24,'Axe 2 Règles de gestion'!$D$2:$F$49,3, FALSE)</f>
        <v>La date de fin prévisionnelle de la position doit être antérieure à la date limite de départ à la retraite.</v>
      </c>
      <c r="BJ24" s="13" t="s">
        <v>183</v>
      </c>
      <c r="BK24" s="15" t="str">
        <f>VLOOKUP(BJ24,'Axe 2 Règles de gestion'!$D$2:$F$49,3, FALSE)</f>
        <v>La date de fin réelle de la position doit être antérieure ou égale à la date de décès de l'enfant.</v>
      </c>
      <c r="BL24" s="13" t="s">
        <v>185</v>
      </c>
      <c r="BM24" s="15" t="str">
        <f>VLOOKUP(BL24,'Axe 2 Règles de gestion'!$D$2:$F$49,3, FALSE)</f>
        <v>La date de fin prévisionnelle de la position doit être antérieure ou égale à la date de décès de l'enfant.</v>
      </c>
      <c r="BN24" s="13" t="s">
        <v>163</v>
      </c>
      <c r="BO24" s="15" t="str">
        <f>VLOOKUP(BN24,'Axe 2 Règles de gestion'!$D$2:$F$49,3, FALSE)</f>
        <v>La date de fin ou la date de fin prévisionnelle doit être saisie.</v>
      </c>
      <c r="BP24" s="13" t="s">
        <v>165</v>
      </c>
      <c r="BQ24" s="15" t="str">
        <f>VLOOKUP(BP24,'Axe 2 Règles de gestion'!$D$2:$F$49,3, FALSE)</f>
        <v>La saisie d'une occurrence de congés/absences est interdite (date de fin réelle)</v>
      </c>
      <c r="BR24" s="13" t="s">
        <v>167</v>
      </c>
      <c r="BS24" s="15" t="str">
        <f>VLOOKUP(BR24,'Axe 2 Règles de gestion'!$D$2:$F$49,3, FALSE)</f>
        <v>La saisie d'une occurrence de congés/absences est interdite (date de fin prévisionnelle)</v>
      </c>
      <c r="BT24" s="13"/>
      <c r="BU24" s="15"/>
      <c r="BV24" s="13"/>
      <c r="BW24" s="15"/>
      <c r="BX24" s="13"/>
      <c r="BY24" s="15"/>
      <c r="BZ24" s="13"/>
      <c r="CA24" s="15"/>
      <c r="CB24" s="13"/>
      <c r="CC24" s="13"/>
    </row>
    <row r="25" spans="1:81" ht="72.5" x14ac:dyDescent="0.35">
      <c r="A25" s="13" t="s">
        <v>82</v>
      </c>
      <c r="B25" s="13" t="s">
        <v>83</v>
      </c>
      <c r="C25" s="14">
        <v>44970.494444444441</v>
      </c>
      <c r="D25" s="13" t="s">
        <v>84</v>
      </c>
      <c r="E25" s="15" t="s">
        <v>85</v>
      </c>
      <c r="F25" s="13" t="s">
        <v>86</v>
      </c>
      <c r="G25" s="15" t="s">
        <v>87</v>
      </c>
      <c r="H25" s="13" t="s">
        <v>190</v>
      </c>
      <c r="I25" s="15" t="s">
        <v>191</v>
      </c>
      <c r="J25" s="15" t="s">
        <v>192</v>
      </c>
      <c r="K25" s="15" t="s">
        <v>193</v>
      </c>
      <c r="L25" s="13" t="s">
        <v>194</v>
      </c>
      <c r="M25" s="15" t="s">
        <v>195</v>
      </c>
      <c r="N25" s="13" t="s">
        <v>94</v>
      </c>
      <c r="O25" s="15" t="s">
        <v>95</v>
      </c>
      <c r="P25" s="15" t="s">
        <v>96</v>
      </c>
      <c r="Q25" s="15" t="s">
        <v>97</v>
      </c>
      <c r="R25" s="13" t="s">
        <v>98</v>
      </c>
      <c r="S25" s="13" t="s">
        <v>99</v>
      </c>
      <c r="T25" s="13" t="s">
        <v>100</v>
      </c>
      <c r="U25" s="14">
        <v>43831</v>
      </c>
      <c r="V25" s="14"/>
      <c r="W25" s="15"/>
      <c r="X25" s="13"/>
      <c r="Y25" s="15"/>
      <c r="Z25" s="13"/>
      <c r="AA25" s="15"/>
      <c r="AB25" s="13"/>
      <c r="AC25" s="15"/>
      <c r="AD25" s="13"/>
      <c r="AE25" s="15"/>
      <c r="AF25" s="13"/>
      <c r="AG25" s="15"/>
      <c r="AH25" s="13"/>
      <c r="AI25" s="15"/>
      <c r="AJ25" s="13"/>
      <c r="AK25" s="15"/>
      <c r="AL25" s="13"/>
      <c r="AM25" s="15"/>
      <c r="AN25" s="13"/>
      <c r="AO25" s="15"/>
      <c r="AP25" s="13"/>
      <c r="AQ25" s="15"/>
      <c r="AR25" s="13"/>
      <c r="AS25" s="15"/>
      <c r="AT25" s="13"/>
      <c r="AU25" s="15"/>
      <c r="AV25" s="13"/>
      <c r="AW25" s="15"/>
      <c r="AX25" s="13"/>
      <c r="AY25" s="15"/>
      <c r="AZ25" s="13"/>
      <c r="BA25" s="15"/>
      <c r="BB25" s="13"/>
      <c r="BC25" s="15"/>
      <c r="BD25" s="13"/>
      <c r="BE25" s="15"/>
      <c r="BF25" s="13"/>
      <c r="BG25" s="15"/>
      <c r="BH25" s="13"/>
      <c r="BI25" s="15"/>
      <c r="BJ25" s="13"/>
      <c r="BK25" s="15"/>
      <c r="BL25" s="13"/>
      <c r="BM25" s="15"/>
      <c r="BN25" s="13"/>
      <c r="BO25" s="15"/>
      <c r="BP25" s="13"/>
      <c r="BQ25" s="15"/>
      <c r="BR25" s="13"/>
      <c r="BS25" s="15"/>
      <c r="BT25" s="13"/>
      <c r="BU25" s="15"/>
      <c r="BV25" s="13"/>
      <c r="BW25" s="15"/>
      <c r="BX25" s="13"/>
      <c r="BY25" s="15"/>
      <c r="BZ25" s="13"/>
      <c r="CA25" s="15"/>
      <c r="CB25" s="13"/>
      <c r="CC25" s="13"/>
    </row>
    <row r="26" spans="1:81" ht="72.5" x14ac:dyDescent="0.35">
      <c r="A26" s="13" t="s">
        <v>82</v>
      </c>
      <c r="B26" s="13" t="s">
        <v>83</v>
      </c>
      <c r="C26" s="14">
        <v>44970.5</v>
      </c>
      <c r="D26" s="13" t="s">
        <v>84</v>
      </c>
      <c r="E26" s="15" t="s">
        <v>85</v>
      </c>
      <c r="F26" s="13" t="s">
        <v>86</v>
      </c>
      <c r="G26" s="15" t="s">
        <v>87</v>
      </c>
      <c r="H26" s="13" t="s">
        <v>190</v>
      </c>
      <c r="I26" s="15" t="s">
        <v>191</v>
      </c>
      <c r="J26" s="15" t="s">
        <v>192</v>
      </c>
      <c r="K26" s="15" t="s">
        <v>193</v>
      </c>
      <c r="L26" s="13" t="s">
        <v>196</v>
      </c>
      <c r="M26" s="15" t="s">
        <v>197</v>
      </c>
      <c r="N26" s="13" t="s">
        <v>94</v>
      </c>
      <c r="O26" s="15" t="s">
        <v>103</v>
      </c>
      <c r="P26" s="15" t="s">
        <v>104</v>
      </c>
      <c r="Q26" s="15" t="s">
        <v>97</v>
      </c>
      <c r="R26" s="13" t="s">
        <v>98</v>
      </c>
      <c r="S26" s="13" t="s">
        <v>99</v>
      </c>
      <c r="T26" s="13" t="s">
        <v>100</v>
      </c>
      <c r="U26" s="14">
        <v>43831</v>
      </c>
      <c r="V26" s="14"/>
      <c r="W26" s="15"/>
      <c r="X26" s="13"/>
      <c r="Y26" s="15"/>
      <c r="Z26" s="13"/>
      <c r="AA26" s="15"/>
      <c r="AB26" s="13"/>
      <c r="AC26" s="15"/>
      <c r="AD26" s="13"/>
      <c r="AE26" s="15"/>
      <c r="AF26" s="13"/>
      <c r="AG26" s="15"/>
      <c r="AH26" s="13"/>
      <c r="AI26" s="15"/>
      <c r="AJ26" s="13"/>
      <c r="AK26" s="15"/>
      <c r="AL26" s="13"/>
      <c r="AM26" s="15"/>
      <c r="AN26" s="13"/>
      <c r="AO26" s="15"/>
      <c r="AP26" s="13"/>
      <c r="AQ26" s="15"/>
      <c r="AR26" s="13"/>
      <c r="AS26" s="15"/>
      <c r="AT26" s="13"/>
      <c r="AU26" s="15"/>
      <c r="AV26" s="13"/>
      <c r="AW26" s="15"/>
      <c r="AX26" s="13"/>
      <c r="AY26" s="15"/>
      <c r="AZ26" s="13"/>
      <c r="BA26" s="15"/>
      <c r="BB26" s="13"/>
      <c r="BC26" s="15"/>
      <c r="BD26" s="13"/>
      <c r="BE26" s="15"/>
      <c r="BF26" s="13"/>
      <c r="BG26" s="15"/>
      <c r="BH26" s="13"/>
      <c r="BI26" s="15"/>
      <c r="BJ26" s="13"/>
      <c r="BK26" s="15"/>
      <c r="BL26" s="13"/>
      <c r="BM26" s="15"/>
      <c r="BN26" s="13"/>
      <c r="BO26" s="15"/>
      <c r="BP26" s="13"/>
      <c r="BQ26" s="15"/>
      <c r="BR26" s="13"/>
      <c r="BS26" s="15"/>
      <c r="BT26" s="13"/>
      <c r="BU26" s="15"/>
      <c r="BV26" s="13"/>
      <c r="BW26" s="15"/>
      <c r="BX26" s="13"/>
      <c r="BY26" s="15"/>
      <c r="BZ26" s="13"/>
      <c r="CA26" s="15"/>
      <c r="CB26" s="13"/>
      <c r="CC26" s="13"/>
    </row>
    <row r="27" spans="1:81" ht="58" x14ac:dyDescent="0.35">
      <c r="A27" s="13" t="s">
        <v>82</v>
      </c>
      <c r="B27" s="13" t="s">
        <v>83</v>
      </c>
      <c r="C27" s="14">
        <v>44970.495833333334</v>
      </c>
      <c r="D27" s="13" t="s">
        <v>84</v>
      </c>
      <c r="E27" s="15" t="s">
        <v>85</v>
      </c>
      <c r="F27" s="13" t="s">
        <v>86</v>
      </c>
      <c r="G27" s="15" t="s">
        <v>87</v>
      </c>
      <c r="H27" s="13" t="s">
        <v>190</v>
      </c>
      <c r="I27" s="15" t="s">
        <v>191</v>
      </c>
      <c r="J27" s="15" t="s">
        <v>192</v>
      </c>
      <c r="K27" s="15" t="s">
        <v>193</v>
      </c>
      <c r="L27" s="13" t="s">
        <v>198</v>
      </c>
      <c r="M27" s="15" t="s">
        <v>199</v>
      </c>
      <c r="N27" s="13" t="s">
        <v>107</v>
      </c>
      <c r="O27" s="15" t="s">
        <v>108</v>
      </c>
      <c r="P27" s="15" t="s">
        <v>109</v>
      </c>
      <c r="Q27" s="15" t="s">
        <v>97</v>
      </c>
      <c r="R27" s="13" t="s">
        <v>98</v>
      </c>
      <c r="S27" s="13" t="s">
        <v>99</v>
      </c>
      <c r="T27" s="13" t="s">
        <v>100</v>
      </c>
      <c r="U27" s="14">
        <v>43831</v>
      </c>
      <c r="V27" s="14"/>
      <c r="W27" s="15"/>
      <c r="X27" s="13"/>
      <c r="Y27" s="15"/>
      <c r="Z27" s="13"/>
      <c r="AA27" s="15"/>
      <c r="AB27" s="13"/>
      <c r="AC27" s="15"/>
      <c r="AD27" s="13"/>
      <c r="AE27" s="15"/>
      <c r="AF27" s="13"/>
      <c r="AG27" s="15"/>
      <c r="AH27" s="13"/>
      <c r="AI27" s="15"/>
      <c r="AJ27" s="13"/>
      <c r="AK27" s="15"/>
      <c r="AL27" s="13"/>
      <c r="AM27" s="15"/>
      <c r="AN27" s="13"/>
      <c r="AO27" s="15"/>
      <c r="AP27" s="13"/>
      <c r="AQ27" s="15"/>
      <c r="AR27" s="13"/>
      <c r="AS27" s="15"/>
      <c r="AT27" s="13"/>
      <c r="AU27" s="15"/>
      <c r="AV27" s="13"/>
      <c r="AW27" s="15"/>
      <c r="AX27" s="13"/>
      <c r="AY27" s="15"/>
      <c r="AZ27" s="13"/>
      <c r="BA27" s="15"/>
      <c r="BB27" s="13"/>
      <c r="BC27" s="15"/>
      <c r="BD27" s="13"/>
      <c r="BE27" s="15"/>
      <c r="BF27" s="13"/>
      <c r="BG27" s="15"/>
      <c r="BH27" s="13"/>
      <c r="BI27" s="15"/>
      <c r="BJ27" s="13"/>
      <c r="BK27" s="15"/>
      <c r="BL27" s="13"/>
      <c r="BM27" s="15"/>
      <c r="BN27" s="13"/>
      <c r="BO27" s="15"/>
      <c r="BP27" s="13"/>
      <c r="BQ27" s="15"/>
      <c r="BR27" s="13"/>
      <c r="BS27" s="15"/>
      <c r="BT27" s="13"/>
      <c r="BU27" s="15"/>
      <c r="BV27" s="13"/>
      <c r="BW27" s="15"/>
      <c r="BX27" s="13"/>
      <c r="BY27" s="15"/>
      <c r="BZ27" s="13"/>
      <c r="CA27" s="15"/>
      <c r="CB27" s="13"/>
      <c r="CC27" s="13"/>
    </row>
    <row r="28" spans="1:81" ht="72.5" x14ac:dyDescent="0.35">
      <c r="A28" s="13" t="s">
        <v>82</v>
      </c>
      <c r="B28" s="13" t="s">
        <v>83</v>
      </c>
      <c r="C28" s="14">
        <v>44970.495138888888</v>
      </c>
      <c r="D28" s="13" t="s">
        <v>84</v>
      </c>
      <c r="E28" s="15" t="s">
        <v>85</v>
      </c>
      <c r="F28" s="13" t="s">
        <v>86</v>
      </c>
      <c r="G28" s="15" t="s">
        <v>87</v>
      </c>
      <c r="H28" s="13" t="s">
        <v>190</v>
      </c>
      <c r="I28" s="15" t="s">
        <v>191</v>
      </c>
      <c r="J28" s="15" t="s">
        <v>192</v>
      </c>
      <c r="K28" s="15" t="s">
        <v>193</v>
      </c>
      <c r="L28" s="13" t="s">
        <v>194</v>
      </c>
      <c r="M28" s="15" t="s">
        <v>195</v>
      </c>
      <c r="N28" s="13" t="s">
        <v>94</v>
      </c>
      <c r="O28" s="15" t="s">
        <v>95</v>
      </c>
      <c r="P28" s="15" t="s">
        <v>96</v>
      </c>
      <c r="Q28" s="15" t="s">
        <v>110</v>
      </c>
      <c r="R28" s="13" t="s">
        <v>111</v>
      </c>
      <c r="S28" s="13" t="s">
        <v>99</v>
      </c>
      <c r="T28" s="13" t="s">
        <v>100</v>
      </c>
      <c r="U28" s="14">
        <v>43831</v>
      </c>
      <c r="V28" s="14"/>
      <c r="W28" s="15"/>
      <c r="X28" s="13"/>
      <c r="Y28" s="15"/>
      <c r="Z28" s="13"/>
      <c r="AA28" s="15"/>
      <c r="AB28" s="13"/>
      <c r="AC28" s="15"/>
      <c r="AD28" s="13"/>
      <c r="AE28" s="15"/>
      <c r="AF28" s="13"/>
      <c r="AG28" s="15"/>
      <c r="AH28" s="13"/>
      <c r="AI28" s="15"/>
      <c r="AJ28" s="13"/>
      <c r="AK28" s="15"/>
      <c r="AL28" s="13"/>
      <c r="AM28" s="15"/>
      <c r="AN28" s="13"/>
      <c r="AO28" s="15"/>
      <c r="AP28" s="13"/>
      <c r="AQ28" s="15"/>
      <c r="AR28" s="13"/>
      <c r="AS28" s="15"/>
      <c r="AT28" s="13"/>
      <c r="AU28" s="15"/>
      <c r="AV28" s="13"/>
      <c r="AW28" s="15"/>
      <c r="AX28" s="13"/>
      <c r="AY28" s="15"/>
      <c r="AZ28" s="13"/>
      <c r="BA28" s="15"/>
      <c r="BB28" s="13"/>
      <c r="BC28" s="15"/>
      <c r="BD28" s="13"/>
      <c r="BE28" s="15"/>
      <c r="BF28" s="13"/>
      <c r="BG28" s="15"/>
      <c r="BH28" s="13"/>
      <c r="BI28" s="15"/>
      <c r="BJ28" s="13"/>
      <c r="BK28" s="15"/>
      <c r="BL28" s="13"/>
      <c r="BM28" s="15"/>
      <c r="BN28" s="13"/>
      <c r="BO28" s="15"/>
      <c r="BP28" s="13"/>
      <c r="BQ28" s="15"/>
      <c r="BR28" s="13"/>
      <c r="BS28" s="15"/>
      <c r="BT28" s="13"/>
      <c r="BU28" s="15"/>
      <c r="BV28" s="13"/>
      <c r="BW28" s="15"/>
      <c r="BX28" s="13"/>
      <c r="BY28" s="15"/>
      <c r="BZ28" s="13"/>
      <c r="CA28" s="15"/>
      <c r="CB28" s="13"/>
      <c r="CC28" s="13"/>
    </row>
    <row r="29" spans="1:81" ht="72.5" x14ac:dyDescent="0.35">
      <c r="A29" s="13" t="s">
        <v>82</v>
      </c>
      <c r="B29" s="13" t="s">
        <v>83</v>
      </c>
      <c r="C29" s="14">
        <v>44970.498611111114</v>
      </c>
      <c r="D29" s="13" t="s">
        <v>84</v>
      </c>
      <c r="E29" s="15" t="s">
        <v>85</v>
      </c>
      <c r="F29" s="13" t="s">
        <v>86</v>
      </c>
      <c r="G29" s="15" t="s">
        <v>87</v>
      </c>
      <c r="H29" s="13" t="s">
        <v>190</v>
      </c>
      <c r="I29" s="15" t="s">
        <v>191</v>
      </c>
      <c r="J29" s="15" t="s">
        <v>192</v>
      </c>
      <c r="K29" s="15" t="s">
        <v>193</v>
      </c>
      <c r="L29" s="13" t="s">
        <v>196</v>
      </c>
      <c r="M29" s="15" t="s">
        <v>197</v>
      </c>
      <c r="N29" s="13" t="s">
        <v>94</v>
      </c>
      <c r="O29" s="15" t="s">
        <v>103</v>
      </c>
      <c r="P29" s="15" t="s">
        <v>104</v>
      </c>
      <c r="Q29" s="15" t="s">
        <v>110</v>
      </c>
      <c r="R29" s="13" t="s">
        <v>111</v>
      </c>
      <c r="S29" s="13" t="s">
        <v>99</v>
      </c>
      <c r="T29" s="13" t="s">
        <v>100</v>
      </c>
      <c r="U29" s="14">
        <v>43831</v>
      </c>
      <c r="V29" s="14"/>
      <c r="W29" s="15"/>
      <c r="X29" s="13"/>
      <c r="Y29" s="15"/>
      <c r="Z29" s="13"/>
      <c r="AA29" s="15"/>
      <c r="AB29" s="13"/>
      <c r="AC29" s="15"/>
      <c r="AD29" s="13"/>
      <c r="AE29" s="15"/>
      <c r="AF29" s="13"/>
      <c r="AG29" s="15"/>
      <c r="AH29" s="13"/>
      <c r="AI29" s="15"/>
      <c r="AJ29" s="13"/>
      <c r="AK29" s="15"/>
      <c r="AL29" s="13"/>
      <c r="AM29" s="15"/>
      <c r="AN29" s="13"/>
      <c r="AO29" s="15"/>
      <c r="AP29" s="13"/>
      <c r="AQ29" s="15"/>
      <c r="AR29" s="13"/>
      <c r="AS29" s="15"/>
      <c r="AT29" s="13"/>
      <c r="AU29" s="15"/>
      <c r="AV29" s="13"/>
      <c r="AW29" s="15"/>
      <c r="AX29" s="13"/>
      <c r="AY29" s="15"/>
      <c r="AZ29" s="13"/>
      <c r="BA29" s="15"/>
      <c r="BB29" s="13"/>
      <c r="BC29" s="15"/>
      <c r="BD29" s="13"/>
      <c r="BE29" s="15"/>
      <c r="BF29" s="13"/>
      <c r="BG29" s="15"/>
      <c r="BH29" s="13"/>
      <c r="BI29" s="15"/>
      <c r="BJ29" s="13"/>
      <c r="BK29" s="15"/>
      <c r="BL29" s="13"/>
      <c r="BM29" s="15"/>
      <c r="BN29" s="13"/>
      <c r="BO29" s="15"/>
      <c r="BP29" s="13"/>
      <c r="BQ29" s="15"/>
      <c r="BR29" s="13"/>
      <c r="BS29" s="15"/>
      <c r="BT29" s="13"/>
      <c r="BU29" s="15"/>
      <c r="BV29" s="13"/>
      <c r="BW29" s="15"/>
      <c r="BX29" s="13"/>
      <c r="BY29" s="15"/>
      <c r="BZ29" s="13"/>
      <c r="CA29" s="15"/>
      <c r="CB29" s="13"/>
      <c r="CC29" s="13"/>
    </row>
    <row r="30" spans="1:81" ht="58" x14ac:dyDescent="0.35">
      <c r="A30" s="13" t="s">
        <v>82</v>
      </c>
      <c r="B30" s="13" t="s">
        <v>83</v>
      </c>
      <c r="C30" s="14">
        <v>44970.495833333334</v>
      </c>
      <c r="D30" s="13" t="s">
        <v>84</v>
      </c>
      <c r="E30" s="15" t="s">
        <v>85</v>
      </c>
      <c r="F30" s="13" t="s">
        <v>86</v>
      </c>
      <c r="G30" s="15" t="s">
        <v>87</v>
      </c>
      <c r="H30" s="13" t="s">
        <v>190</v>
      </c>
      <c r="I30" s="15" t="s">
        <v>191</v>
      </c>
      <c r="J30" s="15" t="s">
        <v>192</v>
      </c>
      <c r="K30" s="15" t="s">
        <v>193</v>
      </c>
      <c r="L30" s="13" t="s">
        <v>198</v>
      </c>
      <c r="M30" s="15" t="s">
        <v>199</v>
      </c>
      <c r="N30" s="13" t="s">
        <v>107</v>
      </c>
      <c r="O30" s="15" t="s">
        <v>108</v>
      </c>
      <c r="P30" s="15" t="s">
        <v>109</v>
      </c>
      <c r="Q30" s="15" t="s">
        <v>110</v>
      </c>
      <c r="R30" s="13" t="s">
        <v>111</v>
      </c>
      <c r="S30" s="13" t="s">
        <v>99</v>
      </c>
      <c r="T30" s="13" t="s">
        <v>100</v>
      </c>
      <c r="U30" s="14">
        <v>43831</v>
      </c>
      <c r="V30" s="14"/>
      <c r="W30" s="15"/>
      <c r="X30" s="13"/>
      <c r="Y30" s="15"/>
      <c r="Z30" s="13"/>
      <c r="AA30" s="15"/>
      <c r="AB30" s="13"/>
      <c r="AC30" s="15"/>
      <c r="AD30" s="13"/>
      <c r="AE30" s="15"/>
      <c r="AF30" s="13"/>
      <c r="AG30" s="15"/>
      <c r="AH30" s="13"/>
      <c r="AI30" s="15"/>
      <c r="AJ30" s="13"/>
      <c r="AK30" s="15"/>
      <c r="AL30" s="13"/>
      <c r="AM30" s="15"/>
      <c r="AN30" s="13"/>
      <c r="AO30" s="15"/>
      <c r="AP30" s="13"/>
      <c r="AQ30" s="15"/>
      <c r="AR30" s="13"/>
      <c r="AS30" s="15"/>
      <c r="AT30" s="13"/>
      <c r="AU30" s="15"/>
      <c r="AV30" s="13"/>
      <c r="AW30" s="15"/>
      <c r="AX30" s="13"/>
      <c r="AY30" s="15"/>
      <c r="AZ30" s="13"/>
      <c r="BA30" s="15"/>
      <c r="BB30" s="13"/>
      <c r="BC30" s="15"/>
      <c r="BD30" s="13"/>
      <c r="BE30" s="15"/>
      <c r="BF30" s="13"/>
      <c r="BG30" s="15"/>
      <c r="BH30" s="13"/>
      <c r="BI30" s="15"/>
      <c r="BJ30" s="13"/>
      <c r="BK30" s="15"/>
      <c r="BL30" s="13"/>
      <c r="BM30" s="15"/>
      <c r="BN30" s="13"/>
      <c r="BO30" s="15"/>
      <c r="BP30" s="13"/>
      <c r="BQ30" s="15"/>
      <c r="BR30" s="13"/>
      <c r="BS30" s="15"/>
      <c r="BT30" s="13"/>
      <c r="BU30" s="15"/>
      <c r="BV30" s="13"/>
      <c r="BW30" s="15"/>
      <c r="BX30" s="13"/>
      <c r="BY30" s="15"/>
      <c r="BZ30" s="13"/>
      <c r="CA30" s="15"/>
      <c r="CB30" s="13"/>
      <c r="CC30" s="13"/>
    </row>
    <row r="31" spans="1:81" ht="72.5" x14ac:dyDescent="0.35">
      <c r="A31" s="13" t="s">
        <v>82</v>
      </c>
      <c r="B31" s="13" t="s">
        <v>83</v>
      </c>
      <c r="C31" s="14">
        <v>44970.495138888888</v>
      </c>
      <c r="D31" s="13" t="s">
        <v>84</v>
      </c>
      <c r="E31" s="15" t="s">
        <v>85</v>
      </c>
      <c r="F31" s="13" t="s">
        <v>86</v>
      </c>
      <c r="G31" s="15" t="s">
        <v>87</v>
      </c>
      <c r="H31" s="13" t="s">
        <v>190</v>
      </c>
      <c r="I31" s="15" t="s">
        <v>191</v>
      </c>
      <c r="J31" s="15" t="s">
        <v>192</v>
      </c>
      <c r="K31" s="15" t="s">
        <v>193</v>
      </c>
      <c r="L31" s="13" t="s">
        <v>194</v>
      </c>
      <c r="M31" s="15" t="s">
        <v>195</v>
      </c>
      <c r="N31" s="13" t="s">
        <v>94</v>
      </c>
      <c r="O31" s="15" t="s">
        <v>95</v>
      </c>
      <c r="P31" s="15" t="s">
        <v>96</v>
      </c>
      <c r="Q31" s="15" t="s">
        <v>112</v>
      </c>
      <c r="R31" s="13" t="s">
        <v>113</v>
      </c>
      <c r="S31" s="13" t="s">
        <v>99</v>
      </c>
      <c r="T31" s="13" t="s">
        <v>100</v>
      </c>
      <c r="U31" s="14">
        <v>43831</v>
      </c>
      <c r="V31" s="14"/>
      <c r="W31" s="15"/>
      <c r="X31" s="13"/>
      <c r="Y31" s="15"/>
      <c r="Z31" s="13"/>
      <c r="AA31" s="15"/>
      <c r="AB31" s="13"/>
      <c r="AC31" s="15"/>
      <c r="AD31" s="13"/>
      <c r="AE31" s="15"/>
      <c r="AF31" s="13"/>
      <c r="AG31" s="15"/>
      <c r="AH31" s="13"/>
      <c r="AI31" s="15"/>
      <c r="AJ31" s="13"/>
      <c r="AK31" s="15"/>
      <c r="AL31" s="13"/>
      <c r="AM31" s="15"/>
      <c r="AN31" s="13"/>
      <c r="AO31" s="15"/>
      <c r="AP31" s="13"/>
      <c r="AQ31" s="15"/>
      <c r="AR31" s="13"/>
      <c r="AS31" s="15"/>
      <c r="AT31" s="13"/>
      <c r="AU31" s="15"/>
      <c r="AV31" s="13"/>
      <c r="AW31" s="15"/>
      <c r="AX31" s="13"/>
      <c r="AY31" s="15"/>
      <c r="AZ31" s="13"/>
      <c r="BA31" s="15"/>
      <c r="BB31" s="13"/>
      <c r="BC31" s="15"/>
      <c r="BD31" s="13"/>
      <c r="BE31" s="15"/>
      <c r="BF31" s="13"/>
      <c r="BG31" s="15"/>
      <c r="BH31" s="13"/>
      <c r="BI31" s="15"/>
      <c r="BJ31" s="13"/>
      <c r="BK31" s="15"/>
      <c r="BL31" s="13"/>
      <c r="BM31" s="15"/>
      <c r="BN31" s="13"/>
      <c r="BO31" s="15"/>
      <c r="BP31" s="13"/>
      <c r="BQ31" s="15"/>
      <c r="BR31" s="13"/>
      <c r="BS31" s="15"/>
      <c r="BT31" s="13"/>
      <c r="BU31" s="15"/>
      <c r="BV31" s="13"/>
      <c r="BW31" s="15"/>
      <c r="BX31" s="13"/>
      <c r="BY31" s="15"/>
      <c r="BZ31" s="13"/>
      <c r="CA31" s="15"/>
      <c r="CB31" s="13"/>
      <c r="CC31" s="13"/>
    </row>
    <row r="32" spans="1:81" ht="72.5" x14ac:dyDescent="0.35">
      <c r="A32" s="13" t="s">
        <v>82</v>
      </c>
      <c r="B32" s="13" t="s">
        <v>83</v>
      </c>
      <c r="C32" s="14">
        <v>44970.499305555553</v>
      </c>
      <c r="D32" s="13" t="s">
        <v>84</v>
      </c>
      <c r="E32" s="15" t="s">
        <v>85</v>
      </c>
      <c r="F32" s="13" t="s">
        <v>86</v>
      </c>
      <c r="G32" s="15" t="s">
        <v>87</v>
      </c>
      <c r="H32" s="13" t="s">
        <v>190</v>
      </c>
      <c r="I32" s="15" t="s">
        <v>191</v>
      </c>
      <c r="J32" s="15" t="s">
        <v>192</v>
      </c>
      <c r="K32" s="15" t="s">
        <v>193</v>
      </c>
      <c r="L32" s="13" t="s">
        <v>196</v>
      </c>
      <c r="M32" s="15" t="s">
        <v>197</v>
      </c>
      <c r="N32" s="13" t="s">
        <v>94</v>
      </c>
      <c r="O32" s="15" t="s">
        <v>103</v>
      </c>
      <c r="P32" s="15" t="s">
        <v>104</v>
      </c>
      <c r="Q32" s="15" t="s">
        <v>112</v>
      </c>
      <c r="R32" s="13" t="s">
        <v>113</v>
      </c>
      <c r="S32" s="13" t="s">
        <v>99</v>
      </c>
      <c r="T32" s="13" t="s">
        <v>100</v>
      </c>
      <c r="U32" s="14">
        <v>43831</v>
      </c>
      <c r="V32" s="14"/>
      <c r="W32" s="15"/>
      <c r="X32" s="13"/>
      <c r="Y32" s="15"/>
      <c r="Z32" s="13"/>
      <c r="AA32" s="15"/>
      <c r="AB32" s="13"/>
      <c r="AC32" s="15"/>
      <c r="AD32" s="13"/>
      <c r="AE32" s="15"/>
      <c r="AF32" s="13"/>
      <c r="AG32" s="15"/>
      <c r="AH32" s="13"/>
      <c r="AI32" s="15"/>
      <c r="AJ32" s="13"/>
      <c r="AK32" s="15"/>
      <c r="AL32" s="13"/>
      <c r="AM32" s="15"/>
      <c r="AN32" s="13"/>
      <c r="AO32" s="15"/>
      <c r="AP32" s="13"/>
      <c r="AQ32" s="15"/>
      <c r="AR32" s="13"/>
      <c r="AS32" s="15"/>
      <c r="AT32" s="13"/>
      <c r="AU32" s="15"/>
      <c r="AV32" s="13"/>
      <c r="AW32" s="15"/>
      <c r="AX32" s="13"/>
      <c r="AY32" s="15"/>
      <c r="AZ32" s="13"/>
      <c r="BA32" s="15"/>
      <c r="BB32" s="13"/>
      <c r="BC32" s="15"/>
      <c r="BD32" s="13"/>
      <c r="BE32" s="15"/>
      <c r="BF32" s="13"/>
      <c r="BG32" s="15"/>
      <c r="BH32" s="13"/>
      <c r="BI32" s="15"/>
      <c r="BJ32" s="13"/>
      <c r="BK32" s="15"/>
      <c r="BL32" s="13"/>
      <c r="BM32" s="15"/>
      <c r="BN32" s="13"/>
      <c r="BO32" s="15"/>
      <c r="BP32" s="13"/>
      <c r="BQ32" s="15"/>
      <c r="BR32" s="13"/>
      <c r="BS32" s="15"/>
      <c r="BT32" s="13"/>
      <c r="BU32" s="15"/>
      <c r="BV32" s="13"/>
      <c r="BW32" s="15"/>
      <c r="BX32" s="13"/>
      <c r="BY32" s="15"/>
      <c r="BZ32" s="13"/>
      <c r="CA32" s="15"/>
      <c r="CB32" s="13"/>
      <c r="CC32" s="13"/>
    </row>
    <row r="33" spans="1:81" ht="58" x14ac:dyDescent="0.35">
      <c r="A33" s="13" t="s">
        <v>82</v>
      </c>
      <c r="B33" s="13" t="s">
        <v>83</v>
      </c>
      <c r="C33" s="14">
        <v>44970.495833333334</v>
      </c>
      <c r="D33" s="13" t="s">
        <v>84</v>
      </c>
      <c r="E33" s="15" t="s">
        <v>85</v>
      </c>
      <c r="F33" s="13" t="s">
        <v>86</v>
      </c>
      <c r="G33" s="15" t="s">
        <v>87</v>
      </c>
      <c r="H33" s="13" t="s">
        <v>190</v>
      </c>
      <c r="I33" s="15" t="s">
        <v>191</v>
      </c>
      <c r="J33" s="15" t="s">
        <v>192</v>
      </c>
      <c r="K33" s="15" t="s">
        <v>193</v>
      </c>
      <c r="L33" s="13" t="s">
        <v>198</v>
      </c>
      <c r="M33" s="15" t="s">
        <v>199</v>
      </c>
      <c r="N33" s="13" t="s">
        <v>107</v>
      </c>
      <c r="O33" s="15" t="s">
        <v>108</v>
      </c>
      <c r="P33" s="15" t="s">
        <v>109</v>
      </c>
      <c r="Q33" s="15" t="s">
        <v>112</v>
      </c>
      <c r="R33" s="13" t="s">
        <v>113</v>
      </c>
      <c r="S33" s="13" t="s">
        <v>99</v>
      </c>
      <c r="T33" s="13" t="s">
        <v>100</v>
      </c>
      <c r="U33" s="14">
        <v>43831</v>
      </c>
      <c r="V33" s="14"/>
      <c r="W33" s="15"/>
      <c r="X33" s="13"/>
      <c r="Y33" s="15"/>
      <c r="Z33" s="13"/>
      <c r="AA33" s="15"/>
      <c r="AB33" s="13"/>
      <c r="AC33" s="15"/>
      <c r="AD33" s="13"/>
      <c r="AE33" s="15"/>
      <c r="AF33" s="13"/>
      <c r="AG33" s="15"/>
      <c r="AH33" s="13"/>
      <c r="AI33" s="15"/>
      <c r="AJ33" s="13"/>
      <c r="AK33" s="15"/>
      <c r="AL33" s="13"/>
      <c r="AM33" s="15"/>
      <c r="AN33" s="13"/>
      <c r="AO33" s="15"/>
      <c r="AP33" s="13"/>
      <c r="AQ33" s="15"/>
      <c r="AR33" s="13"/>
      <c r="AS33" s="15"/>
      <c r="AT33" s="13"/>
      <c r="AU33" s="15"/>
      <c r="AV33" s="13"/>
      <c r="AW33" s="15"/>
      <c r="AX33" s="13"/>
      <c r="AY33" s="15"/>
      <c r="AZ33" s="13"/>
      <c r="BA33" s="15"/>
      <c r="BB33" s="13"/>
      <c r="BC33" s="15"/>
      <c r="BD33" s="13"/>
      <c r="BE33" s="15"/>
      <c r="BF33" s="13"/>
      <c r="BG33" s="15"/>
      <c r="BH33" s="13"/>
      <c r="BI33" s="15"/>
      <c r="BJ33" s="13"/>
      <c r="BK33" s="15"/>
      <c r="BL33" s="13"/>
      <c r="BM33" s="15"/>
      <c r="BN33" s="13"/>
      <c r="BO33" s="15"/>
      <c r="BP33" s="13"/>
      <c r="BQ33" s="15"/>
      <c r="BR33" s="13"/>
      <c r="BS33" s="15"/>
      <c r="BT33" s="13"/>
      <c r="BU33" s="15"/>
      <c r="BV33" s="13"/>
      <c r="BW33" s="15"/>
      <c r="BX33" s="13"/>
      <c r="BY33" s="15"/>
      <c r="BZ33" s="13"/>
      <c r="CA33" s="15"/>
      <c r="CB33" s="13"/>
      <c r="CC33" s="13"/>
    </row>
    <row r="34" spans="1:81" ht="72.5" x14ac:dyDescent="0.35">
      <c r="A34" s="13" t="s">
        <v>82</v>
      </c>
      <c r="B34" s="13" t="s">
        <v>83</v>
      </c>
      <c r="C34" s="14">
        <v>44970.495138888888</v>
      </c>
      <c r="D34" s="13" t="s">
        <v>84</v>
      </c>
      <c r="E34" s="15" t="s">
        <v>85</v>
      </c>
      <c r="F34" s="13" t="s">
        <v>86</v>
      </c>
      <c r="G34" s="15" t="s">
        <v>87</v>
      </c>
      <c r="H34" s="13" t="s">
        <v>190</v>
      </c>
      <c r="I34" s="15" t="s">
        <v>191</v>
      </c>
      <c r="J34" s="15" t="s">
        <v>192</v>
      </c>
      <c r="K34" s="15" t="s">
        <v>193</v>
      </c>
      <c r="L34" s="13" t="s">
        <v>194</v>
      </c>
      <c r="M34" s="15" t="s">
        <v>195</v>
      </c>
      <c r="N34" s="13" t="s">
        <v>94</v>
      </c>
      <c r="O34" s="15" t="s">
        <v>95</v>
      </c>
      <c r="P34" s="15" t="s">
        <v>96</v>
      </c>
      <c r="Q34" s="15" t="s">
        <v>114</v>
      </c>
      <c r="R34" s="13" t="s">
        <v>115</v>
      </c>
      <c r="S34" s="13" t="s">
        <v>99</v>
      </c>
      <c r="T34" s="13" t="s">
        <v>100</v>
      </c>
      <c r="U34" s="14">
        <v>43831</v>
      </c>
      <c r="V34" s="14"/>
      <c r="W34" s="15"/>
      <c r="X34" s="13"/>
      <c r="Y34" s="15"/>
      <c r="Z34" s="13"/>
      <c r="AA34" s="15"/>
      <c r="AB34" s="13"/>
      <c r="AC34" s="15"/>
      <c r="AD34" s="13"/>
      <c r="AE34" s="15"/>
      <c r="AF34" s="13"/>
      <c r="AG34" s="15"/>
      <c r="AH34" s="13"/>
      <c r="AI34" s="15"/>
      <c r="AJ34" s="13"/>
      <c r="AK34" s="15"/>
      <c r="AL34" s="13"/>
      <c r="AM34" s="15"/>
      <c r="AN34" s="13"/>
      <c r="AO34" s="15"/>
      <c r="AP34" s="13"/>
      <c r="AQ34" s="15"/>
      <c r="AR34" s="13"/>
      <c r="AS34" s="15"/>
      <c r="AT34" s="13"/>
      <c r="AU34" s="15"/>
      <c r="AV34" s="13"/>
      <c r="AW34" s="15"/>
      <c r="AX34" s="13"/>
      <c r="AY34" s="15"/>
      <c r="AZ34" s="13"/>
      <c r="BA34" s="15"/>
      <c r="BB34" s="13"/>
      <c r="BC34" s="15"/>
      <c r="BD34" s="13"/>
      <c r="BE34" s="15"/>
      <c r="BF34" s="13"/>
      <c r="BG34" s="15"/>
      <c r="BH34" s="13"/>
      <c r="BI34" s="15"/>
      <c r="BJ34" s="13"/>
      <c r="BK34" s="15"/>
      <c r="BL34" s="13"/>
      <c r="BM34" s="15"/>
      <c r="BN34" s="13"/>
      <c r="BO34" s="15"/>
      <c r="BP34" s="13"/>
      <c r="BQ34" s="15"/>
      <c r="BR34" s="13"/>
      <c r="BS34" s="15"/>
      <c r="BT34" s="13"/>
      <c r="BU34" s="15"/>
      <c r="BV34" s="13"/>
      <c r="BW34" s="15"/>
      <c r="BX34" s="13"/>
      <c r="BY34" s="15"/>
      <c r="BZ34" s="13"/>
      <c r="CA34" s="15"/>
      <c r="CB34" s="13"/>
      <c r="CC34" s="13"/>
    </row>
    <row r="35" spans="1:81" ht="72.5" x14ac:dyDescent="0.35">
      <c r="A35" s="13" t="s">
        <v>82</v>
      </c>
      <c r="B35" s="13" t="s">
        <v>83</v>
      </c>
      <c r="C35" s="14">
        <v>44974.558333333334</v>
      </c>
      <c r="D35" s="13" t="s">
        <v>84</v>
      </c>
      <c r="E35" s="15" t="s">
        <v>85</v>
      </c>
      <c r="F35" s="13" t="s">
        <v>86</v>
      </c>
      <c r="G35" s="15" t="s">
        <v>87</v>
      </c>
      <c r="H35" s="13" t="s">
        <v>190</v>
      </c>
      <c r="I35" s="15" t="s">
        <v>191</v>
      </c>
      <c r="J35" s="15" t="s">
        <v>192</v>
      </c>
      <c r="K35" s="15" t="s">
        <v>193</v>
      </c>
      <c r="L35" s="13" t="s">
        <v>196</v>
      </c>
      <c r="M35" s="15" t="s">
        <v>197</v>
      </c>
      <c r="N35" s="13" t="s">
        <v>94</v>
      </c>
      <c r="O35" s="15" t="s">
        <v>103</v>
      </c>
      <c r="P35" s="15" t="s">
        <v>104</v>
      </c>
      <c r="Q35" s="15" t="s">
        <v>114</v>
      </c>
      <c r="R35" s="13" t="s">
        <v>115</v>
      </c>
      <c r="S35" s="13" t="s">
        <v>99</v>
      </c>
      <c r="T35" s="13" t="s">
        <v>100</v>
      </c>
      <c r="U35" s="14">
        <v>43832</v>
      </c>
      <c r="V35" s="14"/>
      <c r="W35" s="15"/>
      <c r="X35" s="13"/>
      <c r="Y35" s="15"/>
      <c r="Z35" s="13"/>
      <c r="AA35" s="15"/>
      <c r="AB35" s="13"/>
      <c r="AC35" s="15"/>
      <c r="AD35" s="13"/>
      <c r="AE35" s="15"/>
      <c r="AF35" s="13"/>
      <c r="AG35" s="15"/>
      <c r="AH35" s="13"/>
      <c r="AI35" s="15"/>
      <c r="AJ35" s="13"/>
      <c r="AK35" s="15"/>
      <c r="AL35" s="13"/>
      <c r="AM35" s="15"/>
      <c r="AN35" s="13"/>
      <c r="AO35" s="15"/>
      <c r="AP35" s="13"/>
      <c r="AQ35" s="15"/>
      <c r="AR35" s="13"/>
      <c r="AS35" s="15"/>
      <c r="AT35" s="13"/>
      <c r="AU35" s="15"/>
      <c r="AV35" s="13"/>
      <c r="AW35" s="15"/>
      <c r="AX35" s="13"/>
      <c r="AY35" s="15"/>
      <c r="AZ35" s="13"/>
      <c r="BA35" s="15"/>
      <c r="BB35" s="13"/>
      <c r="BC35" s="15"/>
      <c r="BD35" s="13"/>
      <c r="BE35" s="15"/>
      <c r="BF35" s="13"/>
      <c r="BG35" s="15"/>
      <c r="BH35" s="13"/>
      <c r="BI35" s="15"/>
      <c r="BJ35" s="13"/>
      <c r="BK35" s="15"/>
      <c r="BL35" s="13"/>
      <c r="BM35" s="15"/>
      <c r="BN35" s="13"/>
      <c r="BO35" s="15"/>
      <c r="BP35" s="13"/>
      <c r="BQ35" s="15"/>
      <c r="BR35" s="13"/>
      <c r="BS35" s="15"/>
      <c r="BT35" s="13"/>
      <c r="BU35" s="15"/>
      <c r="BV35" s="13"/>
      <c r="BW35" s="15"/>
      <c r="BX35" s="13"/>
      <c r="BY35" s="15"/>
      <c r="BZ35" s="13"/>
      <c r="CA35" s="15"/>
      <c r="CB35" s="13"/>
      <c r="CC35" s="13"/>
    </row>
    <row r="36" spans="1:81" ht="58" x14ac:dyDescent="0.35">
      <c r="A36" s="13" t="s">
        <v>82</v>
      </c>
      <c r="B36" s="13" t="s">
        <v>83</v>
      </c>
      <c r="C36" s="14">
        <v>44974.557638888888</v>
      </c>
      <c r="D36" s="13" t="s">
        <v>84</v>
      </c>
      <c r="E36" s="15" t="s">
        <v>85</v>
      </c>
      <c r="F36" s="13" t="s">
        <v>86</v>
      </c>
      <c r="G36" s="15" t="s">
        <v>87</v>
      </c>
      <c r="H36" s="13" t="s">
        <v>190</v>
      </c>
      <c r="I36" s="15" t="s">
        <v>191</v>
      </c>
      <c r="J36" s="15" t="s">
        <v>192</v>
      </c>
      <c r="K36" s="15" t="s">
        <v>193</v>
      </c>
      <c r="L36" s="13" t="s">
        <v>198</v>
      </c>
      <c r="M36" s="15" t="s">
        <v>199</v>
      </c>
      <c r="N36" s="13" t="s">
        <v>107</v>
      </c>
      <c r="O36" s="15" t="s">
        <v>108</v>
      </c>
      <c r="P36" s="15" t="s">
        <v>109</v>
      </c>
      <c r="Q36" s="15" t="s">
        <v>114</v>
      </c>
      <c r="R36" s="13" t="s">
        <v>115</v>
      </c>
      <c r="S36" s="13" t="s">
        <v>99</v>
      </c>
      <c r="T36" s="13" t="s">
        <v>100</v>
      </c>
      <c r="U36" s="14">
        <v>43833</v>
      </c>
      <c r="V36" s="14"/>
      <c r="W36" s="15"/>
      <c r="X36" s="13"/>
      <c r="Y36" s="15"/>
      <c r="Z36" s="13"/>
      <c r="AA36" s="15"/>
      <c r="AB36" s="13"/>
      <c r="AC36" s="15"/>
      <c r="AD36" s="13"/>
      <c r="AE36" s="15"/>
      <c r="AF36" s="13"/>
      <c r="AG36" s="15"/>
      <c r="AH36" s="13"/>
      <c r="AI36" s="15"/>
      <c r="AJ36" s="13"/>
      <c r="AK36" s="15"/>
      <c r="AL36" s="13"/>
      <c r="AM36" s="15"/>
      <c r="AN36" s="13"/>
      <c r="AO36" s="15"/>
      <c r="AP36" s="13"/>
      <c r="AQ36" s="15"/>
      <c r="AR36" s="13"/>
      <c r="AS36" s="15"/>
      <c r="AT36" s="13"/>
      <c r="AU36" s="15"/>
      <c r="AV36" s="13"/>
      <c r="AW36" s="15"/>
      <c r="AX36" s="13"/>
      <c r="AY36" s="15"/>
      <c r="AZ36" s="13"/>
      <c r="BA36" s="15"/>
      <c r="BB36" s="13"/>
      <c r="BC36" s="15"/>
      <c r="BD36" s="13"/>
      <c r="BE36" s="15"/>
      <c r="BF36" s="13"/>
      <c r="BG36" s="15"/>
      <c r="BH36" s="13"/>
      <c r="BI36" s="15"/>
      <c r="BJ36" s="13"/>
      <c r="BK36" s="15"/>
      <c r="BL36" s="13"/>
      <c r="BM36" s="15"/>
      <c r="BN36" s="13"/>
      <c r="BO36" s="15"/>
      <c r="BP36" s="13"/>
      <c r="BQ36" s="15"/>
      <c r="BR36" s="13"/>
      <c r="BS36" s="15"/>
      <c r="BT36" s="13"/>
      <c r="BU36" s="15"/>
      <c r="BV36" s="13"/>
      <c r="BW36" s="15"/>
      <c r="BX36" s="13"/>
      <c r="BY36" s="15"/>
      <c r="BZ36" s="13"/>
      <c r="CA36" s="15"/>
      <c r="CB36" s="13"/>
      <c r="CC36" s="13"/>
    </row>
    <row r="37" spans="1:81" ht="72.5" x14ac:dyDescent="0.35">
      <c r="A37" s="13" t="s">
        <v>82</v>
      </c>
      <c r="B37" s="13" t="s">
        <v>83</v>
      </c>
      <c r="C37" s="14">
        <v>44970.495138888888</v>
      </c>
      <c r="D37" s="13" t="s">
        <v>84</v>
      </c>
      <c r="E37" s="15" t="s">
        <v>85</v>
      </c>
      <c r="F37" s="13" t="s">
        <v>86</v>
      </c>
      <c r="G37" s="15" t="s">
        <v>87</v>
      </c>
      <c r="H37" s="13" t="s">
        <v>190</v>
      </c>
      <c r="I37" s="15" t="s">
        <v>191</v>
      </c>
      <c r="J37" s="15" t="s">
        <v>192</v>
      </c>
      <c r="K37" s="15" t="s">
        <v>193</v>
      </c>
      <c r="L37" s="13" t="s">
        <v>194</v>
      </c>
      <c r="M37" s="15" t="s">
        <v>195</v>
      </c>
      <c r="N37" s="13" t="s">
        <v>94</v>
      </c>
      <c r="O37" s="15" t="s">
        <v>95</v>
      </c>
      <c r="P37" s="15" t="s">
        <v>96</v>
      </c>
      <c r="Q37" s="15" t="s">
        <v>116</v>
      </c>
      <c r="R37" s="13" t="s">
        <v>117</v>
      </c>
      <c r="S37" s="13" t="s">
        <v>99</v>
      </c>
      <c r="T37" s="13" t="s">
        <v>100</v>
      </c>
      <c r="U37" s="14">
        <v>43831</v>
      </c>
      <c r="V37" s="14"/>
      <c r="W37" s="15"/>
      <c r="X37" s="13"/>
      <c r="Y37" s="15"/>
      <c r="Z37" s="13"/>
      <c r="AA37" s="15"/>
      <c r="AB37" s="13"/>
      <c r="AC37" s="15"/>
      <c r="AD37" s="13"/>
      <c r="AE37" s="15"/>
      <c r="AF37" s="13"/>
      <c r="AG37" s="15"/>
      <c r="AH37" s="13"/>
      <c r="AI37" s="15"/>
      <c r="AJ37" s="13"/>
      <c r="AK37" s="15"/>
      <c r="AL37" s="13"/>
      <c r="AM37" s="15"/>
      <c r="AN37" s="13"/>
      <c r="AO37" s="15"/>
      <c r="AP37" s="13"/>
      <c r="AQ37" s="15"/>
      <c r="AR37" s="13"/>
      <c r="AS37" s="15"/>
      <c r="AT37" s="13"/>
      <c r="AU37" s="15"/>
      <c r="AV37" s="13"/>
      <c r="AW37" s="15"/>
      <c r="AX37" s="13"/>
      <c r="AY37" s="15"/>
      <c r="AZ37" s="13"/>
      <c r="BA37" s="15"/>
      <c r="BB37" s="13"/>
      <c r="BC37" s="15"/>
      <c r="BD37" s="13"/>
      <c r="BE37" s="15"/>
      <c r="BF37" s="13"/>
      <c r="BG37" s="15"/>
      <c r="BH37" s="13"/>
      <c r="BI37" s="15"/>
      <c r="BJ37" s="13"/>
      <c r="BK37" s="15"/>
      <c r="BL37" s="13"/>
      <c r="BM37" s="15"/>
      <c r="BN37" s="13"/>
      <c r="BO37" s="15"/>
      <c r="BP37" s="13"/>
      <c r="BQ37" s="15"/>
      <c r="BR37" s="13"/>
      <c r="BS37" s="15"/>
      <c r="BT37" s="13"/>
      <c r="BU37" s="15"/>
      <c r="BV37" s="13"/>
      <c r="BW37" s="15"/>
      <c r="BX37" s="13"/>
      <c r="BY37" s="15"/>
      <c r="BZ37" s="13"/>
      <c r="CA37" s="15"/>
      <c r="CB37" s="13"/>
      <c r="CC37" s="13"/>
    </row>
    <row r="38" spans="1:81" ht="72.5" x14ac:dyDescent="0.35">
      <c r="A38" s="13" t="s">
        <v>82</v>
      </c>
      <c r="B38" s="13" t="s">
        <v>83</v>
      </c>
      <c r="C38" s="14">
        <v>44970.499305555553</v>
      </c>
      <c r="D38" s="13" t="s">
        <v>84</v>
      </c>
      <c r="E38" s="15" t="s">
        <v>85</v>
      </c>
      <c r="F38" s="13" t="s">
        <v>86</v>
      </c>
      <c r="G38" s="15" t="s">
        <v>87</v>
      </c>
      <c r="H38" s="13" t="s">
        <v>190</v>
      </c>
      <c r="I38" s="15" t="s">
        <v>191</v>
      </c>
      <c r="J38" s="15" t="s">
        <v>192</v>
      </c>
      <c r="K38" s="15" t="s">
        <v>193</v>
      </c>
      <c r="L38" s="13" t="s">
        <v>196</v>
      </c>
      <c r="M38" s="15" t="s">
        <v>197</v>
      </c>
      <c r="N38" s="13" t="s">
        <v>94</v>
      </c>
      <c r="O38" s="15" t="s">
        <v>103</v>
      </c>
      <c r="P38" s="15" t="s">
        <v>104</v>
      </c>
      <c r="Q38" s="15" t="s">
        <v>116</v>
      </c>
      <c r="R38" s="13" t="s">
        <v>117</v>
      </c>
      <c r="S38" s="13" t="s">
        <v>99</v>
      </c>
      <c r="T38" s="13" t="s">
        <v>100</v>
      </c>
      <c r="U38" s="14">
        <v>43831</v>
      </c>
      <c r="V38" s="14"/>
      <c r="W38" s="15"/>
      <c r="X38" s="13"/>
      <c r="Y38" s="15"/>
      <c r="Z38" s="13"/>
      <c r="AA38" s="15"/>
      <c r="AB38" s="13"/>
      <c r="AC38" s="15"/>
      <c r="AD38" s="13"/>
      <c r="AE38" s="15"/>
      <c r="AF38" s="13"/>
      <c r="AG38" s="15"/>
      <c r="AH38" s="13"/>
      <c r="AI38" s="15"/>
      <c r="AJ38" s="13"/>
      <c r="AK38" s="15"/>
      <c r="AL38" s="13"/>
      <c r="AM38" s="15"/>
      <c r="AN38" s="13"/>
      <c r="AO38" s="15"/>
      <c r="AP38" s="13"/>
      <c r="AQ38" s="15"/>
      <c r="AR38" s="13"/>
      <c r="AS38" s="15"/>
      <c r="AT38" s="13"/>
      <c r="AU38" s="15"/>
      <c r="AV38" s="13"/>
      <c r="AW38" s="15"/>
      <c r="AX38" s="13"/>
      <c r="AY38" s="15"/>
      <c r="AZ38" s="13"/>
      <c r="BA38" s="15"/>
      <c r="BB38" s="13"/>
      <c r="BC38" s="15"/>
      <c r="BD38" s="13"/>
      <c r="BE38" s="15"/>
      <c r="BF38" s="13"/>
      <c r="BG38" s="15"/>
      <c r="BH38" s="13"/>
      <c r="BI38" s="15"/>
      <c r="BJ38" s="13"/>
      <c r="BK38" s="15"/>
      <c r="BL38" s="13"/>
      <c r="BM38" s="15"/>
      <c r="BN38" s="13"/>
      <c r="BO38" s="15"/>
      <c r="BP38" s="13"/>
      <c r="BQ38" s="15"/>
      <c r="BR38" s="13"/>
      <c r="BS38" s="15"/>
      <c r="BT38" s="13"/>
      <c r="BU38" s="15"/>
      <c r="BV38" s="13"/>
      <c r="BW38" s="15"/>
      <c r="BX38" s="13"/>
      <c r="BY38" s="15"/>
      <c r="BZ38" s="13"/>
      <c r="CA38" s="15"/>
      <c r="CB38" s="13"/>
      <c r="CC38" s="13"/>
    </row>
    <row r="39" spans="1:81" ht="58" x14ac:dyDescent="0.35">
      <c r="A39" s="13" t="s">
        <v>82</v>
      </c>
      <c r="B39" s="13" t="s">
        <v>83</v>
      </c>
      <c r="C39" s="14">
        <v>44970.497916666667</v>
      </c>
      <c r="D39" s="13" t="s">
        <v>84</v>
      </c>
      <c r="E39" s="15" t="s">
        <v>85</v>
      </c>
      <c r="F39" s="13" t="s">
        <v>86</v>
      </c>
      <c r="G39" s="15" t="s">
        <v>87</v>
      </c>
      <c r="H39" s="13" t="s">
        <v>190</v>
      </c>
      <c r="I39" s="15" t="s">
        <v>191</v>
      </c>
      <c r="J39" s="15" t="s">
        <v>192</v>
      </c>
      <c r="K39" s="15" t="s">
        <v>193</v>
      </c>
      <c r="L39" s="13" t="s">
        <v>198</v>
      </c>
      <c r="M39" s="15" t="s">
        <v>199</v>
      </c>
      <c r="N39" s="13" t="s">
        <v>107</v>
      </c>
      <c r="O39" s="15" t="s">
        <v>108</v>
      </c>
      <c r="P39" s="15" t="s">
        <v>109</v>
      </c>
      <c r="Q39" s="15" t="s">
        <v>116</v>
      </c>
      <c r="R39" s="13" t="s">
        <v>117</v>
      </c>
      <c r="S39" s="13" t="s">
        <v>99</v>
      </c>
      <c r="T39" s="13" t="s">
        <v>100</v>
      </c>
      <c r="U39" s="14">
        <v>43831</v>
      </c>
      <c r="V39" s="14"/>
      <c r="W39" s="15"/>
      <c r="X39" s="13"/>
      <c r="Y39" s="15"/>
      <c r="Z39" s="13"/>
      <c r="AA39" s="15"/>
      <c r="AB39" s="13"/>
      <c r="AC39" s="15"/>
      <c r="AD39" s="13"/>
      <c r="AE39" s="15"/>
      <c r="AF39" s="13"/>
      <c r="AG39" s="15"/>
      <c r="AH39" s="13"/>
      <c r="AI39" s="15"/>
      <c r="AJ39" s="13"/>
      <c r="AK39" s="15"/>
      <c r="AL39" s="13"/>
      <c r="AM39" s="15"/>
      <c r="AN39" s="13"/>
      <c r="AO39" s="15"/>
      <c r="AP39" s="13"/>
      <c r="AQ39" s="15"/>
      <c r="AR39" s="13"/>
      <c r="AS39" s="15"/>
      <c r="AT39" s="13"/>
      <c r="AU39" s="15"/>
      <c r="AV39" s="13"/>
      <c r="AW39" s="15"/>
      <c r="AX39" s="13"/>
      <c r="AY39" s="15"/>
      <c r="AZ39" s="13"/>
      <c r="BA39" s="15"/>
      <c r="BB39" s="13"/>
      <c r="BC39" s="15"/>
      <c r="BD39" s="13"/>
      <c r="BE39" s="15"/>
      <c r="BF39" s="13"/>
      <c r="BG39" s="15"/>
      <c r="BH39" s="13"/>
      <c r="BI39" s="15"/>
      <c r="BJ39" s="13"/>
      <c r="BK39" s="15"/>
      <c r="BL39" s="13"/>
      <c r="BM39" s="15"/>
      <c r="BN39" s="13"/>
      <c r="BO39" s="15"/>
      <c r="BP39" s="13"/>
      <c r="BQ39" s="15"/>
      <c r="BR39" s="13"/>
      <c r="BS39" s="15"/>
      <c r="BT39" s="13"/>
      <c r="BU39" s="15"/>
      <c r="BV39" s="13"/>
      <c r="BW39" s="15"/>
      <c r="BX39" s="13"/>
      <c r="BY39" s="15"/>
      <c r="BZ39" s="13"/>
      <c r="CA39" s="15"/>
      <c r="CB39" s="13"/>
      <c r="CC39" s="13"/>
    </row>
    <row r="40" spans="1:81" ht="145" x14ac:dyDescent="0.35">
      <c r="A40" s="13" t="s">
        <v>82</v>
      </c>
      <c r="B40" s="13" t="s">
        <v>83</v>
      </c>
      <c r="C40" s="14">
        <v>44970.539583333331</v>
      </c>
      <c r="D40" s="13" t="s">
        <v>84</v>
      </c>
      <c r="E40" s="15" t="s">
        <v>85</v>
      </c>
      <c r="F40" s="13" t="s">
        <v>86</v>
      </c>
      <c r="G40" s="15" t="s">
        <v>87</v>
      </c>
      <c r="H40" s="13" t="s">
        <v>190</v>
      </c>
      <c r="I40" s="15" t="s">
        <v>191</v>
      </c>
      <c r="J40" s="15" t="s">
        <v>192</v>
      </c>
      <c r="K40" s="15" t="s">
        <v>193</v>
      </c>
      <c r="L40" s="13" t="s">
        <v>194</v>
      </c>
      <c r="M40" s="15" t="s">
        <v>195</v>
      </c>
      <c r="N40" s="13" t="s">
        <v>94</v>
      </c>
      <c r="O40" s="15" t="s">
        <v>95</v>
      </c>
      <c r="P40" s="15" t="s">
        <v>96</v>
      </c>
      <c r="Q40" s="15" t="s">
        <v>120</v>
      </c>
      <c r="R40" s="13" t="s">
        <v>121</v>
      </c>
      <c r="S40" s="13" t="s">
        <v>122</v>
      </c>
      <c r="T40" s="13" t="s">
        <v>123</v>
      </c>
      <c r="U40" s="14">
        <v>43831</v>
      </c>
      <c r="V40" s="14">
        <v>44125</v>
      </c>
      <c r="W40" s="15" t="s">
        <v>200</v>
      </c>
      <c r="X40" s="13" t="s">
        <v>133</v>
      </c>
      <c r="Y40" s="15" t="str">
        <f>VLOOKUP(X40,'Axe 2 Règles de gestion'!$D$2:$F$49,3, FALSE)</f>
        <v>Le militaire doit présenter une demande.</v>
      </c>
      <c r="Z40" s="13" t="s">
        <v>135</v>
      </c>
      <c r="AA40" s="15" t="str">
        <f>VLOOKUP(Z40,'Axe 2 Règles de gestion'!$D$2:$F$49,3, FALSE)</f>
        <v>Le militaire est placé en congé par décision du ministre compétent.</v>
      </c>
      <c r="AB40" s="13" t="s">
        <v>137</v>
      </c>
      <c r="AC40" s="15" t="str">
        <f>VLOOKUP(AB40,'Axe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D40" s="13" t="s">
        <v>139</v>
      </c>
      <c r="AE40" s="15" t="str">
        <f>VLOOKUP(AD40,'Axe 2 Règles de gestion'!$D$2:$F$49,3, FALSE)</f>
        <v>Le militaire officier est tenu d'informer sans délai par écrit le ministre compétent de tout changement d'activité privée lucrative.</v>
      </c>
      <c r="AF40" s="13" t="s">
        <v>201</v>
      </c>
      <c r="AG40" s="15" t="str">
        <f>VLOOKUP(AF40,'Axe 2 Règles de gestion'!$D$2:$F$49,3, FALSE)</f>
        <v>Le militaire peut demander à souscrire un engagement à servir dans la réserve opérationnelle s'il est placé dans ce congé pour élever un enfant de moins de 8 ans.</v>
      </c>
      <c r="AH40" s="13" t="s">
        <v>203</v>
      </c>
      <c r="AI40" s="15" t="str">
        <f>VLOOKUP(AH40,'Axe 2 Règles de gestion'!$D$2:$F$49,3, FALSE)</f>
        <v>La durée des activités à exercer au titre d'un engagement à servir dans la réserve opérationnelle est limitée à 90 jours par année civile.</v>
      </c>
      <c r="AJ40" s="13" t="s">
        <v>205</v>
      </c>
      <c r="AK40" s="15" t="str">
        <f>VLOOKUP(AJ40,'Axe 2 Règles de gestion'!$D$2:$F$49,3, FALSE)</f>
        <v>En cas de nécessité liée à l'emploi des forces, la durée des activités à exercer au titre d'un engagement à servir dans la réserve opérationnelle peut être portée à 150 jours par année civile à la demande de l'administration, après accord du militaire.</v>
      </c>
      <c r="AL40" s="13"/>
      <c r="AM40" s="15"/>
      <c r="AN40" s="13" t="s">
        <v>141</v>
      </c>
      <c r="AO40" s="15" t="str">
        <f>VLOOKUP(AN40,'Axe 2 Règles de gestion'!$D$2:$F$49,3, FALSE)</f>
        <v>La durée prévisionnelle du congé ne peut pas excéder 2 ans pour chaque période.</v>
      </c>
      <c r="AP40" s="13" t="s">
        <v>143</v>
      </c>
      <c r="AQ40" s="15" t="str">
        <f>VLOOKUP(AP40,'Axe 2 Règles de gestion'!$D$2:$F$49,3, FALSE)</f>
        <v>La durée réelle du congé ne peut pas excéder 2 ans pour chaque période.</v>
      </c>
      <c r="AR40" s="13" t="s">
        <v>207</v>
      </c>
      <c r="AS40" s="15" t="str">
        <f>VLOOKUP(AR40,'Axe 2 Règles de gestion'!$D$2:$F$49,3, FALSE)</f>
        <v>La date de fin prévisionnelle de chaque période ne peut pas excéder les 8 ans de l'enfant élevé.</v>
      </c>
      <c r="AT40" s="13" t="s">
        <v>209</v>
      </c>
      <c r="AU40" s="15" t="str">
        <f>VLOOKUP(AT40,'Axe 2 Règles de gestion'!$D$2:$F$49,3, FALSE)</f>
        <v>La date de fin réelle de chaque période ne peut pas excéder les 8 ans de l'enfant élevé.</v>
      </c>
      <c r="AV40" s="13" t="s">
        <v>145</v>
      </c>
      <c r="AW40" s="15" t="str">
        <f>VLOOKUP(AV40,'Axe 2 Règles de gestion'!$D$2:$F$49,3, FALSE)</f>
        <v>La durée cumulée de l'ensemble des congés pour convenances personnelles ne doit pas excéder 10 ans.</v>
      </c>
      <c r="AX40" s="13" t="s">
        <v>147</v>
      </c>
      <c r="AY40" s="15" t="str">
        <f>VLOOKUP(AX40,'Axe 2 Règles de gestion'!$D$2:$F$49,3, FALSE)</f>
        <v>La date de fin réelle du congé doit être antérieure ou égale à la date limite de fin réelle ou prévisionnelle du lien juridique. Le militaire ne voit pas son contrat prorogé jusqu'à la date de fin du congé.</v>
      </c>
      <c r="AZ40" s="13" t="s">
        <v>149</v>
      </c>
      <c r="BA40" s="15" t="str">
        <f>VLOOKUP(AZ40,'Axe 2 Règles de gestion'!$D$2:$F$49,3, FALSE)</f>
        <v>La date de fin prévisionnelle du congé doit être antérieure ou égale à la date limite de fin réelle ou prévisionnelle du lien juridique. Le militaire ne voit pas son contrat prorogé jusqu'à la date de fin du congé.</v>
      </c>
      <c r="BB40" s="13" t="s">
        <v>151</v>
      </c>
      <c r="BC40" s="15" t="str">
        <f>VLOOKUP(BB40,'Axe 2 Règles de gestion'!$D$2:$F$49,3, FALSE)</f>
        <v>La date de début de position doit être antérieure ou égale à la date de fin prévisionnelle de position.</v>
      </c>
      <c r="BD40" s="13" t="s">
        <v>153</v>
      </c>
      <c r="BE40" s="15" t="str">
        <f>VLOOKUP(BD40,'Axe 2 Règles de gestion'!$D$2:$F$49,3, FALSE)</f>
        <v>La date de fin réelle de la position doit être antérieure à la date limite de départ à la retraite.</v>
      </c>
      <c r="BF40" s="13" t="s">
        <v>155</v>
      </c>
      <c r="BG40" s="15" t="str">
        <f>VLOOKUP(BF40,'Axe 2 Règles de gestion'!$D$2:$F$49,3, FALSE)</f>
        <v>La date de début de la position doit être postérieure ou égale à la date de début du lien juridique.</v>
      </c>
      <c r="BH40" s="13" t="s">
        <v>157</v>
      </c>
      <c r="BI40" s="15" t="str">
        <f>VLOOKUP(BH40,'Axe 2 Règles de gestion'!$D$2:$F$49,3, FALSE)</f>
        <v>La date de début de position doit être antérieure ou égale à la date de fin réelle de position.</v>
      </c>
      <c r="BJ40" s="13" t="s">
        <v>159</v>
      </c>
      <c r="BK40" s="15" t="str">
        <f>VLOOKUP(BJ40,'Axe 2 Règles de gestion'!$D$2:$F$49,3, FALSE)</f>
        <v>La date de fin prévisionnelle de la position doit être antérieure à la date limite de départ à la retraite.</v>
      </c>
      <c r="BL40" s="13" t="s">
        <v>161</v>
      </c>
      <c r="BM40" s="15" t="str">
        <f>VLOOKUP(BL40,'Axe 2 Règles de gestion'!$D$2:$F$49,3, FALSE)</f>
        <v>La date de début de position est à J+1 de la date de fin de position de l'occurrence précédente.</v>
      </c>
      <c r="BN40" s="13" t="s">
        <v>211</v>
      </c>
      <c r="BO40" s="15" t="str">
        <f>VLOOKUP(BN40,'Axe 2 Règles de gestion'!$D$2:$F$49,3, FALSE)</f>
        <v>Le lien vers l'enfant doit être renseigné.</v>
      </c>
      <c r="BP40" s="13" t="s">
        <v>213</v>
      </c>
      <c r="BQ40" s="15" t="str">
        <f>VLOOKUP(BP40,'Axe 2 Règles de gestion'!$D$2:$F$49,3, FALSE)</f>
        <v>La date de naissance de l'enfant doit être renseignée.</v>
      </c>
      <c r="BR40" s="13" t="s">
        <v>183</v>
      </c>
      <c r="BS40" s="15" t="str">
        <f>VLOOKUP(BR40,'Axe 2 Règles de gestion'!$D$2:$F$49,3, FALSE)</f>
        <v>La date de fin réelle de la position doit être antérieure ou égale à la date de décès de l'enfant.</v>
      </c>
      <c r="BT40" s="13" t="s">
        <v>185</v>
      </c>
      <c r="BU40" s="15" t="str">
        <f>VLOOKUP(BT40,'Axe 2 Règles de gestion'!$D$2:$F$49,3, FALSE)</f>
        <v>La date de fin prévisionnelle de la position doit être antérieure ou égale à la date de décès de l'enfant.</v>
      </c>
      <c r="BV40" s="13" t="s">
        <v>163</v>
      </c>
      <c r="BW40" s="15" t="str">
        <f>VLOOKUP(BV40,'Axe 2 Règles de gestion'!$D$2:$F$49,3, FALSE)</f>
        <v>La date de fin ou la date de fin prévisionnelle doit être saisie.</v>
      </c>
      <c r="BX40" s="13" t="s">
        <v>165</v>
      </c>
      <c r="BY40" s="15" t="str">
        <f>VLOOKUP(BX40,'Axe 2 Règles de gestion'!$D$2:$F$49,3, FALSE)</f>
        <v>La saisie d'une occurrence de congés/absences est interdite (date de fin réelle)</v>
      </c>
      <c r="BZ40" s="13" t="s">
        <v>167</v>
      </c>
      <c r="CA40" s="15" t="str">
        <f>VLOOKUP(BZ40,'Axe 2 Règles de gestion'!$D$2:$F$49,3, FALSE)</f>
        <v>La saisie d'une occurrence de congés/absences est interdite (date de fin prévisionnelle)</v>
      </c>
      <c r="CB40" s="13"/>
      <c r="CC40" s="13"/>
    </row>
    <row r="41" spans="1:81" ht="145" x14ac:dyDescent="0.35">
      <c r="A41" s="13" t="s">
        <v>82</v>
      </c>
      <c r="B41" s="13" t="s">
        <v>83</v>
      </c>
      <c r="C41" s="14">
        <v>44970.668055555558</v>
      </c>
      <c r="D41" s="13" t="s">
        <v>84</v>
      </c>
      <c r="E41" s="15" t="s">
        <v>85</v>
      </c>
      <c r="F41" s="13" t="s">
        <v>86</v>
      </c>
      <c r="G41" s="15" t="s">
        <v>87</v>
      </c>
      <c r="H41" s="13" t="s">
        <v>190</v>
      </c>
      <c r="I41" s="15" t="s">
        <v>191</v>
      </c>
      <c r="J41" s="15" t="s">
        <v>192</v>
      </c>
      <c r="K41" s="15" t="s">
        <v>193</v>
      </c>
      <c r="L41" s="13" t="s">
        <v>194</v>
      </c>
      <c r="M41" s="15" t="s">
        <v>195</v>
      </c>
      <c r="N41" s="13" t="s">
        <v>94</v>
      </c>
      <c r="O41" s="15" t="s">
        <v>95</v>
      </c>
      <c r="P41" s="15" t="s">
        <v>96</v>
      </c>
      <c r="Q41" s="15" t="s">
        <v>120</v>
      </c>
      <c r="R41" s="13" t="s">
        <v>121</v>
      </c>
      <c r="S41" s="13" t="s">
        <v>122</v>
      </c>
      <c r="T41" s="13" t="s">
        <v>123</v>
      </c>
      <c r="U41" s="14">
        <v>44126</v>
      </c>
      <c r="V41" s="14"/>
      <c r="W41" s="15" t="s">
        <v>215</v>
      </c>
      <c r="X41" s="13" t="s">
        <v>133</v>
      </c>
      <c r="Y41" s="15" t="str">
        <f>VLOOKUP(X41,'Axe 2 Règles de gestion'!$D$2:$F$49,3, FALSE)</f>
        <v>Le militaire doit présenter une demande.</v>
      </c>
      <c r="Z41" s="13" t="s">
        <v>135</v>
      </c>
      <c r="AA41" s="15" t="str">
        <f>VLOOKUP(Z41,'Axe 2 Règles de gestion'!$D$2:$F$49,3, FALSE)</f>
        <v>Le militaire est placé en congé par décision du ministre compétent.</v>
      </c>
      <c r="AB41" s="13" t="s">
        <v>137</v>
      </c>
      <c r="AC41" s="15" t="str">
        <f>VLOOKUP(AB41,'Axe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D41" s="13" t="s">
        <v>139</v>
      </c>
      <c r="AE41" s="15" t="str">
        <f>VLOOKUP(AD41,'Axe 2 Règles de gestion'!$D$2:$F$49,3, FALSE)</f>
        <v>Le militaire officier est tenu d'informer sans délai par écrit le ministre compétent de tout changement d'activité privée lucrative.</v>
      </c>
      <c r="AF41" s="13" t="s">
        <v>201</v>
      </c>
      <c r="AG41" s="15" t="str">
        <f>VLOOKUP(AF41,'Axe 2 Règles de gestion'!$D$2:$F$49,3, FALSE)</f>
        <v>Le militaire peut demander à souscrire un engagement à servir dans la réserve opérationnelle s'il est placé dans ce congé pour élever un enfant de moins de 8 ans.</v>
      </c>
      <c r="AH41" s="13" t="s">
        <v>203</v>
      </c>
      <c r="AI41" s="15" t="str">
        <f>VLOOKUP(AH41,'Axe 2 Règles de gestion'!$D$2:$F$49,3, FALSE)</f>
        <v>La durée des activités à exercer au titre d'un engagement à servir dans la réserve opérationnelle est limitée à 90 jours par année civile.</v>
      </c>
      <c r="AJ41" s="13" t="s">
        <v>205</v>
      </c>
      <c r="AK41" s="15" t="str">
        <f>VLOOKUP(AJ41,'Axe 2 Règles de gestion'!$D$2:$F$49,3, FALSE)</f>
        <v>En cas de nécessité liée à l'emploi des forces, la durée des activités à exercer au titre d'un engagement à servir dans la réserve opérationnelle peut être portée à 150 jours par année civile à la demande de l'administration, après accord du militaire.</v>
      </c>
      <c r="AL41" s="13"/>
      <c r="AM41" s="15"/>
      <c r="AN41" s="13" t="s">
        <v>141</v>
      </c>
      <c r="AO41" s="15" t="str">
        <f>VLOOKUP(AN41,'Axe 2 Règles de gestion'!$D$2:$F$49,3, FALSE)</f>
        <v>La durée prévisionnelle du congé ne peut pas excéder 2 ans pour chaque période.</v>
      </c>
      <c r="AP41" s="13" t="s">
        <v>143</v>
      </c>
      <c r="AQ41" s="15" t="str">
        <f>VLOOKUP(AP41,'Axe 2 Règles de gestion'!$D$2:$F$49,3, FALSE)</f>
        <v>La durée réelle du congé ne peut pas excéder 2 ans pour chaque période.</v>
      </c>
      <c r="AR41" s="13" t="s">
        <v>216</v>
      </c>
      <c r="AS41" s="15" t="str">
        <f>VLOOKUP(AR41,'Axe 2 Règles de gestion'!$D$2:$F$49,3, FALSE)</f>
        <v>La date de fin prévisionnelle de chaque période ne peut pas excéder les 12 ans de l'enfant élevé.</v>
      </c>
      <c r="AT41" s="13" t="s">
        <v>218</v>
      </c>
      <c r="AU41" s="15" t="str">
        <f>VLOOKUP(AT41,'Axe 2 Règles de gestion'!$D$2:$F$49,3, FALSE)</f>
        <v>La date de fin réelle de chaque période ne peut pas excéder les 12 ans de l'enfant élevé.</v>
      </c>
      <c r="AV41" s="13" t="s">
        <v>145</v>
      </c>
      <c r="AW41" s="15" t="str">
        <f>VLOOKUP(AV41,'Axe 2 Règles de gestion'!$D$2:$F$49,3, FALSE)</f>
        <v>La durée cumulée de l'ensemble des congés pour convenances personnelles ne doit pas excéder 10 ans.</v>
      </c>
      <c r="AX41" s="13" t="s">
        <v>147</v>
      </c>
      <c r="AY41" s="15" t="str">
        <f>VLOOKUP(AX41,'Axe 2 Règles de gestion'!$D$2:$F$49,3, FALSE)</f>
        <v>La date de fin réelle du congé doit être antérieure ou égale à la date limite de fin réelle ou prévisionnelle du lien juridique. Le militaire ne voit pas son contrat prorogé jusqu'à la date de fin du congé.</v>
      </c>
      <c r="AZ41" s="13" t="s">
        <v>149</v>
      </c>
      <c r="BA41" s="15" t="str">
        <f>VLOOKUP(AZ41,'Axe 2 Règles de gestion'!$D$2:$F$49,3, FALSE)</f>
        <v>La date de fin prévisionnelle du congé doit être antérieure ou égale à la date limite de fin réelle ou prévisionnelle du lien juridique. Le militaire ne voit pas son contrat prorogé jusqu'à la date de fin du congé.</v>
      </c>
      <c r="BB41" s="13" t="s">
        <v>151</v>
      </c>
      <c r="BC41" s="15" t="str">
        <f>VLOOKUP(BB41,'Axe 2 Règles de gestion'!$D$2:$F$49,3, FALSE)</f>
        <v>La date de début de position doit être antérieure ou égale à la date de fin prévisionnelle de position.</v>
      </c>
      <c r="BD41" s="13" t="s">
        <v>153</v>
      </c>
      <c r="BE41" s="15" t="str">
        <f>VLOOKUP(BD41,'Axe 2 Règles de gestion'!$D$2:$F$49,3, FALSE)</f>
        <v>La date de fin réelle de la position doit être antérieure à la date limite de départ à la retraite.</v>
      </c>
      <c r="BF41" s="13" t="s">
        <v>155</v>
      </c>
      <c r="BG41" s="15" t="str">
        <f>VLOOKUP(BF41,'Axe 2 Règles de gestion'!$D$2:$F$49,3, FALSE)</f>
        <v>La date de début de la position doit être postérieure ou égale à la date de début du lien juridique.</v>
      </c>
      <c r="BH41" s="13" t="s">
        <v>157</v>
      </c>
      <c r="BI41" s="15" t="str">
        <f>VLOOKUP(BH41,'Axe 2 Règles de gestion'!$D$2:$F$49,3, FALSE)</f>
        <v>La date de début de position doit être antérieure ou égale à la date de fin réelle de position.</v>
      </c>
      <c r="BJ41" s="13" t="s">
        <v>159</v>
      </c>
      <c r="BK41" s="15" t="str">
        <f>VLOOKUP(BJ41,'Axe 2 Règles de gestion'!$D$2:$F$49,3, FALSE)</f>
        <v>La date de fin prévisionnelle de la position doit être antérieure à la date limite de départ à la retraite.</v>
      </c>
      <c r="BL41" s="13" t="s">
        <v>161</v>
      </c>
      <c r="BM41" s="15" t="str">
        <f>VLOOKUP(BL41,'Axe 2 Règles de gestion'!$D$2:$F$49,3, FALSE)</f>
        <v>La date de début de position est à J+1 de la date de fin de position de l'occurrence précédente.</v>
      </c>
      <c r="BN41" s="13" t="s">
        <v>211</v>
      </c>
      <c r="BO41" s="15" t="str">
        <f>VLOOKUP(BN41,'Axe 2 Règles de gestion'!$D$2:$F$49,3, FALSE)</f>
        <v>Le lien vers l'enfant doit être renseigné.</v>
      </c>
      <c r="BP41" s="13" t="s">
        <v>213</v>
      </c>
      <c r="BQ41" s="15" t="str">
        <f>VLOOKUP(BP41,'Axe 2 Règles de gestion'!$D$2:$F$49,3, FALSE)</f>
        <v>La date de naissance de l'enfant doit être renseignée.</v>
      </c>
      <c r="BR41" s="13" t="s">
        <v>183</v>
      </c>
      <c r="BS41" s="15" t="str">
        <f>VLOOKUP(BR41,'Axe 2 Règles de gestion'!$D$2:$F$49,3, FALSE)</f>
        <v>La date de fin réelle de la position doit être antérieure ou égale à la date de décès de l'enfant.</v>
      </c>
      <c r="BT41" s="13" t="s">
        <v>185</v>
      </c>
      <c r="BU41" s="15" t="str">
        <f>VLOOKUP(BT41,'Axe 2 Règles de gestion'!$D$2:$F$49,3, FALSE)</f>
        <v>La date de fin prévisionnelle de la position doit être antérieure ou égale à la date de décès de l'enfant.</v>
      </c>
      <c r="BV41" s="13" t="s">
        <v>163</v>
      </c>
      <c r="BW41" s="15" t="str">
        <f>VLOOKUP(BV41,'Axe 2 Règles de gestion'!$D$2:$F$49,3, FALSE)</f>
        <v>La date de fin ou la date de fin prévisionnelle doit être saisie.</v>
      </c>
      <c r="BX41" s="13" t="s">
        <v>165</v>
      </c>
      <c r="BY41" s="15" t="str">
        <f>VLOOKUP(BX41,'Axe 2 Règles de gestion'!$D$2:$F$49,3, FALSE)</f>
        <v>La saisie d'une occurrence de congés/absences est interdite (date de fin réelle)</v>
      </c>
      <c r="BZ41" s="13" t="s">
        <v>167</v>
      </c>
      <c r="CA41" s="15" t="str">
        <f>VLOOKUP(BZ41,'Axe 2 Règles de gestion'!$D$2:$F$49,3, FALSE)</f>
        <v>La saisie d'une occurrence de congés/absences est interdite (date de fin prévisionnelle)</v>
      </c>
      <c r="CB41" s="13"/>
      <c r="CC41" s="13"/>
    </row>
    <row r="42" spans="1:81" ht="145" x14ac:dyDescent="0.35">
      <c r="A42" s="13" t="s">
        <v>82</v>
      </c>
      <c r="B42" s="13" t="s">
        <v>83</v>
      </c>
      <c r="C42" s="14">
        <v>44970.645138888889</v>
      </c>
      <c r="D42" s="13" t="s">
        <v>84</v>
      </c>
      <c r="E42" s="15" t="s">
        <v>85</v>
      </c>
      <c r="F42" s="13" t="s">
        <v>86</v>
      </c>
      <c r="G42" s="15" t="s">
        <v>87</v>
      </c>
      <c r="H42" s="13" t="s">
        <v>190</v>
      </c>
      <c r="I42" s="15" t="s">
        <v>191</v>
      </c>
      <c r="J42" s="15" t="s">
        <v>192</v>
      </c>
      <c r="K42" s="15" t="s">
        <v>193</v>
      </c>
      <c r="L42" s="13" t="s">
        <v>196</v>
      </c>
      <c r="M42" s="15" t="s">
        <v>197</v>
      </c>
      <c r="N42" s="13" t="s">
        <v>94</v>
      </c>
      <c r="O42" s="15" t="s">
        <v>103</v>
      </c>
      <c r="P42" s="15" t="s">
        <v>104</v>
      </c>
      <c r="Q42" s="15" t="s">
        <v>120</v>
      </c>
      <c r="R42" s="13" t="s">
        <v>121</v>
      </c>
      <c r="S42" s="13" t="s">
        <v>122</v>
      </c>
      <c r="T42" s="13" t="s">
        <v>123</v>
      </c>
      <c r="U42" s="14">
        <v>43831</v>
      </c>
      <c r="V42" s="14">
        <v>44125</v>
      </c>
      <c r="W42" s="15" t="s">
        <v>220</v>
      </c>
      <c r="X42" s="13" t="s">
        <v>171</v>
      </c>
      <c r="Y42" s="15" t="str">
        <f>VLOOKUP(X42,'Axe 2 Règles de gestion'!$D$2:$F$49,3, FALSE)</f>
        <v>Le militaire peut demander le renouvellement du congé 3 mois avant l'expiration du congé.</v>
      </c>
      <c r="Z42" s="13" t="s">
        <v>133</v>
      </c>
      <c r="AA42" s="15" t="str">
        <f>VLOOKUP(Z42,'Axe 2 Règles de gestion'!$D$2:$F$49,3, FALSE)</f>
        <v>Le militaire doit présenter une demande.</v>
      </c>
      <c r="AB42" s="13" t="s">
        <v>135</v>
      </c>
      <c r="AC42" s="15" t="str">
        <f>VLOOKUP(AB42,'Axe 2 Règles de gestion'!$D$2:$F$49,3, FALSE)</f>
        <v>Le militaire est placé en congé par décision du ministre compétent.</v>
      </c>
      <c r="AD42" s="13" t="s">
        <v>137</v>
      </c>
      <c r="AE42" s="15" t="str">
        <f>VLOOKUP(AD42,'Axe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F42" s="13" t="s">
        <v>139</v>
      </c>
      <c r="AG42" s="15" t="str">
        <f>VLOOKUP(AF42,'Axe 2 Règles de gestion'!$D$2:$F$49,3, FALSE)</f>
        <v>Le militaire officier est tenu d'informer sans délai par écrit le ministre compétent de tout changement d'activité privée lucrative.</v>
      </c>
      <c r="AH42" s="13" t="s">
        <v>201</v>
      </c>
      <c r="AI42" s="15" t="str">
        <f>VLOOKUP(AH42,'Axe 2 Règles de gestion'!$D$2:$F$49,3, FALSE)</f>
        <v>Le militaire peut demander à souscrire un engagement à servir dans la réserve opérationnelle s'il est placé dans ce congé pour élever un enfant de moins de 8 ans.</v>
      </c>
      <c r="AJ42" s="13" t="s">
        <v>203</v>
      </c>
      <c r="AK42" s="15" t="str">
        <f>VLOOKUP(AJ42,'Axe 2 Règles de gestion'!$D$2:$F$49,3, FALSE)</f>
        <v>La durée des activités à exercer au titre d'un engagement à servir dans la réserve opérationnelle est limitée à 90 jours par année civile.</v>
      </c>
      <c r="AL42" s="13" t="s">
        <v>205</v>
      </c>
      <c r="AM42" s="15" t="str">
        <f>VLOOKUP(AL42,'Axe 2 Règles de gestion'!$D$2:$F$49,3, FALSE)</f>
        <v>En cas de nécessité liée à l'emploi des forces, la durée des activités à exercer au titre d'un engagement à servir dans la réserve opérationnelle peut être portée à 150 jours par année civile à la demande de l'administration, après accord du militaire.</v>
      </c>
      <c r="AN42" s="13" t="s">
        <v>141</v>
      </c>
      <c r="AO42" s="15" t="str">
        <f>VLOOKUP(AN42,'Axe 2 Règles de gestion'!$D$2:$F$49,3, FALSE)</f>
        <v>La durée prévisionnelle du congé ne peut pas excéder 2 ans pour chaque période.</v>
      </c>
      <c r="AP42" s="13" t="s">
        <v>143</v>
      </c>
      <c r="AQ42" s="15" t="str">
        <f>VLOOKUP(AP42,'Axe 2 Règles de gestion'!$D$2:$F$49,3, FALSE)</f>
        <v>La durée réelle du congé ne peut pas excéder 2 ans pour chaque période.</v>
      </c>
      <c r="AR42" s="13" t="s">
        <v>207</v>
      </c>
      <c r="AS42" s="15" t="str">
        <f>VLOOKUP(AR42,'Axe 2 Règles de gestion'!$D$2:$F$49,3, FALSE)</f>
        <v>La date de fin prévisionnelle de chaque période ne peut pas excéder les 8 ans de l'enfant élevé.</v>
      </c>
      <c r="AT42" s="13" t="s">
        <v>209</v>
      </c>
      <c r="AU42" s="15" t="str">
        <f>VLOOKUP(AT42,'Axe 2 Règles de gestion'!$D$2:$F$49,3, FALSE)</f>
        <v>La date de fin réelle de chaque période ne peut pas excéder les 8 ans de l'enfant élevé.</v>
      </c>
      <c r="AV42" s="13" t="s">
        <v>145</v>
      </c>
      <c r="AW42" s="15" t="str">
        <f>VLOOKUP(AV42,'Axe 2 Règles de gestion'!$D$2:$F$49,3, FALSE)</f>
        <v>La durée cumulée de l'ensemble des congés pour convenances personnelles ne doit pas excéder 10 ans.</v>
      </c>
      <c r="AX42" s="13" t="s">
        <v>147</v>
      </c>
      <c r="AY42" s="15" t="str">
        <f>VLOOKUP(AX42,'Axe 2 Règles de gestion'!$D$2:$F$49,3, FALSE)</f>
        <v>La date de fin réelle du congé doit être antérieure ou égale à la date limite de fin réelle ou prévisionnelle du lien juridique. Le militaire ne voit pas son contrat prorogé jusqu'à la date de fin du congé.</v>
      </c>
      <c r="AZ42" s="13" t="s">
        <v>149</v>
      </c>
      <c r="BA42" s="15" t="str">
        <f>VLOOKUP(AZ42,'Axe 2 Règles de gestion'!$D$2:$F$49,3, FALSE)</f>
        <v>La date de fin prévisionnelle du congé doit être antérieure ou égale à la date limite de fin réelle ou prévisionnelle du lien juridique. Le militaire ne voit pas son contrat prorogé jusqu'à la date de fin du congé.</v>
      </c>
      <c r="BB42" s="13" t="s">
        <v>151</v>
      </c>
      <c r="BC42" s="15" t="str">
        <f>VLOOKUP(BB42,'Axe 2 Règles de gestion'!$D$2:$F$49,3, FALSE)</f>
        <v>La date de début de position doit être antérieure ou égale à la date de fin prévisionnelle de position.</v>
      </c>
      <c r="BD42" s="13" t="s">
        <v>153</v>
      </c>
      <c r="BE42" s="15" t="str">
        <f>VLOOKUP(BD42,'Axe 2 Règles de gestion'!$D$2:$F$49,3, FALSE)</f>
        <v>La date de fin réelle de la position doit être antérieure à la date limite de départ à la retraite.</v>
      </c>
      <c r="BF42" s="13" t="s">
        <v>157</v>
      </c>
      <c r="BG42" s="15" t="str">
        <f>VLOOKUP(BF42,'Axe 2 Règles de gestion'!$D$2:$F$49,3, FALSE)</f>
        <v>La date de début de position doit être antérieure ou égale à la date de fin réelle de position.</v>
      </c>
      <c r="BH42" s="13" t="s">
        <v>159</v>
      </c>
      <c r="BI42" s="15" t="str">
        <f>VLOOKUP(BH42,'Axe 2 Règles de gestion'!$D$2:$F$49,3, FALSE)</f>
        <v>La date de fin prévisionnelle de la position doit être antérieure à la date limite de départ à la retraite.</v>
      </c>
      <c r="BJ42" s="13" t="s">
        <v>211</v>
      </c>
      <c r="BK42" s="15" t="str">
        <f>VLOOKUP(BJ42,'Axe 2 Règles de gestion'!$D$2:$F$49,3, FALSE)</f>
        <v>Le lien vers l'enfant doit être renseigné.</v>
      </c>
      <c r="BL42" s="13" t="s">
        <v>213</v>
      </c>
      <c r="BM42" s="15" t="str">
        <f>VLOOKUP(BL42,'Axe 2 Règles de gestion'!$D$2:$F$49,3, FALSE)</f>
        <v>La date de naissance de l'enfant doit être renseignée.</v>
      </c>
      <c r="BN42" s="13" t="s">
        <v>183</v>
      </c>
      <c r="BO42" s="15" t="str">
        <f>VLOOKUP(BN42,'Axe 2 Règles de gestion'!$D$2:$F$49,3, FALSE)</f>
        <v>La date de fin réelle de la position doit être antérieure ou égale à la date de décès de l'enfant.</v>
      </c>
      <c r="BP42" s="13" t="s">
        <v>185</v>
      </c>
      <c r="BQ42" s="15" t="str">
        <f>VLOOKUP(BP42,'Axe 2 Règles de gestion'!$D$2:$F$49,3, FALSE)</f>
        <v>La date de fin prévisionnelle de la position doit être antérieure ou égale à la date de décès de l'enfant.</v>
      </c>
      <c r="BR42" s="13" t="s">
        <v>163</v>
      </c>
      <c r="BS42" s="15" t="str">
        <f>VLOOKUP(BR42,'Axe 2 Règles de gestion'!$D$2:$F$49,3, FALSE)</f>
        <v>La date de fin ou la date de fin prévisionnelle doit être saisie.</v>
      </c>
      <c r="BT42" s="13" t="s">
        <v>165</v>
      </c>
      <c r="BU42" s="15" t="str">
        <f>VLOOKUP(BT42,'Axe 2 Règles de gestion'!$D$2:$F$49,3, FALSE)</f>
        <v>La saisie d'une occurrence de congés/absences est interdite (date de fin réelle)</v>
      </c>
      <c r="BV42" s="13" t="s">
        <v>167</v>
      </c>
      <c r="BW42" s="15" t="str">
        <f>VLOOKUP(BV42,'Axe 2 Règles de gestion'!$D$2:$F$49,3, FALSE)</f>
        <v>La saisie d'une occurrence de congés/absences est interdite (date de fin prévisionnelle)</v>
      </c>
      <c r="BX42" s="13"/>
      <c r="BY42" s="15"/>
      <c r="BZ42" s="13"/>
      <c r="CA42" s="15"/>
      <c r="CB42" s="13"/>
      <c r="CC42" s="13"/>
    </row>
    <row r="43" spans="1:81" ht="145" x14ac:dyDescent="0.35">
      <c r="A43" s="13" t="s">
        <v>82</v>
      </c>
      <c r="B43" s="13" t="s">
        <v>83</v>
      </c>
      <c r="C43" s="14">
        <v>44970.668749999997</v>
      </c>
      <c r="D43" s="13" t="s">
        <v>84</v>
      </c>
      <c r="E43" s="15" t="s">
        <v>85</v>
      </c>
      <c r="F43" s="13" t="s">
        <v>86</v>
      </c>
      <c r="G43" s="15" t="s">
        <v>87</v>
      </c>
      <c r="H43" s="13" t="s">
        <v>190</v>
      </c>
      <c r="I43" s="15" t="s">
        <v>191</v>
      </c>
      <c r="J43" s="15" t="s">
        <v>192</v>
      </c>
      <c r="K43" s="15" t="s">
        <v>193</v>
      </c>
      <c r="L43" s="13" t="s">
        <v>196</v>
      </c>
      <c r="M43" s="15" t="s">
        <v>197</v>
      </c>
      <c r="N43" s="13" t="s">
        <v>94</v>
      </c>
      <c r="O43" s="15" t="s">
        <v>103</v>
      </c>
      <c r="P43" s="15" t="s">
        <v>104</v>
      </c>
      <c r="Q43" s="15" t="s">
        <v>120</v>
      </c>
      <c r="R43" s="13" t="s">
        <v>121</v>
      </c>
      <c r="S43" s="13" t="s">
        <v>122</v>
      </c>
      <c r="T43" s="13" t="s">
        <v>123</v>
      </c>
      <c r="U43" s="14">
        <v>44126</v>
      </c>
      <c r="V43" s="14"/>
      <c r="W43" s="15" t="s">
        <v>221</v>
      </c>
      <c r="X43" s="13" t="s">
        <v>171</v>
      </c>
      <c r="Y43" s="15" t="str">
        <f>VLOOKUP(X43,'Axe 2 Règles de gestion'!$D$2:$F$49,3, FALSE)</f>
        <v>Le militaire peut demander le renouvellement du congé 3 mois avant l'expiration du congé.</v>
      </c>
      <c r="Z43" s="13" t="s">
        <v>133</v>
      </c>
      <c r="AA43" s="15" t="str">
        <f>VLOOKUP(Z43,'Axe 2 Règles de gestion'!$D$2:$F$49,3, FALSE)</f>
        <v>Le militaire doit présenter une demande.</v>
      </c>
      <c r="AB43" s="13" t="s">
        <v>135</v>
      </c>
      <c r="AC43" s="15" t="str">
        <f>VLOOKUP(AB43,'Axe 2 Règles de gestion'!$D$2:$F$49,3, FALSE)</f>
        <v>Le militaire est placé en congé par décision du ministre compétent.</v>
      </c>
      <c r="AD43" s="13" t="s">
        <v>137</v>
      </c>
      <c r="AE43" s="15" t="str">
        <f>VLOOKUP(AD43,'Axe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F43" s="13" t="s">
        <v>139</v>
      </c>
      <c r="AG43" s="15" t="str">
        <f>VLOOKUP(AF43,'Axe 2 Règles de gestion'!$D$2:$F$49,3, FALSE)</f>
        <v>Le militaire officier est tenu d'informer sans délai par écrit le ministre compétent de tout changement d'activité privée lucrative.</v>
      </c>
      <c r="AH43" s="13" t="s">
        <v>201</v>
      </c>
      <c r="AI43" s="15" t="str">
        <f>VLOOKUP(AH43,'Axe 2 Règles de gestion'!$D$2:$F$49,3, FALSE)</f>
        <v>Le militaire peut demander à souscrire un engagement à servir dans la réserve opérationnelle s'il est placé dans ce congé pour élever un enfant de moins de 8 ans.</v>
      </c>
      <c r="AJ43" s="13" t="s">
        <v>203</v>
      </c>
      <c r="AK43" s="15" t="str">
        <f>VLOOKUP(AJ43,'Axe 2 Règles de gestion'!$D$2:$F$49,3, FALSE)</f>
        <v>La durée des activités à exercer au titre d'un engagement à servir dans la réserve opérationnelle est limitée à 90 jours par année civile.</v>
      </c>
      <c r="AL43" s="13" t="s">
        <v>205</v>
      </c>
      <c r="AM43" s="15" t="str">
        <f>VLOOKUP(AL43,'Axe 2 Règles de gestion'!$D$2:$F$49,3, FALSE)</f>
        <v>En cas de nécessité liée à l'emploi des forces, la durée des activités à exercer au titre d'un engagement à servir dans la réserve opérationnelle peut être portée à 150 jours par année civile à la demande de l'administration, après accord du militaire.</v>
      </c>
      <c r="AN43" s="13" t="s">
        <v>141</v>
      </c>
      <c r="AO43" s="15" t="str">
        <f>VLOOKUP(AN43,'Axe 2 Règles de gestion'!$D$2:$F$49,3, FALSE)</f>
        <v>La durée prévisionnelle du congé ne peut pas excéder 2 ans pour chaque période.</v>
      </c>
      <c r="AP43" s="13" t="s">
        <v>143</v>
      </c>
      <c r="AQ43" s="15" t="str">
        <f>VLOOKUP(AP43,'Axe 2 Règles de gestion'!$D$2:$F$49,3, FALSE)</f>
        <v>La durée réelle du congé ne peut pas excéder 2 ans pour chaque période.</v>
      </c>
      <c r="AR43" s="13" t="s">
        <v>216</v>
      </c>
      <c r="AS43" s="15" t="str">
        <f>VLOOKUP(AR43,'Axe 2 Règles de gestion'!$D$2:$F$49,3, FALSE)</f>
        <v>La date de fin prévisionnelle de chaque période ne peut pas excéder les 12 ans de l'enfant élevé.</v>
      </c>
      <c r="AT43" s="13" t="s">
        <v>218</v>
      </c>
      <c r="AU43" s="15" t="str">
        <f>VLOOKUP(AT43,'Axe 2 Règles de gestion'!$D$2:$F$49,3, FALSE)</f>
        <v>La date de fin réelle de chaque période ne peut pas excéder les 12 ans de l'enfant élevé.</v>
      </c>
      <c r="AV43" s="13" t="s">
        <v>145</v>
      </c>
      <c r="AW43" s="15" t="str">
        <f>VLOOKUP(AV43,'Axe 2 Règles de gestion'!$D$2:$F$49,3, FALSE)</f>
        <v>La durée cumulée de l'ensemble des congés pour convenances personnelles ne doit pas excéder 10 ans.</v>
      </c>
      <c r="AX43" s="13" t="s">
        <v>147</v>
      </c>
      <c r="AY43" s="15" t="str">
        <f>VLOOKUP(AX43,'Axe 2 Règles de gestion'!$D$2:$F$49,3, FALSE)</f>
        <v>La date de fin réelle du congé doit être antérieure ou égale à la date limite de fin réelle ou prévisionnelle du lien juridique. Le militaire ne voit pas son contrat prorogé jusqu'à la date de fin du congé.</v>
      </c>
      <c r="AZ43" s="13" t="s">
        <v>149</v>
      </c>
      <c r="BA43" s="15" t="str">
        <f>VLOOKUP(AZ43,'Axe 2 Règles de gestion'!$D$2:$F$49,3, FALSE)</f>
        <v>La date de fin prévisionnelle du congé doit être antérieure ou égale à la date limite de fin réelle ou prévisionnelle du lien juridique. Le militaire ne voit pas son contrat prorogé jusqu'à la date de fin du congé.</v>
      </c>
      <c r="BB43" s="13" t="s">
        <v>151</v>
      </c>
      <c r="BC43" s="15" t="str">
        <f>VLOOKUP(BB43,'Axe 2 Règles de gestion'!$D$2:$F$49,3, FALSE)</f>
        <v>La date de début de position doit être antérieure ou égale à la date de fin prévisionnelle de position.</v>
      </c>
      <c r="BD43" s="13" t="s">
        <v>153</v>
      </c>
      <c r="BE43" s="15" t="str">
        <f>VLOOKUP(BD43,'Axe 2 Règles de gestion'!$D$2:$F$49,3, FALSE)</f>
        <v>La date de fin réelle de la position doit être antérieure à la date limite de départ à la retraite.</v>
      </c>
      <c r="BF43" s="13" t="s">
        <v>155</v>
      </c>
      <c r="BG43" s="15" t="str">
        <f>VLOOKUP(BF43,'Axe 2 Règles de gestion'!$D$2:$F$49,3, FALSE)</f>
        <v>La date de début de la position doit être postérieure ou égale à la date de début du lien juridique.</v>
      </c>
      <c r="BH43" s="13" t="s">
        <v>157</v>
      </c>
      <c r="BI43" s="15" t="str">
        <f>VLOOKUP(BH43,'Axe 2 Règles de gestion'!$D$2:$F$49,3, FALSE)</f>
        <v>La date de début de position doit être antérieure ou égale à la date de fin réelle de position.</v>
      </c>
      <c r="BJ43" s="13" t="s">
        <v>159</v>
      </c>
      <c r="BK43" s="15" t="str">
        <f>VLOOKUP(BJ43,'Axe 2 Règles de gestion'!$D$2:$F$49,3, FALSE)</f>
        <v>La date de fin prévisionnelle de la position doit être antérieure à la date limite de départ à la retraite.</v>
      </c>
      <c r="BL43" s="13" t="s">
        <v>161</v>
      </c>
      <c r="BM43" s="15" t="str">
        <f>VLOOKUP(BL43,'Axe 2 Règles de gestion'!$D$2:$F$49,3, FALSE)</f>
        <v>La date de début de position est à J+1 de la date de fin de position de l'occurrence précédente.</v>
      </c>
      <c r="BN43" s="13" t="s">
        <v>211</v>
      </c>
      <c r="BO43" s="15" t="str">
        <f>VLOOKUP(BN43,'Axe 2 Règles de gestion'!$D$2:$F$49,3, FALSE)</f>
        <v>Le lien vers l'enfant doit être renseigné.</v>
      </c>
      <c r="BP43" s="13" t="s">
        <v>213</v>
      </c>
      <c r="BQ43" s="15" t="str">
        <f>VLOOKUP(BP43,'Axe 2 Règles de gestion'!$D$2:$F$49,3, FALSE)</f>
        <v>La date de naissance de l'enfant doit être renseignée.</v>
      </c>
      <c r="BR43" s="13" t="s">
        <v>183</v>
      </c>
      <c r="BS43" s="15" t="str">
        <f>VLOOKUP(BR43,'Axe 2 Règles de gestion'!$D$2:$F$49,3, FALSE)</f>
        <v>La date de fin réelle de la position doit être antérieure ou égale à la date de décès de l'enfant.</v>
      </c>
      <c r="BT43" s="13" t="s">
        <v>185</v>
      </c>
      <c r="BU43" s="15" t="str">
        <f>VLOOKUP(BT43,'Axe 2 Règles de gestion'!$D$2:$F$49,3, FALSE)</f>
        <v>La date de fin prévisionnelle de la position doit être antérieure ou égale à la date de décès de l'enfant.</v>
      </c>
      <c r="BV43" s="13" t="s">
        <v>163</v>
      </c>
      <c r="BW43" s="15" t="str">
        <f>VLOOKUP(BV43,'Axe 2 Règles de gestion'!$D$2:$F$49,3, FALSE)</f>
        <v>La date de fin ou la date de fin prévisionnelle doit être saisie.</v>
      </c>
      <c r="BX43" s="13" t="s">
        <v>165</v>
      </c>
      <c r="BY43" s="15" t="str">
        <f>VLOOKUP(BX43,'Axe 2 Règles de gestion'!$D$2:$F$49,3, FALSE)</f>
        <v>La saisie d'une occurrence de congés/absences est interdite (date de fin réelle)</v>
      </c>
      <c r="BZ43" s="13" t="s">
        <v>167</v>
      </c>
      <c r="CA43" s="15" t="str">
        <f>VLOOKUP(BZ43,'Axe 2 Règles de gestion'!$D$2:$F$49,3, FALSE)</f>
        <v>La saisie d'une occurrence de congés/absences est interdite (date de fin prévisionnelle)</v>
      </c>
      <c r="CB43" s="13"/>
      <c r="CC43" s="13"/>
    </row>
    <row r="44" spans="1:81" ht="116" x14ac:dyDescent="0.35">
      <c r="A44" s="13" t="s">
        <v>82</v>
      </c>
      <c r="B44" s="13" t="s">
        <v>83</v>
      </c>
      <c r="C44" s="14">
        <v>44970.65625</v>
      </c>
      <c r="D44" s="13" t="s">
        <v>84</v>
      </c>
      <c r="E44" s="15" t="s">
        <v>85</v>
      </c>
      <c r="F44" s="13" t="s">
        <v>86</v>
      </c>
      <c r="G44" s="15" t="s">
        <v>87</v>
      </c>
      <c r="H44" s="13" t="s">
        <v>190</v>
      </c>
      <c r="I44" s="15" t="s">
        <v>191</v>
      </c>
      <c r="J44" s="15" t="s">
        <v>192</v>
      </c>
      <c r="K44" s="15" t="s">
        <v>193</v>
      </c>
      <c r="L44" s="13" t="s">
        <v>198</v>
      </c>
      <c r="M44" s="15" t="s">
        <v>199</v>
      </c>
      <c r="N44" s="13" t="s">
        <v>107</v>
      </c>
      <c r="O44" s="15" t="s">
        <v>108</v>
      </c>
      <c r="P44" s="15" t="s">
        <v>109</v>
      </c>
      <c r="Q44" s="15" t="s">
        <v>120</v>
      </c>
      <c r="R44" s="13" t="s">
        <v>121</v>
      </c>
      <c r="S44" s="13" t="s">
        <v>122</v>
      </c>
      <c r="T44" s="13" t="s">
        <v>123</v>
      </c>
      <c r="U44" s="14">
        <v>43831</v>
      </c>
      <c r="V44" s="14">
        <v>44125</v>
      </c>
      <c r="W44" s="15" t="s">
        <v>222</v>
      </c>
      <c r="X44" s="13" t="s">
        <v>174</v>
      </c>
      <c r="Y44" s="15" t="str">
        <f>VLOOKUP(X44,'Axe 2 Règles de gestion'!$D$2:$F$49,3, FALSE)</f>
        <v>Le militaire peut demander la réintégration dans son corps d'origine, laquelle est de droit, 3 mois avant l'expiration du congé.</v>
      </c>
      <c r="Z44" s="13" t="s">
        <v>176</v>
      </c>
      <c r="AA44" s="15" t="str">
        <f>VLOOKUP(Z44,'Axe 2 Règles de gestion'!$D$2:$F$49,3, FALSE)</f>
        <v>Le militaire qui a formulé avant l'expiration du congé une demande de réintégration est maintenu dans cette situation jusqu'à ce qu'il puisse être affecté dans un emploi correspondant à son grade.</v>
      </c>
      <c r="AB44" s="13"/>
      <c r="AC44" s="15"/>
      <c r="AD44" s="13"/>
      <c r="AE44" s="15"/>
      <c r="AF44" s="13"/>
      <c r="AG44" s="15"/>
      <c r="AH44" s="13"/>
      <c r="AI44" s="15"/>
      <c r="AJ44" s="13"/>
      <c r="AK44" s="15"/>
      <c r="AL44" s="13"/>
      <c r="AM44" s="15"/>
      <c r="AN44" s="13" t="s">
        <v>141</v>
      </c>
      <c r="AO44" s="15" t="str">
        <f>VLOOKUP(AN44,'Axe 2 Règles de gestion'!$D$2:$F$49,3, FALSE)</f>
        <v>La durée prévisionnelle du congé ne peut pas excéder 2 ans pour chaque période.</v>
      </c>
      <c r="AP44" s="13" t="s">
        <v>143</v>
      </c>
      <c r="AQ44" s="15" t="str">
        <f>VLOOKUP(AP44,'Axe 2 Règles de gestion'!$D$2:$F$49,3, FALSE)</f>
        <v>La durée réelle du congé ne peut pas excéder 2 ans pour chaque période.</v>
      </c>
      <c r="AR44" s="13" t="s">
        <v>207</v>
      </c>
      <c r="AS44" s="15" t="str">
        <f>VLOOKUP(AR44,'Axe 2 Règles de gestion'!$D$2:$F$49,3, FALSE)</f>
        <v>La date de fin prévisionnelle de chaque période ne peut pas excéder les 8 ans de l'enfant élevé.</v>
      </c>
      <c r="AT44" s="13" t="s">
        <v>209</v>
      </c>
      <c r="AU44" s="15" t="str">
        <f>VLOOKUP(AT44,'Axe 2 Règles de gestion'!$D$2:$F$49,3, FALSE)</f>
        <v>La date de fin réelle de chaque période ne peut pas excéder les 8 ans de l'enfant élevé.</v>
      </c>
      <c r="AV44" s="13" t="s">
        <v>145</v>
      </c>
      <c r="AW44" s="15" t="str">
        <f>VLOOKUP(AV44,'Axe 2 Règles de gestion'!$D$2:$F$49,3, FALSE)</f>
        <v>La durée cumulée de l'ensemble des congés pour convenances personnelles ne doit pas excéder 10 ans.</v>
      </c>
      <c r="AX44" s="13" t="s">
        <v>147</v>
      </c>
      <c r="AY44" s="15" t="str">
        <f>VLOOKUP(AX44,'Axe 2 Règles de gestion'!$D$2:$F$49,3, FALSE)</f>
        <v>La date de fin réelle du congé doit être antérieure ou égale à la date limite de fin réelle ou prévisionnelle du lien juridique. Le militaire ne voit pas son contrat prorogé jusqu'à la date de fin du congé.</v>
      </c>
      <c r="AZ44" s="13" t="s">
        <v>149</v>
      </c>
      <c r="BA44" s="15" t="str">
        <f>VLOOKUP(AZ44,'Axe 2 Règles de gestion'!$D$2:$F$49,3, FALSE)</f>
        <v>La date de fin prévisionnelle du congé doit être antérieure ou égale à la date limite de fin réelle ou prévisionnelle du lien juridique. Le militaire ne voit pas son contrat prorogé jusqu'à la date de fin du congé.</v>
      </c>
      <c r="BB44" s="13" t="s">
        <v>151</v>
      </c>
      <c r="BC44" s="15" t="str">
        <f>VLOOKUP(BB44,'Axe 2 Règles de gestion'!$D$2:$F$49,3, FALSE)</f>
        <v>La date de début de position doit être antérieure ou égale à la date de fin prévisionnelle de position.</v>
      </c>
      <c r="BD44" s="13" t="s">
        <v>153</v>
      </c>
      <c r="BE44" s="15" t="str">
        <f>VLOOKUP(BD44,'Axe 2 Règles de gestion'!$D$2:$F$49,3, FALSE)</f>
        <v>La date de fin réelle de la position doit être antérieure à la date limite de départ à la retraite.</v>
      </c>
      <c r="BF44" s="13" t="s">
        <v>155</v>
      </c>
      <c r="BG44" s="15" t="str">
        <f>VLOOKUP(BF44,'Axe 2 Règles de gestion'!$D$2:$F$49,3, FALSE)</f>
        <v>La date de début de la position doit être postérieure ou égale à la date de début du lien juridique.</v>
      </c>
      <c r="BH44" s="13" t="s">
        <v>157</v>
      </c>
      <c r="BI44" s="15" t="str">
        <f>VLOOKUP(BH44,'Axe 2 Règles de gestion'!$D$2:$F$49,3, FALSE)</f>
        <v>La date de début de position doit être antérieure ou égale à la date de fin réelle de position.</v>
      </c>
      <c r="BJ44" s="13" t="s">
        <v>159</v>
      </c>
      <c r="BK44" s="15" t="str">
        <f>VLOOKUP(BJ44,'Axe 2 Règles de gestion'!$D$2:$F$49,3, FALSE)</f>
        <v>La date de fin prévisionnelle de la position doit être antérieure à la date limite de départ à la retraite.</v>
      </c>
      <c r="BL44" s="13" t="s">
        <v>161</v>
      </c>
      <c r="BM44" s="15" t="str">
        <f>VLOOKUP(BL44,'Axe 2 Règles de gestion'!$D$2:$F$49,3, FALSE)</f>
        <v>La date de début de position est à J+1 de la date de fin de position de l'occurrence précédente.</v>
      </c>
      <c r="BN44" s="13" t="s">
        <v>211</v>
      </c>
      <c r="BO44" s="15" t="str">
        <f>VLOOKUP(BN44,'Axe 2 Règles de gestion'!$D$2:$F$49,3, FALSE)</f>
        <v>Le lien vers l'enfant doit être renseigné.</v>
      </c>
      <c r="BP44" s="13" t="s">
        <v>213</v>
      </c>
      <c r="BQ44" s="15" t="str">
        <f>VLOOKUP(BP44,'Axe 2 Règles de gestion'!$D$2:$F$49,3, FALSE)</f>
        <v>La date de naissance de l'enfant doit être renseignée.</v>
      </c>
      <c r="BR44" s="13" t="s">
        <v>183</v>
      </c>
      <c r="BS44" s="15" t="str">
        <f>VLOOKUP(BR44,'Axe 2 Règles de gestion'!$D$2:$F$49,3, FALSE)</f>
        <v>La date de fin réelle de la position doit être antérieure ou égale à la date de décès de l'enfant.</v>
      </c>
      <c r="BT44" s="13" t="s">
        <v>185</v>
      </c>
      <c r="BU44" s="15" t="str">
        <f>VLOOKUP(BT44,'Axe 2 Règles de gestion'!$D$2:$F$49,3, FALSE)</f>
        <v>La date de fin prévisionnelle de la position doit être antérieure ou égale à la date de décès de l'enfant.</v>
      </c>
      <c r="BV44" s="13" t="s">
        <v>163</v>
      </c>
      <c r="BW44" s="15" t="str">
        <f>VLOOKUP(BV44,'Axe 2 Règles de gestion'!$D$2:$F$49,3, FALSE)</f>
        <v>La date de fin ou la date de fin prévisionnelle doit être saisie.</v>
      </c>
      <c r="BX44" s="13" t="s">
        <v>165</v>
      </c>
      <c r="BY44" s="15" t="str">
        <f>VLOOKUP(BX44,'Axe 2 Règles de gestion'!$D$2:$F$49,3, FALSE)</f>
        <v>La saisie d'une occurrence de congés/absences est interdite (date de fin réelle)</v>
      </c>
      <c r="BZ44" s="13" t="s">
        <v>167</v>
      </c>
      <c r="CA44" s="15" t="str">
        <f>VLOOKUP(BZ44,'Axe 2 Règles de gestion'!$D$2:$F$49,3, FALSE)</f>
        <v>La saisie d'une occurrence de congés/absences est interdite (date de fin prévisionnelle)</v>
      </c>
      <c r="CB44" s="13"/>
      <c r="CC44" s="13"/>
    </row>
    <row r="45" spans="1:81" ht="116" x14ac:dyDescent="0.35">
      <c r="A45" s="13" t="s">
        <v>82</v>
      </c>
      <c r="B45" s="13" t="s">
        <v>83</v>
      </c>
      <c r="C45" s="14">
        <v>44970.65625</v>
      </c>
      <c r="D45" s="13" t="s">
        <v>84</v>
      </c>
      <c r="E45" s="15" t="s">
        <v>85</v>
      </c>
      <c r="F45" s="13" t="s">
        <v>86</v>
      </c>
      <c r="G45" s="15" t="s">
        <v>87</v>
      </c>
      <c r="H45" s="13" t="s">
        <v>190</v>
      </c>
      <c r="I45" s="15" t="s">
        <v>191</v>
      </c>
      <c r="J45" s="15" t="s">
        <v>192</v>
      </c>
      <c r="K45" s="15" t="s">
        <v>193</v>
      </c>
      <c r="L45" s="13" t="s">
        <v>198</v>
      </c>
      <c r="M45" s="15" t="s">
        <v>199</v>
      </c>
      <c r="N45" s="13" t="s">
        <v>107</v>
      </c>
      <c r="O45" s="15" t="s">
        <v>108</v>
      </c>
      <c r="P45" s="15" t="s">
        <v>109</v>
      </c>
      <c r="Q45" s="15" t="s">
        <v>120</v>
      </c>
      <c r="R45" s="13" t="s">
        <v>121</v>
      </c>
      <c r="S45" s="13" t="s">
        <v>122</v>
      </c>
      <c r="T45" s="13" t="s">
        <v>123</v>
      </c>
      <c r="U45" s="14">
        <v>44126</v>
      </c>
      <c r="V45" s="14"/>
      <c r="W45" s="15" t="s">
        <v>223</v>
      </c>
      <c r="X45" s="13" t="s">
        <v>174</v>
      </c>
      <c r="Y45" s="15" t="str">
        <f>VLOOKUP(X45,'Axe 2 Règles de gestion'!$D$2:$F$49,3, FALSE)</f>
        <v>Le militaire peut demander la réintégration dans son corps d'origine, laquelle est de droit, 3 mois avant l'expiration du congé.</v>
      </c>
      <c r="Z45" s="13" t="s">
        <v>176</v>
      </c>
      <c r="AA45" s="15" t="str">
        <f>VLOOKUP(Z45,'Axe 2 Règles de gestion'!$D$2:$F$49,3, FALSE)</f>
        <v>Le militaire qui a formulé avant l'expiration du congé une demande de réintégration est maintenu dans cette situation jusqu'à ce qu'il puisse être affecté dans un emploi correspondant à son grade.</v>
      </c>
      <c r="AB45" s="13"/>
      <c r="AC45" s="15"/>
      <c r="AD45" s="13"/>
      <c r="AE45" s="15"/>
      <c r="AF45" s="13"/>
      <c r="AG45" s="15"/>
      <c r="AH45" s="13"/>
      <c r="AI45" s="15"/>
      <c r="AJ45" s="13"/>
      <c r="AK45" s="15"/>
      <c r="AL45" s="13"/>
      <c r="AM45" s="15"/>
      <c r="AN45" s="13" t="s">
        <v>141</v>
      </c>
      <c r="AO45" s="15" t="str">
        <f>VLOOKUP(AN45,'Axe 2 Règles de gestion'!$D$2:$F$49,3, FALSE)</f>
        <v>La durée prévisionnelle du congé ne peut pas excéder 2 ans pour chaque période.</v>
      </c>
      <c r="AP45" s="13" t="s">
        <v>143</v>
      </c>
      <c r="AQ45" s="15" t="str">
        <f>VLOOKUP(AP45,'Axe 2 Règles de gestion'!$D$2:$F$49,3, FALSE)</f>
        <v>La durée réelle du congé ne peut pas excéder 2 ans pour chaque période.</v>
      </c>
      <c r="AR45" s="13" t="s">
        <v>216</v>
      </c>
      <c r="AS45" s="15" t="str">
        <f>VLOOKUP(AR45,'Axe 2 Règles de gestion'!$D$2:$F$49,3, FALSE)</f>
        <v>La date de fin prévisionnelle de chaque période ne peut pas excéder les 12 ans de l'enfant élevé.</v>
      </c>
      <c r="AT45" s="13" t="s">
        <v>218</v>
      </c>
      <c r="AU45" s="15" t="str">
        <f>VLOOKUP(AT45,'Axe 2 Règles de gestion'!$D$2:$F$49,3, FALSE)</f>
        <v>La date de fin réelle de chaque période ne peut pas excéder les 12 ans de l'enfant élevé.</v>
      </c>
      <c r="AV45" s="13" t="s">
        <v>145</v>
      </c>
      <c r="AW45" s="15" t="str">
        <f>VLOOKUP(AV45,'Axe 2 Règles de gestion'!$D$2:$F$49,3, FALSE)</f>
        <v>La durée cumulée de l'ensemble des congés pour convenances personnelles ne doit pas excéder 10 ans.</v>
      </c>
      <c r="AX45" s="13" t="s">
        <v>147</v>
      </c>
      <c r="AY45" s="15" t="str">
        <f>VLOOKUP(AX45,'Axe 2 Règles de gestion'!$D$2:$F$49,3, FALSE)</f>
        <v>La date de fin réelle du congé doit être antérieure ou égale à la date limite de fin réelle ou prévisionnelle du lien juridique. Le militaire ne voit pas son contrat prorogé jusqu'à la date de fin du congé.</v>
      </c>
      <c r="AZ45" s="13" t="s">
        <v>149</v>
      </c>
      <c r="BA45" s="15" t="str">
        <f>VLOOKUP(AZ45,'Axe 2 Règles de gestion'!$D$2:$F$49,3, FALSE)</f>
        <v>La date de fin prévisionnelle du congé doit être antérieure ou égale à la date limite de fin réelle ou prévisionnelle du lien juridique. Le militaire ne voit pas son contrat prorogé jusqu'à la date de fin du congé.</v>
      </c>
      <c r="BB45" s="13" t="s">
        <v>151</v>
      </c>
      <c r="BC45" s="15" t="str">
        <f>VLOOKUP(BB45,'Axe 2 Règles de gestion'!$D$2:$F$49,3, FALSE)</f>
        <v>La date de début de position doit être antérieure ou égale à la date de fin prévisionnelle de position.</v>
      </c>
      <c r="BD45" s="13" t="s">
        <v>153</v>
      </c>
      <c r="BE45" s="15" t="str">
        <f>VLOOKUP(BD45,'Axe 2 Règles de gestion'!$D$2:$F$49,3, FALSE)</f>
        <v>La date de fin réelle de la position doit être antérieure à la date limite de départ à la retraite.</v>
      </c>
      <c r="BF45" s="13" t="s">
        <v>157</v>
      </c>
      <c r="BG45" s="15" t="str">
        <f>VLOOKUP(BF45,'Axe 2 Règles de gestion'!$D$2:$F$49,3, FALSE)</f>
        <v>La date de début de position doit être antérieure ou égale à la date de fin réelle de position.</v>
      </c>
      <c r="BH45" s="13" t="s">
        <v>159</v>
      </c>
      <c r="BI45" s="15" t="str">
        <f>VLOOKUP(BH45,'Axe 2 Règles de gestion'!$D$2:$F$49,3, FALSE)</f>
        <v>La date de fin prévisionnelle de la position doit être antérieure à la date limite de départ à la retraite.</v>
      </c>
      <c r="BJ45" s="13" t="s">
        <v>211</v>
      </c>
      <c r="BK45" s="15" t="str">
        <f>VLOOKUP(BJ45,'Axe 2 Règles de gestion'!$D$2:$F$49,3, FALSE)</f>
        <v>Le lien vers l'enfant doit être renseigné.</v>
      </c>
      <c r="BL45" s="13" t="s">
        <v>213</v>
      </c>
      <c r="BM45" s="15" t="str">
        <f>VLOOKUP(BL45,'Axe 2 Règles de gestion'!$D$2:$F$49,3, FALSE)</f>
        <v>La date de naissance de l'enfant doit être renseignée.</v>
      </c>
      <c r="BN45" s="13" t="s">
        <v>183</v>
      </c>
      <c r="BO45" s="15" t="str">
        <f>VLOOKUP(BN45,'Axe 2 Règles de gestion'!$D$2:$F$49,3, FALSE)</f>
        <v>La date de fin réelle de la position doit être antérieure ou égale à la date de décès de l'enfant.</v>
      </c>
      <c r="BP45" s="13" t="s">
        <v>185</v>
      </c>
      <c r="BQ45" s="15" t="str">
        <f>VLOOKUP(BP45,'Axe 2 Règles de gestion'!$D$2:$F$49,3, FALSE)</f>
        <v>La date de fin prévisionnelle de la position doit être antérieure ou égale à la date de décès de l'enfant.</v>
      </c>
      <c r="BR45" s="13" t="s">
        <v>163</v>
      </c>
      <c r="BS45" s="15" t="str">
        <f>VLOOKUP(BR45,'Axe 2 Règles de gestion'!$D$2:$F$49,3, FALSE)</f>
        <v>La date de fin ou la date de fin prévisionnelle doit être saisie.</v>
      </c>
      <c r="BT45" s="13" t="s">
        <v>165</v>
      </c>
      <c r="BU45" s="15" t="str">
        <f>VLOOKUP(BT45,'Axe 2 Règles de gestion'!$D$2:$F$49,3, FALSE)</f>
        <v>La saisie d'une occurrence de congés/absences est interdite (date de fin réelle)</v>
      </c>
      <c r="BV45" s="13" t="s">
        <v>167</v>
      </c>
      <c r="BW45" s="15" t="str">
        <f>VLOOKUP(BV45,'Axe 2 Règles de gestion'!$D$2:$F$49,3, FALSE)</f>
        <v>La saisie d'une occurrence de congés/absences est interdite (date de fin prévisionnelle)</v>
      </c>
      <c r="BX45" s="13"/>
      <c r="BY45" s="15"/>
      <c r="BZ45" s="13"/>
      <c r="CA45" s="15"/>
      <c r="CB45" s="13"/>
      <c r="CC45" s="13"/>
    </row>
    <row r="46" spans="1:81" ht="145" x14ac:dyDescent="0.35">
      <c r="A46" s="13" t="s">
        <v>82</v>
      </c>
      <c r="B46" s="13" t="s">
        <v>83</v>
      </c>
      <c r="C46" s="14">
        <v>44970.643750000003</v>
      </c>
      <c r="D46" s="13" t="s">
        <v>84</v>
      </c>
      <c r="E46" s="15" t="s">
        <v>85</v>
      </c>
      <c r="F46" s="13" t="s">
        <v>86</v>
      </c>
      <c r="G46" s="15" t="s">
        <v>87</v>
      </c>
      <c r="H46" s="13" t="s">
        <v>190</v>
      </c>
      <c r="I46" s="15" t="s">
        <v>191</v>
      </c>
      <c r="J46" s="15" t="s">
        <v>192</v>
      </c>
      <c r="K46" s="15" t="s">
        <v>193</v>
      </c>
      <c r="L46" s="13" t="s">
        <v>194</v>
      </c>
      <c r="M46" s="15" t="s">
        <v>195</v>
      </c>
      <c r="N46" s="13" t="s">
        <v>94</v>
      </c>
      <c r="O46" s="15" t="s">
        <v>95</v>
      </c>
      <c r="P46" s="15" t="s">
        <v>96</v>
      </c>
      <c r="Q46" s="15" t="s">
        <v>178</v>
      </c>
      <c r="R46" s="13" t="s">
        <v>179</v>
      </c>
      <c r="S46" s="13" t="s">
        <v>122</v>
      </c>
      <c r="T46" s="13" t="s">
        <v>123</v>
      </c>
      <c r="U46" s="14">
        <v>43831</v>
      </c>
      <c r="V46" s="14">
        <v>44125</v>
      </c>
      <c r="W46" s="15" t="s">
        <v>224</v>
      </c>
      <c r="X46" s="13" t="s">
        <v>133</v>
      </c>
      <c r="Y46" s="15" t="str">
        <f>VLOOKUP(X46,'Axe 2 Règles de gestion'!$D$2:$F$49,3, FALSE)</f>
        <v>Le militaire doit présenter une demande.</v>
      </c>
      <c r="Z46" s="13" t="s">
        <v>135</v>
      </c>
      <c r="AA46" s="15" t="str">
        <f>VLOOKUP(Z46,'Axe 2 Règles de gestion'!$D$2:$F$49,3, FALSE)</f>
        <v>Le militaire est placé en congé par décision du ministre compétent.</v>
      </c>
      <c r="AB46" s="13" t="s">
        <v>137</v>
      </c>
      <c r="AC46" s="15" t="str">
        <f>VLOOKUP(AB46,'Axe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D46" s="13" t="s">
        <v>139</v>
      </c>
      <c r="AE46" s="15" t="str">
        <f>VLOOKUP(AD46,'Axe 2 Règles de gestion'!$D$2:$F$49,3, FALSE)</f>
        <v>Le militaire officier est tenu d'informer sans délai par écrit le ministre compétent de tout changement d'activité privée lucrative.</v>
      </c>
      <c r="AF46" s="13" t="s">
        <v>201</v>
      </c>
      <c r="AG46" s="15" t="str">
        <f>VLOOKUP(AF46,'Axe 2 Règles de gestion'!$D$2:$F$49,3, FALSE)</f>
        <v>Le militaire peut demander à souscrire un engagement à servir dans la réserve opérationnelle s'il est placé dans ce congé pour élever un enfant de moins de 8 ans.</v>
      </c>
      <c r="AH46" s="13" t="s">
        <v>203</v>
      </c>
      <c r="AI46" s="15" t="str">
        <f>VLOOKUP(AH46,'Axe 2 Règles de gestion'!$D$2:$F$49,3, FALSE)</f>
        <v>La durée des activités à exercer au titre d'un engagement à servir dans la réserve opérationnelle est limitée à 90 jours par année civile.</v>
      </c>
      <c r="AJ46" s="13" t="s">
        <v>205</v>
      </c>
      <c r="AK46" s="15" t="str">
        <f>VLOOKUP(AJ46,'Axe 2 Règles de gestion'!$D$2:$F$49,3, FALSE)</f>
        <v>En cas de nécessité liée à l'emploi des forces, la durée des activités à exercer au titre d'un engagement à servir dans la réserve opérationnelle peut être portée à 150 jours par année civile à la demande de l'administration, après accord du militaire.</v>
      </c>
      <c r="AL46" s="13"/>
      <c r="AM46" s="15"/>
      <c r="AN46" s="13" t="s">
        <v>141</v>
      </c>
      <c r="AO46" s="15" t="str">
        <f>VLOOKUP(AN46,'Axe 2 Règles de gestion'!$D$2:$F$49,3, FALSE)</f>
        <v>La durée prévisionnelle du congé ne peut pas excéder 2 ans pour chaque période.</v>
      </c>
      <c r="AP46" s="13" t="s">
        <v>143</v>
      </c>
      <c r="AQ46" s="15" t="str">
        <f>VLOOKUP(AP46,'Axe 2 Règles de gestion'!$D$2:$F$49,3, FALSE)</f>
        <v>La durée réelle du congé ne peut pas excéder 2 ans pour chaque période.</v>
      </c>
      <c r="AR46" s="13" t="s">
        <v>207</v>
      </c>
      <c r="AS46" s="15" t="str">
        <f>VLOOKUP(AR46,'Axe 2 Règles de gestion'!$D$2:$F$49,3, FALSE)</f>
        <v>La date de fin prévisionnelle de chaque période ne peut pas excéder les 8 ans de l'enfant élevé.</v>
      </c>
      <c r="AT46" s="13" t="s">
        <v>209</v>
      </c>
      <c r="AU46" s="15" t="str">
        <f>VLOOKUP(AT46,'Axe 2 Règles de gestion'!$D$2:$F$49,3, FALSE)</f>
        <v>La date de fin réelle de chaque période ne peut pas excéder les 8 ans de l'enfant élevé.</v>
      </c>
      <c r="AV46" s="13" t="s">
        <v>145</v>
      </c>
      <c r="AW46" s="15" t="str">
        <f>VLOOKUP(AV46,'Axe 2 Règles de gestion'!$D$2:$F$49,3, FALSE)</f>
        <v>La durée cumulée de l'ensemble des congés pour convenances personnelles ne doit pas excéder 10 ans.</v>
      </c>
      <c r="AX46" s="13"/>
      <c r="AY46" s="15"/>
      <c r="AZ46" s="13"/>
      <c r="BA46" s="15"/>
      <c r="BB46" s="13" t="s">
        <v>151</v>
      </c>
      <c r="BC46" s="15" t="str">
        <f>VLOOKUP(BB46,'Axe 2 Règles de gestion'!$D$2:$F$49,3, FALSE)</f>
        <v>La date de début de position doit être antérieure ou égale à la date de fin prévisionnelle de position.</v>
      </c>
      <c r="BD46" s="13" t="s">
        <v>181</v>
      </c>
      <c r="BE46" s="15" t="str">
        <f>VLOOKUP(BD46,'Axe 2 Règles de gestion'!$D$2:$F$49,3, FALSE)</f>
        <v>La date de début de la position doit être postérieure ou égale à la date d'entrée dans la FPE ou dans la carrière militaire.</v>
      </c>
      <c r="BF46" s="13" t="s">
        <v>153</v>
      </c>
      <c r="BG46" s="15" t="str">
        <f>VLOOKUP(BF46,'Axe 2 Règles de gestion'!$D$2:$F$49,3, FALSE)</f>
        <v>La date de fin réelle de la position doit être antérieure à la date limite de départ à la retraite.</v>
      </c>
      <c r="BH46" s="13" t="s">
        <v>157</v>
      </c>
      <c r="BI46" s="15" t="str">
        <f>VLOOKUP(BH46,'Axe 2 Règles de gestion'!$D$2:$F$49,3, FALSE)</f>
        <v>La date de début de position doit être antérieure ou égale à la date de fin réelle de position.</v>
      </c>
      <c r="BJ46" s="13" t="s">
        <v>159</v>
      </c>
      <c r="BK46" s="15" t="str">
        <f>VLOOKUP(BJ46,'Axe 2 Règles de gestion'!$D$2:$F$49,3, FALSE)</f>
        <v>La date de fin prévisionnelle de la position doit être antérieure à la date limite de départ à la retraite.</v>
      </c>
      <c r="BL46" s="13" t="s">
        <v>161</v>
      </c>
      <c r="BM46" s="15" t="str">
        <f>VLOOKUP(BL46,'Axe 2 Règles de gestion'!$D$2:$F$49,3, FALSE)</f>
        <v>La date de début de position est à J+1 de la date de fin de position de l'occurrence précédente.</v>
      </c>
      <c r="BN46" s="13" t="s">
        <v>211</v>
      </c>
      <c r="BO46" s="15" t="str">
        <f>VLOOKUP(BN46,'Axe 2 Règles de gestion'!$D$2:$F$49,3, FALSE)</f>
        <v>Le lien vers l'enfant doit être renseigné.</v>
      </c>
      <c r="BP46" s="13" t="s">
        <v>183</v>
      </c>
      <c r="BQ46" s="15" t="str">
        <f>VLOOKUP(BP46,'Axe 2 Règles de gestion'!$D$2:$F$49,3, FALSE)</f>
        <v>La date de fin réelle de la position doit être antérieure ou égale à la date de décès de l'enfant.</v>
      </c>
      <c r="BR46" s="13" t="s">
        <v>185</v>
      </c>
      <c r="BS46" s="15" t="str">
        <f>VLOOKUP(BR46,'Axe 2 Règles de gestion'!$D$2:$F$49,3, FALSE)</f>
        <v>La date de fin prévisionnelle de la position doit être antérieure ou égale à la date de décès de l'enfant.</v>
      </c>
      <c r="BT46" s="13" t="s">
        <v>163</v>
      </c>
      <c r="BU46" s="15" t="str">
        <f>VLOOKUP(BT46,'Axe 2 Règles de gestion'!$D$2:$F$49,3, FALSE)</f>
        <v>La date de fin ou la date de fin prévisionnelle doit être saisie.</v>
      </c>
      <c r="BV46" s="13" t="s">
        <v>165</v>
      </c>
      <c r="BW46" s="15" t="str">
        <f>VLOOKUP(BV46,'Axe 2 Règles de gestion'!$D$2:$F$49,3, FALSE)</f>
        <v>La saisie d'une occurrence de congés/absences est interdite (date de fin réelle)</v>
      </c>
      <c r="BX46" s="13" t="s">
        <v>167</v>
      </c>
      <c r="BY46" s="15" t="str">
        <f>VLOOKUP(BX46,'Axe 2 Règles de gestion'!$D$2:$F$49,3, FALSE)</f>
        <v>La saisie d'une occurrence de congés/absences est interdite (date de fin prévisionnelle)</v>
      </c>
      <c r="BZ46" s="13" t="s">
        <v>213</v>
      </c>
      <c r="CA46" s="15" t="str">
        <f>VLOOKUP(BZ46,'Axe 2 Règles de gestion'!$D$2:$F$49,3, FALSE)</f>
        <v>La date de naissance de l'enfant doit être renseignée.</v>
      </c>
      <c r="CB46" s="13"/>
      <c r="CC46" s="13"/>
    </row>
    <row r="47" spans="1:81" ht="145" x14ac:dyDescent="0.35">
      <c r="A47" s="13" t="s">
        <v>82</v>
      </c>
      <c r="B47" s="13" t="s">
        <v>83</v>
      </c>
      <c r="C47" s="14">
        <v>44970.67083333333</v>
      </c>
      <c r="D47" s="13" t="s">
        <v>84</v>
      </c>
      <c r="E47" s="15" t="s">
        <v>85</v>
      </c>
      <c r="F47" s="13" t="s">
        <v>86</v>
      </c>
      <c r="G47" s="15" t="s">
        <v>87</v>
      </c>
      <c r="H47" s="13" t="s">
        <v>190</v>
      </c>
      <c r="I47" s="15" t="s">
        <v>191</v>
      </c>
      <c r="J47" s="15" t="s">
        <v>192</v>
      </c>
      <c r="K47" s="15" t="s">
        <v>193</v>
      </c>
      <c r="L47" s="13" t="s">
        <v>194</v>
      </c>
      <c r="M47" s="15" t="s">
        <v>195</v>
      </c>
      <c r="N47" s="13" t="s">
        <v>94</v>
      </c>
      <c r="O47" s="15" t="s">
        <v>95</v>
      </c>
      <c r="P47" s="15" t="s">
        <v>96</v>
      </c>
      <c r="Q47" s="15" t="s">
        <v>178</v>
      </c>
      <c r="R47" s="13" t="s">
        <v>179</v>
      </c>
      <c r="S47" s="13" t="s">
        <v>122</v>
      </c>
      <c r="T47" s="13" t="s">
        <v>123</v>
      </c>
      <c r="U47" s="14">
        <v>44126</v>
      </c>
      <c r="V47" s="14"/>
      <c r="W47" s="15" t="s">
        <v>225</v>
      </c>
      <c r="X47" s="13" t="s">
        <v>133</v>
      </c>
      <c r="Y47" s="15" t="str">
        <f>VLOOKUP(X47,'Axe 2 Règles de gestion'!$D$2:$F$49,3, FALSE)</f>
        <v>Le militaire doit présenter une demande.</v>
      </c>
      <c r="Z47" s="13" t="s">
        <v>135</v>
      </c>
      <c r="AA47" s="15" t="str">
        <f>VLOOKUP(Z47,'Axe 2 Règles de gestion'!$D$2:$F$49,3, FALSE)</f>
        <v>Le militaire est placé en congé par décision du ministre compétent.</v>
      </c>
      <c r="AB47" s="13" t="s">
        <v>137</v>
      </c>
      <c r="AC47" s="15" t="str">
        <f>VLOOKUP(AB47,'Axe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D47" s="13" t="s">
        <v>139</v>
      </c>
      <c r="AE47" s="15" t="str">
        <f>VLOOKUP(AD47,'Axe 2 Règles de gestion'!$D$2:$F$49,3, FALSE)</f>
        <v>Le militaire officier est tenu d'informer sans délai par écrit le ministre compétent de tout changement d'activité privée lucrative.</v>
      </c>
      <c r="AF47" s="13" t="s">
        <v>201</v>
      </c>
      <c r="AG47" s="15" t="str">
        <f>VLOOKUP(AF47,'Axe 2 Règles de gestion'!$D$2:$F$49,3, FALSE)</f>
        <v>Le militaire peut demander à souscrire un engagement à servir dans la réserve opérationnelle s'il est placé dans ce congé pour élever un enfant de moins de 8 ans.</v>
      </c>
      <c r="AH47" s="13" t="s">
        <v>203</v>
      </c>
      <c r="AI47" s="15" t="str">
        <f>VLOOKUP(AH47,'Axe 2 Règles de gestion'!$D$2:$F$49,3, FALSE)</f>
        <v>La durée des activités à exercer au titre d'un engagement à servir dans la réserve opérationnelle est limitée à 90 jours par année civile.</v>
      </c>
      <c r="AJ47" s="13" t="s">
        <v>205</v>
      </c>
      <c r="AK47" s="15" t="str">
        <f>VLOOKUP(AJ47,'Axe 2 Règles de gestion'!$D$2:$F$49,3, FALSE)</f>
        <v>En cas de nécessité liée à l'emploi des forces, la durée des activités à exercer au titre d'un engagement à servir dans la réserve opérationnelle peut être portée à 150 jours par année civile à la demande de l'administration, après accord du militaire.</v>
      </c>
      <c r="AL47" s="13"/>
      <c r="AM47" s="15"/>
      <c r="AN47" s="13" t="s">
        <v>141</v>
      </c>
      <c r="AO47" s="15" t="str">
        <f>VLOOKUP(AN47,'Axe 2 Règles de gestion'!$D$2:$F$49,3, FALSE)</f>
        <v>La durée prévisionnelle du congé ne peut pas excéder 2 ans pour chaque période.</v>
      </c>
      <c r="AP47" s="13" t="s">
        <v>143</v>
      </c>
      <c r="AQ47" s="15" t="str">
        <f>VLOOKUP(AP47,'Axe 2 Règles de gestion'!$D$2:$F$49,3, FALSE)</f>
        <v>La durée réelle du congé ne peut pas excéder 2 ans pour chaque période.</v>
      </c>
      <c r="AR47" s="13" t="s">
        <v>216</v>
      </c>
      <c r="AS47" s="15" t="str">
        <f>VLOOKUP(AR47,'Axe 2 Règles de gestion'!$D$2:$F$49,3, FALSE)</f>
        <v>La date de fin prévisionnelle de chaque période ne peut pas excéder les 12 ans de l'enfant élevé.</v>
      </c>
      <c r="AT47" s="13" t="s">
        <v>218</v>
      </c>
      <c r="AU47" s="15" t="str">
        <f>VLOOKUP(AT47,'Axe 2 Règles de gestion'!$D$2:$F$49,3, FALSE)</f>
        <v>La date de fin réelle de chaque période ne peut pas excéder les 12 ans de l'enfant élevé.</v>
      </c>
      <c r="AV47" s="13" t="s">
        <v>145</v>
      </c>
      <c r="AW47" s="15" t="str">
        <f>VLOOKUP(AV47,'Axe 2 Règles de gestion'!$D$2:$F$49,3, FALSE)</f>
        <v>La durée cumulée de l'ensemble des congés pour convenances personnelles ne doit pas excéder 10 ans.</v>
      </c>
      <c r="AX47" s="13"/>
      <c r="AY47" s="15"/>
      <c r="AZ47" s="13"/>
      <c r="BA47" s="15"/>
      <c r="BB47" s="13" t="s">
        <v>151</v>
      </c>
      <c r="BC47" s="15" t="str">
        <f>VLOOKUP(BB47,'Axe 2 Règles de gestion'!$D$2:$F$49,3, FALSE)</f>
        <v>La date de début de position doit être antérieure ou égale à la date de fin prévisionnelle de position.</v>
      </c>
      <c r="BD47" s="13" t="s">
        <v>181</v>
      </c>
      <c r="BE47" s="15" t="str">
        <f>VLOOKUP(BD47,'Axe 2 Règles de gestion'!$D$2:$F$49,3, FALSE)</f>
        <v>La date de début de la position doit être postérieure ou égale à la date d'entrée dans la FPE ou dans la carrière militaire.</v>
      </c>
      <c r="BF47" s="13" t="s">
        <v>153</v>
      </c>
      <c r="BG47" s="15" t="str">
        <f>VLOOKUP(BF47,'Axe 2 Règles de gestion'!$D$2:$F$49,3, FALSE)</f>
        <v>La date de fin réelle de la position doit être antérieure à la date limite de départ à la retraite.</v>
      </c>
      <c r="BH47" s="13" t="s">
        <v>157</v>
      </c>
      <c r="BI47" s="15" t="str">
        <f>VLOOKUP(BH47,'Axe 2 Règles de gestion'!$D$2:$F$49,3, FALSE)</f>
        <v>La date de début de position doit être antérieure ou égale à la date de fin réelle de position.</v>
      </c>
      <c r="BJ47" s="13" t="s">
        <v>159</v>
      </c>
      <c r="BK47" s="15" t="str">
        <f>VLOOKUP(BJ47,'Axe 2 Règles de gestion'!$D$2:$F$49,3, FALSE)</f>
        <v>La date de fin prévisionnelle de la position doit être antérieure à la date limite de départ à la retraite.</v>
      </c>
      <c r="BL47" s="13" t="s">
        <v>161</v>
      </c>
      <c r="BM47" s="15" t="str">
        <f>VLOOKUP(BL47,'Axe 2 Règles de gestion'!$D$2:$F$49,3, FALSE)</f>
        <v>La date de début de position est à J+1 de la date de fin de position de l'occurrence précédente.</v>
      </c>
      <c r="BN47" s="13" t="s">
        <v>211</v>
      </c>
      <c r="BO47" s="15" t="str">
        <f>VLOOKUP(BN47,'Axe 2 Règles de gestion'!$D$2:$F$49,3, FALSE)</f>
        <v>Le lien vers l'enfant doit être renseigné.</v>
      </c>
      <c r="BP47" s="13" t="s">
        <v>183</v>
      </c>
      <c r="BQ47" s="15" t="str">
        <f>VLOOKUP(BP47,'Axe 2 Règles de gestion'!$D$2:$F$49,3, FALSE)</f>
        <v>La date de fin réelle de la position doit être antérieure ou égale à la date de décès de l'enfant.</v>
      </c>
      <c r="BR47" s="13" t="s">
        <v>185</v>
      </c>
      <c r="BS47" s="15" t="str">
        <f>VLOOKUP(BR47,'Axe 2 Règles de gestion'!$D$2:$F$49,3, FALSE)</f>
        <v>La date de fin prévisionnelle de la position doit être antérieure ou égale à la date de décès de l'enfant.</v>
      </c>
      <c r="BT47" s="13" t="s">
        <v>163</v>
      </c>
      <c r="BU47" s="15" t="str">
        <f>VLOOKUP(BT47,'Axe 2 Règles de gestion'!$D$2:$F$49,3, FALSE)</f>
        <v>La date de fin ou la date de fin prévisionnelle doit être saisie.</v>
      </c>
      <c r="BV47" s="13" t="s">
        <v>165</v>
      </c>
      <c r="BW47" s="15" t="str">
        <f>VLOOKUP(BV47,'Axe 2 Règles de gestion'!$D$2:$F$49,3, FALSE)</f>
        <v>La saisie d'une occurrence de congés/absences est interdite (date de fin réelle)</v>
      </c>
      <c r="BX47" s="13" t="s">
        <v>167</v>
      </c>
      <c r="BY47" s="15" t="str">
        <f>VLOOKUP(BX47,'Axe 2 Règles de gestion'!$D$2:$F$49,3, FALSE)</f>
        <v>La saisie d'une occurrence de congés/absences est interdite (date de fin prévisionnelle)</v>
      </c>
      <c r="BZ47" s="13" t="s">
        <v>213</v>
      </c>
      <c r="CA47" s="15" t="str">
        <f>VLOOKUP(BZ47,'Axe 2 Règles de gestion'!$D$2:$F$49,3, FALSE)</f>
        <v>La date de naissance de l'enfant doit être renseignée.</v>
      </c>
      <c r="CB47" s="13"/>
      <c r="CC47" s="13"/>
    </row>
    <row r="48" spans="1:81" ht="145" x14ac:dyDescent="0.35">
      <c r="A48" s="13" t="s">
        <v>82</v>
      </c>
      <c r="B48" s="13" t="s">
        <v>83</v>
      </c>
      <c r="C48" s="14">
        <v>44970.645833333336</v>
      </c>
      <c r="D48" s="13" t="s">
        <v>84</v>
      </c>
      <c r="E48" s="15" t="s">
        <v>85</v>
      </c>
      <c r="F48" s="13" t="s">
        <v>86</v>
      </c>
      <c r="G48" s="15" t="s">
        <v>87</v>
      </c>
      <c r="H48" s="13" t="s">
        <v>190</v>
      </c>
      <c r="I48" s="15" t="s">
        <v>191</v>
      </c>
      <c r="J48" s="15" t="s">
        <v>192</v>
      </c>
      <c r="K48" s="15" t="s">
        <v>193</v>
      </c>
      <c r="L48" s="13" t="s">
        <v>196</v>
      </c>
      <c r="M48" s="15" t="s">
        <v>197</v>
      </c>
      <c r="N48" s="13" t="s">
        <v>94</v>
      </c>
      <c r="O48" s="15" t="s">
        <v>103</v>
      </c>
      <c r="P48" s="15" t="s">
        <v>104</v>
      </c>
      <c r="Q48" s="15" t="s">
        <v>178</v>
      </c>
      <c r="R48" s="13" t="s">
        <v>179</v>
      </c>
      <c r="S48" s="13" t="s">
        <v>122</v>
      </c>
      <c r="T48" s="13" t="s">
        <v>123</v>
      </c>
      <c r="U48" s="14">
        <v>43831</v>
      </c>
      <c r="V48" s="14">
        <v>44125</v>
      </c>
      <c r="W48" s="15" t="s">
        <v>226</v>
      </c>
      <c r="X48" s="13" t="s">
        <v>171</v>
      </c>
      <c r="Y48" s="15" t="str">
        <f>VLOOKUP(X48,'Axe 2 Règles de gestion'!$D$2:$F$49,3, FALSE)</f>
        <v>Le militaire peut demander le renouvellement du congé 3 mois avant l'expiration du congé.</v>
      </c>
      <c r="Z48" s="13" t="s">
        <v>133</v>
      </c>
      <c r="AA48" s="15" t="str">
        <f>VLOOKUP(Z48,'Axe 2 Règles de gestion'!$D$2:$F$49,3, FALSE)</f>
        <v>Le militaire doit présenter une demande.</v>
      </c>
      <c r="AB48" s="13" t="s">
        <v>135</v>
      </c>
      <c r="AC48" s="15" t="str">
        <f>VLOOKUP(AB48,'Axe 2 Règles de gestion'!$D$2:$F$49,3, FALSE)</f>
        <v>Le militaire est placé en congé par décision du ministre compétent.</v>
      </c>
      <c r="AD48" s="13" t="s">
        <v>137</v>
      </c>
      <c r="AE48" s="15" t="str">
        <f>VLOOKUP(AD48,'Axe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F48" s="13" t="s">
        <v>139</v>
      </c>
      <c r="AG48" s="15" t="str">
        <f>VLOOKUP(AF48,'Axe 2 Règles de gestion'!$D$2:$F$49,3, FALSE)</f>
        <v>Le militaire officier est tenu d'informer sans délai par écrit le ministre compétent de tout changement d'activité privée lucrative.</v>
      </c>
      <c r="AH48" s="13" t="s">
        <v>201</v>
      </c>
      <c r="AI48" s="15" t="str">
        <f>VLOOKUP(AH48,'Axe 2 Règles de gestion'!$D$2:$F$49,3, FALSE)</f>
        <v>Le militaire peut demander à souscrire un engagement à servir dans la réserve opérationnelle s'il est placé dans ce congé pour élever un enfant de moins de 8 ans.</v>
      </c>
      <c r="AJ48" s="13" t="s">
        <v>203</v>
      </c>
      <c r="AK48" s="15" t="str">
        <f>VLOOKUP(AJ48,'Axe 2 Règles de gestion'!$D$2:$F$49,3, FALSE)</f>
        <v>La durée des activités à exercer au titre d'un engagement à servir dans la réserve opérationnelle est limitée à 90 jours par année civile.</v>
      </c>
      <c r="AL48" s="13" t="s">
        <v>205</v>
      </c>
      <c r="AM48" s="15" t="str">
        <f>VLOOKUP(AL48,'Axe 2 Règles de gestion'!$D$2:$F$49,3, FALSE)</f>
        <v>En cas de nécessité liée à l'emploi des forces, la durée des activités à exercer au titre d'un engagement à servir dans la réserve opérationnelle peut être portée à 150 jours par année civile à la demande de l'administration, après accord du militaire.</v>
      </c>
      <c r="AN48" s="13" t="s">
        <v>141</v>
      </c>
      <c r="AO48" s="15" t="str">
        <f>VLOOKUP(AN48,'Axe 2 Règles de gestion'!$D$2:$F$49,3, FALSE)</f>
        <v>La durée prévisionnelle du congé ne peut pas excéder 2 ans pour chaque période.</v>
      </c>
      <c r="AP48" s="13" t="s">
        <v>143</v>
      </c>
      <c r="AQ48" s="15" t="str">
        <f>VLOOKUP(AP48,'Axe 2 Règles de gestion'!$D$2:$F$49,3, FALSE)</f>
        <v>La durée réelle du congé ne peut pas excéder 2 ans pour chaque période.</v>
      </c>
      <c r="AR48" s="13" t="s">
        <v>207</v>
      </c>
      <c r="AS48" s="15" t="str">
        <f>VLOOKUP(AR48,'Axe 2 Règles de gestion'!$D$2:$F$49,3, FALSE)</f>
        <v>La date de fin prévisionnelle de chaque période ne peut pas excéder les 8 ans de l'enfant élevé.</v>
      </c>
      <c r="AT48" s="13" t="s">
        <v>209</v>
      </c>
      <c r="AU48" s="15" t="str">
        <f>VLOOKUP(AT48,'Axe 2 Règles de gestion'!$D$2:$F$49,3, FALSE)</f>
        <v>La date de fin réelle de chaque période ne peut pas excéder les 8 ans de l'enfant élevé.</v>
      </c>
      <c r="AV48" s="13" t="s">
        <v>145</v>
      </c>
      <c r="AW48" s="15" t="str">
        <f>VLOOKUP(AV48,'Axe 2 Règles de gestion'!$D$2:$F$49,3, FALSE)</f>
        <v>La durée cumulée de l'ensemble des congés pour convenances personnelles ne doit pas excéder 10 ans.</v>
      </c>
      <c r="AX48" s="13"/>
      <c r="AY48" s="15"/>
      <c r="AZ48" s="13"/>
      <c r="BA48" s="15"/>
      <c r="BB48" s="13" t="s">
        <v>151</v>
      </c>
      <c r="BC48" s="15" t="str">
        <f>VLOOKUP(BB48,'Axe 2 Règles de gestion'!$D$2:$F$49,3, FALSE)</f>
        <v>La date de début de position doit être antérieure ou égale à la date de fin prévisionnelle de position.</v>
      </c>
      <c r="BD48" s="13" t="s">
        <v>153</v>
      </c>
      <c r="BE48" s="15" t="str">
        <f>VLOOKUP(BD48,'Axe 2 Règles de gestion'!$D$2:$F$49,3, FALSE)</f>
        <v>La date de fin réelle de la position doit être antérieure à la date limite de départ à la retraite.</v>
      </c>
      <c r="BF48" s="13" t="s">
        <v>157</v>
      </c>
      <c r="BG48" s="15" t="str">
        <f>VLOOKUP(BF48,'Axe 2 Règles de gestion'!$D$2:$F$49,3, FALSE)</f>
        <v>La date de début de position doit être antérieure ou égale à la date de fin réelle de position.</v>
      </c>
      <c r="BH48" s="13" t="s">
        <v>159</v>
      </c>
      <c r="BI48" s="15" t="str">
        <f>VLOOKUP(BH48,'Axe 2 Règles de gestion'!$D$2:$F$49,3, FALSE)</f>
        <v>La date de fin prévisionnelle de la position doit être antérieure à la date limite de départ à la retraite.</v>
      </c>
      <c r="BJ48" s="13" t="s">
        <v>211</v>
      </c>
      <c r="BK48" s="15" t="str">
        <f>VLOOKUP(BJ48,'Axe 2 Règles de gestion'!$D$2:$F$49,3, FALSE)</f>
        <v>Le lien vers l'enfant doit être renseigné.</v>
      </c>
      <c r="BL48" s="13" t="s">
        <v>183</v>
      </c>
      <c r="BM48" s="15" t="str">
        <f>VLOOKUP(BL48,'Axe 2 Règles de gestion'!$D$2:$F$49,3, FALSE)</f>
        <v>La date de fin réelle de la position doit être antérieure ou égale à la date de décès de l'enfant.</v>
      </c>
      <c r="BN48" s="13" t="s">
        <v>185</v>
      </c>
      <c r="BO48" s="15" t="str">
        <f>VLOOKUP(BN48,'Axe 2 Règles de gestion'!$D$2:$F$49,3, FALSE)</f>
        <v>La date de fin prévisionnelle de la position doit être antérieure ou égale à la date de décès de l'enfant.</v>
      </c>
      <c r="BP48" s="13" t="s">
        <v>163</v>
      </c>
      <c r="BQ48" s="15" t="str">
        <f>VLOOKUP(BP48,'Axe 2 Règles de gestion'!$D$2:$F$49,3, FALSE)</f>
        <v>La date de fin ou la date de fin prévisionnelle doit être saisie.</v>
      </c>
      <c r="BR48" s="13" t="s">
        <v>165</v>
      </c>
      <c r="BS48" s="15" t="str">
        <f>VLOOKUP(BR48,'Axe 2 Règles de gestion'!$D$2:$F$49,3, FALSE)</f>
        <v>La saisie d'une occurrence de congés/absences est interdite (date de fin réelle)</v>
      </c>
      <c r="BT48" s="13" t="s">
        <v>167</v>
      </c>
      <c r="BU48" s="15" t="str">
        <f>VLOOKUP(BT48,'Axe 2 Règles de gestion'!$D$2:$F$49,3, FALSE)</f>
        <v>La saisie d'une occurrence de congés/absences est interdite (date de fin prévisionnelle)</v>
      </c>
      <c r="BV48" s="13" t="s">
        <v>213</v>
      </c>
      <c r="BW48" s="15" t="str">
        <f>VLOOKUP(BV48,'Axe 2 Règles de gestion'!$D$2:$F$49,3, FALSE)</f>
        <v>La date de naissance de l'enfant doit être renseignée.</v>
      </c>
      <c r="BX48" s="13"/>
      <c r="BY48" s="15"/>
      <c r="BZ48" s="13"/>
      <c r="CA48" s="15"/>
      <c r="CB48" s="13"/>
      <c r="CC48" s="13"/>
    </row>
    <row r="49" spans="1:81" ht="145" x14ac:dyDescent="0.35">
      <c r="A49" s="13" t="s">
        <v>82</v>
      </c>
      <c r="B49" s="13" t="s">
        <v>83</v>
      </c>
      <c r="C49" s="14">
        <v>44970.671527777777</v>
      </c>
      <c r="D49" s="13" t="s">
        <v>84</v>
      </c>
      <c r="E49" s="15" t="s">
        <v>85</v>
      </c>
      <c r="F49" s="13" t="s">
        <v>86</v>
      </c>
      <c r="G49" s="15" t="s">
        <v>87</v>
      </c>
      <c r="H49" s="13" t="s">
        <v>190</v>
      </c>
      <c r="I49" s="15" t="s">
        <v>191</v>
      </c>
      <c r="J49" s="15" t="s">
        <v>192</v>
      </c>
      <c r="K49" s="15" t="s">
        <v>193</v>
      </c>
      <c r="L49" s="13" t="s">
        <v>196</v>
      </c>
      <c r="M49" s="15" t="s">
        <v>197</v>
      </c>
      <c r="N49" s="13" t="s">
        <v>94</v>
      </c>
      <c r="O49" s="15" t="s">
        <v>103</v>
      </c>
      <c r="P49" s="15" t="s">
        <v>104</v>
      </c>
      <c r="Q49" s="15" t="s">
        <v>178</v>
      </c>
      <c r="R49" s="13" t="s">
        <v>179</v>
      </c>
      <c r="S49" s="13" t="s">
        <v>122</v>
      </c>
      <c r="T49" s="13" t="s">
        <v>123</v>
      </c>
      <c r="U49" s="14">
        <v>44126</v>
      </c>
      <c r="V49" s="14"/>
      <c r="W49" s="15" t="s">
        <v>227</v>
      </c>
      <c r="X49" s="13" t="s">
        <v>171</v>
      </c>
      <c r="Y49" s="15" t="str">
        <f>VLOOKUP(X49,'Axe 2 Règles de gestion'!$D$2:$F$49,3, FALSE)</f>
        <v>Le militaire peut demander le renouvellement du congé 3 mois avant l'expiration du congé.</v>
      </c>
      <c r="Z49" s="13" t="s">
        <v>133</v>
      </c>
      <c r="AA49" s="15" t="str">
        <f>VLOOKUP(Z49,'Axe 2 Règles de gestion'!$D$2:$F$49,3, FALSE)</f>
        <v>Le militaire doit présenter une demande.</v>
      </c>
      <c r="AB49" s="13" t="s">
        <v>135</v>
      </c>
      <c r="AC49" s="15" t="str">
        <f>VLOOKUP(AB49,'Axe 2 Règles de gestion'!$D$2:$F$49,3, FALSE)</f>
        <v>Le militaire est placé en congé par décision du ministre compétent.</v>
      </c>
      <c r="AD49" s="13" t="s">
        <v>137</v>
      </c>
      <c r="AE49" s="15" t="str">
        <f>VLOOKUP(AD49,'Axe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F49" s="13" t="s">
        <v>139</v>
      </c>
      <c r="AG49" s="15" t="str">
        <f>VLOOKUP(AF49,'Axe 2 Règles de gestion'!$D$2:$F$49,3, FALSE)</f>
        <v>Le militaire officier est tenu d'informer sans délai par écrit le ministre compétent de tout changement d'activité privée lucrative.</v>
      </c>
      <c r="AH49" s="13" t="s">
        <v>201</v>
      </c>
      <c r="AI49" s="15" t="str">
        <f>VLOOKUP(AH49,'Axe 2 Règles de gestion'!$D$2:$F$49,3, FALSE)</f>
        <v>Le militaire peut demander à souscrire un engagement à servir dans la réserve opérationnelle s'il est placé dans ce congé pour élever un enfant de moins de 8 ans.</v>
      </c>
      <c r="AJ49" s="13" t="s">
        <v>203</v>
      </c>
      <c r="AK49" s="15" t="str">
        <f>VLOOKUP(AJ49,'Axe 2 Règles de gestion'!$D$2:$F$49,3, FALSE)</f>
        <v>La durée des activités à exercer au titre d'un engagement à servir dans la réserve opérationnelle est limitée à 90 jours par année civile.</v>
      </c>
      <c r="AL49" s="13" t="s">
        <v>205</v>
      </c>
      <c r="AM49" s="15" t="str">
        <f>VLOOKUP(AL49,'Axe 2 Règles de gestion'!$D$2:$F$49,3, FALSE)</f>
        <v>En cas de nécessité liée à l'emploi des forces, la durée des activités à exercer au titre d'un engagement à servir dans la réserve opérationnelle peut être portée à 150 jours par année civile à la demande de l'administration, après accord du militaire.</v>
      </c>
      <c r="AN49" s="13" t="s">
        <v>141</v>
      </c>
      <c r="AO49" s="15" t="str">
        <f>VLOOKUP(AN49,'Axe 2 Règles de gestion'!$D$2:$F$49,3, FALSE)</f>
        <v>La durée prévisionnelle du congé ne peut pas excéder 2 ans pour chaque période.</v>
      </c>
      <c r="AP49" s="13" t="s">
        <v>143</v>
      </c>
      <c r="AQ49" s="15" t="str">
        <f>VLOOKUP(AP49,'Axe 2 Règles de gestion'!$D$2:$F$49,3, FALSE)</f>
        <v>La durée réelle du congé ne peut pas excéder 2 ans pour chaque période.</v>
      </c>
      <c r="AR49" s="13" t="s">
        <v>216</v>
      </c>
      <c r="AS49" s="15" t="str">
        <f>VLOOKUP(AR49,'Axe 2 Règles de gestion'!$D$2:$F$49,3, FALSE)</f>
        <v>La date de fin prévisionnelle de chaque période ne peut pas excéder les 12 ans de l'enfant élevé.</v>
      </c>
      <c r="AT49" s="13" t="s">
        <v>218</v>
      </c>
      <c r="AU49" s="15" t="str">
        <f>VLOOKUP(AT49,'Axe 2 Règles de gestion'!$D$2:$F$49,3, FALSE)</f>
        <v>La date de fin réelle de chaque période ne peut pas excéder les 12 ans de l'enfant élevé.</v>
      </c>
      <c r="AV49" s="13" t="s">
        <v>145</v>
      </c>
      <c r="AW49" s="15" t="str">
        <f>VLOOKUP(AV49,'Axe 2 Règles de gestion'!$D$2:$F$49,3, FALSE)</f>
        <v>La durée cumulée de l'ensemble des congés pour convenances personnelles ne doit pas excéder 10 ans.</v>
      </c>
      <c r="AX49" s="13"/>
      <c r="AY49" s="15"/>
      <c r="AZ49" s="13"/>
      <c r="BA49" s="15"/>
      <c r="BB49" s="13" t="s">
        <v>151</v>
      </c>
      <c r="BC49" s="15" t="str">
        <f>VLOOKUP(BB49,'Axe 2 Règles de gestion'!$D$2:$F$49,3, FALSE)</f>
        <v>La date de début de position doit être antérieure ou égale à la date de fin prévisionnelle de position.</v>
      </c>
      <c r="BD49" s="13" t="s">
        <v>181</v>
      </c>
      <c r="BE49" s="15" t="str">
        <f>VLOOKUP(BD49,'Axe 2 Règles de gestion'!$D$2:$F$49,3, FALSE)</f>
        <v>La date de début de la position doit être postérieure ou égale à la date d'entrée dans la FPE ou dans la carrière militaire.</v>
      </c>
      <c r="BF49" s="13" t="s">
        <v>153</v>
      </c>
      <c r="BG49" s="15" t="str">
        <f>VLOOKUP(BF49,'Axe 2 Règles de gestion'!$D$2:$F$49,3, FALSE)</f>
        <v>La date de fin réelle de la position doit être antérieure à la date limite de départ à la retraite.</v>
      </c>
      <c r="BH49" s="13" t="s">
        <v>157</v>
      </c>
      <c r="BI49" s="15" t="str">
        <f>VLOOKUP(BH49,'Axe 2 Règles de gestion'!$D$2:$F$49,3, FALSE)</f>
        <v>La date de début de position doit être antérieure ou égale à la date de fin réelle de position.</v>
      </c>
      <c r="BJ49" s="13" t="s">
        <v>159</v>
      </c>
      <c r="BK49" s="15" t="str">
        <f>VLOOKUP(BJ49,'Axe 2 Règles de gestion'!$D$2:$F$49,3, FALSE)</f>
        <v>La date de fin prévisionnelle de la position doit être antérieure à la date limite de départ à la retraite.</v>
      </c>
      <c r="BL49" s="13" t="s">
        <v>161</v>
      </c>
      <c r="BM49" s="15" t="str">
        <f>VLOOKUP(BL49,'Axe 2 Règles de gestion'!$D$2:$F$49,3, FALSE)</f>
        <v>La date de début de position est à J+1 de la date de fin de position de l'occurrence précédente.</v>
      </c>
      <c r="BN49" s="13" t="s">
        <v>211</v>
      </c>
      <c r="BO49" s="15" t="str">
        <f>VLOOKUP(BN49,'Axe 2 Règles de gestion'!$D$2:$F$49,3, FALSE)</f>
        <v>Le lien vers l'enfant doit être renseigné.</v>
      </c>
      <c r="BP49" s="13" t="s">
        <v>183</v>
      </c>
      <c r="BQ49" s="15" t="str">
        <f>VLOOKUP(BP49,'Axe 2 Règles de gestion'!$D$2:$F$49,3, FALSE)</f>
        <v>La date de fin réelle de la position doit être antérieure ou égale à la date de décès de l'enfant.</v>
      </c>
      <c r="BR49" s="13" t="s">
        <v>185</v>
      </c>
      <c r="BS49" s="15" t="str">
        <f>VLOOKUP(BR49,'Axe 2 Règles de gestion'!$D$2:$F$49,3, FALSE)</f>
        <v>La date de fin prévisionnelle de la position doit être antérieure ou égale à la date de décès de l'enfant.</v>
      </c>
      <c r="BT49" s="13" t="s">
        <v>163</v>
      </c>
      <c r="BU49" s="15" t="str">
        <f>VLOOKUP(BT49,'Axe 2 Règles de gestion'!$D$2:$F$49,3, FALSE)</f>
        <v>La date de fin ou la date de fin prévisionnelle doit être saisie.</v>
      </c>
      <c r="BV49" s="13" t="s">
        <v>165</v>
      </c>
      <c r="BW49" s="15" t="str">
        <f>VLOOKUP(BV49,'Axe 2 Règles de gestion'!$D$2:$F$49,3, FALSE)</f>
        <v>La saisie d'une occurrence de congés/absences est interdite (date de fin réelle)</v>
      </c>
      <c r="BX49" s="13" t="s">
        <v>167</v>
      </c>
      <c r="BY49" s="15" t="str">
        <f>VLOOKUP(BX49,'Axe 2 Règles de gestion'!$D$2:$F$49,3, FALSE)</f>
        <v>La saisie d'une occurrence de congés/absences est interdite (date de fin prévisionnelle)</v>
      </c>
      <c r="BZ49" s="13" t="s">
        <v>213</v>
      </c>
      <c r="CA49" s="15" t="str">
        <f>VLOOKUP(BZ49,'Axe 2 Règles de gestion'!$D$2:$F$49,3, FALSE)</f>
        <v>La date de naissance de l'enfant doit être renseignée.</v>
      </c>
      <c r="CB49" s="13"/>
      <c r="CC49" s="13"/>
    </row>
    <row r="50" spans="1:81" ht="116" x14ac:dyDescent="0.35">
      <c r="A50" s="13" t="s">
        <v>82</v>
      </c>
      <c r="B50" s="13" t="s">
        <v>83</v>
      </c>
      <c r="C50" s="14">
        <v>44970.65625</v>
      </c>
      <c r="D50" s="13" t="s">
        <v>84</v>
      </c>
      <c r="E50" s="15" t="s">
        <v>85</v>
      </c>
      <c r="F50" s="13" t="s">
        <v>86</v>
      </c>
      <c r="G50" s="15" t="s">
        <v>87</v>
      </c>
      <c r="H50" s="13" t="s">
        <v>190</v>
      </c>
      <c r="I50" s="15" t="s">
        <v>191</v>
      </c>
      <c r="J50" s="15" t="s">
        <v>192</v>
      </c>
      <c r="K50" s="15" t="s">
        <v>193</v>
      </c>
      <c r="L50" s="13" t="s">
        <v>198</v>
      </c>
      <c r="M50" s="15" t="s">
        <v>199</v>
      </c>
      <c r="N50" s="13" t="s">
        <v>107</v>
      </c>
      <c r="O50" s="15" t="s">
        <v>108</v>
      </c>
      <c r="P50" s="15" t="s">
        <v>109</v>
      </c>
      <c r="Q50" s="15" t="s">
        <v>178</v>
      </c>
      <c r="R50" s="13" t="s">
        <v>179</v>
      </c>
      <c r="S50" s="13" t="s">
        <v>122</v>
      </c>
      <c r="T50" s="13" t="s">
        <v>123</v>
      </c>
      <c r="U50" s="14">
        <v>43831</v>
      </c>
      <c r="V50" s="14">
        <v>44125</v>
      </c>
      <c r="W50" s="15" t="s">
        <v>228</v>
      </c>
      <c r="X50" s="13" t="s">
        <v>174</v>
      </c>
      <c r="Y50" s="15" t="str">
        <f>VLOOKUP(X50,'Axe 2 Règles de gestion'!$D$2:$F$49,3, FALSE)</f>
        <v>Le militaire peut demander la réintégration dans son corps d'origine, laquelle est de droit, 3 mois avant l'expiration du congé.</v>
      </c>
      <c r="Z50" s="13" t="s">
        <v>176</v>
      </c>
      <c r="AA50" s="15" t="str">
        <f>VLOOKUP(Z50,'Axe 2 Règles de gestion'!$D$2:$F$49,3, FALSE)</f>
        <v>Le militaire qui a formulé avant l'expiration du congé une demande de réintégration est maintenu dans cette situation jusqu'à ce qu'il puisse être affecté dans un emploi correspondant à son grade.</v>
      </c>
      <c r="AB50" s="13"/>
      <c r="AC50" s="15"/>
      <c r="AD50" s="13"/>
      <c r="AE50" s="15"/>
      <c r="AF50" s="13"/>
      <c r="AG50" s="15"/>
      <c r="AH50" s="13"/>
      <c r="AI50" s="15"/>
      <c r="AJ50" s="13"/>
      <c r="AK50" s="15"/>
      <c r="AL50" s="13"/>
      <c r="AM50" s="15"/>
      <c r="AN50" s="13" t="s">
        <v>141</v>
      </c>
      <c r="AO50" s="15" t="str">
        <f>VLOOKUP(AN50,'Axe 2 Règles de gestion'!$D$2:$F$49,3, FALSE)</f>
        <v>La durée prévisionnelle du congé ne peut pas excéder 2 ans pour chaque période.</v>
      </c>
      <c r="AP50" s="13" t="s">
        <v>143</v>
      </c>
      <c r="AQ50" s="15" t="str">
        <f>VLOOKUP(AP50,'Axe 2 Règles de gestion'!$D$2:$F$49,3, FALSE)</f>
        <v>La durée réelle du congé ne peut pas excéder 2 ans pour chaque période.</v>
      </c>
      <c r="AR50" s="13" t="s">
        <v>207</v>
      </c>
      <c r="AS50" s="15" t="str">
        <f>VLOOKUP(AR50,'Axe 2 Règles de gestion'!$D$2:$F$49,3, FALSE)</f>
        <v>La date de fin prévisionnelle de chaque période ne peut pas excéder les 8 ans de l'enfant élevé.</v>
      </c>
      <c r="AT50" s="13" t="s">
        <v>209</v>
      </c>
      <c r="AU50" s="15" t="str">
        <f>VLOOKUP(AT50,'Axe 2 Règles de gestion'!$D$2:$F$49,3, FALSE)</f>
        <v>La date de fin réelle de chaque période ne peut pas excéder les 8 ans de l'enfant élevé.</v>
      </c>
      <c r="AV50" s="13" t="s">
        <v>145</v>
      </c>
      <c r="AW50" s="15" t="str">
        <f>VLOOKUP(AV50,'Axe 2 Règles de gestion'!$D$2:$F$49,3, FALSE)</f>
        <v>La durée cumulée de l'ensemble des congés pour convenances personnelles ne doit pas excéder 10 ans.</v>
      </c>
      <c r="AX50" s="13"/>
      <c r="AY50" s="15"/>
      <c r="AZ50" s="13"/>
      <c r="BA50" s="15"/>
      <c r="BB50" s="13" t="s">
        <v>151</v>
      </c>
      <c r="BC50" s="15" t="str">
        <f>VLOOKUP(BB50,'Axe 2 Règles de gestion'!$D$2:$F$49,3, FALSE)</f>
        <v>La date de début de position doit être antérieure ou égale à la date de fin prévisionnelle de position.</v>
      </c>
      <c r="BD50" s="13" t="s">
        <v>181</v>
      </c>
      <c r="BE50" s="15" t="str">
        <f>VLOOKUP(BD50,'Axe 2 Règles de gestion'!$D$2:$F$49,3, FALSE)</f>
        <v>La date de début de la position doit être postérieure ou égale à la date d'entrée dans la FPE ou dans la carrière militaire.</v>
      </c>
      <c r="BF50" s="13" t="s">
        <v>153</v>
      </c>
      <c r="BG50" s="15" t="str">
        <f>VLOOKUP(BF50,'Axe 2 Règles de gestion'!$D$2:$F$49,3, FALSE)</f>
        <v>La date de fin réelle de la position doit être antérieure à la date limite de départ à la retraite.</v>
      </c>
      <c r="BH50" s="13" t="s">
        <v>157</v>
      </c>
      <c r="BI50" s="15" t="str">
        <f>VLOOKUP(BH50,'Axe 2 Règles de gestion'!$D$2:$F$49,3, FALSE)</f>
        <v>La date de début de position doit être antérieure ou égale à la date de fin réelle de position.</v>
      </c>
      <c r="BJ50" s="13" t="s">
        <v>159</v>
      </c>
      <c r="BK50" s="15" t="str">
        <f>VLOOKUP(BJ50,'Axe 2 Règles de gestion'!$D$2:$F$49,3, FALSE)</f>
        <v>La date de fin prévisionnelle de la position doit être antérieure à la date limite de départ à la retraite.</v>
      </c>
      <c r="BL50" s="13" t="s">
        <v>161</v>
      </c>
      <c r="BM50" s="15" t="str">
        <f>VLOOKUP(BL50,'Axe 2 Règles de gestion'!$D$2:$F$49,3, FALSE)</f>
        <v>La date de début de position est à J+1 de la date de fin de position de l'occurrence précédente.</v>
      </c>
      <c r="BN50" s="13" t="s">
        <v>211</v>
      </c>
      <c r="BO50" s="15" t="str">
        <f>VLOOKUP(BN50,'Axe 2 Règles de gestion'!$D$2:$F$49,3, FALSE)</f>
        <v>Le lien vers l'enfant doit être renseigné.</v>
      </c>
      <c r="BP50" s="13" t="s">
        <v>183</v>
      </c>
      <c r="BQ50" s="15" t="str">
        <f>VLOOKUP(BP50,'Axe 2 Règles de gestion'!$D$2:$F$49,3, FALSE)</f>
        <v>La date de fin réelle de la position doit être antérieure ou égale à la date de décès de l'enfant.</v>
      </c>
      <c r="BR50" s="13" t="s">
        <v>185</v>
      </c>
      <c r="BS50" s="15" t="str">
        <f>VLOOKUP(BR50,'Axe 2 Règles de gestion'!$D$2:$F$49,3, FALSE)</f>
        <v>La date de fin prévisionnelle de la position doit être antérieure ou égale à la date de décès de l'enfant.</v>
      </c>
      <c r="BT50" s="13" t="s">
        <v>163</v>
      </c>
      <c r="BU50" s="15" t="str">
        <f>VLOOKUP(BT50,'Axe 2 Règles de gestion'!$D$2:$F$49,3, FALSE)</f>
        <v>La date de fin ou la date de fin prévisionnelle doit être saisie.</v>
      </c>
      <c r="BV50" s="13" t="s">
        <v>165</v>
      </c>
      <c r="BW50" s="15" t="str">
        <f>VLOOKUP(BV50,'Axe 2 Règles de gestion'!$D$2:$F$49,3, FALSE)</f>
        <v>La saisie d'une occurrence de congés/absences est interdite (date de fin réelle)</v>
      </c>
      <c r="BX50" s="13" t="s">
        <v>167</v>
      </c>
      <c r="BY50" s="15" t="str">
        <f>VLOOKUP(BX50,'Axe 2 Règles de gestion'!$D$2:$F$49,3, FALSE)</f>
        <v>La saisie d'une occurrence de congés/absences est interdite (date de fin prévisionnelle)</v>
      </c>
      <c r="BZ50" s="13" t="s">
        <v>213</v>
      </c>
      <c r="CA50" s="15" t="str">
        <f>VLOOKUP(BZ50,'Axe 2 Règles de gestion'!$D$2:$F$49,3, FALSE)</f>
        <v>La date de naissance de l'enfant doit être renseignée.</v>
      </c>
      <c r="CB50" s="13"/>
      <c r="CC50" s="13"/>
    </row>
    <row r="51" spans="1:81" ht="116" x14ac:dyDescent="0.35">
      <c r="A51" s="13" t="s">
        <v>82</v>
      </c>
      <c r="B51" s="13" t="s">
        <v>83</v>
      </c>
      <c r="C51" s="14">
        <v>44970.65625</v>
      </c>
      <c r="D51" s="13" t="s">
        <v>84</v>
      </c>
      <c r="E51" s="15" t="s">
        <v>85</v>
      </c>
      <c r="F51" s="13" t="s">
        <v>86</v>
      </c>
      <c r="G51" s="15" t="s">
        <v>87</v>
      </c>
      <c r="H51" s="13" t="s">
        <v>190</v>
      </c>
      <c r="I51" s="15" t="s">
        <v>191</v>
      </c>
      <c r="J51" s="15" t="s">
        <v>192</v>
      </c>
      <c r="K51" s="15" t="s">
        <v>193</v>
      </c>
      <c r="L51" s="13" t="s">
        <v>198</v>
      </c>
      <c r="M51" s="15" t="s">
        <v>199</v>
      </c>
      <c r="N51" s="13" t="s">
        <v>107</v>
      </c>
      <c r="O51" s="15" t="s">
        <v>108</v>
      </c>
      <c r="P51" s="15" t="s">
        <v>109</v>
      </c>
      <c r="Q51" s="15" t="s">
        <v>178</v>
      </c>
      <c r="R51" s="13" t="s">
        <v>179</v>
      </c>
      <c r="S51" s="13" t="s">
        <v>122</v>
      </c>
      <c r="T51" s="13" t="s">
        <v>123</v>
      </c>
      <c r="U51" s="14">
        <v>44126</v>
      </c>
      <c r="V51" s="14"/>
      <c r="W51" s="15" t="s">
        <v>229</v>
      </c>
      <c r="X51" s="13" t="s">
        <v>174</v>
      </c>
      <c r="Y51" s="15" t="str">
        <f>VLOOKUP(X51,'Axe 2 Règles de gestion'!$D$2:$F$49,3, FALSE)</f>
        <v>Le militaire peut demander la réintégration dans son corps d'origine, laquelle est de droit, 3 mois avant l'expiration du congé.</v>
      </c>
      <c r="Z51" s="13" t="s">
        <v>176</v>
      </c>
      <c r="AA51" s="15" t="str">
        <f>VLOOKUP(Z51,'Axe 2 Règles de gestion'!$D$2:$F$49,3, FALSE)</f>
        <v>Le militaire qui a formulé avant l'expiration du congé une demande de réintégration est maintenu dans cette situation jusqu'à ce qu'il puisse être affecté dans un emploi correspondant à son grade.</v>
      </c>
      <c r="AB51" s="13"/>
      <c r="AC51" s="15"/>
      <c r="AD51" s="13"/>
      <c r="AE51" s="15"/>
      <c r="AF51" s="13"/>
      <c r="AG51" s="15"/>
      <c r="AH51" s="13"/>
      <c r="AI51" s="15"/>
      <c r="AJ51" s="13"/>
      <c r="AK51" s="15"/>
      <c r="AL51" s="13"/>
      <c r="AM51" s="15"/>
      <c r="AN51" s="13" t="s">
        <v>141</v>
      </c>
      <c r="AO51" s="15" t="str">
        <f>VLOOKUP(AN51,'Axe 2 Règles de gestion'!$D$2:$F$49,3, FALSE)</f>
        <v>La durée prévisionnelle du congé ne peut pas excéder 2 ans pour chaque période.</v>
      </c>
      <c r="AP51" s="13" t="s">
        <v>143</v>
      </c>
      <c r="AQ51" s="15" t="str">
        <f>VLOOKUP(AP51,'Axe 2 Règles de gestion'!$D$2:$F$49,3, FALSE)</f>
        <v>La durée réelle du congé ne peut pas excéder 2 ans pour chaque période.</v>
      </c>
      <c r="AR51" s="13" t="s">
        <v>216</v>
      </c>
      <c r="AS51" s="15" t="str">
        <f>VLOOKUP(AR51,'Axe 2 Règles de gestion'!$D$2:$F$49,3, FALSE)</f>
        <v>La date de fin prévisionnelle de chaque période ne peut pas excéder les 12 ans de l'enfant élevé.</v>
      </c>
      <c r="AT51" s="13" t="s">
        <v>218</v>
      </c>
      <c r="AU51" s="15" t="str">
        <f>VLOOKUP(AT51,'Axe 2 Règles de gestion'!$D$2:$F$49,3, FALSE)</f>
        <v>La date de fin réelle de chaque période ne peut pas excéder les 12 ans de l'enfant élevé.</v>
      </c>
      <c r="AV51" s="13" t="s">
        <v>145</v>
      </c>
      <c r="AW51" s="15" t="str">
        <f>VLOOKUP(AV51,'Axe 2 Règles de gestion'!$D$2:$F$49,3, FALSE)</f>
        <v>La durée cumulée de l'ensemble des congés pour convenances personnelles ne doit pas excéder 10 ans.</v>
      </c>
      <c r="AX51" s="13"/>
      <c r="AY51" s="15"/>
      <c r="AZ51" s="13"/>
      <c r="BA51" s="15"/>
      <c r="BB51" s="13" t="s">
        <v>151</v>
      </c>
      <c r="BC51" s="15" t="str">
        <f>VLOOKUP(BB51,'Axe 2 Règles de gestion'!$D$2:$F$49,3, FALSE)</f>
        <v>La date de début de position doit être antérieure ou égale à la date de fin prévisionnelle de position.</v>
      </c>
      <c r="BD51" s="13" t="s">
        <v>153</v>
      </c>
      <c r="BE51" s="15" t="str">
        <f>VLOOKUP(BD51,'Axe 2 Règles de gestion'!$D$2:$F$49,3, FALSE)</f>
        <v>La date de fin réelle de la position doit être antérieure à la date limite de départ à la retraite.</v>
      </c>
      <c r="BF51" s="13" t="s">
        <v>157</v>
      </c>
      <c r="BG51" s="15" t="str">
        <f>VLOOKUP(BF51,'Axe 2 Règles de gestion'!$D$2:$F$49,3, FALSE)</f>
        <v>La date de début de position doit être antérieure ou égale à la date de fin réelle de position.</v>
      </c>
      <c r="BH51" s="13" t="s">
        <v>159</v>
      </c>
      <c r="BI51" s="15" t="str">
        <f>VLOOKUP(BH51,'Axe 2 Règles de gestion'!$D$2:$F$49,3, FALSE)</f>
        <v>La date de fin prévisionnelle de la position doit être antérieure à la date limite de départ à la retraite.</v>
      </c>
      <c r="BJ51" s="13" t="s">
        <v>211</v>
      </c>
      <c r="BK51" s="15" t="str">
        <f>VLOOKUP(BJ51,'Axe 2 Règles de gestion'!$D$2:$F$49,3, FALSE)</f>
        <v>Le lien vers l'enfant doit être renseigné.</v>
      </c>
      <c r="BL51" s="13" t="s">
        <v>183</v>
      </c>
      <c r="BM51" s="15" t="str">
        <f>VLOOKUP(BL51,'Axe 2 Règles de gestion'!$D$2:$F$49,3, FALSE)</f>
        <v>La date de fin réelle de la position doit être antérieure ou égale à la date de décès de l'enfant.</v>
      </c>
      <c r="BN51" s="13" t="s">
        <v>185</v>
      </c>
      <c r="BO51" s="15" t="str">
        <f>VLOOKUP(BN51,'Axe 2 Règles de gestion'!$D$2:$F$49,3, FALSE)</f>
        <v>La date de fin prévisionnelle de la position doit être antérieure ou égale à la date de décès de l'enfant.</v>
      </c>
      <c r="BP51" s="13" t="s">
        <v>163</v>
      </c>
      <c r="BQ51" s="15" t="str">
        <f>VLOOKUP(BP51,'Axe 2 Règles de gestion'!$D$2:$F$49,3, FALSE)</f>
        <v>La date de fin ou la date de fin prévisionnelle doit être saisie.</v>
      </c>
      <c r="BR51" s="13" t="s">
        <v>165</v>
      </c>
      <c r="BS51" s="15" t="str">
        <f>VLOOKUP(BR51,'Axe 2 Règles de gestion'!$D$2:$F$49,3, FALSE)</f>
        <v>La saisie d'une occurrence de congés/absences est interdite (date de fin réelle)</v>
      </c>
      <c r="BT51" s="13" t="s">
        <v>167</v>
      </c>
      <c r="BU51" s="15" t="str">
        <f>VLOOKUP(BT51,'Axe 2 Règles de gestion'!$D$2:$F$49,3, FALSE)</f>
        <v>La saisie d'une occurrence de congés/absences est interdite (date de fin prévisionnelle)</v>
      </c>
      <c r="BV51" s="13" t="s">
        <v>213</v>
      </c>
      <c r="BW51" s="15" t="str">
        <f>VLOOKUP(BV51,'Axe 2 Règles de gestion'!$D$2:$F$49,3, FALSE)</f>
        <v>La date de naissance de l'enfant doit être renseignée.</v>
      </c>
      <c r="BX51" s="13"/>
      <c r="BY51" s="15"/>
      <c r="BZ51" s="13"/>
      <c r="CA51" s="15"/>
      <c r="CB51" s="13"/>
      <c r="CC51" s="13"/>
    </row>
    <row r="52" spans="1:81" ht="87" x14ac:dyDescent="0.35">
      <c r="A52" s="13" t="s">
        <v>118</v>
      </c>
      <c r="B52" s="13" t="s">
        <v>83</v>
      </c>
      <c r="C52" s="14">
        <v>45428.459722222222</v>
      </c>
      <c r="D52" s="13" t="s">
        <v>84</v>
      </c>
      <c r="E52" s="15" t="s">
        <v>85</v>
      </c>
      <c r="F52" s="13" t="s">
        <v>86</v>
      </c>
      <c r="G52" s="15" t="s">
        <v>87</v>
      </c>
      <c r="H52" s="13" t="s">
        <v>230</v>
      </c>
      <c r="I52" s="15" t="s">
        <v>231</v>
      </c>
      <c r="J52" s="15" t="s">
        <v>232</v>
      </c>
      <c r="K52" s="15" t="s">
        <v>233</v>
      </c>
      <c r="L52" s="13" t="s">
        <v>234</v>
      </c>
      <c r="M52" s="15" t="s">
        <v>235</v>
      </c>
      <c r="N52" s="13" t="s">
        <v>94</v>
      </c>
      <c r="O52" s="15" t="s">
        <v>95</v>
      </c>
      <c r="P52" s="15" t="s">
        <v>96</v>
      </c>
      <c r="Q52" s="15" t="s">
        <v>97</v>
      </c>
      <c r="R52" s="13" t="s">
        <v>98</v>
      </c>
      <c r="S52" s="13" t="s">
        <v>99</v>
      </c>
      <c r="T52" s="13" t="s">
        <v>100</v>
      </c>
      <c r="U52" s="14">
        <v>45124</v>
      </c>
      <c r="V52" s="14"/>
      <c r="W52" s="15"/>
      <c r="X52" s="13"/>
      <c r="Y52" s="15"/>
      <c r="Z52" s="13"/>
      <c r="AA52" s="15"/>
      <c r="AB52" s="13"/>
      <c r="AC52" s="15"/>
      <c r="AD52" s="13"/>
      <c r="AE52" s="15"/>
      <c r="AF52" s="13"/>
      <c r="AG52" s="15"/>
      <c r="AH52" s="13"/>
      <c r="AI52" s="15"/>
      <c r="AJ52" s="13"/>
      <c r="AK52" s="15"/>
      <c r="AL52" s="13"/>
      <c r="AM52" s="15"/>
      <c r="AN52" s="13"/>
      <c r="AO52" s="15"/>
      <c r="AP52" s="13"/>
      <c r="AQ52" s="15"/>
      <c r="AR52" s="13"/>
      <c r="AS52" s="15"/>
      <c r="AT52" s="13"/>
      <c r="AU52" s="15"/>
      <c r="AV52" s="13"/>
      <c r="AW52" s="15"/>
      <c r="AX52" s="13"/>
      <c r="AY52" s="15"/>
      <c r="AZ52" s="13"/>
      <c r="BA52" s="15"/>
      <c r="BB52" s="13"/>
      <c r="BC52" s="15"/>
      <c r="BD52" s="13"/>
      <c r="BE52" s="15"/>
      <c r="BF52" s="13"/>
      <c r="BG52" s="15"/>
      <c r="BH52" s="13"/>
      <c r="BI52" s="15"/>
      <c r="BJ52" s="13"/>
      <c r="BK52" s="15"/>
      <c r="BL52" s="13"/>
      <c r="BM52" s="15"/>
      <c r="BN52" s="13"/>
      <c r="BO52" s="15"/>
      <c r="BP52" s="13"/>
      <c r="BQ52" s="15"/>
      <c r="BR52" s="13"/>
      <c r="BS52" s="15"/>
      <c r="BT52" s="13"/>
      <c r="BU52" s="15"/>
      <c r="BV52" s="13"/>
      <c r="BW52" s="15"/>
      <c r="BX52" s="13"/>
      <c r="BY52" s="15"/>
      <c r="BZ52" s="13"/>
      <c r="CA52" s="15"/>
      <c r="CB52" s="13"/>
      <c r="CC52" s="13"/>
    </row>
    <row r="53" spans="1:81" ht="87" x14ac:dyDescent="0.35">
      <c r="A53" s="13" t="s">
        <v>118</v>
      </c>
      <c r="B53" s="13" t="s">
        <v>83</v>
      </c>
      <c r="C53" s="14">
        <v>45428.466666666667</v>
      </c>
      <c r="D53" s="13" t="s">
        <v>84</v>
      </c>
      <c r="E53" s="15" t="s">
        <v>85</v>
      </c>
      <c r="F53" s="13" t="s">
        <v>86</v>
      </c>
      <c r="G53" s="15" t="s">
        <v>87</v>
      </c>
      <c r="H53" s="13" t="s">
        <v>230</v>
      </c>
      <c r="I53" s="15" t="s">
        <v>231</v>
      </c>
      <c r="J53" s="15" t="s">
        <v>232</v>
      </c>
      <c r="K53" s="15" t="s">
        <v>233</v>
      </c>
      <c r="L53" s="13" t="s">
        <v>236</v>
      </c>
      <c r="M53" s="15" t="s">
        <v>237</v>
      </c>
      <c r="N53" s="13" t="s">
        <v>94</v>
      </c>
      <c r="O53" s="15" t="s">
        <v>103</v>
      </c>
      <c r="P53" s="15" t="s">
        <v>104</v>
      </c>
      <c r="Q53" s="15" t="s">
        <v>97</v>
      </c>
      <c r="R53" s="13" t="s">
        <v>98</v>
      </c>
      <c r="S53" s="13" t="s">
        <v>99</v>
      </c>
      <c r="T53" s="13" t="s">
        <v>100</v>
      </c>
      <c r="U53" s="14">
        <v>45124</v>
      </c>
      <c r="V53" s="14"/>
      <c r="W53" s="15"/>
      <c r="X53" s="13"/>
      <c r="Y53" s="15"/>
      <c r="Z53" s="13"/>
      <c r="AA53" s="15"/>
      <c r="AB53" s="13"/>
      <c r="AC53" s="15"/>
      <c r="AD53" s="13"/>
      <c r="AE53" s="15"/>
      <c r="AF53" s="13"/>
      <c r="AG53" s="15"/>
      <c r="AH53" s="13"/>
      <c r="AI53" s="15"/>
      <c r="AJ53" s="13"/>
      <c r="AK53" s="15"/>
      <c r="AL53" s="13"/>
      <c r="AM53" s="15"/>
      <c r="AN53" s="13"/>
      <c r="AO53" s="15"/>
      <c r="AP53" s="13"/>
      <c r="AQ53" s="15"/>
      <c r="AR53" s="13"/>
      <c r="AS53" s="15"/>
      <c r="AT53" s="13"/>
      <c r="AU53" s="15"/>
      <c r="AV53" s="13"/>
      <c r="AW53" s="15"/>
      <c r="AX53" s="13"/>
      <c r="AY53" s="15"/>
      <c r="AZ53" s="13"/>
      <c r="BA53" s="15"/>
      <c r="BB53" s="13"/>
      <c r="BC53" s="15"/>
      <c r="BD53" s="13"/>
      <c r="BE53" s="15"/>
      <c r="BF53" s="13"/>
      <c r="BG53" s="15"/>
      <c r="BH53" s="13"/>
      <c r="BI53" s="15"/>
      <c r="BJ53" s="13"/>
      <c r="BK53" s="15"/>
      <c r="BL53" s="13"/>
      <c r="BM53" s="15"/>
      <c r="BN53" s="13"/>
      <c r="BO53" s="15"/>
      <c r="BP53" s="13"/>
      <c r="BQ53" s="15"/>
      <c r="BR53" s="13"/>
      <c r="BS53" s="15"/>
      <c r="BT53" s="13"/>
      <c r="BU53" s="15"/>
      <c r="BV53" s="13"/>
      <c r="BW53" s="15"/>
      <c r="BX53" s="13"/>
      <c r="BY53" s="15"/>
      <c r="BZ53" s="13"/>
      <c r="CA53" s="15"/>
      <c r="CB53" s="13"/>
      <c r="CC53" s="13"/>
    </row>
    <row r="54" spans="1:81" ht="87" x14ac:dyDescent="0.35">
      <c r="A54" s="13" t="s">
        <v>118</v>
      </c>
      <c r="B54" s="13" t="s">
        <v>83</v>
      </c>
      <c r="C54" s="14">
        <v>45428.468055555553</v>
      </c>
      <c r="D54" s="13" t="s">
        <v>84</v>
      </c>
      <c r="E54" s="15" t="s">
        <v>85</v>
      </c>
      <c r="F54" s="13" t="s">
        <v>86</v>
      </c>
      <c r="G54" s="15" t="s">
        <v>87</v>
      </c>
      <c r="H54" s="13" t="s">
        <v>230</v>
      </c>
      <c r="I54" s="15" t="s">
        <v>231</v>
      </c>
      <c r="J54" s="15" t="s">
        <v>232</v>
      </c>
      <c r="K54" s="15" t="s">
        <v>233</v>
      </c>
      <c r="L54" s="13" t="s">
        <v>238</v>
      </c>
      <c r="M54" s="15" t="s">
        <v>239</v>
      </c>
      <c r="N54" s="13" t="s">
        <v>107</v>
      </c>
      <c r="O54" s="15" t="s">
        <v>108</v>
      </c>
      <c r="P54" s="15" t="s">
        <v>109</v>
      </c>
      <c r="Q54" s="15" t="s">
        <v>97</v>
      </c>
      <c r="R54" s="13" t="s">
        <v>98</v>
      </c>
      <c r="S54" s="13" t="s">
        <v>99</v>
      </c>
      <c r="T54" s="13" t="s">
        <v>100</v>
      </c>
      <c r="U54" s="14">
        <v>45124</v>
      </c>
      <c r="V54" s="14"/>
      <c r="W54" s="15"/>
      <c r="X54" s="13"/>
      <c r="Y54" s="15"/>
      <c r="Z54" s="13"/>
      <c r="AA54" s="15"/>
      <c r="AB54" s="13"/>
      <c r="AC54" s="15"/>
      <c r="AD54" s="13"/>
      <c r="AE54" s="15"/>
      <c r="AF54" s="13"/>
      <c r="AG54" s="15"/>
      <c r="AH54" s="13"/>
      <c r="AI54" s="15"/>
      <c r="AJ54" s="13"/>
      <c r="AK54" s="15"/>
      <c r="AL54" s="13"/>
      <c r="AM54" s="15"/>
      <c r="AN54" s="13"/>
      <c r="AO54" s="15"/>
      <c r="AP54" s="13"/>
      <c r="AQ54" s="15"/>
      <c r="AR54" s="13"/>
      <c r="AS54" s="15"/>
      <c r="AT54" s="13"/>
      <c r="AU54" s="15"/>
      <c r="AV54" s="13"/>
      <c r="AW54" s="15"/>
      <c r="AX54" s="13"/>
      <c r="AY54" s="15"/>
      <c r="AZ54" s="13"/>
      <c r="BA54" s="15"/>
      <c r="BB54" s="13"/>
      <c r="BC54" s="15"/>
      <c r="BD54" s="13"/>
      <c r="BE54" s="15"/>
      <c r="BF54" s="13"/>
      <c r="BG54" s="15"/>
      <c r="BH54" s="13"/>
      <c r="BI54" s="15"/>
      <c r="BJ54" s="13"/>
      <c r="BK54" s="15"/>
      <c r="BL54" s="13"/>
      <c r="BM54" s="15"/>
      <c r="BN54" s="13"/>
      <c r="BO54" s="15"/>
      <c r="BP54" s="13"/>
      <c r="BQ54" s="15"/>
      <c r="BR54" s="13"/>
      <c r="BS54" s="15"/>
      <c r="BT54" s="13"/>
      <c r="BU54" s="15"/>
      <c r="BV54" s="13"/>
      <c r="BW54" s="15"/>
      <c r="BX54" s="13"/>
      <c r="BY54" s="15"/>
      <c r="BZ54" s="13"/>
      <c r="CA54" s="15"/>
      <c r="CB54" s="13"/>
      <c r="CC54" s="13"/>
    </row>
    <row r="55" spans="1:81" ht="87" x14ac:dyDescent="0.35">
      <c r="A55" s="13" t="s">
        <v>118</v>
      </c>
      <c r="B55" s="13" t="s">
        <v>83</v>
      </c>
      <c r="C55" s="14">
        <v>45428.466666666667</v>
      </c>
      <c r="D55" s="13" t="s">
        <v>84</v>
      </c>
      <c r="E55" s="15" t="s">
        <v>85</v>
      </c>
      <c r="F55" s="13" t="s">
        <v>86</v>
      </c>
      <c r="G55" s="15" t="s">
        <v>87</v>
      </c>
      <c r="H55" s="13" t="s">
        <v>230</v>
      </c>
      <c r="I55" s="15" t="s">
        <v>231</v>
      </c>
      <c r="J55" s="15" t="s">
        <v>232</v>
      </c>
      <c r="K55" s="15" t="s">
        <v>233</v>
      </c>
      <c r="L55" s="13" t="s">
        <v>234</v>
      </c>
      <c r="M55" s="15" t="s">
        <v>235</v>
      </c>
      <c r="N55" s="13" t="s">
        <v>94</v>
      </c>
      <c r="O55" s="15" t="s">
        <v>95</v>
      </c>
      <c r="P55" s="15" t="s">
        <v>96</v>
      </c>
      <c r="Q55" s="15" t="s">
        <v>110</v>
      </c>
      <c r="R55" s="13" t="s">
        <v>111</v>
      </c>
      <c r="S55" s="13" t="s">
        <v>99</v>
      </c>
      <c r="T55" s="13" t="s">
        <v>100</v>
      </c>
      <c r="U55" s="14">
        <v>45124</v>
      </c>
      <c r="V55" s="14"/>
      <c r="W55" s="15"/>
      <c r="X55" s="13"/>
      <c r="Y55" s="15"/>
      <c r="Z55" s="13"/>
      <c r="AA55" s="15"/>
      <c r="AB55" s="13"/>
      <c r="AC55" s="15"/>
      <c r="AD55" s="13"/>
      <c r="AE55" s="15"/>
      <c r="AF55" s="13"/>
      <c r="AG55" s="15"/>
      <c r="AH55" s="13"/>
      <c r="AI55" s="15"/>
      <c r="AJ55" s="13"/>
      <c r="AK55" s="15"/>
      <c r="AL55" s="13"/>
      <c r="AM55" s="15"/>
      <c r="AN55" s="13"/>
      <c r="AO55" s="15"/>
      <c r="AP55" s="13"/>
      <c r="AQ55" s="15"/>
      <c r="AR55" s="13"/>
      <c r="AS55" s="15"/>
      <c r="AT55" s="13"/>
      <c r="AU55" s="15"/>
      <c r="AV55" s="13"/>
      <c r="AW55" s="15"/>
      <c r="AX55" s="13"/>
      <c r="AY55" s="15"/>
      <c r="AZ55" s="13"/>
      <c r="BA55" s="15"/>
      <c r="BB55" s="13"/>
      <c r="BC55" s="15"/>
      <c r="BD55" s="13"/>
      <c r="BE55" s="15"/>
      <c r="BF55" s="13"/>
      <c r="BG55" s="15"/>
      <c r="BH55" s="13"/>
      <c r="BI55" s="15"/>
      <c r="BJ55" s="13"/>
      <c r="BK55" s="15"/>
      <c r="BL55" s="13"/>
      <c r="BM55" s="15"/>
      <c r="BN55" s="13"/>
      <c r="BO55" s="15"/>
      <c r="BP55" s="13"/>
      <c r="BQ55" s="15"/>
      <c r="BR55" s="13"/>
      <c r="BS55" s="15"/>
      <c r="BT55" s="13"/>
      <c r="BU55" s="15"/>
      <c r="BV55" s="13"/>
      <c r="BW55" s="15"/>
      <c r="BX55" s="13"/>
      <c r="BY55" s="15"/>
      <c r="BZ55" s="13"/>
      <c r="CA55" s="15"/>
      <c r="CB55" s="13"/>
      <c r="CC55" s="13"/>
    </row>
    <row r="56" spans="1:81" ht="87" x14ac:dyDescent="0.35">
      <c r="A56" s="13" t="s">
        <v>118</v>
      </c>
      <c r="B56" s="13" t="s">
        <v>83</v>
      </c>
      <c r="C56" s="14">
        <v>45428.468055555553</v>
      </c>
      <c r="D56" s="13" t="s">
        <v>84</v>
      </c>
      <c r="E56" s="15" t="s">
        <v>85</v>
      </c>
      <c r="F56" s="13" t="s">
        <v>86</v>
      </c>
      <c r="G56" s="15" t="s">
        <v>87</v>
      </c>
      <c r="H56" s="13" t="s">
        <v>230</v>
      </c>
      <c r="I56" s="15" t="s">
        <v>231</v>
      </c>
      <c r="J56" s="15" t="s">
        <v>232</v>
      </c>
      <c r="K56" s="15" t="s">
        <v>233</v>
      </c>
      <c r="L56" s="13" t="s">
        <v>236</v>
      </c>
      <c r="M56" s="15" t="s">
        <v>237</v>
      </c>
      <c r="N56" s="13" t="s">
        <v>94</v>
      </c>
      <c r="O56" s="15" t="s">
        <v>103</v>
      </c>
      <c r="P56" s="15" t="s">
        <v>104</v>
      </c>
      <c r="Q56" s="15" t="s">
        <v>110</v>
      </c>
      <c r="R56" s="13" t="s">
        <v>111</v>
      </c>
      <c r="S56" s="13" t="s">
        <v>99</v>
      </c>
      <c r="T56" s="13" t="s">
        <v>100</v>
      </c>
      <c r="U56" s="14">
        <v>45124</v>
      </c>
      <c r="V56" s="14"/>
      <c r="W56" s="15"/>
      <c r="X56" s="13"/>
      <c r="Y56" s="15"/>
      <c r="Z56" s="13"/>
      <c r="AA56" s="15"/>
      <c r="AB56" s="13"/>
      <c r="AC56" s="15"/>
      <c r="AD56" s="13"/>
      <c r="AE56" s="15"/>
      <c r="AF56" s="13"/>
      <c r="AG56" s="15"/>
      <c r="AH56" s="13"/>
      <c r="AI56" s="15"/>
      <c r="AJ56" s="13"/>
      <c r="AK56" s="15"/>
      <c r="AL56" s="13"/>
      <c r="AM56" s="15"/>
      <c r="AN56" s="13"/>
      <c r="AO56" s="15"/>
      <c r="AP56" s="13"/>
      <c r="AQ56" s="15"/>
      <c r="AR56" s="13"/>
      <c r="AS56" s="15"/>
      <c r="AT56" s="13"/>
      <c r="AU56" s="15"/>
      <c r="AV56" s="13"/>
      <c r="AW56" s="15"/>
      <c r="AX56" s="13"/>
      <c r="AY56" s="15"/>
      <c r="AZ56" s="13"/>
      <c r="BA56" s="15"/>
      <c r="BB56" s="13"/>
      <c r="BC56" s="15"/>
      <c r="BD56" s="13"/>
      <c r="BE56" s="15"/>
      <c r="BF56" s="13"/>
      <c r="BG56" s="15"/>
      <c r="BH56" s="13"/>
      <c r="BI56" s="15"/>
      <c r="BJ56" s="13"/>
      <c r="BK56" s="15"/>
      <c r="BL56" s="13"/>
      <c r="BM56" s="15"/>
      <c r="BN56" s="13"/>
      <c r="BO56" s="15"/>
      <c r="BP56" s="13"/>
      <c r="BQ56" s="15"/>
      <c r="BR56" s="13"/>
      <c r="BS56" s="15"/>
      <c r="BT56" s="13"/>
      <c r="BU56" s="15"/>
      <c r="BV56" s="13"/>
      <c r="BW56" s="15"/>
      <c r="BX56" s="13"/>
      <c r="BY56" s="15"/>
      <c r="BZ56" s="13"/>
      <c r="CA56" s="15"/>
      <c r="CB56" s="13"/>
      <c r="CC56" s="13"/>
    </row>
    <row r="57" spans="1:81" ht="87" x14ac:dyDescent="0.35">
      <c r="A57" s="13" t="s">
        <v>118</v>
      </c>
      <c r="B57" s="13" t="s">
        <v>83</v>
      </c>
      <c r="C57" s="14">
        <v>45428.469444444447</v>
      </c>
      <c r="D57" s="13" t="s">
        <v>84</v>
      </c>
      <c r="E57" s="15" t="s">
        <v>85</v>
      </c>
      <c r="F57" s="13" t="s">
        <v>86</v>
      </c>
      <c r="G57" s="15" t="s">
        <v>87</v>
      </c>
      <c r="H57" s="13" t="s">
        <v>230</v>
      </c>
      <c r="I57" s="15" t="s">
        <v>231</v>
      </c>
      <c r="J57" s="15" t="s">
        <v>232</v>
      </c>
      <c r="K57" s="15" t="s">
        <v>233</v>
      </c>
      <c r="L57" s="13" t="s">
        <v>238</v>
      </c>
      <c r="M57" s="15" t="s">
        <v>239</v>
      </c>
      <c r="N57" s="13" t="s">
        <v>107</v>
      </c>
      <c r="O57" s="15" t="s">
        <v>108</v>
      </c>
      <c r="P57" s="15" t="s">
        <v>109</v>
      </c>
      <c r="Q57" s="15" t="s">
        <v>110</v>
      </c>
      <c r="R57" s="13" t="s">
        <v>111</v>
      </c>
      <c r="S57" s="13" t="s">
        <v>99</v>
      </c>
      <c r="T57" s="13" t="s">
        <v>100</v>
      </c>
      <c r="U57" s="14">
        <v>45124</v>
      </c>
      <c r="V57" s="14"/>
      <c r="W57" s="15"/>
      <c r="X57" s="13"/>
      <c r="Y57" s="15"/>
      <c r="Z57" s="13"/>
      <c r="AA57" s="15"/>
      <c r="AB57" s="13"/>
      <c r="AC57" s="15"/>
      <c r="AD57" s="13"/>
      <c r="AE57" s="15"/>
      <c r="AF57" s="13"/>
      <c r="AG57" s="15"/>
      <c r="AH57" s="13"/>
      <c r="AI57" s="15"/>
      <c r="AJ57" s="13"/>
      <c r="AK57" s="15"/>
      <c r="AL57" s="13"/>
      <c r="AM57" s="15"/>
      <c r="AN57" s="13"/>
      <c r="AO57" s="15"/>
      <c r="AP57" s="13"/>
      <c r="AQ57" s="15"/>
      <c r="AR57" s="13"/>
      <c r="AS57" s="15"/>
      <c r="AT57" s="13"/>
      <c r="AU57" s="15"/>
      <c r="AV57" s="13"/>
      <c r="AW57" s="15"/>
      <c r="AX57" s="13"/>
      <c r="AY57" s="15"/>
      <c r="AZ57" s="13"/>
      <c r="BA57" s="15"/>
      <c r="BB57" s="13"/>
      <c r="BC57" s="15"/>
      <c r="BD57" s="13"/>
      <c r="BE57" s="15"/>
      <c r="BF57" s="13"/>
      <c r="BG57" s="15"/>
      <c r="BH57" s="13"/>
      <c r="BI57" s="15"/>
      <c r="BJ57" s="13"/>
      <c r="BK57" s="15"/>
      <c r="BL57" s="13"/>
      <c r="BM57" s="15"/>
      <c r="BN57" s="13"/>
      <c r="BO57" s="15"/>
      <c r="BP57" s="13"/>
      <c r="BQ57" s="15"/>
      <c r="BR57" s="13"/>
      <c r="BS57" s="15"/>
      <c r="BT57" s="13"/>
      <c r="BU57" s="15"/>
      <c r="BV57" s="13"/>
      <c r="BW57" s="15"/>
      <c r="BX57" s="13"/>
      <c r="BY57" s="15"/>
      <c r="BZ57" s="13"/>
      <c r="CA57" s="15"/>
      <c r="CB57" s="13"/>
      <c r="CC57" s="13"/>
    </row>
    <row r="58" spans="1:81" ht="87" x14ac:dyDescent="0.35">
      <c r="A58" s="13" t="s">
        <v>118</v>
      </c>
      <c r="B58" s="13" t="s">
        <v>83</v>
      </c>
      <c r="C58" s="14">
        <v>45428.465277777781</v>
      </c>
      <c r="D58" s="13" t="s">
        <v>84</v>
      </c>
      <c r="E58" s="15" t="s">
        <v>85</v>
      </c>
      <c r="F58" s="13" t="s">
        <v>86</v>
      </c>
      <c r="G58" s="15" t="s">
        <v>87</v>
      </c>
      <c r="H58" s="13" t="s">
        <v>230</v>
      </c>
      <c r="I58" s="15" t="s">
        <v>231</v>
      </c>
      <c r="J58" s="15" t="s">
        <v>232</v>
      </c>
      <c r="K58" s="15" t="s">
        <v>233</v>
      </c>
      <c r="L58" s="13" t="s">
        <v>234</v>
      </c>
      <c r="M58" s="15" t="s">
        <v>235</v>
      </c>
      <c r="N58" s="13" t="s">
        <v>94</v>
      </c>
      <c r="O58" s="15" t="s">
        <v>95</v>
      </c>
      <c r="P58" s="15" t="s">
        <v>96</v>
      </c>
      <c r="Q58" s="15" t="s">
        <v>112</v>
      </c>
      <c r="R58" s="13" t="s">
        <v>113</v>
      </c>
      <c r="S58" s="13" t="s">
        <v>99</v>
      </c>
      <c r="T58" s="13" t="s">
        <v>100</v>
      </c>
      <c r="U58" s="14">
        <v>45124</v>
      </c>
      <c r="V58" s="14"/>
      <c r="W58" s="15"/>
      <c r="X58" s="13"/>
      <c r="Y58" s="15"/>
      <c r="Z58" s="13"/>
      <c r="AA58" s="15"/>
      <c r="AB58" s="13"/>
      <c r="AC58" s="15"/>
      <c r="AD58" s="13"/>
      <c r="AE58" s="15"/>
      <c r="AF58" s="13"/>
      <c r="AG58" s="15"/>
      <c r="AH58" s="13"/>
      <c r="AI58" s="15"/>
      <c r="AJ58" s="13"/>
      <c r="AK58" s="15"/>
      <c r="AL58" s="13"/>
      <c r="AM58" s="15"/>
      <c r="AN58" s="13"/>
      <c r="AO58" s="15"/>
      <c r="AP58" s="13"/>
      <c r="AQ58" s="15"/>
      <c r="AR58" s="13"/>
      <c r="AS58" s="15"/>
      <c r="AT58" s="13"/>
      <c r="AU58" s="15"/>
      <c r="AV58" s="13"/>
      <c r="AW58" s="15"/>
      <c r="AX58" s="13"/>
      <c r="AY58" s="15"/>
      <c r="AZ58" s="13"/>
      <c r="BA58" s="15"/>
      <c r="BB58" s="13"/>
      <c r="BC58" s="15"/>
      <c r="BD58" s="13"/>
      <c r="BE58" s="15"/>
      <c r="BF58" s="13"/>
      <c r="BG58" s="15"/>
      <c r="BH58" s="13"/>
      <c r="BI58" s="15"/>
      <c r="BJ58" s="13"/>
      <c r="BK58" s="15"/>
      <c r="BL58" s="13"/>
      <c r="BM58" s="15"/>
      <c r="BN58" s="13"/>
      <c r="BO58" s="15"/>
      <c r="BP58" s="13"/>
      <c r="BQ58" s="15"/>
      <c r="BR58" s="13"/>
      <c r="BS58" s="15"/>
      <c r="BT58" s="13"/>
      <c r="BU58" s="15"/>
      <c r="BV58" s="13"/>
      <c r="BW58" s="15"/>
      <c r="BX58" s="13"/>
      <c r="BY58" s="15"/>
      <c r="BZ58" s="13"/>
      <c r="CA58" s="15"/>
      <c r="CB58" s="13"/>
      <c r="CC58" s="13"/>
    </row>
    <row r="59" spans="1:81" ht="87" x14ac:dyDescent="0.35">
      <c r="A59" s="13" t="s">
        <v>118</v>
      </c>
      <c r="B59" s="13" t="s">
        <v>83</v>
      </c>
      <c r="C59" s="14">
        <v>45428.467361111114</v>
      </c>
      <c r="D59" s="13" t="s">
        <v>84</v>
      </c>
      <c r="E59" s="15" t="s">
        <v>85</v>
      </c>
      <c r="F59" s="13" t="s">
        <v>86</v>
      </c>
      <c r="G59" s="15" t="s">
        <v>87</v>
      </c>
      <c r="H59" s="13" t="s">
        <v>230</v>
      </c>
      <c r="I59" s="15" t="s">
        <v>231</v>
      </c>
      <c r="J59" s="15" t="s">
        <v>232</v>
      </c>
      <c r="K59" s="15" t="s">
        <v>233</v>
      </c>
      <c r="L59" s="13" t="s">
        <v>236</v>
      </c>
      <c r="M59" s="15" t="s">
        <v>237</v>
      </c>
      <c r="N59" s="13" t="s">
        <v>94</v>
      </c>
      <c r="O59" s="15" t="s">
        <v>103</v>
      </c>
      <c r="P59" s="15" t="s">
        <v>104</v>
      </c>
      <c r="Q59" s="15" t="s">
        <v>112</v>
      </c>
      <c r="R59" s="13" t="s">
        <v>113</v>
      </c>
      <c r="S59" s="13" t="s">
        <v>99</v>
      </c>
      <c r="T59" s="13" t="s">
        <v>100</v>
      </c>
      <c r="U59" s="14">
        <v>45124</v>
      </c>
      <c r="V59" s="14"/>
      <c r="W59" s="15"/>
      <c r="X59" s="13"/>
      <c r="Y59" s="15"/>
      <c r="Z59" s="13"/>
      <c r="AA59" s="15"/>
      <c r="AB59" s="13"/>
      <c r="AC59" s="15"/>
      <c r="AD59" s="13"/>
      <c r="AE59" s="15"/>
      <c r="AF59" s="13"/>
      <c r="AG59" s="15"/>
      <c r="AH59" s="13"/>
      <c r="AI59" s="15"/>
      <c r="AJ59" s="13"/>
      <c r="AK59" s="15"/>
      <c r="AL59" s="13"/>
      <c r="AM59" s="15"/>
      <c r="AN59" s="13"/>
      <c r="AO59" s="15"/>
      <c r="AP59" s="13"/>
      <c r="AQ59" s="15"/>
      <c r="AR59" s="13"/>
      <c r="AS59" s="15"/>
      <c r="AT59" s="13"/>
      <c r="AU59" s="15"/>
      <c r="AV59" s="13"/>
      <c r="AW59" s="15"/>
      <c r="AX59" s="13"/>
      <c r="AY59" s="15"/>
      <c r="AZ59" s="13"/>
      <c r="BA59" s="15"/>
      <c r="BB59" s="13"/>
      <c r="BC59" s="15"/>
      <c r="BD59" s="13"/>
      <c r="BE59" s="15"/>
      <c r="BF59" s="13"/>
      <c r="BG59" s="15"/>
      <c r="BH59" s="13"/>
      <c r="BI59" s="15"/>
      <c r="BJ59" s="13"/>
      <c r="BK59" s="15"/>
      <c r="BL59" s="13"/>
      <c r="BM59" s="15"/>
      <c r="BN59" s="13"/>
      <c r="BO59" s="15"/>
      <c r="BP59" s="13"/>
      <c r="BQ59" s="15"/>
      <c r="BR59" s="13"/>
      <c r="BS59" s="15"/>
      <c r="BT59" s="13"/>
      <c r="BU59" s="15"/>
      <c r="BV59" s="13"/>
      <c r="BW59" s="15"/>
      <c r="BX59" s="13"/>
      <c r="BY59" s="15"/>
      <c r="BZ59" s="13"/>
      <c r="CA59" s="15"/>
      <c r="CB59" s="13"/>
      <c r="CC59" s="13"/>
    </row>
    <row r="60" spans="1:81" ht="87" x14ac:dyDescent="0.35">
      <c r="A60" s="13" t="s">
        <v>118</v>
      </c>
      <c r="B60" s="13" t="s">
        <v>83</v>
      </c>
      <c r="C60" s="14">
        <v>45428.468055555553</v>
      </c>
      <c r="D60" s="13" t="s">
        <v>84</v>
      </c>
      <c r="E60" s="15" t="s">
        <v>85</v>
      </c>
      <c r="F60" s="13" t="s">
        <v>86</v>
      </c>
      <c r="G60" s="15" t="s">
        <v>87</v>
      </c>
      <c r="H60" s="13" t="s">
        <v>230</v>
      </c>
      <c r="I60" s="15" t="s">
        <v>231</v>
      </c>
      <c r="J60" s="15" t="s">
        <v>232</v>
      </c>
      <c r="K60" s="15" t="s">
        <v>233</v>
      </c>
      <c r="L60" s="13" t="s">
        <v>238</v>
      </c>
      <c r="M60" s="15" t="s">
        <v>239</v>
      </c>
      <c r="N60" s="13" t="s">
        <v>107</v>
      </c>
      <c r="O60" s="15" t="s">
        <v>108</v>
      </c>
      <c r="P60" s="15" t="s">
        <v>109</v>
      </c>
      <c r="Q60" s="15" t="s">
        <v>112</v>
      </c>
      <c r="R60" s="13" t="s">
        <v>113</v>
      </c>
      <c r="S60" s="13" t="s">
        <v>99</v>
      </c>
      <c r="T60" s="13" t="s">
        <v>100</v>
      </c>
      <c r="U60" s="14">
        <v>45124</v>
      </c>
      <c r="V60" s="14"/>
      <c r="W60" s="15"/>
      <c r="X60" s="13"/>
      <c r="Y60" s="15"/>
      <c r="Z60" s="13"/>
      <c r="AA60" s="15"/>
      <c r="AB60" s="13"/>
      <c r="AC60" s="15"/>
      <c r="AD60" s="13"/>
      <c r="AE60" s="15"/>
      <c r="AF60" s="13"/>
      <c r="AG60" s="15"/>
      <c r="AH60" s="13"/>
      <c r="AI60" s="15"/>
      <c r="AJ60" s="13"/>
      <c r="AK60" s="15"/>
      <c r="AL60" s="13"/>
      <c r="AM60" s="15"/>
      <c r="AN60" s="13"/>
      <c r="AO60" s="15"/>
      <c r="AP60" s="13"/>
      <c r="AQ60" s="15"/>
      <c r="AR60" s="13"/>
      <c r="AS60" s="15"/>
      <c r="AT60" s="13"/>
      <c r="AU60" s="15"/>
      <c r="AV60" s="13"/>
      <c r="AW60" s="15"/>
      <c r="AX60" s="13"/>
      <c r="AY60" s="15"/>
      <c r="AZ60" s="13"/>
      <c r="BA60" s="15"/>
      <c r="BB60" s="13"/>
      <c r="BC60" s="15"/>
      <c r="BD60" s="13"/>
      <c r="BE60" s="15"/>
      <c r="BF60" s="13"/>
      <c r="BG60" s="15"/>
      <c r="BH60" s="13"/>
      <c r="BI60" s="15"/>
      <c r="BJ60" s="13"/>
      <c r="BK60" s="15"/>
      <c r="BL60" s="13"/>
      <c r="BM60" s="15"/>
      <c r="BN60" s="13"/>
      <c r="BO60" s="15"/>
      <c r="BP60" s="13"/>
      <c r="BQ60" s="15"/>
      <c r="BR60" s="13"/>
      <c r="BS60" s="15"/>
      <c r="BT60" s="13"/>
      <c r="BU60" s="15"/>
      <c r="BV60" s="13"/>
      <c r="BW60" s="15"/>
      <c r="BX60" s="13"/>
      <c r="BY60" s="15"/>
      <c r="BZ60" s="13"/>
      <c r="CA60" s="15"/>
      <c r="CB60" s="13"/>
      <c r="CC60" s="13"/>
    </row>
    <row r="61" spans="1:81" ht="87" x14ac:dyDescent="0.35">
      <c r="A61" s="13" t="s">
        <v>118</v>
      </c>
      <c r="B61" s="13" t="s">
        <v>83</v>
      </c>
      <c r="C61" s="14">
        <v>45428.464583333334</v>
      </c>
      <c r="D61" s="13" t="s">
        <v>84</v>
      </c>
      <c r="E61" s="15" t="s">
        <v>85</v>
      </c>
      <c r="F61" s="13" t="s">
        <v>86</v>
      </c>
      <c r="G61" s="15" t="s">
        <v>87</v>
      </c>
      <c r="H61" s="13" t="s">
        <v>230</v>
      </c>
      <c r="I61" s="15" t="s">
        <v>231</v>
      </c>
      <c r="J61" s="15" t="s">
        <v>232</v>
      </c>
      <c r="K61" s="15" t="s">
        <v>233</v>
      </c>
      <c r="L61" s="13" t="s">
        <v>234</v>
      </c>
      <c r="M61" s="15" t="s">
        <v>235</v>
      </c>
      <c r="N61" s="13" t="s">
        <v>94</v>
      </c>
      <c r="O61" s="15" t="s">
        <v>95</v>
      </c>
      <c r="P61" s="15" t="s">
        <v>96</v>
      </c>
      <c r="Q61" s="15" t="s">
        <v>114</v>
      </c>
      <c r="R61" s="13" t="s">
        <v>115</v>
      </c>
      <c r="S61" s="13" t="s">
        <v>99</v>
      </c>
      <c r="T61" s="13" t="s">
        <v>100</v>
      </c>
      <c r="U61" s="14">
        <v>45124</v>
      </c>
      <c r="V61" s="14"/>
      <c r="W61" s="15"/>
      <c r="X61" s="13"/>
      <c r="Y61" s="15"/>
      <c r="Z61" s="13"/>
      <c r="AA61" s="15"/>
      <c r="AB61" s="13"/>
      <c r="AC61" s="15"/>
      <c r="AD61" s="13"/>
      <c r="AE61" s="15"/>
      <c r="AF61" s="13"/>
      <c r="AG61" s="15"/>
      <c r="AH61" s="13"/>
      <c r="AI61" s="15"/>
      <c r="AJ61" s="13"/>
      <c r="AK61" s="15"/>
      <c r="AL61" s="13"/>
      <c r="AM61" s="15"/>
      <c r="AN61" s="13"/>
      <c r="AO61" s="15"/>
      <c r="AP61" s="13"/>
      <c r="AQ61" s="15"/>
      <c r="AR61" s="13"/>
      <c r="AS61" s="15"/>
      <c r="AT61" s="13"/>
      <c r="AU61" s="15"/>
      <c r="AV61" s="13"/>
      <c r="AW61" s="15"/>
      <c r="AX61" s="13"/>
      <c r="AY61" s="15"/>
      <c r="AZ61" s="13"/>
      <c r="BA61" s="15"/>
      <c r="BB61" s="13"/>
      <c r="BC61" s="15"/>
      <c r="BD61" s="13"/>
      <c r="BE61" s="15"/>
      <c r="BF61" s="13"/>
      <c r="BG61" s="15"/>
      <c r="BH61" s="13"/>
      <c r="BI61" s="15"/>
      <c r="BJ61" s="13"/>
      <c r="BK61" s="15"/>
      <c r="BL61" s="13"/>
      <c r="BM61" s="15"/>
      <c r="BN61" s="13"/>
      <c r="BO61" s="15"/>
      <c r="BP61" s="13"/>
      <c r="BQ61" s="15"/>
      <c r="BR61" s="13"/>
      <c r="BS61" s="15"/>
      <c r="BT61" s="13"/>
      <c r="BU61" s="15"/>
      <c r="BV61" s="13"/>
      <c r="BW61" s="15"/>
      <c r="BX61" s="13"/>
      <c r="BY61" s="15"/>
      <c r="BZ61" s="13"/>
      <c r="CA61" s="15"/>
      <c r="CB61" s="13"/>
      <c r="CC61" s="13"/>
    </row>
    <row r="62" spans="1:81" ht="87" x14ac:dyDescent="0.35">
      <c r="A62" s="13" t="s">
        <v>118</v>
      </c>
      <c r="B62" s="13" t="s">
        <v>83</v>
      </c>
      <c r="C62" s="14">
        <v>45428.467361111114</v>
      </c>
      <c r="D62" s="13" t="s">
        <v>84</v>
      </c>
      <c r="E62" s="15" t="s">
        <v>85</v>
      </c>
      <c r="F62" s="13" t="s">
        <v>86</v>
      </c>
      <c r="G62" s="15" t="s">
        <v>87</v>
      </c>
      <c r="H62" s="13" t="s">
        <v>230</v>
      </c>
      <c r="I62" s="15" t="s">
        <v>231</v>
      </c>
      <c r="J62" s="15" t="s">
        <v>232</v>
      </c>
      <c r="K62" s="15" t="s">
        <v>233</v>
      </c>
      <c r="L62" s="13" t="s">
        <v>236</v>
      </c>
      <c r="M62" s="15" t="s">
        <v>237</v>
      </c>
      <c r="N62" s="13" t="s">
        <v>94</v>
      </c>
      <c r="O62" s="15" t="s">
        <v>103</v>
      </c>
      <c r="P62" s="15" t="s">
        <v>104</v>
      </c>
      <c r="Q62" s="15" t="s">
        <v>114</v>
      </c>
      <c r="R62" s="13" t="s">
        <v>115</v>
      </c>
      <c r="S62" s="13" t="s">
        <v>99</v>
      </c>
      <c r="T62" s="13" t="s">
        <v>100</v>
      </c>
      <c r="U62" s="14">
        <v>45124</v>
      </c>
      <c r="V62" s="14"/>
      <c r="W62" s="15"/>
      <c r="X62" s="13"/>
      <c r="Y62" s="15"/>
      <c r="Z62" s="13"/>
      <c r="AA62" s="15"/>
      <c r="AB62" s="13"/>
      <c r="AC62" s="15"/>
      <c r="AD62" s="13"/>
      <c r="AE62" s="15"/>
      <c r="AF62" s="13"/>
      <c r="AG62" s="15"/>
      <c r="AH62" s="13"/>
      <c r="AI62" s="15"/>
      <c r="AJ62" s="13"/>
      <c r="AK62" s="15"/>
      <c r="AL62" s="13"/>
      <c r="AM62" s="15"/>
      <c r="AN62" s="13"/>
      <c r="AO62" s="15"/>
      <c r="AP62" s="13"/>
      <c r="AQ62" s="15"/>
      <c r="AR62" s="13"/>
      <c r="AS62" s="15"/>
      <c r="AT62" s="13"/>
      <c r="AU62" s="15"/>
      <c r="AV62" s="13"/>
      <c r="AW62" s="15"/>
      <c r="AX62" s="13"/>
      <c r="AY62" s="15"/>
      <c r="AZ62" s="13"/>
      <c r="BA62" s="15"/>
      <c r="BB62" s="13"/>
      <c r="BC62" s="15"/>
      <c r="BD62" s="13"/>
      <c r="BE62" s="15"/>
      <c r="BF62" s="13"/>
      <c r="BG62" s="15"/>
      <c r="BH62" s="13"/>
      <c r="BI62" s="15"/>
      <c r="BJ62" s="13"/>
      <c r="BK62" s="15"/>
      <c r="BL62" s="13"/>
      <c r="BM62" s="15"/>
      <c r="BN62" s="13"/>
      <c r="BO62" s="15"/>
      <c r="BP62" s="13"/>
      <c r="BQ62" s="15"/>
      <c r="BR62" s="13"/>
      <c r="BS62" s="15"/>
      <c r="BT62" s="13"/>
      <c r="BU62" s="15"/>
      <c r="BV62" s="13"/>
      <c r="BW62" s="15"/>
      <c r="BX62" s="13"/>
      <c r="BY62" s="15"/>
      <c r="BZ62" s="13"/>
      <c r="CA62" s="15"/>
      <c r="CB62" s="13"/>
      <c r="CC62" s="13"/>
    </row>
    <row r="63" spans="1:81" ht="87" x14ac:dyDescent="0.35">
      <c r="A63" s="13" t="s">
        <v>118</v>
      </c>
      <c r="B63" s="13" t="s">
        <v>83</v>
      </c>
      <c r="C63" s="14">
        <v>45428.468055555553</v>
      </c>
      <c r="D63" s="13" t="s">
        <v>84</v>
      </c>
      <c r="E63" s="15" t="s">
        <v>85</v>
      </c>
      <c r="F63" s="13" t="s">
        <v>86</v>
      </c>
      <c r="G63" s="15" t="s">
        <v>87</v>
      </c>
      <c r="H63" s="13" t="s">
        <v>230</v>
      </c>
      <c r="I63" s="15" t="s">
        <v>231</v>
      </c>
      <c r="J63" s="15" t="s">
        <v>232</v>
      </c>
      <c r="K63" s="15" t="s">
        <v>233</v>
      </c>
      <c r="L63" s="13" t="s">
        <v>238</v>
      </c>
      <c r="M63" s="15" t="s">
        <v>239</v>
      </c>
      <c r="N63" s="13" t="s">
        <v>107</v>
      </c>
      <c r="O63" s="15" t="s">
        <v>108</v>
      </c>
      <c r="P63" s="15" t="s">
        <v>109</v>
      </c>
      <c r="Q63" s="15" t="s">
        <v>114</v>
      </c>
      <c r="R63" s="13" t="s">
        <v>115</v>
      </c>
      <c r="S63" s="13" t="s">
        <v>99</v>
      </c>
      <c r="T63" s="13" t="s">
        <v>100</v>
      </c>
      <c r="U63" s="14">
        <v>45124</v>
      </c>
      <c r="V63" s="14"/>
      <c r="W63" s="15"/>
      <c r="X63" s="13"/>
      <c r="Y63" s="15"/>
      <c r="Z63" s="13"/>
      <c r="AA63" s="15"/>
      <c r="AB63" s="13"/>
      <c r="AC63" s="15"/>
      <c r="AD63" s="13"/>
      <c r="AE63" s="15"/>
      <c r="AF63" s="13"/>
      <c r="AG63" s="15"/>
      <c r="AH63" s="13"/>
      <c r="AI63" s="15"/>
      <c r="AJ63" s="13"/>
      <c r="AK63" s="15"/>
      <c r="AL63" s="13"/>
      <c r="AM63" s="15"/>
      <c r="AN63" s="13"/>
      <c r="AO63" s="15"/>
      <c r="AP63" s="13"/>
      <c r="AQ63" s="15"/>
      <c r="AR63" s="13"/>
      <c r="AS63" s="15"/>
      <c r="AT63" s="13"/>
      <c r="AU63" s="15"/>
      <c r="AV63" s="13"/>
      <c r="AW63" s="15"/>
      <c r="AX63" s="13"/>
      <c r="AY63" s="15"/>
      <c r="AZ63" s="13"/>
      <c r="BA63" s="15"/>
      <c r="BB63" s="13"/>
      <c r="BC63" s="15"/>
      <c r="BD63" s="13"/>
      <c r="BE63" s="15"/>
      <c r="BF63" s="13"/>
      <c r="BG63" s="15"/>
      <c r="BH63" s="13"/>
      <c r="BI63" s="15"/>
      <c r="BJ63" s="13"/>
      <c r="BK63" s="15"/>
      <c r="BL63" s="13"/>
      <c r="BM63" s="15"/>
      <c r="BN63" s="13"/>
      <c r="BO63" s="15"/>
      <c r="BP63" s="13"/>
      <c r="BQ63" s="15"/>
      <c r="BR63" s="13"/>
      <c r="BS63" s="15"/>
      <c r="BT63" s="13"/>
      <c r="BU63" s="15"/>
      <c r="BV63" s="13"/>
      <c r="BW63" s="15"/>
      <c r="BX63" s="13"/>
      <c r="BY63" s="15"/>
      <c r="BZ63" s="13"/>
      <c r="CA63" s="15"/>
      <c r="CB63" s="13"/>
      <c r="CC63" s="13"/>
    </row>
    <row r="64" spans="1:81" ht="87" x14ac:dyDescent="0.35">
      <c r="A64" s="13" t="s">
        <v>118</v>
      </c>
      <c r="B64" s="13" t="s">
        <v>83</v>
      </c>
      <c r="C64" s="14">
        <v>45428.466666666667</v>
      </c>
      <c r="D64" s="13" t="s">
        <v>84</v>
      </c>
      <c r="E64" s="15" t="s">
        <v>85</v>
      </c>
      <c r="F64" s="13" t="s">
        <v>86</v>
      </c>
      <c r="G64" s="15" t="s">
        <v>87</v>
      </c>
      <c r="H64" s="13" t="s">
        <v>230</v>
      </c>
      <c r="I64" s="15" t="s">
        <v>231</v>
      </c>
      <c r="J64" s="15" t="s">
        <v>232</v>
      </c>
      <c r="K64" s="15" t="s">
        <v>233</v>
      </c>
      <c r="L64" s="13" t="s">
        <v>234</v>
      </c>
      <c r="M64" s="15" t="s">
        <v>235</v>
      </c>
      <c r="N64" s="13" t="s">
        <v>94</v>
      </c>
      <c r="O64" s="15" t="s">
        <v>95</v>
      </c>
      <c r="P64" s="15" t="s">
        <v>96</v>
      </c>
      <c r="Q64" s="15" t="s">
        <v>116</v>
      </c>
      <c r="R64" s="13" t="s">
        <v>117</v>
      </c>
      <c r="S64" s="13" t="s">
        <v>99</v>
      </c>
      <c r="T64" s="13" t="s">
        <v>100</v>
      </c>
      <c r="U64" s="14">
        <v>45124</v>
      </c>
      <c r="V64" s="14"/>
      <c r="W64" s="15"/>
      <c r="X64" s="13"/>
      <c r="Y64" s="15"/>
      <c r="Z64" s="13"/>
      <c r="AA64" s="15"/>
      <c r="AB64" s="13"/>
      <c r="AC64" s="15"/>
      <c r="AD64" s="13"/>
      <c r="AE64" s="15"/>
      <c r="AF64" s="13"/>
      <c r="AG64" s="15"/>
      <c r="AH64" s="13"/>
      <c r="AI64" s="15"/>
      <c r="AJ64" s="13"/>
      <c r="AK64" s="15"/>
      <c r="AL64" s="13"/>
      <c r="AM64" s="15"/>
      <c r="AN64" s="13"/>
      <c r="AO64" s="15"/>
      <c r="AP64" s="13"/>
      <c r="AQ64" s="15"/>
      <c r="AR64" s="13"/>
      <c r="AS64" s="15"/>
      <c r="AT64" s="13"/>
      <c r="AU64" s="15"/>
      <c r="AV64" s="13"/>
      <c r="AW64" s="15"/>
      <c r="AX64" s="13"/>
      <c r="AY64" s="15"/>
      <c r="AZ64" s="13"/>
      <c r="BA64" s="15"/>
      <c r="BB64" s="13"/>
      <c r="BC64" s="15"/>
      <c r="BD64" s="13"/>
      <c r="BE64" s="15"/>
      <c r="BF64" s="13"/>
      <c r="BG64" s="15"/>
      <c r="BH64" s="13"/>
      <c r="BI64" s="15"/>
      <c r="BJ64" s="13"/>
      <c r="BK64" s="15"/>
      <c r="BL64" s="13"/>
      <c r="BM64" s="15"/>
      <c r="BN64" s="13"/>
      <c r="BO64" s="15"/>
      <c r="BP64" s="13"/>
      <c r="BQ64" s="15"/>
      <c r="BR64" s="13"/>
      <c r="BS64" s="15"/>
      <c r="BT64" s="13"/>
      <c r="BU64" s="15"/>
      <c r="BV64" s="13"/>
      <c r="BW64" s="15"/>
      <c r="BX64" s="13"/>
      <c r="BY64" s="15"/>
      <c r="BZ64" s="13"/>
      <c r="CA64" s="15"/>
      <c r="CB64" s="13"/>
      <c r="CC64" s="13"/>
    </row>
    <row r="65" spans="1:81" ht="87" x14ac:dyDescent="0.35">
      <c r="A65" s="13" t="s">
        <v>118</v>
      </c>
      <c r="B65" s="13" t="s">
        <v>83</v>
      </c>
      <c r="C65" s="14">
        <v>45428.467361111114</v>
      </c>
      <c r="D65" s="13" t="s">
        <v>84</v>
      </c>
      <c r="E65" s="15" t="s">
        <v>85</v>
      </c>
      <c r="F65" s="13" t="s">
        <v>86</v>
      </c>
      <c r="G65" s="15" t="s">
        <v>87</v>
      </c>
      <c r="H65" s="13" t="s">
        <v>230</v>
      </c>
      <c r="I65" s="15" t="s">
        <v>231</v>
      </c>
      <c r="J65" s="15" t="s">
        <v>232</v>
      </c>
      <c r="K65" s="15" t="s">
        <v>233</v>
      </c>
      <c r="L65" s="13" t="s">
        <v>236</v>
      </c>
      <c r="M65" s="15" t="s">
        <v>237</v>
      </c>
      <c r="N65" s="13" t="s">
        <v>94</v>
      </c>
      <c r="O65" s="15" t="s">
        <v>103</v>
      </c>
      <c r="P65" s="15" t="s">
        <v>104</v>
      </c>
      <c r="Q65" s="15" t="s">
        <v>116</v>
      </c>
      <c r="R65" s="13" t="s">
        <v>117</v>
      </c>
      <c r="S65" s="13" t="s">
        <v>99</v>
      </c>
      <c r="T65" s="13" t="s">
        <v>100</v>
      </c>
      <c r="U65" s="14">
        <v>45124</v>
      </c>
      <c r="V65" s="14"/>
      <c r="W65" s="15"/>
      <c r="X65" s="13"/>
      <c r="Y65" s="15"/>
      <c r="Z65" s="13"/>
      <c r="AA65" s="15"/>
      <c r="AB65" s="13"/>
      <c r="AC65" s="15"/>
      <c r="AD65" s="13"/>
      <c r="AE65" s="15"/>
      <c r="AF65" s="13"/>
      <c r="AG65" s="15"/>
      <c r="AH65" s="13"/>
      <c r="AI65" s="15"/>
      <c r="AJ65" s="13"/>
      <c r="AK65" s="15"/>
      <c r="AL65" s="13"/>
      <c r="AM65" s="15"/>
      <c r="AN65" s="13"/>
      <c r="AO65" s="15"/>
      <c r="AP65" s="13"/>
      <c r="AQ65" s="15"/>
      <c r="AR65" s="13"/>
      <c r="AS65" s="15"/>
      <c r="AT65" s="13"/>
      <c r="AU65" s="15"/>
      <c r="AV65" s="13"/>
      <c r="AW65" s="15"/>
      <c r="AX65" s="13"/>
      <c r="AY65" s="15"/>
      <c r="AZ65" s="13"/>
      <c r="BA65" s="15"/>
      <c r="BB65" s="13"/>
      <c r="BC65" s="15"/>
      <c r="BD65" s="13"/>
      <c r="BE65" s="15"/>
      <c r="BF65" s="13"/>
      <c r="BG65" s="15"/>
      <c r="BH65" s="13"/>
      <c r="BI65" s="15"/>
      <c r="BJ65" s="13"/>
      <c r="BK65" s="15"/>
      <c r="BL65" s="13"/>
      <c r="BM65" s="15"/>
      <c r="BN65" s="13"/>
      <c r="BO65" s="15"/>
      <c r="BP65" s="13"/>
      <c r="BQ65" s="15"/>
      <c r="BR65" s="13"/>
      <c r="BS65" s="15"/>
      <c r="BT65" s="13"/>
      <c r="BU65" s="15"/>
      <c r="BV65" s="13"/>
      <c r="BW65" s="15"/>
      <c r="BX65" s="13"/>
      <c r="BY65" s="15"/>
      <c r="BZ65" s="13"/>
      <c r="CA65" s="15"/>
      <c r="CB65" s="13"/>
      <c r="CC65" s="13"/>
    </row>
    <row r="66" spans="1:81" ht="87" x14ac:dyDescent="0.35">
      <c r="A66" s="13" t="s">
        <v>118</v>
      </c>
      <c r="B66" s="13" t="s">
        <v>83</v>
      </c>
      <c r="C66" s="14">
        <v>45428.46875</v>
      </c>
      <c r="D66" s="13" t="s">
        <v>84</v>
      </c>
      <c r="E66" s="15" t="s">
        <v>85</v>
      </c>
      <c r="F66" s="13" t="s">
        <v>86</v>
      </c>
      <c r="G66" s="15" t="s">
        <v>87</v>
      </c>
      <c r="H66" s="13" t="s">
        <v>230</v>
      </c>
      <c r="I66" s="15" t="s">
        <v>231</v>
      </c>
      <c r="J66" s="15" t="s">
        <v>232</v>
      </c>
      <c r="K66" s="15" t="s">
        <v>233</v>
      </c>
      <c r="L66" s="13" t="s">
        <v>238</v>
      </c>
      <c r="M66" s="15" t="s">
        <v>239</v>
      </c>
      <c r="N66" s="13" t="s">
        <v>107</v>
      </c>
      <c r="O66" s="15" t="s">
        <v>108</v>
      </c>
      <c r="P66" s="15" t="s">
        <v>109</v>
      </c>
      <c r="Q66" s="15" t="s">
        <v>116</v>
      </c>
      <c r="R66" s="13" t="s">
        <v>117</v>
      </c>
      <c r="S66" s="13" t="s">
        <v>99</v>
      </c>
      <c r="T66" s="13" t="s">
        <v>100</v>
      </c>
      <c r="U66" s="14">
        <v>45124</v>
      </c>
      <c r="V66" s="14"/>
      <c r="W66" s="15"/>
      <c r="X66" s="13"/>
      <c r="Y66" s="15"/>
      <c r="Z66" s="13"/>
      <c r="AA66" s="15"/>
      <c r="AB66" s="13"/>
      <c r="AC66" s="15"/>
      <c r="AD66" s="13"/>
      <c r="AE66" s="15"/>
      <c r="AF66" s="13"/>
      <c r="AG66" s="15"/>
      <c r="AH66" s="13"/>
      <c r="AI66" s="15"/>
      <c r="AJ66" s="13"/>
      <c r="AK66" s="15"/>
      <c r="AL66" s="13"/>
      <c r="AM66" s="15"/>
      <c r="AN66" s="13"/>
      <c r="AO66" s="15"/>
      <c r="AP66" s="13"/>
      <c r="AQ66" s="15"/>
      <c r="AR66" s="13"/>
      <c r="AS66" s="15"/>
      <c r="AT66" s="13"/>
      <c r="AU66" s="15"/>
      <c r="AV66" s="13"/>
      <c r="AW66" s="15"/>
      <c r="AX66" s="13"/>
      <c r="AY66" s="15"/>
      <c r="AZ66" s="13"/>
      <c r="BA66" s="15"/>
      <c r="BB66" s="13"/>
      <c r="BC66" s="15"/>
      <c r="BD66" s="13"/>
      <c r="BE66" s="15"/>
      <c r="BF66" s="13"/>
      <c r="BG66" s="15"/>
      <c r="BH66" s="13"/>
      <c r="BI66" s="15"/>
      <c r="BJ66" s="13"/>
      <c r="BK66" s="15"/>
      <c r="BL66" s="13"/>
      <c r="BM66" s="15"/>
      <c r="BN66" s="13"/>
      <c r="BO66" s="15"/>
      <c r="BP66" s="13"/>
      <c r="BQ66" s="15"/>
      <c r="BR66" s="13"/>
      <c r="BS66" s="15"/>
      <c r="BT66" s="13"/>
      <c r="BU66" s="15"/>
      <c r="BV66" s="13"/>
      <c r="BW66" s="15"/>
      <c r="BX66" s="13"/>
      <c r="BY66" s="15"/>
      <c r="BZ66" s="13"/>
      <c r="CA66" s="15"/>
      <c r="CB66" s="13"/>
      <c r="CC66" s="13"/>
    </row>
    <row r="67" spans="1:81" ht="116" x14ac:dyDescent="0.35">
      <c r="A67" s="13" t="s">
        <v>118</v>
      </c>
      <c r="B67" s="13" t="s">
        <v>83</v>
      </c>
      <c r="C67" s="14">
        <v>45428.456250000003</v>
      </c>
      <c r="D67" s="13" t="s">
        <v>84</v>
      </c>
      <c r="E67" s="15" t="s">
        <v>85</v>
      </c>
      <c r="F67" s="13" t="s">
        <v>86</v>
      </c>
      <c r="G67" s="15" t="s">
        <v>87</v>
      </c>
      <c r="H67" s="13" t="s">
        <v>230</v>
      </c>
      <c r="I67" s="15" t="s">
        <v>231</v>
      </c>
      <c r="J67" s="15" t="s">
        <v>232</v>
      </c>
      <c r="K67" s="15" t="s">
        <v>233</v>
      </c>
      <c r="L67" s="13" t="s">
        <v>234</v>
      </c>
      <c r="M67" s="15" t="s">
        <v>235</v>
      </c>
      <c r="N67" s="13" t="s">
        <v>94</v>
      </c>
      <c r="O67" s="15" t="s">
        <v>95</v>
      </c>
      <c r="P67" s="15" t="s">
        <v>96</v>
      </c>
      <c r="Q67" s="15" t="s">
        <v>120</v>
      </c>
      <c r="R67" s="13" t="s">
        <v>121</v>
      </c>
      <c r="S67" s="13" t="s">
        <v>122</v>
      </c>
      <c r="T67" s="13" t="s">
        <v>123</v>
      </c>
      <c r="U67" s="14">
        <v>45124</v>
      </c>
      <c r="V67" s="14"/>
      <c r="W67" s="15" t="s">
        <v>240</v>
      </c>
      <c r="X67" s="13" t="s">
        <v>133</v>
      </c>
      <c r="Y67" s="15" t="str">
        <f>VLOOKUP(X67,'Axe 2 Règles de gestion'!$D$2:$F$49,3, FALSE)</f>
        <v>Le militaire doit présenter une demande.</v>
      </c>
      <c r="Z67" s="13" t="s">
        <v>135</v>
      </c>
      <c r="AA67" s="15" t="str">
        <f>VLOOKUP(Z67,'Axe 2 Règles de gestion'!$D$2:$F$49,3, FALSE)</f>
        <v>Le militaire est placé en congé par décision du ministre compétent.</v>
      </c>
      <c r="AB67" s="13" t="s">
        <v>137</v>
      </c>
      <c r="AC67" s="15" t="str">
        <f>VLOOKUP(AB67,'Axe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D67" s="13" t="s">
        <v>139</v>
      </c>
      <c r="AE67" s="15" t="str">
        <f>VLOOKUP(AD67,'Axe 2 Règles de gestion'!$D$2:$F$49,3, FALSE)</f>
        <v>Le militaire officier est tenu d'informer sans délai par écrit le ministre compétent de tout changement d'activité privée lucrative.</v>
      </c>
      <c r="AF67" s="13"/>
      <c r="AG67" s="15"/>
      <c r="AH67" s="13"/>
      <c r="AI67" s="15"/>
      <c r="AJ67" s="13"/>
      <c r="AK67" s="15"/>
      <c r="AL67" s="13"/>
      <c r="AM67" s="15"/>
      <c r="AN67" s="13" t="s">
        <v>141</v>
      </c>
      <c r="AO67" s="15" t="str">
        <f>VLOOKUP(AN67,'Axe 2 Règles de gestion'!$D$2:$F$49,3, FALSE)</f>
        <v>La durée prévisionnelle du congé ne peut pas excéder 2 ans pour chaque période.</v>
      </c>
      <c r="AP67" s="13" t="s">
        <v>143</v>
      </c>
      <c r="AQ67" s="15" t="str">
        <f>VLOOKUP(AP67,'Axe 2 Règles de gestion'!$D$2:$F$49,3, FALSE)</f>
        <v>La durée réelle du congé ne peut pas excéder 2 ans pour chaque période.</v>
      </c>
      <c r="AR67" s="13" t="s">
        <v>145</v>
      </c>
      <c r="AS67" s="15" t="str">
        <f>VLOOKUP(AR67,'Axe 2 Règles de gestion'!$D$2:$F$49,3, FALSE)</f>
        <v>La durée cumulée de l'ensemble des congés pour convenances personnelles ne doit pas excéder 10 ans.</v>
      </c>
      <c r="AT67" s="13" t="s">
        <v>147</v>
      </c>
      <c r="AU67" s="15" t="str">
        <f>VLOOKUP(AT67,'Axe 2 Règles de gestion'!$D$2:$F$49,3, FALSE)</f>
        <v>La date de fin réelle du congé doit être antérieure ou égale à la date limite de fin réelle ou prévisionnelle du lien juridique. Le militaire ne voit pas son contrat prorogé jusqu'à la date de fin du congé.</v>
      </c>
      <c r="AV67" s="13" t="s">
        <v>149</v>
      </c>
      <c r="AW67" s="15" t="str">
        <f>VLOOKUP(AV67,'Axe 2 Règles de gestion'!$D$2:$F$49,3, FALSE)</f>
        <v>La date de fin prévisionnelle du congé doit être antérieure ou égale à la date limite de fin réelle ou prévisionnelle du lien juridique. Le militaire ne voit pas son contrat prorogé jusqu'à la date de fin du congé.</v>
      </c>
      <c r="AX67" s="13"/>
      <c r="AY67" s="15"/>
      <c r="AZ67" s="13"/>
      <c r="BA67" s="15"/>
      <c r="BB67" s="13" t="s">
        <v>151</v>
      </c>
      <c r="BC67" s="15" t="str">
        <f>VLOOKUP(BB67,'Axe 2 Règles de gestion'!$D$2:$F$49,3, FALSE)</f>
        <v>La date de début de position doit être antérieure ou égale à la date de fin prévisionnelle de position.</v>
      </c>
      <c r="BD67" s="13" t="s">
        <v>153</v>
      </c>
      <c r="BE67" s="15" t="str">
        <f>VLOOKUP(BD67,'Axe 2 Règles de gestion'!$D$2:$F$49,3, FALSE)</f>
        <v>La date de fin réelle de la position doit être antérieure à la date limite de départ à la retraite.</v>
      </c>
      <c r="BF67" s="13" t="s">
        <v>155</v>
      </c>
      <c r="BG67" s="15" t="str">
        <f>VLOOKUP(BF67,'Axe 2 Règles de gestion'!$D$2:$F$49,3, FALSE)</f>
        <v>La date de début de la position doit être postérieure ou égale à la date de début du lien juridique.</v>
      </c>
      <c r="BH67" s="13" t="s">
        <v>157</v>
      </c>
      <c r="BI67" s="15" t="str">
        <f>VLOOKUP(BH67,'Axe 2 Règles de gestion'!$D$2:$F$49,3, FALSE)</f>
        <v>La date de début de position doit être antérieure ou égale à la date de fin réelle de position.</v>
      </c>
      <c r="BJ67" s="13" t="s">
        <v>159</v>
      </c>
      <c r="BK67" s="15" t="str">
        <f>VLOOKUP(BJ67,'Axe 2 Règles de gestion'!$D$2:$F$49,3, FALSE)</f>
        <v>La date de fin prévisionnelle de la position doit être antérieure à la date limite de départ à la retraite.</v>
      </c>
      <c r="BL67" s="13" t="s">
        <v>161</v>
      </c>
      <c r="BM67" s="15" t="str">
        <f>VLOOKUP(BL67,'Axe 2 Règles de gestion'!$D$2:$F$49,3, FALSE)</f>
        <v>La date de début de position est à J+1 de la date de fin de position de l'occurrence précédente.</v>
      </c>
      <c r="BN67" s="13" t="s">
        <v>163</v>
      </c>
      <c r="BO67" s="15" t="str">
        <f>VLOOKUP(BN67,'Axe 2 Règles de gestion'!$D$2:$F$49,3, FALSE)</f>
        <v>La date de fin ou la date de fin prévisionnelle doit être saisie.</v>
      </c>
      <c r="BP67" s="13" t="s">
        <v>165</v>
      </c>
      <c r="BQ67" s="15" t="str">
        <f>VLOOKUP(BP67,'Axe 2 Règles de gestion'!$D$2:$F$49,3, FALSE)</f>
        <v>La saisie d'une occurrence de congés/absences est interdite (date de fin réelle)</v>
      </c>
      <c r="BR67" s="13" t="s">
        <v>167</v>
      </c>
      <c r="BS67" s="15" t="str">
        <f>VLOOKUP(BR67,'Axe 2 Règles de gestion'!$D$2:$F$49,3, FALSE)</f>
        <v>La saisie d'une occurrence de congés/absences est interdite (date de fin prévisionnelle)</v>
      </c>
      <c r="BT67" s="13"/>
      <c r="BU67" s="15"/>
      <c r="BV67" s="13"/>
      <c r="BW67" s="15"/>
      <c r="BX67" s="13"/>
      <c r="BY67" s="15"/>
      <c r="BZ67" s="13"/>
      <c r="CA67" s="15"/>
      <c r="CB67" s="13"/>
      <c r="CC67" s="13"/>
    </row>
    <row r="68" spans="1:81" ht="116" x14ac:dyDescent="0.35">
      <c r="A68" s="13" t="s">
        <v>118</v>
      </c>
      <c r="B68" s="13" t="s">
        <v>83</v>
      </c>
      <c r="C68" s="14">
        <v>45428.490277777775</v>
      </c>
      <c r="D68" s="13" t="s">
        <v>84</v>
      </c>
      <c r="E68" s="15" t="s">
        <v>85</v>
      </c>
      <c r="F68" s="13" t="s">
        <v>86</v>
      </c>
      <c r="G68" s="15" t="s">
        <v>87</v>
      </c>
      <c r="H68" s="13" t="s">
        <v>230</v>
      </c>
      <c r="I68" s="15" t="s">
        <v>231</v>
      </c>
      <c r="J68" s="15" t="s">
        <v>232</v>
      </c>
      <c r="K68" s="15" t="s">
        <v>233</v>
      </c>
      <c r="L68" s="13" t="s">
        <v>236</v>
      </c>
      <c r="M68" s="15" t="s">
        <v>237</v>
      </c>
      <c r="N68" s="13" t="s">
        <v>94</v>
      </c>
      <c r="O68" s="15" t="s">
        <v>103</v>
      </c>
      <c r="P68" s="15" t="s">
        <v>104</v>
      </c>
      <c r="Q68" s="15" t="s">
        <v>120</v>
      </c>
      <c r="R68" s="13" t="s">
        <v>121</v>
      </c>
      <c r="S68" s="13" t="s">
        <v>122</v>
      </c>
      <c r="T68" s="13" t="s">
        <v>123</v>
      </c>
      <c r="U68" s="14">
        <v>45124</v>
      </c>
      <c r="V68" s="14"/>
      <c r="W68" s="15" t="s">
        <v>170</v>
      </c>
      <c r="X68" s="13" t="s">
        <v>171</v>
      </c>
      <c r="Y68" s="15" t="str">
        <f>VLOOKUP(X68,'Axe 2 Règles de gestion'!$D$2:$F$49,3, FALSE)</f>
        <v>Le militaire peut demander le renouvellement du congé 3 mois avant l'expiration du congé.</v>
      </c>
      <c r="Z68" s="13" t="s">
        <v>133</v>
      </c>
      <c r="AA68" s="15" t="str">
        <f>VLOOKUP(Z68,'Axe 2 Règles de gestion'!$D$2:$F$49,3, FALSE)</f>
        <v>Le militaire doit présenter une demande.</v>
      </c>
      <c r="AB68" s="13" t="s">
        <v>135</v>
      </c>
      <c r="AC68" s="15" t="str">
        <f>VLOOKUP(AB68,'Axe 2 Règles de gestion'!$D$2:$F$49,3, FALSE)</f>
        <v>Le militaire est placé en congé par décision du ministre compétent.</v>
      </c>
      <c r="AD68" s="13" t="s">
        <v>137</v>
      </c>
      <c r="AE68" s="15" t="str">
        <f>VLOOKUP(AD68,'Axe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F68" s="13" t="s">
        <v>139</v>
      </c>
      <c r="AG68" s="15" t="str">
        <f>VLOOKUP(AF68,'Axe 2 Règles de gestion'!$D$2:$F$49,3, FALSE)</f>
        <v>Le militaire officier est tenu d'informer sans délai par écrit le ministre compétent de tout changement d'activité privée lucrative.</v>
      </c>
      <c r="AH68" s="13"/>
      <c r="AI68" s="15"/>
      <c r="AJ68" s="13"/>
      <c r="AK68" s="15"/>
      <c r="AL68" s="13"/>
      <c r="AM68" s="15"/>
      <c r="AN68" s="13" t="s">
        <v>141</v>
      </c>
      <c r="AO68" s="15" t="str">
        <f>VLOOKUP(AN68,'Axe 2 Règles de gestion'!$D$2:$F$49,3, FALSE)</f>
        <v>La durée prévisionnelle du congé ne peut pas excéder 2 ans pour chaque période.</v>
      </c>
      <c r="AP68" s="13" t="s">
        <v>143</v>
      </c>
      <c r="AQ68" s="15" t="str">
        <f>VLOOKUP(AP68,'Axe 2 Règles de gestion'!$D$2:$F$49,3, FALSE)</f>
        <v>La durée réelle du congé ne peut pas excéder 2 ans pour chaque période.</v>
      </c>
      <c r="AR68" s="13" t="s">
        <v>145</v>
      </c>
      <c r="AS68" s="15" t="str">
        <f>VLOOKUP(AR68,'Axe 2 Règles de gestion'!$D$2:$F$49,3, FALSE)</f>
        <v>La durée cumulée de l'ensemble des congés pour convenances personnelles ne doit pas excéder 10 ans.</v>
      </c>
      <c r="AT68" s="13" t="s">
        <v>147</v>
      </c>
      <c r="AU68" s="15" t="str">
        <f>VLOOKUP(AT68,'Axe 2 Règles de gestion'!$D$2:$F$49,3, FALSE)</f>
        <v>La date de fin réelle du congé doit être antérieure ou égale à la date limite de fin réelle ou prévisionnelle du lien juridique. Le militaire ne voit pas son contrat prorogé jusqu'à la date de fin du congé.</v>
      </c>
      <c r="AV68" s="13" t="s">
        <v>149</v>
      </c>
      <c r="AW68" s="15" t="str">
        <f>VLOOKUP(AV68,'Axe 2 Règles de gestion'!$D$2:$F$49,3, FALSE)</f>
        <v>La date de fin prévisionnelle du congé doit être antérieure ou égale à la date limite de fin réelle ou prévisionnelle du lien juridique. Le militaire ne voit pas son contrat prorogé jusqu'à la date de fin du congé.</v>
      </c>
      <c r="AX68" s="13"/>
      <c r="AY68" s="15"/>
      <c r="AZ68" s="13"/>
      <c r="BA68" s="15"/>
      <c r="BB68" s="13" t="s">
        <v>151</v>
      </c>
      <c r="BC68" s="15" t="str">
        <f>VLOOKUP(BB68,'Axe 2 Règles de gestion'!$D$2:$F$49,3, FALSE)</f>
        <v>La date de début de position doit être antérieure ou égale à la date de fin prévisionnelle de position.</v>
      </c>
      <c r="BD68" s="13" t="s">
        <v>153</v>
      </c>
      <c r="BE68" s="15" t="str">
        <f>VLOOKUP(BD68,'Axe 2 Règles de gestion'!$D$2:$F$49,3, FALSE)</f>
        <v>La date de fin réelle de la position doit être antérieure à la date limite de départ à la retraite.</v>
      </c>
      <c r="BF68" s="13" t="s">
        <v>155</v>
      </c>
      <c r="BG68" s="15" t="str">
        <f>VLOOKUP(BF68,'Axe 2 Règles de gestion'!$D$2:$F$49,3, FALSE)</f>
        <v>La date de début de la position doit être postérieure ou égale à la date de début du lien juridique.</v>
      </c>
      <c r="BH68" s="13" t="s">
        <v>157</v>
      </c>
      <c r="BI68" s="15" t="str">
        <f>VLOOKUP(BH68,'Axe 2 Règles de gestion'!$D$2:$F$49,3, FALSE)</f>
        <v>La date de début de position doit être antérieure ou égale à la date de fin réelle de position.</v>
      </c>
      <c r="BJ68" s="13" t="s">
        <v>159</v>
      </c>
      <c r="BK68" s="15" t="str">
        <f>VLOOKUP(BJ68,'Axe 2 Règles de gestion'!$D$2:$F$49,3, FALSE)</f>
        <v>La date de fin prévisionnelle de la position doit être antérieure à la date limite de départ à la retraite.</v>
      </c>
      <c r="BL68" s="13" t="s">
        <v>161</v>
      </c>
      <c r="BM68" s="15" t="str">
        <f>VLOOKUP(BL68,'Axe 2 Règles de gestion'!$D$2:$F$49,3, FALSE)</f>
        <v>La date de début de position est à J+1 de la date de fin de position de l'occurrence précédente.</v>
      </c>
      <c r="BN68" s="13" t="s">
        <v>163</v>
      </c>
      <c r="BO68" s="15" t="str">
        <f>VLOOKUP(BN68,'Axe 2 Règles de gestion'!$D$2:$F$49,3, FALSE)</f>
        <v>La date de fin ou la date de fin prévisionnelle doit être saisie.</v>
      </c>
      <c r="BP68" s="13" t="s">
        <v>165</v>
      </c>
      <c r="BQ68" s="15" t="str">
        <f>VLOOKUP(BP68,'Axe 2 Règles de gestion'!$D$2:$F$49,3, FALSE)</f>
        <v>La saisie d'une occurrence de congés/absences est interdite (date de fin réelle)</v>
      </c>
      <c r="BR68" s="13" t="s">
        <v>167</v>
      </c>
      <c r="BS68" s="15" t="str">
        <f>VLOOKUP(BR68,'Axe 2 Règles de gestion'!$D$2:$F$49,3, FALSE)</f>
        <v>La saisie d'une occurrence de congés/absences est interdite (date de fin prévisionnelle)</v>
      </c>
      <c r="BT68" s="13"/>
      <c r="BU68" s="15"/>
      <c r="BV68" s="13"/>
      <c r="BW68" s="15"/>
      <c r="BX68" s="13"/>
      <c r="BY68" s="15"/>
      <c r="BZ68" s="13"/>
      <c r="CA68" s="15"/>
      <c r="CB68" s="13"/>
      <c r="CC68" s="13"/>
    </row>
    <row r="69" spans="1:81" ht="116" x14ac:dyDescent="0.35">
      <c r="A69" s="13" t="s">
        <v>118</v>
      </c>
      <c r="B69" s="13" t="s">
        <v>83</v>
      </c>
      <c r="C69" s="14">
        <v>45428.488888888889</v>
      </c>
      <c r="D69" s="13" t="s">
        <v>84</v>
      </c>
      <c r="E69" s="15" t="s">
        <v>85</v>
      </c>
      <c r="F69" s="13" t="s">
        <v>86</v>
      </c>
      <c r="G69" s="15" t="s">
        <v>87</v>
      </c>
      <c r="H69" s="13" t="s">
        <v>230</v>
      </c>
      <c r="I69" s="15" t="s">
        <v>231</v>
      </c>
      <c r="J69" s="15" t="s">
        <v>232</v>
      </c>
      <c r="K69" s="15" t="s">
        <v>233</v>
      </c>
      <c r="L69" s="13" t="s">
        <v>238</v>
      </c>
      <c r="M69" s="15" t="s">
        <v>239</v>
      </c>
      <c r="N69" s="13" t="s">
        <v>107</v>
      </c>
      <c r="O69" s="15" t="s">
        <v>108</v>
      </c>
      <c r="P69" s="15" t="s">
        <v>109</v>
      </c>
      <c r="Q69" s="15" t="s">
        <v>120</v>
      </c>
      <c r="R69" s="13" t="s">
        <v>121</v>
      </c>
      <c r="S69" s="13" t="s">
        <v>122</v>
      </c>
      <c r="T69" s="13" t="s">
        <v>123</v>
      </c>
      <c r="U69" s="14">
        <v>45124</v>
      </c>
      <c r="V69" s="14"/>
      <c r="W69" s="15" t="s">
        <v>173</v>
      </c>
      <c r="X69" s="13" t="s">
        <v>174</v>
      </c>
      <c r="Y69" s="15" t="str">
        <f>VLOOKUP(X69,'Axe 2 Règles de gestion'!$D$2:$F$49,3, FALSE)</f>
        <v>Le militaire peut demander la réintégration dans son corps d'origine, laquelle est de droit, 3 mois avant l'expiration du congé.</v>
      </c>
      <c r="Z69" s="13" t="s">
        <v>176</v>
      </c>
      <c r="AA69" s="15" t="str">
        <f>VLOOKUP(Z69,'Axe 2 Règles de gestion'!$D$2:$F$49,3, FALSE)</f>
        <v>Le militaire qui a formulé avant l'expiration du congé une demande de réintégration est maintenu dans cette situation jusqu'à ce qu'il puisse être affecté dans un emploi correspondant à son grade.</v>
      </c>
      <c r="AB69" s="13"/>
      <c r="AC69" s="15"/>
      <c r="AD69" s="13"/>
      <c r="AE69" s="15"/>
      <c r="AF69" s="13"/>
      <c r="AG69" s="15"/>
      <c r="AH69" s="13"/>
      <c r="AI69" s="15"/>
      <c r="AJ69" s="13"/>
      <c r="AK69" s="15"/>
      <c r="AL69" s="13"/>
      <c r="AM69" s="15"/>
      <c r="AN69" s="13" t="s">
        <v>141</v>
      </c>
      <c r="AO69" s="15" t="str">
        <f>VLOOKUP(AN69,'Axe 2 Règles de gestion'!$D$2:$F$49,3, FALSE)</f>
        <v>La durée prévisionnelle du congé ne peut pas excéder 2 ans pour chaque période.</v>
      </c>
      <c r="AP69" s="13" t="s">
        <v>143</v>
      </c>
      <c r="AQ69" s="15" t="str">
        <f>VLOOKUP(AP69,'Axe 2 Règles de gestion'!$D$2:$F$49,3, FALSE)</f>
        <v>La durée réelle du congé ne peut pas excéder 2 ans pour chaque période.</v>
      </c>
      <c r="AR69" s="13" t="s">
        <v>145</v>
      </c>
      <c r="AS69" s="15" t="str">
        <f>VLOOKUP(AR69,'Axe 2 Règles de gestion'!$D$2:$F$49,3, FALSE)</f>
        <v>La durée cumulée de l'ensemble des congés pour convenances personnelles ne doit pas excéder 10 ans.</v>
      </c>
      <c r="AT69" s="13" t="s">
        <v>147</v>
      </c>
      <c r="AU69" s="15" t="str">
        <f>VLOOKUP(AT69,'Axe 2 Règles de gestion'!$D$2:$F$49,3, FALSE)</f>
        <v>La date de fin réelle du congé doit être antérieure ou égale à la date limite de fin réelle ou prévisionnelle du lien juridique. Le militaire ne voit pas son contrat prorogé jusqu'à la date de fin du congé.</v>
      </c>
      <c r="AV69" s="13" t="s">
        <v>149</v>
      </c>
      <c r="AW69" s="15" t="str">
        <f>VLOOKUP(AV69,'Axe 2 Règles de gestion'!$D$2:$F$49,3, FALSE)</f>
        <v>La date de fin prévisionnelle du congé doit être antérieure ou égale à la date limite de fin réelle ou prévisionnelle du lien juridique. Le militaire ne voit pas son contrat prorogé jusqu'à la date de fin du congé.</v>
      </c>
      <c r="AX69" s="13"/>
      <c r="AY69" s="15"/>
      <c r="AZ69" s="13"/>
      <c r="BA69" s="15"/>
      <c r="BB69" s="13" t="s">
        <v>151</v>
      </c>
      <c r="BC69" s="15" t="str">
        <f>VLOOKUP(BB69,'Axe 2 Règles de gestion'!$D$2:$F$49,3, FALSE)</f>
        <v>La date de début de position doit être antérieure ou égale à la date de fin prévisionnelle de position.</v>
      </c>
      <c r="BD69" s="13" t="s">
        <v>153</v>
      </c>
      <c r="BE69" s="15" t="str">
        <f>VLOOKUP(BD69,'Axe 2 Règles de gestion'!$D$2:$F$49,3, FALSE)</f>
        <v>La date de fin réelle de la position doit être antérieure à la date limite de départ à la retraite.</v>
      </c>
      <c r="BF69" s="13" t="s">
        <v>157</v>
      </c>
      <c r="BG69" s="15" t="str">
        <f>VLOOKUP(BF69,'Axe 2 Règles de gestion'!$D$2:$F$49,3, FALSE)</f>
        <v>La date de début de position doit être antérieure ou égale à la date de fin réelle de position.</v>
      </c>
      <c r="BH69" s="13" t="s">
        <v>159</v>
      </c>
      <c r="BI69" s="15" t="str">
        <f>VLOOKUP(BH69,'Axe 2 Règles de gestion'!$D$2:$F$49,3, FALSE)</f>
        <v>La date de fin prévisionnelle de la position doit être antérieure à la date limite de départ à la retraite.</v>
      </c>
      <c r="BJ69" s="13" t="s">
        <v>163</v>
      </c>
      <c r="BK69" s="15" t="str">
        <f>VLOOKUP(BJ69,'Axe 2 Règles de gestion'!$D$2:$F$49,3, FALSE)</f>
        <v>La date de fin ou la date de fin prévisionnelle doit être saisie.</v>
      </c>
      <c r="BL69" s="13" t="s">
        <v>165</v>
      </c>
      <c r="BM69" s="15" t="str">
        <f>VLOOKUP(BL69,'Axe 2 Règles de gestion'!$D$2:$F$49,3, FALSE)</f>
        <v>La saisie d'une occurrence de congés/absences est interdite (date de fin réelle)</v>
      </c>
      <c r="BN69" s="13" t="s">
        <v>167</v>
      </c>
      <c r="BO69" s="15" t="str">
        <f>VLOOKUP(BN69,'Axe 2 Règles de gestion'!$D$2:$F$49,3, FALSE)</f>
        <v>La saisie d'une occurrence de congés/absences est interdite (date de fin prévisionnelle)</v>
      </c>
      <c r="BP69" s="13"/>
      <c r="BQ69" s="15"/>
      <c r="BR69" s="13"/>
      <c r="BS69" s="15"/>
      <c r="BT69" s="13"/>
      <c r="BU69" s="15"/>
      <c r="BV69" s="13"/>
      <c r="BW69" s="15"/>
      <c r="BX69" s="13"/>
      <c r="BY69" s="15"/>
      <c r="BZ69" s="13"/>
      <c r="CA69" s="15"/>
      <c r="CB69" s="13"/>
      <c r="CC69" s="13"/>
    </row>
    <row r="70" spans="1:81" ht="116" x14ac:dyDescent="0.35">
      <c r="A70" s="13" t="s">
        <v>118</v>
      </c>
      <c r="B70" s="13" t="s">
        <v>83</v>
      </c>
      <c r="C70" s="14">
        <v>45428.458333333336</v>
      </c>
      <c r="D70" s="13" t="s">
        <v>84</v>
      </c>
      <c r="E70" s="15" t="s">
        <v>85</v>
      </c>
      <c r="F70" s="13" t="s">
        <v>86</v>
      </c>
      <c r="G70" s="15" t="s">
        <v>87</v>
      </c>
      <c r="H70" s="13" t="s">
        <v>230</v>
      </c>
      <c r="I70" s="15" t="s">
        <v>231</v>
      </c>
      <c r="J70" s="15" t="s">
        <v>232</v>
      </c>
      <c r="K70" s="15" t="s">
        <v>233</v>
      </c>
      <c r="L70" s="13" t="s">
        <v>234</v>
      </c>
      <c r="M70" s="15" t="s">
        <v>235</v>
      </c>
      <c r="N70" s="13" t="s">
        <v>94</v>
      </c>
      <c r="O70" s="15" t="s">
        <v>95</v>
      </c>
      <c r="P70" s="15" t="s">
        <v>96</v>
      </c>
      <c r="Q70" s="15" t="s">
        <v>178</v>
      </c>
      <c r="R70" s="13" t="s">
        <v>179</v>
      </c>
      <c r="S70" s="13" t="s">
        <v>122</v>
      </c>
      <c r="T70" s="13" t="s">
        <v>123</v>
      </c>
      <c r="U70" s="14">
        <v>45124</v>
      </c>
      <c r="V70" s="14"/>
      <c r="W70" s="15" t="s">
        <v>241</v>
      </c>
      <c r="X70" s="13" t="s">
        <v>133</v>
      </c>
      <c r="Y70" s="15" t="str">
        <f>VLOOKUP(X70,'Axe 2 Règles de gestion'!$D$2:$F$49,3, FALSE)</f>
        <v>Le militaire doit présenter une demande.</v>
      </c>
      <c r="Z70" s="13" t="s">
        <v>135</v>
      </c>
      <c r="AA70" s="15" t="str">
        <f>VLOOKUP(Z70,'Axe 2 Règles de gestion'!$D$2:$F$49,3, FALSE)</f>
        <v>Le militaire est placé en congé par décision du ministre compétent.</v>
      </c>
      <c r="AB70" s="13" t="s">
        <v>137</v>
      </c>
      <c r="AC70" s="15" t="str">
        <f>VLOOKUP(AB70,'Axe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D70" s="13" t="s">
        <v>139</v>
      </c>
      <c r="AE70" s="15" t="str">
        <f>VLOOKUP(AD70,'Axe 2 Règles de gestion'!$D$2:$F$49,3, FALSE)</f>
        <v>Le militaire officier est tenu d'informer sans délai par écrit le ministre compétent de tout changement d'activité privée lucrative.</v>
      </c>
      <c r="AF70" s="13"/>
      <c r="AG70" s="15"/>
      <c r="AH70" s="13"/>
      <c r="AI70" s="15"/>
      <c r="AJ70" s="13"/>
      <c r="AK70" s="15"/>
      <c r="AL70" s="13"/>
      <c r="AM70" s="15"/>
      <c r="AN70" s="13" t="s">
        <v>141</v>
      </c>
      <c r="AO70" s="15" t="str">
        <f>VLOOKUP(AN70,'Axe 2 Règles de gestion'!$D$2:$F$49,3, FALSE)</f>
        <v>La durée prévisionnelle du congé ne peut pas excéder 2 ans pour chaque période.</v>
      </c>
      <c r="AP70" s="13" t="s">
        <v>143</v>
      </c>
      <c r="AQ70" s="15" t="str">
        <f>VLOOKUP(AP70,'Axe 2 Règles de gestion'!$D$2:$F$49,3, FALSE)</f>
        <v>La durée réelle du congé ne peut pas excéder 2 ans pour chaque période.</v>
      </c>
      <c r="AR70" s="13" t="s">
        <v>145</v>
      </c>
      <c r="AS70" s="15" t="str">
        <f>VLOOKUP(AR70,'Axe 2 Règles de gestion'!$D$2:$F$49,3, FALSE)</f>
        <v>La durée cumulée de l'ensemble des congés pour convenances personnelles ne doit pas excéder 10 ans.</v>
      </c>
      <c r="AT70" s="13"/>
      <c r="AU70" s="15"/>
      <c r="AV70" s="13"/>
      <c r="AW70" s="15"/>
      <c r="AX70" s="13"/>
      <c r="AY70" s="15"/>
      <c r="AZ70" s="13"/>
      <c r="BA70" s="15"/>
      <c r="BB70" s="13" t="s">
        <v>151</v>
      </c>
      <c r="BC70" s="15" t="str">
        <f>VLOOKUP(BB70,'Axe 2 Règles de gestion'!$D$2:$F$49,3, FALSE)</f>
        <v>La date de début de position doit être antérieure ou égale à la date de fin prévisionnelle de position.</v>
      </c>
      <c r="BD70" s="13" t="s">
        <v>181</v>
      </c>
      <c r="BE70" s="15" t="str">
        <f>VLOOKUP(BD70,'Axe 2 Règles de gestion'!$D$2:$F$49,3, FALSE)</f>
        <v>La date de début de la position doit être postérieure ou égale à la date d'entrée dans la FPE ou dans la carrière militaire.</v>
      </c>
      <c r="BF70" s="13" t="s">
        <v>153</v>
      </c>
      <c r="BG70" s="15" t="str">
        <f>VLOOKUP(BF70,'Axe 2 Règles de gestion'!$D$2:$F$49,3, FALSE)</f>
        <v>La date de fin réelle de la position doit être antérieure à la date limite de départ à la retraite.</v>
      </c>
      <c r="BH70" s="13" t="s">
        <v>157</v>
      </c>
      <c r="BI70" s="15" t="str">
        <f>VLOOKUP(BH70,'Axe 2 Règles de gestion'!$D$2:$F$49,3, FALSE)</f>
        <v>La date de début de position doit être antérieure ou égale à la date de fin réelle de position.</v>
      </c>
      <c r="BJ70" s="13" t="s">
        <v>159</v>
      </c>
      <c r="BK70" s="15" t="str">
        <f>VLOOKUP(BJ70,'Axe 2 Règles de gestion'!$D$2:$F$49,3, FALSE)</f>
        <v>La date de fin prévisionnelle de la position doit être antérieure à la date limite de départ à la retraite.</v>
      </c>
      <c r="BL70" s="13" t="s">
        <v>161</v>
      </c>
      <c r="BM70" s="15" t="str">
        <f>VLOOKUP(BL70,'Axe 2 Règles de gestion'!$D$2:$F$49,3, FALSE)</f>
        <v>La date de début de position est à J+1 de la date de fin de position de l'occurrence précédente.</v>
      </c>
      <c r="BN70" s="13" t="s">
        <v>183</v>
      </c>
      <c r="BO70" s="15" t="str">
        <f>VLOOKUP(BN70,'Axe 2 Règles de gestion'!$D$2:$F$49,3, FALSE)</f>
        <v>La date de fin réelle de la position doit être antérieure ou égale à la date de décès de l'enfant.</v>
      </c>
      <c r="BP70" s="13" t="s">
        <v>185</v>
      </c>
      <c r="BQ70" s="15" t="str">
        <f>VLOOKUP(BP70,'Axe 2 Règles de gestion'!$D$2:$F$49,3, FALSE)</f>
        <v>La date de fin prévisionnelle de la position doit être antérieure ou égale à la date de décès de l'enfant.</v>
      </c>
      <c r="BR70" s="13" t="s">
        <v>163</v>
      </c>
      <c r="BS70" s="15" t="str">
        <f>VLOOKUP(BR70,'Axe 2 Règles de gestion'!$D$2:$F$49,3, FALSE)</f>
        <v>La date de fin ou la date de fin prévisionnelle doit être saisie.</v>
      </c>
      <c r="BT70" s="13" t="s">
        <v>165</v>
      </c>
      <c r="BU70" s="15" t="str">
        <f>VLOOKUP(BT70,'Axe 2 Règles de gestion'!$D$2:$F$49,3, FALSE)</f>
        <v>La saisie d'une occurrence de congés/absences est interdite (date de fin réelle)</v>
      </c>
      <c r="BV70" s="13" t="s">
        <v>167</v>
      </c>
      <c r="BW70" s="15" t="str">
        <f>VLOOKUP(BV70,'Axe 2 Règles de gestion'!$D$2:$F$49,3, FALSE)</f>
        <v>La saisie d'une occurrence de congés/absences est interdite (date de fin prévisionnelle)</v>
      </c>
      <c r="BX70" s="13"/>
      <c r="BY70" s="15"/>
      <c r="BZ70" s="13"/>
      <c r="CA70" s="15"/>
      <c r="CB70" s="13"/>
      <c r="CC70" s="13"/>
    </row>
    <row r="71" spans="1:81" ht="116" x14ac:dyDescent="0.35">
      <c r="A71" s="13" t="s">
        <v>118</v>
      </c>
      <c r="B71" s="13" t="s">
        <v>83</v>
      </c>
      <c r="C71" s="14">
        <v>45428.459027777775</v>
      </c>
      <c r="D71" s="13" t="s">
        <v>84</v>
      </c>
      <c r="E71" s="15" t="s">
        <v>85</v>
      </c>
      <c r="F71" s="13" t="s">
        <v>86</v>
      </c>
      <c r="G71" s="15" t="s">
        <v>87</v>
      </c>
      <c r="H71" s="13" t="s">
        <v>230</v>
      </c>
      <c r="I71" s="15" t="s">
        <v>231</v>
      </c>
      <c r="J71" s="15" t="s">
        <v>232</v>
      </c>
      <c r="K71" s="15" t="s">
        <v>233</v>
      </c>
      <c r="L71" s="13" t="s">
        <v>236</v>
      </c>
      <c r="M71" s="15" t="s">
        <v>237</v>
      </c>
      <c r="N71" s="13" t="s">
        <v>94</v>
      </c>
      <c r="O71" s="15" t="s">
        <v>103</v>
      </c>
      <c r="P71" s="15" t="s">
        <v>104</v>
      </c>
      <c r="Q71" s="15" t="s">
        <v>178</v>
      </c>
      <c r="R71" s="13" t="s">
        <v>179</v>
      </c>
      <c r="S71" s="13" t="s">
        <v>122</v>
      </c>
      <c r="T71" s="13" t="s">
        <v>123</v>
      </c>
      <c r="U71" s="14">
        <v>45124</v>
      </c>
      <c r="V71" s="14"/>
      <c r="W71" s="15" t="s">
        <v>188</v>
      </c>
      <c r="X71" s="13" t="s">
        <v>171</v>
      </c>
      <c r="Y71" s="15" t="str">
        <f>VLOOKUP(X71,'Axe 2 Règles de gestion'!$D$2:$F$49,3, FALSE)</f>
        <v>Le militaire peut demander le renouvellement du congé 3 mois avant l'expiration du congé.</v>
      </c>
      <c r="Z71" s="13" t="s">
        <v>133</v>
      </c>
      <c r="AA71" s="15" t="str">
        <f>VLOOKUP(Z71,'Axe 2 Règles de gestion'!$D$2:$F$49,3, FALSE)</f>
        <v>Le militaire doit présenter une demande.</v>
      </c>
      <c r="AB71" s="13" t="s">
        <v>135</v>
      </c>
      <c r="AC71" s="15" t="str">
        <f>VLOOKUP(AB71,'Axe 2 Règles de gestion'!$D$2:$F$49,3, FALSE)</f>
        <v>Le militaire est placé en congé par décision du ministre compétent.</v>
      </c>
      <c r="AD71" s="13" t="s">
        <v>137</v>
      </c>
      <c r="AE71" s="15" t="str">
        <f>VLOOKUP(AD71,'Axe 2 Règles de gestion'!$D$2:$F$49,3, FALSE)</f>
        <v>Le militaire officier qui demande à être placé dans ce congé, est tenu d'informer sans délai par écrit le ministre compétent de la nature de l'activité privée lucrative qu'il se propose d'exercer.</v>
      </c>
      <c r="AF71" s="13" t="s">
        <v>139</v>
      </c>
      <c r="AG71" s="15" t="str">
        <f>VLOOKUP(AF71,'Axe 2 Règles de gestion'!$D$2:$F$49,3, FALSE)</f>
        <v>Le militaire officier est tenu d'informer sans délai par écrit le ministre compétent de tout changement d'activité privée lucrative.</v>
      </c>
      <c r="AH71" s="13"/>
      <c r="AI71" s="15"/>
      <c r="AJ71" s="13"/>
      <c r="AK71" s="15"/>
      <c r="AL71" s="13"/>
      <c r="AM71" s="15"/>
      <c r="AN71" s="13" t="s">
        <v>141</v>
      </c>
      <c r="AO71" s="15" t="str">
        <f>VLOOKUP(AN71,'Axe 2 Règles de gestion'!$D$2:$F$49,3, FALSE)</f>
        <v>La durée prévisionnelle du congé ne peut pas excéder 2 ans pour chaque période.</v>
      </c>
      <c r="AP71" s="13" t="s">
        <v>143</v>
      </c>
      <c r="AQ71" s="15" t="str">
        <f>VLOOKUP(AP71,'Axe 2 Règles de gestion'!$D$2:$F$49,3, FALSE)</f>
        <v>La durée réelle du congé ne peut pas excéder 2 ans pour chaque période.</v>
      </c>
      <c r="AR71" s="13" t="s">
        <v>145</v>
      </c>
      <c r="AS71" s="15" t="str">
        <f>VLOOKUP(AR71,'Axe 2 Règles de gestion'!$D$2:$F$49,3, FALSE)</f>
        <v>La durée cumulée de l'ensemble des congés pour convenances personnelles ne doit pas excéder 10 ans.</v>
      </c>
      <c r="AT71" s="13"/>
      <c r="AU71" s="15"/>
      <c r="AV71" s="13"/>
      <c r="AW71" s="15"/>
      <c r="AX71" s="13"/>
      <c r="AY71" s="15"/>
      <c r="AZ71" s="13"/>
      <c r="BA71" s="15"/>
      <c r="BB71" s="13" t="s">
        <v>151</v>
      </c>
      <c r="BC71" s="15" t="str">
        <f>VLOOKUP(BB71,'Axe 2 Règles de gestion'!$D$2:$F$49,3, FALSE)</f>
        <v>La date de début de position doit être antérieure ou égale à la date de fin prévisionnelle de position.</v>
      </c>
      <c r="BD71" s="13" t="s">
        <v>181</v>
      </c>
      <c r="BE71" s="15" t="str">
        <f>VLOOKUP(BD71,'Axe 2 Règles de gestion'!$D$2:$F$49,3, FALSE)</f>
        <v>La date de début de la position doit être postérieure ou égale à la date d'entrée dans la FPE ou dans la carrière militaire.</v>
      </c>
      <c r="BF71" s="13" t="s">
        <v>153</v>
      </c>
      <c r="BG71" s="15" t="str">
        <f>VLOOKUP(BF71,'Axe 2 Règles de gestion'!$D$2:$F$49,3, FALSE)</f>
        <v>La date de fin réelle de la position doit être antérieure à la date limite de départ à la retraite.</v>
      </c>
      <c r="BH71" s="13" t="s">
        <v>157</v>
      </c>
      <c r="BI71" s="15" t="str">
        <f>VLOOKUP(BH71,'Axe 2 Règles de gestion'!$D$2:$F$49,3, FALSE)</f>
        <v>La date de début de position doit être antérieure ou égale à la date de fin réelle de position.</v>
      </c>
      <c r="BJ71" s="13" t="s">
        <v>159</v>
      </c>
      <c r="BK71" s="15" t="str">
        <f>VLOOKUP(BJ71,'Axe 2 Règles de gestion'!$D$2:$F$49,3, FALSE)</f>
        <v>La date de fin prévisionnelle de la position doit être antérieure à la date limite de départ à la retraite.</v>
      </c>
      <c r="BL71" s="13" t="s">
        <v>161</v>
      </c>
      <c r="BM71" s="15" t="str">
        <f>VLOOKUP(BL71,'Axe 2 Règles de gestion'!$D$2:$F$49,3, FALSE)</f>
        <v>La date de début de position est à J+1 de la date de fin de position de l'occurrence précédente.</v>
      </c>
      <c r="BN71" s="13" t="s">
        <v>183</v>
      </c>
      <c r="BO71" s="15" t="str">
        <f>VLOOKUP(BN71,'Axe 2 Règles de gestion'!$D$2:$F$49,3, FALSE)</f>
        <v>La date de fin réelle de la position doit être antérieure ou égale à la date de décès de l'enfant.</v>
      </c>
      <c r="BP71" s="13" t="s">
        <v>185</v>
      </c>
      <c r="BQ71" s="15" t="str">
        <f>VLOOKUP(BP71,'Axe 2 Règles de gestion'!$D$2:$F$49,3, FALSE)</f>
        <v>La date de fin prévisionnelle de la position doit être antérieure ou égale à la date de décès de l'enfant.</v>
      </c>
      <c r="BR71" s="13" t="s">
        <v>163</v>
      </c>
      <c r="BS71" s="15" t="str">
        <f>VLOOKUP(BR71,'Axe 2 Règles de gestion'!$D$2:$F$49,3, FALSE)</f>
        <v>La date de fin ou la date de fin prévisionnelle doit être saisie.</v>
      </c>
      <c r="BT71" s="13" t="s">
        <v>165</v>
      </c>
      <c r="BU71" s="15" t="str">
        <f>VLOOKUP(BT71,'Axe 2 Règles de gestion'!$D$2:$F$49,3, FALSE)</f>
        <v>La saisie d'une occurrence de congés/absences est interdite (date de fin réelle)</v>
      </c>
      <c r="BV71" s="13" t="s">
        <v>167</v>
      </c>
      <c r="BW71" s="15" t="str">
        <f>VLOOKUP(BV71,'Axe 2 Règles de gestion'!$D$2:$F$49,3, FALSE)</f>
        <v>La saisie d'une occurrence de congés/absences est interdite (date de fin prévisionnelle)</v>
      </c>
      <c r="BX71" s="13"/>
      <c r="BY71" s="15"/>
      <c r="BZ71" s="13"/>
      <c r="CA71" s="15"/>
      <c r="CB71" s="13"/>
      <c r="CC71" s="13"/>
    </row>
    <row r="72" spans="1:81" ht="116" x14ac:dyDescent="0.35">
      <c r="A72" s="13" t="s">
        <v>118</v>
      </c>
      <c r="B72" s="13" t="s">
        <v>83</v>
      </c>
      <c r="C72" s="14">
        <v>45428.488888888889</v>
      </c>
      <c r="D72" s="13" t="s">
        <v>84</v>
      </c>
      <c r="E72" s="15" t="s">
        <v>85</v>
      </c>
      <c r="F72" s="13" t="s">
        <v>86</v>
      </c>
      <c r="G72" s="15" t="s">
        <v>87</v>
      </c>
      <c r="H72" s="13" t="s">
        <v>230</v>
      </c>
      <c r="I72" s="15" t="s">
        <v>231</v>
      </c>
      <c r="J72" s="15" t="s">
        <v>232</v>
      </c>
      <c r="K72" s="15" t="s">
        <v>233</v>
      </c>
      <c r="L72" s="13" t="s">
        <v>238</v>
      </c>
      <c r="M72" s="15" t="s">
        <v>239</v>
      </c>
      <c r="N72" s="13" t="s">
        <v>107</v>
      </c>
      <c r="O72" s="15" t="s">
        <v>108</v>
      </c>
      <c r="P72" s="15" t="s">
        <v>109</v>
      </c>
      <c r="Q72" s="15" t="s">
        <v>178</v>
      </c>
      <c r="R72" s="13" t="s">
        <v>179</v>
      </c>
      <c r="S72" s="13" t="s">
        <v>122</v>
      </c>
      <c r="T72" s="13" t="s">
        <v>123</v>
      </c>
      <c r="U72" s="14">
        <v>45124</v>
      </c>
      <c r="V72" s="14"/>
      <c r="W72" s="15" t="s">
        <v>189</v>
      </c>
      <c r="X72" s="13" t="s">
        <v>174</v>
      </c>
      <c r="Y72" s="15" t="str">
        <f>VLOOKUP(X72,'Axe 2 Règles de gestion'!$D$2:$F$49,3, FALSE)</f>
        <v>Le militaire peut demander la réintégration dans son corps d'origine, laquelle est de droit, 3 mois avant l'expiration du congé.</v>
      </c>
      <c r="Z72" s="13" t="s">
        <v>176</v>
      </c>
      <c r="AA72" s="15" t="str">
        <f>VLOOKUP(Z72,'Axe 2 Règles de gestion'!$D$2:$F$49,3, FALSE)</f>
        <v>Le militaire qui a formulé avant l'expiration du congé une demande de réintégration est maintenu dans cette situation jusqu'à ce qu'il puisse être affecté dans un emploi correspondant à son grade.</v>
      </c>
      <c r="AB72" s="13"/>
      <c r="AC72" s="15"/>
      <c r="AD72" s="13"/>
      <c r="AE72" s="15"/>
      <c r="AF72" s="13"/>
      <c r="AG72" s="15"/>
      <c r="AH72" s="13"/>
      <c r="AI72" s="15"/>
      <c r="AJ72" s="13"/>
      <c r="AK72" s="15"/>
      <c r="AL72" s="13"/>
      <c r="AM72" s="15"/>
      <c r="AN72" s="13" t="s">
        <v>141</v>
      </c>
      <c r="AO72" s="15" t="str">
        <f>VLOOKUP(AN72,'Axe 2 Règles de gestion'!$D$2:$F$49,3, FALSE)</f>
        <v>La durée prévisionnelle du congé ne peut pas excéder 2 ans pour chaque période.</v>
      </c>
      <c r="AP72" s="13" t="s">
        <v>143</v>
      </c>
      <c r="AQ72" s="15" t="str">
        <f>VLOOKUP(AP72,'Axe 2 Règles de gestion'!$D$2:$F$49,3, FALSE)</f>
        <v>La durée réelle du congé ne peut pas excéder 2 ans pour chaque période.</v>
      </c>
      <c r="AR72" s="13" t="s">
        <v>145</v>
      </c>
      <c r="AS72" s="15" t="str">
        <f>VLOOKUP(AR72,'Axe 2 Règles de gestion'!$D$2:$F$49,3, FALSE)</f>
        <v>La durée cumulée de l'ensemble des congés pour convenances personnelles ne doit pas excéder 10 ans.</v>
      </c>
      <c r="AT72" s="13"/>
      <c r="AU72" s="15"/>
      <c r="AV72" s="13"/>
      <c r="AW72" s="15"/>
      <c r="AX72" s="13"/>
      <c r="AY72" s="15"/>
      <c r="AZ72" s="13"/>
      <c r="BA72" s="15"/>
      <c r="BB72" s="13" t="s">
        <v>151</v>
      </c>
      <c r="BC72" s="15" t="str">
        <f>VLOOKUP(BB72,'Axe 2 Règles de gestion'!$D$2:$F$49,3, FALSE)</f>
        <v>La date de début de position doit être antérieure ou égale à la date de fin prévisionnelle de position.</v>
      </c>
      <c r="BD72" s="13" t="s">
        <v>153</v>
      </c>
      <c r="BE72" s="15" t="str">
        <f>VLOOKUP(BD72,'Axe 2 Règles de gestion'!$D$2:$F$49,3, FALSE)</f>
        <v>La date de fin réelle de la position doit être antérieure à la date limite de départ à la retraite.</v>
      </c>
      <c r="BF72" s="13" t="s">
        <v>157</v>
      </c>
      <c r="BG72" s="15" t="str">
        <f>VLOOKUP(BF72,'Axe 2 Règles de gestion'!$D$2:$F$49,3, FALSE)</f>
        <v>La date de début de position doit être antérieure ou égale à la date de fin réelle de position.</v>
      </c>
      <c r="BH72" s="13" t="s">
        <v>159</v>
      </c>
      <c r="BI72" s="15" t="str">
        <f>VLOOKUP(BH72,'Axe 2 Règles de gestion'!$D$2:$F$49,3, FALSE)</f>
        <v>La date de fin prévisionnelle de la position doit être antérieure à la date limite de départ à la retraite.</v>
      </c>
      <c r="BJ72" s="13" t="s">
        <v>183</v>
      </c>
      <c r="BK72" s="15" t="str">
        <f>VLOOKUP(BJ72,'Axe 2 Règles de gestion'!$D$2:$F$49,3, FALSE)</f>
        <v>La date de fin réelle de la position doit être antérieure ou égale à la date de décès de l'enfant.</v>
      </c>
      <c r="BL72" s="13" t="s">
        <v>185</v>
      </c>
      <c r="BM72" s="15" t="str">
        <f>VLOOKUP(BL72,'Axe 2 Règles de gestion'!$D$2:$F$49,3, FALSE)</f>
        <v>La date de fin prévisionnelle de la position doit être antérieure ou égale à la date de décès de l'enfant.</v>
      </c>
      <c r="BN72" s="13" t="s">
        <v>163</v>
      </c>
      <c r="BO72" s="15" t="str">
        <f>VLOOKUP(BN72,'Axe 2 Règles de gestion'!$D$2:$F$49,3, FALSE)</f>
        <v>La date de fin ou la date de fin prévisionnelle doit être saisie.</v>
      </c>
      <c r="BP72" s="13" t="s">
        <v>165</v>
      </c>
      <c r="BQ72" s="15" t="str">
        <f>VLOOKUP(BP72,'Axe 2 Règles de gestion'!$D$2:$F$49,3, FALSE)</f>
        <v>La saisie d'une occurrence de congés/absences est interdite (date de fin réelle)</v>
      </c>
      <c r="BR72" s="13" t="s">
        <v>167</v>
      </c>
      <c r="BS72" s="15" t="str">
        <f>VLOOKUP(BR72,'Axe 2 Règles de gestion'!$D$2:$F$49,3, FALSE)</f>
        <v>La saisie d'une occurrence de congés/absences est interdite (date de fin prévisionnelle)</v>
      </c>
      <c r="BT72" s="13"/>
      <c r="BU72" s="15"/>
      <c r="BV72" s="13"/>
      <c r="BW72" s="15"/>
      <c r="BX72" s="13"/>
      <c r="BY72" s="15"/>
      <c r="BZ72" s="13"/>
      <c r="CA72" s="15"/>
      <c r="CB72" s="13"/>
      <c r="CC72" s="13"/>
    </row>
    <row r="73" spans="1:81" x14ac:dyDescent="0.35">
      <c r="C73" s="16"/>
      <c r="U73" s="16"/>
      <c r="V73" s="16"/>
    </row>
    <row r="74" spans="1:81" x14ac:dyDescent="0.35">
      <c r="C74" s="16"/>
      <c r="U74" s="16"/>
      <c r="V74" s="16"/>
    </row>
    <row r="75" spans="1:81" x14ac:dyDescent="0.35">
      <c r="C75" s="16"/>
      <c r="U75" s="16"/>
      <c r="V75" s="16"/>
    </row>
    <row r="76" spans="1:81" x14ac:dyDescent="0.35">
      <c r="C76" s="16"/>
      <c r="U76" s="16"/>
      <c r="V76" s="16"/>
    </row>
    <row r="77" spans="1:81" x14ac:dyDescent="0.35">
      <c r="C77" s="16"/>
      <c r="U77" s="16"/>
      <c r="V77" s="16"/>
    </row>
    <row r="78" spans="1:81" x14ac:dyDescent="0.35">
      <c r="C78" s="16"/>
      <c r="U78" s="16"/>
      <c r="V78" s="16"/>
    </row>
    <row r="79" spans="1:81" x14ac:dyDescent="0.35">
      <c r="C79" s="16"/>
      <c r="U79" s="16"/>
      <c r="V79" s="16"/>
    </row>
    <row r="80" spans="1:81" x14ac:dyDescent="0.35">
      <c r="C80" s="16"/>
      <c r="U80" s="16"/>
      <c r="V80" s="16"/>
    </row>
    <row r="81" spans="3:22" x14ac:dyDescent="0.35">
      <c r="C81" s="16"/>
      <c r="U81" s="16"/>
      <c r="V81" s="16"/>
    </row>
    <row r="82" spans="3:22" x14ac:dyDescent="0.35">
      <c r="C82" s="16"/>
      <c r="U82" s="16"/>
      <c r="V82" s="16"/>
    </row>
    <row r="83" spans="3:22" x14ac:dyDescent="0.35">
      <c r="C83" s="16"/>
      <c r="U83" s="16"/>
      <c r="V83" s="16"/>
    </row>
    <row r="84" spans="3:22" x14ac:dyDescent="0.35">
      <c r="C84" s="16"/>
      <c r="U84" s="16"/>
      <c r="V84" s="16"/>
    </row>
    <row r="85" spans="3:22" x14ac:dyDescent="0.35">
      <c r="C85" s="16"/>
      <c r="U85" s="16"/>
      <c r="V85" s="16"/>
    </row>
    <row r="86" spans="3:22" x14ac:dyDescent="0.35">
      <c r="C86" s="16"/>
      <c r="U86" s="16"/>
      <c r="V86" s="16"/>
    </row>
    <row r="87" spans="3:22" x14ac:dyDescent="0.35">
      <c r="C87" s="16"/>
      <c r="U87" s="16"/>
      <c r="V87" s="16"/>
    </row>
    <row r="88" spans="3:22" x14ac:dyDescent="0.35">
      <c r="C88" s="16"/>
      <c r="U88" s="16"/>
      <c r="V88" s="16"/>
    </row>
    <row r="89" spans="3:22" x14ac:dyDescent="0.35">
      <c r="C89" s="16"/>
      <c r="U89" s="16"/>
      <c r="V89" s="16"/>
    </row>
    <row r="90" spans="3:22" x14ac:dyDescent="0.35">
      <c r="C90" s="16"/>
      <c r="U90" s="16"/>
      <c r="V90" s="16"/>
    </row>
    <row r="91" spans="3:22" x14ac:dyDescent="0.35">
      <c r="C91" s="16"/>
      <c r="U91" s="16"/>
      <c r="V91" s="16"/>
    </row>
    <row r="92" spans="3:22" x14ac:dyDescent="0.35">
      <c r="C92" s="16"/>
      <c r="U92" s="16"/>
      <c r="V92" s="16"/>
    </row>
    <row r="93" spans="3:22" x14ac:dyDescent="0.35">
      <c r="C93" s="16"/>
      <c r="U93" s="16"/>
      <c r="V93" s="16"/>
    </row>
    <row r="94" spans="3:22" x14ac:dyDescent="0.35">
      <c r="C94" s="16"/>
      <c r="U94" s="16"/>
      <c r="V94" s="16"/>
    </row>
    <row r="95" spans="3:22" x14ac:dyDescent="0.35">
      <c r="C95" s="16"/>
      <c r="U95" s="16"/>
      <c r="V95" s="16"/>
    </row>
    <row r="96" spans="3:22" x14ac:dyDescent="0.35">
      <c r="C96" s="16"/>
      <c r="U96" s="16"/>
      <c r="V96" s="16"/>
    </row>
    <row r="97" spans="3:22" x14ac:dyDescent="0.35">
      <c r="C97" s="16"/>
      <c r="U97" s="16"/>
      <c r="V97" s="16"/>
    </row>
    <row r="98" spans="3:22" x14ac:dyDescent="0.35">
      <c r="C98" s="16"/>
      <c r="U98" s="16"/>
      <c r="V98" s="16"/>
    </row>
    <row r="99" spans="3:22" x14ac:dyDescent="0.35">
      <c r="C99" s="16"/>
      <c r="U99" s="16"/>
      <c r="V99" s="16"/>
    </row>
    <row r="100" spans="3:22" x14ac:dyDescent="0.35">
      <c r="C100" s="16"/>
      <c r="U100" s="16"/>
      <c r="V100" s="16"/>
    </row>
    <row r="101" spans="3:22" x14ac:dyDescent="0.35">
      <c r="C101" s="16"/>
      <c r="U101" s="16"/>
      <c r="V101" s="16"/>
    </row>
    <row r="102" spans="3:22" x14ac:dyDescent="0.35">
      <c r="C102" s="16"/>
      <c r="U102" s="16"/>
      <c r="V102" s="16"/>
    </row>
    <row r="103" spans="3:22" x14ac:dyDescent="0.35">
      <c r="C103" s="16"/>
      <c r="U103" s="16"/>
      <c r="V103" s="16"/>
    </row>
    <row r="104" spans="3:22" x14ac:dyDescent="0.35">
      <c r="C104" s="16"/>
      <c r="U104" s="16"/>
      <c r="V104" s="16"/>
    </row>
    <row r="105" spans="3:22" x14ac:dyDescent="0.35">
      <c r="C105" s="16"/>
      <c r="U105" s="16"/>
      <c r="V105" s="16"/>
    </row>
    <row r="106" spans="3:22" x14ac:dyDescent="0.35">
      <c r="C106" s="16"/>
      <c r="U106" s="16"/>
      <c r="V106" s="16"/>
    </row>
    <row r="107" spans="3:22" x14ac:dyDescent="0.35">
      <c r="C107" s="16"/>
      <c r="U107" s="16"/>
      <c r="V107" s="16"/>
    </row>
    <row r="108" spans="3:22" x14ac:dyDescent="0.35">
      <c r="C108" s="16"/>
      <c r="U108" s="16"/>
      <c r="V108" s="16"/>
    </row>
    <row r="109" spans="3:22" x14ac:dyDescent="0.35">
      <c r="C109" s="16"/>
      <c r="U109" s="16"/>
      <c r="V109" s="16"/>
    </row>
    <row r="110" spans="3:22" x14ac:dyDescent="0.35">
      <c r="C110" s="16"/>
      <c r="U110" s="16"/>
      <c r="V110" s="16"/>
    </row>
    <row r="111" spans="3:22" x14ac:dyDescent="0.35">
      <c r="C111" s="16"/>
      <c r="U111" s="16"/>
      <c r="V111" s="16"/>
    </row>
    <row r="112" spans="3:22" x14ac:dyDescent="0.35">
      <c r="C112" s="16"/>
      <c r="U112" s="16"/>
      <c r="V112" s="16"/>
    </row>
    <row r="113" spans="3:22" x14ac:dyDescent="0.35">
      <c r="C113" s="16"/>
      <c r="U113" s="16"/>
      <c r="V113" s="16"/>
    </row>
    <row r="114" spans="3:22" x14ac:dyDescent="0.35">
      <c r="C114" s="16"/>
      <c r="U114" s="16"/>
      <c r="V114" s="16"/>
    </row>
    <row r="115" spans="3:22" x14ac:dyDescent="0.35">
      <c r="C115" s="16"/>
      <c r="U115" s="16"/>
      <c r="V115" s="16"/>
    </row>
    <row r="116" spans="3:22" x14ac:dyDescent="0.35">
      <c r="C116" s="16"/>
      <c r="U116" s="16"/>
      <c r="V116" s="16"/>
    </row>
    <row r="117" spans="3:22" x14ac:dyDescent="0.35">
      <c r="C117" s="16"/>
      <c r="U117" s="16"/>
      <c r="V117" s="16"/>
    </row>
    <row r="118" spans="3:22" x14ac:dyDescent="0.35">
      <c r="C118" s="16"/>
      <c r="U118" s="16"/>
      <c r="V118" s="16"/>
    </row>
    <row r="119" spans="3:22" x14ac:dyDescent="0.35">
      <c r="C119" s="16"/>
      <c r="U119" s="16"/>
      <c r="V119" s="16"/>
    </row>
    <row r="120" spans="3:22" x14ac:dyDescent="0.35">
      <c r="C120" s="16"/>
      <c r="U120" s="16"/>
      <c r="V120" s="16"/>
    </row>
    <row r="121" spans="3:22" x14ac:dyDescent="0.35">
      <c r="C121" s="16"/>
      <c r="U121" s="16"/>
      <c r="V121" s="16"/>
    </row>
    <row r="122" spans="3:22" x14ac:dyDescent="0.35">
      <c r="C122" s="16"/>
      <c r="U122" s="16"/>
      <c r="V122" s="16"/>
    </row>
    <row r="123" spans="3:22" x14ac:dyDescent="0.35">
      <c r="C123" s="16"/>
      <c r="U123" s="16"/>
      <c r="V123" s="16"/>
    </row>
    <row r="124" spans="3:22" x14ac:dyDescent="0.35">
      <c r="C124" s="16"/>
      <c r="U124" s="16"/>
      <c r="V124" s="16"/>
    </row>
    <row r="125" spans="3:22" x14ac:dyDescent="0.35">
      <c r="C125" s="16"/>
      <c r="U125" s="16"/>
      <c r="V125" s="16"/>
    </row>
    <row r="126" spans="3:22" x14ac:dyDescent="0.35">
      <c r="C126" s="16"/>
      <c r="U126" s="16"/>
      <c r="V126" s="16"/>
    </row>
    <row r="127" spans="3:22" x14ac:dyDescent="0.35">
      <c r="C127" s="16"/>
      <c r="U127" s="16"/>
      <c r="V127" s="16"/>
    </row>
    <row r="128" spans="3:22" x14ac:dyDescent="0.35">
      <c r="C128" s="16"/>
      <c r="U128" s="16"/>
      <c r="V128" s="16"/>
    </row>
    <row r="129" spans="3:22" x14ac:dyDescent="0.35">
      <c r="C129" s="16"/>
      <c r="U129" s="16"/>
      <c r="V129" s="16"/>
    </row>
    <row r="130" spans="3:22" x14ac:dyDescent="0.35">
      <c r="C130" s="16"/>
      <c r="U130" s="16"/>
      <c r="V130" s="16"/>
    </row>
    <row r="131" spans="3:22" x14ac:dyDescent="0.35">
      <c r="C131" s="16"/>
      <c r="U131" s="16"/>
      <c r="V131" s="16"/>
    </row>
    <row r="132" spans="3:22" x14ac:dyDescent="0.35">
      <c r="C132" s="16"/>
      <c r="U132" s="16"/>
      <c r="V132" s="16"/>
    </row>
    <row r="133" spans="3:22" x14ac:dyDescent="0.35">
      <c r="C133" s="16"/>
      <c r="U133" s="16"/>
      <c r="V133" s="16"/>
    </row>
    <row r="134" spans="3:22" x14ac:dyDescent="0.35">
      <c r="C134" s="16"/>
      <c r="U134" s="16"/>
      <c r="V134" s="16"/>
    </row>
    <row r="135" spans="3:22" x14ac:dyDescent="0.35">
      <c r="C135" s="16"/>
      <c r="U135" s="16"/>
      <c r="V135" s="16"/>
    </row>
    <row r="136" spans="3:22" x14ac:dyDescent="0.35">
      <c r="C136" s="16"/>
      <c r="U136" s="16"/>
      <c r="V136" s="16"/>
    </row>
    <row r="137" spans="3:22" x14ac:dyDescent="0.35">
      <c r="C137" s="16"/>
      <c r="U137" s="16"/>
      <c r="V137" s="16"/>
    </row>
    <row r="138" spans="3:22" x14ac:dyDescent="0.35">
      <c r="C138" s="16"/>
      <c r="U138" s="16"/>
      <c r="V138" s="16"/>
    </row>
    <row r="139" spans="3:22" x14ac:dyDescent="0.35">
      <c r="C139" s="16"/>
      <c r="U139" s="16"/>
      <c r="V139" s="16"/>
    </row>
    <row r="140" spans="3:22" x14ac:dyDescent="0.35">
      <c r="C140" s="16"/>
      <c r="U140" s="16"/>
      <c r="V140" s="16"/>
    </row>
    <row r="141" spans="3:22" x14ac:dyDescent="0.35">
      <c r="C141" s="16"/>
      <c r="U141" s="16"/>
      <c r="V141" s="16"/>
    </row>
    <row r="142" spans="3:22" x14ac:dyDescent="0.35">
      <c r="C142" s="16"/>
      <c r="U142" s="16"/>
      <c r="V142" s="16"/>
    </row>
    <row r="143" spans="3:22" x14ac:dyDescent="0.35">
      <c r="C143" s="16"/>
      <c r="U143" s="16"/>
      <c r="V143" s="16"/>
    </row>
    <row r="144" spans="3:22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  <row r="153" spans="3:22" x14ac:dyDescent="0.35">
      <c r="C153" s="16"/>
      <c r="U153" s="16"/>
      <c r="V153" s="16"/>
    </row>
    <row r="154" spans="3:22" x14ac:dyDescent="0.35">
      <c r="C154" s="16"/>
      <c r="U154" s="16"/>
      <c r="V154" s="16"/>
    </row>
    <row r="155" spans="3:22" x14ac:dyDescent="0.35">
      <c r="C155" s="16"/>
      <c r="U155" s="16"/>
      <c r="V155" s="16"/>
    </row>
    <row r="156" spans="3:22" x14ac:dyDescent="0.35">
      <c r="C156" s="16"/>
      <c r="U156" s="16"/>
      <c r="V156" s="16"/>
    </row>
    <row r="157" spans="3:22" x14ac:dyDescent="0.35">
      <c r="C157" s="16"/>
      <c r="U157" s="16"/>
      <c r="V157" s="16"/>
    </row>
    <row r="158" spans="3:22" x14ac:dyDescent="0.35">
      <c r="C158" s="16"/>
      <c r="U158" s="16"/>
      <c r="V158" s="16"/>
    </row>
    <row r="159" spans="3:22" x14ac:dyDescent="0.35">
      <c r="C159" s="16"/>
      <c r="U159" s="16"/>
      <c r="V159" s="16"/>
    </row>
    <row r="160" spans="3:22" x14ac:dyDescent="0.35">
      <c r="C160" s="16"/>
      <c r="U160" s="16"/>
      <c r="V160" s="16"/>
    </row>
    <row r="161" spans="3:22" x14ac:dyDescent="0.35">
      <c r="C161" s="16"/>
      <c r="U161" s="16"/>
      <c r="V161" s="16"/>
    </row>
    <row r="162" spans="3:22" x14ac:dyDescent="0.35">
      <c r="C162" s="16"/>
      <c r="U162" s="16"/>
      <c r="V162" s="16"/>
    </row>
    <row r="163" spans="3:22" x14ac:dyDescent="0.35">
      <c r="C163" s="16"/>
      <c r="U163" s="16"/>
      <c r="V163" s="16"/>
    </row>
    <row r="164" spans="3:22" x14ac:dyDescent="0.35">
      <c r="C164" s="16"/>
      <c r="U164" s="16"/>
      <c r="V164" s="16"/>
    </row>
    <row r="165" spans="3:22" x14ac:dyDescent="0.35">
      <c r="C165" s="16"/>
      <c r="U165" s="16"/>
      <c r="V165" s="16"/>
    </row>
    <row r="166" spans="3:22" x14ac:dyDescent="0.35">
      <c r="C166" s="16"/>
      <c r="U166" s="16"/>
      <c r="V166" s="16"/>
    </row>
    <row r="167" spans="3:22" x14ac:dyDescent="0.35">
      <c r="C167" s="16"/>
      <c r="U167" s="16"/>
      <c r="V167" s="16"/>
    </row>
    <row r="168" spans="3:22" x14ac:dyDescent="0.35">
      <c r="C168" s="16"/>
      <c r="U168" s="16"/>
      <c r="V168" s="16"/>
    </row>
    <row r="169" spans="3:22" x14ac:dyDescent="0.35">
      <c r="C169" s="16"/>
      <c r="U169" s="16"/>
      <c r="V169" s="16"/>
    </row>
    <row r="170" spans="3:22" x14ac:dyDescent="0.35">
      <c r="C170" s="16"/>
      <c r="U170" s="16"/>
      <c r="V170" s="16"/>
    </row>
    <row r="171" spans="3:22" x14ac:dyDescent="0.35">
      <c r="C171" s="16"/>
      <c r="U171" s="16"/>
      <c r="V171" s="16"/>
    </row>
    <row r="172" spans="3:22" x14ac:dyDescent="0.35">
      <c r="C172" s="16"/>
      <c r="U172" s="16"/>
      <c r="V172" s="16"/>
    </row>
    <row r="173" spans="3:22" x14ac:dyDescent="0.35">
      <c r="C173" s="16"/>
      <c r="U173" s="16"/>
      <c r="V173" s="16"/>
    </row>
    <row r="174" spans="3:22" x14ac:dyDescent="0.35">
      <c r="C174" s="16"/>
      <c r="U174" s="16"/>
      <c r="V174" s="16"/>
    </row>
    <row r="175" spans="3:22" x14ac:dyDescent="0.35">
      <c r="C175" s="16"/>
      <c r="U175" s="16"/>
      <c r="V175" s="16"/>
    </row>
    <row r="176" spans="3:22" x14ac:dyDescent="0.35">
      <c r="C176" s="16"/>
      <c r="U176" s="16"/>
      <c r="V176" s="16"/>
    </row>
    <row r="177" spans="3:22" x14ac:dyDescent="0.35">
      <c r="C177" s="16"/>
      <c r="U177" s="16"/>
      <c r="V177" s="16"/>
    </row>
    <row r="178" spans="3:22" x14ac:dyDescent="0.35">
      <c r="C178" s="16"/>
      <c r="U178" s="16"/>
      <c r="V178" s="16"/>
    </row>
    <row r="179" spans="3:22" x14ac:dyDescent="0.35">
      <c r="C179" s="16"/>
      <c r="U179" s="16"/>
      <c r="V179" s="16"/>
    </row>
    <row r="180" spans="3:22" x14ac:dyDescent="0.35">
      <c r="C180" s="16"/>
      <c r="U180" s="16"/>
      <c r="V180" s="16"/>
    </row>
    <row r="181" spans="3:22" x14ac:dyDescent="0.35">
      <c r="C181" s="16"/>
      <c r="U181" s="16"/>
      <c r="V181" s="16"/>
    </row>
    <row r="182" spans="3:22" x14ac:dyDescent="0.35">
      <c r="C182" s="16"/>
      <c r="U182" s="16"/>
      <c r="V182" s="16"/>
    </row>
    <row r="183" spans="3:22" x14ac:dyDescent="0.35">
      <c r="C183" s="16"/>
      <c r="U183" s="16"/>
      <c r="V183" s="16"/>
    </row>
    <row r="184" spans="3:22" x14ac:dyDescent="0.35">
      <c r="C184" s="16"/>
      <c r="U184" s="16"/>
      <c r="V184" s="16"/>
    </row>
    <row r="185" spans="3:22" x14ac:dyDescent="0.35">
      <c r="C185" s="16"/>
      <c r="U185" s="16"/>
      <c r="V185" s="16"/>
    </row>
    <row r="186" spans="3:22" x14ac:dyDescent="0.35">
      <c r="C186" s="16"/>
      <c r="U186" s="16"/>
      <c r="V186" s="16"/>
    </row>
    <row r="187" spans="3:22" x14ac:dyDescent="0.35">
      <c r="C187" s="16"/>
      <c r="U187" s="16"/>
      <c r="V187" s="16"/>
    </row>
    <row r="188" spans="3:22" x14ac:dyDescent="0.35">
      <c r="C188" s="16"/>
      <c r="U188" s="16"/>
      <c r="V188" s="16"/>
    </row>
    <row r="189" spans="3:22" x14ac:dyDescent="0.35">
      <c r="C189" s="16"/>
      <c r="U189" s="16"/>
      <c r="V189" s="16"/>
    </row>
    <row r="190" spans="3:22" x14ac:dyDescent="0.35">
      <c r="C190" s="16"/>
      <c r="U190" s="16"/>
      <c r="V190" s="16"/>
    </row>
    <row r="191" spans="3:22" x14ac:dyDescent="0.35">
      <c r="C191" s="16"/>
      <c r="U191" s="16"/>
      <c r="V191" s="16"/>
    </row>
    <row r="192" spans="3:22" x14ac:dyDescent="0.35">
      <c r="C192" s="16"/>
      <c r="U192" s="16"/>
      <c r="V192" s="16"/>
    </row>
    <row r="193" spans="3:22" x14ac:dyDescent="0.35">
      <c r="C193" s="16"/>
      <c r="U193" s="16"/>
      <c r="V193" s="16"/>
    </row>
    <row r="194" spans="3:22" x14ac:dyDescent="0.35">
      <c r="C194" s="16"/>
      <c r="U194" s="16"/>
      <c r="V194" s="16"/>
    </row>
    <row r="195" spans="3:22" x14ac:dyDescent="0.35">
      <c r="C195" s="16"/>
      <c r="U195" s="16"/>
      <c r="V195" s="16"/>
    </row>
    <row r="196" spans="3:22" x14ac:dyDescent="0.35">
      <c r="C196" s="16"/>
      <c r="U196" s="16"/>
      <c r="V196" s="16"/>
    </row>
    <row r="197" spans="3:22" x14ac:dyDescent="0.35">
      <c r="C197" s="16"/>
      <c r="U197" s="16"/>
      <c r="V197" s="16"/>
    </row>
    <row r="198" spans="3:22" x14ac:dyDescent="0.35">
      <c r="C198" s="16"/>
      <c r="U198" s="16"/>
      <c r="V198" s="16"/>
    </row>
    <row r="199" spans="3:22" x14ac:dyDescent="0.35">
      <c r="C199" s="16"/>
      <c r="U199" s="16"/>
      <c r="V199" s="16"/>
    </row>
    <row r="200" spans="3:22" x14ac:dyDescent="0.35">
      <c r="C200" s="16"/>
      <c r="U200" s="16"/>
      <c r="V200" s="16"/>
    </row>
    <row r="201" spans="3:22" x14ac:dyDescent="0.35">
      <c r="C201" s="16"/>
      <c r="U201" s="16"/>
      <c r="V201" s="16"/>
    </row>
    <row r="202" spans="3:22" x14ac:dyDescent="0.35">
      <c r="C202" s="16"/>
      <c r="U202" s="16"/>
      <c r="V202" s="16"/>
    </row>
    <row r="203" spans="3:22" x14ac:dyDescent="0.35">
      <c r="C203" s="16"/>
      <c r="U203" s="16"/>
      <c r="V203" s="16"/>
    </row>
    <row r="204" spans="3:22" x14ac:dyDescent="0.35">
      <c r="C204" s="16"/>
      <c r="U204" s="16"/>
      <c r="V204" s="16"/>
    </row>
    <row r="205" spans="3:22" x14ac:dyDescent="0.35">
      <c r="C205" s="16"/>
      <c r="U205" s="16"/>
      <c r="V205" s="16"/>
    </row>
    <row r="206" spans="3:22" x14ac:dyDescent="0.35">
      <c r="C206" s="16"/>
      <c r="U206" s="16"/>
      <c r="V206" s="16"/>
    </row>
    <row r="207" spans="3:22" x14ac:dyDescent="0.35">
      <c r="C207" s="16"/>
      <c r="U207" s="16"/>
      <c r="V207" s="16"/>
    </row>
    <row r="208" spans="3:22" x14ac:dyDescent="0.35">
      <c r="C208" s="16"/>
      <c r="U208" s="16"/>
      <c r="V208" s="16"/>
    </row>
    <row r="209" spans="3:22" x14ac:dyDescent="0.35">
      <c r="C209" s="16"/>
      <c r="U209" s="16"/>
      <c r="V209" s="16"/>
    </row>
    <row r="210" spans="3:22" x14ac:dyDescent="0.35">
      <c r="C210" s="16"/>
      <c r="U210" s="16"/>
      <c r="V210" s="16"/>
    </row>
    <row r="211" spans="3:22" x14ac:dyDescent="0.35">
      <c r="C211" s="16"/>
      <c r="U211" s="16"/>
      <c r="V211" s="16"/>
    </row>
    <row r="212" spans="3:22" x14ac:dyDescent="0.35">
      <c r="C212" s="16"/>
      <c r="U212" s="16"/>
      <c r="V212" s="16"/>
    </row>
    <row r="213" spans="3:22" x14ac:dyDescent="0.35">
      <c r="C213" s="16"/>
      <c r="U213" s="16"/>
      <c r="V213" s="16"/>
    </row>
    <row r="214" spans="3:22" x14ac:dyDescent="0.35">
      <c r="C214" s="16"/>
      <c r="U214" s="16"/>
      <c r="V214" s="16"/>
    </row>
    <row r="215" spans="3:22" x14ac:dyDescent="0.35">
      <c r="C215" s="16"/>
      <c r="U215" s="16"/>
      <c r="V215" s="16"/>
    </row>
    <row r="216" spans="3:22" x14ac:dyDescent="0.35">
      <c r="C216" s="16"/>
      <c r="U216" s="16"/>
      <c r="V216" s="16"/>
    </row>
    <row r="217" spans="3:22" x14ac:dyDescent="0.35">
      <c r="C217" s="16"/>
      <c r="U217" s="16"/>
      <c r="V217" s="16"/>
    </row>
    <row r="218" spans="3:22" x14ac:dyDescent="0.35">
      <c r="C218" s="16"/>
      <c r="U218" s="16"/>
      <c r="V218" s="16"/>
    </row>
    <row r="219" spans="3:22" x14ac:dyDescent="0.35">
      <c r="C219" s="16"/>
      <c r="U219" s="16"/>
      <c r="V219" s="16"/>
    </row>
    <row r="220" spans="3:22" x14ac:dyDescent="0.35">
      <c r="C220" s="16"/>
      <c r="U220" s="16"/>
      <c r="V220" s="16"/>
    </row>
    <row r="221" spans="3:22" x14ac:dyDescent="0.35">
      <c r="C221" s="16"/>
      <c r="U221" s="16"/>
      <c r="V221" s="16"/>
    </row>
    <row r="222" spans="3:22" x14ac:dyDescent="0.35">
      <c r="C222" s="16"/>
      <c r="U222" s="16"/>
      <c r="V222" s="16"/>
    </row>
    <row r="223" spans="3:22" x14ac:dyDescent="0.35">
      <c r="C223" s="16"/>
      <c r="U223" s="16"/>
      <c r="V223" s="16"/>
    </row>
    <row r="224" spans="3:22" x14ac:dyDescent="0.35">
      <c r="C224" s="16"/>
      <c r="U224" s="16"/>
      <c r="V224" s="16"/>
    </row>
    <row r="225" spans="3:22" x14ac:dyDescent="0.35">
      <c r="C225" s="16"/>
      <c r="U225" s="16"/>
      <c r="V225" s="16"/>
    </row>
    <row r="226" spans="3:22" x14ac:dyDescent="0.35">
      <c r="C226" s="16"/>
      <c r="U226" s="16"/>
      <c r="V226" s="16"/>
    </row>
    <row r="227" spans="3:22" x14ac:dyDescent="0.35">
      <c r="C227" s="16"/>
      <c r="U227" s="16"/>
      <c r="V227" s="16"/>
    </row>
    <row r="228" spans="3:22" x14ac:dyDescent="0.35">
      <c r="C228" s="16"/>
      <c r="U228" s="16"/>
      <c r="V228" s="16"/>
    </row>
    <row r="229" spans="3:22" x14ac:dyDescent="0.35">
      <c r="C229" s="16"/>
      <c r="U229" s="16"/>
      <c r="V229" s="16"/>
    </row>
    <row r="230" spans="3:22" x14ac:dyDescent="0.35">
      <c r="C230" s="16"/>
      <c r="U230" s="16"/>
      <c r="V230" s="16"/>
    </row>
    <row r="231" spans="3:22" x14ac:dyDescent="0.35">
      <c r="C231" s="16"/>
      <c r="U231" s="16"/>
      <c r="V231" s="16"/>
    </row>
    <row r="232" spans="3:22" x14ac:dyDescent="0.35">
      <c r="C232" s="16"/>
      <c r="U232" s="16"/>
      <c r="V232" s="16"/>
    </row>
    <row r="233" spans="3:22" x14ac:dyDescent="0.35">
      <c r="C233" s="16"/>
      <c r="U233" s="16"/>
      <c r="V233" s="16"/>
    </row>
    <row r="234" spans="3:22" x14ac:dyDescent="0.35">
      <c r="C234" s="16"/>
      <c r="U234" s="16"/>
      <c r="V234" s="16"/>
    </row>
    <row r="235" spans="3:22" x14ac:dyDescent="0.35">
      <c r="C235" s="16"/>
      <c r="U235" s="16"/>
      <c r="V235" s="16"/>
    </row>
    <row r="236" spans="3:22" x14ac:dyDescent="0.35">
      <c r="C236" s="16"/>
      <c r="U236" s="16"/>
      <c r="V236" s="16"/>
    </row>
    <row r="237" spans="3:22" x14ac:dyDescent="0.35">
      <c r="C237" s="16"/>
      <c r="U237" s="16"/>
      <c r="V237" s="16"/>
    </row>
    <row r="238" spans="3:22" x14ac:dyDescent="0.35">
      <c r="C238" s="16"/>
      <c r="U238" s="16"/>
      <c r="V238" s="16"/>
    </row>
    <row r="239" spans="3:22" x14ac:dyDescent="0.35">
      <c r="C239" s="16"/>
      <c r="U239" s="16"/>
      <c r="V239" s="16"/>
    </row>
    <row r="240" spans="3:22" x14ac:dyDescent="0.35">
      <c r="C240" s="16"/>
      <c r="U240" s="16"/>
      <c r="V240" s="16"/>
    </row>
    <row r="241" spans="3:22" x14ac:dyDescent="0.35">
      <c r="C241" s="16"/>
      <c r="U241" s="16"/>
      <c r="V241" s="16"/>
    </row>
    <row r="242" spans="3:22" x14ac:dyDescent="0.35">
      <c r="C242" s="16"/>
      <c r="U242" s="16"/>
      <c r="V242" s="16"/>
    </row>
    <row r="243" spans="3:22" x14ac:dyDescent="0.35">
      <c r="C243" s="16"/>
      <c r="U243" s="16"/>
      <c r="V243" s="16"/>
    </row>
    <row r="244" spans="3:22" x14ac:dyDescent="0.35">
      <c r="C244" s="16"/>
      <c r="U244" s="16"/>
      <c r="V244" s="16"/>
    </row>
    <row r="245" spans="3:22" x14ac:dyDescent="0.35">
      <c r="C245" s="16"/>
      <c r="U245" s="16"/>
      <c r="V245" s="16"/>
    </row>
    <row r="246" spans="3:22" x14ac:dyDescent="0.35">
      <c r="C246" s="16"/>
      <c r="U246" s="16"/>
      <c r="V246" s="16"/>
    </row>
    <row r="247" spans="3:22" x14ac:dyDescent="0.35">
      <c r="C247" s="16"/>
      <c r="U247" s="16"/>
      <c r="V247" s="16"/>
    </row>
    <row r="248" spans="3:22" x14ac:dyDescent="0.35">
      <c r="C248" s="16"/>
      <c r="U248" s="16"/>
      <c r="V248" s="16"/>
    </row>
    <row r="249" spans="3:22" x14ac:dyDescent="0.35">
      <c r="C249" s="16"/>
      <c r="U249" s="16"/>
      <c r="V249" s="16"/>
    </row>
    <row r="250" spans="3:22" x14ac:dyDescent="0.35">
      <c r="C250" s="16"/>
      <c r="U250" s="16"/>
      <c r="V250" s="16"/>
    </row>
    <row r="251" spans="3:22" x14ac:dyDescent="0.35">
      <c r="C251" s="16"/>
      <c r="U251" s="16"/>
      <c r="V251" s="16"/>
    </row>
    <row r="252" spans="3:22" x14ac:dyDescent="0.35">
      <c r="C252" s="16"/>
      <c r="U252" s="16"/>
      <c r="V252" s="16"/>
    </row>
    <row r="253" spans="3:22" x14ac:dyDescent="0.35">
      <c r="C253" s="16"/>
      <c r="U253" s="16"/>
      <c r="V253" s="16"/>
    </row>
    <row r="254" spans="3:22" x14ac:dyDescent="0.35">
      <c r="C254" s="16"/>
      <c r="U254" s="16"/>
      <c r="V254" s="16"/>
    </row>
    <row r="255" spans="3:22" x14ac:dyDescent="0.35">
      <c r="C255" s="16"/>
      <c r="U255" s="16"/>
      <c r="V255" s="16"/>
    </row>
    <row r="256" spans="3:22" x14ac:dyDescent="0.35">
      <c r="C256" s="16"/>
      <c r="U256" s="16"/>
      <c r="V256" s="16"/>
    </row>
    <row r="257" spans="3:22" x14ac:dyDescent="0.35">
      <c r="C257" s="16"/>
      <c r="U257" s="16"/>
      <c r="V257" s="16"/>
    </row>
    <row r="258" spans="3:22" x14ac:dyDescent="0.35">
      <c r="C258" s="16"/>
      <c r="U258" s="16"/>
      <c r="V258" s="16"/>
    </row>
    <row r="259" spans="3:22" x14ac:dyDescent="0.35">
      <c r="C259" s="16"/>
      <c r="U259" s="16"/>
      <c r="V259" s="16"/>
    </row>
    <row r="260" spans="3:22" x14ac:dyDescent="0.35">
      <c r="C260" s="16"/>
      <c r="U260" s="16"/>
      <c r="V260" s="16"/>
    </row>
    <row r="261" spans="3:22" x14ac:dyDescent="0.35">
      <c r="C261" s="16"/>
      <c r="U261" s="16"/>
      <c r="V261" s="16"/>
    </row>
    <row r="262" spans="3:22" x14ac:dyDescent="0.35">
      <c r="C262" s="16"/>
      <c r="U262" s="16"/>
      <c r="V262" s="16"/>
    </row>
    <row r="263" spans="3:22" x14ac:dyDescent="0.35">
      <c r="C263" s="16"/>
      <c r="U263" s="16"/>
      <c r="V263" s="16"/>
    </row>
    <row r="264" spans="3:22" x14ac:dyDescent="0.35">
      <c r="C264" s="16"/>
      <c r="U264" s="16"/>
      <c r="V264" s="16"/>
    </row>
    <row r="265" spans="3:22" x14ac:dyDescent="0.35">
      <c r="C265" s="16"/>
      <c r="U265" s="16"/>
      <c r="V265" s="16"/>
    </row>
    <row r="266" spans="3:22" x14ac:dyDescent="0.35">
      <c r="C266" s="16"/>
      <c r="U266" s="16"/>
      <c r="V266" s="16"/>
    </row>
    <row r="267" spans="3:22" x14ac:dyDescent="0.35">
      <c r="C267" s="16"/>
      <c r="U267" s="16"/>
      <c r="V267" s="16"/>
    </row>
    <row r="268" spans="3:22" x14ac:dyDescent="0.35">
      <c r="C268" s="16"/>
      <c r="U268" s="16"/>
      <c r="V268" s="16"/>
    </row>
    <row r="269" spans="3:22" x14ac:dyDescent="0.35">
      <c r="C269" s="16"/>
      <c r="U269" s="16"/>
      <c r="V269" s="16"/>
    </row>
    <row r="270" spans="3:22" x14ac:dyDescent="0.35">
      <c r="C270" s="16"/>
      <c r="U270" s="16"/>
      <c r="V270" s="16"/>
    </row>
    <row r="271" spans="3:22" x14ac:dyDescent="0.35">
      <c r="C271" s="16"/>
      <c r="U271" s="16"/>
      <c r="V271" s="16"/>
    </row>
    <row r="272" spans="3:22" x14ac:dyDescent="0.35">
      <c r="C272" s="16"/>
      <c r="U272" s="16"/>
      <c r="V272" s="16"/>
    </row>
    <row r="273" spans="3:22" x14ac:dyDescent="0.35">
      <c r="C273" s="16"/>
      <c r="U273" s="16"/>
      <c r="V273" s="16"/>
    </row>
    <row r="274" spans="3:22" x14ac:dyDescent="0.35">
      <c r="C274" s="16"/>
      <c r="U274" s="16"/>
      <c r="V274" s="16"/>
    </row>
    <row r="275" spans="3:22" x14ac:dyDescent="0.35">
      <c r="C275" s="16"/>
      <c r="U275" s="16"/>
      <c r="V275" s="16"/>
    </row>
    <row r="276" spans="3:22" x14ac:dyDescent="0.35">
      <c r="C276" s="16"/>
      <c r="U276" s="16"/>
      <c r="V276" s="16"/>
    </row>
    <row r="277" spans="3:22" x14ac:dyDescent="0.35">
      <c r="C277" s="16"/>
      <c r="U277" s="16"/>
      <c r="V277" s="16"/>
    </row>
    <row r="278" spans="3:22" x14ac:dyDescent="0.35">
      <c r="C278" s="16"/>
      <c r="U278" s="16"/>
      <c r="V278" s="16"/>
    </row>
    <row r="279" spans="3:22" x14ac:dyDescent="0.35">
      <c r="C279" s="16"/>
      <c r="U279" s="16"/>
      <c r="V279" s="16"/>
    </row>
    <row r="280" spans="3:22" x14ac:dyDescent="0.35">
      <c r="C280" s="16"/>
      <c r="U280" s="16"/>
      <c r="V280" s="16"/>
    </row>
    <row r="281" spans="3:22" x14ac:dyDescent="0.35">
      <c r="C281" s="16"/>
      <c r="U281" s="16"/>
      <c r="V281" s="16"/>
    </row>
    <row r="282" spans="3:22" x14ac:dyDescent="0.35">
      <c r="C282" s="16"/>
      <c r="U282" s="16"/>
      <c r="V282" s="16"/>
    </row>
    <row r="283" spans="3:22" x14ac:dyDescent="0.35">
      <c r="C283" s="16"/>
      <c r="U283" s="16"/>
      <c r="V283" s="16"/>
    </row>
    <row r="284" spans="3:22" x14ac:dyDescent="0.35">
      <c r="C284" s="16"/>
      <c r="U284" s="16"/>
      <c r="V284" s="16"/>
    </row>
    <row r="285" spans="3:22" x14ac:dyDescent="0.35">
      <c r="C285" s="16"/>
      <c r="U285" s="16"/>
      <c r="V285" s="16"/>
    </row>
    <row r="286" spans="3:22" x14ac:dyDescent="0.35">
      <c r="C286" s="16"/>
      <c r="U286" s="16"/>
      <c r="V286" s="16"/>
    </row>
    <row r="287" spans="3:22" x14ac:dyDescent="0.35">
      <c r="C287" s="16"/>
      <c r="U287" s="16"/>
      <c r="V287" s="16"/>
    </row>
    <row r="288" spans="3:22" x14ac:dyDescent="0.35">
      <c r="C288" s="16"/>
      <c r="U288" s="16"/>
      <c r="V288" s="16"/>
    </row>
    <row r="289" spans="3:22" x14ac:dyDescent="0.35">
      <c r="C289" s="16"/>
      <c r="U289" s="16"/>
      <c r="V289" s="16"/>
    </row>
    <row r="290" spans="3:22" x14ac:dyDescent="0.35">
      <c r="C290" s="16"/>
      <c r="U290" s="16"/>
      <c r="V290" s="16"/>
    </row>
    <row r="291" spans="3:22" x14ac:dyDescent="0.35">
      <c r="C291" s="16"/>
      <c r="U291" s="16"/>
      <c r="V291" s="16"/>
    </row>
    <row r="292" spans="3:22" x14ac:dyDescent="0.35">
      <c r="C292" s="16"/>
      <c r="U292" s="16"/>
      <c r="V292" s="16"/>
    </row>
    <row r="293" spans="3:22" x14ac:dyDescent="0.35">
      <c r="C293" s="16"/>
      <c r="U293" s="16"/>
      <c r="V293" s="16"/>
    </row>
    <row r="294" spans="3:22" x14ac:dyDescent="0.35">
      <c r="C294" s="16"/>
      <c r="U294" s="16"/>
      <c r="V294" s="16"/>
    </row>
    <row r="295" spans="3:22" x14ac:dyDescent="0.35">
      <c r="C295" s="16"/>
      <c r="U295" s="16"/>
      <c r="V295" s="16"/>
    </row>
    <row r="296" spans="3:22" x14ac:dyDescent="0.35">
      <c r="C296" s="16"/>
      <c r="U296" s="16"/>
      <c r="V296" s="16"/>
    </row>
    <row r="297" spans="3:22" x14ac:dyDescent="0.35">
      <c r="C297" s="16"/>
      <c r="U297" s="16"/>
      <c r="V297" s="16"/>
    </row>
    <row r="298" spans="3:22" x14ac:dyDescent="0.35">
      <c r="C298" s="16"/>
      <c r="U298" s="16"/>
      <c r="V298" s="16"/>
    </row>
    <row r="299" spans="3:22" x14ac:dyDescent="0.35">
      <c r="C299" s="16"/>
      <c r="U299" s="16"/>
      <c r="V299" s="16"/>
    </row>
    <row r="300" spans="3:22" x14ac:dyDescent="0.35">
      <c r="C300" s="16"/>
      <c r="U300" s="16"/>
      <c r="V300" s="16"/>
    </row>
    <row r="301" spans="3:22" x14ac:dyDescent="0.35">
      <c r="C301" s="16"/>
      <c r="U301" s="16"/>
      <c r="V301" s="16"/>
    </row>
    <row r="302" spans="3:22" x14ac:dyDescent="0.35">
      <c r="C302" s="16"/>
      <c r="U302" s="16"/>
      <c r="V302" s="16"/>
    </row>
    <row r="303" spans="3:22" x14ac:dyDescent="0.35">
      <c r="C303" s="16"/>
      <c r="U303" s="16"/>
      <c r="V303" s="16"/>
    </row>
    <row r="304" spans="3:22" x14ac:dyDescent="0.35">
      <c r="C304" s="16"/>
      <c r="U304" s="16"/>
      <c r="V304" s="16"/>
    </row>
    <row r="305" spans="3:22" x14ac:dyDescent="0.35">
      <c r="C305" s="16"/>
      <c r="U305" s="16"/>
      <c r="V305" s="16"/>
    </row>
    <row r="306" spans="3:22" x14ac:dyDescent="0.35">
      <c r="C306" s="16"/>
      <c r="U306" s="16"/>
      <c r="V306" s="16"/>
    </row>
    <row r="307" spans="3:22" x14ac:dyDescent="0.35">
      <c r="C307" s="16"/>
      <c r="U307" s="16"/>
      <c r="V307" s="16"/>
    </row>
    <row r="308" spans="3:22" x14ac:dyDescent="0.35">
      <c r="C308" s="16"/>
      <c r="U308" s="16"/>
      <c r="V308" s="16"/>
    </row>
    <row r="309" spans="3:22" x14ac:dyDescent="0.35">
      <c r="C309" s="16"/>
      <c r="U309" s="16"/>
      <c r="V309" s="16"/>
    </row>
    <row r="310" spans="3:22" x14ac:dyDescent="0.35">
      <c r="C310" s="16"/>
      <c r="U310" s="16"/>
      <c r="V310" s="16"/>
    </row>
    <row r="311" spans="3:22" x14ac:dyDescent="0.35">
      <c r="C311" s="16"/>
      <c r="U311" s="16"/>
      <c r="V311" s="16"/>
    </row>
    <row r="312" spans="3:22" x14ac:dyDescent="0.35">
      <c r="C312" s="16"/>
      <c r="U312" s="16"/>
      <c r="V312" s="16"/>
    </row>
    <row r="313" spans="3:22" x14ac:dyDescent="0.35">
      <c r="C313" s="16"/>
      <c r="U313" s="16"/>
      <c r="V313" s="16"/>
    </row>
    <row r="314" spans="3:22" x14ac:dyDescent="0.35">
      <c r="C314" s="16"/>
      <c r="U314" s="16"/>
      <c r="V314" s="16"/>
    </row>
    <row r="315" spans="3:22" x14ac:dyDescent="0.35">
      <c r="C315" s="16"/>
      <c r="U315" s="16"/>
      <c r="V315" s="16"/>
    </row>
    <row r="316" spans="3:22" x14ac:dyDescent="0.35">
      <c r="C316" s="16"/>
      <c r="U316" s="16"/>
      <c r="V316" s="16"/>
    </row>
    <row r="317" spans="3:22" x14ac:dyDescent="0.35">
      <c r="C317" s="16"/>
      <c r="U317" s="16"/>
      <c r="V317" s="16"/>
    </row>
    <row r="318" spans="3:22" x14ac:dyDescent="0.35">
      <c r="C318" s="16"/>
      <c r="U318" s="16"/>
      <c r="V318" s="16"/>
    </row>
    <row r="319" spans="3:22" x14ac:dyDescent="0.35">
      <c r="C319" s="16"/>
      <c r="U319" s="16"/>
      <c r="V319" s="16"/>
    </row>
    <row r="320" spans="3:22" x14ac:dyDescent="0.35">
      <c r="C320" s="16"/>
      <c r="U320" s="16"/>
      <c r="V320" s="16"/>
    </row>
    <row r="321" spans="3:22" x14ac:dyDescent="0.35">
      <c r="C321" s="16"/>
      <c r="U321" s="16"/>
      <c r="V321" s="16"/>
    </row>
    <row r="322" spans="3:22" x14ac:dyDescent="0.35">
      <c r="C322" s="16"/>
      <c r="U322" s="16"/>
      <c r="V322" s="16"/>
    </row>
    <row r="323" spans="3:22" x14ac:dyDescent="0.35">
      <c r="C323" s="16"/>
      <c r="U323" s="16"/>
      <c r="V323" s="16"/>
    </row>
    <row r="324" spans="3:22" x14ac:dyDescent="0.35">
      <c r="C324" s="16"/>
      <c r="U324" s="16"/>
      <c r="V324" s="16"/>
    </row>
    <row r="325" spans="3:22" x14ac:dyDescent="0.35">
      <c r="C325" s="16"/>
      <c r="U325" s="16"/>
      <c r="V325" s="16"/>
    </row>
    <row r="326" spans="3:22" x14ac:dyDescent="0.35">
      <c r="C326" s="16"/>
      <c r="U326" s="16"/>
      <c r="V326" s="16"/>
    </row>
    <row r="327" spans="3:22" x14ac:dyDescent="0.35">
      <c r="C327" s="16"/>
      <c r="U327" s="16"/>
      <c r="V327" s="16"/>
    </row>
    <row r="328" spans="3:22" x14ac:dyDescent="0.35">
      <c r="C328" s="16"/>
      <c r="U328" s="16"/>
      <c r="V328" s="16"/>
    </row>
    <row r="329" spans="3:22" x14ac:dyDescent="0.35">
      <c r="C329" s="16"/>
      <c r="U329" s="16"/>
      <c r="V329" s="16"/>
    </row>
    <row r="330" spans="3:22" x14ac:dyDescent="0.35">
      <c r="C330" s="16"/>
      <c r="U330" s="16"/>
      <c r="V330" s="16"/>
    </row>
    <row r="331" spans="3:22" x14ac:dyDescent="0.35">
      <c r="C331" s="16"/>
      <c r="U331" s="16"/>
      <c r="V331" s="16"/>
    </row>
    <row r="332" spans="3:22" x14ac:dyDescent="0.35">
      <c r="C332" s="16"/>
      <c r="U332" s="16"/>
      <c r="V332" s="16"/>
    </row>
    <row r="333" spans="3:22" x14ac:dyDescent="0.35">
      <c r="C333" s="16"/>
      <c r="U333" s="16"/>
      <c r="V333" s="16"/>
    </row>
    <row r="334" spans="3:22" x14ac:dyDescent="0.35">
      <c r="C334" s="16"/>
      <c r="U334" s="16"/>
      <c r="V334" s="16"/>
    </row>
    <row r="335" spans="3:22" x14ac:dyDescent="0.35">
      <c r="C335" s="16"/>
      <c r="U335" s="16"/>
      <c r="V335" s="16"/>
    </row>
    <row r="336" spans="3:22" x14ac:dyDescent="0.35">
      <c r="C336" s="16"/>
      <c r="U336" s="16"/>
      <c r="V336" s="16"/>
    </row>
    <row r="337" spans="3:22" x14ac:dyDescent="0.35">
      <c r="C337" s="16"/>
      <c r="U337" s="16"/>
      <c r="V337" s="16"/>
    </row>
    <row r="338" spans="3:22" x14ac:dyDescent="0.35">
      <c r="C338" s="16"/>
      <c r="U338" s="16"/>
      <c r="V338" s="16"/>
    </row>
    <row r="339" spans="3:22" x14ac:dyDescent="0.35">
      <c r="C339" s="16"/>
      <c r="U339" s="16"/>
      <c r="V339" s="16"/>
    </row>
    <row r="340" spans="3:22" x14ac:dyDescent="0.35">
      <c r="C340" s="16"/>
      <c r="U340" s="16"/>
      <c r="V340" s="16"/>
    </row>
    <row r="341" spans="3:22" x14ac:dyDescent="0.35">
      <c r="C341" s="16"/>
      <c r="U341" s="16"/>
      <c r="V341" s="16"/>
    </row>
    <row r="342" spans="3:22" x14ac:dyDescent="0.35">
      <c r="C342" s="16"/>
      <c r="U342" s="16"/>
      <c r="V342" s="16"/>
    </row>
    <row r="343" spans="3:22" x14ac:dyDescent="0.35">
      <c r="C343" s="16"/>
      <c r="U343" s="16"/>
      <c r="V343" s="16"/>
    </row>
    <row r="344" spans="3:22" x14ac:dyDescent="0.35">
      <c r="C344" s="16"/>
      <c r="U344" s="16"/>
      <c r="V344" s="16"/>
    </row>
    <row r="345" spans="3:22" x14ac:dyDescent="0.35">
      <c r="C345" s="16"/>
      <c r="U345" s="16"/>
      <c r="V345" s="16"/>
    </row>
    <row r="346" spans="3:22" x14ac:dyDescent="0.35">
      <c r="C346" s="16"/>
      <c r="U346" s="16"/>
      <c r="V346" s="16"/>
    </row>
    <row r="347" spans="3:22" x14ac:dyDescent="0.35">
      <c r="C347" s="16"/>
      <c r="U347" s="16"/>
      <c r="V347" s="16"/>
    </row>
    <row r="348" spans="3:22" x14ac:dyDescent="0.35">
      <c r="C348" s="16"/>
      <c r="U348" s="16"/>
      <c r="V348" s="16"/>
    </row>
    <row r="349" spans="3:22" x14ac:dyDescent="0.35">
      <c r="C349" s="16"/>
      <c r="U349" s="16"/>
      <c r="V349" s="16"/>
    </row>
    <row r="350" spans="3:22" x14ac:dyDescent="0.35">
      <c r="C350" s="16"/>
      <c r="U350" s="16"/>
      <c r="V350" s="16"/>
    </row>
    <row r="351" spans="3:22" x14ac:dyDescent="0.35">
      <c r="C351" s="16"/>
      <c r="U351" s="16"/>
      <c r="V351" s="16"/>
    </row>
    <row r="352" spans="3:22" x14ac:dyDescent="0.35">
      <c r="C352" s="16"/>
      <c r="U352" s="16"/>
      <c r="V352" s="16"/>
    </row>
    <row r="353" spans="3:22" x14ac:dyDescent="0.35">
      <c r="C353" s="16"/>
      <c r="U353" s="16"/>
      <c r="V353" s="16"/>
    </row>
  </sheetData>
  <autoFilter ref="A1:OJ1" xr:uid="{B3F49055-813D-4575-9DF1-5A16E74AF17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C05A5-8383-43A2-89E5-E2C8E0C8DCB3}">
  <dimension ref="A1:AO353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15.6328125" style="18" customWidth="1"/>
    <col min="33" max="33" width="25.6328125" style="17" customWidth="1"/>
    <col min="34" max="34" width="15.6328125" style="18" customWidth="1"/>
    <col min="35" max="35" width="25.6328125" style="17" customWidth="1"/>
    <col min="36" max="36" width="15.6328125" style="18" customWidth="1"/>
    <col min="37" max="37" width="25.6328125" style="17" customWidth="1"/>
    <col min="38" max="38" width="15.6328125" style="18" customWidth="1"/>
    <col min="39" max="39" width="25.6328125" style="17" customWidth="1"/>
    <col min="40" max="40" width="9.6328125" style="18" customWidth="1"/>
    <col min="41" max="41" width="15.6328125" style="12" customWidth="1"/>
    <col min="42" max="16384" width="10.90625" style="12"/>
  </cols>
  <sheetData>
    <row r="1" spans="1:41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242</v>
      </c>
      <c r="X1" s="10" t="s">
        <v>243</v>
      </c>
      <c r="Y1" s="10" t="s">
        <v>244</v>
      </c>
      <c r="Z1" s="10" t="s">
        <v>245</v>
      </c>
      <c r="AA1" s="10" t="s">
        <v>246</v>
      </c>
      <c r="AB1" s="10" t="s">
        <v>247</v>
      </c>
      <c r="AC1" s="10" t="s">
        <v>248</v>
      </c>
      <c r="AD1" s="10" t="s">
        <v>249</v>
      </c>
      <c r="AE1" s="10" t="s">
        <v>250</v>
      </c>
      <c r="AF1" s="10" t="s">
        <v>251</v>
      </c>
      <c r="AG1" s="10" t="s">
        <v>252</v>
      </c>
      <c r="AH1" s="10" t="s">
        <v>253</v>
      </c>
      <c r="AI1" s="10" t="s">
        <v>254</v>
      </c>
      <c r="AJ1" s="10" t="s">
        <v>255</v>
      </c>
      <c r="AK1" s="10" t="s">
        <v>256</v>
      </c>
      <c r="AL1" s="10" t="s">
        <v>257</v>
      </c>
      <c r="AM1" s="10" t="s">
        <v>258</v>
      </c>
      <c r="AN1" s="10" t="s">
        <v>80</v>
      </c>
      <c r="AO1" s="10" t="s">
        <v>81</v>
      </c>
    </row>
    <row r="2" spans="1:41" ht="72.5" x14ac:dyDescent="0.35">
      <c r="A2" s="13" t="s">
        <v>82</v>
      </c>
      <c r="B2" s="13" t="s">
        <v>83</v>
      </c>
      <c r="C2" s="14">
        <v>44970.484027777777</v>
      </c>
      <c r="D2" s="13" t="s">
        <v>84</v>
      </c>
      <c r="E2" s="15" t="s">
        <v>85</v>
      </c>
      <c r="F2" s="13" t="s">
        <v>86</v>
      </c>
      <c r="G2" s="15" t="s">
        <v>87</v>
      </c>
      <c r="H2" s="13" t="s">
        <v>88</v>
      </c>
      <c r="I2" s="15" t="s">
        <v>89</v>
      </c>
      <c r="J2" s="15" t="s">
        <v>90</v>
      </c>
      <c r="K2" s="15" t="s">
        <v>91</v>
      </c>
      <c r="L2" s="13" t="s">
        <v>92</v>
      </c>
      <c r="M2" s="15" t="s">
        <v>93</v>
      </c>
      <c r="N2" s="13" t="s">
        <v>94</v>
      </c>
      <c r="O2" s="15" t="s">
        <v>95</v>
      </c>
      <c r="P2" s="15" t="s">
        <v>96</v>
      </c>
      <c r="Q2" s="15" t="s">
        <v>97</v>
      </c>
      <c r="R2" s="13" t="s">
        <v>98</v>
      </c>
      <c r="S2" s="13" t="s">
        <v>99</v>
      </c>
      <c r="T2" s="13" t="s">
        <v>100</v>
      </c>
      <c r="U2" s="14">
        <v>43831</v>
      </c>
      <c r="V2" s="14"/>
      <c r="W2" s="15"/>
      <c r="X2" s="13"/>
      <c r="Y2" s="15"/>
      <c r="Z2" s="13"/>
      <c r="AA2" s="15"/>
      <c r="AB2" s="13"/>
      <c r="AC2" s="15"/>
      <c r="AD2" s="13"/>
      <c r="AE2" s="15"/>
      <c r="AF2" s="13"/>
      <c r="AG2" s="15"/>
      <c r="AH2" s="13"/>
      <c r="AI2" s="15"/>
      <c r="AJ2" s="13"/>
      <c r="AK2" s="15"/>
      <c r="AL2" s="13"/>
      <c r="AM2" s="15"/>
      <c r="AN2" s="13"/>
      <c r="AO2" s="13"/>
    </row>
    <row r="3" spans="1:41" ht="72.5" x14ac:dyDescent="0.35">
      <c r="A3" s="13" t="s">
        <v>82</v>
      </c>
      <c r="B3" s="13" t="s">
        <v>83</v>
      </c>
      <c r="C3" s="14">
        <v>44970.486111111109</v>
      </c>
      <c r="D3" s="13" t="s">
        <v>84</v>
      </c>
      <c r="E3" s="15" t="s">
        <v>85</v>
      </c>
      <c r="F3" s="13" t="s">
        <v>86</v>
      </c>
      <c r="G3" s="15" t="s">
        <v>87</v>
      </c>
      <c r="H3" s="13" t="s">
        <v>88</v>
      </c>
      <c r="I3" s="15" t="s">
        <v>89</v>
      </c>
      <c r="J3" s="15" t="s">
        <v>90</v>
      </c>
      <c r="K3" s="15" t="s">
        <v>91</v>
      </c>
      <c r="L3" s="13" t="s">
        <v>101</v>
      </c>
      <c r="M3" s="15" t="s">
        <v>102</v>
      </c>
      <c r="N3" s="13" t="s">
        <v>94</v>
      </c>
      <c r="O3" s="15" t="s">
        <v>103</v>
      </c>
      <c r="P3" s="15" t="s">
        <v>104</v>
      </c>
      <c r="Q3" s="15" t="s">
        <v>97</v>
      </c>
      <c r="R3" s="13" t="s">
        <v>98</v>
      </c>
      <c r="S3" s="13" t="s">
        <v>99</v>
      </c>
      <c r="T3" s="13" t="s">
        <v>100</v>
      </c>
      <c r="U3" s="14">
        <v>43831</v>
      </c>
      <c r="V3" s="14"/>
      <c r="W3" s="15"/>
      <c r="X3" s="13"/>
      <c r="Y3" s="15"/>
      <c r="Z3" s="13"/>
      <c r="AA3" s="15"/>
      <c r="AB3" s="13"/>
      <c r="AC3" s="15"/>
      <c r="AD3" s="13"/>
      <c r="AE3" s="15"/>
      <c r="AF3" s="13"/>
      <c r="AG3" s="15"/>
      <c r="AH3" s="13"/>
      <c r="AI3" s="15"/>
      <c r="AJ3" s="13"/>
      <c r="AK3" s="15"/>
      <c r="AL3" s="13"/>
      <c r="AM3" s="15"/>
      <c r="AN3" s="13"/>
      <c r="AO3" s="13"/>
    </row>
    <row r="4" spans="1:41" ht="43.5" x14ac:dyDescent="0.35">
      <c r="A4" s="13" t="s">
        <v>82</v>
      </c>
      <c r="B4" s="13" t="s">
        <v>83</v>
      </c>
      <c r="C4" s="14">
        <v>44970.493055555555</v>
      </c>
      <c r="D4" s="13" t="s">
        <v>84</v>
      </c>
      <c r="E4" s="15" t="s">
        <v>85</v>
      </c>
      <c r="F4" s="13" t="s">
        <v>86</v>
      </c>
      <c r="G4" s="15" t="s">
        <v>87</v>
      </c>
      <c r="H4" s="13" t="s">
        <v>88</v>
      </c>
      <c r="I4" s="15" t="s">
        <v>89</v>
      </c>
      <c r="J4" s="15" t="s">
        <v>90</v>
      </c>
      <c r="K4" s="15" t="s">
        <v>91</v>
      </c>
      <c r="L4" s="13" t="s">
        <v>105</v>
      </c>
      <c r="M4" s="15" t="s">
        <v>106</v>
      </c>
      <c r="N4" s="13" t="s">
        <v>107</v>
      </c>
      <c r="O4" s="15" t="s">
        <v>108</v>
      </c>
      <c r="P4" s="15" t="s">
        <v>109</v>
      </c>
      <c r="Q4" s="15" t="s">
        <v>97</v>
      </c>
      <c r="R4" s="13" t="s">
        <v>98</v>
      </c>
      <c r="S4" s="13" t="s">
        <v>99</v>
      </c>
      <c r="T4" s="13" t="s">
        <v>100</v>
      </c>
      <c r="U4" s="14">
        <v>43831</v>
      </c>
      <c r="V4" s="14"/>
      <c r="W4" s="15"/>
      <c r="X4" s="13"/>
      <c r="Y4" s="15"/>
      <c r="Z4" s="13"/>
      <c r="AA4" s="15"/>
      <c r="AB4" s="13"/>
      <c r="AC4" s="15"/>
      <c r="AD4" s="13"/>
      <c r="AE4" s="15"/>
      <c r="AF4" s="13"/>
      <c r="AG4" s="15"/>
      <c r="AH4" s="13"/>
      <c r="AI4" s="15"/>
      <c r="AJ4" s="13"/>
      <c r="AK4" s="15"/>
      <c r="AL4" s="13"/>
      <c r="AM4" s="15"/>
      <c r="AN4" s="13"/>
      <c r="AO4" s="13"/>
    </row>
    <row r="5" spans="1:41" ht="72.5" x14ac:dyDescent="0.35">
      <c r="A5" s="13" t="s">
        <v>82</v>
      </c>
      <c r="B5" s="13" t="s">
        <v>83</v>
      </c>
      <c r="C5" s="14">
        <v>44970.48541666667</v>
      </c>
      <c r="D5" s="13" t="s">
        <v>84</v>
      </c>
      <c r="E5" s="15" t="s">
        <v>85</v>
      </c>
      <c r="F5" s="13" t="s">
        <v>86</v>
      </c>
      <c r="G5" s="15" t="s">
        <v>87</v>
      </c>
      <c r="H5" s="13" t="s">
        <v>88</v>
      </c>
      <c r="I5" s="15" t="s">
        <v>89</v>
      </c>
      <c r="J5" s="15" t="s">
        <v>90</v>
      </c>
      <c r="K5" s="15" t="s">
        <v>91</v>
      </c>
      <c r="L5" s="13" t="s">
        <v>92</v>
      </c>
      <c r="M5" s="15" t="s">
        <v>93</v>
      </c>
      <c r="N5" s="13" t="s">
        <v>94</v>
      </c>
      <c r="O5" s="15" t="s">
        <v>95</v>
      </c>
      <c r="P5" s="15" t="s">
        <v>96</v>
      </c>
      <c r="Q5" s="15" t="s">
        <v>110</v>
      </c>
      <c r="R5" s="13" t="s">
        <v>111</v>
      </c>
      <c r="S5" s="13" t="s">
        <v>99</v>
      </c>
      <c r="T5" s="13" t="s">
        <v>100</v>
      </c>
      <c r="U5" s="14">
        <v>43831</v>
      </c>
      <c r="V5" s="14"/>
      <c r="W5" s="15"/>
      <c r="X5" s="13"/>
      <c r="Y5" s="15"/>
      <c r="Z5" s="13"/>
      <c r="AA5" s="15"/>
      <c r="AB5" s="13"/>
      <c r="AC5" s="15"/>
      <c r="AD5" s="13"/>
      <c r="AE5" s="15"/>
      <c r="AF5" s="13"/>
      <c r="AG5" s="15"/>
      <c r="AH5" s="13"/>
      <c r="AI5" s="15"/>
      <c r="AJ5" s="13"/>
      <c r="AK5" s="15"/>
      <c r="AL5" s="13"/>
      <c r="AM5" s="15"/>
      <c r="AN5" s="13"/>
      <c r="AO5" s="13"/>
    </row>
    <row r="6" spans="1:41" ht="72.5" x14ac:dyDescent="0.35">
      <c r="A6" s="13" t="s">
        <v>82</v>
      </c>
      <c r="B6" s="13" t="s">
        <v>83</v>
      </c>
      <c r="C6" s="14">
        <v>44970.486805555556</v>
      </c>
      <c r="D6" s="13" t="s">
        <v>84</v>
      </c>
      <c r="E6" s="15" t="s">
        <v>85</v>
      </c>
      <c r="F6" s="13" t="s">
        <v>86</v>
      </c>
      <c r="G6" s="15" t="s">
        <v>87</v>
      </c>
      <c r="H6" s="13" t="s">
        <v>88</v>
      </c>
      <c r="I6" s="15" t="s">
        <v>89</v>
      </c>
      <c r="J6" s="15" t="s">
        <v>90</v>
      </c>
      <c r="K6" s="15" t="s">
        <v>91</v>
      </c>
      <c r="L6" s="13" t="s">
        <v>101</v>
      </c>
      <c r="M6" s="15" t="s">
        <v>102</v>
      </c>
      <c r="N6" s="13" t="s">
        <v>94</v>
      </c>
      <c r="O6" s="15" t="s">
        <v>103</v>
      </c>
      <c r="P6" s="15" t="s">
        <v>104</v>
      </c>
      <c r="Q6" s="15" t="s">
        <v>110</v>
      </c>
      <c r="R6" s="13" t="s">
        <v>111</v>
      </c>
      <c r="S6" s="13" t="s">
        <v>99</v>
      </c>
      <c r="T6" s="13" t="s">
        <v>100</v>
      </c>
      <c r="U6" s="14">
        <v>43831</v>
      </c>
      <c r="V6" s="14"/>
      <c r="W6" s="15"/>
      <c r="X6" s="13"/>
      <c r="Y6" s="15"/>
      <c r="Z6" s="13"/>
      <c r="AA6" s="15"/>
      <c r="AB6" s="13"/>
      <c r="AC6" s="15"/>
      <c r="AD6" s="13"/>
      <c r="AE6" s="15"/>
      <c r="AF6" s="13"/>
      <c r="AG6" s="15"/>
      <c r="AH6" s="13"/>
      <c r="AI6" s="15"/>
      <c r="AJ6" s="13"/>
      <c r="AK6" s="15"/>
      <c r="AL6" s="13"/>
      <c r="AM6" s="15"/>
      <c r="AN6" s="13"/>
      <c r="AO6" s="13"/>
    </row>
    <row r="7" spans="1:41" ht="43.5" x14ac:dyDescent="0.35">
      <c r="A7" s="13" t="s">
        <v>82</v>
      </c>
      <c r="B7" s="13" t="s">
        <v>83</v>
      </c>
      <c r="C7" s="14">
        <v>44970.493055555555</v>
      </c>
      <c r="D7" s="13" t="s">
        <v>84</v>
      </c>
      <c r="E7" s="15" t="s">
        <v>85</v>
      </c>
      <c r="F7" s="13" t="s">
        <v>86</v>
      </c>
      <c r="G7" s="15" t="s">
        <v>87</v>
      </c>
      <c r="H7" s="13" t="s">
        <v>88</v>
      </c>
      <c r="I7" s="15" t="s">
        <v>89</v>
      </c>
      <c r="J7" s="15" t="s">
        <v>90</v>
      </c>
      <c r="K7" s="15" t="s">
        <v>91</v>
      </c>
      <c r="L7" s="13" t="s">
        <v>105</v>
      </c>
      <c r="M7" s="15" t="s">
        <v>106</v>
      </c>
      <c r="N7" s="13" t="s">
        <v>107</v>
      </c>
      <c r="O7" s="15" t="s">
        <v>108</v>
      </c>
      <c r="P7" s="15" t="s">
        <v>109</v>
      </c>
      <c r="Q7" s="15" t="s">
        <v>110</v>
      </c>
      <c r="R7" s="13" t="s">
        <v>111</v>
      </c>
      <c r="S7" s="13" t="s">
        <v>99</v>
      </c>
      <c r="T7" s="13" t="s">
        <v>100</v>
      </c>
      <c r="U7" s="14">
        <v>43831</v>
      </c>
      <c r="V7" s="14"/>
      <c r="W7" s="15"/>
      <c r="X7" s="13"/>
      <c r="Y7" s="15"/>
      <c r="Z7" s="13"/>
      <c r="AA7" s="15"/>
      <c r="AB7" s="13"/>
      <c r="AC7" s="15"/>
      <c r="AD7" s="13"/>
      <c r="AE7" s="15"/>
      <c r="AF7" s="13"/>
      <c r="AG7" s="15"/>
      <c r="AH7" s="13"/>
      <c r="AI7" s="15"/>
      <c r="AJ7" s="13"/>
      <c r="AK7" s="15"/>
      <c r="AL7" s="13"/>
      <c r="AM7" s="15"/>
      <c r="AN7" s="13"/>
      <c r="AO7" s="13"/>
    </row>
    <row r="8" spans="1:41" ht="72.5" x14ac:dyDescent="0.35">
      <c r="A8" s="13" t="s">
        <v>82</v>
      </c>
      <c r="B8" s="13" t="s">
        <v>83</v>
      </c>
      <c r="C8" s="14">
        <v>44970.48541666667</v>
      </c>
      <c r="D8" s="13" t="s">
        <v>84</v>
      </c>
      <c r="E8" s="15" t="s">
        <v>85</v>
      </c>
      <c r="F8" s="13" t="s">
        <v>86</v>
      </c>
      <c r="G8" s="15" t="s">
        <v>87</v>
      </c>
      <c r="H8" s="13" t="s">
        <v>88</v>
      </c>
      <c r="I8" s="15" t="s">
        <v>89</v>
      </c>
      <c r="J8" s="15" t="s">
        <v>90</v>
      </c>
      <c r="K8" s="15" t="s">
        <v>91</v>
      </c>
      <c r="L8" s="13" t="s">
        <v>92</v>
      </c>
      <c r="M8" s="15" t="s">
        <v>93</v>
      </c>
      <c r="N8" s="13" t="s">
        <v>94</v>
      </c>
      <c r="O8" s="15" t="s">
        <v>95</v>
      </c>
      <c r="P8" s="15" t="s">
        <v>96</v>
      </c>
      <c r="Q8" s="15" t="s">
        <v>112</v>
      </c>
      <c r="R8" s="13" t="s">
        <v>113</v>
      </c>
      <c r="S8" s="13" t="s">
        <v>99</v>
      </c>
      <c r="T8" s="13" t="s">
        <v>100</v>
      </c>
      <c r="U8" s="14">
        <v>43831</v>
      </c>
      <c r="V8" s="14"/>
      <c r="W8" s="15"/>
      <c r="X8" s="13"/>
      <c r="Y8" s="15"/>
      <c r="Z8" s="13"/>
      <c r="AA8" s="15"/>
      <c r="AB8" s="13"/>
      <c r="AC8" s="15"/>
      <c r="AD8" s="13"/>
      <c r="AE8" s="15"/>
      <c r="AF8" s="13"/>
      <c r="AG8" s="15"/>
      <c r="AH8" s="13"/>
      <c r="AI8" s="15"/>
      <c r="AJ8" s="13"/>
      <c r="AK8" s="15"/>
      <c r="AL8" s="13"/>
      <c r="AM8" s="15"/>
      <c r="AN8" s="13"/>
      <c r="AO8" s="13"/>
    </row>
    <row r="9" spans="1:41" ht="72.5" x14ac:dyDescent="0.35">
      <c r="A9" s="13" t="s">
        <v>82</v>
      </c>
      <c r="B9" s="13" t="s">
        <v>83</v>
      </c>
      <c r="C9" s="14">
        <v>44970.487500000003</v>
      </c>
      <c r="D9" s="13" t="s">
        <v>84</v>
      </c>
      <c r="E9" s="15" t="s">
        <v>85</v>
      </c>
      <c r="F9" s="13" t="s">
        <v>86</v>
      </c>
      <c r="G9" s="15" t="s">
        <v>87</v>
      </c>
      <c r="H9" s="13" t="s">
        <v>88</v>
      </c>
      <c r="I9" s="15" t="s">
        <v>89</v>
      </c>
      <c r="J9" s="15" t="s">
        <v>90</v>
      </c>
      <c r="K9" s="15" t="s">
        <v>91</v>
      </c>
      <c r="L9" s="13" t="s">
        <v>101</v>
      </c>
      <c r="M9" s="15" t="s">
        <v>102</v>
      </c>
      <c r="N9" s="13" t="s">
        <v>94</v>
      </c>
      <c r="O9" s="15" t="s">
        <v>103</v>
      </c>
      <c r="P9" s="15" t="s">
        <v>104</v>
      </c>
      <c r="Q9" s="15" t="s">
        <v>112</v>
      </c>
      <c r="R9" s="13" t="s">
        <v>113</v>
      </c>
      <c r="S9" s="13" t="s">
        <v>99</v>
      </c>
      <c r="T9" s="13" t="s">
        <v>100</v>
      </c>
      <c r="U9" s="14">
        <v>43831</v>
      </c>
      <c r="V9" s="14"/>
      <c r="W9" s="15"/>
      <c r="X9" s="13"/>
      <c r="Y9" s="15"/>
      <c r="Z9" s="13"/>
      <c r="AA9" s="15"/>
      <c r="AB9" s="13"/>
      <c r="AC9" s="15"/>
      <c r="AD9" s="13"/>
      <c r="AE9" s="15"/>
      <c r="AF9" s="13"/>
      <c r="AG9" s="15"/>
      <c r="AH9" s="13"/>
      <c r="AI9" s="15"/>
      <c r="AJ9" s="13"/>
      <c r="AK9" s="15"/>
      <c r="AL9" s="13"/>
      <c r="AM9" s="15"/>
      <c r="AN9" s="13"/>
      <c r="AO9" s="13"/>
    </row>
    <row r="10" spans="1:41" ht="43.5" x14ac:dyDescent="0.35">
      <c r="A10" s="13" t="s">
        <v>82</v>
      </c>
      <c r="B10" s="13" t="s">
        <v>83</v>
      </c>
      <c r="C10" s="14">
        <v>44970.493055555555</v>
      </c>
      <c r="D10" s="13" t="s">
        <v>84</v>
      </c>
      <c r="E10" s="15" t="s">
        <v>85</v>
      </c>
      <c r="F10" s="13" t="s">
        <v>86</v>
      </c>
      <c r="G10" s="15" t="s">
        <v>87</v>
      </c>
      <c r="H10" s="13" t="s">
        <v>88</v>
      </c>
      <c r="I10" s="15" t="s">
        <v>89</v>
      </c>
      <c r="J10" s="15" t="s">
        <v>90</v>
      </c>
      <c r="K10" s="15" t="s">
        <v>91</v>
      </c>
      <c r="L10" s="13" t="s">
        <v>105</v>
      </c>
      <c r="M10" s="15" t="s">
        <v>106</v>
      </c>
      <c r="N10" s="13" t="s">
        <v>107</v>
      </c>
      <c r="O10" s="15" t="s">
        <v>108</v>
      </c>
      <c r="P10" s="15" t="s">
        <v>109</v>
      </c>
      <c r="Q10" s="15" t="s">
        <v>112</v>
      </c>
      <c r="R10" s="13" t="s">
        <v>113</v>
      </c>
      <c r="S10" s="13" t="s">
        <v>99</v>
      </c>
      <c r="T10" s="13" t="s">
        <v>100</v>
      </c>
      <c r="U10" s="14">
        <v>43831</v>
      </c>
      <c r="V10" s="14"/>
      <c r="W10" s="15"/>
      <c r="X10" s="13"/>
      <c r="Y10" s="15"/>
      <c r="Z10" s="13"/>
      <c r="AA10" s="15"/>
      <c r="AB10" s="13"/>
      <c r="AC10" s="15"/>
      <c r="AD10" s="13"/>
      <c r="AE10" s="15"/>
      <c r="AF10" s="13"/>
      <c r="AG10" s="15"/>
      <c r="AH10" s="13"/>
      <c r="AI10" s="15"/>
      <c r="AJ10" s="13"/>
      <c r="AK10" s="15"/>
      <c r="AL10" s="13"/>
      <c r="AM10" s="15"/>
      <c r="AN10" s="13"/>
      <c r="AO10" s="13"/>
    </row>
    <row r="11" spans="1:41" ht="72.5" x14ac:dyDescent="0.35">
      <c r="A11" s="13" t="s">
        <v>82</v>
      </c>
      <c r="B11" s="13" t="s">
        <v>83</v>
      </c>
      <c r="C11" s="14">
        <v>44970.486111111109</v>
      </c>
      <c r="D11" s="13" t="s">
        <v>84</v>
      </c>
      <c r="E11" s="15" t="s">
        <v>85</v>
      </c>
      <c r="F11" s="13" t="s">
        <v>86</v>
      </c>
      <c r="G11" s="15" t="s">
        <v>87</v>
      </c>
      <c r="H11" s="13" t="s">
        <v>88</v>
      </c>
      <c r="I11" s="15" t="s">
        <v>89</v>
      </c>
      <c r="J11" s="15" t="s">
        <v>90</v>
      </c>
      <c r="K11" s="15" t="s">
        <v>91</v>
      </c>
      <c r="L11" s="13" t="s">
        <v>92</v>
      </c>
      <c r="M11" s="15" t="s">
        <v>93</v>
      </c>
      <c r="N11" s="13" t="s">
        <v>94</v>
      </c>
      <c r="O11" s="15" t="s">
        <v>95</v>
      </c>
      <c r="P11" s="15" t="s">
        <v>96</v>
      </c>
      <c r="Q11" s="15" t="s">
        <v>114</v>
      </c>
      <c r="R11" s="13" t="s">
        <v>115</v>
      </c>
      <c r="S11" s="13" t="s">
        <v>99</v>
      </c>
      <c r="T11" s="13" t="s">
        <v>100</v>
      </c>
      <c r="U11" s="14">
        <v>43831</v>
      </c>
      <c r="V11" s="14"/>
      <c r="W11" s="15"/>
      <c r="X11" s="13"/>
      <c r="Y11" s="15"/>
      <c r="Z11" s="13"/>
      <c r="AA11" s="15"/>
      <c r="AB11" s="13"/>
      <c r="AC11" s="15"/>
      <c r="AD11" s="13"/>
      <c r="AE11" s="15"/>
      <c r="AF11" s="13"/>
      <c r="AG11" s="15"/>
      <c r="AH11" s="13"/>
      <c r="AI11" s="15"/>
      <c r="AJ11" s="13"/>
      <c r="AK11" s="15"/>
      <c r="AL11" s="13"/>
      <c r="AM11" s="15"/>
      <c r="AN11" s="13"/>
      <c r="AO11" s="13"/>
    </row>
    <row r="12" spans="1:41" ht="72.5" x14ac:dyDescent="0.35">
      <c r="A12" s="13" t="s">
        <v>82</v>
      </c>
      <c r="B12" s="13" t="s">
        <v>83</v>
      </c>
      <c r="C12" s="14">
        <v>44974.54583333333</v>
      </c>
      <c r="D12" s="13" t="s">
        <v>84</v>
      </c>
      <c r="E12" s="15" t="s">
        <v>85</v>
      </c>
      <c r="F12" s="13" t="s">
        <v>86</v>
      </c>
      <c r="G12" s="15" t="s">
        <v>87</v>
      </c>
      <c r="H12" s="13" t="s">
        <v>88</v>
      </c>
      <c r="I12" s="15" t="s">
        <v>89</v>
      </c>
      <c r="J12" s="15" t="s">
        <v>90</v>
      </c>
      <c r="K12" s="15" t="s">
        <v>91</v>
      </c>
      <c r="L12" s="13" t="s">
        <v>101</v>
      </c>
      <c r="M12" s="15" t="s">
        <v>102</v>
      </c>
      <c r="N12" s="13" t="s">
        <v>94</v>
      </c>
      <c r="O12" s="15" t="s">
        <v>103</v>
      </c>
      <c r="P12" s="15" t="s">
        <v>104</v>
      </c>
      <c r="Q12" s="15" t="s">
        <v>114</v>
      </c>
      <c r="R12" s="13" t="s">
        <v>115</v>
      </c>
      <c r="S12" s="13" t="s">
        <v>99</v>
      </c>
      <c r="T12" s="13" t="s">
        <v>100</v>
      </c>
      <c r="U12" s="14">
        <v>43832</v>
      </c>
      <c r="V12" s="14"/>
      <c r="W12" s="15"/>
      <c r="X12" s="13"/>
      <c r="Y12" s="15"/>
      <c r="Z12" s="13"/>
      <c r="AA12" s="15"/>
      <c r="AB12" s="13"/>
      <c r="AC12" s="15"/>
      <c r="AD12" s="13"/>
      <c r="AE12" s="15"/>
      <c r="AF12" s="13"/>
      <c r="AG12" s="15"/>
      <c r="AH12" s="13"/>
      <c r="AI12" s="15"/>
      <c r="AJ12" s="13"/>
      <c r="AK12" s="15"/>
      <c r="AL12" s="13"/>
      <c r="AM12" s="15"/>
      <c r="AN12" s="13"/>
      <c r="AO12" s="13"/>
    </row>
    <row r="13" spans="1:41" ht="43.5" x14ac:dyDescent="0.35">
      <c r="A13" s="13" t="s">
        <v>82</v>
      </c>
      <c r="B13" s="13" t="s">
        <v>83</v>
      </c>
      <c r="C13" s="14">
        <v>44974.552083333336</v>
      </c>
      <c r="D13" s="13" t="s">
        <v>84</v>
      </c>
      <c r="E13" s="15" t="s">
        <v>85</v>
      </c>
      <c r="F13" s="13" t="s">
        <v>86</v>
      </c>
      <c r="G13" s="15" t="s">
        <v>87</v>
      </c>
      <c r="H13" s="13" t="s">
        <v>88</v>
      </c>
      <c r="I13" s="15" t="s">
        <v>89</v>
      </c>
      <c r="J13" s="15" t="s">
        <v>90</v>
      </c>
      <c r="K13" s="15" t="s">
        <v>91</v>
      </c>
      <c r="L13" s="13" t="s">
        <v>105</v>
      </c>
      <c r="M13" s="15" t="s">
        <v>106</v>
      </c>
      <c r="N13" s="13" t="s">
        <v>107</v>
      </c>
      <c r="O13" s="15" t="s">
        <v>108</v>
      </c>
      <c r="P13" s="15" t="s">
        <v>109</v>
      </c>
      <c r="Q13" s="15" t="s">
        <v>114</v>
      </c>
      <c r="R13" s="13" t="s">
        <v>115</v>
      </c>
      <c r="S13" s="13" t="s">
        <v>99</v>
      </c>
      <c r="T13" s="13" t="s">
        <v>100</v>
      </c>
      <c r="U13" s="14">
        <v>43832</v>
      </c>
      <c r="V13" s="14"/>
      <c r="W13" s="15"/>
      <c r="X13" s="13"/>
      <c r="Y13" s="15"/>
      <c r="Z13" s="13"/>
      <c r="AA13" s="15"/>
      <c r="AB13" s="13"/>
      <c r="AC13" s="15"/>
      <c r="AD13" s="13"/>
      <c r="AE13" s="15"/>
      <c r="AF13" s="13"/>
      <c r="AG13" s="15"/>
      <c r="AH13" s="13"/>
      <c r="AI13" s="15"/>
      <c r="AJ13" s="13"/>
      <c r="AK13" s="15"/>
      <c r="AL13" s="13"/>
      <c r="AM13" s="15"/>
      <c r="AN13" s="13"/>
      <c r="AO13" s="13"/>
    </row>
    <row r="14" spans="1:41" ht="72.5" x14ac:dyDescent="0.35">
      <c r="A14" s="13" t="s">
        <v>82</v>
      </c>
      <c r="B14" s="13" t="s">
        <v>83</v>
      </c>
      <c r="C14" s="14">
        <v>44970.486111111109</v>
      </c>
      <c r="D14" s="13" t="s">
        <v>84</v>
      </c>
      <c r="E14" s="15" t="s">
        <v>85</v>
      </c>
      <c r="F14" s="13" t="s">
        <v>86</v>
      </c>
      <c r="G14" s="15" t="s">
        <v>87</v>
      </c>
      <c r="H14" s="13" t="s">
        <v>88</v>
      </c>
      <c r="I14" s="15" t="s">
        <v>89</v>
      </c>
      <c r="J14" s="15" t="s">
        <v>90</v>
      </c>
      <c r="K14" s="15" t="s">
        <v>91</v>
      </c>
      <c r="L14" s="13" t="s">
        <v>92</v>
      </c>
      <c r="M14" s="15" t="s">
        <v>93</v>
      </c>
      <c r="N14" s="13" t="s">
        <v>94</v>
      </c>
      <c r="O14" s="15" t="s">
        <v>95</v>
      </c>
      <c r="P14" s="15" t="s">
        <v>96</v>
      </c>
      <c r="Q14" s="15" t="s">
        <v>116</v>
      </c>
      <c r="R14" s="13" t="s">
        <v>117</v>
      </c>
      <c r="S14" s="13" t="s">
        <v>99</v>
      </c>
      <c r="T14" s="13" t="s">
        <v>100</v>
      </c>
      <c r="U14" s="14">
        <v>43831</v>
      </c>
      <c r="V14" s="14"/>
      <c r="W14" s="15"/>
      <c r="X14" s="13"/>
      <c r="Y14" s="15"/>
      <c r="Z14" s="13"/>
      <c r="AA14" s="15"/>
      <c r="AB14" s="13"/>
      <c r="AC14" s="15"/>
      <c r="AD14" s="13"/>
      <c r="AE14" s="15"/>
      <c r="AF14" s="13"/>
      <c r="AG14" s="15"/>
      <c r="AH14" s="13"/>
      <c r="AI14" s="15"/>
      <c r="AJ14" s="13"/>
      <c r="AK14" s="15"/>
      <c r="AL14" s="13"/>
      <c r="AM14" s="15"/>
      <c r="AN14" s="13"/>
      <c r="AO14" s="13"/>
    </row>
    <row r="15" spans="1:41" ht="72.5" x14ac:dyDescent="0.35">
      <c r="A15" s="13" t="s">
        <v>82</v>
      </c>
      <c r="B15" s="13" t="s">
        <v>83</v>
      </c>
      <c r="C15" s="14">
        <v>44970.490972222222</v>
      </c>
      <c r="D15" s="13" t="s">
        <v>84</v>
      </c>
      <c r="E15" s="15" t="s">
        <v>85</v>
      </c>
      <c r="F15" s="13" t="s">
        <v>86</v>
      </c>
      <c r="G15" s="15" t="s">
        <v>87</v>
      </c>
      <c r="H15" s="13" t="s">
        <v>88</v>
      </c>
      <c r="I15" s="15" t="s">
        <v>89</v>
      </c>
      <c r="J15" s="15" t="s">
        <v>90</v>
      </c>
      <c r="K15" s="15" t="s">
        <v>91</v>
      </c>
      <c r="L15" s="13" t="s">
        <v>101</v>
      </c>
      <c r="M15" s="15" t="s">
        <v>102</v>
      </c>
      <c r="N15" s="13" t="s">
        <v>94</v>
      </c>
      <c r="O15" s="15" t="s">
        <v>103</v>
      </c>
      <c r="P15" s="15" t="s">
        <v>104</v>
      </c>
      <c r="Q15" s="15" t="s">
        <v>116</v>
      </c>
      <c r="R15" s="13" t="s">
        <v>117</v>
      </c>
      <c r="S15" s="13" t="s">
        <v>99</v>
      </c>
      <c r="T15" s="13" t="s">
        <v>100</v>
      </c>
      <c r="U15" s="14">
        <v>43831</v>
      </c>
      <c r="V15" s="14"/>
      <c r="W15" s="15"/>
      <c r="X15" s="13"/>
      <c r="Y15" s="15"/>
      <c r="Z15" s="13"/>
      <c r="AA15" s="15"/>
      <c r="AB15" s="13"/>
      <c r="AC15" s="15"/>
      <c r="AD15" s="13"/>
      <c r="AE15" s="15"/>
      <c r="AF15" s="13"/>
      <c r="AG15" s="15"/>
      <c r="AH15" s="13"/>
      <c r="AI15" s="15"/>
      <c r="AJ15" s="13"/>
      <c r="AK15" s="15"/>
      <c r="AL15" s="13"/>
      <c r="AM15" s="15"/>
      <c r="AN15" s="13"/>
      <c r="AO15" s="13"/>
    </row>
    <row r="16" spans="1:41" ht="43.5" x14ac:dyDescent="0.35">
      <c r="A16" s="13" t="s">
        <v>82</v>
      </c>
      <c r="B16" s="13" t="s">
        <v>83</v>
      </c>
      <c r="C16" s="14">
        <v>44970.493750000001</v>
      </c>
      <c r="D16" s="13" t="s">
        <v>84</v>
      </c>
      <c r="E16" s="15" t="s">
        <v>85</v>
      </c>
      <c r="F16" s="13" t="s">
        <v>86</v>
      </c>
      <c r="G16" s="15" t="s">
        <v>87</v>
      </c>
      <c r="H16" s="13" t="s">
        <v>88</v>
      </c>
      <c r="I16" s="15" t="s">
        <v>89</v>
      </c>
      <c r="J16" s="15" t="s">
        <v>90</v>
      </c>
      <c r="K16" s="15" t="s">
        <v>91</v>
      </c>
      <c r="L16" s="13" t="s">
        <v>105</v>
      </c>
      <c r="M16" s="15" t="s">
        <v>106</v>
      </c>
      <c r="N16" s="13" t="s">
        <v>107</v>
      </c>
      <c r="O16" s="15" t="s">
        <v>108</v>
      </c>
      <c r="P16" s="15" t="s">
        <v>109</v>
      </c>
      <c r="Q16" s="15" t="s">
        <v>116</v>
      </c>
      <c r="R16" s="13" t="s">
        <v>117</v>
      </c>
      <c r="S16" s="13" t="s">
        <v>99</v>
      </c>
      <c r="T16" s="13" t="s">
        <v>100</v>
      </c>
      <c r="U16" s="14">
        <v>43831</v>
      </c>
      <c r="V16" s="14"/>
      <c r="W16" s="15"/>
      <c r="X16" s="13"/>
      <c r="Y16" s="15"/>
      <c r="Z16" s="13"/>
      <c r="AA16" s="15"/>
      <c r="AB16" s="13"/>
      <c r="AC16" s="15"/>
      <c r="AD16" s="13"/>
      <c r="AE16" s="15"/>
      <c r="AF16" s="13"/>
      <c r="AG16" s="15"/>
      <c r="AH16" s="13"/>
      <c r="AI16" s="15"/>
      <c r="AJ16" s="13"/>
      <c r="AK16" s="15"/>
      <c r="AL16" s="13"/>
      <c r="AM16" s="15"/>
      <c r="AN16" s="13"/>
      <c r="AO16" s="13"/>
    </row>
    <row r="17" spans="1:41" ht="72.5" x14ac:dyDescent="0.35">
      <c r="A17" s="13" t="s">
        <v>118</v>
      </c>
      <c r="B17" s="13" t="s">
        <v>119</v>
      </c>
      <c r="C17" s="14">
        <v>45428.472222222219</v>
      </c>
      <c r="D17" s="13" t="s">
        <v>84</v>
      </c>
      <c r="E17" s="15" t="s">
        <v>85</v>
      </c>
      <c r="F17" s="13" t="s">
        <v>86</v>
      </c>
      <c r="G17" s="15" t="s">
        <v>87</v>
      </c>
      <c r="H17" s="13" t="s">
        <v>88</v>
      </c>
      <c r="I17" s="15" t="s">
        <v>89</v>
      </c>
      <c r="J17" s="15" t="s">
        <v>90</v>
      </c>
      <c r="K17" s="15" t="s">
        <v>91</v>
      </c>
      <c r="L17" s="13" t="s">
        <v>92</v>
      </c>
      <c r="M17" s="15" t="s">
        <v>93</v>
      </c>
      <c r="N17" s="13" t="s">
        <v>94</v>
      </c>
      <c r="O17" s="15" t="s">
        <v>95</v>
      </c>
      <c r="P17" s="15" t="s">
        <v>96</v>
      </c>
      <c r="Q17" s="15" t="s">
        <v>120</v>
      </c>
      <c r="R17" s="13" t="s">
        <v>121</v>
      </c>
      <c r="S17" s="13" t="s">
        <v>122</v>
      </c>
      <c r="T17" s="13" t="s">
        <v>123</v>
      </c>
      <c r="U17" s="14">
        <v>43831</v>
      </c>
      <c r="V17" s="14">
        <v>45123</v>
      </c>
      <c r="W17" s="15" t="s">
        <v>259</v>
      </c>
      <c r="X17" s="13" t="s">
        <v>260</v>
      </c>
      <c r="Y17" s="15" t="str">
        <f>VLOOKUP(X17,'Axe 2 Règles de gestion'!$D$2:$F$49,3, FALSE)</f>
        <v>Rémunération : Le militaire ne perçoit pas sa rémunération.</v>
      </c>
      <c r="Z17" s="13" t="s">
        <v>262</v>
      </c>
      <c r="AA17" s="15" t="str">
        <f>VLOOKUP(Z17,'Axe 2 Règles de gestion'!$D$2:$F$49,3, FALSE)</f>
        <v>Carrière : La durée du congé est prise en compte dans la durée totale de service du militaire servant en vertu d'un contrat.</v>
      </c>
      <c r="AB17" s="13" t="s">
        <v>264</v>
      </c>
      <c r="AC17" s="15" t="str">
        <f>VLOOKUP(AB17,'Axe 2 Règles de gestion'!$D$2:$F$49,3, FALSE)</f>
        <v>Retraite : La durée du congé ne compte pas pour les droits à pension.</v>
      </c>
      <c r="AD17" s="13" t="s">
        <v>266</v>
      </c>
      <c r="AE17" s="15" t="str">
        <f>VLOOKUP(AD17,'Axe 2 Règles de gestion'!$D$2:$F$49,3, FALSE)</f>
        <v>Acte : un acte administratif doit être produit.</v>
      </c>
      <c r="AF17" s="13"/>
      <c r="AG17" s="15"/>
      <c r="AH17" s="13"/>
      <c r="AI17" s="15"/>
      <c r="AJ17" s="13"/>
      <c r="AK17" s="15"/>
      <c r="AL17" s="13"/>
      <c r="AM17" s="15"/>
      <c r="AN17" s="13"/>
      <c r="AO17" s="13"/>
    </row>
    <row r="18" spans="1:41" ht="72.5" x14ac:dyDescent="0.35">
      <c r="A18" s="13" t="s">
        <v>118</v>
      </c>
      <c r="B18" s="13" t="s">
        <v>83</v>
      </c>
      <c r="C18" s="14">
        <v>45428.472222222219</v>
      </c>
      <c r="D18" s="13" t="s">
        <v>84</v>
      </c>
      <c r="E18" s="15" t="s">
        <v>85</v>
      </c>
      <c r="F18" s="13" t="s">
        <v>86</v>
      </c>
      <c r="G18" s="15" t="s">
        <v>87</v>
      </c>
      <c r="H18" s="13" t="s">
        <v>88</v>
      </c>
      <c r="I18" s="15" t="s">
        <v>89</v>
      </c>
      <c r="J18" s="15" t="s">
        <v>90</v>
      </c>
      <c r="K18" s="15" t="s">
        <v>91</v>
      </c>
      <c r="L18" s="13" t="s">
        <v>92</v>
      </c>
      <c r="M18" s="15" t="s">
        <v>93</v>
      </c>
      <c r="N18" s="13" t="s">
        <v>94</v>
      </c>
      <c r="O18" s="15" t="s">
        <v>95</v>
      </c>
      <c r="P18" s="15" t="s">
        <v>96</v>
      </c>
      <c r="Q18" s="15" t="s">
        <v>120</v>
      </c>
      <c r="R18" s="13" t="s">
        <v>121</v>
      </c>
      <c r="S18" s="13" t="s">
        <v>122</v>
      </c>
      <c r="T18" s="13" t="s">
        <v>123</v>
      </c>
      <c r="U18" s="14">
        <v>45124</v>
      </c>
      <c r="V18" s="14"/>
      <c r="W18" s="15" t="s">
        <v>259</v>
      </c>
      <c r="X18" s="13" t="s">
        <v>260</v>
      </c>
      <c r="Y18" s="15" t="str">
        <f>VLOOKUP(X18,'Axe 2 Règles de gestion'!$D$2:$F$49,3, FALSE)</f>
        <v>Rémunération : Le militaire ne perçoit pas sa rémunération.</v>
      </c>
      <c r="Z18" s="13" t="s">
        <v>262</v>
      </c>
      <c r="AA18" s="15" t="str">
        <f>VLOOKUP(Z18,'Axe 2 Règles de gestion'!$D$2:$F$49,3, FALSE)</f>
        <v>Carrière : La durée du congé est prise en compte dans la durée totale de service du militaire servant en vertu d'un contrat.</v>
      </c>
      <c r="AB18" s="13" t="s">
        <v>264</v>
      </c>
      <c r="AC18" s="15" t="str">
        <f>VLOOKUP(AB18,'Axe 2 Règles de gestion'!$D$2:$F$49,3, FALSE)</f>
        <v>Retraite : La durée du congé ne compte pas pour les droits à pension.</v>
      </c>
      <c r="AD18" s="13" t="s">
        <v>266</v>
      </c>
      <c r="AE18" s="15" t="str">
        <f>VLOOKUP(AD18,'Axe 2 Règles de gestion'!$D$2:$F$49,3, FALSE)</f>
        <v>Acte : un acte administratif doit être produit.</v>
      </c>
      <c r="AF18" s="13"/>
      <c r="AG18" s="15"/>
      <c r="AH18" s="13"/>
      <c r="AI18" s="15"/>
      <c r="AJ18" s="13"/>
      <c r="AK18" s="15"/>
      <c r="AL18" s="13"/>
      <c r="AM18" s="15"/>
      <c r="AN18" s="13"/>
      <c r="AO18" s="13"/>
    </row>
    <row r="19" spans="1:41" ht="72.5" x14ac:dyDescent="0.35">
      <c r="A19" s="13" t="s">
        <v>82</v>
      </c>
      <c r="B19" s="13" t="s">
        <v>83</v>
      </c>
      <c r="C19" s="14">
        <v>44970.658333333333</v>
      </c>
      <c r="D19" s="13" t="s">
        <v>84</v>
      </c>
      <c r="E19" s="15" t="s">
        <v>85</v>
      </c>
      <c r="F19" s="13" t="s">
        <v>86</v>
      </c>
      <c r="G19" s="15" t="s">
        <v>87</v>
      </c>
      <c r="H19" s="13" t="s">
        <v>88</v>
      </c>
      <c r="I19" s="15" t="s">
        <v>89</v>
      </c>
      <c r="J19" s="15" t="s">
        <v>90</v>
      </c>
      <c r="K19" s="15" t="s">
        <v>91</v>
      </c>
      <c r="L19" s="13" t="s">
        <v>101</v>
      </c>
      <c r="M19" s="15" t="s">
        <v>102</v>
      </c>
      <c r="N19" s="13" t="s">
        <v>94</v>
      </c>
      <c r="O19" s="15" t="s">
        <v>103</v>
      </c>
      <c r="P19" s="15" t="s">
        <v>104</v>
      </c>
      <c r="Q19" s="15" t="s">
        <v>120</v>
      </c>
      <c r="R19" s="13" t="s">
        <v>121</v>
      </c>
      <c r="S19" s="13" t="s">
        <v>122</v>
      </c>
      <c r="T19" s="13" t="s">
        <v>123</v>
      </c>
      <c r="U19" s="14">
        <v>43831</v>
      </c>
      <c r="V19" s="14"/>
      <c r="W19" s="15" t="s">
        <v>259</v>
      </c>
      <c r="X19" s="13" t="s">
        <v>260</v>
      </c>
      <c r="Y19" s="15" t="str">
        <f>VLOOKUP(X19,'Axe 2 Règles de gestion'!$D$2:$F$49,3, FALSE)</f>
        <v>Rémunération : Le militaire ne perçoit pas sa rémunération.</v>
      </c>
      <c r="Z19" s="13" t="s">
        <v>262</v>
      </c>
      <c r="AA19" s="15" t="str">
        <f>VLOOKUP(Z19,'Axe 2 Règles de gestion'!$D$2:$F$49,3, FALSE)</f>
        <v>Carrière : La durée du congé est prise en compte dans la durée totale de service du militaire servant en vertu d'un contrat.</v>
      </c>
      <c r="AB19" s="13" t="s">
        <v>264</v>
      </c>
      <c r="AC19" s="15" t="str">
        <f>VLOOKUP(AB19,'Axe 2 Règles de gestion'!$D$2:$F$49,3, FALSE)</f>
        <v>Retraite : La durée du congé ne compte pas pour les droits à pension.</v>
      </c>
      <c r="AD19" s="13" t="s">
        <v>266</v>
      </c>
      <c r="AE19" s="15" t="str">
        <f>VLOOKUP(AD19,'Axe 2 Règles de gestion'!$D$2:$F$49,3, FALSE)</f>
        <v>Acte : un acte administratif doit être produit.</v>
      </c>
      <c r="AF19" s="13"/>
      <c r="AG19" s="15"/>
      <c r="AH19" s="13"/>
      <c r="AI19" s="15"/>
      <c r="AJ19" s="13"/>
      <c r="AK19" s="15"/>
      <c r="AL19" s="13"/>
      <c r="AM19" s="15"/>
      <c r="AN19" s="13"/>
      <c r="AO19" s="13"/>
    </row>
    <row r="20" spans="1:41" ht="43.5" x14ac:dyDescent="0.35">
      <c r="A20" s="13" t="s">
        <v>82</v>
      </c>
      <c r="B20" s="13" t="s">
        <v>83</v>
      </c>
      <c r="C20" s="14">
        <v>44970.503472222219</v>
      </c>
      <c r="D20" s="13" t="s">
        <v>84</v>
      </c>
      <c r="E20" s="15" t="s">
        <v>85</v>
      </c>
      <c r="F20" s="13" t="s">
        <v>86</v>
      </c>
      <c r="G20" s="15" t="s">
        <v>87</v>
      </c>
      <c r="H20" s="13" t="s">
        <v>88</v>
      </c>
      <c r="I20" s="15" t="s">
        <v>89</v>
      </c>
      <c r="J20" s="15" t="s">
        <v>90</v>
      </c>
      <c r="K20" s="15" t="s">
        <v>91</v>
      </c>
      <c r="L20" s="13" t="s">
        <v>105</v>
      </c>
      <c r="M20" s="15" t="s">
        <v>106</v>
      </c>
      <c r="N20" s="13" t="s">
        <v>107</v>
      </c>
      <c r="O20" s="15" t="s">
        <v>108</v>
      </c>
      <c r="P20" s="15" t="s">
        <v>109</v>
      </c>
      <c r="Q20" s="15" t="s">
        <v>120</v>
      </c>
      <c r="R20" s="13" t="s">
        <v>121</v>
      </c>
      <c r="S20" s="13" t="s">
        <v>122</v>
      </c>
      <c r="T20" s="13" t="s">
        <v>123</v>
      </c>
      <c r="U20" s="14">
        <v>43831</v>
      </c>
      <c r="V20" s="14"/>
      <c r="W20" s="15"/>
      <c r="X20" s="13"/>
      <c r="Y20" s="15"/>
      <c r="Z20" s="13"/>
      <c r="AA20" s="15"/>
      <c r="AB20" s="13"/>
      <c r="AC20" s="15"/>
      <c r="AD20" s="13"/>
      <c r="AE20" s="15"/>
      <c r="AF20" s="13"/>
      <c r="AG20" s="15"/>
      <c r="AH20" s="13"/>
      <c r="AI20" s="15"/>
      <c r="AJ20" s="13"/>
      <c r="AK20" s="15"/>
      <c r="AL20" s="13"/>
      <c r="AM20" s="15"/>
      <c r="AN20" s="13"/>
      <c r="AO20" s="13"/>
    </row>
    <row r="21" spans="1:41" ht="72.5" x14ac:dyDescent="0.35">
      <c r="A21" s="13" t="s">
        <v>118</v>
      </c>
      <c r="B21" s="13" t="s">
        <v>119</v>
      </c>
      <c r="C21" s="14">
        <v>45428.472916666666</v>
      </c>
      <c r="D21" s="13" t="s">
        <v>84</v>
      </c>
      <c r="E21" s="15" t="s">
        <v>85</v>
      </c>
      <c r="F21" s="13" t="s">
        <v>86</v>
      </c>
      <c r="G21" s="15" t="s">
        <v>87</v>
      </c>
      <c r="H21" s="13" t="s">
        <v>88</v>
      </c>
      <c r="I21" s="15" t="s">
        <v>89</v>
      </c>
      <c r="J21" s="15" t="s">
        <v>90</v>
      </c>
      <c r="K21" s="15" t="s">
        <v>91</v>
      </c>
      <c r="L21" s="13" t="s">
        <v>92</v>
      </c>
      <c r="M21" s="15" t="s">
        <v>93</v>
      </c>
      <c r="N21" s="13" t="s">
        <v>94</v>
      </c>
      <c r="O21" s="15" t="s">
        <v>95</v>
      </c>
      <c r="P21" s="15" t="s">
        <v>96</v>
      </c>
      <c r="Q21" s="15" t="s">
        <v>178</v>
      </c>
      <c r="R21" s="13" t="s">
        <v>179</v>
      </c>
      <c r="S21" s="13" t="s">
        <v>122</v>
      </c>
      <c r="T21" s="13" t="s">
        <v>123</v>
      </c>
      <c r="U21" s="14">
        <v>43831</v>
      </c>
      <c r="V21" s="14">
        <v>45123</v>
      </c>
      <c r="W21" s="15" t="s">
        <v>268</v>
      </c>
      <c r="X21" s="13" t="s">
        <v>260</v>
      </c>
      <c r="Y21" s="15" t="str">
        <f>VLOOKUP(X21,'Axe 2 Règles de gestion'!$D$2:$F$49,3, FALSE)</f>
        <v>Rémunération : Le militaire ne perçoit pas sa rémunération.</v>
      </c>
      <c r="Z21" s="13" t="s">
        <v>269</v>
      </c>
      <c r="AA21" s="15" t="str">
        <f>VLOOKUP(Z21,'Axe 2 Règles de gestion'!$D$2:$F$49,3, FALSE)</f>
        <v>Carrière : La durée du congé ne compte pas pour l'avancement.</v>
      </c>
      <c r="AB21" s="13" t="s">
        <v>264</v>
      </c>
      <c r="AC21" s="15" t="str">
        <f>VLOOKUP(AB21,'Axe 2 Règles de gestion'!$D$2:$F$49,3, FALSE)</f>
        <v>Retraite : La durée du congé ne compte pas pour les droits à pension.</v>
      </c>
      <c r="AD21" s="13" t="s">
        <v>266</v>
      </c>
      <c r="AE21" s="15" t="str">
        <f>VLOOKUP(AD21,'Axe 2 Règles de gestion'!$D$2:$F$49,3, FALSE)</f>
        <v>Acte : un acte administratif doit être produit.</v>
      </c>
      <c r="AF21" s="13"/>
      <c r="AG21" s="15"/>
      <c r="AH21" s="13"/>
      <c r="AI21" s="15"/>
      <c r="AJ21" s="13"/>
      <c r="AK21" s="15"/>
      <c r="AL21" s="13"/>
      <c r="AM21" s="15"/>
      <c r="AN21" s="13"/>
      <c r="AO21" s="13"/>
    </row>
    <row r="22" spans="1:41" ht="72.5" x14ac:dyDescent="0.35">
      <c r="A22" s="13" t="s">
        <v>118</v>
      </c>
      <c r="B22" s="13" t="s">
        <v>83</v>
      </c>
      <c r="C22" s="14">
        <v>45428.472916666666</v>
      </c>
      <c r="D22" s="13" t="s">
        <v>84</v>
      </c>
      <c r="E22" s="15" t="s">
        <v>85</v>
      </c>
      <c r="F22" s="13" t="s">
        <v>86</v>
      </c>
      <c r="G22" s="15" t="s">
        <v>87</v>
      </c>
      <c r="H22" s="13" t="s">
        <v>88</v>
      </c>
      <c r="I22" s="15" t="s">
        <v>89</v>
      </c>
      <c r="J22" s="15" t="s">
        <v>90</v>
      </c>
      <c r="K22" s="15" t="s">
        <v>91</v>
      </c>
      <c r="L22" s="13" t="s">
        <v>92</v>
      </c>
      <c r="M22" s="15" t="s">
        <v>93</v>
      </c>
      <c r="N22" s="13" t="s">
        <v>94</v>
      </c>
      <c r="O22" s="15" t="s">
        <v>95</v>
      </c>
      <c r="P22" s="15" t="s">
        <v>96</v>
      </c>
      <c r="Q22" s="15" t="s">
        <v>178</v>
      </c>
      <c r="R22" s="13" t="s">
        <v>179</v>
      </c>
      <c r="S22" s="13" t="s">
        <v>122</v>
      </c>
      <c r="T22" s="13" t="s">
        <v>123</v>
      </c>
      <c r="U22" s="14">
        <v>45124</v>
      </c>
      <c r="V22" s="14"/>
      <c r="W22" s="15" t="s">
        <v>268</v>
      </c>
      <c r="X22" s="13" t="s">
        <v>260</v>
      </c>
      <c r="Y22" s="15" t="str">
        <f>VLOOKUP(X22,'Axe 2 Règles de gestion'!$D$2:$F$49,3, FALSE)</f>
        <v>Rémunération : Le militaire ne perçoit pas sa rémunération.</v>
      </c>
      <c r="Z22" s="13" t="s">
        <v>269</v>
      </c>
      <c r="AA22" s="15" t="str">
        <f>VLOOKUP(Z22,'Axe 2 Règles de gestion'!$D$2:$F$49,3, FALSE)</f>
        <v>Carrière : La durée du congé ne compte pas pour l'avancement.</v>
      </c>
      <c r="AB22" s="13" t="s">
        <v>264</v>
      </c>
      <c r="AC22" s="15" t="str">
        <f>VLOOKUP(AB22,'Axe 2 Règles de gestion'!$D$2:$F$49,3, FALSE)</f>
        <v>Retraite : La durée du congé ne compte pas pour les droits à pension.</v>
      </c>
      <c r="AD22" s="13" t="s">
        <v>266</v>
      </c>
      <c r="AE22" s="15" t="str">
        <f>VLOOKUP(AD22,'Axe 2 Règles de gestion'!$D$2:$F$49,3, FALSE)</f>
        <v>Acte : un acte administratif doit être produit.</v>
      </c>
      <c r="AF22" s="13"/>
      <c r="AG22" s="15"/>
      <c r="AH22" s="13"/>
      <c r="AI22" s="15"/>
      <c r="AJ22" s="13"/>
      <c r="AK22" s="15"/>
      <c r="AL22" s="13"/>
      <c r="AM22" s="15"/>
      <c r="AN22" s="13"/>
      <c r="AO22" s="13"/>
    </row>
    <row r="23" spans="1:41" ht="72.5" x14ac:dyDescent="0.35">
      <c r="A23" s="13" t="s">
        <v>82</v>
      </c>
      <c r="B23" s="13" t="s">
        <v>83</v>
      </c>
      <c r="C23" s="14">
        <v>44970.670138888891</v>
      </c>
      <c r="D23" s="13" t="s">
        <v>84</v>
      </c>
      <c r="E23" s="15" t="s">
        <v>85</v>
      </c>
      <c r="F23" s="13" t="s">
        <v>86</v>
      </c>
      <c r="G23" s="15" t="s">
        <v>87</v>
      </c>
      <c r="H23" s="13" t="s">
        <v>88</v>
      </c>
      <c r="I23" s="15" t="s">
        <v>89</v>
      </c>
      <c r="J23" s="15" t="s">
        <v>90</v>
      </c>
      <c r="K23" s="15" t="s">
        <v>91</v>
      </c>
      <c r="L23" s="13" t="s">
        <v>101</v>
      </c>
      <c r="M23" s="15" t="s">
        <v>102</v>
      </c>
      <c r="N23" s="13" t="s">
        <v>94</v>
      </c>
      <c r="O23" s="15" t="s">
        <v>103</v>
      </c>
      <c r="P23" s="15" t="s">
        <v>104</v>
      </c>
      <c r="Q23" s="15" t="s">
        <v>178</v>
      </c>
      <c r="R23" s="13" t="s">
        <v>179</v>
      </c>
      <c r="S23" s="13" t="s">
        <v>122</v>
      </c>
      <c r="T23" s="13" t="s">
        <v>123</v>
      </c>
      <c r="U23" s="14">
        <v>43831</v>
      </c>
      <c r="V23" s="14"/>
      <c r="W23" s="15" t="s">
        <v>268</v>
      </c>
      <c r="X23" s="13" t="s">
        <v>260</v>
      </c>
      <c r="Y23" s="15" t="str">
        <f>VLOOKUP(X23,'Axe 2 Règles de gestion'!$D$2:$F$49,3, FALSE)</f>
        <v>Rémunération : Le militaire ne perçoit pas sa rémunération.</v>
      </c>
      <c r="Z23" s="13" t="s">
        <v>269</v>
      </c>
      <c r="AA23" s="15" t="str">
        <f>VLOOKUP(Z23,'Axe 2 Règles de gestion'!$D$2:$F$49,3, FALSE)</f>
        <v>Carrière : La durée du congé ne compte pas pour l'avancement.</v>
      </c>
      <c r="AB23" s="13" t="s">
        <v>264</v>
      </c>
      <c r="AC23" s="15" t="str">
        <f>VLOOKUP(AB23,'Axe 2 Règles de gestion'!$D$2:$F$49,3, FALSE)</f>
        <v>Retraite : La durée du congé ne compte pas pour les droits à pension.</v>
      </c>
      <c r="AD23" s="13" t="s">
        <v>266</v>
      </c>
      <c r="AE23" s="15" t="str">
        <f>VLOOKUP(AD23,'Axe 2 Règles de gestion'!$D$2:$F$49,3, FALSE)</f>
        <v>Acte : un acte administratif doit être produit.</v>
      </c>
      <c r="AF23" s="13"/>
      <c r="AG23" s="15"/>
      <c r="AH23" s="13"/>
      <c r="AI23" s="15"/>
      <c r="AJ23" s="13"/>
      <c r="AK23" s="15"/>
      <c r="AL23" s="13"/>
      <c r="AM23" s="15"/>
      <c r="AN23" s="13"/>
      <c r="AO23" s="13"/>
    </row>
    <row r="24" spans="1:41" ht="43.5" x14ac:dyDescent="0.35">
      <c r="A24" s="13" t="s">
        <v>82</v>
      </c>
      <c r="B24" s="13" t="s">
        <v>83</v>
      </c>
      <c r="C24" s="14">
        <v>44970.506249999999</v>
      </c>
      <c r="D24" s="13" t="s">
        <v>84</v>
      </c>
      <c r="E24" s="15" t="s">
        <v>85</v>
      </c>
      <c r="F24" s="13" t="s">
        <v>86</v>
      </c>
      <c r="G24" s="15" t="s">
        <v>87</v>
      </c>
      <c r="H24" s="13" t="s">
        <v>88</v>
      </c>
      <c r="I24" s="15" t="s">
        <v>89</v>
      </c>
      <c r="J24" s="15" t="s">
        <v>90</v>
      </c>
      <c r="K24" s="15" t="s">
        <v>91</v>
      </c>
      <c r="L24" s="13" t="s">
        <v>105</v>
      </c>
      <c r="M24" s="15" t="s">
        <v>106</v>
      </c>
      <c r="N24" s="13" t="s">
        <v>107</v>
      </c>
      <c r="O24" s="15" t="s">
        <v>108</v>
      </c>
      <c r="P24" s="15" t="s">
        <v>109</v>
      </c>
      <c r="Q24" s="15" t="s">
        <v>178</v>
      </c>
      <c r="R24" s="13" t="s">
        <v>179</v>
      </c>
      <c r="S24" s="13" t="s">
        <v>122</v>
      </c>
      <c r="T24" s="13" t="s">
        <v>123</v>
      </c>
      <c r="U24" s="14">
        <v>43831</v>
      </c>
      <c r="V24" s="14"/>
      <c r="W24" s="15"/>
      <c r="X24" s="13"/>
      <c r="Y24" s="15"/>
      <c r="Z24" s="13"/>
      <c r="AA24" s="15"/>
      <c r="AB24" s="13"/>
      <c r="AC24" s="15"/>
      <c r="AD24" s="13"/>
      <c r="AE24" s="15"/>
      <c r="AF24" s="13"/>
      <c r="AG24" s="15"/>
      <c r="AH24" s="13"/>
      <c r="AI24" s="15"/>
      <c r="AJ24" s="13"/>
      <c r="AK24" s="15"/>
      <c r="AL24" s="13"/>
      <c r="AM24" s="15"/>
      <c r="AN24" s="13"/>
      <c r="AO24" s="13"/>
    </row>
    <row r="25" spans="1:41" ht="72.5" x14ac:dyDescent="0.35">
      <c r="A25" s="13" t="s">
        <v>82</v>
      </c>
      <c r="B25" s="13" t="s">
        <v>83</v>
      </c>
      <c r="C25" s="14">
        <v>44970.494444444441</v>
      </c>
      <c r="D25" s="13" t="s">
        <v>84</v>
      </c>
      <c r="E25" s="15" t="s">
        <v>85</v>
      </c>
      <c r="F25" s="13" t="s">
        <v>86</v>
      </c>
      <c r="G25" s="15" t="s">
        <v>87</v>
      </c>
      <c r="H25" s="13" t="s">
        <v>190</v>
      </c>
      <c r="I25" s="15" t="s">
        <v>191</v>
      </c>
      <c r="J25" s="15" t="s">
        <v>192</v>
      </c>
      <c r="K25" s="15" t="s">
        <v>193</v>
      </c>
      <c r="L25" s="13" t="s">
        <v>194</v>
      </c>
      <c r="M25" s="15" t="s">
        <v>195</v>
      </c>
      <c r="N25" s="13" t="s">
        <v>94</v>
      </c>
      <c r="O25" s="15" t="s">
        <v>95</v>
      </c>
      <c r="P25" s="15" t="s">
        <v>96</v>
      </c>
      <c r="Q25" s="15" t="s">
        <v>97</v>
      </c>
      <c r="R25" s="13" t="s">
        <v>98</v>
      </c>
      <c r="S25" s="13" t="s">
        <v>99</v>
      </c>
      <c r="T25" s="13" t="s">
        <v>100</v>
      </c>
      <c r="U25" s="14">
        <v>43831</v>
      </c>
      <c r="V25" s="14"/>
      <c r="W25" s="15"/>
      <c r="X25" s="13"/>
      <c r="Y25" s="15"/>
      <c r="Z25" s="13"/>
      <c r="AA25" s="15"/>
      <c r="AB25" s="13"/>
      <c r="AC25" s="15"/>
      <c r="AD25" s="13"/>
      <c r="AE25" s="15"/>
      <c r="AF25" s="13"/>
      <c r="AG25" s="15"/>
      <c r="AH25" s="13"/>
      <c r="AI25" s="15"/>
      <c r="AJ25" s="13"/>
      <c r="AK25" s="15"/>
      <c r="AL25" s="13"/>
      <c r="AM25" s="15"/>
      <c r="AN25" s="13"/>
      <c r="AO25" s="13"/>
    </row>
    <row r="26" spans="1:41" ht="72.5" x14ac:dyDescent="0.35">
      <c r="A26" s="13" t="s">
        <v>82</v>
      </c>
      <c r="B26" s="13" t="s">
        <v>83</v>
      </c>
      <c r="C26" s="14">
        <v>44970.5</v>
      </c>
      <c r="D26" s="13" t="s">
        <v>84</v>
      </c>
      <c r="E26" s="15" t="s">
        <v>85</v>
      </c>
      <c r="F26" s="13" t="s">
        <v>86</v>
      </c>
      <c r="G26" s="15" t="s">
        <v>87</v>
      </c>
      <c r="H26" s="13" t="s">
        <v>190</v>
      </c>
      <c r="I26" s="15" t="s">
        <v>191</v>
      </c>
      <c r="J26" s="15" t="s">
        <v>192</v>
      </c>
      <c r="K26" s="15" t="s">
        <v>193</v>
      </c>
      <c r="L26" s="13" t="s">
        <v>196</v>
      </c>
      <c r="M26" s="15" t="s">
        <v>197</v>
      </c>
      <c r="N26" s="13" t="s">
        <v>94</v>
      </c>
      <c r="O26" s="15" t="s">
        <v>103</v>
      </c>
      <c r="P26" s="15" t="s">
        <v>104</v>
      </c>
      <c r="Q26" s="15" t="s">
        <v>97</v>
      </c>
      <c r="R26" s="13" t="s">
        <v>98</v>
      </c>
      <c r="S26" s="13" t="s">
        <v>99</v>
      </c>
      <c r="T26" s="13" t="s">
        <v>100</v>
      </c>
      <c r="U26" s="14">
        <v>43831</v>
      </c>
      <c r="V26" s="14"/>
      <c r="W26" s="15"/>
      <c r="X26" s="13"/>
      <c r="Y26" s="15"/>
      <c r="Z26" s="13"/>
      <c r="AA26" s="15"/>
      <c r="AB26" s="13"/>
      <c r="AC26" s="15"/>
      <c r="AD26" s="13"/>
      <c r="AE26" s="15"/>
      <c r="AF26" s="13"/>
      <c r="AG26" s="15"/>
      <c r="AH26" s="13"/>
      <c r="AI26" s="15"/>
      <c r="AJ26" s="13"/>
      <c r="AK26" s="15"/>
      <c r="AL26" s="13"/>
      <c r="AM26" s="15"/>
      <c r="AN26" s="13"/>
      <c r="AO26" s="13"/>
    </row>
    <row r="27" spans="1:41" ht="58" x14ac:dyDescent="0.35">
      <c r="A27" s="13" t="s">
        <v>82</v>
      </c>
      <c r="B27" s="13" t="s">
        <v>83</v>
      </c>
      <c r="C27" s="14">
        <v>44970.495833333334</v>
      </c>
      <c r="D27" s="13" t="s">
        <v>84</v>
      </c>
      <c r="E27" s="15" t="s">
        <v>85</v>
      </c>
      <c r="F27" s="13" t="s">
        <v>86</v>
      </c>
      <c r="G27" s="15" t="s">
        <v>87</v>
      </c>
      <c r="H27" s="13" t="s">
        <v>190</v>
      </c>
      <c r="I27" s="15" t="s">
        <v>191</v>
      </c>
      <c r="J27" s="15" t="s">
        <v>192</v>
      </c>
      <c r="K27" s="15" t="s">
        <v>193</v>
      </c>
      <c r="L27" s="13" t="s">
        <v>198</v>
      </c>
      <c r="M27" s="15" t="s">
        <v>199</v>
      </c>
      <c r="N27" s="13" t="s">
        <v>107</v>
      </c>
      <c r="O27" s="15" t="s">
        <v>108</v>
      </c>
      <c r="P27" s="15" t="s">
        <v>109</v>
      </c>
      <c r="Q27" s="15" t="s">
        <v>97</v>
      </c>
      <c r="R27" s="13" t="s">
        <v>98</v>
      </c>
      <c r="S27" s="13" t="s">
        <v>99</v>
      </c>
      <c r="T27" s="13" t="s">
        <v>100</v>
      </c>
      <c r="U27" s="14">
        <v>43831</v>
      </c>
      <c r="V27" s="14"/>
      <c r="W27" s="15"/>
      <c r="X27" s="13"/>
      <c r="Y27" s="15"/>
      <c r="Z27" s="13"/>
      <c r="AA27" s="15"/>
      <c r="AB27" s="13"/>
      <c r="AC27" s="15"/>
      <c r="AD27" s="13"/>
      <c r="AE27" s="15"/>
      <c r="AF27" s="13"/>
      <c r="AG27" s="15"/>
      <c r="AH27" s="13"/>
      <c r="AI27" s="15"/>
      <c r="AJ27" s="13"/>
      <c r="AK27" s="15"/>
      <c r="AL27" s="13"/>
      <c r="AM27" s="15"/>
      <c r="AN27" s="13"/>
      <c r="AO27" s="13"/>
    </row>
    <row r="28" spans="1:41" ht="72.5" x14ac:dyDescent="0.35">
      <c r="A28" s="13" t="s">
        <v>82</v>
      </c>
      <c r="B28" s="13" t="s">
        <v>83</v>
      </c>
      <c r="C28" s="14">
        <v>44970.495138888888</v>
      </c>
      <c r="D28" s="13" t="s">
        <v>84</v>
      </c>
      <c r="E28" s="15" t="s">
        <v>85</v>
      </c>
      <c r="F28" s="13" t="s">
        <v>86</v>
      </c>
      <c r="G28" s="15" t="s">
        <v>87</v>
      </c>
      <c r="H28" s="13" t="s">
        <v>190</v>
      </c>
      <c r="I28" s="15" t="s">
        <v>191</v>
      </c>
      <c r="J28" s="15" t="s">
        <v>192</v>
      </c>
      <c r="K28" s="15" t="s">
        <v>193</v>
      </c>
      <c r="L28" s="13" t="s">
        <v>194</v>
      </c>
      <c r="M28" s="15" t="s">
        <v>195</v>
      </c>
      <c r="N28" s="13" t="s">
        <v>94</v>
      </c>
      <c r="O28" s="15" t="s">
        <v>95</v>
      </c>
      <c r="P28" s="15" t="s">
        <v>96</v>
      </c>
      <c r="Q28" s="15" t="s">
        <v>110</v>
      </c>
      <c r="R28" s="13" t="s">
        <v>111</v>
      </c>
      <c r="S28" s="13" t="s">
        <v>99</v>
      </c>
      <c r="T28" s="13" t="s">
        <v>100</v>
      </c>
      <c r="U28" s="14">
        <v>43831</v>
      </c>
      <c r="V28" s="14"/>
      <c r="W28" s="15"/>
      <c r="X28" s="13"/>
      <c r="Y28" s="15"/>
      <c r="Z28" s="13"/>
      <c r="AA28" s="15"/>
      <c r="AB28" s="13"/>
      <c r="AC28" s="15"/>
      <c r="AD28" s="13"/>
      <c r="AE28" s="15"/>
      <c r="AF28" s="13"/>
      <c r="AG28" s="15"/>
      <c r="AH28" s="13"/>
      <c r="AI28" s="15"/>
      <c r="AJ28" s="13"/>
      <c r="AK28" s="15"/>
      <c r="AL28" s="13"/>
      <c r="AM28" s="15"/>
      <c r="AN28" s="13"/>
      <c r="AO28" s="13"/>
    </row>
    <row r="29" spans="1:41" ht="72.5" x14ac:dyDescent="0.35">
      <c r="A29" s="13" t="s">
        <v>82</v>
      </c>
      <c r="B29" s="13" t="s">
        <v>83</v>
      </c>
      <c r="C29" s="14">
        <v>44970.498611111114</v>
      </c>
      <c r="D29" s="13" t="s">
        <v>84</v>
      </c>
      <c r="E29" s="15" t="s">
        <v>85</v>
      </c>
      <c r="F29" s="13" t="s">
        <v>86</v>
      </c>
      <c r="G29" s="15" t="s">
        <v>87</v>
      </c>
      <c r="H29" s="13" t="s">
        <v>190</v>
      </c>
      <c r="I29" s="15" t="s">
        <v>191</v>
      </c>
      <c r="J29" s="15" t="s">
        <v>192</v>
      </c>
      <c r="K29" s="15" t="s">
        <v>193</v>
      </c>
      <c r="L29" s="13" t="s">
        <v>196</v>
      </c>
      <c r="M29" s="15" t="s">
        <v>197</v>
      </c>
      <c r="N29" s="13" t="s">
        <v>94</v>
      </c>
      <c r="O29" s="15" t="s">
        <v>103</v>
      </c>
      <c r="P29" s="15" t="s">
        <v>104</v>
      </c>
      <c r="Q29" s="15" t="s">
        <v>110</v>
      </c>
      <c r="R29" s="13" t="s">
        <v>111</v>
      </c>
      <c r="S29" s="13" t="s">
        <v>99</v>
      </c>
      <c r="T29" s="13" t="s">
        <v>100</v>
      </c>
      <c r="U29" s="14">
        <v>43831</v>
      </c>
      <c r="V29" s="14"/>
      <c r="W29" s="15"/>
      <c r="X29" s="13"/>
      <c r="Y29" s="15"/>
      <c r="Z29" s="13"/>
      <c r="AA29" s="15"/>
      <c r="AB29" s="13"/>
      <c r="AC29" s="15"/>
      <c r="AD29" s="13"/>
      <c r="AE29" s="15"/>
      <c r="AF29" s="13"/>
      <c r="AG29" s="15"/>
      <c r="AH29" s="13"/>
      <c r="AI29" s="15"/>
      <c r="AJ29" s="13"/>
      <c r="AK29" s="15"/>
      <c r="AL29" s="13"/>
      <c r="AM29" s="15"/>
      <c r="AN29" s="13"/>
      <c r="AO29" s="13"/>
    </row>
    <row r="30" spans="1:41" ht="58" x14ac:dyDescent="0.35">
      <c r="A30" s="13" t="s">
        <v>82</v>
      </c>
      <c r="B30" s="13" t="s">
        <v>83</v>
      </c>
      <c r="C30" s="14">
        <v>44970.495833333334</v>
      </c>
      <c r="D30" s="13" t="s">
        <v>84</v>
      </c>
      <c r="E30" s="15" t="s">
        <v>85</v>
      </c>
      <c r="F30" s="13" t="s">
        <v>86</v>
      </c>
      <c r="G30" s="15" t="s">
        <v>87</v>
      </c>
      <c r="H30" s="13" t="s">
        <v>190</v>
      </c>
      <c r="I30" s="15" t="s">
        <v>191</v>
      </c>
      <c r="J30" s="15" t="s">
        <v>192</v>
      </c>
      <c r="K30" s="15" t="s">
        <v>193</v>
      </c>
      <c r="L30" s="13" t="s">
        <v>198</v>
      </c>
      <c r="M30" s="15" t="s">
        <v>199</v>
      </c>
      <c r="N30" s="13" t="s">
        <v>107</v>
      </c>
      <c r="O30" s="15" t="s">
        <v>108</v>
      </c>
      <c r="P30" s="15" t="s">
        <v>109</v>
      </c>
      <c r="Q30" s="15" t="s">
        <v>110</v>
      </c>
      <c r="R30" s="13" t="s">
        <v>111</v>
      </c>
      <c r="S30" s="13" t="s">
        <v>99</v>
      </c>
      <c r="T30" s="13" t="s">
        <v>100</v>
      </c>
      <c r="U30" s="14">
        <v>43831</v>
      </c>
      <c r="V30" s="14"/>
      <c r="W30" s="15"/>
      <c r="X30" s="13"/>
      <c r="Y30" s="15"/>
      <c r="Z30" s="13"/>
      <c r="AA30" s="15"/>
      <c r="AB30" s="13"/>
      <c r="AC30" s="15"/>
      <c r="AD30" s="13"/>
      <c r="AE30" s="15"/>
      <c r="AF30" s="13"/>
      <c r="AG30" s="15"/>
      <c r="AH30" s="13"/>
      <c r="AI30" s="15"/>
      <c r="AJ30" s="13"/>
      <c r="AK30" s="15"/>
      <c r="AL30" s="13"/>
      <c r="AM30" s="15"/>
      <c r="AN30" s="13"/>
      <c r="AO30" s="13"/>
    </row>
    <row r="31" spans="1:41" ht="72.5" x14ac:dyDescent="0.35">
      <c r="A31" s="13" t="s">
        <v>82</v>
      </c>
      <c r="B31" s="13" t="s">
        <v>83</v>
      </c>
      <c r="C31" s="14">
        <v>44970.495138888888</v>
      </c>
      <c r="D31" s="13" t="s">
        <v>84</v>
      </c>
      <c r="E31" s="15" t="s">
        <v>85</v>
      </c>
      <c r="F31" s="13" t="s">
        <v>86</v>
      </c>
      <c r="G31" s="15" t="s">
        <v>87</v>
      </c>
      <c r="H31" s="13" t="s">
        <v>190</v>
      </c>
      <c r="I31" s="15" t="s">
        <v>191</v>
      </c>
      <c r="J31" s="15" t="s">
        <v>192</v>
      </c>
      <c r="K31" s="15" t="s">
        <v>193</v>
      </c>
      <c r="L31" s="13" t="s">
        <v>194</v>
      </c>
      <c r="M31" s="15" t="s">
        <v>195</v>
      </c>
      <c r="N31" s="13" t="s">
        <v>94</v>
      </c>
      <c r="O31" s="15" t="s">
        <v>95</v>
      </c>
      <c r="P31" s="15" t="s">
        <v>96</v>
      </c>
      <c r="Q31" s="15" t="s">
        <v>112</v>
      </c>
      <c r="R31" s="13" t="s">
        <v>113</v>
      </c>
      <c r="S31" s="13" t="s">
        <v>99</v>
      </c>
      <c r="T31" s="13" t="s">
        <v>100</v>
      </c>
      <c r="U31" s="14">
        <v>43831</v>
      </c>
      <c r="V31" s="14"/>
      <c r="W31" s="15"/>
      <c r="X31" s="13"/>
      <c r="Y31" s="15"/>
      <c r="Z31" s="13"/>
      <c r="AA31" s="15"/>
      <c r="AB31" s="13"/>
      <c r="AC31" s="15"/>
      <c r="AD31" s="13"/>
      <c r="AE31" s="15"/>
      <c r="AF31" s="13"/>
      <c r="AG31" s="15"/>
      <c r="AH31" s="13"/>
      <c r="AI31" s="15"/>
      <c r="AJ31" s="13"/>
      <c r="AK31" s="15"/>
      <c r="AL31" s="13"/>
      <c r="AM31" s="15"/>
      <c r="AN31" s="13"/>
      <c r="AO31" s="13"/>
    </row>
    <row r="32" spans="1:41" ht="72.5" x14ac:dyDescent="0.35">
      <c r="A32" s="13" t="s">
        <v>82</v>
      </c>
      <c r="B32" s="13" t="s">
        <v>83</v>
      </c>
      <c r="C32" s="14">
        <v>44970.499305555553</v>
      </c>
      <c r="D32" s="13" t="s">
        <v>84</v>
      </c>
      <c r="E32" s="15" t="s">
        <v>85</v>
      </c>
      <c r="F32" s="13" t="s">
        <v>86</v>
      </c>
      <c r="G32" s="15" t="s">
        <v>87</v>
      </c>
      <c r="H32" s="13" t="s">
        <v>190</v>
      </c>
      <c r="I32" s="15" t="s">
        <v>191</v>
      </c>
      <c r="J32" s="15" t="s">
        <v>192</v>
      </c>
      <c r="K32" s="15" t="s">
        <v>193</v>
      </c>
      <c r="L32" s="13" t="s">
        <v>196</v>
      </c>
      <c r="M32" s="15" t="s">
        <v>197</v>
      </c>
      <c r="N32" s="13" t="s">
        <v>94</v>
      </c>
      <c r="O32" s="15" t="s">
        <v>103</v>
      </c>
      <c r="P32" s="15" t="s">
        <v>104</v>
      </c>
      <c r="Q32" s="15" t="s">
        <v>112</v>
      </c>
      <c r="R32" s="13" t="s">
        <v>113</v>
      </c>
      <c r="S32" s="13" t="s">
        <v>99</v>
      </c>
      <c r="T32" s="13" t="s">
        <v>100</v>
      </c>
      <c r="U32" s="14">
        <v>43831</v>
      </c>
      <c r="V32" s="14"/>
      <c r="W32" s="15"/>
      <c r="X32" s="13"/>
      <c r="Y32" s="15"/>
      <c r="Z32" s="13"/>
      <c r="AA32" s="15"/>
      <c r="AB32" s="13"/>
      <c r="AC32" s="15"/>
      <c r="AD32" s="13"/>
      <c r="AE32" s="15"/>
      <c r="AF32" s="13"/>
      <c r="AG32" s="15"/>
      <c r="AH32" s="13"/>
      <c r="AI32" s="15"/>
      <c r="AJ32" s="13"/>
      <c r="AK32" s="15"/>
      <c r="AL32" s="13"/>
      <c r="AM32" s="15"/>
      <c r="AN32" s="13"/>
      <c r="AO32" s="13"/>
    </row>
    <row r="33" spans="1:41" ht="58" x14ac:dyDescent="0.35">
      <c r="A33" s="13" t="s">
        <v>82</v>
      </c>
      <c r="B33" s="13" t="s">
        <v>83</v>
      </c>
      <c r="C33" s="14">
        <v>44970.495833333334</v>
      </c>
      <c r="D33" s="13" t="s">
        <v>84</v>
      </c>
      <c r="E33" s="15" t="s">
        <v>85</v>
      </c>
      <c r="F33" s="13" t="s">
        <v>86</v>
      </c>
      <c r="G33" s="15" t="s">
        <v>87</v>
      </c>
      <c r="H33" s="13" t="s">
        <v>190</v>
      </c>
      <c r="I33" s="15" t="s">
        <v>191</v>
      </c>
      <c r="J33" s="15" t="s">
        <v>192</v>
      </c>
      <c r="K33" s="15" t="s">
        <v>193</v>
      </c>
      <c r="L33" s="13" t="s">
        <v>198</v>
      </c>
      <c r="M33" s="15" t="s">
        <v>199</v>
      </c>
      <c r="N33" s="13" t="s">
        <v>107</v>
      </c>
      <c r="O33" s="15" t="s">
        <v>108</v>
      </c>
      <c r="P33" s="15" t="s">
        <v>109</v>
      </c>
      <c r="Q33" s="15" t="s">
        <v>112</v>
      </c>
      <c r="R33" s="13" t="s">
        <v>113</v>
      </c>
      <c r="S33" s="13" t="s">
        <v>99</v>
      </c>
      <c r="T33" s="13" t="s">
        <v>100</v>
      </c>
      <c r="U33" s="14">
        <v>43831</v>
      </c>
      <c r="V33" s="14"/>
      <c r="W33" s="15"/>
      <c r="X33" s="13"/>
      <c r="Y33" s="15"/>
      <c r="Z33" s="13"/>
      <c r="AA33" s="15"/>
      <c r="AB33" s="13"/>
      <c r="AC33" s="15"/>
      <c r="AD33" s="13"/>
      <c r="AE33" s="15"/>
      <c r="AF33" s="13"/>
      <c r="AG33" s="15"/>
      <c r="AH33" s="13"/>
      <c r="AI33" s="15"/>
      <c r="AJ33" s="13"/>
      <c r="AK33" s="15"/>
      <c r="AL33" s="13"/>
      <c r="AM33" s="15"/>
      <c r="AN33" s="13"/>
      <c r="AO33" s="13"/>
    </row>
    <row r="34" spans="1:41" ht="72.5" x14ac:dyDescent="0.35">
      <c r="A34" s="13" t="s">
        <v>82</v>
      </c>
      <c r="B34" s="13" t="s">
        <v>83</v>
      </c>
      <c r="C34" s="14">
        <v>44970.495138888888</v>
      </c>
      <c r="D34" s="13" t="s">
        <v>84</v>
      </c>
      <c r="E34" s="15" t="s">
        <v>85</v>
      </c>
      <c r="F34" s="13" t="s">
        <v>86</v>
      </c>
      <c r="G34" s="15" t="s">
        <v>87</v>
      </c>
      <c r="H34" s="13" t="s">
        <v>190</v>
      </c>
      <c r="I34" s="15" t="s">
        <v>191</v>
      </c>
      <c r="J34" s="15" t="s">
        <v>192</v>
      </c>
      <c r="K34" s="15" t="s">
        <v>193</v>
      </c>
      <c r="L34" s="13" t="s">
        <v>194</v>
      </c>
      <c r="M34" s="15" t="s">
        <v>195</v>
      </c>
      <c r="N34" s="13" t="s">
        <v>94</v>
      </c>
      <c r="O34" s="15" t="s">
        <v>95</v>
      </c>
      <c r="P34" s="15" t="s">
        <v>96</v>
      </c>
      <c r="Q34" s="15" t="s">
        <v>114</v>
      </c>
      <c r="R34" s="13" t="s">
        <v>115</v>
      </c>
      <c r="S34" s="13" t="s">
        <v>99</v>
      </c>
      <c r="T34" s="13" t="s">
        <v>100</v>
      </c>
      <c r="U34" s="14">
        <v>43831</v>
      </c>
      <c r="V34" s="14"/>
      <c r="W34" s="15"/>
      <c r="X34" s="13"/>
      <c r="Y34" s="15"/>
      <c r="Z34" s="13"/>
      <c r="AA34" s="15"/>
      <c r="AB34" s="13"/>
      <c r="AC34" s="15"/>
      <c r="AD34" s="13"/>
      <c r="AE34" s="15"/>
      <c r="AF34" s="13"/>
      <c r="AG34" s="15"/>
      <c r="AH34" s="13"/>
      <c r="AI34" s="15"/>
      <c r="AJ34" s="13"/>
      <c r="AK34" s="15"/>
      <c r="AL34" s="13"/>
      <c r="AM34" s="15"/>
      <c r="AN34" s="13"/>
      <c r="AO34" s="13"/>
    </row>
    <row r="35" spans="1:41" ht="72.5" x14ac:dyDescent="0.35">
      <c r="A35" s="13" t="s">
        <v>82</v>
      </c>
      <c r="B35" s="13" t="s">
        <v>83</v>
      </c>
      <c r="C35" s="14">
        <v>44974.558333333334</v>
      </c>
      <c r="D35" s="13" t="s">
        <v>84</v>
      </c>
      <c r="E35" s="15" t="s">
        <v>85</v>
      </c>
      <c r="F35" s="13" t="s">
        <v>86</v>
      </c>
      <c r="G35" s="15" t="s">
        <v>87</v>
      </c>
      <c r="H35" s="13" t="s">
        <v>190</v>
      </c>
      <c r="I35" s="15" t="s">
        <v>191</v>
      </c>
      <c r="J35" s="15" t="s">
        <v>192</v>
      </c>
      <c r="K35" s="15" t="s">
        <v>193</v>
      </c>
      <c r="L35" s="13" t="s">
        <v>196</v>
      </c>
      <c r="M35" s="15" t="s">
        <v>197</v>
      </c>
      <c r="N35" s="13" t="s">
        <v>94</v>
      </c>
      <c r="O35" s="15" t="s">
        <v>103</v>
      </c>
      <c r="P35" s="15" t="s">
        <v>104</v>
      </c>
      <c r="Q35" s="15" t="s">
        <v>114</v>
      </c>
      <c r="R35" s="13" t="s">
        <v>115</v>
      </c>
      <c r="S35" s="13" t="s">
        <v>99</v>
      </c>
      <c r="T35" s="13" t="s">
        <v>100</v>
      </c>
      <c r="U35" s="14">
        <v>43832</v>
      </c>
      <c r="V35" s="14"/>
      <c r="W35" s="15"/>
      <c r="X35" s="13"/>
      <c r="Y35" s="15"/>
      <c r="Z35" s="13"/>
      <c r="AA35" s="15"/>
      <c r="AB35" s="13"/>
      <c r="AC35" s="15"/>
      <c r="AD35" s="13"/>
      <c r="AE35" s="15"/>
      <c r="AF35" s="13"/>
      <c r="AG35" s="15"/>
      <c r="AH35" s="13"/>
      <c r="AI35" s="15"/>
      <c r="AJ35" s="13"/>
      <c r="AK35" s="15"/>
      <c r="AL35" s="13"/>
      <c r="AM35" s="15"/>
      <c r="AN35" s="13"/>
      <c r="AO35" s="13"/>
    </row>
    <row r="36" spans="1:41" ht="58" x14ac:dyDescent="0.35">
      <c r="A36" s="13" t="s">
        <v>82</v>
      </c>
      <c r="B36" s="13" t="s">
        <v>83</v>
      </c>
      <c r="C36" s="14">
        <v>44974.557638888888</v>
      </c>
      <c r="D36" s="13" t="s">
        <v>84</v>
      </c>
      <c r="E36" s="15" t="s">
        <v>85</v>
      </c>
      <c r="F36" s="13" t="s">
        <v>86</v>
      </c>
      <c r="G36" s="15" t="s">
        <v>87</v>
      </c>
      <c r="H36" s="13" t="s">
        <v>190</v>
      </c>
      <c r="I36" s="15" t="s">
        <v>191</v>
      </c>
      <c r="J36" s="15" t="s">
        <v>192</v>
      </c>
      <c r="K36" s="15" t="s">
        <v>193</v>
      </c>
      <c r="L36" s="13" t="s">
        <v>198</v>
      </c>
      <c r="M36" s="15" t="s">
        <v>199</v>
      </c>
      <c r="N36" s="13" t="s">
        <v>107</v>
      </c>
      <c r="O36" s="15" t="s">
        <v>108</v>
      </c>
      <c r="P36" s="15" t="s">
        <v>109</v>
      </c>
      <c r="Q36" s="15" t="s">
        <v>114</v>
      </c>
      <c r="R36" s="13" t="s">
        <v>115</v>
      </c>
      <c r="S36" s="13" t="s">
        <v>99</v>
      </c>
      <c r="T36" s="13" t="s">
        <v>100</v>
      </c>
      <c r="U36" s="14">
        <v>43833</v>
      </c>
      <c r="V36" s="14"/>
      <c r="W36" s="15"/>
      <c r="X36" s="13"/>
      <c r="Y36" s="15"/>
      <c r="Z36" s="13"/>
      <c r="AA36" s="15"/>
      <c r="AB36" s="13"/>
      <c r="AC36" s="15"/>
      <c r="AD36" s="13"/>
      <c r="AE36" s="15"/>
      <c r="AF36" s="13"/>
      <c r="AG36" s="15"/>
      <c r="AH36" s="13"/>
      <c r="AI36" s="15"/>
      <c r="AJ36" s="13"/>
      <c r="AK36" s="15"/>
      <c r="AL36" s="13"/>
      <c r="AM36" s="15"/>
      <c r="AN36" s="13"/>
      <c r="AO36" s="13"/>
    </row>
    <row r="37" spans="1:41" ht="72.5" x14ac:dyDescent="0.35">
      <c r="A37" s="13" t="s">
        <v>82</v>
      </c>
      <c r="B37" s="13" t="s">
        <v>83</v>
      </c>
      <c r="C37" s="14">
        <v>44970.495138888888</v>
      </c>
      <c r="D37" s="13" t="s">
        <v>84</v>
      </c>
      <c r="E37" s="15" t="s">
        <v>85</v>
      </c>
      <c r="F37" s="13" t="s">
        <v>86</v>
      </c>
      <c r="G37" s="15" t="s">
        <v>87</v>
      </c>
      <c r="H37" s="13" t="s">
        <v>190</v>
      </c>
      <c r="I37" s="15" t="s">
        <v>191</v>
      </c>
      <c r="J37" s="15" t="s">
        <v>192</v>
      </c>
      <c r="K37" s="15" t="s">
        <v>193</v>
      </c>
      <c r="L37" s="13" t="s">
        <v>194</v>
      </c>
      <c r="M37" s="15" t="s">
        <v>195</v>
      </c>
      <c r="N37" s="13" t="s">
        <v>94</v>
      </c>
      <c r="O37" s="15" t="s">
        <v>95</v>
      </c>
      <c r="P37" s="15" t="s">
        <v>96</v>
      </c>
      <c r="Q37" s="15" t="s">
        <v>116</v>
      </c>
      <c r="R37" s="13" t="s">
        <v>117</v>
      </c>
      <c r="S37" s="13" t="s">
        <v>99</v>
      </c>
      <c r="T37" s="13" t="s">
        <v>100</v>
      </c>
      <c r="U37" s="14">
        <v>43831</v>
      </c>
      <c r="V37" s="14"/>
      <c r="W37" s="15"/>
      <c r="X37" s="13"/>
      <c r="Y37" s="15"/>
      <c r="Z37" s="13"/>
      <c r="AA37" s="15"/>
      <c r="AB37" s="13"/>
      <c r="AC37" s="15"/>
      <c r="AD37" s="13"/>
      <c r="AE37" s="15"/>
      <c r="AF37" s="13"/>
      <c r="AG37" s="15"/>
      <c r="AH37" s="13"/>
      <c r="AI37" s="15"/>
      <c r="AJ37" s="13"/>
      <c r="AK37" s="15"/>
      <c r="AL37" s="13"/>
      <c r="AM37" s="15"/>
      <c r="AN37" s="13"/>
      <c r="AO37" s="13"/>
    </row>
    <row r="38" spans="1:41" ht="72.5" x14ac:dyDescent="0.35">
      <c r="A38" s="13" t="s">
        <v>82</v>
      </c>
      <c r="B38" s="13" t="s">
        <v>83</v>
      </c>
      <c r="C38" s="14">
        <v>44970.499305555553</v>
      </c>
      <c r="D38" s="13" t="s">
        <v>84</v>
      </c>
      <c r="E38" s="15" t="s">
        <v>85</v>
      </c>
      <c r="F38" s="13" t="s">
        <v>86</v>
      </c>
      <c r="G38" s="15" t="s">
        <v>87</v>
      </c>
      <c r="H38" s="13" t="s">
        <v>190</v>
      </c>
      <c r="I38" s="15" t="s">
        <v>191</v>
      </c>
      <c r="J38" s="15" t="s">
        <v>192</v>
      </c>
      <c r="K38" s="15" t="s">
        <v>193</v>
      </c>
      <c r="L38" s="13" t="s">
        <v>196</v>
      </c>
      <c r="M38" s="15" t="s">
        <v>197</v>
      </c>
      <c r="N38" s="13" t="s">
        <v>94</v>
      </c>
      <c r="O38" s="15" t="s">
        <v>103</v>
      </c>
      <c r="P38" s="15" t="s">
        <v>104</v>
      </c>
      <c r="Q38" s="15" t="s">
        <v>116</v>
      </c>
      <c r="R38" s="13" t="s">
        <v>117</v>
      </c>
      <c r="S38" s="13" t="s">
        <v>99</v>
      </c>
      <c r="T38" s="13" t="s">
        <v>100</v>
      </c>
      <c r="U38" s="14">
        <v>43831</v>
      </c>
      <c r="V38" s="14"/>
      <c r="W38" s="15"/>
      <c r="X38" s="13"/>
      <c r="Y38" s="15"/>
      <c r="Z38" s="13"/>
      <c r="AA38" s="15"/>
      <c r="AB38" s="13"/>
      <c r="AC38" s="15"/>
      <c r="AD38" s="13"/>
      <c r="AE38" s="15"/>
      <c r="AF38" s="13"/>
      <c r="AG38" s="15"/>
      <c r="AH38" s="13"/>
      <c r="AI38" s="15"/>
      <c r="AJ38" s="13"/>
      <c r="AK38" s="15"/>
      <c r="AL38" s="13"/>
      <c r="AM38" s="15"/>
      <c r="AN38" s="13"/>
      <c r="AO38" s="13"/>
    </row>
    <row r="39" spans="1:41" ht="58" x14ac:dyDescent="0.35">
      <c r="A39" s="13" t="s">
        <v>82</v>
      </c>
      <c r="B39" s="13" t="s">
        <v>83</v>
      </c>
      <c r="C39" s="14">
        <v>44970.497916666667</v>
      </c>
      <c r="D39" s="13" t="s">
        <v>84</v>
      </c>
      <c r="E39" s="15" t="s">
        <v>85</v>
      </c>
      <c r="F39" s="13" t="s">
        <v>86</v>
      </c>
      <c r="G39" s="15" t="s">
        <v>87</v>
      </c>
      <c r="H39" s="13" t="s">
        <v>190</v>
      </c>
      <c r="I39" s="15" t="s">
        <v>191</v>
      </c>
      <c r="J39" s="15" t="s">
        <v>192</v>
      </c>
      <c r="K39" s="15" t="s">
        <v>193</v>
      </c>
      <c r="L39" s="13" t="s">
        <v>198</v>
      </c>
      <c r="M39" s="15" t="s">
        <v>199</v>
      </c>
      <c r="N39" s="13" t="s">
        <v>107</v>
      </c>
      <c r="O39" s="15" t="s">
        <v>108</v>
      </c>
      <c r="P39" s="15" t="s">
        <v>109</v>
      </c>
      <c r="Q39" s="15" t="s">
        <v>116</v>
      </c>
      <c r="R39" s="13" t="s">
        <v>117</v>
      </c>
      <c r="S39" s="13" t="s">
        <v>99</v>
      </c>
      <c r="T39" s="13" t="s">
        <v>100</v>
      </c>
      <c r="U39" s="14">
        <v>43831</v>
      </c>
      <c r="V39" s="14"/>
      <c r="W39" s="15"/>
      <c r="X39" s="13"/>
      <c r="Y39" s="15"/>
      <c r="Z39" s="13"/>
      <c r="AA39" s="15"/>
      <c r="AB39" s="13"/>
      <c r="AC39" s="15"/>
      <c r="AD39" s="13"/>
      <c r="AE39" s="15"/>
      <c r="AF39" s="13"/>
      <c r="AG39" s="15"/>
      <c r="AH39" s="13"/>
      <c r="AI39" s="15"/>
      <c r="AJ39" s="13"/>
      <c r="AK39" s="15"/>
      <c r="AL39" s="13"/>
      <c r="AM39" s="15"/>
      <c r="AN39" s="13"/>
      <c r="AO39" s="13"/>
    </row>
    <row r="40" spans="1:41" ht="72.5" x14ac:dyDescent="0.35">
      <c r="A40" s="13" t="s">
        <v>82</v>
      </c>
      <c r="B40" s="13" t="s">
        <v>83</v>
      </c>
      <c r="C40" s="14">
        <v>44970.539583333331</v>
      </c>
      <c r="D40" s="13" t="s">
        <v>84</v>
      </c>
      <c r="E40" s="15" t="s">
        <v>85</v>
      </c>
      <c r="F40" s="13" t="s">
        <v>86</v>
      </c>
      <c r="G40" s="15" t="s">
        <v>87</v>
      </c>
      <c r="H40" s="13" t="s">
        <v>190</v>
      </c>
      <c r="I40" s="15" t="s">
        <v>191</v>
      </c>
      <c r="J40" s="15" t="s">
        <v>192</v>
      </c>
      <c r="K40" s="15" t="s">
        <v>193</v>
      </c>
      <c r="L40" s="13" t="s">
        <v>194</v>
      </c>
      <c r="M40" s="15" t="s">
        <v>195</v>
      </c>
      <c r="N40" s="13" t="s">
        <v>94</v>
      </c>
      <c r="O40" s="15" t="s">
        <v>95</v>
      </c>
      <c r="P40" s="15" t="s">
        <v>96</v>
      </c>
      <c r="Q40" s="15" t="s">
        <v>120</v>
      </c>
      <c r="R40" s="13" t="s">
        <v>121</v>
      </c>
      <c r="S40" s="13" t="s">
        <v>122</v>
      </c>
      <c r="T40" s="13" t="s">
        <v>123</v>
      </c>
      <c r="U40" s="14">
        <v>43831</v>
      </c>
      <c r="V40" s="14">
        <v>44125</v>
      </c>
      <c r="W40" s="15"/>
      <c r="X40" s="13"/>
      <c r="Y40" s="15"/>
      <c r="Z40" s="13"/>
      <c r="AA40" s="15"/>
      <c r="AB40" s="13"/>
      <c r="AC40" s="15"/>
      <c r="AD40" s="13"/>
      <c r="AE40" s="15"/>
      <c r="AF40" s="13"/>
      <c r="AG40" s="15"/>
      <c r="AH40" s="13"/>
      <c r="AI40" s="15"/>
      <c r="AJ40" s="13"/>
      <c r="AK40" s="15"/>
      <c r="AL40" s="13"/>
      <c r="AM40" s="15"/>
      <c r="AN40" s="13"/>
      <c r="AO40" s="13"/>
    </row>
    <row r="41" spans="1:41" ht="130.5" x14ac:dyDescent="0.35">
      <c r="A41" s="13" t="s">
        <v>82</v>
      </c>
      <c r="B41" s="13" t="s">
        <v>83</v>
      </c>
      <c r="C41" s="14">
        <v>44970.668055555558</v>
      </c>
      <c r="D41" s="13" t="s">
        <v>84</v>
      </c>
      <c r="E41" s="15" t="s">
        <v>85</v>
      </c>
      <c r="F41" s="13" t="s">
        <v>86</v>
      </c>
      <c r="G41" s="15" t="s">
        <v>87</v>
      </c>
      <c r="H41" s="13" t="s">
        <v>190</v>
      </c>
      <c r="I41" s="15" t="s">
        <v>191</v>
      </c>
      <c r="J41" s="15" t="s">
        <v>192</v>
      </c>
      <c r="K41" s="15" t="s">
        <v>193</v>
      </c>
      <c r="L41" s="13" t="s">
        <v>194</v>
      </c>
      <c r="M41" s="15" t="s">
        <v>195</v>
      </c>
      <c r="N41" s="13" t="s">
        <v>94</v>
      </c>
      <c r="O41" s="15" t="s">
        <v>95</v>
      </c>
      <c r="P41" s="15" t="s">
        <v>96</v>
      </c>
      <c r="Q41" s="15" t="s">
        <v>120</v>
      </c>
      <c r="R41" s="13" t="s">
        <v>121</v>
      </c>
      <c r="S41" s="13" t="s">
        <v>122</v>
      </c>
      <c r="T41" s="13" t="s">
        <v>123</v>
      </c>
      <c r="U41" s="14">
        <v>44126</v>
      </c>
      <c r="V41" s="14"/>
      <c r="W41" s="15" t="s">
        <v>271</v>
      </c>
      <c r="X41" s="13" t="s">
        <v>260</v>
      </c>
      <c r="Y41" s="15" t="str">
        <f>VLOOKUP(X41,'Axe 2 Règles de gestion'!$D$2:$F$49,3, FALSE)</f>
        <v>Rémunération : Le militaire ne perçoit pas sa rémunération.</v>
      </c>
      <c r="Z41" s="13" t="s">
        <v>262</v>
      </c>
      <c r="AA41" s="15" t="str">
        <f>VLOOKUP(Z41,'Axe 2 Règles de gestion'!$D$2:$F$49,3, FALSE)</f>
        <v>Carrière : La durée du congé est prise en compte dans la durée totale de service du militaire servant en vertu d'un contrat.</v>
      </c>
      <c r="AB41" s="13" t="s">
        <v>272</v>
      </c>
      <c r="AC41" s="15" t="str">
        <f>VLOOKUP(AB41,'Axe 2 Règles de gestion'!$D$2:$F$49,3, FALSE)</f>
        <v>Retraite : Le temps passé dans ce congé entre en compte dans la constitution du droit à pension, dans la limite de 3 ans par enfant né ou adopté.</v>
      </c>
      <c r="AD41" s="13" t="s">
        <v>266</v>
      </c>
      <c r="AE41" s="15" t="str">
        <f>VLOOKUP(AD41,'Axe 2 Règles de gestion'!$D$2:$F$49,3, FALSE)</f>
        <v>Acte : un acte administratif doit être produit.</v>
      </c>
      <c r="AF41" s="13" t="s">
        <v>274</v>
      </c>
      <c r="AG41" s="15" t="str">
        <f>VLOOKUP(AF41,'Axe 2 Règles de gestion'!$D$2:$F$49,3, FALSE)</f>
        <v>Rémunération : Lorsque le militaire souscrit à un engagement à servir dans la réserve opérationnelle, le militaire perçoit une solde au titre de la réserve opérationnelle.</v>
      </c>
      <c r="AH41" s="13" t="s">
        <v>276</v>
      </c>
      <c r="AI41" s="15" t="str">
        <f>VLOOKUP(AH41,'Axe 2 Règles de gestion'!$D$2:$F$49,3, FALSE)</f>
        <v>Carrière : Lorsque le militaire souscrit à un engagement à servir dans la réserve opérationnelle, il recouvre ses droits à l'avancement au prorata du nombre de jours d'activité accomplis sous contrat d'engagement à servir dans la réserve.</v>
      </c>
      <c r="AJ41" s="13" t="s">
        <v>278</v>
      </c>
      <c r="AK41" s="15" t="str">
        <f>VLOOKUP(AJ41,'Axe 2 Règles de gestion'!$D$2:$F$49,3, FALSE)</f>
        <v>Carrière : Lorsque le militaire souscrit à un engagement à servir dans la réserve opérationnelle, le militaire conserve son grade.</v>
      </c>
      <c r="AL41" s="13" t="s">
        <v>280</v>
      </c>
      <c r="AM41" s="15" t="str">
        <f>VLOOKUP(AL41,'Axe 2 Règles de gestion'!$D$2:$F$49,3, FALSE)</f>
        <v>Carrière : Lorsque le militaire souscrit à un engagement à servir dans la réserve opérationnelle, le militaire figure sur la liste d'anciennté de son corps sans avancer au titre de la réserve opérationnelle.</v>
      </c>
      <c r="AN41" s="13"/>
      <c r="AO41" s="13"/>
    </row>
    <row r="42" spans="1:41" ht="72.5" x14ac:dyDescent="0.35">
      <c r="A42" s="13" t="s">
        <v>82</v>
      </c>
      <c r="B42" s="13" t="s">
        <v>83</v>
      </c>
      <c r="C42" s="14">
        <v>44970.645138888889</v>
      </c>
      <c r="D42" s="13" t="s">
        <v>84</v>
      </c>
      <c r="E42" s="15" t="s">
        <v>85</v>
      </c>
      <c r="F42" s="13" t="s">
        <v>86</v>
      </c>
      <c r="G42" s="15" t="s">
        <v>87</v>
      </c>
      <c r="H42" s="13" t="s">
        <v>190</v>
      </c>
      <c r="I42" s="15" t="s">
        <v>191</v>
      </c>
      <c r="J42" s="15" t="s">
        <v>192</v>
      </c>
      <c r="K42" s="15" t="s">
        <v>193</v>
      </c>
      <c r="L42" s="13" t="s">
        <v>196</v>
      </c>
      <c r="M42" s="15" t="s">
        <v>197</v>
      </c>
      <c r="N42" s="13" t="s">
        <v>94</v>
      </c>
      <c r="O42" s="15" t="s">
        <v>103</v>
      </c>
      <c r="P42" s="15" t="s">
        <v>104</v>
      </c>
      <c r="Q42" s="15" t="s">
        <v>120</v>
      </c>
      <c r="R42" s="13" t="s">
        <v>121</v>
      </c>
      <c r="S42" s="13" t="s">
        <v>122</v>
      </c>
      <c r="T42" s="13" t="s">
        <v>123</v>
      </c>
      <c r="U42" s="14">
        <v>43831</v>
      </c>
      <c r="V42" s="14">
        <v>44125</v>
      </c>
      <c r="W42" s="15"/>
      <c r="X42" s="13"/>
      <c r="Y42" s="15"/>
      <c r="Z42" s="13"/>
      <c r="AA42" s="15"/>
      <c r="AB42" s="13"/>
      <c r="AC42" s="15"/>
      <c r="AD42" s="13"/>
      <c r="AE42" s="15"/>
      <c r="AF42" s="13"/>
      <c r="AG42" s="15"/>
      <c r="AH42" s="13"/>
      <c r="AI42" s="15"/>
      <c r="AJ42" s="13"/>
      <c r="AK42" s="15"/>
      <c r="AL42" s="13"/>
      <c r="AM42" s="15"/>
      <c r="AN42" s="13"/>
      <c r="AO42" s="13"/>
    </row>
    <row r="43" spans="1:41" ht="130.5" x14ac:dyDescent="0.35">
      <c r="A43" s="13" t="s">
        <v>82</v>
      </c>
      <c r="B43" s="13" t="s">
        <v>83</v>
      </c>
      <c r="C43" s="14">
        <v>44970.668749999997</v>
      </c>
      <c r="D43" s="13" t="s">
        <v>84</v>
      </c>
      <c r="E43" s="15" t="s">
        <v>85</v>
      </c>
      <c r="F43" s="13" t="s">
        <v>86</v>
      </c>
      <c r="G43" s="15" t="s">
        <v>87</v>
      </c>
      <c r="H43" s="13" t="s">
        <v>190</v>
      </c>
      <c r="I43" s="15" t="s">
        <v>191</v>
      </c>
      <c r="J43" s="15" t="s">
        <v>192</v>
      </c>
      <c r="K43" s="15" t="s">
        <v>193</v>
      </c>
      <c r="L43" s="13" t="s">
        <v>196</v>
      </c>
      <c r="M43" s="15" t="s">
        <v>197</v>
      </c>
      <c r="N43" s="13" t="s">
        <v>94</v>
      </c>
      <c r="O43" s="15" t="s">
        <v>103</v>
      </c>
      <c r="P43" s="15" t="s">
        <v>104</v>
      </c>
      <c r="Q43" s="15" t="s">
        <v>120</v>
      </c>
      <c r="R43" s="13" t="s">
        <v>121</v>
      </c>
      <c r="S43" s="13" t="s">
        <v>122</v>
      </c>
      <c r="T43" s="13" t="s">
        <v>123</v>
      </c>
      <c r="U43" s="14">
        <v>44126</v>
      </c>
      <c r="V43" s="14"/>
      <c r="W43" s="15" t="s">
        <v>271</v>
      </c>
      <c r="X43" s="13" t="s">
        <v>260</v>
      </c>
      <c r="Y43" s="15" t="str">
        <f>VLOOKUP(X43,'Axe 2 Règles de gestion'!$D$2:$F$49,3, FALSE)</f>
        <v>Rémunération : Le militaire ne perçoit pas sa rémunération.</v>
      </c>
      <c r="Z43" s="13" t="s">
        <v>262</v>
      </c>
      <c r="AA43" s="15" t="str">
        <f>VLOOKUP(Z43,'Axe 2 Règles de gestion'!$D$2:$F$49,3, FALSE)</f>
        <v>Carrière : La durée du congé est prise en compte dans la durée totale de service du militaire servant en vertu d'un contrat.</v>
      </c>
      <c r="AB43" s="13" t="s">
        <v>272</v>
      </c>
      <c r="AC43" s="15" t="str">
        <f>VLOOKUP(AB43,'Axe 2 Règles de gestion'!$D$2:$F$49,3, FALSE)</f>
        <v>Retraite : Le temps passé dans ce congé entre en compte dans la constitution du droit à pension, dans la limite de 3 ans par enfant né ou adopté.</v>
      </c>
      <c r="AD43" s="13" t="s">
        <v>266</v>
      </c>
      <c r="AE43" s="15" t="str">
        <f>VLOOKUP(AD43,'Axe 2 Règles de gestion'!$D$2:$F$49,3, FALSE)</f>
        <v>Acte : un acte administratif doit être produit.</v>
      </c>
      <c r="AF43" s="13" t="s">
        <v>274</v>
      </c>
      <c r="AG43" s="15" t="str">
        <f>VLOOKUP(AF43,'Axe 2 Règles de gestion'!$D$2:$F$49,3, FALSE)</f>
        <v>Rémunération : Lorsque le militaire souscrit à un engagement à servir dans la réserve opérationnelle, le militaire perçoit une solde au titre de la réserve opérationnelle.</v>
      </c>
      <c r="AH43" s="13" t="s">
        <v>276</v>
      </c>
      <c r="AI43" s="15" t="str">
        <f>VLOOKUP(AH43,'Axe 2 Règles de gestion'!$D$2:$F$49,3, FALSE)</f>
        <v>Carrière : Lorsque le militaire souscrit à un engagement à servir dans la réserve opérationnelle, il recouvre ses droits à l'avancement au prorata du nombre de jours d'activité accomplis sous contrat d'engagement à servir dans la réserve.</v>
      </c>
      <c r="AJ43" s="13" t="s">
        <v>278</v>
      </c>
      <c r="AK43" s="15" t="str">
        <f>VLOOKUP(AJ43,'Axe 2 Règles de gestion'!$D$2:$F$49,3, FALSE)</f>
        <v>Carrière : Lorsque le militaire souscrit à un engagement à servir dans la réserve opérationnelle, le militaire conserve son grade.</v>
      </c>
      <c r="AL43" s="13" t="s">
        <v>280</v>
      </c>
      <c r="AM43" s="15" t="str">
        <f>VLOOKUP(AL43,'Axe 2 Règles de gestion'!$D$2:$F$49,3, FALSE)</f>
        <v>Carrière : Lorsque le militaire souscrit à un engagement à servir dans la réserve opérationnelle, le militaire figure sur la liste d'anciennté de son corps sans avancer au titre de la réserve opérationnelle.</v>
      </c>
      <c r="AN43" s="13"/>
      <c r="AO43" s="13"/>
    </row>
    <row r="44" spans="1:41" ht="58" x14ac:dyDescent="0.35">
      <c r="A44" s="13" t="s">
        <v>82</v>
      </c>
      <c r="B44" s="13" t="s">
        <v>83</v>
      </c>
      <c r="C44" s="14">
        <v>44970.65625</v>
      </c>
      <c r="D44" s="13" t="s">
        <v>84</v>
      </c>
      <c r="E44" s="15" t="s">
        <v>85</v>
      </c>
      <c r="F44" s="13" t="s">
        <v>86</v>
      </c>
      <c r="G44" s="15" t="s">
        <v>87</v>
      </c>
      <c r="H44" s="13" t="s">
        <v>190</v>
      </c>
      <c r="I44" s="15" t="s">
        <v>191</v>
      </c>
      <c r="J44" s="15" t="s">
        <v>192</v>
      </c>
      <c r="K44" s="15" t="s">
        <v>193</v>
      </c>
      <c r="L44" s="13" t="s">
        <v>198</v>
      </c>
      <c r="M44" s="15" t="s">
        <v>199</v>
      </c>
      <c r="N44" s="13" t="s">
        <v>107</v>
      </c>
      <c r="O44" s="15" t="s">
        <v>108</v>
      </c>
      <c r="P44" s="15" t="s">
        <v>109</v>
      </c>
      <c r="Q44" s="15" t="s">
        <v>120</v>
      </c>
      <c r="R44" s="13" t="s">
        <v>121</v>
      </c>
      <c r="S44" s="13" t="s">
        <v>122</v>
      </c>
      <c r="T44" s="13" t="s">
        <v>123</v>
      </c>
      <c r="U44" s="14">
        <v>43831</v>
      </c>
      <c r="V44" s="14">
        <v>44125</v>
      </c>
      <c r="W44" s="15"/>
      <c r="X44" s="13"/>
      <c r="Y44" s="15"/>
      <c r="Z44" s="13"/>
      <c r="AA44" s="15"/>
      <c r="AB44" s="13"/>
      <c r="AC44" s="15"/>
      <c r="AD44" s="13"/>
      <c r="AE44" s="15"/>
      <c r="AF44" s="13"/>
      <c r="AG44" s="15"/>
      <c r="AH44" s="13"/>
      <c r="AI44" s="15"/>
      <c r="AJ44" s="13"/>
      <c r="AK44" s="15"/>
      <c r="AL44" s="13"/>
      <c r="AM44" s="15"/>
      <c r="AN44" s="13"/>
      <c r="AO44" s="13"/>
    </row>
    <row r="45" spans="1:41" ht="58" x14ac:dyDescent="0.35">
      <c r="A45" s="13" t="s">
        <v>82</v>
      </c>
      <c r="B45" s="13" t="s">
        <v>83</v>
      </c>
      <c r="C45" s="14">
        <v>44970.65625</v>
      </c>
      <c r="D45" s="13" t="s">
        <v>84</v>
      </c>
      <c r="E45" s="15" t="s">
        <v>85</v>
      </c>
      <c r="F45" s="13" t="s">
        <v>86</v>
      </c>
      <c r="G45" s="15" t="s">
        <v>87</v>
      </c>
      <c r="H45" s="13" t="s">
        <v>190</v>
      </c>
      <c r="I45" s="15" t="s">
        <v>191</v>
      </c>
      <c r="J45" s="15" t="s">
        <v>192</v>
      </c>
      <c r="K45" s="15" t="s">
        <v>193</v>
      </c>
      <c r="L45" s="13" t="s">
        <v>198</v>
      </c>
      <c r="M45" s="15" t="s">
        <v>199</v>
      </c>
      <c r="N45" s="13" t="s">
        <v>107</v>
      </c>
      <c r="O45" s="15" t="s">
        <v>108</v>
      </c>
      <c r="P45" s="15" t="s">
        <v>109</v>
      </c>
      <c r="Q45" s="15" t="s">
        <v>120</v>
      </c>
      <c r="R45" s="13" t="s">
        <v>121</v>
      </c>
      <c r="S45" s="13" t="s">
        <v>122</v>
      </c>
      <c r="T45" s="13" t="s">
        <v>123</v>
      </c>
      <c r="U45" s="14">
        <v>44126</v>
      </c>
      <c r="V45" s="14"/>
      <c r="W45" s="15"/>
      <c r="X45" s="13"/>
      <c r="Y45" s="15"/>
      <c r="Z45" s="13"/>
      <c r="AA45" s="15"/>
      <c r="AB45" s="13"/>
      <c r="AC45" s="15"/>
      <c r="AD45" s="13"/>
      <c r="AE45" s="15"/>
      <c r="AF45" s="13"/>
      <c r="AG45" s="15"/>
      <c r="AH45" s="13"/>
      <c r="AI45" s="15"/>
      <c r="AJ45" s="13"/>
      <c r="AK45" s="15"/>
      <c r="AL45" s="13"/>
      <c r="AM45" s="15"/>
      <c r="AN45" s="13"/>
      <c r="AO45" s="13"/>
    </row>
    <row r="46" spans="1:41" ht="72.5" x14ac:dyDescent="0.35">
      <c r="A46" s="13" t="s">
        <v>82</v>
      </c>
      <c r="B46" s="13" t="s">
        <v>83</v>
      </c>
      <c r="C46" s="14">
        <v>44970.643750000003</v>
      </c>
      <c r="D46" s="13" t="s">
        <v>84</v>
      </c>
      <c r="E46" s="15" t="s">
        <v>85</v>
      </c>
      <c r="F46" s="13" t="s">
        <v>86</v>
      </c>
      <c r="G46" s="15" t="s">
        <v>87</v>
      </c>
      <c r="H46" s="13" t="s">
        <v>190</v>
      </c>
      <c r="I46" s="15" t="s">
        <v>191</v>
      </c>
      <c r="J46" s="15" t="s">
        <v>192</v>
      </c>
      <c r="K46" s="15" t="s">
        <v>193</v>
      </c>
      <c r="L46" s="13" t="s">
        <v>194</v>
      </c>
      <c r="M46" s="15" t="s">
        <v>195</v>
      </c>
      <c r="N46" s="13" t="s">
        <v>94</v>
      </c>
      <c r="O46" s="15" t="s">
        <v>95</v>
      </c>
      <c r="P46" s="15" t="s">
        <v>96</v>
      </c>
      <c r="Q46" s="15" t="s">
        <v>178</v>
      </c>
      <c r="R46" s="13" t="s">
        <v>179</v>
      </c>
      <c r="S46" s="13" t="s">
        <v>122</v>
      </c>
      <c r="T46" s="13" t="s">
        <v>123</v>
      </c>
      <c r="U46" s="14">
        <v>43831</v>
      </c>
      <c r="V46" s="14">
        <v>44125</v>
      </c>
      <c r="W46" s="15"/>
      <c r="X46" s="13"/>
      <c r="Y46" s="15"/>
      <c r="Z46" s="13"/>
      <c r="AA46" s="15"/>
      <c r="AB46" s="13"/>
      <c r="AC46" s="15"/>
      <c r="AD46" s="13"/>
      <c r="AE46" s="15"/>
      <c r="AF46" s="13"/>
      <c r="AG46" s="15"/>
      <c r="AH46" s="13"/>
      <c r="AI46" s="15"/>
      <c r="AJ46" s="13"/>
      <c r="AK46" s="15"/>
      <c r="AL46" s="13"/>
      <c r="AM46" s="15"/>
      <c r="AN46" s="13"/>
      <c r="AO46" s="13"/>
    </row>
    <row r="47" spans="1:41" ht="130.5" x14ac:dyDescent="0.35">
      <c r="A47" s="13" t="s">
        <v>82</v>
      </c>
      <c r="B47" s="13" t="s">
        <v>83</v>
      </c>
      <c r="C47" s="14">
        <v>44970.67083333333</v>
      </c>
      <c r="D47" s="13" t="s">
        <v>84</v>
      </c>
      <c r="E47" s="15" t="s">
        <v>85</v>
      </c>
      <c r="F47" s="13" t="s">
        <v>86</v>
      </c>
      <c r="G47" s="15" t="s">
        <v>87</v>
      </c>
      <c r="H47" s="13" t="s">
        <v>190</v>
      </c>
      <c r="I47" s="15" t="s">
        <v>191</v>
      </c>
      <c r="J47" s="15" t="s">
        <v>192</v>
      </c>
      <c r="K47" s="15" t="s">
        <v>193</v>
      </c>
      <c r="L47" s="13" t="s">
        <v>194</v>
      </c>
      <c r="M47" s="15" t="s">
        <v>195</v>
      </c>
      <c r="N47" s="13" t="s">
        <v>94</v>
      </c>
      <c r="O47" s="15" t="s">
        <v>95</v>
      </c>
      <c r="P47" s="15" t="s">
        <v>96</v>
      </c>
      <c r="Q47" s="15" t="s">
        <v>178</v>
      </c>
      <c r="R47" s="13" t="s">
        <v>179</v>
      </c>
      <c r="S47" s="13" t="s">
        <v>122</v>
      </c>
      <c r="T47" s="13" t="s">
        <v>123</v>
      </c>
      <c r="U47" s="14">
        <v>44126</v>
      </c>
      <c r="V47" s="14"/>
      <c r="W47" s="15" t="s">
        <v>282</v>
      </c>
      <c r="X47" s="13" t="s">
        <v>260</v>
      </c>
      <c r="Y47" s="15" t="str">
        <f>VLOOKUP(X47,'Axe 2 Règles de gestion'!$D$2:$F$49,3, FALSE)</f>
        <v>Rémunération : Le militaire ne perçoit pas sa rémunération.</v>
      </c>
      <c r="Z47" s="13" t="s">
        <v>283</v>
      </c>
      <c r="AA47" s="15" t="str">
        <f>VLOOKUP(Z47,'Axe 2 Règles de gestion'!$D$2:$F$49,3, FALSE)</f>
        <v>Carrière : Le militaire conserve l'intégralité de ses droits à avancement, d'échelon et de grade, dans la limite d'une durée de 5 ans pour l'ensemble de sa carrière. La durée du congé est assimilée à des services effectifs dans le corps.</v>
      </c>
      <c r="AB47" s="13" t="s">
        <v>272</v>
      </c>
      <c r="AC47" s="15" t="str">
        <f>VLOOKUP(AB47,'Axe 2 Règles de gestion'!$D$2:$F$49,3, FALSE)</f>
        <v>Retraite : Le temps passé dans ce congé entre en compte dans la constitution du droit à pension, dans la limite de 3 ans par enfant né ou adopté.</v>
      </c>
      <c r="AD47" s="13" t="s">
        <v>266</v>
      </c>
      <c r="AE47" s="15" t="str">
        <f>VLOOKUP(AD47,'Axe 2 Règles de gestion'!$D$2:$F$49,3, FALSE)</f>
        <v>Acte : un acte administratif doit être produit.</v>
      </c>
      <c r="AF47" s="13" t="s">
        <v>274</v>
      </c>
      <c r="AG47" s="15" t="str">
        <f>VLOOKUP(AF47,'Axe 2 Règles de gestion'!$D$2:$F$49,3, FALSE)</f>
        <v>Rémunération : Lorsque le militaire souscrit à un engagement à servir dans la réserve opérationnelle, le militaire perçoit une solde au titre de la réserve opérationnelle.</v>
      </c>
      <c r="AH47" s="13" t="s">
        <v>276</v>
      </c>
      <c r="AI47" s="15" t="str">
        <f>VLOOKUP(AH47,'Axe 2 Règles de gestion'!$D$2:$F$49,3, FALSE)</f>
        <v>Carrière : Lorsque le militaire souscrit à un engagement à servir dans la réserve opérationnelle, il recouvre ses droits à l'avancement au prorata du nombre de jours d'activité accomplis sous contrat d'engagement à servir dans la réserve.</v>
      </c>
      <c r="AJ47" s="13" t="s">
        <v>278</v>
      </c>
      <c r="AK47" s="15" t="str">
        <f>VLOOKUP(AJ47,'Axe 2 Règles de gestion'!$D$2:$F$49,3, FALSE)</f>
        <v>Carrière : Lorsque le militaire souscrit à un engagement à servir dans la réserve opérationnelle, le militaire conserve son grade.</v>
      </c>
      <c r="AL47" s="13" t="s">
        <v>280</v>
      </c>
      <c r="AM47" s="15" t="str">
        <f>VLOOKUP(AL47,'Axe 2 Règles de gestion'!$D$2:$F$49,3, FALSE)</f>
        <v>Carrière : Lorsque le militaire souscrit à un engagement à servir dans la réserve opérationnelle, le militaire figure sur la liste d'anciennté de son corps sans avancer au titre de la réserve opérationnelle.</v>
      </c>
      <c r="AN47" s="13"/>
      <c r="AO47" s="13"/>
    </row>
    <row r="48" spans="1:41" ht="72.5" x14ac:dyDescent="0.35">
      <c r="A48" s="13" t="s">
        <v>82</v>
      </c>
      <c r="B48" s="13" t="s">
        <v>83</v>
      </c>
      <c r="C48" s="14">
        <v>44970.645833333336</v>
      </c>
      <c r="D48" s="13" t="s">
        <v>84</v>
      </c>
      <c r="E48" s="15" t="s">
        <v>85</v>
      </c>
      <c r="F48" s="13" t="s">
        <v>86</v>
      </c>
      <c r="G48" s="15" t="s">
        <v>87</v>
      </c>
      <c r="H48" s="13" t="s">
        <v>190</v>
      </c>
      <c r="I48" s="15" t="s">
        <v>191</v>
      </c>
      <c r="J48" s="15" t="s">
        <v>192</v>
      </c>
      <c r="K48" s="15" t="s">
        <v>193</v>
      </c>
      <c r="L48" s="13" t="s">
        <v>196</v>
      </c>
      <c r="M48" s="15" t="s">
        <v>197</v>
      </c>
      <c r="N48" s="13" t="s">
        <v>94</v>
      </c>
      <c r="O48" s="15" t="s">
        <v>103</v>
      </c>
      <c r="P48" s="15" t="s">
        <v>104</v>
      </c>
      <c r="Q48" s="15" t="s">
        <v>178</v>
      </c>
      <c r="R48" s="13" t="s">
        <v>179</v>
      </c>
      <c r="S48" s="13" t="s">
        <v>122</v>
      </c>
      <c r="T48" s="13" t="s">
        <v>123</v>
      </c>
      <c r="U48" s="14">
        <v>43831</v>
      </c>
      <c r="V48" s="14">
        <v>44125</v>
      </c>
      <c r="W48" s="15"/>
      <c r="X48" s="13"/>
      <c r="Y48" s="15"/>
      <c r="Z48" s="13"/>
      <c r="AA48" s="15"/>
      <c r="AB48" s="13"/>
      <c r="AC48" s="15"/>
      <c r="AD48" s="13"/>
      <c r="AE48" s="15"/>
      <c r="AF48" s="13"/>
      <c r="AG48" s="15"/>
      <c r="AH48" s="13"/>
      <c r="AI48" s="15"/>
      <c r="AJ48" s="13"/>
      <c r="AK48" s="15"/>
      <c r="AL48" s="13"/>
      <c r="AM48" s="15"/>
      <c r="AN48" s="13"/>
      <c r="AO48" s="13"/>
    </row>
    <row r="49" spans="1:41" ht="130.5" x14ac:dyDescent="0.35">
      <c r="A49" s="13" t="s">
        <v>82</v>
      </c>
      <c r="B49" s="13" t="s">
        <v>83</v>
      </c>
      <c r="C49" s="14">
        <v>44970.671527777777</v>
      </c>
      <c r="D49" s="13" t="s">
        <v>84</v>
      </c>
      <c r="E49" s="15" t="s">
        <v>85</v>
      </c>
      <c r="F49" s="13" t="s">
        <v>86</v>
      </c>
      <c r="G49" s="15" t="s">
        <v>87</v>
      </c>
      <c r="H49" s="13" t="s">
        <v>190</v>
      </c>
      <c r="I49" s="15" t="s">
        <v>191</v>
      </c>
      <c r="J49" s="15" t="s">
        <v>192</v>
      </c>
      <c r="K49" s="15" t="s">
        <v>193</v>
      </c>
      <c r="L49" s="13" t="s">
        <v>196</v>
      </c>
      <c r="M49" s="15" t="s">
        <v>197</v>
      </c>
      <c r="N49" s="13" t="s">
        <v>94</v>
      </c>
      <c r="O49" s="15" t="s">
        <v>103</v>
      </c>
      <c r="P49" s="15" t="s">
        <v>104</v>
      </c>
      <c r="Q49" s="15" t="s">
        <v>178</v>
      </c>
      <c r="R49" s="13" t="s">
        <v>179</v>
      </c>
      <c r="S49" s="13" t="s">
        <v>122</v>
      </c>
      <c r="T49" s="13" t="s">
        <v>123</v>
      </c>
      <c r="U49" s="14">
        <v>44126</v>
      </c>
      <c r="V49" s="14"/>
      <c r="W49" s="15" t="s">
        <v>282</v>
      </c>
      <c r="X49" s="13" t="s">
        <v>260</v>
      </c>
      <c r="Y49" s="15" t="str">
        <f>VLOOKUP(X49,'Axe 2 Règles de gestion'!$D$2:$F$49,3, FALSE)</f>
        <v>Rémunération : Le militaire ne perçoit pas sa rémunération.</v>
      </c>
      <c r="Z49" s="13" t="s">
        <v>283</v>
      </c>
      <c r="AA49" s="15" t="str">
        <f>VLOOKUP(Z49,'Axe 2 Règles de gestion'!$D$2:$F$49,3, FALSE)</f>
        <v>Carrière : Le militaire conserve l'intégralité de ses droits à avancement, d'échelon et de grade, dans la limite d'une durée de 5 ans pour l'ensemble de sa carrière. La durée du congé est assimilée à des services effectifs dans le corps.</v>
      </c>
      <c r="AB49" s="13" t="s">
        <v>272</v>
      </c>
      <c r="AC49" s="15" t="str">
        <f>VLOOKUP(AB49,'Axe 2 Règles de gestion'!$D$2:$F$49,3, FALSE)</f>
        <v>Retraite : Le temps passé dans ce congé entre en compte dans la constitution du droit à pension, dans la limite de 3 ans par enfant né ou adopté.</v>
      </c>
      <c r="AD49" s="13" t="s">
        <v>266</v>
      </c>
      <c r="AE49" s="15" t="str">
        <f>VLOOKUP(AD49,'Axe 2 Règles de gestion'!$D$2:$F$49,3, FALSE)</f>
        <v>Acte : un acte administratif doit être produit.</v>
      </c>
      <c r="AF49" s="13" t="s">
        <v>274</v>
      </c>
      <c r="AG49" s="15" t="str">
        <f>VLOOKUP(AF49,'Axe 2 Règles de gestion'!$D$2:$F$49,3, FALSE)</f>
        <v>Rémunération : Lorsque le militaire souscrit à un engagement à servir dans la réserve opérationnelle, le militaire perçoit une solde au titre de la réserve opérationnelle.</v>
      </c>
      <c r="AH49" s="13" t="s">
        <v>276</v>
      </c>
      <c r="AI49" s="15" t="str">
        <f>VLOOKUP(AH49,'Axe 2 Règles de gestion'!$D$2:$F$49,3, FALSE)</f>
        <v>Carrière : Lorsque le militaire souscrit à un engagement à servir dans la réserve opérationnelle, il recouvre ses droits à l'avancement au prorata du nombre de jours d'activité accomplis sous contrat d'engagement à servir dans la réserve.</v>
      </c>
      <c r="AJ49" s="13" t="s">
        <v>278</v>
      </c>
      <c r="AK49" s="15" t="str">
        <f>VLOOKUP(AJ49,'Axe 2 Règles de gestion'!$D$2:$F$49,3, FALSE)</f>
        <v>Carrière : Lorsque le militaire souscrit à un engagement à servir dans la réserve opérationnelle, le militaire conserve son grade.</v>
      </c>
      <c r="AL49" s="13" t="s">
        <v>280</v>
      </c>
      <c r="AM49" s="15" t="str">
        <f>VLOOKUP(AL49,'Axe 2 Règles de gestion'!$D$2:$F$49,3, FALSE)</f>
        <v>Carrière : Lorsque le militaire souscrit à un engagement à servir dans la réserve opérationnelle, le militaire figure sur la liste d'anciennté de son corps sans avancer au titre de la réserve opérationnelle.</v>
      </c>
      <c r="AN49" s="13"/>
      <c r="AO49" s="13"/>
    </row>
    <row r="50" spans="1:41" ht="58" x14ac:dyDescent="0.35">
      <c r="A50" s="13" t="s">
        <v>82</v>
      </c>
      <c r="B50" s="13" t="s">
        <v>83</v>
      </c>
      <c r="C50" s="14">
        <v>44970.65625</v>
      </c>
      <c r="D50" s="13" t="s">
        <v>84</v>
      </c>
      <c r="E50" s="15" t="s">
        <v>85</v>
      </c>
      <c r="F50" s="13" t="s">
        <v>86</v>
      </c>
      <c r="G50" s="15" t="s">
        <v>87</v>
      </c>
      <c r="H50" s="13" t="s">
        <v>190</v>
      </c>
      <c r="I50" s="15" t="s">
        <v>191</v>
      </c>
      <c r="J50" s="15" t="s">
        <v>192</v>
      </c>
      <c r="K50" s="15" t="s">
        <v>193</v>
      </c>
      <c r="L50" s="13" t="s">
        <v>198</v>
      </c>
      <c r="M50" s="15" t="s">
        <v>199</v>
      </c>
      <c r="N50" s="13" t="s">
        <v>107</v>
      </c>
      <c r="O50" s="15" t="s">
        <v>108</v>
      </c>
      <c r="P50" s="15" t="s">
        <v>109</v>
      </c>
      <c r="Q50" s="15" t="s">
        <v>178</v>
      </c>
      <c r="R50" s="13" t="s">
        <v>179</v>
      </c>
      <c r="S50" s="13" t="s">
        <v>122</v>
      </c>
      <c r="T50" s="13" t="s">
        <v>123</v>
      </c>
      <c r="U50" s="14">
        <v>43831</v>
      </c>
      <c r="V50" s="14">
        <v>44125</v>
      </c>
      <c r="W50" s="15"/>
      <c r="X50" s="13"/>
      <c r="Y50" s="15"/>
      <c r="Z50" s="13"/>
      <c r="AA50" s="15"/>
      <c r="AB50" s="13"/>
      <c r="AC50" s="15"/>
      <c r="AD50" s="13"/>
      <c r="AE50" s="15"/>
      <c r="AF50" s="13"/>
      <c r="AG50" s="15"/>
      <c r="AH50" s="13"/>
      <c r="AI50" s="15"/>
      <c r="AJ50" s="13"/>
      <c r="AK50" s="15"/>
      <c r="AL50" s="13"/>
      <c r="AM50" s="15"/>
      <c r="AN50" s="13"/>
      <c r="AO50" s="13"/>
    </row>
    <row r="51" spans="1:41" ht="58" x14ac:dyDescent="0.35">
      <c r="A51" s="13" t="s">
        <v>82</v>
      </c>
      <c r="B51" s="13" t="s">
        <v>83</v>
      </c>
      <c r="C51" s="14">
        <v>44970.65625</v>
      </c>
      <c r="D51" s="13" t="s">
        <v>84</v>
      </c>
      <c r="E51" s="15" t="s">
        <v>85</v>
      </c>
      <c r="F51" s="13" t="s">
        <v>86</v>
      </c>
      <c r="G51" s="15" t="s">
        <v>87</v>
      </c>
      <c r="H51" s="13" t="s">
        <v>190</v>
      </c>
      <c r="I51" s="15" t="s">
        <v>191</v>
      </c>
      <c r="J51" s="15" t="s">
        <v>192</v>
      </c>
      <c r="K51" s="15" t="s">
        <v>193</v>
      </c>
      <c r="L51" s="13" t="s">
        <v>198</v>
      </c>
      <c r="M51" s="15" t="s">
        <v>199</v>
      </c>
      <c r="N51" s="13" t="s">
        <v>107</v>
      </c>
      <c r="O51" s="15" t="s">
        <v>108</v>
      </c>
      <c r="P51" s="15" t="s">
        <v>109</v>
      </c>
      <c r="Q51" s="15" t="s">
        <v>178</v>
      </c>
      <c r="R51" s="13" t="s">
        <v>179</v>
      </c>
      <c r="S51" s="13" t="s">
        <v>122</v>
      </c>
      <c r="T51" s="13" t="s">
        <v>123</v>
      </c>
      <c r="U51" s="14">
        <v>44126</v>
      </c>
      <c r="V51" s="14"/>
      <c r="W51" s="15"/>
      <c r="X51" s="13"/>
      <c r="Y51" s="15"/>
      <c r="Z51" s="13"/>
      <c r="AA51" s="15"/>
      <c r="AB51" s="13"/>
      <c r="AC51" s="15"/>
      <c r="AD51" s="13"/>
      <c r="AE51" s="15"/>
      <c r="AF51" s="13"/>
      <c r="AG51" s="15"/>
      <c r="AH51" s="13"/>
      <c r="AI51" s="15"/>
      <c r="AJ51" s="13"/>
      <c r="AK51" s="15"/>
      <c r="AL51" s="13"/>
      <c r="AM51" s="15"/>
      <c r="AN51" s="13"/>
      <c r="AO51" s="13"/>
    </row>
    <row r="52" spans="1:41" ht="87" x14ac:dyDescent="0.35">
      <c r="A52" s="13" t="s">
        <v>118</v>
      </c>
      <c r="B52" s="13" t="s">
        <v>83</v>
      </c>
      <c r="C52" s="14">
        <v>45428.459722222222</v>
      </c>
      <c r="D52" s="13" t="s">
        <v>84</v>
      </c>
      <c r="E52" s="15" t="s">
        <v>85</v>
      </c>
      <c r="F52" s="13" t="s">
        <v>86</v>
      </c>
      <c r="G52" s="15" t="s">
        <v>87</v>
      </c>
      <c r="H52" s="13" t="s">
        <v>230</v>
      </c>
      <c r="I52" s="15" t="s">
        <v>231</v>
      </c>
      <c r="J52" s="15" t="s">
        <v>232</v>
      </c>
      <c r="K52" s="15" t="s">
        <v>233</v>
      </c>
      <c r="L52" s="13" t="s">
        <v>234</v>
      </c>
      <c r="M52" s="15" t="s">
        <v>235</v>
      </c>
      <c r="N52" s="13" t="s">
        <v>94</v>
      </c>
      <c r="O52" s="15" t="s">
        <v>95</v>
      </c>
      <c r="P52" s="15" t="s">
        <v>96</v>
      </c>
      <c r="Q52" s="15" t="s">
        <v>97</v>
      </c>
      <c r="R52" s="13" t="s">
        <v>98</v>
      </c>
      <c r="S52" s="13" t="s">
        <v>99</v>
      </c>
      <c r="T52" s="13" t="s">
        <v>100</v>
      </c>
      <c r="U52" s="14">
        <v>45124</v>
      </c>
      <c r="V52" s="14"/>
      <c r="W52" s="15"/>
      <c r="X52" s="13"/>
      <c r="Y52" s="15"/>
      <c r="Z52" s="13"/>
      <c r="AA52" s="15"/>
      <c r="AB52" s="13"/>
      <c r="AC52" s="15"/>
      <c r="AD52" s="13"/>
      <c r="AE52" s="15"/>
      <c r="AF52" s="13"/>
      <c r="AG52" s="15"/>
      <c r="AH52" s="13"/>
      <c r="AI52" s="15"/>
      <c r="AJ52" s="13"/>
      <c r="AK52" s="15"/>
      <c r="AL52" s="13"/>
      <c r="AM52" s="15"/>
      <c r="AN52" s="13"/>
      <c r="AO52" s="13"/>
    </row>
    <row r="53" spans="1:41" ht="87" x14ac:dyDescent="0.35">
      <c r="A53" s="13" t="s">
        <v>118</v>
      </c>
      <c r="B53" s="13" t="s">
        <v>83</v>
      </c>
      <c r="C53" s="14">
        <v>45428.466666666667</v>
      </c>
      <c r="D53" s="13" t="s">
        <v>84</v>
      </c>
      <c r="E53" s="15" t="s">
        <v>85</v>
      </c>
      <c r="F53" s="13" t="s">
        <v>86</v>
      </c>
      <c r="G53" s="15" t="s">
        <v>87</v>
      </c>
      <c r="H53" s="13" t="s">
        <v>230</v>
      </c>
      <c r="I53" s="15" t="s">
        <v>231</v>
      </c>
      <c r="J53" s="15" t="s">
        <v>232</v>
      </c>
      <c r="K53" s="15" t="s">
        <v>233</v>
      </c>
      <c r="L53" s="13" t="s">
        <v>236</v>
      </c>
      <c r="M53" s="15" t="s">
        <v>237</v>
      </c>
      <c r="N53" s="13" t="s">
        <v>94</v>
      </c>
      <c r="O53" s="15" t="s">
        <v>103</v>
      </c>
      <c r="P53" s="15" t="s">
        <v>104</v>
      </c>
      <c r="Q53" s="15" t="s">
        <v>97</v>
      </c>
      <c r="R53" s="13" t="s">
        <v>98</v>
      </c>
      <c r="S53" s="13" t="s">
        <v>99</v>
      </c>
      <c r="T53" s="13" t="s">
        <v>100</v>
      </c>
      <c r="U53" s="14">
        <v>45124</v>
      </c>
      <c r="V53" s="14"/>
      <c r="W53" s="15"/>
      <c r="X53" s="13"/>
      <c r="Y53" s="15"/>
      <c r="Z53" s="13"/>
      <c r="AA53" s="15"/>
      <c r="AB53" s="13"/>
      <c r="AC53" s="15"/>
      <c r="AD53" s="13"/>
      <c r="AE53" s="15"/>
      <c r="AF53" s="13"/>
      <c r="AG53" s="15"/>
      <c r="AH53" s="13"/>
      <c r="AI53" s="15"/>
      <c r="AJ53" s="13"/>
      <c r="AK53" s="15"/>
      <c r="AL53" s="13"/>
      <c r="AM53" s="15"/>
      <c r="AN53" s="13"/>
      <c r="AO53" s="13"/>
    </row>
    <row r="54" spans="1:41" ht="87" x14ac:dyDescent="0.35">
      <c r="A54" s="13" t="s">
        <v>118</v>
      </c>
      <c r="B54" s="13" t="s">
        <v>83</v>
      </c>
      <c r="C54" s="14">
        <v>45428.468055555553</v>
      </c>
      <c r="D54" s="13" t="s">
        <v>84</v>
      </c>
      <c r="E54" s="15" t="s">
        <v>85</v>
      </c>
      <c r="F54" s="13" t="s">
        <v>86</v>
      </c>
      <c r="G54" s="15" t="s">
        <v>87</v>
      </c>
      <c r="H54" s="13" t="s">
        <v>230</v>
      </c>
      <c r="I54" s="15" t="s">
        <v>231</v>
      </c>
      <c r="J54" s="15" t="s">
        <v>232</v>
      </c>
      <c r="K54" s="15" t="s">
        <v>233</v>
      </c>
      <c r="L54" s="13" t="s">
        <v>238</v>
      </c>
      <c r="M54" s="15" t="s">
        <v>239</v>
      </c>
      <c r="N54" s="13" t="s">
        <v>107</v>
      </c>
      <c r="O54" s="15" t="s">
        <v>108</v>
      </c>
      <c r="P54" s="15" t="s">
        <v>109</v>
      </c>
      <c r="Q54" s="15" t="s">
        <v>97</v>
      </c>
      <c r="R54" s="13" t="s">
        <v>98</v>
      </c>
      <c r="S54" s="13" t="s">
        <v>99</v>
      </c>
      <c r="T54" s="13" t="s">
        <v>100</v>
      </c>
      <c r="U54" s="14">
        <v>45124</v>
      </c>
      <c r="V54" s="14"/>
      <c r="W54" s="15"/>
      <c r="X54" s="13"/>
      <c r="Y54" s="15"/>
      <c r="Z54" s="13"/>
      <c r="AA54" s="15"/>
      <c r="AB54" s="13"/>
      <c r="AC54" s="15"/>
      <c r="AD54" s="13"/>
      <c r="AE54" s="15"/>
      <c r="AF54" s="13"/>
      <c r="AG54" s="15"/>
      <c r="AH54" s="13"/>
      <c r="AI54" s="15"/>
      <c r="AJ54" s="13"/>
      <c r="AK54" s="15"/>
      <c r="AL54" s="13"/>
      <c r="AM54" s="15"/>
      <c r="AN54" s="13"/>
      <c r="AO54" s="13"/>
    </row>
    <row r="55" spans="1:41" ht="87" x14ac:dyDescent="0.35">
      <c r="A55" s="13" t="s">
        <v>118</v>
      </c>
      <c r="B55" s="13" t="s">
        <v>83</v>
      </c>
      <c r="C55" s="14">
        <v>45428.466666666667</v>
      </c>
      <c r="D55" s="13" t="s">
        <v>84</v>
      </c>
      <c r="E55" s="15" t="s">
        <v>85</v>
      </c>
      <c r="F55" s="13" t="s">
        <v>86</v>
      </c>
      <c r="G55" s="15" t="s">
        <v>87</v>
      </c>
      <c r="H55" s="13" t="s">
        <v>230</v>
      </c>
      <c r="I55" s="15" t="s">
        <v>231</v>
      </c>
      <c r="J55" s="15" t="s">
        <v>232</v>
      </c>
      <c r="K55" s="15" t="s">
        <v>233</v>
      </c>
      <c r="L55" s="13" t="s">
        <v>234</v>
      </c>
      <c r="M55" s="15" t="s">
        <v>235</v>
      </c>
      <c r="N55" s="13" t="s">
        <v>94</v>
      </c>
      <c r="O55" s="15" t="s">
        <v>95</v>
      </c>
      <c r="P55" s="15" t="s">
        <v>96</v>
      </c>
      <c r="Q55" s="15" t="s">
        <v>110</v>
      </c>
      <c r="R55" s="13" t="s">
        <v>111</v>
      </c>
      <c r="S55" s="13" t="s">
        <v>99</v>
      </c>
      <c r="T55" s="13" t="s">
        <v>100</v>
      </c>
      <c r="U55" s="14">
        <v>45124</v>
      </c>
      <c r="V55" s="14"/>
      <c r="W55" s="15"/>
      <c r="X55" s="13"/>
      <c r="Y55" s="15"/>
      <c r="Z55" s="13"/>
      <c r="AA55" s="15"/>
      <c r="AB55" s="13"/>
      <c r="AC55" s="15"/>
      <c r="AD55" s="13"/>
      <c r="AE55" s="15"/>
      <c r="AF55" s="13"/>
      <c r="AG55" s="15"/>
      <c r="AH55" s="13"/>
      <c r="AI55" s="15"/>
      <c r="AJ55" s="13"/>
      <c r="AK55" s="15"/>
      <c r="AL55" s="13"/>
      <c r="AM55" s="15"/>
      <c r="AN55" s="13"/>
      <c r="AO55" s="13"/>
    </row>
    <row r="56" spans="1:41" ht="87" x14ac:dyDescent="0.35">
      <c r="A56" s="13" t="s">
        <v>118</v>
      </c>
      <c r="B56" s="13" t="s">
        <v>83</v>
      </c>
      <c r="C56" s="14">
        <v>45428.468055555553</v>
      </c>
      <c r="D56" s="13" t="s">
        <v>84</v>
      </c>
      <c r="E56" s="15" t="s">
        <v>85</v>
      </c>
      <c r="F56" s="13" t="s">
        <v>86</v>
      </c>
      <c r="G56" s="15" t="s">
        <v>87</v>
      </c>
      <c r="H56" s="13" t="s">
        <v>230</v>
      </c>
      <c r="I56" s="15" t="s">
        <v>231</v>
      </c>
      <c r="J56" s="15" t="s">
        <v>232</v>
      </c>
      <c r="K56" s="15" t="s">
        <v>233</v>
      </c>
      <c r="L56" s="13" t="s">
        <v>236</v>
      </c>
      <c r="M56" s="15" t="s">
        <v>237</v>
      </c>
      <c r="N56" s="13" t="s">
        <v>94</v>
      </c>
      <c r="O56" s="15" t="s">
        <v>103</v>
      </c>
      <c r="P56" s="15" t="s">
        <v>104</v>
      </c>
      <c r="Q56" s="15" t="s">
        <v>110</v>
      </c>
      <c r="R56" s="13" t="s">
        <v>111</v>
      </c>
      <c r="S56" s="13" t="s">
        <v>99</v>
      </c>
      <c r="T56" s="13" t="s">
        <v>100</v>
      </c>
      <c r="U56" s="14">
        <v>45124</v>
      </c>
      <c r="V56" s="14"/>
      <c r="W56" s="15"/>
      <c r="X56" s="13"/>
      <c r="Y56" s="15"/>
      <c r="Z56" s="13"/>
      <c r="AA56" s="15"/>
      <c r="AB56" s="13"/>
      <c r="AC56" s="15"/>
      <c r="AD56" s="13"/>
      <c r="AE56" s="15"/>
      <c r="AF56" s="13"/>
      <c r="AG56" s="15"/>
      <c r="AH56" s="13"/>
      <c r="AI56" s="15"/>
      <c r="AJ56" s="13"/>
      <c r="AK56" s="15"/>
      <c r="AL56" s="13"/>
      <c r="AM56" s="15"/>
      <c r="AN56" s="13"/>
      <c r="AO56" s="13"/>
    </row>
    <row r="57" spans="1:41" ht="87" x14ac:dyDescent="0.35">
      <c r="A57" s="13" t="s">
        <v>118</v>
      </c>
      <c r="B57" s="13" t="s">
        <v>83</v>
      </c>
      <c r="C57" s="14">
        <v>45428.469444444447</v>
      </c>
      <c r="D57" s="13" t="s">
        <v>84</v>
      </c>
      <c r="E57" s="15" t="s">
        <v>85</v>
      </c>
      <c r="F57" s="13" t="s">
        <v>86</v>
      </c>
      <c r="G57" s="15" t="s">
        <v>87</v>
      </c>
      <c r="H57" s="13" t="s">
        <v>230</v>
      </c>
      <c r="I57" s="15" t="s">
        <v>231</v>
      </c>
      <c r="J57" s="15" t="s">
        <v>232</v>
      </c>
      <c r="K57" s="15" t="s">
        <v>233</v>
      </c>
      <c r="L57" s="13" t="s">
        <v>238</v>
      </c>
      <c r="M57" s="15" t="s">
        <v>239</v>
      </c>
      <c r="N57" s="13" t="s">
        <v>107</v>
      </c>
      <c r="O57" s="15" t="s">
        <v>108</v>
      </c>
      <c r="P57" s="15" t="s">
        <v>109</v>
      </c>
      <c r="Q57" s="15" t="s">
        <v>110</v>
      </c>
      <c r="R57" s="13" t="s">
        <v>111</v>
      </c>
      <c r="S57" s="13" t="s">
        <v>99</v>
      </c>
      <c r="T57" s="13" t="s">
        <v>100</v>
      </c>
      <c r="U57" s="14">
        <v>45124</v>
      </c>
      <c r="V57" s="14"/>
      <c r="W57" s="15"/>
      <c r="X57" s="13"/>
      <c r="Y57" s="15"/>
      <c r="Z57" s="13"/>
      <c r="AA57" s="15"/>
      <c r="AB57" s="13"/>
      <c r="AC57" s="15"/>
      <c r="AD57" s="13"/>
      <c r="AE57" s="15"/>
      <c r="AF57" s="13"/>
      <c r="AG57" s="15"/>
      <c r="AH57" s="13"/>
      <c r="AI57" s="15"/>
      <c r="AJ57" s="13"/>
      <c r="AK57" s="15"/>
      <c r="AL57" s="13"/>
      <c r="AM57" s="15"/>
      <c r="AN57" s="13"/>
      <c r="AO57" s="13"/>
    </row>
    <row r="58" spans="1:41" ht="87" x14ac:dyDescent="0.35">
      <c r="A58" s="13" t="s">
        <v>118</v>
      </c>
      <c r="B58" s="13" t="s">
        <v>83</v>
      </c>
      <c r="C58" s="14">
        <v>45428.465277777781</v>
      </c>
      <c r="D58" s="13" t="s">
        <v>84</v>
      </c>
      <c r="E58" s="15" t="s">
        <v>85</v>
      </c>
      <c r="F58" s="13" t="s">
        <v>86</v>
      </c>
      <c r="G58" s="15" t="s">
        <v>87</v>
      </c>
      <c r="H58" s="13" t="s">
        <v>230</v>
      </c>
      <c r="I58" s="15" t="s">
        <v>231</v>
      </c>
      <c r="J58" s="15" t="s">
        <v>232</v>
      </c>
      <c r="K58" s="15" t="s">
        <v>233</v>
      </c>
      <c r="L58" s="13" t="s">
        <v>234</v>
      </c>
      <c r="M58" s="15" t="s">
        <v>235</v>
      </c>
      <c r="N58" s="13" t="s">
        <v>94</v>
      </c>
      <c r="O58" s="15" t="s">
        <v>95</v>
      </c>
      <c r="P58" s="15" t="s">
        <v>96</v>
      </c>
      <c r="Q58" s="15" t="s">
        <v>112</v>
      </c>
      <c r="R58" s="13" t="s">
        <v>113</v>
      </c>
      <c r="S58" s="13" t="s">
        <v>99</v>
      </c>
      <c r="T58" s="13" t="s">
        <v>100</v>
      </c>
      <c r="U58" s="14">
        <v>45124</v>
      </c>
      <c r="V58" s="14"/>
      <c r="W58" s="15"/>
      <c r="X58" s="13"/>
      <c r="Y58" s="15"/>
      <c r="Z58" s="13"/>
      <c r="AA58" s="15"/>
      <c r="AB58" s="13"/>
      <c r="AC58" s="15"/>
      <c r="AD58" s="13"/>
      <c r="AE58" s="15"/>
      <c r="AF58" s="13"/>
      <c r="AG58" s="15"/>
      <c r="AH58" s="13"/>
      <c r="AI58" s="15"/>
      <c r="AJ58" s="13"/>
      <c r="AK58" s="15"/>
      <c r="AL58" s="13"/>
      <c r="AM58" s="15"/>
      <c r="AN58" s="13"/>
      <c r="AO58" s="13"/>
    </row>
    <row r="59" spans="1:41" ht="87" x14ac:dyDescent="0.35">
      <c r="A59" s="13" t="s">
        <v>118</v>
      </c>
      <c r="B59" s="13" t="s">
        <v>83</v>
      </c>
      <c r="C59" s="14">
        <v>45428.467361111114</v>
      </c>
      <c r="D59" s="13" t="s">
        <v>84</v>
      </c>
      <c r="E59" s="15" t="s">
        <v>85</v>
      </c>
      <c r="F59" s="13" t="s">
        <v>86</v>
      </c>
      <c r="G59" s="15" t="s">
        <v>87</v>
      </c>
      <c r="H59" s="13" t="s">
        <v>230</v>
      </c>
      <c r="I59" s="15" t="s">
        <v>231</v>
      </c>
      <c r="J59" s="15" t="s">
        <v>232</v>
      </c>
      <c r="K59" s="15" t="s">
        <v>233</v>
      </c>
      <c r="L59" s="13" t="s">
        <v>236</v>
      </c>
      <c r="M59" s="15" t="s">
        <v>237</v>
      </c>
      <c r="N59" s="13" t="s">
        <v>94</v>
      </c>
      <c r="O59" s="15" t="s">
        <v>103</v>
      </c>
      <c r="P59" s="15" t="s">
        <v>104</v>
      </c>
      <c r="Q59" s="15" t="s">
        <v>112</v>
      </c>
      <c r="R59" s="13" t="s">
        <v>113</v>
      </c>
      <c r="S59" s="13" t="s">
        <v>99</v>
      </c>
      <c r="T59" s="13" t="s">
        <v>100</v>
      </c>
      <c r="U59" s="14">
        <v>45124</v>
      </c>
      <c r="V59" s="14"/>
      <c r="W59" s="15"/>
      <c r="X59" s="13"/>
      <c r="Y59" s="15"/>
      <c r="Z59" s="13"/>
      <c r="AA59" s="15"/>
      <c r="AB59" s="13"/>
      <c r="AC59" s="15"/>
      <c r="AD59" s="13"/>
      <c r="AE59" s="15"/>
      <c r="AF59" s="13"/>
      <c r="AG59" s="15"/>
      <c r="AH59" s="13"/>
      <c r="AI59" s="15"/>
      <c r="AJ59" s="13"/>
      <c r="AK59" s="15"/>
      <c r="AL59" s="13"/>
      <c r="AM59" s="15"/>
      <c r="AN59" s="13"/>
      <c r="AO59" s="13"/>
    </row>
    <row r="60" spans="1:41" ht="87" x14ac:dyDescent="0.35">
      <c r="A60" s="13" t="s">
        <v>118</v>
      </c>
      <c r="B60" s="13" t="s">
        <v>83</v>
      </c>
      <c r="C60" s="14">
        <v>45428.468055555553</v>
      </c>
      <c r="D60" s="13" t="s">
        <v>84</v>
      </c>
      <c r="E60" s="15" t="s">
        <v>85</v>
      </c>
      <c r="F60" s="13" t="s">
        <v>86</v>
      </c>
      <c r="G60" s="15" t="s">
        <v>87</v>
      </c>
      <c r="H60" s="13" t="s">
        <v>230</v>
      </c>
      <c r="I60" s="15" t="s">
        <v>231</v>
      </c>
      <c r="J60" s="15" t="s">
        <v>232</v>
      </c>
      <c r="K60" s="15" t="s">
        <v>233</v>
      </c>
      <c r="L60" s="13" t="s">
        <v>238</v>
      </c>
      <c r="M60" s="15" t="s">
        <v>239</v>
      </c>
      <c r="N60" s="13" t="s">
        <v>107</v>
      </c>
      <c r="O60" s="15" t="s">
        <v>108</v>
      </c>
      <c r="P60" s="15" t="s">
        <v>109</v>
      </c>
      <c r="Q60" s="15" t="s">
        <v>112</v>
      </c>
      <c r="R60" s="13" t="s">
        <v>113</v>
      </c>
      <c r="S60" s="13" t="s">
        <v>99</v>
      </c>
      <c r="T60" s="13" t="s">
        <v>100</v>
      </c>
      <c r="U60" s="14">
        <v>45124</v>
      </c>
      <c r="V60" s="14"/>
      <c r="W60" s="15"/>
      <c r="X60" s="13"/>
      <c r="Y60" s="15"/>
      <c r="Z60" s="13"/>
      <c r="AA60" s="15"/>
      <c r="AB60" s="13"/>
      <c r="AC60" s="15"/>
      <c r="AD60" s="13"/>
      <c r="AE60" s="15"/>
      <c r="AF60" s="13"/>
      <c r="AG60" s="15"/>
      <c r="AH60" s="13"/>
      <c r="AI60" s="15"/>
      <c r="AJ60" s="13"/>
      <c r="AK60" s="15"/>
      <c r="AL60" s="13"/>
      <c r="AM60" s="15"/>
      <c r="AN60" s="13"/>
      <c r="AO60" s="13"/>
    </row>
    <row r="61" spans="1:41" ht="87" x14ac:dyDescent="0.35">
      <c r="A61" s="13" t="s">
        <v>118</v>
      </c>
      <c r="B61" s="13" t="s">
        <v>83</v>
      </c>
      <c r="C61" s="14">
        <v>45428.464583333334</v>
      </c>
      <c r="D61" s="13" t="s">
        <v>84</v>
      </c>
      <c r="E61" s="15" t="s">
        <v>85</v>
      </c>
      <c r="F61" s="13" t="s">
        <v>86</v>
      </c>
      <c r="G61" s="15" t="s">
        <v>87</v>
      </c>
      <c r="H61" s="13" t="s">
        <v>230</v>
      </c>
      <c r="I61" s="15" t="s">
        <v>231</v>
      </c>
      <c r="J61" s="15" t="s">
        <v>232</v>
      </c>
      <c r="K61" s="15" t="s">
        <v>233</v>
      </c>
      <c r="L61" s="13" t="s">
        <v>234</v>
      </c>
      <c r="M61" s="15" t="s">
        <v>235</v>
      </c>
      <c r="N61" s="13" t="s">
        <v>94</v>
      </c>
      <c r="O61" s="15" t="s">
        <v>95</v>
      </c>
      <c r="P61" s="15" t="s">
        <v>96</v>
      </c>
      <c r="Q61" s="15" t="s">
        <v>114</v>
      </c>
      <c r="R61" s="13" t="s">
        <v>115</v>
      </c>
      <c r="S61" s="13" t="s">
        <v>99</v>
      </c>
      <c r="T61" s="13" t="s">
        <v>100</v>
      </c>
      <c r="U61" s="14">
        <v>45124</v>
      </c>
      <c r="V61" s="14"/>
      <c r="W61" s="15"/>
      <c r="X61" s="13"/>
      <c r="Y61" s="15"/>
      <c r="Z61" s="13"/>
      <c r="AA61" s="15"/>
      <c r="AB61" s="13"/>
      <c r="AC61" s="15"/>
      <c r="AD61" s="13"/>
      <c r="AE61" s="15"/>
      <c r="AF61" s="13"/>
      <c r="AG61" s="15"/>
      <c r="AH61" s="13"/>
      <c r="AI61" s="15"/>
      <c r="AJ61" s="13"/>
      <c r="AK61" s="15"/>
      <c r="AL61" s="13"/>
      <c r="AM61" s="15"/>
      <c r="AN61" s="13"/>
      <c r="AO61" s="13"/>
    </row>
    <row r="62" spans="1:41" ht="87" x14ac:dyDescent="0.35">
      <c r="A62" s="13" t="s">
        <v>118</v>
      </c>
      <c r="B62" s="13" t="s">
        <v>83</v>
      </c>
      <c r="C62" s="14">
        <v>45428.467361111114</v>
      </c>
      <c r="D62" s="13" t="s">
        <v>84</v>
      </c>
      <c r="E62" s="15" t="s">
        <v>85</v>
      </c>
      <c r="F62" s="13" t="s">
        <v>86</v>
      </c>
      <c r="G62" s="15" t="s">
        <v>87</v>
      </c>
      <c r="H62" s="13" t="s">
        <v>230</v>
      </c>
      <c r="I62" s="15" t="s">
        <v>231</v>
      </c>
      <c r="J62" s="15" t="s">
        <v>232</v>
      </c>
      <c r="K62" s="15" t="s">
        <v>233</v>
      </c>
      <c r="L62" s="13" t="s">
        <v>236</v>
      </c>
      <c r="M62" s="15" t="s">
        <v>237</v>
      </c>
      <c r="N62" s="13" t="s">
        <v>94</v>
      </c>
      <c r="O62" s="15" t="s">
        <v>103</v>
      </c>
      <c r="P62" s="15" t="s">
        <v>104</v>
      </c>
      <c r="Q62" s="15" t="s">
        <v>114</v>
      </c>
      <c r="R62" s="13" t="s">
        <v>115</v>
      </c>
      <c r="S62" s="13" t="s">
        <v>99</v>
      </c>
      <c r="T62" s="13" t="s">
        <v>100</v>
      </c>
      <c r="U62" s="14">
        <v>45124</v>
      </c>
      <c r="V62" s="14"/>
      <c r="W62" s="15"/>
      <c r="X62" s="13"/>
      <c r="Y62" s="15"/>
      <c r="Z62" s="13"/>
      <c r="AA62" s="15"/>
      <c r="AB62" s="13"/>
      <c r="AC62" s="15"/>
      <c r="AD62" s="13"/>
      <c r="AE62" s="15"/>
      <c r="AF62" s="13"/>
      <c r="AG62" s="15"/>
      <c r="AH62" s="13"/>
      <c r="AI62" s="15"/>
      <c r="AJ62" s="13"/>
      <c r="AK62" s="15"/>
      <c r="AL62" s="13"/>
      <c r="AM62" s="15"/>
      <c r="AN62" s="13"/>
      <c r="AO62" s="13"/>
    </row>
    <row r="63" spans="1:41" ht="87" x14ac:dyDescent="0.35">
      <c r="A63" s="13" t="s">
        <v>118</v>
      </c>
      <c r="B63" s="13" t="s">
        <v>83</v>
      </c>
      <c r="C63" s="14">
        <v>45428.468055555553</v>
      </c>
      <c r="D63" s="13" t="s">
        <v>84</v>
      </c>
      <c r="E63" s="15" t="s">
        <v>85</v>
      </c>
      <c r="F63" s="13" t="s">
        <v>86</v>
      </c>
      <c r="G63" s="15" t="s">
        <v>87</v>
      </c>
      <c r="H63" s="13" t="s">
        <v>230</v>
      </c>
      <c r="I63" s="15" t="s">
        <v>231</v>
      </c>
      <c r="J63" s="15" t="s">
        <v>232</v>
      </c>
      <c r="K63" s="15" t="s">
        <v>233</v>
      </c>
      <c r="L63" s="13" t="s">
        <v>238</v>
      </c>
      <c r="M63" s="15" t="s">
        <v>239</v>
      </c>
      <c r="N63" s="13" t="s">
        <v>107</v>
      </c>
      <c r="O63" s="15" t="s">
        <v>108</v>
      </c>
      <c r="P63" s="15" t="s">
        <v>109</v>
      </c>
      <c r="Q63" s="15" t="s">
        <v>114</v>
      </c>
      <c r="R63" s="13" t="s">
        <v>115</v>
      </c>
      <c r="S63" s="13" t="s">
        <v>99</v>
      </c>
      <c r="T63" s="13" t="s">
        <v>100</v>
      </c>
      <c r="U63" s="14">
        <v>45124</v>
      </c>
      <c r="V63" s="14"/>
      <c r="W63" s="15"/>
      <c r="X63" s="13"/>
      <c r="Y63" s="15"/>
      <c r="Z63" s="13"/>
      <c r="AA63" s="15"/>
      <c r="AB63" s="13"/>
      <c r="AC63" s="15"/>
      <c r="AD63" s="13"/>
      <c r="AE63" s="15"/>
      <c r="AF63" s="13"/>
      <c r="AG63" s="15"/>
      <c r="AH63" s="13"/>
      <c r="AI63" s="15"/>
      <c r="AJ63" s="13"/>
      <c r="AK63" s="15"/>
      <c r="AL63" s="13"/>
      <c r="AM63" s="15"/>
      <c r="AN63" s="13"/>
      <c r="AO63" s="13"/>
    </row>
    <row r="64" spans="1:41" ht="87" x14ac:dyDescent="0.35">
      <c r="A64" s="13" t="s">
        <v>118</v>
      </c>
      <c r="B64" s="13" t="s">
        <v>83</v>
      </c>
      <c r="C64" s="14">
        <v>45428.466666666667</v>
      </c>
      <c r="D64" s="13" t="s">
        <v>84</v>
      </c>
      <c r="E64" s="15" t="s">
        <v>85</v>
      </c>
      <c r="F64" s="13" t="s">
        <v>86</v>
      </c>
      <c r="G64" s="15" t="s">
        <v>87</v>
      </c>
      <c r="H64" s="13" t="s">
        <v>230</v>
      </c>
      <c r="I64" s="15" t="s">
        <v>231</v>
      </c>
      <c r="J64" s="15" t="s">
        <v>232</v>
      </c>
      <c r="K64" s="15" t="s">
        <v>233</v>
      </c>
      <c r="L64" s="13" t="s">
        <v>234</v>
      </c>
      <c r="M64" s="15" t="s">
        <v>235</v>
      </c>
      <c r="N64" s="13" t="s">
        <v>94</v>
      </c>
      <c r="O64" s="15" t="s">
        <v>95</v>
      </c>
      <c r="P64" s="15" t="s">
        <v>96</v>
      </c>
      <c r="Q64" s="15" t="s">
        <v>116</v>
      </c>
      <c r="R64" s="13" t="s">
        <v>117</v>
      </c>
      <c r="S64" s="13" t="s">
        <v>99</v>
      </c>
      <c r="T64" s="13" t="s">
        <v>100</v>
      </c>
      <c r="U64" s="14">
        <v>45124</v>
      </c>
      <c r="V64" s="14"/>
      <c r="W64" s="15"/>
      <c r="X64" s="13"/>
      <c r="Y64" s="15"/>
      <c r="Z64" s="13"/>
      <c r="AA64" s="15"/>
      <c r="AB64" s="13"/>
      <c r="AC64" s="15"/>
      <c r="AD64" s="13"/>
      <c r="AE64" s="15"/>
      <c r="AF64" s="13"/>
      <c r="AG64" s="15"/>
      <c r="AH64" s="13"/>
      <c r="AI64" s="15"/>
      <c r="AJ64" s="13"/>
      <c r="AK64" s="15"/>
      <c r="AL64" s="13"/>
      <c r="AM64" s="15"/>
      <c r="AN64" s="13"/>
      <c r="AO64" s="13"/>
    </row>
    <row r="65" spans="1:41" ht="87" x14ac:dyDescent="0.35">
      <c r="A65" s="13" t="s">
        <v>118</v>
      </c>
      <c r="B65" s="13" t="s">
        <v>83</v>
      </c>
      <c r="C65" s="14">
        <v>45428.467361111114</v>
      </c>
      <c r="D65" s="13" t="s">
        <v>84</v>
      </c>
      <c r="E65" s="15" t="s">
        <v>85</v>
      </c>
      <c r="F65" s="13" t="s">
        <v>86</v>
      </c>
      <c r="G65" s="15" t="s">
        <v>87</v>
      </c>
      <c r="H65" s="13" t="s">
        <v>230</v>
      </c>
      <c r="I65" s="15" t="s">
        <v>231</v>
      </c>
      <c r="J65" s="15" t="s">
        <v>232</v>
      </c>
      <c r="K65" s="15" t="s">
        <v>233</v>
      </c>
      <c r="L65" s="13" t="s">
        <v>236</v>
      </c>
      <c r="M65" s="15" t="s">
        <v>237</v>
      </c>
      <c r="N65" s="13" t="s">
        <v>94</v>
      </c>
      <c r="O65" s="15" t="s">
        <v>103</v>
      </c>
      <c r="P65" s="15" t="s">
        <v>104</v>
      </c>
      <c r="Q65" s="15" t="s">
        <v>116</v>
      </c>
      <c r="R65" s="13" t="s">
        <v>117</v>
      </c>
      <c r="S65" s="13" t="s">
        <v>99</v>
      </c>
      <c r="T65" s="13" t="s">
        <v>100</v>
      </c>
      <c r="U65" s="14">
        <v>45124</v>
      </c>
      <c r="V65" s="14"/>
      <c r="W65" s="15"/>
      <c r="X65" s="13"/>
      <c r="Y65" s="15"/>
      <c r="Z65" s="13"/>
      <c r="AA65" s="15"/>
      <c r="AB65" s="13"/>
      <c r="AC65" s="15"/>
      <c r="AD65" s="13"/>
      <c r="AE65" s="15"/>
      <c r="AF65" s="13"/>
      <c r="AG65" s="15"/>
      <c r="AH65" s="13"/>
      <c r="AI65" s="15"/>
      <c r="AJ65" s="13"/>
      <c r="AK65" s="15"/>
      <c r="AL65" s="13"/>
      <c r="AM65" s="15"/>
      <c r="AN65" s="13"/>
      <c r="AO65" s="13"/>
    </row>
    <row r="66" spans="1:41" ht="87" x14ac:dyDescent="0.35">
      <c r="A66" s="13" t="s">
        <v>118</v>
      </c>
      <c r="B66" s="13" t="s">
        <v>83</v>
      </c>
      <c r="C66" s="14">
        <v>45428.46875</v>
      </c>
      <c r="D66" s="13" t="s">
        <v>84</v>
      </c>
      <c r="E66" s="15" t="s">
        <v>85</v>
      </c>
      <c r="F66" s="13" t="s">
        <v>86</v>
      </c>
      <c r="G66" s="15" t="s">
        <v>87</v>
      </c>
      <c r="H66" s="13" t="s">
        <v>230</v>
      </c>
      <c r="I66" s="15" t="s">
        <v>231</v>
      </c>
      <c r="J66" s="15" t="s">
        <v>232</v>
      </c>
      <c r="K66" s="15" t="s">
        <v>233</v>
      </c>
      <c r="L66" s="13" t="s">
        <v>238</v>
      </c>
      <c r="M66" s="15" t="s">
        <v>239</v>
      </c>
      <c r="N66" s="13" t="s">
        <v>107</v>
      </c>
      <c r="O66" s="15" t="s">
        <v>108</v>
      </c>
      <c r="P66" s="15" t="s">
        <v>109</v>
      </c>
      <c r="Q66" s="15" t="s">
        <v>116</v>
      </c>
      <c r="R66" s="13" t="s">
        <v>117</v>
      </c>
      <c r="S66" s="13" t="s">
        <v>99</v>
      </c>
      <c r="T66" s="13" t="s">
        <v>100</v>
      </c>
      <c r="U66" s="14">
        <v>45124</v>
      </c>
      <c r="V66" s="14"/>
      <c r="W66" s="15"/>
      <c r="X66" s="13"/>
      <c r="Y66" s="15"/>
      <c r="Z66" s="13"/>
      <c r="AA66" s="15"/>
      <c r="AB66" s="13"/>
      <c r="AC66" s="15"/>
      <c r="AD66" s="13"/>
      <c r="AE66" s="15"/>
      <c r="AF66" s="13"/>
      <c r="AG66" s="15"/>
      <c r="AH66" s="13"/>
      <c r="AI66" s="15"/>
      <c r="AJ66" s="13"/>
      <c r="AK66" s="15"/>
      <c r="AL66" s="13"/>
      <c r="AM66" s="15"/>
      <c r="AN66" s="13"/>
      <c r="AO66" s="13"/>
    </row>
    <row r="67" spans="1:41" ht="87" x14ac:dyDescent="0.35">
      <c r="A67" s="13" t="s">
        <v>118</v>
      </c>
      <c r="B67" s="13" t="s">
        <v>83</v>
      </c>
      <c r="C67" s="14">
        <v>45428.456250000003</v>
      </c>
      <c r="D67" s="13" t="s">
        <v>84</v>
      </c>
      <c r="E67" s="15" t="s">
        <v>85</v>
      </c>
      <c r="F67" s="13" t="s">
        <v>86</v>
      </c>
      <c r="G67" s="15" t="s">
        <v>87</v>
      </c>
      <c r="H67" s="13" t="s">
        <v>230</v>
      </c>
      <c r="I67" s="15" t="s">
        <v>231</v>
      </c>
      <c r="J67" s="15" t="s">
        <v>232</v>
      </c>
      <c r="K67" s="15" t="s">
        <v>233</v>
      </c>
      <c r="L67" s="13" t="s">
        <v>234</v>
      </c>
      <c r="M67" s="15" t="s">
        <v>235</v>
      </c>
      <c r="N67" s="13" t="s">
        <v>94</v>
      </c>
      <c r="O67" s="15" t="s">
        <v>95</v>
      </c>
      <c r="P67" s="15" t="s">
        <v>96</v>
      </c>
      <c r="Q67" s="15" t="s">
        <v>120</v>
      </c>
      <c r="R67" s="13" t="s">
        <v>121</v>
      </c>
      <c r="S67" s="13" t="s">
        <v>122</v>
      </c>
      <c r="T67" s="13" t="s">
        <v>123</v>
      </c>
      <c r="U67" s="14">
        <v>45124</v>
      </c>
      <c r="V67" s="14"/>
      <c r="W67" s="15" t="s">
        <v>259</v>
      </c>
      <c r="X67" s="13" t="s">
        <v>260</v>
      </c>
      <c r="Y67" s="15" t="str">
        <f>VLOOKUP(X67,'Axe 2 Règles de gestion'!$D$2:$F$49,3, FALSE)</f>
        <v>Rémunération : Le militaire ne perçoit pas sa rémunération.</v>
      </c>
      <c r="Z67" s="13" t="s">
        <v>262</v>
      </c>
      <c r="AA67" s="15" t="str">
        <f>VLOOKUP(Z67,'Axe 2 Règles de gestion'!$D$2:$F$49,3, FALSE)</f>
        <v>Carrière : La durée du congé est prise en compte dans la durée totale de service du militaire servant en vertu d'un contrat.</v>
      </c>
      <c r="AB67" s="13" t="s">
        <v>264</v>
      </c>
      <c r="AC67" s="15" t="str">
        <f>VLOOKUP(AB67,'Axe 2 Règles de gestion'!$D$2:$F$49,3, FALSE)</f>
        <v>Retraite : La durée du congé ne compte pas pour les droits à pension.</v>
      </c>
      <c r="AD67" s="13" t="s">
        <v>266</v>
      </c>
      <c r="AE67" s="15" t="str">
        <f>VLOOKUP(AD67,'Axe 2 Règles de gestion'!$D$2:$F$49,3, FALSE)</f>
        <v>Acte : un acte administratif doit être produit.</v>
      </c>
      <c r="AF67" s="13"/>
      <c r="AG67" s="15"/>
      <c r="AH67" s="13"/>
      <c r="AI67" s="15"/>
      <c r="AJ67" s="13"/>
      <c r="AK67" s="15"/>
      <c r="AL67" s="13"/>
      <c r="AM67" s="15"/>
      <c r="AN67" s="13"/>
      <c r="AO67" s="13"/>
    </row>
    <row r="68" spans="1:41" ht="87" x14ac:dyDescent="0.35">
      <c r="A68" s="13" t="s">
        <v>118</v>
      </c>
      <c r="B68" s="13" t="s">
        <v>83</v>
      </c>
      <c r="C68" s="14">
        <v>45428.490277777775</v>
      </c>
      <c r="D68" s="13" t="s">
        <v>84</v>
      </c>
      <c r="E68" s="15" t="s">
        <v>85</v>
      </c>
      <c r="F68" s="13" t="s">
        <v>86</v>
      </c>
      <c r="G68" s="15" t="s">
        <v>87</v>
      </c>
      <c r="H68" s="13" t="s">
        <v>230</v>
      </c>
      <c r="I68" s="15" t="s">
        <v>231</v>
      </c>
      <c r="J68" s="15" t="s">
        <v>232</v>
      </c>
      <c r="K68" s="15" t="s">
        <v>233</v>
      </c>
      <c r="L68" s="13" t="s">
        <v>236</v>
      </c>
      <c r="M68" s="15" t="s">
        <v>237</v>
      </c>
      <c r="N68" s="13" t="s">
        <v>94</v>
      </c>
      <c r="O68" s="15" t="s">
        <v>103</v>
      </c>
      <c r="P68" s="15" t="s">
        <v>104</v>
      </c>
      <c r="Q68" s="15" t="s">
        <v>120</v>
      </c>
      <c r="R68" s="13" t="s">
        <v>121</v>
      </c>
      <c r="S68" s="13" t="s">
        <v>122</v>
      </c>
      <c r="T68" s="13" t="s">
        <v>123</v>
      </c>
      <c r="U68" s="14">
        <v>45124</v>
      </c>
      <c r="V68" s="14"/>
      <c r="W68" s="15" t="s">
        <v>259</v>
      </c>
      <c r="X68" s="13" t="s">
        <v>260</v>
      </c>
      <c r="Y68" s="15" t="str">
        <f>VLOOKUP(X68,'Axe 2 Règles de gestion'!$D$2:$F$49,3, FALSE)</f>
        <v>Rémunération : Le militaire ne perçoit pas sa rémunération.</v>
      </c>
      <c r="Z68" s="13" t="s">
        <v>262</v>
      </c>
      <c r="AA68" s="15" t="str">
        <f>VLOOKUP(Z68,'Axe 2 Règles de gestion'!$D$2:$F$49,3, FALSE)</f>
        <v>Carrière : La durée du congé est prise en compte dans la durée totale de service du militaire servant en vertu d'un contrat.</v>
      </c>
      <c r="AB68" s="13" t="s">
        <v>264</v>
      </c>
      <c r="AC68" s="15" t="str">
        <f>VLOOKUP(AB68,'Axe 2 Règles de gestion'!$D$2:$F$49,3, FALSE)</f>
        <v>Retraite : La durée du congé ne compte pas pour les droits à pension.</v>
      </c>
      <c r="AD68" s="13" t="s">
        <v>266</v>
      </c>
      <c r="AE68" s="15" t="str">
        <f>VLOOKUP(AD68,'Axe 2 Règles de gestion'!$D$2:$F$49,3, FALSE)</f>
        <v>Acte : un acte administratif doit être produit.</v>
      </c>
      <c r="AF68" s="13"/>
      <c r="AG68" s="15"/>
      <c r="AH68" s="13"/>
      <c r="AI68" s="15"/>
      <c r="AJ68" s="13"/>
      <c r="AK68" s="15"/>
      <c r="AL68" s="13"/>
      <c r="AM68" s="15"/>
      <c r="AN68" s="13"/>
      <c r="AO68" s="13"/>
    </row>
    <row r="69" spans="1:41" ht="87" x14ac:dyDescent="0.35">
      <c r="A69" s="13" t="s">
        <v>118</v>
      </c>
      <c r="B69" s="13" t="s">
        <v>83</v>
      </c>
      <c r="C69" s="14">
        <v>45428.488888888889</v>
      </c>
      <c r="D69" s="13" t="s">
        <v>84</v>
      </c>
      <c r="E69" s="15" t="s">
        <v>85</v>
      </c>
      <c r="F69" s="13" t="s">
        <v>86</v>
      </c>
      <c r="G69" s="15" t="s">
        <v>87</v>
      </c>
      <c r="H69" s="13" t="s">
        <v>230</v>
      </c>
      <c r="I69" s="15" t="s">
        <v>231</v>
      </c>
      <c r="J69" s="15" t="s">
        <v>232</v>
      </c>
      <c r="K69" s="15" t="s">
        <v>233</v>
      </c>
      <c r="L69" s="13" t="s">
        <v>238</v>
      </c>
      <c r="M69" s="15" t="s">
        <v>239</v>
      </c>
      <c r="N69" s="13" t="s">
        <v>107</v>
      </c>
      <c r="O69" s="15" t="s">
        <v>108</v>
      </c>
      <c r="P69" s="15" t="s">
        <v>109</v>
      </c>
      <c r="Q69" s="15" t="s">
        <v>120</v>
      </c>
      <c r="R69" s="13" t="s">
        <v>121</v>
      </c>
      <c r="S69" s="13" t="s">
        <v>122</v>
      </c>
      <c r="T69" s="13" t="s">
        <v>123</v>
      </c>
      <c r="U69" s="14">
        <v>45124</v>
      </c>
      <c r="V69" s="14"/>
      <c r="W69" s="15"/>
      <c r="X69" s="13"/>
      <c r="Y69" s="15"/>
      <c r="Z69" s="13"/>
      <c r="AA69" s="15"/>
      <c r="AB69" s="13"/>
      <c r="AC69" s="15"/>
      <c r="AD69" s="13"/>
      <c r="AE69" s="15"/>
      <c r="AF69" s="13"/>
      <c r="AG69" s="15"/>
      <c r="AH69" s="13"/>
      <c r="AI69" s="15"/>
      <c r="AJ69" s="13"/>
      <c r="AK69" s="15"/>
      <c r="AL69" s="13"/>
      <c r="AM69" s="15"/>
      <c r="AN69" s="13"/>
      <c r="AO69" s="13"/>
    </row>
    <row r="70" spans="1:41" ht="87" x14ac:dyDescent="0.35">
      <c r="A70" s="13" t="s">
        <v>118</v>
      </c>
      <c r="B70" s="13" t="s">
        <v>83</v>
      </c>
      <c r="C70" s="14">
        <v>45428.458333333336</v>
      </c>
      <c r="D70" s="13" t="s">
        <v>84</v>
      </c>
      <c r="E70" s="15" t="s">
        <v>85</v>
      </c>
      <c r="F70" s="13" t="s">
        <v>86</v>
      </c>
      <c r="G70" s="15" t="s">
        <v>87</v>
      </c>
      <c r="H70" s="13" t="s">
        <v>230</v>
      </c>
      <c r="I70" s="15" t="s">
        <v>231</v>
      </c>
      <c r="J70" s="15" t="s">
        <v>232</v>
      </c>
      <c r="K70" s="15" t="s">
        <v>233</v>
      </c>
      <c r="L70" s="13" t="s">
        <v>234</v>
      </c>
      <c r="M70" s="15" t="s">
        <v>235</v>
      </c>
      <c r="N70" s="13" t="s">
        <v>94</v>
      </c>
      <c r="O70" s="15" t="s">
        <v>95</v>
      </c>
      <c r="P70" s="15" t="s">
        <v>96</v>
      </c>
      <c r="Q70" s="15" t="s">
        <v>178</v>
      </c>
      <c r="R70" s="13" t="s">
        <v>179</v>
      </c>
      <c r="S70" s="13" t="s">
        <v>122</v>
      </c>
      <c r="T70" s="13" t="s">
        <v>123</v>
      </c>
      <c r="U70" s="14">
        <v>45124</v>
      </c>
      <c r="V70" s="14"/>
      <c r="W70" s="15" t="s">
        <v>268</v>
      </c>
      <c r="X70" s="13" t="s">
        <v>260</v>
      </c>
      <c r="Y70" s="15" t="str">
        <f>VLOOKUP(X70,'Axe 2 Règles de gestion'!$D$2:$F$49,3, FALSE)</f>
        <v>Rémunération : Le militaire ne perçoit pas sa rémunération.</v>
      </c>
      <c r="Z70" s="13" t="s">
        <v>269</v>
      </c>
      <c r="AA70" s="15" t="str">
        <f>VLOOKUP(Z70,'Axe 2 Règles de gestion'!$D$2:$F$49,3, FALSE)</f>
        <v>Carrière : La durée du congé ne compte pas pour l'avancement.</v>
      </c>
      <c r="AB70" s="13" t="s">
        <v>264</v>
      </c>
      <c r="AC70" s="15" t="str">
        <f>VLOOKUP(AB70,'Axe 2 Règles de gestion'!$D$2:$F$49,3, FALSE)</f>
        <v>Retraite : La durée du congé ne compte pas pour les droits à pension.</v>
      </c>
      <c r="AD70" s="13" t="s">
        <v>266</v>
      </c>
      <c r="AE70" s="15" t="str">
        <f>VLOOKUP(AD70,'Axe 2 Règles de gestion'!$D$2:$F$49,3, FALSE)</f>
        <v>Acte : un acte administratif doit être produit.</v>
      </c>
      <c r="AF70" s="13"/>
      <c r="AG70" s="15"/>
      <c r="AH70" s="13"/>
      <c r="AI70" s="15"/>
      <c r="AJ70" s="13"/>
      <c r="AK70" s="15"/>
      <c r="AL70" s="13"/>
      <c r="AM70" s="15"/>
      <c r="AN70" s="13"/>
      <c r="AO70" s="13"/>
    </row>
    <row r="71" spans="1:41" ht="87" x14ac:dyDescent="0.35">
      <c r="A71" s="13" t="s">
        <v>118</v>
      </c>
      <c r="B71" s="13" t="s">
        <v>83</v>
      </c>
      <c r="C71" s="14">
        <v>45428.459027777775</v>
      </c>
      <c r="D71" s="13" t="s">
        <v>84</v>
      </c>
      <c r="E71" s="15" t="s">
        <v>85</v>
      </c>
      <c r="F71" s="13" t="s">
        <v>86</v>
      </c>
      <c r="G71" s="15" t="s">
        <v>87</v>
      </c>
      <c r="H71" s="13" t="s">
        <v>230</v>
      </c>
      <c r="I71" s="15" t="s">
        <v>231</v>
      </c>
      <c r="J71" s="15" t="s">
        <v>232</v>
      </c>
      <c r="K71" s="15" t="s">
        <v>233</v>
      </c>
      <c r="L71" s="13" t="s">
        <v>236</v>
      </c>
      <c r="M71" s="15" t="s">
        <v>237</v>
      </c>
      <c r="N71" s="13" t="s">
        <v>94</v>
      </c>
      <c r="O71" s="15" t="s">
        <v>103</v>
      </c>
      <c r="P71" s="15" t="s">
        <v>104</v>
      </c>
      <c r="Q71" s="15" t="s">
        <v>178</v>
      </c>
      <c r="R71" s="13" t="s">
        <v>179</v>
      </c>
      <c r="S71" s="13" t="s">
        <v>122</v>
      </c>
      <c r="T71" s="13" t="s">
        <v>123</v>
      </c>
      <c r="U71" s="14">
        <v>45124</v>
      </c>
      <c r="V71" s="14"/>
      <c r="W71" s="15" t="s">
        <v>268</v>
      </c>
      <c r="X71" s="13" t="s">
        <v>260</v>
      </c>
      <c r="Y71" s="15" t="str">
        <f>VLOOKUP(X71,'Axe 2 Règles de gestion'!$D$2:$F$49,3, FALSE)</f>
        <v>Rémunération : Le militaire ne perçoit pas sa rémunération.</v>
      </c>
      <c r="Z71" s="13" t="s">
        <v>269</v>
      </c>
      <c r="AA71" s="15" t="str">
        <f>VLOOKUP(Z71,'Axe 2 Règles de gestion'!$D$2:$F$49,3, FALSE)</f>
        <v>Carrière : La durée du congé ne compte pas pour l'avancement.</v>
      </c>
      <c r="AB71" s="13" t="s">
        <v>264</v>
      </c>
      <c r="AC71" s="15" t="str">
        <f>VLOOKUP(AB71,'Axe 2 Règles de gestion'!$D$2:$F$49,3, FALSE)</f>
        <v>Retraite : La durée du congé ne compte pas pour les droits à pension.</v>
      </c>
      <c r="AD71" s="13" t="s">
        <v>266</v>
      </c>
      <c r="AE71" s="15" t="str">
        <f>VLOOKUP(AD71,'Axe 2 Règles de gestion'!$D$2:$F$49,3, FALSE)</f>
        <v>Acte : un acte administratif doit être produit.</v>
      </c>
      <c r="AF71" s="13"/>
      <c r="AG71" s="15"/>
      <c r="AH71" s="13"/>
      <c r="AI71" s="15"/>
      <c r="AJ71" s="13"/>
      <c r="AK71" s="15"/>
      <c r="AL71" s="13"/>
      <c r="AM71" s="15"/>
      <c r="AN71" s="13"/>
      <c r="AO71" s="13"/>
    </row>
    <row r="72" spans="1:41" ht="87" x14ac:dyDescent="0.35">
      <c r="A72" s="13" t="s">
        <v>118</v>
      </c>
      <c r="B72" s="13" t="s">
        <v>83</v>
      </c>
      <c r="C72" s="14">
        <v>45428.488888888889</v>
      </c>
      <c r="D72" s="13" t="s">
        <v>84</v>
      </c>
      <c r="E72" s="15" t="s">
        <v>85</v>
      </c>
      <c r="F72" s="13" t="s">
        <v>86</v>
      </c>
      <c r="G72" s="15" t="s">
        <v>87</v>
      </c>
      <c r="H72" s="13" t="s">
        <v>230</v>
      </c>
      <c r="I72" s="15" t="s">
        <v>231</v>
      </c>
      <c r="J72" s="15" t="s">
        <v>232</v>
      </c>
      <c r="K72" s="15" t="s">
        <v>233</v>
      </c>
      <c r="L72" s="13" t="s">
        <v>238</v>
      </c>
      <c r="M72" s="15" t="s">
        <v>239</v>
      </c>
      <c r="N72" s="13" t="s">
        <v>107</v>
      </c>
      <c r="O72" s="15" t="s">
        <v>108</v>
      </c>
      <c r="P72" s="15" t="s">
        <v>109</v>
      </c>
      <c r="Q72" s="15" t="s">
        <v>178</v>
      </c>
      <c r="R72" s="13" t="s">
        <v>179</v>
      </c>
      <c r="S72" s="13" t="s">
        <v>122</v>
      </c>
      <c r="T72" s="13" t="s">
        <v>123</v>
      </c>
      <c r="U72" s="14">
        <v>45124</v>
      </c>
      <c r="V72" s="14"/>
      <c r="W72" s="15"/>
      <c r="X72" s="13"/>
      <c r="Y72" s="15"/>
      <c r="Z72" s="13"/>
      <c r="AA72" s="15"/>
      <c r="AB72" s="13"/>
      <c r="AC72" s="15"/>
      <c r="AD72" s="13"/>
      <c r="AE72" s="15"/>
      <c r="AF72" s="13"/>
      <c r="AG72" s="15"/>
      <c r="AH72" s="13"/>
      <c r="AI72" s="15"/>
      <c r="AJ72" s="13"/>
      <c r="AK72" s="15"/>
      <c r="AL72" s="13"/>
      <c r="AM72" s="15"/>
      <c r="AN72" s="13"/>
      <c r="AO72" s="13"/>
    </row>
    <row r="73" spans="1:41" x14ac:dyDescent="0.35">
      <c r="C73" s="16"/>
      <c r="U73" s="16"/>
      <c r="V73" s="16"/>
    </row>
    <row r="74" spans="1:41" x14ac:dyDescent="0.35">
      <c r="C74" s="16"/>
      <c r="U74" s="16"/>
      <c r="V74" s="16"/>
    </row>
    <row r="75" spans="1:41" x14ac:dyDescent="0.35">
      <c r="C75" s="16"/>
      <c r="U75" s="16"/>
      <c r="V75" s="16"/>
    </row>
    <row r="76" spans="1:41" x14ac:dyDescent="0.35">
      <c r="C76" s="16"/>
      <c r="U76" s="16"/>
      <c r="V76" s="16"/>
    </row>
    <row r="77" spans="1:41" x14ac:dyDescent="0.35">
      <c r="C77" s="16"/>
      <c r="U77" s="16"/>
      <c r="V77" s="16"/>
    </row>
    <row r="78" spans="1:41" x14ac:dyDescent="0.35">
      <c r="C78" s="16"/>
      <c r="U78" s="16"/>
      <c r="V78" s="16"/>
    </row>
    <row r="79" spans="1:41" x14ac:dyDescent="0.35">
      <c r="C79" s="16"/>
      <c r="U79" s="16"/>
      <c r="V79" s="16"/>
    </row>
    <row r="80" spans="1:41" x14ac:dyDescent="0.35">
      <c r="C80" s="16"/>
      <c r="U80" s="16"/>
      <c r="V80" s="16"/>
    </row>
    <row r="81" spans="3:22" x14ac:dyDescent="0.35">
      <c r="C81" s="16"/>
      <c r="U81" s="16"/>
      <c r="V81" s="16"/>
    </row>
    <row r="82" spans="3:22" x14ac:dyDescent="0.35">
      <c r="C82" s="16"/>
      <c r="U82" s="16"/>
      <c r="V82" s="16"/>
    </row>
    <row r="83" spans="3:22" x14ac:dyDescent="0.35">
      <c r="C83" s="16"/>
      <c r="U83" s="16"/>
      <c r="V83" s="16"/>
    </row>
    <row r="84" spans="3:22" x14ac:dyDescent="0.35">
      <c r="C84" s="16"/>
      <c r="U84" s="16"/>
      <c r="V84" s="16"/>
    </row>
    <row r="85" spans="3:22" x14ac:dyDescent="0.35">
      <c r="C85" s="16"/>
      <c r="U85" s="16"/>
      <c r="V85" s="16"/>
    </row>
    <row r="86" spans="3:22" x14ac:dyDescent="0.35">
      <c r="C86" s="16"/>
      <c r="U86" s="16"/>
      <c r="V86" s="16"/>
    </row>
    <row r="87" spans="3:22" x14ac:dyDescent="0.35">
      <c r="C87" s="16"/>
      <c r="U87" s="16"/>
      <c r="V87" s="16"/>
    </row>
    <row r="88" spans="3:22" x14ac:dyDescent="0.35">
      <c r="C88" s="16"/>
      <c r="U88" s="16"/>
      <c r="V88" s="16"/>
    </row>
    <row r="89" spans="3:22" x14ac:dyDescent="0.35">
      <c r="C89" s="16"/>
      <c r="U89" s="16"/>
      <c r="V89" s="16"/>
    </row>
    <row r="90" spans="3:22" x14ac:dyDescent="0.35">
      <c r="C90" s="16"/>
      <c r="U90" s="16"/>
      <c r="V90" s="16"/>
    </row>
    <row r="91" spans="3:22" x14ac:dyDescent="0.35">
      <c r="C91" s="16"/>
      <c r="U91" s="16"/>
      <c r="V91" s="16"/>
    </row>
    <row r="92" spans="3:22" x14ac:dyDescent="0.35">
      <c r="C92" s="16"/>
      <c r="U92" s="16"/>
      <c r="V92" s="16"/>
    </row>
    <row r="93" spans="3:22" x14ac:dyDescent="0.35">
      <c r="C93" s="16"/>
      <c r="U93" s="16"/>
      <c r="V93" s="16"/>
    </row>
    <row r="94" spans="3:22" x14ac:dyDescent="0.35">
      <c r="C94" s="16"/>
      <c r="U94" s="16"/>
      <c r="V94" s="16"/>
    </row>
    <row r="95" spans="3:22" x14ac:dyDescent="0.35">
      <c r="C95" s="16"/>
      <c r="U95" s="16"/>
      <c r="V95" s="16"/>
    </row>
    <row r="96" spans="3:22" x14ac:dyDescent="0.35">
      <c r="C96" s="16"/>
      <c r="U96" s="16"/>
      <c r="V96" s="16"/>
    </row>
    <row r="97" spans="3:22" x14ac:dyDescent="0.35">
      <c r="C97" s="16"/>
      <c r="U97" s="16"/>
      <c r="V97" s="16"/>
    </row>
    <row r="98" spans="3:22" x14ac:dyDescent="0.35">
      <c r="C98" s="16"/>
      <c r="U98" s="16"/>
      <c r="V98" s="16"/>
    </row>
    <row r="99" spans="3:22" x14ac:dyDescent="0.35">
      <c r="C99" s="16"/>
      <c r="U99" s="16"/>
      <c r="V99" s="16"/>
    </row>
    <row r="100" spans="3:22" x14ac:dyDescent="0.35">
      <c r="C100" s="16"/>
      <c r="U100" s="16"/>
      <c r="V100" s="16"/>
    </row>
    <row r="101" spans="3:22" x14ac:dyDescent="0.35">
      <c r="C101" s="16"/>
      <c r="U101" s="16"/>
      <c r="V101" s="16"/>
    </row>
    <row r="102" spans="3:22" x14ac:dyDescent="0.35">
      <c r="C102" s="16"/>
      <c r="U102" s="16"/>
      <c r="V102" s="16"/>
    </row>
    <row r="103" spans="3:22" x14ac:dyDescent="0.35">
      <c r="C103" s="16"/>
      <c r="U103" s="16"/>
      <c r="V103" s="16"/>
    </row>
    <row r="104" spans="3:22" x14ac:dyDescent="0.35">
      <c r="C104" s="16"/>
      <c r="U104" s="16"/>
      <c r="V104" s="16"/>
    </row>
    <row r="105" spans="3:22" x14ac:dyDescent="0.35">
      <c r="C105" s="16"/>
      <c r="U105" s="16"/>
      <c r="V105" s="16"/>
    </row>
    <row r="106" spans="3:22" x14ac:dyDescent="0.35">
      <c r="C106" s="16"/>
      <c r="U106" s="16"/>
      <c r="V106" s="16"/>
    </row>
    <row r="107" spans="3:22" x14ac:dyDescent="0.35">
      <c r="C107" s="16"/>
      <c r="U107" s="16"/>
      <c r="V107" s="16"/>
    </row>
    <row r="108" spans="3:22" x14ac:dyDescent="0.35">
      <c r="C108" s="16"/>
      <c r="U108" s="16"/>
      <c r="V108" s="16"/>
    </row>
    <row r="109" spans="3:22" x14ac:dyDescent="0.35">
      <c r="C109" s="16"/>
      <c r="U109" s="16"/>
      <c r="V109" s="16"/>
    </row>
    <row r="110" spans="3:22" x14ac:dyDescent="0.35">
      <c r="C110" s="16"/>
      <c r="U110" s="16"/>
      <c r="V110" s="16"/>
    </row>
    <row r="111" spans="3:22" x14ac:dyDescent="0.35">
      <c r="C111" s="16"/>
      <c r="U111" s="16"/>
      <c r="V111" s="16"/>
    </row>
    <row r="112" spans="3:22" x14ac:dyDescent="0.35">
      <c r="C112" s="16"/>
      <c r="U112" s="16"/>
      <c r="V112" s="16"/>
    </row>
    <row r="113" spans="3:22" x14ac:dyDescent="0.35">
      <c r="C113" s="16"/>
      <c r="U113" s="16"/>
      <c r="V113" s="16"/>
    </row>
    <row r="114" spans="3:22" x14ac:dyDescent="0.35">
      <c r="C114" s="16"/>
      <c r="U114" s="16"/>
      <c r="V114" s="16"/>
    </row>
    <row r="115" spans="3:22" x14ac:dyDescent="0.35">
      <c r="C115" s="16"/>
      <c r="U115" s="16"/>
      <c r="V115" s="16"/>
    </row>
    <row r="116" spans="3:22" x14ac:dyDescent="0.35">
      <c r="C116" s="16"/>
      <c r="U116" s="16"/>
      <c r="V116" s="16"/>
    </row>
    <row r="117" spans="3:22" x14ac:dyDescent="0.35">
      <c r="C117" s="16"/>
      <c r="U117" s="16"/>
      <c r="V117" s="16"/>
    </row>
    <row r="118" spans="3:22" x14ac:dyDescent="0.35">
      <c r="C118" s="16"/>
      <c r="U118" s="16"/>
      <c r="V118" s="16"/>
    </row>
    <row r="119" spans="3:22" x14ac:dyDescent="0.35">
      <c r="C119" s="16"/>
      <c r="U119" s="16"/>
      <c r="V119" s="16"/>
    </row>
    <row r="120" spans="3:22" x14ac:dyDescent="0.35">
      <c r="C120" s="16"/>
      <c r="U120" s="16"/>
      <c r="V120" s="16"/>
    </row>
    <row r="121" spans="3:22" x14ac:dyDescent="0.35">
      <c r="C121" s="16"/>
      <c r="U121" s="16"/>
      <c r="V121" s="16"/>
    </row>
    <row r="122" spans="3:22" x14ac:dyDescent="0.35">
      <c r="C122" s="16"/>
      <c r="U122" s="16"/>
      <c r="V122" s="16"/>
    </row>
    <row r="123" spans="3:22" x14ac:dyDescent="0.35">
      <c r="C123" s="16"/>
      <c r="U123" s="16"/>
      <c r="V123" s="16"/>
    </row>
    <row r="124" spans="3:22" x14ac:dyDescent="0.35">
      <c r="C124" s="16"/>
      <c r="U124" s="16"/>
      <c r="V124" s="16"/>
    </row>
    <row r="125" spans="3:22" x14ac:dyDescent="0.35">
      <c r="C125" s="16"/>
      <c r="U125" s="16"/>
      <c r="V125" s="16"/>
    </row>
    <row r="126" spans="3:22" x14ac:dyDescent="0.35">
      <c r="C126" s="16"/>
      <c r="U126" s="16"/>
      <c r="V126" s="16"/>
    </row>
    <row r="127" spans="3:22" x14ac:dyDescent="0.35">
      <c r="C127" s="16"/>
      <c r="U127" s="16"/>
      <c r="V127" s="16"/>
    </row>
    <row r="128" spans="3:22" x14ac:dyDescent="0.35">
      <c r="C128" s="16"/>
      <c r="U128" s="16"/>
      <c r="V128" s="16"/>
    </row>
    <row r="129" spans="3:22" x14ac:dyDescent="0.35">
      <c r="C129" s="16"/>
      <c r="U129" s="16"/>
      <c r="V129" s="16"/>
    </row>
    <row r="130" spans="3:22" x14ac:dyDescent="0.35">
      <c r="C130" s="16"/>
      <c r="U130" s="16"/>
      <c r="V130" s="16"/>
    </row>
    <row r="131" spans="3:22" x14ac:dyDescent="0.35">
      <c r="C131" s="16"/>
      <c r="U131" s="16"/>
      <c r="V131" s="16"/>
    </row>
    <row r="132" spans="3:22" x14ac:dyDescent="0.35">
      <c r="C132" s="16"/>
      <c r="U132" s="16"/>
      <c r="V132" s="16"/>
    </row>
    <row r="133" spans="3:22" x14ac:dyDescent="0.35">
      <c r="C133" s="16"/>
      <c r="U133" s="16"/>
      <c r="V133" s="16"/>
    </row>
    <row r="134" spans="3:22" x14ac:dyDescent="0.35">
      <c r="C134" s="16"/>
      <c r="U134" s="16"/>
      <c r="V134" s="16"/>
    </row>
    <row r="135" spans="3:22" x14ac:dyDescent="0.35">
      <c r="C135" s="16"/>
      <c r="U135" s="16"/>
      <c r="V135" s="16"/>
    </row>
    <row r="136" spans="3:22" x14ac:dyDescent="0.35">
      <c r="C136" s="16"/>
      <c r="U136" s="16"/>
      <c r="V136" s="16"/>
    </row>
    <row r="137" spans="3:22" x14ac:dyDescent="0.35">
      <c r="C137" s="16"/>
      <c r="U137" s="16"/>
      <c r="V137" s="16"/>
    </row>
    <row r="138" spans="3:22" x14ac:dyDescent="0.35">
      <c r="C138" s="16"/>
      <c r="U138" s="16"/>
      <c r="V138" s="16"/>
    </row>
    <row r="139" spans="3:22" x14ac:dyDescent="0.35">
      <c r="C139" s="16"/>
      <c r="U139" s="16"/>
      <c r="V139" s="16"/>
    </row>
    <row r="140" spans="3:22" x14ac:dyDescent="0.35">
      <c r="C140" s="16"/>
      <c r="U140" s="16"/>
      <c r="V140" s="16"/>
    </row>
    <row r="141" spans="3:22" x14ac:dyDescent="0.35">
      <c r="C141" s="16"/>
      <c r="U141" s="16"/>
      <c r="V141" s="16"/>
    </row>
    <row r="142" spans="3:22" x14ac:dyDescent="0.35">
      <c r="C142" s="16"/>
      <c r="U142" s="16"/>
      <c r="V142" s="16"/>
    </row>
    <row r="143" spans="3:22" x14ac:dyDescent="0.35">
      <c r="C143" s="16"/>
      <c r="U143" s="16"/>
      <c r="V143" s="16"/>
    </row>
    <row r="144" spans="3:22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  <row r="153" spans="3:22" x14ac:dyDescent="0.35">
      <c r="C153" s="16"/>
      <c r="U153" s="16"/>
      <c r="V153" s="16"/>
    </row>
    <row r="154" spans="3:22" x14ac:dyDescent="0.35">
      <c r="C154" s="16"/>
      <c r="U154" s="16"/>
      <c r="V154" s="16"/>
    </row>
    <row r="155" spans="3:22" x14ac:dyDescent="0.35">
      <c r="C155" s="16"/>
      <c r="U155" s="16"/>
      <c r="V155" s="16"/>
    </row>
    <row r="156" spans="3:22" x14ac:dyDescent="0.35">
      <c r="C156" s="16"/>
      <c r="U156" s="16"/>
      <c r="V156" s="16"/>
    </row>
    <row r="157" spans="3:22" x14ac:dyDescent="0.35">
      <c r="C157" s="16"/>
      <c r="U157" s="16"/>
      <c r="V157" s="16"/>
    </row>
    <row r="158" spans="3:22" x14ac:dyDescent="0.35">
      <c r="C158" s="16"/>
      <c r="U158" s="16"/>
      <c r="V158" s="16"/>
    </row>
    <row r="159" spans="3:22" x14ac:dyDescent="0.35">
      <c r="C159" s="16"/>
      <c r="U159" s="16"/>
      <c r="V159" s="16"/>
    </row>
    <row r="160" spans="3:22" x14ac:dyDescent="0.35">
      <c r="C160" s="16"/>
      <c r="U160" s="16"/>
      <c r="V160" s="16"/>
    </row>
    <row r="161" spans="3:22" x14ac:dyDescent="0.35">
      <c r="C161" s="16"/>
      <c r="U161" s="16"/>
      <c r="V161" s="16"/>
    </row>
    <row r="162" spans="3:22" x14ac:dyDescent="0.35">
      <c r="C162" s="16"/>
      <c r="U162" s="16"/>
      <c r="V162" s="16"/>
    </row>
    <row r="163" spans="3:22" x14ac:dyDescent="0.35">
      <c r="C163" s="16"/>
      <c r="U163" s="16"/>
      <c r="V163" s="16"/>
    </row>
    <row r="164" spans="3:22" x14ac:dyDescent="0.35">
      <c r="C164" s="16"/>
      <c r="U164" s="16"/>
      <c r="V164" s="16"/>
    </row>
    <row r="165" spans="3:22" x14ac:dyDescent="0.35">
      <c r="C165" s="16"/>
      <c r="U165" s="16"/>
      <c r="V165" s="16"/>
    </row>
    <row r="166" spans="3:22" x14ac:dyDescent="0.35">
      <c r="C166" s="16"/>
      <c r="U166" s="16"/>
      <c r="V166" s="16"/>
    </row>
    <row r="167" spans="3:22" x14ac:dyDescent="0.35">
      <c r="C167" s="16"/>
      <c r="U167" s="16"/>
      <c r="V167" s="16"/>
    </row>
    <row r="168" spans="3:22" x14ac:dyDescent="0.35">
      <c r="C168" s="16"/>
      <c r="U168" s="16"/>
      <c r="V168" s="16"/>
    </row>
    <row r="169" spans="3:22" x14ac:dyDescent="0.35">
      <c r="C169" s="16"/>
      <c r="U169" s="16"/>
      <c r="V169" s="16"/>
    </row>
    <row r="170" spans="3:22" x14ac:dyDescent="0.35">
      <c r="C170" s="16"/>
      <c r="U170" s="16"/>
      <c r="V170" s="16"/>
    </row>
    <row r="171" spans="3:22" x14ac:dyDescent="0.35">
      <c r="C171" s="16"/>
      <c r="U171" s="16"/>
      <c r="V171" s="16"/>
    </row>
    <row r="172" spans="3:22" x14ac:dyDescent="0.35">
      <c r="C172" s="16"/>
      <c r="U172" s="16"/>
      <c r="V172" s="16"/>
    </row>
    <row r="173" spans="3:22" x14ac:dyDescent="0.35">
      <c r="C173" s="16"/>
      <c r="U173" s="16"/>
      <c r="V173" s="16"/>
    </row>
    <row r="174" spans="3:22" x14ac:dyDescent="0.35">
      <c r="C174" s="16"/>
      <c r="U174" s="16"/>
      <c r="V174" s="16"/>
    </row>
    <row r="175" spans="3:22" x14ac:dyDescent="0.35">
      <c r="C175" s="16"/>
      <c r="U175" s="16"/>
      <c r="V175" s="16"/>
    </row>
    <row r="176" spans="3:22" x14ac:dyDescent="0.35">
      <c r="C176" s="16"/>
      <c r="U176" s="16"/>
      <c r="V176" s="16"/>
    </row>
    <row r="177" spans="3:22" x14ac:dyDescent="0.35">
      <c r="C177" s="16"/>
      <c r="U177" s="16"/>
      <c r="V177" s="16"/>
    </row>
    <row r="178" spans="3:22" x14ac:dyDescent="0.35">
      <c r="C178" s="16"/>
      <c r="U178" s="16"/>
      <c r="V178" s="16"/>
    </row>
    <row r="179" spans="3:22" x14ac:dyDescent="0.35">
      <c r="C179" s="16"/>
      <c r="U179" s="16"/>
      <c r="V179" s="16"/>
    </row>
    <row r="180" spans="3:22" x14ac:dyDescent="0.35">
      <c r="C180" s="16"/>
      <c r="U180" s="16"/>
      <c r="V180" s="16"/>
    </row>
    <row r="181" spans="3:22" x14ac:dyDescent="0.35">
      <c r="C181" s="16"/>
      <c r="U181" s="16"/>
      <c r="V181" s="16"/>
    </row>
    <row r="182" spans="3:22" x14ac:dyDescent="0.35">
      <c r="C182" s="16"/>
      <c r="U182" s="16"/>
      <c r="V182" s="16"/>
    </row>
    <row r="183" spans="3:22" x14ac:dyDescent="0.35">
      <c r="C183" s="16"/>
      <c r="U183" s="16"/>
      <c r="V183" s="16"/>
    </row>
    <row r="184" spans="3:22" x14ac:dyDescent="0.35">
      <c r="C184" s="16"/>
      <c r="U184" s="16"/>
      <c r="V184" s="16"/>
    </row>
    <row r="185" spans="3:22" x14ac:dyDescent="0.35">
      <c r="C185" s="16"/>
      <c r="U185" s="16"/>
      <c r="V185" s="16"/>
    </row>
    <row r="186" spans="3:22" x14ac:dyDescent="0.35">
      <c r="C186" s="16"/>
      <c r="U186" s="16"/>
      <c r="V186" s="16"/>
    </row>
    <row r="187" spans="3:22" x14ac:dyDescent="0.35">
      <c r="C187" s="16"/>
      <c r="U187" s="16"/>
      <c r="V187" s="16"/>
    </row>
    <row r="188" spans="3:22" x14ac:dyDescent="0.35">
      <c r="C188" s="16"/>
      <c r="U188" s="16"/>
      <c r="V188" s="16"/>
    </row>
    <row r="189" spans="3:22" x14ac:dyDescent="0.35">
      <c r="C189" s="16"/>
      <c r="U189" s="16"/>
      <c r="V189" s="16"/>
    </row>
    <row r="190" spans="3:22" x14ac:dyDescent="0.35">
      <c r="C190" s="16"/>
      <c r="U190" s="16"/>
      <c r="V190" s="16"/>
    </row>
    <row r="191" spans="3:22" x14ac:dyDescent="0.35">
      <c r="C191" s="16"/>
      <c r="U191" s="16"/>
      <c r="V191" s="16"/>
    </row>
    <row r="192" spans="3:22" x14ac:dyDescent="0.35">
      <c r="C192" s="16"/>
      <c r="U192" s="16"/>
      <c r="V192" s="16"/>
    </row>
    <row r="193" spans="3:22" x14ac:dyDescent="0.35">
      <c r="C193" s="16"/>
      <c r="U193" s="16"/>
      <c r="V193" s="16"/>
    </row>
    <row r="194" spans="3:22" x14ac:dyDescent="0.35">
      <c r="C194" s="16"/>
      <c r="U194" s="16"/>
      <c r="V194" s="16"/>
    </row>
    <row r="195" spans="3:22" x14ac:dyDescent="0.35">
      <c r="C195" s="16"/>
      <c r="U195" s="16"/>
      <c r="V195" s="16"/>
    </row>
    <row r="196" spans="3:22" x14ac:dyDescent="0.35">
      <c r="C196" s="16"/>
      <c r="U196" s="16"/>
      <c r="V196" s="16"/>
    </row>
    <row r="197" spans="3:22" x14ac:dyDescent="0.35">
      <c r="C197" s="16"/>
      <c r="U197" s="16"/>
      <c r="V197" s="16"/>
    </row>
    <row r="198" spans="3:22" x14ac:dyDescent="0.35">
      <c r="C198" s="16"/>
      <c r="U198" s="16"/>
      <c r="V198" s="16"/>
    </row>
    <row r="199" spans="3:22" x14ac:dyDescent="0.35">
      <c r="C199" s="16"/>
      <c r="U199" s="16"/>
      <c r="V199" s="16"/>
    </row>
    <row r="200" spans="3:22" x14ac:dyDescent="0.35">
      <c r="C200" s="16"/>
      <c r="U200" s="16"/>
      <c r="V200" s="16"/>
    </row>
    <row r="201" spans="3:22" x14ac:dyDescent="0.35">
      <c r="C201" s="16"/>
      <c r="U201" s="16"/>
      <c r="V201" s="16"/>
    </row>
    <row r="202" spans="3:22" x14ac:dyDescent="0.35">
      <c r="C202" s="16"/>
      <c r="U202" s="16"/>
      <c r="V202" s="16"/>
    </row>
    <row r="203" spans="3:22" x14ac:dyDescent="0.35">
      <c r="C203" s="16"/>
      <c r="U203" s="16"/>
      <c r="V203" s="16"/>
    </row>
    <row r="204" spans="3:22" x14ac:dyDescent="0.35">
      <c r="C204" s="16"/>
      <c r="U204" s="16"/>
      <c r="V204" s="16"/>
    </row>
    <row r="205" spans="3:22" x14ac:dyDescent="0.35">
      <c r="C205" s="16"/>
      <c r="U205" s="16"/>
      <c r="V205" s="16"/>
    </row>
    <row r="206" spans="3:22" x14ac:dyDescent="0.35">
      <c r="C206" s="16"/>
      <c r="U206" s="16"/>
      <c r="V206" s="16"/>
    </row>
    <row r="207" spans="3:22" x14ac:dyDescent="0.35">
      <c r="C207" s="16"/>
      <c r="U207" s="16"/>
      <c r="V207" s="16"/>
    </row>
    <row r="208" spans="3:22" x14ac:dyDescent="0.35">
      <c r="C208" s="16"/>
      <c r="U208" s="16"/>
      <c r="V208" s="16"/>
    </row>
    <row r="209" spans="3:22" x14ac:dyDescent="0.35">
      <c r="C209" s="16"/>
      <c r="U209" s="16"/>
      <c r="V209" s="16"/>
    </row>
    <row r="210" spans="3:22" x14ac:dyDescent="0.35">
      <c r="C210" s="16"/>
      <c r="U210" s="16"/>
      <c r="V210" s="16"/>
    </row>
    <row r="211" spans="3:22" x14ac:dyDescent="0.35">
      <c r="C211" s="16"/>
      <c r="U211" s="16"/>
      <c r="V211" s="16"/>
    </row>
    <row r="212" spans="3:22" x14ac:dyDescent="0.35">
      <c r="C212" s="16"/>
      <c r="U212" s="16"/>
      <c r="V212" s="16"/>
    </row>
    <row r="213" spans="3:22" x14ac:dyDescent="0.35">
      <c r="C213" s="16"/>
      <c r="U213" s="16"/>
      <c r="V213" s="16"/>
    </row>
    <row r="214" spans="3:22" x14ac:dyDescent="0.35">
      <c r="C214" s="16"/>
      <c r="U214" s="16"/>
      <c r="V214" s="16"/>
    </row>
    <row r="215" spans="3:22" x14ac:dyDescent="0.35">
      <c r="C215" s="16"/>
      <c r="U215" s="16"/>
      <c r="V215" s="16"/>
    </row>
    <row r="216" spans="3:22" x14ac:dyDescent="0.35">
      <c r="C216" s="16"/>
      <c r="U216" s="16"/>
      <c r="V216" s="16"/>
    </row>
    <row r="217" spans="3:22" x14ac:dyDescent="0.35">
      <c r="C217" s="16"/>
      <c r="U217" s="16"/>
      <c r="V217" s="16"/>
    </row>
    <row r="218" spans="3:22" x14ac:dyDescent="0.35">
      <c r="C218" s="16"/>
      <c r="U218" s="16"/>
      <c r="V218" s="16"/>
    </row>
    <row r="219" spans="3:22" x14ac:dyDescent="0.35">
      <c r="C219" s="16"/>
      <c r="U219" s="16"/>
      <c r="V219" s="16"/>
    </row>
    <row r="220" spans="3:22" x14ac:dyDescent="0.35">
      <c r="C220" s="16"/>
      <c r="U220" s="16"/>
      <c r="V220" s="16"/>
    </row>
    <row r="221" spans="3:22" x14ac:dyDescent="0.35">
      <c r="C221" s="16"/>
      <c r="U221" s="16"/>
      <c r="V221" s="16"/>
    </row>
    <row r="222" spans="3:22" x14ac:dyDescent="0.35">
      <c r="C222" s="16"/>
      <c r="U222" s="16"/>
      <c r="V222" s="16"/>
    </row>
    <row r="223" spans="3:22" x14ac:dyDescent="0.35">
      <c r="C223" s="16"/>
      <c r="U223" s="16"/>
      <c r="V223" s="16"/>
    </row>
    <row r="224" spans="3:22" x14ac:dyDescent="0.35">
      <c r="C224" s="16"/>
      <c r="U224" s="16"/>
      <c r="V224" s="16"/>
    </row>
    <row r="225" spans="3:22" x14ac:dyDescent="0.35">
      <c r="C225" s="16"/>
      <c r="U225" s="16"/>
      <c r="V225" s="16"/>
    </row>
    <row r="226" spans="3:22" x14ac:dyDescent="0.35">
      <c r="C226" s="16"/>
      <c r="U226" s="16"/>
      <c r="V226" s="16"/>
    </row>
    <row r="227" spans="3:22" x14ac:dyDescent="0.35">
      <c r="C227" s="16"/>
      <c r="U227" s="16"/>
      <c r="V227" s="16"/>
    </row>
    <row r="228" spans="3:22" x14ac:dyDescent="0.35">
      <c r="C228" s="16"/>
      <c r="U228" s="16"/>
      <c r="V228" s="16"/>
    </row>
    <row r="229" spans="3:22" x14ac:dyDescent="0.35">
      <c r="C229" s="16"/>
      <c r="U229" s="16"/>
      <c r="V229" s="16"/>
    </row>
    <row r="230" spans="3:22" x14ac:dyDescent="0.35">
      <c r="C230" s="16"/>
      <c r="U230" s="16"/>
      <c r="V230" s="16"/>
    </row>
    <row r="231" spans="3:22" x14ac:dyDescent="0.35">
      <c r="C231" s="16"/>
      <c r="U231" s="16"/>
      <c r="V231" s="16"/>
    </row>
    <row r="232" spans="3:22" x14ac:dyDescent="0.35">
      <c r="C232" s="16"/>
      <c r="U232" s="16"/>
      <c r="V232" s="16"/>
    </row>
    <row r="233" spans="3:22" x14ac:dyDescent="0.35">
      <c r="C233" s="16"/>
      <c r="U233" s="16"/>
      <c r="V233" s="16"/>
    </row>
    <row r="234" spans="3:22" x14ac:dyDescent="0.35">
      <c r="C234" s="16"/>
      <c r="U234" s="16"/>
      <c r="V234" s="16"/>
    </row>
    <row r="235" spans="3:22" x14ac:dyDescent="0.35">
      <c r="C235" s="16"/>
      <c r="U235" s="16"/>
      <c r="V235" s="16"/>
    </row>
    <row r="236" spans="3:22" x14ac:dyDescent="0.35">
      <c r="C236" s="16"/>
      <c r="U236" s="16"/>
      <c r="V236" s="16"/>
    </row>
    <row r="237" spans="3:22" x14ac:dyDescent="0.35">
      <c r="C237" s="16"/>
      <c r="U237" s="16"/>
      <c r="V237" s="16"/>
    </row>
    <row r="238" spans="3:22" x14ac:dyDescent="0.35">
      <c r="C238" s="16"/>
      <c r="U238" s="16"/>
      <c r="V238" s="16"/>
    </row>
    <row r="239" spans="3:22" x14ac:dyDescent="0.35">
      <c r="C239" s="16"/>
      <c r="U239" s="16"/>
      <c r="V239" s="16"/>
    </row>
    <row r="240" spans="3:22" x14ac:dyDescent="0.35">
      <c r="C240" s="16"/>
      <c r="U240" s="16"/>
      <c r="V240" s="16"/>
    </row>
    <row r="241" spans="3:22" x14ac:dyDescent="0.35">
      <c r="C241" s="16"/>
      <c r="U241" s="16"/>
      <c r="V241" s="16"/>
    </row>
    <row r="242" spans="3:22" x14ac:dyDescent="0.35">
      <c r="C242" s="16"/>
      <c r="U242" s="16"/>
      <c r="V242" s="16"/>
    </row>
    <row r="243" spans="3:22" x14ac:dyDescent="0.35">
      <c r="C243" s="16"/>
      <c r="U243" s="16"/>
      <c r="V243" s="16"/>
    </row>
    <row r="244" spans="3:22" x14ac:dyDescent="0.35">
      <c r="C244" s="16"/>
      <c r="U244" s="16"/>
      <c r="V244" s="16"/>
    </row>
    <row r="245" spans="3:22" x14ac:dyDescent="0.35">
      <c r="C245" s="16"/>
      <c r="U245" s="16"/>
      <c r="V245" s="16"/>
    </row>
    <row r="246" spans="3:22" x14ac:dyDescent="0.35">
      <c r="C246" s="16"/>
      <c r="U246" s="16"/>
      <c r="V246" s="16"/>
    </row>
    <row r="247" spans="3:22" x14ac:dyDescent="0.35">
      <c r="C247" s="16"/>
      <c r="U247" s="16"/>
      <c r="V247" s="16"/>
    </row>
    <row r="248" spans="3:22" x14ac:dyDescent="0.35">
      <c r="C248" s="16"/>
      <c r="U248" s="16"/>
      <c r="V248" s="16"/>
    </row>
    <row r="249" spans="3:22" x14ac:dyDescent="0.35">
      <c r="C249" s="16"/>
      <c r="U249" s="16"/>
      <c r="V249" s="16"/>
    </row>
    <row r="250" spans="3:22" x14ac:dyDescent="0.35">
      <c r="C250" s="16"/>
      <c r="U250" s="16"/>
      <c r="V250" s="16"/>
    </row>
    <row r="251" spans="3:22" x14ac:dyDescent="0.35">
      <c r="C251" s="16"/>
      <c r="U251" s="16"/>
      <c r="V251" s="16"/>
    </row>
    <row r="252" spans="3:22" x14ac:dyDescent="0.35">
      <c r="C252" s="16"/>
      <c r="U252" s="16"/>
      <c r="V252" s="16"/>
    </row>
    <row r="253" spans="3:22" x14ac:dyDescent="0.35">
      <c r="C253" s="16"/>
      <c r="U253" s="16"/>
      <c r="V253" s="16"/>
    </row>
    <row r="254" spans="3:22" x14ac:dyDescent="0.35">
      <c r="C254" s="16"/>
      <c r="U254" s="16"/>
      <c r="V254" s="16"/>
    </row>
    <row r="255" spans="3:22" x14ac:dyDescent="0.35">
      <c r="C255" s="16"/>
      <c r="U255" s="16"/>
      <c r="V255" s="16"/>
    </row>
    <row r="256" spans="3:22" x14ac:dyDescent="0.35">
      <c r="C256" s="16"/>
      <c r="U256" s="16"/>
      <c r="V256" s="16"/>
    </row>
    <row r="257" spans="3:22" x14ac:dyDescent="0.35">
      <c r="C257" s="16"/>
      <c r="U257" s="16"/>
      <c r="V257" s="16"/>
    </row>
    <row r="258" spans="3:22" x14ac:dyDescent="0.35">
      <c r="C258" s="16"/>
      <c r="U258" s="16"/>
      <c r="V258" s="16"/>
    </row>
    <row r="259" spans="3:22" x14ac:dyDescent="0.35">
      <c r="C259" s="16"/>
      <c r="U259" s="16"/>
      <c r="V259" s="16"/>
    </row>
    <row r="260" spans="3:22" x14ac:dyDescent="0.35">
      <c r="C260" s="16"/>
      <c r="U260" s="16"/>
      <c r="V260" s="16"/>
    </row>
    <row r="261" spans="3:22" x14ac:dyDescent="0.35">
      <c r="C261" s="16"/>
      <c r="U261" s="16"/>
      <c r="V261" s="16"/>
    </row>
    <row r="262" spans="3:22" x14ac:dyDescent="0.35">
      <c r="C262" s="16"/>
      <c r="U262" s="16"/>
      <c r="V262" s="16"/>
    </row>
    <row r="263" spans="3:22" x14ac:dyDescent="0.35">
      <c r="C263" s="16"/>
      <c r="U263" s="16"/>
      <c r="V263" s="16"/>
    </row>
    <row r="264" spans="3:22" x14ac:dyDescent="0.35">
      <c r="C264" s="16"/>
      <c r="U264" s="16"/>
      <c r="V264" s="16"/>
    </row>
    <row r="265" spans="3:22" x14ac:dyDescent="0.35">
      <c r="C265" s="16"/>
      <c r="U265" s="16"/>
      <c r="V265" s="16"/>
    </row>
    <row r="266" spans="3:22" x14ac:dyDescent="0.35">
      <c r="C266" s="16"/>
      <c r="U266" s="16"/>
      <c r="V266" s="16"/>
    </row>
    <row r="267" spans="3:22" x14ac:dyDescent="0.35">
      <c r="C267" s="16"/>
      <c r="U267" s="16"/>
      <c r="V267" s="16"/>
    </row>
    <row r="268" spans="3:22" x14ac:dyDescent="0.35">
      <c r="C268" s="16"/>
      <c r="U268" s="16"/>
      <c r="V268" s="16"/>
    </row>
    <row r="269" spans="3:22" x14ac:dyDescent="0.35">
      <c r="C269" s="16"/>
      <c r="U269" s="16"/>
      <c r="V269" s="16"/>
    </row>
    <row r="270" spans="3:22" x14ac:dyDescent="0.35">
      <c r="C270" s="16"/>
      <c r="U270" s="16"/>
      <c r="V270" s="16"/>
    </row>
    <row r="271" spans="3:22" x14ac:dyDescent="0.35">
      <c r="C271" s="16"/>
      <c r="U271" s="16"/>
      <c r="V271" s="16"/>
    </row>
    <row r="272" spans="3:22" x14ac:dyDescent="0.35">
      <c r="C272" s="16"/>
      <c r="U272" s="16"/>
      <c r="V272" s="16"/>
    </row>
    <row r="273" spans="3:22" x14ac:dyDescent="0.35">
      <c r="C273" s="16"/>
      <c r="U273" s="16"/>
      <c r="V273" s="16"/>
    </row>
    <row r="274" spans="3:22" x14ac:dyDescent="0.35">
      <c r="C274" s="16"/>
      <c r="U274" s="16"/>
      <c r="V274" s="16"/>
    </row>
    <row r="275" spans="3:22" x14ac:dyDescent="0.35">
      <c r="C275" s="16"/>
      <c r="U275" s="16"/>
      <c r="V275" s="16"/>
    </row>
    <row r="276" spans="3:22" x14ac:dyDescent="0.35">
      <c r="C276" s="16"/>
      <c r="U276" s="16"/>
      <c r="V276" s="16"/>
    </row>
    <row r="277" spans="3:22" x14ac:dyDescent="0.35">
      <c r="C277" s="16"/>
      <c r="U277" s="16"/>
      <c r="V277" s="16"/>
    </row>
    <row r="278" spans="3:22" x14ac:dyDescent="0.35">
      <c r="C278" s="16"/>
      <c r="U278" s="16"/>
      <c r="V278" s="16"/>
    </row>
    <row r="279" spans="3:22" x14ac:dyDescent="0.35">
      <c r="C279" s="16"/>
      <c r="U279" s="16"/>
      <c r="V279" s="16"/>
    </row>
    <row r="280" spans="3:22" x14ac:dyDescent="0.35">
      <c r="C280" s="16"/>
      <c r="U280" s="16"/>
      <c r="V280" s="16"/>
    </row>
    <row r="281" spans="3:22" x14ac:dyDescent="0.35">
      <c r="C281" s="16"/>
      <c r="U281" s="16"/>
      <c r="V281" s="16"/>
    </row>
    <row r="282" spans="3:22" x14ac:dyDescent="0.35">
      <c r="C282" s="16"/>
      <c r="U282" s="16"/>
      <c r="V282" s="16"/>
    </row>
    <row r="283" spans="3:22" x14ac:dyDescent="0.35">
      <c r="C283" s="16"/>
      <c r="U283" s="16"/>
      <c r="V283" s="16"/>
    </row>
    <row r="284" spans="3:22" x14ac:dyDescent="0.35">
      <c r="C284" s="16"/>
      <c r="U284" s="16"/>
      <c r="V284" s="16"/>
    </row>
    <row r="285" spans="3:22" x14ac:dyDescent="0.35">
      <c r="C285" s="16"/>
      <c r="U285" s="16"/>
      <c r="V285" s="16"/>
    </row>
    <row r="286" spans="3:22" x14ac:dyDescent="0.35">
      <c r="C286" s="16"/>
      <c r="U286" s="16"/>
      <c r="V286" s="16"/>
    </row>
    <row r="287" spans="3:22" x14ac:dyDescent="0.35">
      <c r="C287" s="16"/>
      <c r="U287" s="16"/>
      <c r="V287" s="16"/>
    </row>
    <row r="288" spans="3:22" x14ac:dyDescent="0.35">
      <c r="C288" s="16"/>
      <c r="U288" s="16"/>
      <c r="V288" s="16"/>
    </row>
    <row r="289" spans="3:22" x14ac:dyDescent="0.35">
      <c r="C289" s="16"/>
      <c r="U289" s="16"/>
      <c r="V289" s="16"/>
    </row>
    <row r="290" spans="3:22" x14ac:dyDescent="0.35">
      <c r="C290" s="16"/>
      <c r="U290" s="16"/>
      <c r="V290" s="16"/>
    </row>
    <row r="291" spans="3:22" x14ac:dyDescent="0.35">
      <c r="C291" s="16"/>
      <c r="U291" s="16"/>
      <c r="V291" s="16"/>
    </row>
    <row r="292" spans="3:22" x14ac:dyDescent="0.35">
      <c r="C292" s="16"/>
      <c r="U292" s="16"/>
      <c r="V292" s="16"/>
    </row>
    <row r="293" spans="3:22" x14ac:dyDescent="0.35">
      <c r="C293" s="16"/>
      <c r="U293" s="16"/>
      <c r="V293" s="16"/>
    </row>
    <row r="294" spans="3:22" x14ac:dyDescent="0.35">
      <c r="C294" s="16"/>
      <c r="U294" s="16"/>
      <c r="V294" s="16"/>
    </row>
    <row r="295" spans="3:22" x14ac:dyDescent="0.35">
      <c r="C295" s="16"/>
      <c r="U295" s="16"/>
      <c r="V295" s="16"/>
    </row>
    <row r="296" spans="3:22" x14ac:dyDescent="0.35">
      <c r="C296" s="16"/>
      <c r="U296" s="16"/>
      <c r="V296" s="16"/>
    </row>
    <row r="297" spans="3:22" x14ac:dyDescent="0.35">
      <c r="C297" s="16"/>
      <c r="U297" s="16"/>
      <c r="V297" s="16"/>
    </row>
    <row r="298" spans="3:22" x14ac:dyDescent="0.35">
      <c r="C298" s="16"/>
      <c r="U298" s="16"/>
      <c r="V298" s="16"/>
    </row>
    <row r="299" spans="3:22" x14ac:dyDescent="0.35">
      <c r="C299" s="16"/>
      <c r="U299" s="16"/>
      <c r="V299" s="16"/>
    </row>
    <row r="300" spans="3:22" x14ac:dyDescent="0.35">
      <c r="C300" s="16"/>
      <c r="U300" s="16"/>
      <c r="V300" s="16"/>
    </row>
    <row r="301" spans="3:22" x14ac:dyDescent="0.35">
      <c r="C301" s="16"/>
      <c r="U301" s="16"/>
      <c r="V301" s="16"/>
    </row>
    <row r="302" spans="3:22" x14ac:dyDescent="0.35">
      <c r="C302" s="16"/>
      <c r="U302" s="16"/>
      <c r="V302" s="16"/>
    </row>
    <row r="303" spans="3:22" x14ac:dyDescent="0.35">
      <c r="C303" s="16"/>
      <c r="U303" s="16"/>
      <c r="V303" s="16"/>
    </row>
    <row r="304" spans="3:22" x14ac:dyDescent="0.35">
      <c r="C304" s="16"/>
      <c r="U304" s="16"/>
      <c r="V304" s="16"/>
    </row>
    <row r="305" spans="3:22" x14ac:dyDescent="0.35">
      <c r="C305" s="16"/>
      <c r="U305" s="16"/>
      <c r="V305" s="16"/>
    </row>
    <row r="306" spans="3:22" x14ac:dyDescent="0.35">
      <c r="C306" s="16"/>
      <c r="U306" s="16"/>
      <c r="V306" s="16"/>
    </row>
    <row r="307" spans="3:22" x14ac:dyDescent="0.35">
      <c r="C307" s="16"/>
      <c r="U307" s="16"/>
      <c r="V307" s="16"/>
    </row>
    <row r="308" spans="3:22" x14ac:dyDescent="0.35">
      <c r="C308" s="16"/>
      <c r="U308" s="16"/>
      <c r="V308" s="16"/>
    </row>
    <row r="309" spans="3:22" x14ac:dyDescent="0.35">
      <c r="C309" s="16"/>
      <c r="U309" s="16"/>
      <c r="V309" s="16"/>
    </row>
    <row r="310" spans="3:22" x14ac:dyDescent="0.35">
      <c r="C310" s="16"/>
      <c r="U310" s="16"/>
      <c r="V310" s="16"/>
    </row>
    <row r="311" spans="3:22" x14ac:dyDescent="0.35">
      <c r="C311" s="16"/>
      <c r="U311" s="16"/>
      <c r="V311" s="16"/>
    </row>
    <row r="312" spans="3:22" x14ac:dyDescent="0.35">
      <c r="C312" s="16"/>
      <c r="U312" s="16"/>
      <c r="V312" s="16"/>
    </row>
    <row r="313" spans="3:22" x14ac:dyDescent="0.35">
      <c r="C313" s="16"/>
      <c r="U313" s="16"/>
      <c r="V313" s="16"/>
    </row>
    <row r="314" spans="3:22" x14ac:dyDescent="0.35">
      <c r="C314" s="16"/>
      <c r="U314" s="16"/>
      <c r="V314" s="16"/>
    </row>
    <row r="315" spans="3:22" x14ac:dyDescent="0.35">
      <c r="C315" s="16"/>
      <c r="U315" s="16"/>
      <c r="V315" s="16"/>
    </row>
    <row r="316" spans="3:22" x14ac:dyDescent="0.35">
      <c r="C316" s="16"/>
      <c r="U316" s="16"/>
      <c r="V316" s="16"/>
    </row>
    <row r="317" spans="3:22" x14ac:dyDescent="0.35">
      <c r="C317" s="16"/>
      <c r="U317" s="16"/>
      <c r="V317" s="16"/>
    </row>
    <row r="318" spans="3:22" x14ac:dyDescent="0.35">
      <c r="C318" s="16"/>
      <c r="U318" s="16"/>
      <c r="V318" s="16"/>
    </row>
    <row r="319" spans="3:22" x14ac:dyDescent="0.35">
      <c r="C319" s="16"/>
      <c r="U319" s="16"/>
      <c r="V319" s="16"/>
    </row>
    <row r="320" spans="3:22" x14ac:dyDescent="0.35">
      <c r="C320" s="16"/>
      <c r="U320" s="16"/>
      <c r="V320" s="16"/>
    </row>
    <row r="321" spans="3:22" x14ac:dyDescent="0.35">
      <c r="C321" s="16"/>
      <c r="U321" s="16"/>
      <c r="V321" s="16"/>
    </row>
    <row r="322" spans="3:22" x14ac:dyDescent="0.35">
      <c r="C322" s="16"/>
      <c r="U322" s="16"/>
      <c r="V322" s="16"/>
    </row>
    <row r="323" spans="3:22" x14ac:dyDescent="0.35">
      <c r="C323" s="16"/>
      <c r="U323" s="16"/>
      <c r="V323" s="16"/>
    </row>
    <row r="324" spans="3:22" x14ac:dyDescent="0.35">
      <c r="C324" s="16"/>
      <c r="U324" s="16"/>
      <c r="V324" s="16"/>
    </row>
    <row r="325" spans="3:22" x14ac:dyDescent="0.35">
      <c r="C325" s="16"/>
      <c r="U325" s="16"/>
      <c r="V325" s="16"/>
    </row>
    <row r="326" spans="3:22" x14ac:dyDescent="0.35">
      <c r="C326" s="16"/>
      <c r="U326" s="16"/>
      <c r="V326" s="16"/>
    </row>
    <row r="327" spans="3:22" x14ac:dyDescent="0.35">
      <c r="C327" s="16"/>
      <c r="U327" s="16"/>
      <c r="V327" s="16"/>
    </row>
    <row r="328" spans="3:22" x14ac:dyDescent="0.35">
      <c r="C328" s="16"/>
      <c r="U328" s="16"/>
      <c r="V328" s="16"/>
    </row>
    <row r="329" spans="3:22" x14ac:dyDescent="0.35">
      <c r="C329" s="16"/>
      <c r="U329" s="16"/>
      <c r="V329" s="16"/>
    </row>
    <row r="330" spans="3:22" x14ac:dyDescent="0.35">
      <c r="C330" s="16"/>
      <c r="U330" s="16"/>
      <c r="V330" s="16"/>
    </row>
    <row r="331" spans="3:22" x14ac:dyDescent="0.35">
      <c r="C331" s="16"/>
      <c r="U331" s="16"/>
      <c r="V331" s="16"/>
    </row>
    <row r="332" spans="3:22" x14ac:dyDescent="0.35">
      <c r="C332" s="16"/>
      <c r="U332" s="16"/>
      <c r="V332" s="16"/>
    </row>
    <row r="333" spans="3:22" x14ac:dyDescent="0.35">
      <c r="C333" s="16"/>
      <c r="U333" s="16"/>
      <c r="V333" s="16"/>
    </row>
    <row r="334" spans="3:22" x14ac:dyDescent="0.35">
      <c r="C334" s="16"/>
      <c r="U334" s="16"/>
      <c r="V334" s="16"/>
    </row>
    <row r="335" spans="3:22" x14ac:dyDescent="0.35">
      <c r="C335" s="16"/>
      <c r="U335" s="16"/>
      <c r="V335" s="16"/>
    </row>
    <row r="336" spans="3:22" x14ac:dyDescent="0.35">
      <c r="C336" s="16"/>
      <c r="U336" s="16"/>
      <c r="V336" s="16"/>
    </row>
    <row r="337" spans="3:22" x14ac:dyDescent="0.35">
      <c r="C337" s="16"/>
      <c r="U337" s="16"/>
      <c r="V337" s="16"/>
    </row>
    <row r="338" spans="3:22" x14ac:dyDescent="0.35">
      <c r="C338" s="16"/>
      <c r="U338" s="16"/>
      <c r="V338" s="16"/>
    </row>
    <row r="339" spans="3:22" x14ac:dyDescent="0.35">
      <c r="C339" s="16"/>
      <c r="U339" s="16"/>
      <c r="V339" s="16"/>
    </row>
    <row r="340" spans="3:22" x14ac:dyDescent="0.35">
      <c r="C340" s="16"/>
      <c r="U340" s="16"/>
      <c r="V340" s="16"/>
    </row>
    <row r="341" spans="3:22" x14ac:dyDescent="0.35">
      <c r="C341" s="16"/>
      <c r="U341" s="16"/>
      <c r="V341" s="16"/>
    </row>
    <row r="342" spans="3:22" x14ac:dyDescent="0.35">
      <c r="C342" s="16"/>
      <c r="U342" s="16"/>
      <c r="V342" s="16"/>
    </row>
    <row r="343" spans="3:22" x14ac:dyDescent="0.35">
      <c r="C343" s="16"/>
      <c r="U343" s="16"/>
      <c r="V343" s="16"/>
    </row>
    <row r="344" spans="3:22" x14ac:dyDescent="0.35">
      <c r="C344" s="16"/>
      <c r="U344" s="16"/>
      <c r="V344" s="16"/>
    </row>
    <row r="345" spans="3:22" x14ac:dyDescent="0.35">
      <c r="C345" s="16"/>
      <c r="U345" s="16"/>
      <c r="V345" s="16"/>
    </row>
    <row r="346" spans="3:22" x14ac:dyDescent="0.35">
      <c r="C346" s="16"/>
      <c r="U346" s="16"/>
      <c r="V346" s="16"/>
    </row>
    <row r="347" spans="3:22" x14ac:dyDescent="0.35">
      <c r="C347" s="16"/>
      <c r="U347" s="16"/>
      <c r="V347" s="16"/>
    </row>
    <row r="348" spans="3:22" x14ac:dyDescent="0.35">
      <c r="C348" s="16"/>
      <c r="U348" s="16"/>
      <c r="V348" s="16"/>
    </row>
    <row r="349" spans="3:22" x14ac:dyDescent="0.35">
      <c r="C349" s="16"/>
      <c r="U349" s="16"/>
      <c r="V349" s="16"/>
    </row>
    <row r="350" spans="3:22" x14ac:dyDescent="0.35">
      <c r="C350" s="16"/>
      <c r="U350" s="16"/>
      <c r="V350" s="16"/>
    </row>
    <row r="351" spans="3:22" x14ac:dyDescent="0.35">
      <c r="C351" s="16"/>
      <c r="U351" s="16"/>
      <c r="V351" s="16"/>
    </row>
    <row r="352" spans="3:22" x14ac:dyDescent="0.35">
      <c r="C352" s="16"/>
      <c r="U352" s="16"/>
      <c r="V352" s="16"/>
    </row>
    <row r="353" spans="3:22" x14ac:dyDescent="0.35">
      <c r="C353" s="16"/>
      <c r="U353" s="16"/>
      <c r="V353" s="16"/>
    </row>
  </sheetData>
  <autoFilter ref="A1:OJ1" xr:uid="{AE5C05A5-8383-43A2-89E5-E2C8E0C8DCB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98556-E663-485F-A038-6B74A540F1C4}">
  <dimension ref="A1:AO72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8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4" width="25.6328125" style="17" customWidth="1"/>
    <col min="25" max="25" width="15.6328125" style="12" customWidth="1"/>
    <col min="26" max="28" width="25.6328125" style="17" customWidth="1"/>
    <col min="29" max="29" width="15.6328125" style="12" customWidth="1"/>
    <col min="30" max="32" width="25.6328125" style="17" customWidth="1"/>
    <col min="33" max="33" width="15.6328125" style="12" customWidth="1"/>
    <col min="34" max="36" width="25.6328125" style="17" customWidth="1"/>
    <col min="37" max="37" width="15.6328125" style="12" customWidth="1"/>
    <col min="38" max="38" width="25.6328125" style="17" customWidth="1"/>
    <col min="39" max="39" width="40.6328125" style="17" customWidth="1"/>
    <col min="40" max="40" width="9.6328125" style="12" customWidth="1"/>
    <col min="41" max="41" width="15.6328125" style="12" customWidth="1"/>
    <col min="42" max="16384" width="10.90625" style="12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285</v>
      </c>
      <c r="X1" s="10" t="s">
        <v>286</v>
      </c>
      <c r="Y1" s="10" t="s">
        <v>287</v>
      </c>
      <c r="Z1" s="10" t="s">
        <v>288</v>
      </c>
      <c r="AA1" s="10" t="s">
        <v>289</v>
      </c>
      <c r="AB1" s="10" t="s">
        <v>290</v>
      </c>
      <c r="AC1" s="10" t="s">
        <v>291</v>
      </c>
      <c r="AD1" s="10" t="s">
        <v>292</v>
      </c>
      <c r="AE1" s="10" t="s">
        <v>293</v>
      </c>
      <c r="AF1" s="10" t="s">
        <v>294</v>
      </c>
      <c r="AG1" s="10" t="s">
        <v>295</v>
      </c>
      <c r="AH1" s="10" t="s">
        <v>296</v>
      </c>
      <c r="AI1" s="10" t="s">
        <v>297</v>
      </c>
      <c r="AJ1" s="10" t="s">
        <v>298</v>
      </c>
      <c r="AK1" s="10" t="s">
        <v>299</v>
      </c>
      <c r="AL1" s="10" t="s">
        <v>300</v>
      </c>
      <c r="AM1" s="10" t="s">
        <v>301</v>
      </c>
      <c r="AN1" s="10" t="s">
        <v>80</v>
      </c>
      <c r="AO1" s="10" t="s">
        <v>81</v>
      </c>
    </row>
    <row r="2" spans="1:41" ht="72.5" x14ac:dyDescent="0.35">
      <c r="A2" s="13" t="s">
        <v>82</v>
      </c>
      <c r="B2" s="13" t="s">
        <v>83</v>
      </c>
      <c r="C2" s="14">
        <v>44970.484027777777</v>
      </c>
      <c r="D2" s="13" t="s">
        <v>84</v>
      </c>
      <c r="E2" s="15" t="s">
        <v>85</v>
      </c>
      <c r="F2" s="13" t="s">
        <v>86</v>
      </c>
      <c r="G2" s="15" t="s">
        <v>87</v>
      </c>
      <c r="H2" s="13" t="s">
        <v>88</v>
      </c>
      <c r="I2" s="15" t="s">
        <v>89</v>
      </c>
      <c r="J2" s="15" t="s">
        <v>90</v>
      </c>
      <c r="K2" s="15" t="s">
        <v>91</v>
      </c>
      <c r="L2" s="13" t="s">
        <v>92</v>
      </c>
      <c r="M2" s="15" t="s">
        <v>93</v>
      </c>
      <c r="N2" s="13" t="s">
        <v>94</v>
      </c>
      <c r="O2" s="15" t="s">
        <v>95</v>
      </c>
      <c r="P2" s="15" t="s">
        <v>96</v>
      </c>
      <c r="Q2" s="15" t="s">
        <v>97</v>
      </c>
      <c r="R2" s="13" t="s">
        <v>98</v>
      </c>
      <c r="S2" s="13" t="s">
        <v>99</v>
      </c>
      <c r="T2" s="13" t="s">
        <v>100</v>
      </c>
      <c r="U2" s="14">
        <v>43831</v>
      </c>
      <c r="V2" s="14"/>
      <c r="W2" s="15"/>
      <c r="X2" s="15"/>
      <c r="Y2" s="13"/>
      <c r="Z2" s="15"/>
      <c r="AA2" s="15"/>
      <c r="AB2" s="15"/>
      <c r="AC2" s="13"/>
      <c r="AD2" s="15"/>
      <c r="AE2" s="15"/>
      <c r="AF2" s="15"/>
      <c r="AG2" s="13"/>
      <c r="AH2" s="15"/>
      <c r="AI2" s="15"/>
      <c r="AJ2" s="15"/>
      <c r="AK2" s="13"/>
      <c r="AL2" s="15"/>
      <c r="AM2" s="15"/>
      <c r="AN2" s="13"/>
      <c r="AO2" s="13"/>
    </row>
    <row r="3" spans="1:41" ht="72.5" x14ac:dyDescent="0.35">
      <c r="A3" s="13" t="s">
        <v>82</v>
      </c>
      <c r="B3" s="13" t="s">
        <v>83</v>
      </c>
      <c r="C3" s="14">
        <v>44970.486111111109</v>
      </c>
      <c r="D3" s="13" t="s">
        <v>84</v>
      </c>
      <c r="E3" s="15" t="s">
        <v>85</v>
      </c>
      <c r="F3" s="13" t="s">
        <v>86</v>
      </c>
      <c r="G3" s="15" t="s">
        <v>87</v>
      </c>
      <c r="H3" s="13" t="s">
        <v>88</v>
      </c>
      <c r="I3" s="15" t="s">
        <v>89</v>
      </c>
      <c r="J3" s="15" t="s">
        <v>90</v>
      </c>
      <c r="K3" s="15" t="s">
        <v>91</v>
      </c>
      <c r="L3" s="13" t="s">
        <v>101</v>
      </c>
      <c r="M3" s="15" t="s">
        <v>102</v>
      </c>
      <c r="N3" s="13" t="s">
        <v>94</v>
      </c>
      <c r="O3" s="15" t="s">
        <v>103</v>
      </c>
      <c r="P3" s="15" t="s">
        <v>104</v>
      </c>
      <c r="Q3" s="15" t="s">
        <v>97</v>
      </c>
      <c r="R3" s="13" t="s">
        <v>98</v>
      </c>
      <c r="S3" s="13" t="s">
        <v>99</v>
      </c>
      <c r="T3" s="13" t="s">
        <v>100</v>
      </c>
      <c r="U3" s="14">
        <v>43831</v>
      </c>
      <c r="V3" s="14"/>
      <c r="W3" s="15"/>
      <c r="X3" s="15"/>
      <c r="Y3" s="13"/>
      <c r="Z3" s="15"/>
      <c r="AA3" s="15"/>
      <c r="AB3" s="15"/>
      <c r="AC3" s="13"/>
      <c r="AD3" s="15"/>
      <c r="AE3" s="15"/>
      <c r="AF3" s="15"/>
      <c r="AG3" s="13"/>
      <c r="AH3" s="15"/>
      <c r="AI3" s="15"/>
      <c r="AJ3" s="15"/>
      <c r="AK3" s="13"/>
      <c r="AL3" s="15"/>
      <c r="AM3" s="15"/>
      <c r="AN3" s="13"/>
      <c r="AO3" s="13"/>
    </row>
    <row r="4" spans="1:41" ht="43.5" x14ac:dyDescent="0.35">
      <c r="A4" s="13" t="s">
        <v>82</v>
      </c>
      <c r="B4" s="13" t="s">
        <v>83</v>
      </c>
      <c r="C4" s="14">
        <v>44970.493055555555</v>
      </c>
      <c r="D4" s="13" t="s">
        <v>84</v>
      </c>
      <c r="E4" s="15" t="s">
        <v>85</v>
      </c>
      <c r="F4" s="13" t="s">
        <v>86</v>
      </c>
      <c r="G4" s="15" t="s">
        <v>87</v>
      </c>
      <c r="H4" s="13" t="s">
        <v>88</v>
      </c>
      <c r="I4" s="15" t="s">
        <v>89</v>
      </c>
      <c r="J4" s="15" t="s">
        <v>90</v>
      </c>
      <c r="K4" s="15" t="s">
        <v>91</v>
      </c>
      <c r="L4" s="13" t="s">
        <v>105</v>
      </c>
      <c r="M4" s="15" t="s">
        <v>106</v>
      </c>
      <c r="N4" s="13" t="s">
        <v>107</v>
      </c>
      <c r="O4" s="15" t="s">
        <v>108</v>
      </c>
      <c r="P4" s="15" t="s">
        <v>109</v>
      </c>
      <c r="Q4" s="15" t="s">
        <v>97</v>
      </c>
      <c r="R4" s="13" t="s">
        <v>98</v>
      </c>
      <c r="S4" s="13" t="s">
        <v>99</v>
      </c>
      <c r="T4" s="13" t="s">
        <v>100</v>
      </c>
      <c r="U4" s="14">
        <v>43831</v>
      </c>
      <c r="V4" s="14"/>
      <c r="W4" s="15"/>
      <c r="X4" s="15"/>
      <c r="Y4" s="13"/>
      <c r="Z4" s="15"/>
      <c r="AA4" s="15"/>
      <c r="AB4" s="15"/>
      <c r="AC4" s="13"/>
      <c r="AD4" s="15"/>
      <c r="AE4" s="15"/>
      <c r="AF4" s="15"/>
      <c r="AG4" s="13"/>
      <c r="AH4" s="15"/>
      <c r="AI4" s="15"/>
      <c r="AJ4" s="15"/>
      <c r="AK4" s="13"/>
      <c r="AL4" s="15"/>
      <c r="AM4" s="15"/>
      <c r="AN4" s="13"/>
      <c r="AO4" s="13"/>
    </row>
    <row r="5" spans="1:41" ht="72.5" x14ac:dyDescent="0.35">
      <c r="A5" s="13" t="s">
        <v>82</v>
      </c>
      <c r="B5" s="13" t="s">
        <v>83</v>
      </c>
      <c r="C5" s="14">
        <v>44970.48541666667</v>
      </c>
      <c r="D5" s="13" t="s">
        <v>84</v>
      </c>
      <c r="E5" s="15" t="s">
        <v>85</v>
      </c>
      <c r="F5" s="13" t="s">
        <v>86</v>
      </c>
      <c r="G5" s="15" t="s">
        <v>87</v>
      </c>
      <c r="H5" s="13" t="s">
        <v>88</v>
      </c>
      <c r="I5" s="15" t="s">
        <v>89</v>
      </c>
      <c r="J5" s="15" t="s">
        <v>90</v>
      </c>
      <c r="K5" s="15" t="s">
        <v>91</v>
      </c>
      <c r="L5" s="13" t="s">
        <v>92</v>
      </c>
      <c r="M5" s="15" t="s">
        <v>93</v>
      </c>
      <c r="N5" s="13" t="s">
        <v>94</v>
      </c>
      <c r="O5" s="15" t="s">
        <v>95</v>
      </c>
      <c r="P5" s="15" t="s">
        <v>96</v>
      </c>
      <c r="Q5" s="15" t="s">
        <v>110</v>
      </c>
      <c r="R5" s="13" t="s">
        <v>111</v>
      </c>
      <c r="S5" s="13" t="s">
        <v>99</v>
      </c>
      <c r="T5" s="13" t="s">
        <v>100</v>
      </c>
      <c r="U5" s="14">
        <v>43831</v>
      </c>
      <c r="V5" s="14"/>
      <c r="W5" s="15"/>
      <c r="X5" s="15"/>
      <c r="Y5" s="13"/>
      <c r="Z5" s="15"/>
      <c r="AA5" s="15"/>
      <c r="AB5" s="15"/>
      <c r="AC5" s="13"/>
      <c r="AD5" s="15"/>
      <c r="AE5" s="15"/>
      <c r="AF5" s="15"/>
      <c r="AG5" s="13"/>
      <c r="AH5" s="15"/>
      <c r="AI5" s="15"/>
      <c r="AJ5" s="15"/>
      <c r="AK5" s="13"/>
      <c r="AL5" s="15"/>
      <c r="AM5" s="15"/>
      <c r="AN5" s="13"/>
      <c r="AO5" s="13"/>
    </row>
    <row r="6" spans="1:41" ht="72.5" x14ac:dyDescent="0.35">
      <c r="A6" s="13" t="s">
        <v>82</v>
      </c>
      <c r="B6" s="13" t="s">
        <v>83</v>
      </c>
      <c r="C6" s="14">
        <v>44970.486805555556</v>
      </c>
      <c r="D6" s="13" t="s">
        <v>84</v>
      </c>
      <c r="E6" s="15" t="s">
        <v>85</v>
      </c>
      <c r="F6" s="13" t="s">
        <v>86</v>
      </c>
      <c r="G6" s="15" t="s">
        <v>87</v>
      </c>
      <c r="H6" s="13" t="s">
        <v>88</v>
      </c>
      <c r="I6" s="15" t="s">
        <v>89</v>
      </c>
      <c r="J6" s="15" t="s">
        <v>90</v>
      </c>
      <c r="K6" s="15" t="s">
        <v>91</v>
      </c>
      <c r="L6" s="13" t="s">
        <v>101</v>
      </c>
      <c r="M6" s="15" t="s">
        <v>102</v>
      </c>
      <c r="N6" s="13" t="s">
        <v>94</v>
      </c>
      <c r="O6" s="15" t="s">
        <v>103</v>
      </c>
      <c r="P6" s="15" t="s">
        <v>104</v>
      </c>
      <c r="Q6" s="15" t="s">
        <v>110</v>
      </c>
      <c r="R6" s="13" t="s">
        <v>111</v>
      </c>
      <c r="S6" s="13" t="s">
        <v>99</v>
      </c>
      <c r="T6" s="13" t="s">
        <v>100</v>
      </c>
      <c r="U6" s="14">
        <v>43831</v>
      </c>
      <c r="V6" s="14"/>
      <c r="W6" s="15"/>
      <c r="X6" s="15"/>
      <c r="Y6" s="13"/>
      <c r="Z6" s="15"/>
      <c r="AA6" s="15"/>
      <c r="AB6" s="15"/>
      <c r="AC6" s="13"/>
      <c r="AD6" s="15"/>
      <c r="AE6" s="15"/>
      <c r="AF6" s="15"/>
      <c r="AG6" s="13"/>
      <c r="AH6" s="15"/>
      <c r="AI6" s="15"/>
      <c r="AJ6" s="15"/>
      <c r="AK6" s="13"/>
      <c r="AL6" s="15"/>
      <c r="AM6" s="15"/>
      <c r="AN6" s="13"/>
      <c r="AO6" s="13"/>
    </row>
    <row r="7" spans="1:41" ht="43.5" x14ac:dyDescent="0.35">
      <c r="A7" s="13" t="s">
        <v>82</v>
      </c>
      <c r="B7" s="13" t="s">
        <v>83</v>
      </c>
      <c r="C7" s="14">
        <v>44970.493055555555</v>
      </c>
      <c r="D7" s="13" t="s">
        <v>84</v>
      </c>
      <c r="E7" s="15" t="s">
        <v>85</v>
      </c>
      <c r="F7" s="13" t="s">
        <v>86</v>
      </c>
      <c r="G7" s="15" t="s">
        <v>87</v>
      </c>
      <c r="H7" s="13" t="s">
        <v>88</v>
      </c>
      <c r="I7" s="15" t="s">
        <v>89</v>
      </c>
      <c r="J7" s="15" t="s">
        <v>90</v>
      </c>
      <c r="K7" s="15" t="s">
        <v>91</v>
      </c>
      <c r="L7" s="13" t="s">
        <v>105</v>
      </c>
      <c r="M7" s="15" t="s">
        <v>106</v>
      </c>
      <c r="N7" s="13" t="s">
        <v>107</v>
      </c>
      <c r="O7" s="15" t="s">
        <v>108</v>
      </c>
      <c r="P7" s="15" t="s">
        <v>109</v>
      </c>
      <c r="Q7" s="15" t="s">
        <v>110</v>
      </c>
      <c r="R7" s="13" t="s">
        <v>111</v>
      </c>
      <c r="S7" s="13" t="s">
        <v>99</v>
      </c>
      <c r="T7" s="13" t="s">
        <v>100</v>
      </c>
      <c r="U7" s="14">
        <v>43831</v>
      </c>
      <c r="V7" s="14"/>
      <c r="W7" s="15"/>
      <c r="X7" s="15"/>
      <c r="Y7" s="13"/>
      <c r="Z7" s="15"/>
      <c r="AA7" s="15"/>
      <c r="AB7" s="15"/>
      <c r="AC7" s="13"/>
      <c r="AD7" s="15"/>
      <c r="AE7" s="15"/>
      <c r="AF7" s="15"/>
      <c r="AG7" s="13"/>
      <c r="AH7" s="15"/>
      <c r="AI7" s="15"/>
      <c r="AJ7" s="15"/>
      <c r="AK7" s="13"/>
      <c r="AL7" s="15"/>
      <c r="AM7" s="15"/>
      <c r="AN7" s="13"/>
      <c r="AO7" s="13"/>
    </row>
    <row r="8" spans="1:41" ht="72.5" x14ac:dyDescent="0.35">
      <c r="A8" s="13" t="s">
        <v>82</v>
      </c>
      <c r="B8" s="13" t="s">
        <v>83</v>
      </c>
      <c r="C8" s="14">
        <v>44970.48541666667</v>
      </c>
      <c r="D8" s="13" t="s">
        <v>84</v>
      </c>
      <c r="E8" s="15" t="s">
        <v>85</v>
      </c>
      <c r="F8" s="13" t="s">
        <v>86</v>
      </c>
      <c r="G8" s="15" t="s">
        <v>87</v>
      </c>
      <c r="H8" s="13" t="s">
        <v>88</v>
      </c>
      <c r="I8" s="15" t="s">
        <v>89</v>
      </c>
      <c r="J8" s="15" t="s">
        <v>90</v>
      </c>
      <c r="K8" s="15" t="s">
        <v>91</v>
      </c>
      <c r="L8" s="13" t="s">
        <v>92</v>
      </c>
      <c r="M8" s="15" t="s">
        <v>93</v>
      </c>
      <c r="N8" s="13" t="s">
        <v>94</v>
      </c>
      <c r="O8" s="15" t="s">
        <v>95</v>
      </c>
      <c r="P8" s="15" t="s">
        <v>96</v>
      </c>
      <c r="Q8" s="15" t="s">
        <v>112</v>
      </c>
      <c r="R8" s="13" t="s">
        <v>113</v>
      </c>
      <c r="S8" s="13" t="s">
        <v>99</v>
      </c>
      <c r="T8" s="13" t="s">
        <v>100</v>
      </c>
      <c r="U8" s="14">
        <v>43831</v>
      </c>
      <c r="V8" s="14"/>
      <c r="W8" s="15"/>
      <c r="X8" s="15"/>
      <c r="Y8" s="13"/>
      <c r="Z8" s="15"/>
      <c r="AA8" s="15"/>
      <c r="AB8" s="15"/>
      <c r="AC8" s="13"/>
      <c r="AD8" s="15"/>
      <c r="AE8" s="15"/>
      <c r="AF8" s="15"/>
      <c r="AG8" s="13"/>
      <c r="AH8" s="15"/>
      <c r="AI8" s="15"/>
      <c r="AJ8" s="15"/>
      <c r="AK8" s="13"/>
      <c r="AL8" s="15"/>
      <c r="AM8" s="15"/>
      <c r="AN8" s="13"/>
      <c r="AO8" s="13"/>
    </row>
    <row r="9" spans="1:41" ht="72.5" x14ac:dyDescent="0.35">
      <c r="A9" s="13" t="s">
        <v>82</v>
      </c>
      <c r="B9" s="13" t="s">
        <v>83</v>
      </c>
      <c r="C9" s="14">
        <v>44970.487500000003</v>
      </c>
      <c r="D9" s="13" t="s">
        <v>84</v>
      </c>
      <c r="E9" s="15" t="s">
        <v>85</v>
      </c>
      <c r="F9" s="13" t="s">
        <v>86</v>
      </c>
      <c r="G9" s="15" t="s">
        <v>87</v>
      </c>
      <c r="H9" s="13" t="s">
        <v>88</v>
      </c>
      <c r="I9" s="15" t="s">
        <v>89</v>
      </c>
      <c r="J9" s="15" t="s">
        <v>90</v>
      </c>
      <c r="K9" s="15" t="s">
        <v>91</v>
      </c>
      <c r="L9" s="13" t="s">
        <v>101</v>
      </c>
      <c r="M9" s="15" t="s">
        <v>102</v>
      </c>
      <c r="N9" s="13" t="s">
        <v>94</v>
      </c>
      <c r="O9" s="15" t="s">
        <v>103</v>
      </c>
      <c r="P9" s="15" t="s">
        <v>104</v>
      </c>
      <c r="Q9" s="15" t="s">
        <v>112</v>
      </c>
      <c r="R9" s="13" t="s">
        <v>113</v>
      </c>
      <c r="S9" s="13" t="s">
        <v>99</v>
      </c>
      <c r="T9" s="13" t="s">
        <v>100</v>
      </c>
      <c r="U9" s="14">
        <v>43831</v>
      </c>
      <c r="V9" s="14"/>
      <c r="W9" s="15"/>
      <c r="X9" s="15"/>
      <c r="Y9" s="13"/>
      <c r="Z9" s="15"/>
      <c r="AA9" s="15"/>
      <c r="AB9" s="15"/>
      <c r="AC9" s="13"/>
      <c r="AD9" s="15"/>
      <c r="AE9" s="15"/>
      <c r="AF9" s="15"/>
      <c r="AG9" s="13"/>
      <c r="AH9" s="15"/>
      <c r="AI9" s="15"/>
      <c r="AJ9" s="15"/>
      <c r="AK9" s="13"/>
      <c r="AL9" s="15"/>
      <c r="AM9" s="15"/>
      <c r="AN9" s="13"/>
      <c r="AO9" s="13"/>
    </row>
    <row r="10" spans="1:41" ht="43.5" x14ac:dyDescent="0.35">
      <c r="A10" s="13" t="s">
        <v>82</v>
      </c>
      <c r="B10" s="13" t="s">
        <v>83</v>
      </c>
      <c r="C10" s="14">
        <v>44970.493055555555</v>
      </c>
      <c r="D10" s="13" t="s">
        <v>84</v>
      </c>
      <c r="E10" s="15" t="s">
        <v>85</v>
      </c>
      <c r="F10" s="13" t="s">
        <v>86</v>
      </c>
      <c r="G10" s="15" t="s">
        <v>87</v>
      </c>
      <c r="H10" s="13" t="s">
        <v>88</v>
      </c>
      <c r="I10" s="15" t="s">
        <v>89</v>
      </c>
      <c r="J10" s="15" t="s">
        <v>90</v>
      </c>
      <c r="K10" s="15" t="s">
        <v>91</v>
      </c>
      <c r="L10" s="13" t="s">
        <v>105</v>
      </c>
      <c r="M10" s="15" t="s">
        <v>106</v>
      </c>
      <c r="N10" s="13" t="s">
        <v>107</v>
      </c>
      <c r="O10" s="15" t="s">
        <v>108</v>
      </c>
      <c r="P10" s="15" t="s">
        <v>109</v>
      </c>
      <c r="Q10" s="15" t="s">
        <v>112</v>
      </c>
      <c r="R10" s="13" t="s">
        <v>113</v>
      </c>
      <c r="S10" s="13" t="s">
        <v>99</v>
      </c>
      <c r="T10" s="13" t="s">
        <v>100</v>
      </c>
      <c r="U10" s="14">
        <v>43831</v>
      </c>
      <c r="V10" s="14"/>
      <c r="W10" s="15"/>
      <c r="X10" s="15"/>
      <c r="Y10" s="13"/>
      <c r="Z10" s="15"/>
      <c r="AA10" s="15"/>
      <c r="AB10" s="15"/>
      <c r="AC10" s="13"/>
      <c r="AD10" s="15"/>
      <c r="AE10" s="15"/>
      <c r="AF10" s="15"/>
      <c r="AG10" s="13"/>
      <c r="AH10" s="15"/>
      <c r="AI10" s="15"/>
      <c r="AJ10" s="15"/>
      <c r="AK10" s="13"/>
      <c r="AL10" s="15"/>
      <c r="AM10" s="15"/>
      <c r="AN10" s="13"/>
      <c r="AO10" s="13"/>
    </row>
    <row r="11" spans="1:41" ht="72.5" x14ac:dyDescent="0.35">
      <c r="A11" s="13" t="s">
        <v>82</v>
      </c>
      <c r="B11" s="13" t="s">
        <v>83</v>
      </c>
      <c r="C11" s="14">
        <v>44970.486111111109</v>
      </c>
      <c r="D11" s="13" t="s">
        <v>84</v>
      </c>
      <c r="E11" s="15" t="s">
        <v>85</v>
      </c>
      <c r="F11" s="13" t="s">
        <v>86</v>
      </c>
      <c r="G11" s="15" t="s">
        <v>87</v>
      </c>
      <c r="H11" s="13" t="s">
        <v>88</v>
      </c>
      <c r="I11" s="15" t="s">
        <v>89</v>
      </c>
      <c r="J11" s="15" t="s">
        <v>90</v>
      </c>
      <c r="K11" s="15" t="s">
        <v>91</v>
      </c>
      <c r="L11" s="13" t="s">
        <v>92</v>
      </c>
      <c r="M11" s="15" t="s">
        <v>93</v>
      </c>
      <c r="N11" s="13" t="s">
        <v>94</v>
      </c>
      <c r="O11" s="15" t="s">
        <v>95</v>
      </c>
      <c r="P11" s="15" t="s">
        <v>96</v>
      </c>
      <c r="Q11" s="15" t="s">
        <v>114</v>
      </c>
      <c r="R11" s="13" t="s">
        <v>115</v>
      </c>
      <c r="S11" s="13" t="s">
        <v>99</v>
      </c>
      <c r="T11" s="13" t="s">
        <v>100</v>
      </c>
      <c r="U11" s="14">
        <v>43831</v>
      </c>
      <c r="V11" s="14"/>
      <c r="W11" s="15"/>
      <c r="X11" s="15"/>
      <c r="Y11" s="13"/>
      <c r="Z11" s="15"/>
      <c r="AA11" s="15"/>
      <c r="AB11" s="15"/>
      <c r="AC11" s="13"/>
      <c r="AD11" s="15"/>
      <c r="AE11" s="15"/>
      <c r="AF11" s="15"/>
      <c r="AG11" s="13"/>
      <c r="AH11" s="15"/>
      <c r="AI11" s="15"/>
      <c r="AJ11" s="15"/>
      <c r="AK11" s="13"/>
      <c r="AL11" s="15"/>
      <c r="AM11" s="15"/>
      <c r="AN11" s="13"/>
      <c r="AO11" s="13"/>
    </row>
    <row r="12" spans="1:41" ht="72.5" x14ac:dyDescent="0.35">
      <c r="A12" s="13" t="s">
        <v>82</v>
      </c>
      <c r="B12" s="13" t="s">
        <v>83</v>
      </c>
      <c r="C12" s="14">
        <v>44974.54583333333</v>
      </c>
      <c r="D12" s="13" t="s">
        <v>84</v>
      </c>
      <c r="E12" s="15" t="s">
        <v>85</v>
      </c>
      <c r="F12" s="13" t="s">
        <v>86</v>
      </c>
      <c r="G12" s="15" t="s">
        <v>87</v>
      </c>
      <c r="H12" s="13" t="s">
        <v>88</v>
      </c>
      <c r="I12" s="15" t="s">
        <v>89</v>
      </c>
      <c r="J12" s="15" t="s">
        <v>90</v>
      </c>
      <c r="K12" s="15" t="s">
        <v>91</v>
      </c>
      <c r="L12" s="13" t="s">
        <v>101</v>
      </c>
      <c r="M12" s="15" t="s">
        <v>102</v>
      </c>
      <c r="N12" s="13" t="s">
        <v>94</v>
      </c>
      <c r="O12" s="15" t="s">
        <v>103</v>
      </c>
      <c r="P12" s="15" t="s">
        <v>104</v>
      </c>
      <c r="Q12" s="15" t="s">
        <v>114</v>
      </c>
      <c r="R12" s="13" t="s">
        <v>115</v>
      </c>
      <c r="S12" s="13" t="s">
        <v>99</v>
      </c>
      <c r="T12" s="13" t="s">
        <v>100</v>
      </c>
      <c r="U12" s="14">
        <v>43832</v>
      </c>
      <c r="V12" s="14"/>
      <c r="W12" s="15"/>
      <c r="X12" s="15"/>
      <c r="Y12" s="13"/>
      <c r="Z12" s="15"/>
      <c r="AA12" s="15"/>
      <c r="AB12" s="15"/>
      <c r="AC12" s="13"/>
      <c r="AD12" s="15"/>
      <c r="AE12" s="15"/>
      <c r="AF12" s="15"/>
      <c r="AG12" s="13"/>
      <c r="AH12" s="15"/>
      <c r="AI12" s="15"/>
      <c r="AJ12" s="15"/>
      <c r="AK12" s="13"/>
      <c r="AL12" s="15"/>
      <c r="AM12" s="15"/>
      <c r="AN12" s="13"/>
      <c r="AO12" s="13"/>
    </row>
    <row r="13" spans="1:41" ht="43.5" x14ac:dyDescent="0.35">
      <c r="A13" s="13" t="s">
        <v>82</v>
      </c>
      <c r="B13" s="13" t="s">
        <v>83</v>
      </c>
      <c r="C13" s="14">
        <v>44974.552083333336</v>
      </c>
      <c r="D13" s="13" t="s">
        <v>84</v>
      </c>
      <c r="E13" s="15" t="s">
        <v>85</v>
      </c>
      <c r="F13" s="13" t="s">
        <v>86</v>
      </c>
      <c r="G13" s="15" t="s">
        <v>87</v>
      </c>
      <c r="H13" s="13" t="s">
        <v>88</v>
      </c>
      <c r="I13" s="15" t="s">
        <v>89</v>
      </c>
      <c r="J13" s="15" t="s">
        <v>90</v>
      </c>
      <c r="K13" s="15" t="s">
        <v>91</v>
      </c>
      <c r="L13" s="13" t="s">
        <v>105</v>
      </c>
      <c r="M13" s="15" t="s">
        <v>106</v>
      </c>
      <c r="N13" s="13" t="s">
        <v>107</v>
      </c>
      <c r="O13" s="15" t="s">
        <v>108</v>
      </c>
      <c r="P13" s="15" t="s">
        <v>109</v>
      </c>
      <c r="Q13" s="15" t="s">
        <v>114</v>
      </c>
      <c r="R13" s="13" t="s">
        <v>115</v>
      </c>
      <c r="S13" s="13" t="s">
        <v>99</v>
      </c>
      <c r="T13" s="13" t="s">
        <v>100</v>
      </c>
      <c r="U13" s="14">
        <v>43832</v>
      </c>
      <c r="V13" s="14"/>
      <c r="W13" s="15"/>
      <c r="X13" s="15"/>
      <c r="Y13" s="13"/>
      <c r="Z13" s="15"/>
      <c r="AA13" s="15"/>
      <c r="AB13" s="15"/>
      <c r="AC13" s="13"/>
      <c r="AD13" s="15"/>
      <c r="AE13" s="15"/>
      <c r="AF13" s="15"/>
      <c r="AG13" s="13"/>
      <c r="AH13" s="15"/>
      <c r="AI13" s="15"/>
      <c r="AJ13" s="15"/>
      <c r="AK13" s="13"/>
      <c r="AL13" s="15"/>
      <c r="AM13" s="15"/>
      <c r="AN13" s="13"/>
      <c r="AO13" s="13"/>
    </row>
    <row r="14" spans="1:41" ht="72.5" x14ac:dyDescent="0.35">
      <c r="A14" s="13" t="s">
        <v>82</v>
      </c>
      <c r="B14" s="13" t="s">
        <v>83</v>
      </c>
      <c r="C14" s="14">
        <v>44970.486111111109</v>
      </c>
      <c r="D14" s="13" t="s">
        <v>84</v>
      </c>
      <c r="E14" s="15" t="s">
        <v>85</v>
      </c>
      <c r="F14" s="13" t="s">
        <v>86</v>
      </c>
      <c r="G14" s="15" t="s">
        <v>87</v>
      </c>
      <c r="H14" s="13" t="s">
        <v>88</v>
      </c>
      <c r="I14" s="15" t="s">
        <v>89</v>
      </c>
      <c r="J14" s="15" t="s">
        <v>90</v>
      </c>
      <c r="K14" s="15" t="s">
        <v>91</v>
      </c>
      <c r="L14" s="13" t="s">
        <v>92</v>
      </c>
      <c r="M14" s="15" t="s">
        <v>93</v>
      </c>
      <c r="N14" s="13" t="s">
        <v>94</v>
      </c>
      <c r="O14" s="15" t="s">
        <v>95</v>
      </c>
      <c r="P14" s="15" t="s">
        <v>96</v>
      </c>
      <c r="Q14" s="15" t="s">
        <v>116</v>
      </c>
      <c r="R14" s="13" t="s">
        <v>117</v>
      </c>
      <c r="S14" s="13" t="s">
        <v>99</v>
      </c>
      <c r="T14" s="13" t="s">
        <v>100</v>
      </c>
      <c r="U14" s="14">
        <v>43831</v>
      </c>
      <c r="V14" s="14"/>
      <c r="W14" s="15"/>
      <c r="X14" s="15"/>
      <c r="Y14" s="13"/>
      <c r="Z14" s="15"/>
      <c r="AA14" s="15"/>
      <c r="AB14" s="15"/>
      <c r="AC14" s="13"/>
      <c r="AD14" s="15"/>
      <c r="AE14" s="15"/>
      <c r="AF14" s="15"/>
      <c r="AG14" s="13"/>
      <c r="AH14" s="15"/>
      <c r="AI14" s="15"/>
      <c r="AJ14" s="15"/>
      <c r="AK14" s="13"/>
      <c r="AL14" s="15"/>
      <c r="AM14" s="15"/>
      <c r="AN14" s="13"/>
      <c r="AO14" s="13"/>
    </row>
    <row r="15" spans="1:41" ht="72.5" x14ac:dyDescent="0.35">
      <c r="A15" s="13" t="s">
        <v>82</v>
      </c>
      <c r="B15" s="13" t="s">
        <v>83</v>
      </c>
      <c r="C15" s="14">
        <v>44970.490972222222</v>
      </c>
      <c r="D15" s="13" t="s">
        <v>84</v>
      </c>
      <c r="E15" s="15" t="s">
        <v>85</v>
      </c>
      <c r="F15" s="13" t="s">
        <v>86</v>
      </c>
      <c r="G15" s="15" t="s">
        <v>87</v>
      </c>
      <c r="H15" s="13" t="s">
        <v>88</v>
      </c>
      <c r="I15" s="15" t="s">
        <v>89</v>
      </c>
      <c r="J15" s="15" t="s">
        <v>90</v>
      </c>
      <c r="K15" s="15" t="s">
        <v>91</v>
      </c>
      <c r="L15" s="13" t="s">
        <v>101</v>
      </c>
      <c r="M15" s="15" t="s">
        <v>102</v>
      </c>
      <c r="N15" s="13" t="s">
        <v>94</v>
      </c>
      <c r="O15" s="15" t="s">
        <v>103</v>
      </c>
      <c r="P15" s="15" t="s">
        <v>104</v>
      </c>
      <c r="Q15" s="15" t="s">
        <v>116</v>
      </c>
      <c r="R15" s="13" t="s">
        <v>117</v>
      </c>
      <c r="S15" s="13" t="s">
        <v>99</v>
      </c>
      <c r="T15" s="13" t="s">
        <v>100</v>
      </c>
      <c r="U15" s="14">
        <v>43831</v>
      </c>
      <c r="V15" s="14"/>
      <c r="W15" s="15"/>
      <c r="X15" s="15"/>
      <c r="Y15" s="13"/>
      <c r="Z15" s="15"/>
      <c r="AA15" s="15"/>
      <c r="AB15" s="15"/>
      <c r="AC15" s="13"/>
      <c r="AD15" s="15"/>
      <c r="AE15" s="15"/>
      <c r="AF15" s="15"/>
      <c r="AG15" s="13"/>
      <c r="AH15" s="15"/>
      <c r="AI15" s="15"/>
      <c r="AJ15" s="15"/>
      <c r="AK15" s="13"/>
      <c r="AL15" s="15"/>
      <c r="AM15" s="15"/>
      <c r="AN15" s="13"/>
      <c r="AO15" s="13"/>
    </row>
    <row r="16" spans="1:41" ht="43.5" x14ac:dyDescent="0.35">
      <c r="A16" s="13" t="s">
        <v>82</v>
      </c>
      <c r="B16" s="13" t="s">
        <v>83</v>
      </c>
      <c r="C16" s="14">
        <v>44970.493750000001</v>
      </c>
      <c r="D16" s="13" t="s">
        <v>84</v>
      </c>
      <c r="E16" s="15" t="s">
        <v>85</v>
      </c>
      <c r="F16" s="13" t="s">
        <v>86</v>
      </c>
      <c r="G16" s="15" t="s">
        <v>87</v>
      </c>
      <c r="H16" s="13" t="s">
        <v>88</v>
      </c>
      <c r="I16" s="15" t="s">
        <v>89</v>
      </c>
      <c r="J16" s="15" t="s">
        <v>90</v>
      </c>
      <c r="K16" s="15" t="s">
        <v>91</v>
      </c>
      <c r="L16" s="13" t="s">
        <v>105</v>
      </c>
      <c r="M16" s="15" t="s">
        <v>106</v>
      </c>
      <c r="N16" s="13" t="s">
        <v>107</v>
      </c>
      <c r="O16" s="15" t="s">
        <v>108</v>
      </c>
      <c r="P16" s="15" t="s">
        <v>109</v>
      </c>
      <c r="Q16" s="15" t="s">
        <v>116</v>
      </c>
      <c r="R16" s="13" t="s">
        <v>117</v>
      </c>
      <c r="S16" s="13" t="s">
        <v>99</v>
      </c>
      <c r="T16" s="13" t="s">
        <v>100</v>
      </c>
      <c r="U16" s="14">
        <v>43831</v>
      </c>
      <c r="V16" s="14"/>
      <c r="W16" s="15"/>
      <c r="X16" s="15"/>
      <c r="Y16" s="13"/>
      <c r="Z16" s="15"/>
      <c r="AA16" s="15"/>
      <c r="AB16" s="15"/>
      <c r="AC16" s="13"/>
      <c r="AD16" s="15"/>
      <c r="AE16" s="15"/>
      <c r="AF16" s="15"/>
      <c r="AG16" s="13"/>
      <c r="AH16" s="15"/>
      <c r="AI16" s="15"/>
      <c r="AJ16" s="15"/>
      <c r="AK16" s="13"/>
      <c r="AL16" s="15"/>
      <c r="AM16" s="15"/>
      <c r="AN16" s="13"/>
      <c r="AO16" s="13"/>
    </row>
    <row r="17" spans="1:41" ht="72.5" x14ac:dyDescent="0.35">
      <c r="A17" s="13" t="s">
        <v>118</v>
      </c>
      <c r="B17" s="13" t="s">
        <v>119</v>
      </c>
      <c r="C17" s="14">
        <v>45428.472222222219</v>
      </c>
      <c r="D17" s="13" t="s">
        <v>84</v>
      </c>
      <c r="E17" s="15" t="s">
        <v>85</v>
      </c>
      <c r="F17" s="13" t="s">
        <v>86</v>
      </c>
      <c r="G17" s="15" t="s">
        <v>87</v>
      </c>
      <c r="H17" s="13" t="s">
        <v>88</v>
      </c>
      <c r="I17" s="15" t="s">
        <v>89</v>
      </c>
      <c r="J17" s="15" t="s">
        <v>90</v>
      </c>
      <c r="K17" s="15" t="s">
        <v>91</v>
      </c>
      <c r="L17" s="13" t="s">
        <v>92</v>
      </c>
      <c r="M17" s="15" t="s">
        <v>93</v>
      </c>
      <c r="N17" s="13" t="s">
        <v>94</v>
      </c>
      <c r="O17" s="15" t="s">
        <v>95</v>
      </c>
      <c r="P17" s="15" t="s">
        <v>96</v>
      </c>
      <c r="Q17" s="15" t="s">
        <v>120</v>
      </c>
      <c r="R17" s="13" t="s">
        <v>121</v>
      </c>
      <c r="S17" s="13" t="s">
        <v>122</v>
      </c>
      <c r="T17" s="13" t="s">
        <v>123</v>
      </c>
      <c r="U17" s="14">
        <v>43831</v>
      </c>
      <c r="V17" s="14">
        <v>45123</v>
      </c>
      <c r="W17" s="15"/>
      <c r="X17" s="15"/>
      <c r="Y17" s="13"/>
      <c r="Z17" s="15"/>
      <c r="AA17" s="15"/>
      <c r="AB17" s="15"/>
      <c r="AC17" s="13"/>
      <c r="AD17" s="15"/>
      <c r="AE17" s="15"/>
      <c r="AF17" s="15"/>
      <c r="AG17" s="13"/>
      <c r="AH17" s="15"/>
      <c r="AI17" s="15"/>
      <c r="AJ17" s="15"/>
      <c r="AK17" s="13"/>
      <c r="AL17" s="15"/>
      <c r="AM17" s="15"/>
      <c r="AN17" s="13"/>
      <c r="AO17" s="13"/>
    </row>
    <row r="18" spans="1:41" ht="72.5" x14ac:dyDescent="0.35">
      <c r="A18" s="13" t="s">
        <v>118</v>
      </c>
      <c r="B18" s="13" t="s">
        <v>83</v>
      </c>
      <c r="C18" s="14">
        <v>45428.472222222219</v>
      </c>
      <c r="D18" s="13" t="s">
        <v>84</v>
      </c>
      <c r="E18" s="15" t="s">
        <v>85</v>
      </c>
      <c r="F18" s="13" t="s">
        <v>86</v>
      </c>
      <c r="G18" s="15" t="s">
        <v>87</v>
      </c>
      <c r="H18" s="13" t="s">
        <v>88</v>
      </c>
      <c r="I18" s="15" t="s">
        <v>89</v>
      </c>
      <c r="J18" s="15" t="s">
        <v>90</v>
      </c>
      <c r="K18" s="15" t="s">
        <v>91</v>
      </c>
      <c r="L18" s="13" t="s">
        <v>92</v>
      </c>
      <c r="M18" s="15" t="s">
        <v>93</v>
      </c>
      <c r="N18" s="13" t="s">
        <v>94</v>
      </c>
      <c r="O18" s="15" t="s">
        <v>95</v>
      </c>
      <c r="P18" s="15" t="s">
        <v>96</v>
      </c>
      <c r="Q18" s="15" t="s">
        <v>120</v>
      </c>
      <c r="R18" s="13" t="s">
        <v>121</v>
      </c>
      <c r="S18" s="13" t="s">
        <v>122</v>
      </c>
      <c r="T18" s="13" t="s">
        <v>123</v>
      </c>
      <c r="U18" s="14">
        <v>45124</v>
      </c>
      <c r="V18" s="14"/>
      <c r="W18" s="15"/>
      <c r="X18" s="15"/>
      <c r="Y18" s="13"/>
      <c r="Z18" s="15"/>
      <c r="AA18" s="15"/>
      <c r="AB18" s="15"/>
      <c r="AC18" s="13"/>
      <c r="AD18" s="15"/>
      <c r="AE18" s="15"/>
      <c r="AF18" s="15"/>
      <c r="AG18" s="13"/>
      <c r="AH18" s="15"/>
      <c r="AI18" s="15"/>
      <c r="AJ18" s="15"/>
      <c r="AK18" s="13"/>
      <c r="AL18" s="15"/>
      <c r="AM18" s="15"/>
      <c r="AN18" s="13"/>
      <c r="AO18" s="13"/>
    </row>
    <row r="19" spans="1:41" ht="72.5" x14ac:dyDescent="0.35">
      <c r="A19" s="13" t="s">
        <v>82</v>
      </c>
      <c r="B19" s="13" t="s">
        <v>83</v>
      </c>
      <c r="C19" s="14">
        <v>44970.658333333333</v>
      </c>
      <c r="D19" s="13" t="s">
        <v>84</v>
      </c>
      <c r="E19" s="15" t="s">
        <v>85</v>
      </c>
      <c r="F19" s="13" t="s">
        <v>86</v>
      </c>
      <c r="G19" s="15" t="s">
        <v>87</v>
      </c>
      <c r="H19" s="13" t="s">
        <v>88</v>
      </c>
      <c r="I19" s="15" t="s">
        <v>89</v>
      </c>
      <c r="J19" s="15" t="s">
        <v>90</v>
      </c>
      <c r="K19" s="15" t="s">
        <v>91</v>
      </c>
      <c r="L19" s="13" t="s">
        <v>101</v>
      </c>
      <c r="M19" s="15" t="s">
        <v>102</v>
      </c>
      <c r="N19" s="13" t="s">
        <v>94</v>
      </c>
      <c r="O19" s="15" t="s">
        <v>103</v>
      </c>
      <c r="P19" s="15" t="s">
        <v>104</v>
      </c>
      <c r="Q19" s="15" t="s">
        <v>120</v>
      </c>
      <c r="R19" s="13" t="s">
        <v>121</v>
      </c>
      <c r="S19" s="13" t="s">
        <v>122</v>
      </c>
      <c r="T19" s="13" t="s">
        <v>123</v>
      </c>
      <c r="U19" s="14">
        <v>43831</v>
      </c>
      <c r="V19" s="14"/>
      <c r="W19" s="15"/>
      <c r="X19" s="15"/>
      <c r="Y19" s="13"/>
      <c r="Z19" s="15"/>
      <c r="AA19" s="15"/>
      <c r="AB19" s="15"/>
      <c r="AC19" s="13"/>
      <c r="AD19" s="15"/>
      <c r="AE19" s="15"/>
      <c r="AF19" s="15"/>
      <c r="AG19" s="13"/>
      <c r="AH19" s="15"/>
      <c r="AI19" s="15"/>
      <c r="AJ19" s="15"/>
      <c r="AK19" s="13"/>
      <c r="AL19" s="15"/>
      <c r="AM19" s="15"/>
      <c r="AN19" s="13"/>
      <c r="AO19" s="13"/>
    </row>
    <row r="20" spans="1:41" ht="43.5" x14ac:dyDescent="0.35">
      <c r="A20" s="13" t="s">
        <v>82</v>
      </c>
      <c r="B20" s="13" t="s">
        <v>83</v>
      </c>
      <c r="C20" s="14">
        <v>44970.503472222219</v>
      </c>
      <c r="D20" s="13" t="s">
        <v>84</v>
      </c>
      <c r="E20" s="15" t="s">
        <v>85</v>
      </c>
      <c r="F20" s="13" t="s">
        <v>86</v>
      </c>
      <c r="G20" s="15" t="s">
        <v>87</v>
      </c>
      <c r="H20" s="13" t="s">
        <v>88</v>
      </c>
      <c r="I20" s="15" t="s">
        <v>89</v>
      </c>
      <c r="J20" s="15" t="s">
        <v>90</v>
      </c>
      <c r="K20" s="15" t="s">
        <v>91</v>
      </c>
      <c r="L20" s="13" t="s">
        <v>105</v>
      </c>
      <c r="M20" s="15" t="s">
        <v>106</v>
      </c>
      <c r="N20" s="13" t="s">
        <v>107</v>
      </c>
      <c r="O20" s="15" t="s">
        <v>108</v>
      </c>
      <c r="P20" s="15" t="s">
        <v>109</v>
      </c>
      <c r="Q20" s="15" t="s">
        <v>120</v>
      </c>
      <c r="R20" s="13" t="s">
        <v>121</v>
      </c>
      <c r="S20" s="13" t="s">
        <v>122</v>
      </c>
      <c r="T20" s="13" t="s">
        <v>123</v>
      </c>
      <c r="U20" s="14">
        <v>43831</v>
      </c>
      <c r="V20" s="14"/>
      <c r="W20" s="15"/>
      <c r="X20" s="15"/>
      <c r="Y20" s="13"/>
      <c r="Z20" s="15"/>
      <c r="AA20" s="15"/>
      <c r="AB20" s="15"/>
      <c r="AC20" s="13"/>
      <c r="AD20" s="15"/>
      <c r="AE20" s="15"/>
      <c r="AF20" s="15"/>
      <c r="AG20" s="13"/>
      <c r="AH20" s="15"/>
      <c r="AI20" s="15"/>
      <c r="AJ20" s="15"/>
      <c r="AK20" s="13"/>
      <c r="AL20" s="15"/>
      <c r="AM20" s="15"/>
      <c r="AN20" s="13"/>
      <c r="AO20" s="13"/>
    </row>
    <row r="21" spans="1:41" ht="72.5" x14ac:dyDescent="0.35">
      <c r="A21" s="13" t="s">
        <v>118</v>
      </c>
      <c r="B21" s="13" t="s">
        <v>119</v>
      </c>
      <c r="C21" s="14">
        <v>45428.472916666666</v>
      </c>
      <c r="D21" s="13" t="s">
        <v>84</v>
      </c>
      <c r="E21" s="15" t="s">
        <v>85</v>
      </c>
      <c r="F21" s="13" t="s">
        <v>86</v>
      </c>
      <c r="G21" s="15" t="s">
        <v>87</v>
      </c>
      <c r="H21" s="13" t="s">
        <v>88</v>
      </c>
      <c r="I21" s="15" t="s">
        <v>89</v>
      </c>
      <c r="J21" s="15" t="s">
        <v>90</v>
      </c>
      <c r="K21" s="15" t="s">
        <v>91</v>
      </c>
      <c r="L21" s="13" t="s">
        <v>92</v>
      </c>
      <c r="M21" s="15" t="s">
        <v>93</v>
      </c>
      <c r="N21" s="13" t="s">
        <v>94</v>
      </c>
      <c r="O21" s="15" t="s">
        <v>95</v>
      </c>
      <c r="P21" s="15" t="s">
        <v>96</v>
      </c>
      <c r="Q21" s="15" t="s">
        <v>178</v>
      </c>
      <c r="R21" s="13" t="s">
        <v>179</v>
      </c>
      <c r="S21" s="13" t="s">
        <v>122</v>
      </c>
      <c r="T21" s="13" t="s">
        <v>123</v>
      </c>
      <c r="U21" s="14">
        <v>43831</v>
      </c>
      <c r="V21" s="14">
        <v>45123</v>
      </c>
      <c r="W21" s="15"/>
      <c r="X21" s="15"/>
      <c r="Y21" s="13"/>
      <c r="Z21" s="15"/>
      <c r="AA21" s="15"/>
      <c r="AB21" s="15"/>
      <c r="AC21" s="13"/>
      <c r="AD21" s="15"/>
      <c r="AE21" s="15"/>
      <c r="AF21" s="15"/>
      <c r="AG21" s="13"/>
      <c r="AH21" s="15"/>
      <c r="AI21" s="15"/>
      <c r="AJ21" s="15"/>
      <c r="AK21" s="13"/>
      <c r="AL21" s="15"/>
      <c r="AM21" s="15"/>
      <c r="AN21" s="13"/>
      <c r="AO21" s="13"/>
    </row>
    <row r="22" spans="1:41" ht="72.5" x14ac:dyDescent="0.35">
      <c r="A22" s="13" t="s">
        <v>118</v>
      </c>
      <c r="B22" s="13" t="s">
        <v>83</v>
      </c>
      <c r="C22" s="14">
        <v>45428.472916666666</v>
      </c>
      <c r="D22" s="13" t="s">
        <v>84</v>
      </c>
      <c r="E22" s="15" t="s">
        <v>85</v>
      </c>
      <c r="F22" s="13" t="s">
        <v>86</v>
      </c>
      <c r="G22" s="15" t="s">
        <v>87</v>
      </c>
      <c r="H22" s="13" t="s">
        <v>88</v>
      </c>
      <c r="I22" s="15" t="s">
        <v>89</v>
      </c>
      <c r="J22" s="15" t="s">
        <v>90</v>
      </c>
      <c r="K22" s="15" t="s">
        <v>91</v>
      </c>
      <c r="L22" s="13" t="s">
        <v>92</v>
      </c>
      <c r="M22" s="15" t="s">
        <v>93</v>
      </c>
      <c r="N22" s="13" t="s">
        <v>94</v>
      </c>
      <c r="O22" s="15" t="s">
        <v>95</v>
      </c>
      <c r="P22" s="15" t="s">
        <v>96</v>
      </c>
      <c r="Q22" s="15" t="s">
        <v>178</v>
      </c>
      <c r="R22" s="13" t="s">
        <v>179</v>
      </c>
      <c r="S22" s="13" t="s">
        <v>122</v>
      </c>
      <c r="T22" s="13" t="s">
        <v>123</v>
      </c>
      <c r="U22" s="14">
        <v>45124</v>
      </c>
      <c r="V22" s="14"/>
      <c r="W22" s="15"/>
      <c r="X22" s="15"/>
      <c r="Y22" s="13"/>
      <c r="Z22" s="15"/>
      <c r="AA22" s="15"/>
      <c r="AB22" s="15"/>
      <c r="AC22" s="13"/>
      <c r="AD22" s="15"/>
      <c r="AE22" s="15"/>
      <c r="AF22" s="15"/>
      <c r="AG22" s="13"/>
      <c r="AH22" s="15"/>
      <c r="AI22" s="15"/>
      <c r="AJ22" s="15"/>
      <c r="AK22" s="13"/>
      <c r="AL22" s="15"/>
      <c r="AM22" s="15"/>
      <c r="AN22" s="13"/>
      <c r="AO22" s="13"/>
    </row>
    <row r="23" spans="1:41" ht="72.5" x14ac:dyDescent="0.35">
      <c r="A23" s="13" t="s">
        <v>82</v>
      </c>
      <c r="B23" s="13" t="s">
        <v>83</v>
      </c>
      <c r="C23" s="14">
        <v>44970.670138888891</v>
      </c>
      <c r="D23" s="13" t="s">
        <v>84</v>
      </c>
      <c r="E23" s="15" t="s">
        <v>85</v>
      </c>
      <c r="F23" s="13" t="s">
        <v>86</v>
      </c>
      <c r="G23" s="15" t="s">
        <v>87</v>
      </c>
      <c r="H23" s="13" t="s">
        <v>88</v>
      </c>
      <c r="I23" s="15" t="s">
        <v>89</v>
      </c>
      <c r="J23" s="15" t="s">
        <v>90</v>
      </c>
      <c r="K23" s="15" t="s">
        <v>91</v>
      </c>
      <c r="L23" s="13" t="s">
        <v>101</v>
      </c>
      <c r="M23" s="15" t="s">
        <v>102</v>
      </c>
      <c r="N23" s="13" t="s">
        <v>94</v>
      </c>
      <c r="O23" s="15" t="s">
        <v>103</v>
      </c>
      <c r="P23" s="15" t="s">
        <v>104</v>
      </c>
      <c r="Q23" s="15" t="s">
        <v>178</v>
      </c>
      <c r="R23" s="13" t="s">
        <v>179</v>
      </c>
      <c r="S23" s="13" t="s">
        <v>122</v>
      </c>
      <c r="T23" s="13" t="s">
        <v>123</v>
      </c>
      <c r="U23" s="14">
        <v>43831</v>
      </c>
      <c r="V23" s="14"/>
      <c r="W23" s="15"/>
      <c r="X23" s="15"/>
      <c r="Y23" s="13"/>
      <c r="Z23" s="15"/>
      <c r="AA23" s="15"/>
      <c r="AB23" s="15"/>
      <c r="AC23" s="13"/>
      <c r="AD23" s="15"/>
      <c r="AE23" s="15"/>
      <c r="AF23" s="15"/>
      <c r="AG23" s="13"/>
      <c r="AH23" s="15"/>
      <c r="AI23" s="15"/>
      <c r="AJ23" s="15"/>
      <c r="AK23" s="13"/>
      <c r="AL23" s="15"/>
      <c r="AM23" s="15"/>
      <c r="AN23" s="13"/>
      <c r="AO23" s="13"/>
    </row>
    <row r="24" spans="1:41" ht="43.5" x14ac:dyDescent="0.35">
      <c r="A24" s="13" t="s">
        <v>82</v>
      </c>
      <c r="B24" s="13" t="s">
        <v>83</v>
      </c>
      <c r="C24" s="14">
        <v>44970.506249999999</v>
      </c>
      <c r="D24" s="13" t="s">
        <v>84</v>
      </c>
      <c r="E24" s="15" t="s">
        <v>85</v>
      </c>
      <c r="F24" s="13" t="s">
        <v>86</v>
      </c>
      <c r="G24" s="15" t="s">
        <v>87</v>
      </c>
      <c r="H24" s="13" t="s">
        <v>88</v>
      </c>
      <c r="I24" s="15" t="s">
        <v>89</v>
      </c>
      <c r="J24" s="15" t="s">
        <v>90</v>
      </c>
      <c r="K24" s="15" t="s">
        <v>91</v>
      </c>
      <c r="L24" s="13" t="s">
        <v>105</v>
      </c>
      <c r="M24" s="15" t="s">
        <v>106</v>
      </c>
      <c r="N24" s="13" t="s">
        <v>107</v>
      </c>
      <c r="O24" s="15" t="s">
        <v>108</v>
      </c>
      <c r="P24" s="15" t="s">
        <v>109</v>
      </c>
      <c r="Q24" s="15" t="s">
        <v>178</v>
      </c>
      <c r="R24" s="13" t="s">
        <v>179</v>
      </c>
      <c r="S24" s="13" t="s">
        <v>122</v>
      </c>
      <c r="T24" s="13" t="s">
        <v>123</v>
      </c>
      <c r="U24" s="14">
        <v>43831</v>
      </c>
      <c r="V24" s="14"/>
      <c r="W24" s="15"/>
      <c r="X24" s="15"/>
      <c r="Y24" s="13"/>
      <c r="Z24" s="15"/>
      <c r="AA24" s="15"/>
      <c r="AB24" s="15"/>
      <c r="AC24" s="13"/>
      <c r="AD24" s="15"/>
      <c r="AE24" s="15"/>
      <c r="AF24" s="15"/>
      <c r="AG24" s="13"/>
      <c r="AH24" s="15"/>
      <c r="AI24" s="15"/>
      <c r="AJ24" s="15"/>
      <c r="AK24" s="13"/>
      <c r="AL24" s="15"/>
      <c r="AM24" s="15"/>
      <c r="AN24" s="13"/>
      <c r="AO24" s="13"/>
    </row>
    <row r="25" spans="1:41" ht="72.5" x14ac:dyDescent="0.35">
      <c r="A25" s="13" t="s">
        <v>82</v>
      </c>
      <c r="B25" s="13" t="s">
        <v>83</v>
      </c>
      <c r="C25" s="14">
        <v>44970.494444444441</v>
      </c>
      <c r="D25" s="13" t="s">
        <v>84</v>
      </c>
      <c r="E25" s="15" t="s">
        <v>85</v>
      </c>
      <c r="F25" s="13" t="s">
        <v>86</v>
      </c>
      <c r="G25" s="15" t="s">
        <v>87</v>
      </c>
      <c r="H25" s="13" t="s">
        <v>190</v>
      </c>
      <c r="I25" s="15" t="s">
        <v>191</v>
      </c>
      <c r="J25" s="15" t="s">
        <v>192</v>
      </c>
      <c r="K25" s="15" t="s">
        <v>193</v>
      </c>
      <c r="L25" s="13" t="s">
        <v>194</v>
      </c>
      <c r="M25" s="15" t="s">
        <v>195</v>
      </c>
      <c r="N25" s="13" t="s">
        <v>94</v>
      </c>
      <c r="O25" s="15" t="s">
        <v>95</v>
      </c>
      <c r="P25" s="15" t="s">
        <v>96</v>
      </c>
      <c r="Q25" s="15" t="s">
        <v>97</v>
      </c>
      <c r="R25" s="13" t="s">
        <v>98</v>
      </c>
      <c r="S25" s="13" t="s">
        <v>99</v>
      </c>
      <c r="T25" s="13" t="s">
        <v>100</v>
      </c>
      <c r="U25" s="14">
        <v>43831</v>
      </c>
      <c r="V25" s="14"/>
      <c r="W25" s="15"/>
      <c r="X25" s="15"/>
      <c r="Y25" s="13"/>
      <c r="Z25" s="15"/>
      <c r="AA25" s="15"/>
      <c r="AB25" s="15"/>
      <c r="AC25" s="13"/>
      <c r="AD25" s="15"/>
      <c r="AE25" s="15"/>
      <c r="AF25" s="15"/>
      <c r="AG25" s="13"/>
      <c r="AH25" s="15"/>
      <c r="AI25" s="15"/>
      <c r="AJ25" s="15"/>
      <c r="AK25" s="13"/>
      <c r="AL25" s="15"/>
      <c r="AM25" s="15"/>
      <c r="AN25" s="13"/>
      <c r="AO25" s="13"/>
    </row>
    <row r="26" spans="1:41" ht="72.5" x14ac:dyDescent="0.35">
      <c r="A26" s="13" t="s">
        <v>82</v>
      </c>
      <c r="B26" s="13" t="s">
        <v>83</v>
      </c>
      <c r="C26" s="14">
        <v>44970.5</v>
      </c>
      <c r="D26" s="13" t="s">
        <v>84</v>
      </c>
      <c r="E26" s="15" t="s">
        <v>85</v>
      </c>
      <c r="F26" s="13" t="s">
        <v>86</v>
      </c>
      <c r="G26" s="15" t="s">
        <v>87</v>
      </c>
      <c r="H26" s="13" t="s">
        <v>190</v>
      </c>
      <c r="I26" s="15" t="s">
        <v>191</v>
      </c>
      <c r="J26" s="15" t="s">
        <v>192</v>
      </c>
      <c r="K26" s="15" t="s">
        <v>193</v>
      </c>
      <c r="L26" s="13" t="s">
        <v>196</v>
      </c>
      <c r="M26" s="15" t="s">
        <v>197</v>
      </c>
      <c r="N26" s="13" t="s">
        <v>94</v>
      </c>
      <c r="O26" s="15" t="s">
        <v>103</v>
      </c>
      <c r="P26" s="15" t="s">
        <v>104</v>
      </c>
      <c r="Q26" s="15" t="s">
        <v>97</v>
      </c>
      <c r="R26" s="13" t="s">
        <v>98</v>
      </c>
      <c r="S26" s="13" t="s">
        <v>99</v>
      </c>
      <c r="T26" s="13" t="s">
        <v>100</v>
      </c>
      <c r="U26" s="14">
        <v>43831</v>
      </c>
      <c r="V26" s="14"/>
      <c r="W26" s="15"/>
      <c r="X26" s="15"/>
      <c r="Y26" s="13"/>
      <c r="Z26" s="15"/>
      <c r="AA26" s="15"/>
      <c r="AB26" s="15"/>
      <c r="AC26" s="13"/>
      <c r="AD26" s="15"/>
      <c r="AE26" s="15"/>
      <c r="AF26" s="15"/>
      <c r="AG26" s="13"/>
      <c r="AH26" s="15"/>
      <c r="AI26" s="15"/>
      <c r="AJ26" s="15"/>
      <c r="AK26" s="13"/>
      <c r="AL26" s="15"/>
      <c r="AM26" s="15"/>
      <c r="AN26" s="13"/>
      <c r="AO26" s="13"/>
    </row>
    <row r="27" spans="1:41" ht="58" x14ac:dyDescent="0.35">
      <c r="A27" s="13" t="s">
        <v>82</v>
      </c>
      <c r="B27" s="13" t="s">
        <v>83</v>
      </c>
      <c r="C27" s="14">
        <v>44970.495833333334</v>
      </c>
      <c r="D27" s="13" t="s">
        <v>84</v>
      </c>
      <c r="E27" s="15" t="s">
        <v>85</v>
      </c>
      <c r="F27" s="13" t="s">
        <v>86</v>
      </c>
      <c r="G27" s="15" t="s">
        <v>87</v>
      </c>
      <c r="H27" s="13" t="s">
        <v>190</v>
      </c>
      <c r="I27" s="15" t="s">
        <v>191</v>
      </c>
      <c r="J27" s="15" t="s">
        <v>192</v>
      </c>
      <c r="K27" s="15" t="s">
        <v>193</v>
      </c>
      <c r="L27" s="13" t="s">
        <v>198</v>
      </c>
      <c r="M27" s="15" t="s">
        <v>199</v>
      </c>
      <c r="N27" s="13" t="s">
        <v>107</v>
      </c>
      <c r="O27" s="15" t="s">
        <v>108</v>
      </c>
      <c r="P27" s="15" t="s">
        <v>109</v>
      </c>
      <c r="Q27" s="15" t="s">
        <v>97</v>
      </c>
      <c r="R27" s="13" t="s">
        <v>98</v>
      </c>
      <c r="S27" s="13" t="s">
        <v>99</v>
      </c>
      <c r="T27" s="13" t="s">
        <v>100</v>
      </c>
      <c r="U27" s="14">
        <v>43831</v>
      </c>
      <c r="V27" s="14"/>
      <c r="W27" s="15"/>
      <c r="X27" s="15"/>
      <c r="Y27" s="13"/>
      <c r="Z27" s="15"/>
      <c r="AA27" s="15"/>
      <c r="AB27" s="15"/>
      <c r="AC27" s="13"/>
      <c r="AD27" s="15"/>
      <c r="AE27" s="15"/>
      <c r="AF27" s="15"/>
      <c r="AG27" s="13"/>
      <c r="AH27" s="15"/>
      <c r="AI27" s="15"/>
      <c r="AJ27" s="15"/>
      <c r="AK27" s="13"/>
      <c r="AL27" s="15"/>
      <c r="AM27" s="15"/>
      <c r="AN27" s="13"/>
      <c r="AO27" s="13"/>
    </row>
    <row r="28" spans="1:41" ht="72.5" x14ac:dyDescent="0.35">
      <c r="A28" s="13" t="s">
        <v>82</v>
      </c>
      <c r="B28" s="13" t="s">
        <v>83</v>
      </c>
      <c r="C28" s="14">
        <v>44970.495138888888</v>
      </c>
      <c r="D28" s="13" t="s">
        <v>84</v>
      </c>
      <c r="E28" s="15" t="s">
        <v>85</v>
      </c>
      <c r="F28" s="13" t="s">
        <v>86</v>
      </c>
      <c r="G28" s="15" t="s">
        <v>87</v>
      </c>
      <c r="H28" s="13" t="s">
        <v>190</v>
      </c>
      <c r="I28" s="15" t="s">
        <v>191</v>
      </c>
      <c r="J28" s="15" t="s">
        <v>192</v>
      </c>
      <c r="K28" s="15" t="s">
        <v>193</v>
      </c>
      <c r="L28" s="13" t="s">
        <v>194</v>
      </c>
      <c r="M28" s="15" t="s">
        <v>195</v>
      </c>
      <c r="N28" s="13" t="s">
        <v>94</v>
      </c>
      <c r="O28" s="15" t="s">
        <v>95</v>
      </c>
      <c r="P28" s="15" t="s">
        <v>96</v>
      </c>
      <c r="Q28" s="15" t="s">
        <v>110</v>
      </c>
      <c r="R28" s="13" t="s">
        <v>111</v>
      </c>
      <c r="S28" s="13" t="s">
        <v>99</v>
      </c>
      <c r="T28" s="13" t="s">
        <v>100</v>
      </c>
      <c r="U28" s="14">
        <v>43831</v>
      </c>
      <c r="V28" s="14"/>
      <c r="W28" s="15"/>
      <c r="X28" s="15"/>
      <c r="Y28" s="13"/>
      <c r="Z28" s="15"/>
      <c r="AA28" s="15"/>
      <c r="AB28" s="15"/>
      <c r="AC28" s="13"/>
      <c r="AD28" s="15"/>
      <c r="AE28" s="15"/>
      <c r="AF28" s="15"/>
      <c r="AG28" s="13"/>
      <c r="AH28" s="15"/>
      <c r="AI28" s="15"/>
      <c r="AJ28" s="15"/>
      <c r="AK28" s="13"/>
      <c r="AL28" s="15"/>
      <c r="AM28" s="15"/>
      <c r="AN28" s="13"/>
      <c r="AO28" s="13"/>
    </row>
    <row r="29" spans="1:41" ht="72.5" x14ac:dyDescent="0.35">
      <c r="A29" s="13" t="s">
        <v>82</v>
      </c>
      <c r="B29" s="13" t="s">
        <v>83</v>
      </c>
      <c r="C29" s="14">
        <v>44970.498611111114</v>
      </c>
      <c r="D29" s="13" t="s">
        <v>84</v>
      </c>
      <c r="E29" s="15" t="s">
        <v>85</v>
      </c>
      <c r="F29" s="13" t="s">
        <v>86</v>
      </c>
      <c r="G29" s="15" t="s">
        <v>87</v>
      </c>
      <c r="H29" s="13" t="s">
        <v>190</v>
      </c>
      <c r="I29" s="15" t="s">
        <v>191</v>
      </c>
      <c r="J29" s="15" t="s">
        <v>192</v>
      </c>
      <c r="K29" s="15" t="s">
        <v>193</v>
      </c>
      <c r="L29" s="13" t="s">
        <v>196</v>
      </c>
      <c r="M29" s="15" t="s">
        <v>197</v>
      </c>
      <c r="N29" s="13" t="s">
        <v>94</v>
      </c>
      <c r="O29" s="15" t="s">
        <v>103</v>
      </c>
      <c r="P29" s="15" t="s">
        <v>104</v>
      </c>
      <c r="Q29" s="15" t="s">
        <v>110</v>
      </c>
      <c r="R29" s="13" t="s">
        <v>111</v>
      </c>
      <c r="S29" s="13" t="s">
        <v>99</v>
      </c>
      <c r="T29" s="13" t="s">
        <v>100</v>
      </c>
      <c r="U29" s="14">
        <v>43831</v>
      </c>
      <c r="V29" s="14"/>
      <c r="W29" s="15"/>
      <c r="X29" s="15"/>
      <c r="Y29" s="13"/>
      <c r="Z29" s="15"/>
      <c r="AA29" s="15"/>
      <c r="AB29" s="15"/>
      <c r="AC29" s="13"/>
      <c r="AD29" s="15"/>
      <c r="AE29" s="15"/>
      <c r="AF29" s="15"/>
      <c r="AG29" s="13"/>
      <c r="AH29" s="15"/>
      <c r="AI29" s="15"/>
      <c r="AJ29" s="15"/>
      <c r="AK29" s="13"/>
      <c r="AL29" s="15"/>
      <c r="AM29" s="15"/>
      <c r="AN29" s="13"/>
      <c r="AO29" s="13"/>
    </row>
    <row r="30" spans="1:41" ht="58" x14ac:dyDescent="0.35">
      <c r="A30" s="13" t="s">
        <v>82</v>
      </c>
      <c r="B30" s="13" t="s">
        <v>83</v>
      </c>
      <c r="C30" s="14">
        <v>44970.495833333334</v>
      </c>
      <c r="D30" s="13" t="s">
        <v>84</v>
      </c>
      <c r="E30" s="15" t="s">
        <v>85</v>
      </c>
      <c r="F30" s="13" t="s">
        <v>86</v>
      </c>
      <c r="G30" s="15" t="s">
        <v>87</v>
      </c>
      <c r="H30" s="13" t="s">
        <v>190</v>
      </c>
      <c r="I30" s="15" t="s">
        <v>191</v>
      </c>
      <c r="J30" s="15" t="s">
        <v>192</v>
      </c>
      <c r="K30" s="15" t="s">
        <v>193</v>
      </c>
      <c r="L30" s="13" t="s">
        <v>198</v>
      </c>
      <c r="M30" s="15" t="s">
        <v>199</v>
      </c>
      <c r="N30" s="13" t="s">
        <v>107</v>
      </c>
      <c r="O30" s="15" t="s">
        <v>108</v>
      </c>
      <c r="P30" s="15" t="s">
        <v>109</v>
      </c>
      <c r="Q30" s="15" t="s">
        <v>110</v>
      </c>
      <c r="R30" s="13" t="s">
        <v>111</v>
      </c>
      <c r="S30" s="13" t="s">
        <v>99</v>
      </c>
      <c r="T30" s="13" t="s">
        <v>100</v>
      </c>
      <c r="U30" s="14">
        <v>43831</v>
      </c>
      <c r="V30" s="14"/>
      <c r="W30" s="15"/>
      <c r="X30" s="15"/>
      <c r="Y30" s="13"/>
      <c r="Z30" s="15"/>
      <c r="AA30" s="15"/>
      <c r="AB30" s="15"/>
      <c r="AC30" s="13"/>
      <c r="AD30" s="15"/>
      <c r="AE30" s="15"/>
      <c r="AF30" s="15"/>
      <c r="AG30" s="13"/>
      <c r="AH30" s="15"/>
      <c r="AI30" s="15"/>
      <c r="AJ30" s="15"/>
      <c r="AK30" s="13"/>
      <c r="AL30" s="15"/>
      <c r="AM30" s="15"/>
      <c r="AN30" s="13"/>
      <c r="AO30" s="13"/>
    </row>
    <row r="31" spans="1:41" ht="72.5" x14ac:dyDescent="0.35">
      <c r="A31" s="13" t="s">
        <v>82</v>
      </c>
      <c r="B31" s="13" t="s">
        <v>83</v>
      </c>
      <c r="C31" s="14">
        <v>44970.495138888888</v>
      </c>
      <c r="D31" s="13" t="s">
        <v>84</v>
      </c>
      <c r="E31" s="15" t="s">
        <v>85</v>
      </c>
      <c r="F31" s="13" t="s">
        <v>86</v>
      </c>
      <c r="G31" s="15" t="s">
        <v>87</v>
      </c>
      <c r="H31" s="13" t="s">
        <v>190</v>
      </c>
      <c r="I31" s="15" t="s">
        <v>191</v>
      </c>
      <c r="J31" s="15" t="s">
        <v>192</v>
      </c>
      <c r="K31" s="15" t="s">
        <v>193</v>
      </c>
      <c r="L31" s="13" t="s">
        <v>194</v>
      </c>
      <c r="M31" s="15" t="s">
        <v>195</v>
      </c>
      <c r="N31" s="13" t="s">
        <v>94</v>
      </c>
      <c r="O31" s="15" t="s">
        <v>95</v>
      </c>
      <c r="P31" s="15" t="s">
        <v>96</v>
      </c>
      <c r="Q31" s="15" t="s">
        <v>112</v>
      </c>
      <c r="R31" s="13" t="s">
        <v>113</v>
      </c>
      <c r="S31" s="13" t="s">
        <v>99</v>
      </c>
      <c r="T31" s="13" t="s">
        <v>100</v>
      </c>
      <c r="U31" s="14">
        <v>43831</v>
      </c>
      <c r="V31" s="14"/>
      <c r="W31" s="15"/>
      <c r="X31" s="15"/>
      <c r="Y31" s="13"/>
      <c r="Z31" s="15"/>
      <c r="AA31" s="15"/>
      <c r="AB31" s="15"/>
      <c r="AC31" s="13"/>
      <c r="AD31" s="15"/>
      <c r="AE31" s="15"/>
      <c r="AF31" s="15"/>
      <c r="AG31" s="13"/>
      <c r="AH31" s="15"/>
      <c r="AI31" s="15"/>
      <c r="AJ31" s="15"/>
      <c r="AK31" s="13"/>
      <c r="AL31" s="15"/>
      <c r="AM31" s="15"/>
      <c r="AN31" s="13"/>
      <c r="AO31" s="13"/>
    </row>
    <row r="32" spans="1:41" ht="72.5" x14ac:dyDescent="0.35">
      <c r="A32" s="13" t="s">
        <v>82</v>
      </c>
      <c r="B32" s="13" t="s">
        <v>83</v>
      </c>
      <c r="C32" s="14">
        <v>44970.499305555553</v>
      </c>
      <c r="D32" s="13" t="s">
        <v>84</v>
      </c>
      <c r="E32" s="15" t="s">
        <v>85</v>
      </c>
      <c r="F32" s="13" t="s">
        <v>86</v>
      </c>
      <c r="G32" s="15" t="s">
        <v>87</v>
      </c>
      <c r="H32" s="13" t="s">
        <v>190</v>
      </c>
      <c r="I32" s="15" t="s">
        <v>191</v>
      </c>
      <c r="J32" s="15" t="s">
        <v>192</v>
      </c>
      <c r="K32" s="15" t="s">
        <v>193</v>
      </c>
      <c r="L32" s="13" t="s">
        <v>196</v>
      </c>
      <c r="M32" s="15" t="s">
        <v>197</v>
      </c>
      <c r="N32" s="13" t="s">
        <v>94</v>
      </c>
      <c r="O32" s="15" t="s">
        <v>103</v>
      </c>
      <c r="P32" s="15" t="s">
        <v>104</v>
      </c>
      <c r="Q32" s="15" t="s">
        <v>112</v>
      </c>
      <c r="R32" s="13" t="s">
        <v>113</v>
      </c>
      <c r="S32" s="13" t="s">
        <v>99</v>
      </c>
      <c r="T32" s="13" t="s">
        <v>100</v>
      </c>
      <c r="U32" s="14">
        <v>43831</v>
      </c>
      <c r="V32" s="14"/>
      <c r="W32" s="15"/>
      <c r="X32" s="15"/>
      <c r="Y32" s="13"/>
      <c r="Z32" s="15"/>
      <c r="AA32" s="15"/>
      <c r="AB32" s="15"/>
      <c r="AC32" s="13"/>
      <c r="AD32" s="15"/>
      <c r="AE32" s="15"/>
      <c r="AF32" s="15"/>
      <c r="AG32" s="13"/>
      <c r="AH32" s="15"/>
      <c r="AI32" s="15"/>
      <c r="AJ32" s="15"/>
      <c r="AK32" s="13"/>
      <c r="AL32" s="15"/>
      <c r="AM32" s="15"/>
      <c r="AN32" s="13"/>
      <c r="AO32" s="13"/>
    </row>
    <row r="33" spans="1:41" ht="58" x14ac:dyDescent="0.35">
      <c r="A33" s="13" t="s">
        <v>82</v>
      </c>
      <c r="B33" s="13" t="s">
        <v>83</v>
      </c>
      <c r="C33" s="14">
        <v>44970.495833333334</v>
      </c>
      <c r="D33" s="13" t="s">
        <v>84</v>
      </c>
      <c r="E33" s="15" t="s">
        <v>85</v>
      </c>
      <c r="F33" s="13" t="s">
        <v>86</v>
      </c>
      <c r="G33" s="15" t="s">
        <v>87</v>
      </c>
      <c r="H33" s="13" t="s">
        <v>190</v>
      </c>
      <c r="I33" s="15" t="s">
        <v>191</v>
      </c>
      <c r="J33" s="15" t="s">
        <v>192</v>
      </c>
      <c r="K33" s="15" t="s">
        <v>193</v>
      </c>
      <c r="L33" s="13" t="s">
        <v>198</v>
      </c>
      <c r="M33" s="15" t="s">
        <v>199</v>
      </c>
      <c r="N33" s="13" t="s">
        <v>107</v>
      </c>
      <c r="O33" s="15" t="s">
        <v>108</v>
      </c>
      <c r="P33" s="15" t="s">
        <v>109</v>
      </c>
      <c r="Q33" s="15" t="s">
        <v>112</v>
      </c>
      <c r="R33" s="13" t="s">
        <v>113</v>
      </c>
      <c r="S33" s="13" t="s">
        <v>99</v>
      </c>
      <c r="T33" s="13" t="s">
        <v>100</v>
      </c>
      <c r="U33" s="14">
        <v>43831</v>
      </c>
      <c r="V33" s="14"/>
      <c r="W33" s="15"/>
      <c r="X33" s="15"/>
      <c r="Y33" s="13"/>
      <c r="Z33" s="15"/>
      <c r="AA33" s="15"/>
      <c r="AB33" s="15"/>
      <c r="AC33" s="13"/>
      <c r="AD33" s="15"/>
      <c r="AE33" s="15"/>
      <c r="AF33" s="15"/>
      <c r="AG33" s="13"/>
      <c r="AH33" s="15"/>
      <c r="AI33" s="15"/>
      <c r="AJ33" s="15"/>
      <c r="AK33" s="13"/>
      <c r="AL33" s="15"/>
      <c r="AM33" s="15"/>
      <c r="AN33" s="13"/>
      <c r="AO33" s="13"/>
    </row>
    <row r="34" spans="1:41" ht="72.5" x14ac:dyDescent="0.35">
      <c r="A34" s="13" t="s">
        <v>82</v>
      </c>
      <c r="B34" s="13" t="s">
        <v>83</v>
      </c>
      <c r="C34" s="14">
        <v>44970.495138888888</v>
      </c>
      <c r="D34" s="13" t="s">
        <v>84</v>
      </c>
      <c r="E34" s="15" t="s">
        <v>85</v>
      </c>
      <c r="F34" s="13" t="s">
        <v>86</v>
      </c>
      <c r="G34" s="15" t="s">
        <v>87</v>
      </c>
      <c r="H34" s="13" t="s">
        <v>190</v>
      </c>
      <c r="I34" s="15" t="s">
        <v>191</v>
      </c>
      <c r="J34" s="15" t="s">
        <v>192</v>
      </c>
      <c r="K34" s="15" t="s">
        <v>193</v>
      </c>
      <c r="L34" s="13" t="s">
        <v>194</v>
      </c>
      <c r="M34" s="15" t="s">
        <v>195</v>
      </c>
      <c r="N34" s="13" t="s">
        <v>94</v>
      </c>
      <c r="O34" s="15" t="s">
        <v>95</v>
      </c>
      <c r="P34" s="15" t="s">
        <v>96</v>
      </c>
      <c r="Q34" s="15" t="s">
        <v>114</v>
      </c>
      <c r="R34" s="13" t="s">
        <v>115</v>
      </c>
      <c r="S34" s="13" t="s">
        <v>99</v>
      </c>
      <c r="T34" s="13" t="s">
        <v>100</v>
      </c>
      <c r="U34" s="14">
        <v>43831</v>
      </c>
      <c r="V34" s="14"/>
      <c r="W34" s="15"/>
      <c r="X34" s="15"/>
      <c r="Y34" s="13"/>
      <c r="Z34" s="15"/>
      <c r="AA34" s="15"/>
      <c r="AB34" s="15"/>
      <c r="AC34" s="13"/>
      <c r="AD34" s="15"/>
      <c r="AE34" s="15"/>
      <c r="AF34" s="15"/>
      <c r="AG34" s="13"/>
      <c r="AH34" s="15"/>
      <c r="AI34" s="15"/>
      <c r="AJ34" s="15"/>
      <c r="AK34" s="13"/>
      <c r="AL34" s="15"/>
      <c r="AM34" s="15"/>
      <c r="AN34" s="13"/>
      <c r="AO34" s="13"/>
    </row>
    <row r="35" spans="1:41" ht="72.5" x14ac:dyDescent="0.35">
      <c r="A35" s="13" t="s">
        <v>82</v>
      </c>
      <c r="B35" s="13" t="s">
        <v>83</v>
      </c>
      <c r="C35" s="14">
        <v>44974.558333333334</v>
      </c>
      <c r="D35" s="13" t="s">
        <v>84</v>
      </c>
      <c r="E35" s="15" t="s">
        <v>85</v>
      </c>
      <c r="F35" s="13" t="s">
        <v>86</v>
      </c>
      <c r="G35" s="15" t="s">
        <v>87</v>
      </c>
      <c r="H35" s="13" t="s">
        <v>190</v>
      </c>
      <c r="I35" s="15" t="s">
        <v>191</v>
      </c>
      <c r="J35" s="15" t="s">
        <v>192</v>
      </c>
      <c r="K35" s="15" t="s">
        <v>193</v>
      </c>
      <c r="L35" s="13" t="s">
        <v>196</v>
      </c>
      <c r="M35" s="15" t="s">
        <v>197</v>
      </c>
      <c r="N35" s="13" t="s">
        <v>94</v>
      </c>
      <c r="O35" s="15" t="s">
        <v>103</v>
      </c>
      <c r="P35" s="15" t="s">
        <v>104</v>
      </c>
      <c r="Q35" s="15" t="s">
        <v>114</v>
      </c>
      <c r="R35" s="13" t="s">
        <v>115</v>
      </c>
      <c r="S35" s="13" t="s">
        <v>99</v>
      </c>
      <c r="T35" s="13" t="s">
        <v>100</v>
      </c>
      <c r="U35" s="14">
        <v>43832</v>
      </c>
      <c r="V35" s="14"/>
      <c r="W35" s="15"/>
      <c r="X35" s="15"/>
      <c r="Y35" s="13"/>
      <c r="Z35" s="15"/>
      <c r="AA35" s="15"/>
      <c r="AB35" s="15"/>
      <c r="AC35" s="13"/>
      <c r="AD35" s="15"/>
      <c r="AE35" s="15"/>
      <c r="AF35" s="15"/>
      <c r="AG35" s="13"/>
      <c r="AH35" s="15"/>
      <c r="AI35" s="15"/>
      <c r="AJ35" s="15"/>
      <c r="AK35" s="13"/>
      <c r="AL35" s="15"/>
      <c r="AM35" s="15"/>
      <c r="AN35" s="13"/>
      <c r="AO35" s="13"/>
    </row>
    <row r="36" spans="1:41" ht="58" x14ac:dyDescent="0.35">
      <c r="A36" s="13" t="s">
        <v>82</v>
      </c>
      <c r="B36" s="13" t="s">
        <v>83</v>
      </c>
      <c r="C36" s="14">
        <v>44974.557638888888</v>
      </c>
      <c r="D36" s="13" t="s">
        <v>84</v>
      </c>
      <c r="E36" s="15" t="s">
        <v>85</v>
      </c>
      <c r="F36" s="13" t="s">
        <v>86</v>
      </c>
      <c r="G36" s="15" t="s">
        <v>87</v>
      </c>
      <c r="H36" s="13" t="s">
        <v>190</v>
      </c>
      <c r="I36" s="15" t="s">
        <v>191</v>
      </c>
      <c r="J36" s="15" t="s">
        <v>192</v>
      </c>
      <c r="K36" s="15" t="s">
        <v>193</v>
      </c>
      <c r="L36" s="13" t="s">
        <v>198</v>
      </c>
      <c r="M36" s="15" t="s">
        <v>199</v>
      </c>
      <c r="N36" s="13" t="s">
        <v>107</v>
      </c>
      <c r="O36" s="15" t="s">
        <v>108</v>
      </c>
      <c r="P36" s="15" t="s">
        <v>109</v>
      </c>
      <c r="Q36" s="15" t="s">
        <v>114</v>
      </c>
      <c r="R36" s="13" t="s">
        <v>115</v>
      </c>
      <c r="S36" s="13" t="s">
        <v>99</v>
      </c>
      <c r="T36" s="13" t="s">
        <v>100</v>
      </c>
      <c r="U36" s="14">
        <v>43833</v>
      </c>
      <c r="V36" s="14"/>
      <c r="W36" s="15"/>
      <c r="X36" s="15"/>
      <c r="Y36" s="13"/>
      <c r="Z36" s="15"/>
      <c r="AA36" s="15"/>
      <c r="AB36" s="15"/>
      <c r="AC36" s="13"/>
      <c r="AD36" s="15"/>
      <c r="AE36" s="15"/>
      <c r="AF36" s="15"/>
      <c r="AG36" s="13"/>
      <c r="AH36" s="15"/>
      <c r="AI36" s="15"/>
      <c r="AJ36" s="15"/>
      <c r="AK36" s="13"/>
      <c r="AL36" s="15"/>
      <c r="AM36" s="15"/>
      <c r="AN36" s="13"/>
      <c r="AO36" s="13"/>
    </row>
    <row r="37" spans="1:41" ht="72.5" x14ac:dyDescent="0.35">
      <c r="A37" s="13" t="s">
        <v>82</v>
      </c>
      <c r="B37" s="13" t="s">
        <v>83</v>
      </c>
      <c r="C37" s="14">
        <v>44970.495138888888</v>
      </c>
      <c r="D37" s="13" t="s">
        <v>84</v>
      </c>
      <c r="E37" s="15" t="s">
        <v>85</v>
      </c>
      <c r="F37" s="13" t="s">
        <v>86</v>
      </c>
      <c r="G37" s="15" t="s">
        <v>87</v>
      </c>
      <c r="H37" s="13" t="s">
        <v>190</v>
      </c>
      <c r="I37" s="15" t="s">
        <v>191</v>
      </c>
      <c r="J37" s="15" t="s">
        <v>192</v>
      </c>
      <c r="K37" s="15" t="s">
        <v>193</v>
      </c>
      <c r="L37" s="13" t="s">
        <v>194</v>
      </c>
      <c r="M37" s="15" t="s">
        <v>195</v>
      </c>
      <c r="N37" s="13" t="s">
        <v>94</v>
      </c>
      <c r="O37" s="15" t="s">
        <v>95</v>
      </c>
      <c r="P37" s="15" t="s">
        <v>96</v>
      </c>
      <c r="Q37" s="15" t="s">
        <v>116</v>
      </c>
      <c r="R37" s="13" t="s">
        <v>117</v>
      </c>
      <c r="S37" s="13" t="s">
        <v>99</v>
      </c>
      <c r="T37" s="13" t="s">
        <v>100</v>
      </c>
      <c r="U37" s="14">
        <v>43831</v>
      </c>
      <c r="V37" s="14"/>
      <c r="W37" s="15"/>
      <c r="X37" s="15"/>
      <c r="Y37" s="13"/>
      <c r="Z37" s="15"/>
      <c r="AA37" s="15"/>
      <c r="AB37" s="15"/>
      <c r="AC37" s="13"/>
      <c r="AD37" s="15"/>
      <c r="AE37" s="15"/>
      <c r="AF37" s="15"/>
      <c r="AG37" s="13"/>
      <c r="AH37" s="15"/>
      <c r="AI37" s="15"/>
      <c r="AJ37" s="15"/>
      <c r="AK37" s="13"/>
      <c r="AL37" s="15"/>
      <c r="AM37" s="15"/>
      <c r="AN37" s="13"/>
      <c r="AO37" s="13"/>
    </row>
    <row r="38" spans="1:41" ht="72.5" x14ac:dyDescent="0.35">
      <c r="A38" s="13" t="s">
        <v>82</v>
      </c>
      <c r="B38" s="13" t="s">
        <v>83</v>
      </c>
      <c r="C38" s="14">
        <v>44970.499305555553</v>
      </c>
      <c r="D38" s="13" t="s">
        <v>84</v>
      </c>
      <c r="E38" s="15" t="s">
        <v>85</v>
      </c>
      <c r="F38" s="13" t="s">
        <v>86</v>
      </c>
      <c r="G38" s="15" t="s">
        <v>87</v>
      </c>
      <c r="H38" s="13" t="s">
        <v>190</v>
      </c>
      <c r="I38" s="15" t="s">
        <v>191</v>
      </c>
      <c r="J38" s="15" t="s">
        <v>192</v>
      </c>
      <c r="K38" s="15" t="s">
        <v>193</v>
      </c>
      <c r="L38" s="13" t="s">
        <v>196</v>
      </c>
      <c r="M38" s="15" t="s">
        <v>197</v>
      </c>
      <c r="N38" s="13" t="s">
        <v>94</v>
      </c>
      <c r="O38" s="15" t="s">
        <v>103</v>
      </c>
      <c r="P38" s="15" t="s">
        <v>104</v>
      </c>
      <c r="Q38" s="15" t="s">
        <v>116</v>
      </c>
      <c r="R38" s="13" t="s">
        <v>117</v>
      </c>
      <c r="S38" s="13" t="s">
        <v>99</v>
      </c>
      <c r="T38" s="13" t="s">
        <v>100</v>
      </c>
      <c r="U38" s="14">
        <v>43831</v>
      </c>
      <c r="V38" s="14"/>
      <c r="W38" s="15"/>
      <c r="X38" s="15"/>
      <c r="Y38" s="13"/>
      <c r="Z38" s="15"/>
      <c r="AA38" s="15"/>
      <c r="AB38" s="15"/>
      <c r="AC38" s="13"/>
      <c r="AD38" s="15"/>
      <c r="AE38" s="15"/>
      <c r="AF38" s="15"/>
      <c r="AG38" s="13"/>
      <c r="AH38" s="15"/>
      <c r="AI38" s="15"/>
      <c r="AJ38" s="15"/>
      <c r="AK38" s="13"/>
      <c r="AL38" s="15"/>
      <c r="AM38" s="15"/>
      <c r="AN38" s="13"/>
      <c r="AO38" s="13"/>
    </row>
    <row r="39" spans="1:41" ht="58" x14ac:dyDescent="0.35">
      <c r="A39" s="13" t="s">
        <v>82</v>
      </c>
      <c r="B39" s="13" t="s">
        <v>83</v>
      </c>
      <c r="C39" s="14">
        <v>44970.497916666667</v>
      </c>
      <c r="D39" s="13" t="s">
        <v>84</v>
      </c>
      <c r="E39" s="15" t="s">
        <v>85</v>
      </c>
      <c r="F39" s="13" t="s">
        <v>86</v>
      </c>
      <c r="G39" s="15" t="s">
        <v>87</v>
      </c>
      <c r="H39" s="13" t="s">
        <v>190</v>
      </c>
      <c r="I39" s="15" t="s">
        <v>191</v>
      </c>
      <c r="J39" s="15" t="s">
        <v>192</v>
      </c>
      <c r="K39" s="15" t="s">
        <v>193</v>
      </c>
      <c r="L39" s="13" t="s">
        <v>198</v>
      </c>
      <c r="M39" s="15" t="s">
        <v>199</v>
      </c>
      <c r="N39" s="13" t="s">
        <v>107</v>
      </c>
      <c r="O39" s="15" t="s">
        <v>108</v>
      </c>
      <c r="P39" s="15" t="s">
        <v>109</v>
      </c>
      <c r="Q39" s="15" t="s">
        <v>116</v>
      </c>
      <c r="R39" s="13" t="s">
        <v>117</v>
      </c>
      <c r="S39" s="13" t="s">
        <v>99</v>
      </c>
      <c r="T39" s="13" t="s">
        <v>100</v>
      </c>
      <c r="U39" s="14">
        <v>43831</v>
      </c>
      <c r="V39" s="14"/>
      <c r="W39" s="15"/>
      <c r="X39" s="15"/>
      <c r="Y39" s="13"/>
      <c r="Z39" s="15"/>
      <c r="AA39" s="15"/>
      <c r="AB39" s="15"/>
      <c r="AC39" s="13"/>
      <c r="AD39" s="15"/>
      <c r="AE39" s="15"/>
      <c r="AF39" s="15"/>
      <c r="AG39" s="13"/>
      <c r="AH39" s="15"/>
      <c r="AI39" s="15"/>
      <c r="AJ39" s="15"/>
      <c r="AK39" s="13"/>
      <c r="AL39" s="15"/>
      <c r="AM39" s="15"/>
      <c r="AN39" s="13"/>
      <c r="AO39" s="13"/>
    </row>
    <row r="40" spans="1:41" ht="72.5" x14ac:dyDescent="0.35">
      <c r="A40" s="13" t="s">
        <v>82</v>
      </c>
      <c r="B40" s="13" t="s">
        <v>83</v>
      </c>
      <c r="C40" s="14">
        <v>44970.539583333331</v>
      </c>
      <c r="D40" s="13" t="s">
        <v>84</v>
      </c>
      <c r="E40" s="15" t="s">
        <v>85</v>
      </c>
      <c r="F40" s="13" t="s">
        <v>86</v>
      </c>
      <c r="G40" s="15" t="s">
        <v>87</v>
      </c>
      <c r="H40" s="13" t="s">
        <v>190</v>
      </c>
      <c r="I40" s="15" t="s">
        <v>191</v>
      </c>
      <c r="J40" s="15" t="s">
        <v>192</v>
      </c>
      <c r="K40" s="15" t="s">
        <v>193</v>
      </c>
      <c r="L40" s="13" t="s">
        <v>194</v>
      </c>
      <c r="M40" s="15" t="s">
        <v>195</v>
      </c>
      <c r="N40" s="13" t="s">
        <v>94</v>
      </c>
      <c r="O40" s="15" t="s">
        <v>95</v>
      </c>
      <c r="P40" s="15" t="s">
        <v>96</v>
      </c>
      <c r="Q40" s="15" t="s">
        <v>120</v>
      </c>
      <c r="R40" s="13" t="s">
        <v>121</v>
      </c>
      <c r="S40" s="13" t="s">
        <v>122</v>
      </c>
      <c r="T40" s="13" t="s">
        <v>123</v>
      </c>
      <c r="U40" s="14">
        <v>43831</v>
      </c>
      <c r="V40" s="14">
        <v>44125</v>
      </c>
      <c r="W40" s="15"/>
      <c r="X40" s="15"/>
      <c r="Y40" s="13"/>
      <c r="Z40" s="15"/>
      <c r="AA40" s="15"/>
      <c r="AB40" s="15"/>
      <c r="AC40" s="13"/>
      <c r="AD40" s="15"/>
      <c r="AE40" s="15"/>
      <c r="AF40" s="15"/>
      <c r="AG40" s="13"/>
      <c r="AH40" s="15"/>
      <c r="AI40" s="15"/>
      <c r="AJ40" s="15"/>
      <c r="AK40" s="13"/>
      <c r="AL40" s="15"/>
      <c r="AM40" s="15"/>
      <c r="AN40" s="13"/>
      <c r="AO40" s="13"/>
    </row>
    <row r="41" spans="1:41" ht="72.5" x14ac:dyDescent="0.35">
      <c r="A41" s="13" t="s">
        <v>82</v>
      </c>
      <c r="B41" s="13" t="s">
        <v>83</v>
      </c>
      <c r="C41" s="14">
        <v>44970.668055555558</v>
      </c>
      <c r="D41" s="13" t="s">
        <v>84</v>
      </c>
      <c r="E41" s="15" t="s">
        <v>85</v>
      </c>
      <c r="F41" s="13" t="s">
        <v>86</v>
      </c>
      <c r="G41" s="15" t="s">
        <v>87</v>
      </c>
      <c r="H41" s="13" t="s">
        <v>190</v>
      </c>
      <c r="I41" s="15" t="s">
        <v>191</v>
      </c>
      <c r="J41" s="15" t="s">
        <v>192</v>
      </c>
      <c r="K41" s="15" t="s">
        <v>193</v>
      </c>
      <c r="L41" s="13" t="s">
        <v>194</v>
      </c>
      <c r="M41" s="15" t="s">
        <v>195</v>
      </c>
      <c r="N41" s="13" t="s">
        <v>94</v>
      </c>
      <c r="O41" s="15" t="s">
        <v>95</v>
      </c>
      <c r="P41" s="15" t="s">
        <v>96</v>
      </c>
      <c r="Q41" s="15" t="s">
        <v>120</v>
      </c>
      <c r="R41" s="13" t="s">
        <v>121</v>
      </c>
      <c r="S41" s="13" t="s">
        <v>122</v>
      </c>
      <c r="T41" s="13" t="s">
        <v>123</v>
      </c>
      <c r="U41" s="14">
        <v>44126</v>
      </c>
      <c r="V41" s="14"/>
      <c r="W41" s="15"/>
      <c r="X41" s="15"/>
      <c r="Y41" s="13"/>
      <c r="Z41" s="15"/>
      <c r="AA41" s="15"/>
      <c r="AB41" s="15"/>
      <c r="AC41" s="13"/>
      <c r="AD41" s="15"/>
      <c r="AE41" s="15"/>
      <c r="AF41" s="15"/>
      <c r="AG41" s="13"/>
      <c r="AH41" s="15"/>
      <c r="AI41" s="15"/>
      <c r="AJ41" s="15"/>
      <c r="AK41" s="13"/>
      <c r="AL41" s="15"/>
      <c r="AM41" s="15"/>
      <c r="AN41" s="13"/>
      <c r="AO41" s="13"/>
    </row>
    <row r="42" spans="1:41" ht="72.5" x14ac:dyDescent="0.35">
      <c r="A42" s="13" t="s">
        <v>82</v>
      </c>
      <c r="B42" s="13" t="s">
        <v>83</v>
      </c>
      <c r="C42" s="14">
        <v>44970.645138888889</v>
      </c>
      <c r="D42" s="13" t="s">
        <v>84</v>
      </c>
      <c r="E42" s="15" t="s">
        <v>85</v>
      </c>
      <c r="F42" s="13" t="s">
        <v>86</v>
      </c>
      <c r="G42" s="15" t="s">
        <v>87</v>
      </c>
      <c r="H42" s="13" t="s">
        <v>190</v>
      </c>
      <c r="I42" s="15" t="s">
        <v>191</v>
      </c>
      <c r="J42" s="15" t="s">
        <v>192</v>
      </c>
      <c r="K42" s="15" t="s">
        <v>193</v>
      </c>
      <c r="L42" s="13" t="s">
        <v>196</v>
      </c>
      <c r="M42" s="15" t="s">
        <v>197</v>
      </c>
      <c r="N42" s="13" t="s">
        <v>94</v>
      </c>
      <c r="O42" s="15" t="s">
        <v>103</v>
      </c>
      <c r="P42" s="15" t="s">
        <v>104</v>
      </c>
      <c r="Q42" s="15" t="s">
        <v>120</v>
      </c>
      <c r="R42" s="13" t="s">
        <v>121</v>
      </c>
      <c r="S42" s="13" t="s">
        <v>122</v>
      </c>
      <c r="T42" s="13" t="s">
        <v>123</v>
      </c>
      <c r="U42" s="14">
        <v>43831</v>
      </c>
      <c r="V42" s="14">
        <v>44125</v>
      </c>
      <c r="W42" s="15"/>
      <c r="X42" s="15"/>
      <c r="Y42" s="13"/>
      <c r="Z42" s="15"/>
      <c r="AA42" s="15"/>
      <c r="AB42" s="15"/>
      <c r="AC42" s="13"/>
      <c r="AD42" s="15"/>
      <c r="AE42" s="15"/>
      <c r="AF42" s="15"/>
      <c r="AG42" s="13"/>
      <c r="AH42" s="15"/>
      <c r="AI42" s="15"/>
      <c r="AJ42" s="15"/>
      <c r="AK42" s="13"/>
      <c r="AL42" s="15"/>
      <c r="AM42" s="15"/>
      <c r="AN42" s="13"/>
      <c r="AO42" s="13"/>
    </row>
    <row r="43" spans="1:41" ht="72.5" x14ac:dyDescent="0.35">
      <c r="A43" s="13" t="s">
        <v>82</v>
      </c>
      <c r="B43" s="13" t="s">
        <v>83</v>
      </c>
      <c r="C43" s="14">
        <v>44970.668749999997</v>
      </c>
      <c r="D43" s="13" t="s">
        <v>84</v>
      </c>
      <c r="E43" s="15" t="s">
        <v>85</v>
      </c>
      <c r="F43" s="13" t="s">
        <v>86</v>
      </c>
      <c r="G43" s="15" t="s">
        <v>87</v>
      </c>
      <c r="H43" s="13" t="s">
        <v>190</v>
      </c>
      <c r="I43" s="15" t="s">
        <v>191</v>
      </c>
      <c r="J43" s="15" t="s">
        <v>192</v>
      </c>
      <c r="K43" s="15" t="s">
        <v>193</v>
      </c>
      <c r="L43" s="13" t="s">
        <v>196</v>
      </c>
      <c r="M43" s="15" t="s">
        <v>197</v>
      </c>
      <c r="N43" s="13" t="s">
        <v>94</v>
      </c>
      <c r="O43" s="15" t="s">
        <v>103</v>
      </c>
      <c r="P43" s="15" t="s">
        <v>104</v>
      </c>
      <c r="Q43" s="15" t="s">
        <v>120</v>
      </c>
      <c r="R43" s="13" t="s">
        <v>121</v>
      </c>
      <c r="S43" s="13" t="s">
        <v>122</v>
      </c>
      <c r="T43" s="13" t="s">
        <v>123</v>
      </c>
      <c r="U43" s="14">
        <v>44126</v>
      </c>
      <c r="V43" s="14"/>
      <c r="W43" s="15"/>
      <c r="X43" s="15"/>
      <c r="Y43" s="13"/>
      <c r="Z43" s="15"/>
      <c r="AA43" s="15"/>
      <c r="AB43" s="15"/>
      <c r="AC43" s="13"/>
      <c r="AD43" s="15"/>
      <c r="AE43" s="15"/>
      <c r="AF43" s="15"/>
      <c r="AG43" s="13"/>
      <c r="AH43" s="15"/>
      <c r="AI43" s="15"/>
      <c r="AJ43" s="15"/>
      <c r="AK43" s="13"/>
      <c r="AL43" s="15"/>
      <c r="AM43" s="15"/>
      <c r="AN43" s="13"/>
      <c r="AO43" s="13"/>
    </row>
    <row r="44" spans="1:41" ht="58" x14ac:dyDescent="0.35">
      <c r="A44" s="13" t="s">
        <v>82</v>
      </c>
      <c r="B44" s="13" t="s">
        <v>83</v>
      </c>
      <c r="C44" s="14">
        <v>44970.65625</v>
      </c>
      <c r="D44" s="13" t="s">
        <v>84</v>
      </c>
      <c r="E44" s="15" t="s">
        <v>85</v>
      </c>
      <c r="F44" s="13" t="s">
        <v>86</v>
      </c>
      <c r="G44" s="15" t="s">
        <v>87</v>
      </c>
      <c r="H44" s="13" t="s">
        <v>190</v>
      </c>
      <c r="I44" s="15" t="s">
        <v>191</v>
      </c>
      <c r="J44" s="15" t="s">
        <v>192</v>
      </c>
      <c r="K44" s="15" t="s">
        <v>193</v>
      </c>
      <c r="L44" s="13" t="s">
        <v>198</v>
      </c>
      <c r="M44" s="15" t="s">
        <v>199</v>
      </c>
      <c r="N44" s="13" t="s">
        <v>107</v>
      </c>
      <c r="O44" s="15" t="s">
        <v>108</v>
      </c>
      <c r="P44" s="15" t="s">
        <v>109</v>
      </c>
      <c r="Q44" s="15" t="s">
        <v>120</v>
      </c>
      <c r="R44" s="13" t="s">
        <v>121</v>
      </c>
      <c r="S44" s="13" t="s">
        <v>122</v>
      </c>
      <c r="T44" s="13" t="s">
        <v>123</v>
      </c>
      <c r="U44" s="14">
        <v>43831</v>
      </c>
      <c r="V44" s="14">
        <v>44125</v>
      </c>
      <c r="W44" s="15"/>
      <c r="X44" s="15"/>
      <c r="Y44" s="13"/>
      <c r="Z44" s="15"/>
      <c r="AA44" s="15"/>
      <c r="AB44" s="15"/>
      <c r="AC44" s="13"/>
      <c r="AD44" s="15"/>
      <c r="AE44" s="15"/>
      <c r="AF44" s="15"/>
      <c r="AG44" s="13"/>
      <c r="AH44" s="15"/>
      <c r="AI44" s="15"/>
      <c r="AJ44" s="15"/>
      <c r="AK44" s="13"/>
      <c r="AL44" s="15"/>
      <c r="AM44" s="15"/>
      <c r="AN44" s="13"/>
      <c r="AO44" s="13"/>
    </row>
    <row r="45" spans="1:41" ht="58" x14ac:dyDescent="0.35">
      <c r="A45" s="13" t="s">
        <v>82</v>
      </c>
      <c r="B45" s="13" t="s">
        <v>83</v>
      </c>
      <c r="C45" s="14">
        <v>44970.65625</v>
      </c>
      <c r="D45" s="13" t="s">
        <v>84</v>
      </c>
      <c r="E45" s="15" t="s">
        <v>85</v>
      </c>
      <c r="F45" s="13" t="s">
        <v>86</v>
      </c>
      <c r="G45" s="15" t="s">
        <v>87</v>
      </c>
      <c r="H45" s="13" t="s">
        <v>190</v>
      </c>
      <c r="I45" s="15" t="s">
        <v>191</v>
      </c>
      <c r="J45" s="15" t="s">
        <v>192</v>
      </c>
      <c r="K45" s="15" t="s">
        <v>193</v>
      </c>
      <c r="L45" s="13" t="s">
        <v>198</v>
      </c>
      <c r="M45" s="15" t="s">
        <v>199</v>
      </c>
      <c r="N45" s="13" t="s">
        <v>107</v>
      </c>
      <c r="O45" s="15" t="s">
        <v>108</v>
      </c>
      <c r="P45" s="15" t="s">
        <v>109</v>
      </c>
      <c r="Q45" s="15" t="s">
        <v>120</v>
      </c>
      <c r="R45" s="13" t="s">
        <v>121</v>
      </c>
      <c r="S45" s="13" t="s">
        <v>122</v>
      </c>
      <c r="T45" s="13" t="s">
        <v>123</v>
      </c>
      <c r="U45" s="14">
        <v>44126</v>
      </c>
      <c r="V45" s="14"/>
      <c r="W45" s="15"/>
      <c r="X45" s="15"/>
      <c r="Y45" s="13"/>
      <c r="Z45" s="15"/>
      <c r="AA45" s="15"/>
      <c r="AB45" s="15"/>
      <c r="AC45" s="13"/>
      <c r="AD45" s="15"/>
      <c r="AE45" s="15"/>
      <c r="AF45" s="15"/>
      <c r="AG45" s="13"/>
      <c r="AH45" s="15"/>
      <c r="AI45" s="15"/>
      <c r="AJ45" s="15"/>
      <c r="AK45" s="13"/>
      <c r="AL45" s="15"/>
      <c r="AM45" s="15"/>
      <c r="AN45" s="13"/>
      <c r="AO45" s="13"/>
    </row>
    <row r="46" spans="1:41" ht="72.5" x14ac:dyDescent="0.35">
      <c r="A46" s="13" t="s">
        <v>82</v>
      </c>
      <c r="B46" s="13" t="s">
        <v>83</v>
      </c>
      <c r="C46" s="14">
        <v>44970.643750000003</v>
      </c>
      <c r="D46" s="13" t="s">
        <v>84</v>
      </c>
      <c r="E46" s="15" t="s">
        <v>85</v>
      </c>
      <c r="F46" s="13" t="s">
        <v>86</v>
      </c>
      <c r="G46" s="15" t="s">
        <v>87</v>
      </c>
      <c r="H46" s="13" t="s">
        <v>190</v>
      </c>
      <c r="I46" s="15" t="s">
        <v>191</v>
      </c>
      <c r="J46" s="15" t="s">
        <v>192</v>
      </c>
      <c r="K46" s="15" t="s">
        <v>193</v>
      </c>
      <c r="L46" s="13" t="s">
        <v>194</v>
      </c>
      <c r="M46" s="15" t="s">
        <v>195</v>
      </c>
      <c r="N46" s="13" t="s">
        <v>94</v>
      </c>
      <c r="O46" s="15" t="s">
        <v>95</v>
      </c>
      <c r="P46" s="15" t="s">
        <v>96</v>
      </c>
      <c r="Q46" s="15" t="s">
        <v>178</v>
      </c>
      <c r="R46" s="13" t="s">
        <v>179</v>
      </c>
      <c r="S46" s="13" t="s">
        <v>122</v>
      </c>
      <c r="T46" s="13" t="s">
        <v>123</v>
      </c>
      <c r="U46" s="14">
        <v>43831</v>
      </c>
      <c r="V46" s="14">
        <v>44125</v>
      </c>
      <c r="W46" s="15"/>
      <c r="X46" s="15"/>
      <c r="Y46" s="13"/>
      <c r="Z46" s="15"/>
      <c r="AA46" s="15"/>
      <c r="AB46" s="15"/>
      <c r="AC46" s="13"/>
      <c r="AD46" s="15"/>
      <c r="AE46" s="15"/>
      <c r="AF46" s="15"/>
      <c r="AG46" s="13"/>
      <c r="AH46" s="15"/>
      <c r="AI46" s="15"/>
      <c r="AJ46" s="15"/>
      <c r="AK46" s="13"/>
      <c r="AL46" s="15"/>
      <c r="AM46" s="15"/>
      <c r="AN46" s="13"/>
      <c r="AO46" s="13"/>
    </row>
    <row r="47" spans="1:41" ht="72.5" x14ac:dyDescent="0.35">
      <c r="A47" s="13" t="s">
        <v>82</v>
      </c>
      <c r="B47" s="13" t="s">
        <v>83</v>
      </c>
      <c r="C47" s="14">
        <v>44970.67083333333</v>
      </c>
      <c r="D47" s="13" t="s">
        <v>84</v>
      </c>
      <c r="E47" s="15" t="s">
        <v>85</v>
      </c>
      <c r="F47" s="13" t="s">
        <v>86</v>
      </c>
      <c r="G47" s="15" t="s">
        <v>87</v>
      </c>
      <c r="H47" s="13" t="s">
        <v>190</v>
      </c>
      <c r="I47" s="15" t="s">
        <v>191</v>
      </c>
      <c r="J47" s="15" t="s">
        <v>192</v>
      </c>
      <c r="K47" s="15" t="s">
        <v>193</v>
      </c>
      <c r="L47" s="13" t="s">
        <v>194</v>
      </c>
      <c r="M47" s="15" t="s">
        <v>195</v>
      </c>
      <c r="N47" s="13" t="s">
        <v>94</v>
      </c>
      <c r="O47" s="15" t="s">
        <v>95</v>
      </c>
      <c r="P47" s="15" t="s">
        <v>96</v>
      </c>
      <c r="Q47" s="15" t="s">
        <v>178</v>
      </c>
      <c r="R47" s="13" t="s">
        <v>179</v>
      </c>
      <c r="S47" s="13" t="s">
        <v>122</v>
      </c>
      <c r="T47" s="13" t="s">
        <v>123</v>
      </c>
      <c r="U47" s="14">
        <v>44126</v>
      </c>
      <c r="V47" s="14"/>
      <c r="W47" s="15"/>
      <c r="X47" s="15"/>
      <c r="Y47" s="13"/>
      <c r="Z47" s="15"/>
      <c r="AA47" s="15"/>
      <c r="AB47" s="15"/>
      <c r="AC47" s="13"/>
      <c r="AD47" s="15"/>
      <c r="AE47" s="15"/>
      <c r="AF47" s="15"/>
      <c r="AG47" s="13"/>
      <c r="AH47" s="15"/>
      <c r="AI47" s="15"/>
      <c r="AJ47" s="15"/>
      <c r="AK47" s="13"/>
      <c r="AL47" s="15"/>
      <c r="AM47" s="15"/>
      <c r="AN47" s="13"/>
      <c r="AO47" s="13"/>
    </row>
    <row r="48" spans="1:41" ht="72.5" x14ac:dyDescent="0.35">
      <c r="A48" s="13" t="s">
        <v>82</v>
      </c>
      <c r="B48" s="13" t="s">
        <v>83</v>
      </c>
      <c r="C48" s="14">
        <v>44970.645833333336</v>
      </c>
      <c r="D48" s="13" t="s">
        <v>84</v>
      </c>
      <c r="E48" s="15" t="s">
        <v>85</v>
      </c>
      <c r="F48" s="13" t="s">
        <v>86</v>
      </c>
      <c r="G48" s="15" t="s">
        <v>87</v>
      </c>
      <c r="H48" s="13" t="s">
        <v>190</v>
      </c>
      <c r="I48" s="15" t="s">
        <v>191</v>
      </c>
      <c r="J48" s="15" t="s">
        <v>192</v>
      </c>
      <c r="K48" s="15" t="s">
        <v>193</v>
      </c>
      <c r="L48" s="13" t="s">
        <v>196</v>
      </c>
      <c r="M48" s="15" t="s">
        <v>197</v>
      </c>
      <c r="N48" s="13" t="s">
        <v>94</v>
      </c>
      <c r="O48" s="15" t="s">
        <v>103</v>
      </c>
      <c r="P48" s="15" t="s">
        <v>104</v>
      </c>
      <c r="Q48" s="15" t="s">
        <v>178</v>
      </c>
      <c r="R48" s="13" t="s">
        <v>179</v>
      </c>
      <c r="S48" s="13" t="s">
        <v>122</v>
      </c>
      <c r="T48" s="13" t="s">
        <v>123</v>
      </c>
      <c r="U48" s="14">
        <v>43831</v>
      </c>
      <c r="V48" s="14">
        <v>44125</v>
      </c>
      <c r="W48" s="15"/>
      <c r="X48" s="15"/>
      <c r="Y48" s="13"/>
      <c r="Z48" s="15"/>
      <c r="AA48" s="15"/>
      <c r="AB48" s="15"/>
      <c r="AC48" s="13"/>
      <c r="AD48" s="15"/>
      <c r="AE48" s="15"/>
      <c r="AF48" s="15"/>
      <c r="AG48" s="13"/>
      <c r="AH48" s="15"/>
      <c r="AI48" s="15"/>
      <c r="AJ48" s="15"/>
      <c r="AK48" s="13"/>
      <c r="AL48" s="15"/>
      <c r="AM48" s="15"/>
      <c r="AN48" s="13"/>
      <c r="AO48" s="13"/>
    </row>
    <row r="49" spans="1:41" ht="72.5" x14ac:dyDescent="0.35">
      <c r="A49" s="13" t="s">
        <v>82</v>
      </c>
      <c r="B49" s="13" t="s">
        <v>83</v>
      </c>
      <c r="C49" s="14">
        <v>44970.671527777777</v>
      </c>
      <c r="D49" s="13" t="s">
        <v>84</v>
      </c>
      <c r="E49" s="15" t="s">
        <v>85</v>
      </c>
      <c r="F49" s="13" t="s">
        <v>86</v>
      </c>
      <c r="G49" s="15" t="s">
        <v>87</v>
      </c>
      <c r="H49" s="13" t="s">
        <v>190</v>
      </c>
      <c r="I49" s="15" t="s">
        <v>191</v>
      </c>
      <c r="J49" s="15" t="s">
        <v>192</v>
      </c>
      <c r="K49" s="15" t="s">
        <v>193</v>
      </c>
      <c r="L49" s="13" t="s">
        <v>196</v>
      </c>
      <c r="M49" s="15" t="s">
        <v>197</v>
      </c>
      <c r="N49" s="13" t="s">
        <v>94</v>
      </c>
      <c r="O49" s="15" t="s">
        <v>103</v>
      </c>
      <c r="P49" s="15" t="s">
        <v>104</v>
      </c>
      <c r="Q49" s="15" t="s">
        <v>178</v>
      </c>
      <c r="R49" s="13" t="s">
        <v>179</v>
      </c>
      <c r="S49" s="13" t="s">
        <v>122</v>
      </c>
      <c r="T49" s="13" t="s">
        <v>123</v>
      </c>
      <c r="U49" s="14">
        <v>44126</v>
      </c>
      <c r="V49" s="14"/>
      <c r="W49" s="15"/>
      <c r="X49" s="15"/>
      <c r="Y49" s="13"/>
      <c r="Z49" s="15"/>
      <c r="AA49" s="15"/>
      <c r="AB49" s="15"/>
      <c r="AC49" s="13"/>
      <c r="AD49" s="15"/>
      <c r="AE49" s="15"/>
      <c r="AF49" s="15"/>
      <c r="AG49" s="13"/>
      <c r="AH49" s="15"/>
      <c r="AI49" s="15"/>
      <c r="AJ49" s="15"/>
      <c r="AK49" s="13"/>
      <c r="AL49" s="15"/>
      <c r="AM49" s="15"/>
      <c r="AN49" s="13"/>
      <c r="AO49" s="13"/>
    </row>
    <row r="50" spans="1:41" ht="58" x14ac:dyDescent="0.35">
      <c r="A50" s="13" t="s">
        <v>82</v>
      </c>
      <c r="B50" s="13" t="s">
        <v>83</v>
      </c>
      <c r="C50" s="14">
        <v>44970.65625</v>
      </c>
      <c r="D50" s="13" t="s">
        <v>84</v>
      </c>
      <c r="E50" s="15" t="s">
        <v>85</v>
      </c>
      <c r="F50" s="13" t="s">
        <v>86</v>
      </c>
      <c r="G50" s="15" t="s">
        <v>87</v>
      </c>
      <c r="H50" s="13" t="s">
        <v>190</v>
      </c>
      <c r="I50" s="15" t="s">
        <v>191</v>
      </c>
      <c r="J50" s="15" t="s">
        <v>192</v>
      </c>
      <c r="K50" s="15" t="s">
        <v>193</v>
      </c>
      <c r="L50" s="13" t="s">
        <v>198</v>
      </c>
      <c r="M50" s="15" t="s">
        <v>199</v>
      </c>
      <c r="N50" s="13" t="s">
        <v>107</v>
      </c>
      <c r="O50" s="15" t="s">
        <v>108</v>
      </c>
      <c r="P50" s="15" t="s">
        <v>109</v>
      </c>
      <c r="Q50" s="15" t="s">
        <v>178</v>
      </c>
      <c r="R50" s="13" t="s">
        <v>179</v>
      </c>
      <c r="S50" s="13" t="s">
        <v>122</v>
      </c>
      <c r="T50" s="13" t="s">
        <v>123</v>
      </c>
      <c r="U50" s="14">
        <v>43831</v>
      </c>
      <c r="V50" s="14">
        <v>44125</v>
      </c>
      <c r="W50" s="15"/>
      <c r="X50" s="15"/>
      <c r="Y50" s="13"/>
      <c r="Z50" s="15"/>
      <c r="AA50" s="15"/>
      <c r="AB50" s="15"/>
      <c r="AC50" s="13"/>
      <c r="AD50" s="15"/>
      <c r="AE50" s="15"/>
      <c r="AF50" s="15"/>
      <c r="AG50" s="13"/>
      <c r="AH50" s="15"/>
      <c r="AI50" s="15"/>
      <c r="AJ50" s="15"/>
      <c r="AK50" s="13"/>
      <c r="AL50" s="15"/>
      <c r="AM50" s="15"/>
      <c r="AN50" s="13"/>
      <c r="AO50" s="13"/>
    </row>
    <row r="51" spans="1:41" ht="58" x14ac:dyDescent="0.35">
      <c r="A51" s="13" t="s">
        <v>82</v>
      </c>
      <c r="B51" s="13" t="s">
        <v>83</v>
      </c>
      <c r="C51" s="14">
        <v>44970.65625</v>
      </c>
      <c r="D51" s="13" t="s">
        <v>84</v>
      </c>
      <c r="E51" s="15" t="s">
        <v>85</v>
      </c>
      <c r="F51" s="13" t="s">
        <v>86</v>
      </c>
      <c r="G51" s="15" t="s">
        <v>87</v>
      </c>
      <c r="H51" s="13" t="s">
        <v>190</v>
      </c>
      <c r="I51" s="15" t="s">
        <v>191</v>
      </c>
      <c r="J51" s="15" t="s">
        <v>192</v>
      </c>
      <c r="K51" s="15" t="s">
        <v>193</v>
      </c>
      <c r="L51" s="13" t="s">
        <v>198</v>
      </c>
      <c r="M51" s="15" t="s">
        <v>199</v>
      </c>
      <c r="N51" s="13" t="s">
        <v>107</v>
      </c>
      <c r="O51" s="15" t="s">
        <v>108</v>
      </c>
      <c r="P51" s="15" t="s">
        <v>109</v>
      </c>
      <c r="Q51" s="15" t="s">
        <v>178</v>
      </c>
      <c r="R51" s="13" t="s">
        <v>179</v>
      </c>
      <c r="S51" s="13" t="s">
        <v>122</v>
      </c>
      <c r="T51" s="13" t="s">
        <v>123</v>
      </c>
      <c r="U51" s="14">
        <v>44126</v>
      </c>
      <c r="V51" s="14"/>
      <c r="W51" s="15"/>
      <c r="X51" s="15"/>
      <c r="Y51" s="13"/>
      <c r="Z51" s="15"/>
      <c r="AA51" s="15"/>
      <c r="AB51" s="15"/>
      <c r="AC51" s="13"/>
      <c r="AD51" s="15"/>
      <c r="AE51" s="15"/>
      <c r="AF51" s="15"/>
      <c r="AG51" s="13"/>
      <c r="AH51" s="15"/>
      <c r="AI51" s="15"/>
      <c r="AJ51" s="15"/>
      <c r="AK51" s="13"/>
      <c r="AL51" s="15"/>
      <c r="AM51" s="15"/>
      <c r="AN51" s="13"/>
      <c r="AO51" s="13"/>
    </row>
    <row r="52" spans="1:41" ht="87" x14ac:dyDescent="0.35">
      <c r="A52" s="13" t="s">
        <v>118</v>
      </c>
      <c r="B52" s="13" t="s">
        <v>83</v>
      </c>
      <c r="C52" s="14">
        <v>45428.459722222222</v>
      </c>
      <c r="D52" s="13" t="s">
        <v>84</v>
      </c>
      <c r="E52" s="15" t="s">
        <v>85</v>
      </c>
      <c r="F52" s="13" t="s">
        <v>86</v>
      </c>
      <c r="G52" s="15" t="s">
        <v>87</v>
      </c>
      <c r="H52" s="13" t="s">
        <v>230</v>
      </c>
      <c r="I52" s="15" t="s">
        <v>231</v>
      </c>
      <c r="J52" s="15" t="s">
        <v>232</v>
      </c>
      <c r="K52" s="15" t="s">
        <v>233</v>
      </c>
      <c r="L52" s="13" t="s">
        <v>234</v>
      </c>
      <c r="M52" s="15" t="s">
        <v>235</v>
      </c>
      <c r="N52" s="13" t="s">
        <v>94</v>
      </c>
      <c r="O52" s="15" t="s">
        <v>95</v>
      </c>
      <c r="P52" s="15" t="s">
        <v>96</v>
      </c>
      <c r="Q52" s="15" t="s">
        <v>97</v>
      </c>
      <c r="R52" s="13" t="s">
        <v>98</v>
      </c>
      <c r="S52" s="13" t="s">
        <v>99</v>
      </c>
      <c r="T52" s="13" t="s">
        <v>100</v>
      </c>
      <c r="U52" s="14">
        <v>45124</v>
      </c>
      <c r="V52" s="14"/>
      <c r="W52" s="15"/>
      <c r="X52" s="15"/>
      <c r="Y52" s="13"/>
      <c r="Z52" s="15"/>
      <c r="AA52" s="15"/>
      <c r="AB52" s="15"/>
      <c r="AC52" s="13"/>
      <c r="AD52" s="15"/>
      <c r="AE52" s="15"/>
      <c r="AF52" s="15"/>
      <c r="AG52" s="13"/>
      <c r="AH52" s="15"/>
      <c r="AI52" s="15"/>
      <c r="AJ52" s="15"/>
      <c r="AK52" s="13"/>
      <c r="AL52" s="15"/>
      <c r="AM52" s="15"/>
      <c r="AN52" s="13"/>
      <c r="AO52" s="13"/>
    </row>
    <row r="53" spans="1:41" ht="87" x14ac:dyDescent="0.35">
      <c r="A53" s="13" t="s">
        <v>118</v>
      </c>
      <c r="B53" s="13" t="s">
        <v>83</v>
      </c>
      <c r="C53" s="14">
        <v>45428.466666666667</v>
      </c>
      <c r="D53" s="13" t="s">
        <v>84</v>
      </c>
      <c r="E53" s="15" t="s">
        <v>85</v>
      </c>
      <c r="F53" s="13" t="s">
        <v>86</v>
      </c>
      <c r="G53" s="15" t="s">
        <v>87</v>
      </c>
      <c r="H53" s="13" t="s">
        <v>230</v>
      </c>
      <c r="I53" s="15" t="s">
        <v>231</v>
      </c>
      <c r="J53" s="15" t="s">
        <v>232</v>
      </c>
      <c r="K53" s="15" t="s">
        <v>233</v>
      </c>
      <c r="L53" s="13" t="s">
        <v>236</v>
      </c>
      <c r="M53" s="15" t="s">
        <v>237</v>
      </c>
      <c r="N53" s="13" t="s">
        <v>94</v>
      </c>
      <c r="O53" s="15" t="s">
        <v>103</v>
      </c>
      <c r="P53" s="15" t="s">
        <v>104</v>
      </c>
      <c r="Q53" s="15" t="s">
        <v>97</v>
      </c>
      <c r="R53" s="13" t="s">
        <v>98</v>
      </c>
      <c r="S53" s="13" t="s">
        <v>99</v>
      </c>
      <c r="T53" s="13" t="s">
        <v>100</v>
      </c>
      <c r="U53" s="14">
        <v>45124</v>
      </c>
      <c r="V53" s="14"/>
      <c r="W53" s="15"/>
      <c r="X53" s="15"/>
      <c r="Y53" s="13"/>
      <c r="Z53" s="15"/>
      <c r="AA53" s="15"/>
      <c r="AB53" s="15"/>
      <c r="AC53" s="13"/>
      <c r="AD53" s="15"/>
      <c r="AE53" s="15"/>
      <c r="AF53" s="15"/>
      <c r="AG53" s="13"/>
      <c r="AH53" s="15"/>
      <c r="AI53" s="15"/>
      <c r="AJ53" s="15"/>
      <c r="AK53" s="13"/>
      <c r="AL53" s="15"/>
      <c r="AM53" s="15"/>
      <c r="AN53" s="13"/>
      <c r="AO53" s="13"/>
    </row>
    <row r="54" spans="1:41" ht="87" x14ac:dyDescent="0.35">
      <c r="A54" s="13" t="s">
        <v>118</v>
      </c>
      <c r="B54" s="13" t="s">
        <v>83</v>
      </c>
      <c r="C54" s="14">
        <v>45428.468055555553</v>
      </c>
      <c r="D54" s="13" t="s">
        <v>84</v>
      </c>
      <c r="E54" s="15" t="s">
        <v>85</v>
      </c>
      <c r="F54" s="13" t="s">
        <v>86</v>
      </c>
      <c r="G54" s="15" t="s">
        <v>87</v>
      </c>
      <c r="H54" s="13" t="s">
        <v>230</v>
      </c>
      <c r="I54" s="15" t="s">
        <v>231</v>
      </c>
      <c r="J54" s="15" t="s">
        <v>232</v>
      </c>
      <c r="K54" s="15" t="s">
        <v>233</v>
      </c>
      <c r="L54" s="13" t="s">
        <v>238</v>
      </c>
      <c r="M54" s="15" t="s">
        <v>239</v>
      </c>
      <c r="N54" s="13" t="s">
        <v>107</v>
      </c>
      <c r="O54" s="15" t="s">
        <v>108</v>
      </c>
      <c r="P54" s="15" t="s">
        <v>109</v>
      </c>
      <c r="Q54" s="15" t="s">
        <v>97</v>
      </c>
      <c r="R54" s="13" t="s">
        <v>98</v>
      </c>
      <c r="S54" s="13" t="s">
        <v>99</v>
      </c>
      <c r="T54" s="13" t="s">
        <v>100</v>
      </c>
      <c r="U54" s="14">
        <v>45124</v>
      </c>
      <c r="V54" s="14"/>
      <c r="W54" s="15"/>
      <c r="X54" s="15"/>
      <c r="Y54" s="13"/>
      <c r="Z54" s="15"/>
      <c r="AA54" s="15"/>
      <c r="AB54" s="15"/>
      <c r="AC54" s="13"/>
      <c r="AD54" s="15"/>
      <c r="AE54" s="15"/>
      <c r="AF54" s="15"/>
      <c r="AG54" s="13"/>
      <c r="AH54" s="15"/>
      <c r="AI54" s="15"/>
      <c r="AJ54" s="15"/>
      <c r="AK54" s="13"/>
      <c r="AL54" s="15"/>
      <c r="AM54" s="15"/>
      <c r="AN54" s="13"/>
      <c r="AO54" s="13"/>
    </row>
    <row r="55" spans="1:41" ht="87" x14ac:dyDescent="0.35">
      <c r="A55" s="13" t="s">
        <v>118</v>
      </c>
      <c r="B55" s="13" t="s">
        <v>83</v>
      </c>
      <c r="C55" s="14">
        <v>45428.466666666667</v>
      </c>
      <c r="D55" s="13" t="s">
        <v>84</v>
      </c>
      <c r="E55" s="15" t="s">
        <v>85</v>
      </c>
      <c r="F55" s="13" t="s">
        <v>86</v>
      </c>
      <c r="G55" s="15" t="s">
        <v>87</v>
      </c>
      <c r="H55" s="13" t="s">
        <v>230</v>
      </c>
      <c r="I55" s="15" t="s">
        <v>231</v>
      </c>
      <c r="J55" s="15" t="s">
        <v>232</v>
      </c>
      <c r="K55" s="15" t="s">
        <v>233</v>
      </c>
      <c r="L55" s="13" t="s">
        <v>234</v>
      </c>
      <c r="M55" s="15" t="s">
        <v>235</v>
      </c>
      <c r="N55" s="13" t="s">
        <v>94</v>
      </c>
      <c r="O55" s="15" t="s">
        <v>95</v>
      </c>
      <c r="P55" s="15" t="s">
        <v>96</v>
      </c>
      <c r="Q55" s="15" t="s">
        <v>110</v>
      </c>
      <c r="R55" s="13" t="s">
        <v>111</v>
      </c>
      <c r="S55" s="13" t="s">
        <v>99</v>
      </c>
      <c r="T55" s="13" t="s">
        <v>100</v>
      </c>
      <c r="U55" s="14">
        <v>45124</v>
      </c>
      <c r="V55" s="14"/>
      <c r="W55" s="15"/>
      <c r="X55" s="15"/>
      <c r="Y55" s="13"/>
      <c r="Z55" s="15"/>
      <c r="AA55" s="15"/>
      <c r="AB55" s="15"/>
      <c r="AC55" s="13"/>
      <c r="AD55" s="15"/>
      <c r="AE55" s="15"/>
      <c r="AF55" s="15"/>
      <c r="AG55" s="13"/>
      <c r="AH55" s="15"/>
      <c r="AI55" s="15"/>
      <c r="AJ55" s="15"/>
      <c r="AK55" s="13"/>
      <c r="AL55" s="15"/>
      <c r="AM55" s="15"/>
      <c r="AN55" s="13"/>
      <c r="AO55" s="13"/>
    </row>
    <row r="56" spans="1:41" ht="87" x14ac:dyDescent="0.35">
      <c r="A56" s="13" t="s">
        <v>118</v>
      </c>
      <c r="B56" s="13" t="s">
        <v>83</v>
      </c>
      <c r="C56" s="14">
        <v>45428.468055555553</v>
      </c>
      <c r="D56" s="13" t="s">
        <v>84</v>
      </c>
      <c r="E56" s="15" t="s">
        <v>85</v>
      </c>
      <c r="F56" s="13" t="s">
        <v>86</v>
      </c>
      <c r="G56" s="15" t="s">
        <v>87</v>
      </c>
      <c r="H56" s="13" t="s">
        <v>230</v>
      </c>
      <c r="I56" s="15" t="s">
        <v>231</v>
      </c>
      <c r="J56" s="15" t="s">
        <v>232</v>
      </c>
      <c r="K56" s="15" t="s">
        <v>233</v>
      </c>
      <c r="L56" s="13" t="s">
        <v>236</v>
      </c>
      <c r="M56" s="15" t="s">
        <v>237</v>
      </c>
      <c r="N56" s="13" t="s">
        <v>94</v>
      </c>
      <c r="O56" s="15" t="s">
        <v>103</v>
      </c>
      <c r="P56" s="15" t="s">
        <v>104</v>
      </c>
      <c r="Q56" s="15" t="s">
        <v>110</v>
      </c>
      <c r="R56" s="13" t="s">
        <v>111</v>
      </c>
      <c r="S56" s="13" t="s">
        <v>99</v>
      </c>
      <c r="T56" s="13" t="s">
        <v>100</v>
      </c>
      <c r="U56" s="14">
        <v>45124</v>
      </c>
      <c r="V56" s="14"/>
      <c r="W56" s="15"/>
      <c r="X56" s="15"/>
      <c r="Y56" s="13"/>
      <c r="Z56" s="15"/>
      <c r="AA56" s="15"/>
      <c r="AB56" s="15"/>
      <c r="AC56" s="13"/>
      <c r="AD56" s="15"/>
      <c r="AE56" s="15"/>
      <c r="AF56" s="15"/>
      <c r="AG56" s="13"/>
      <c r="AH56" s="15"/>
      <c r="AI56" s="15"/>
      <c r="AJ56" s="15"/>
      <c r="AK56" s="13"/>
      <c r="AL56" s="15"/>
      <c r="AM56" s="15"/>
      <c r="AN56" s="13"/>
      <c r="AO56" s="13"/>
    </row>
    <row r="57" spans="1:41" ht="87" x14ac:dyDescent="0.35">
      <c r="A57" s="13" t="s">
        <v>118</v>
      </c>
      <c r="B57" s="13" t="s">
        <v>83</v>
      </c>
      <c r="C57" s="14">
        <v>45428.469444444447</v>
      </c>
      <c r="D57" s="13" t="s">
        <v>84</v>
      </c>
      <c r="E57" s="15" t="s">
        <v>85</v>
      </c>
      <c r="F57" s="13" t="s">
        <v>86</v>
      </c>
      <c r="G57" s="15" t="s">
        <v>87</v>
      </c>
      <c r="H57" s="13" t="s">
        <v>230</v>
      </c>
      <c r="I57" s="15" t="s">
        <v>231</v>
      </c>
      <c r="J57" s="15" t="s">
        <v>232</v>
      </c>
      <c r="K57" s="15" t="s">
        <v>233</v>
      </c>
      <c r="L57" s="13" t="s">
        <v>238</v>
      </c>
      <c r="M57" s="15" t="s">
        <v>239</v>
      </c>
      <c r="N57" s="13" t="s">
        <v>107</v>
      </c>
      <c r="O57" s="15" t="s">
        <v>108</v>
      </c>
      <c r="P57" s="15" t="s">
        <v>109</v>
      </c>
      <c r="Q57" s="15" t="s">
        <v>110</v>
      </c>
      <c r="R57" s="13" t="s">
        <v>111</v>
      </c>
      <c r="S57" s="13" t="s">
        <v>99</v>
      </c>
      <c r="T57" s="13" t="s">
        <v>100</v>
      </c>
      <c r="U57" s="14">
        <v>45124</v>
      </c>
      <c r="V57" s="14"/>
      <c r="W57" s="15"/>
      <c r="X57" s="15"/>
      <c r="Y57" s="13"/>
      <c r="Z57" s="15"/>
      <c r="AA57" s="15"/>
      <c r="AB57" s="15"/>
      <c r="AC57" s="13"/>
      <c r="AD57" s="15"/>
      <c r="AE57" s="15"/>
      <c r="AF57" s="15"/>
      <c r="AG57" s="13"/>
      <c r="AH57" s="15"/>
      <c r="AI57" s="15"/>
      <c r="AJ57" s="15"/>
      <c r="AK57" s="13"/>
      <c r="AL57" s="15"/>
      <c r="AM57" s="15"/>
      <c r="AN57" s="13"/>
      <c r="AO57" s="13"/>
    </row>
    <row r="58" spans="1:41" ht="87" x14ac:dyDescent="0.35">
      <c r="A58" s="13" t="s">
        <v>118</v>
      </c>
      <c r="B58" s="13" t="s">
        <v>83</v>
      </c>
      <c r="C58" s="14">
        <v>45428.465277777781</v>
      </c>
      <c r="D58" s="13" t="s">
        <v>84</v>
      </c>
      <c r="E58" s="15" t="s">
        <v>85</v>
      </c>
      <c r="F58" s="13" t="s">
        <v>86</v>
      </c>
      <c r="G58" s="15" t="s">
        <v>87</v>
      </c>
      <c r="H58" s="13" t="s">
        <v>230</v>
      </c>
      <c r="I58" s="15" t="s">
        <v>231</v>
      </c>
      <c r="J58" s="15" t="s">
        <v>232</v>
      </c>
      <c r="K58" s="15" t="s">
        <v>233</v>
      </c>
      <c r="L58" s="13" t="s">
        <v>234</v>
      </c>
      <c r="M58" s="15" t="s">
        <v>235</v>
      </c>
      <c r="N58" s="13" t="s">
        <v>94</v>
      </c>
      <c r="O58" s="15" t="s">
        <v>95</v>
      </c>
      <c r="P58" s="15" t="s">
        <v>96</v>
      </c>
      <c r="Q58" s="15" t="s">
        <v>112</v>
      </c>
      <c r="R58" s="13" t="s">
        <v>113</v>
      </c>
      <c r="S58" s="13" t="s">
        <v>99</v>
      </c>
      <c r="T58" s="13" t="s">
        <v>100</v>
      </c>
      <c r="U58" s="14">
        <v>45124</v>
      </c>
      <c r="V58" s="14"/>
      <c r="W58" s="15"/>
      <c r="X58" s="15"/>
      <c r="Y58" s="13"/>
      <c r="Z58" s="15"/>
      <c r="AA58" s="15"/>
      <c r="AB58" s="15"/>
      <c r="AC58" s="13"/>
      <c r="AD58" s="15"/>
      <c r="AE58" s="15"/>
      <c r="AF58" s="15"/>
      <c r="AG58" s="13"/>
      <c r="AH58" s="15"/>
      <c r="AI58" s="15"/>
      <c r="AJ58" s="15"/>
      <c r="AK58" s="13"/>
      <c r="AL58" s="15"/>
      <c r="AM58" s="15"/>
      <c r="AN58" s="13"/>
      <c r="AO58" s="13"/>
    </row>
    <row r="59" spans="1:41" ht="87" x14ac:dyDescent="0.35">
      <c r="A59" s="13" t="s">
        <v>118</v>
      </c>
      <c r="B59" s="13" t="s">
        <v>83</v>
      </c>
      <c r="C59" s="14">
        <v>45428.467361111114</v>
      </c>
      <c r="D59" s="13" t="s">
        <v>84</v>
      </c>
      <c r="E59" s="15" t="s">
        <v>85</v>
      </c>
      <c r="F59" s="13" t="s">
        <v>86</v>
      </c>
      <c r="G59" s="15" t="s">
        <v>87</v>
      </c>
      <c r="H59" s="13" t="s">
        <v>230</v>
      </c>
      <c r="I59" s="15" t="s">
        <v>231</v>
      </c>
      <c r="J59" s="15" t="s">
        <v>232</v>
      </c>
      <c r="K59" s="15" t="s">
        <v>233</v>
      </c>
      <c r="L59" s="13" t="s">
        <v>236</v>
      </c>
      <c r="M59" s="15" t="s">
        <v>237</v>
      </c>
      <c r="N59" s="13" t="s">
        <v>94</v>
      </c>
      <c r="O59" s="15" t="s">
        <v>103</v>
      </c>
      <c r="P59" s="15" t="s">
        <v>104</v>
      </c>
      <c r="Q59" s="15" t="s">
        <v>112</v>
      </c>
      <c r="R59" s="13" t="s">
        <v>113</v>
      </c>
      <c r="S59" s="13" t="s">
        <v>99</v>
      </c>
      <c r="T59" s="13" t="s">
        <v>100</v>
      </c>
      <c r="U59" s="14">
        <v>45124</v>
      </c>
      <c r="V59" s="14"/>
      <c r="W59" s="15"/>
      <c r="X59" s="15"/>
      <c r="Y59" s="13"/>
      <c r="Z59" s="15"/>
      <c r="AA59" s="15"/>
      <c r="AB59" s="15"/>
      <c r="AC59" s="13"/>
      <c r="AD59" s="15"/>
      <c r="AE59" s="15"/>
      <c r="AF59" s="15"/>
      <c r="AG59" s="13"/>
      <c r="AH59" s="15"/>
      <c r="AI59" s="15"/>
      <c r="AJ59" s="15"/>
      <c r="AK59" s="13"/>
      <c r="AL59" s="15"/>
      <c r="AM59" s="15"/>
      <c r="AN59" s="13"/>
      <c r="AO59" s="13"/>
    </row>
    <row r="60" spans="1:41" ht="87" x14ac:dyDescent="0.35">
      <c r="A60" s="13" t="s">
        <v>118</v>
      </c>
      <c r="B60" s="13" t="s">
        <v>83</v>
      </c>
      <c r="C60" s="14">
        <v>45428.468055555553</v>
      </c>
      <c r="D60" s="13" t="s">
        <v>84</v>
      </c>
      <c r="E60" s="15" t="s">
        <v>85</v>
      </c>
      <c r="F60" s="13" t="s">
        <v>86</v>
      </c>
      <c r="G60" s="15" t="s">
        <v>87</v>
      </c>
      <c r="H60" s="13" t="s">
        <v>230</v>
      </c>
      <c r="I60" s="15" t="s">
        <v>231</v>
      </c>
      <c r="J60" s="15" t="s">
        <v>232</v>
      </c>
      <c r="K60" s="15" t="s">
        <v>233</v>
      </c>
      <c r="L60" s="13" t="s">
        <v>238</v>
      </c>
      <c r="M60" s="15" t="s">
        <v>239</v>
      </c>
      <c r="N60" s="13" t="s">
        <v>107</v>
      </c>
      <c r="O60" s="15" t="s">
        <v>108</v>
      </c>
      <c r="P60" s="15" t="s">
        <v>109</v>
      </c>
      <c r="Q60" s="15" t="s">
        <v>112</v>
      </c>
      <c r="R60" s="13" t="s">
        <v>113</v>
      </c>
      <c r="S60" s="13" t="s">
        <v>99</v>
      </c>
      <c r="T60" s="13" t="s">
        <v>100</v>
      </c>
      <c r="U60" s="14">
        <v>45124</v>
      </c>
      <c r="V60" s="14"/>
      <c r="W60" s="15"/>
      <c r="X60" s="15"/>
      <c r="Y60" s="13"/>
      <c r="Z60" s="15"/>
      <c r="AA60" s="15"/>
      <c r="AB60" s="15"/>
      <c r="AC60" s="13"/>
      <c r="AD60" s="15"/>
      <c r="AE60" s="15"/>
      <c r="AF60" s="15"/>
      <c r="AG60" s="13"/>
      <c r="AH60" s="15"/>
      <c r="AI60" s="15"/>
      <c r="AJ60" s="15"/>
      <c r="AK60" s="13"/>
      <c r="AL60" s="15"/>
      <c r="AM60" s="15"/>
      <c r="AN60" s="13"/>
      <c r="AO60" s="13"/>
    </row>
    <row r="61" spans="1:41" ht="87" x14ac:dyDescent="0.35">
      <c r="A61" s="13" t="s">
        <v>118</v>
      </c>
      <c r="B61" s="13" t="s">
        <v>83</v>
      </c>
      <c r="C61" s="14">
        <v>45428.464583333334</v>
      </c>
      <c r="D61" s="13" t="s">
        <v>84</v>
      </c>
      <c r="E61" s="15" t="s">
        <v>85</v>
      </c>
      <c r="F61" s="13" t="s">
        <v>86</v>
      </c>
      <c r="G61" s="15" t="s">
        <v>87</v>
      </c>
      <c r="H61" s="13" t="s">
        <v>230</v>
      </c>
      <c r="I61" s="15" t="s">
        <v>231</v>
      </c>
      <c r="J61" s="15" t="s">
        <v>232</v>
      </c>
      <c r="K61" s="15" t="s">
        <v>233</v>
      </c>
      <c r="L61" s="13" t="s">
        <v>234</v>
      </c>
      <c r="M61" s="15" t="s">
        <v>235</v>
      </c>
      <c r="N61" s="13" t="s">
        <v>94</v>
      </c>
      <c r="O61" s="15" t="s">
        <v>95</v>
      </c>
      <c r="P61" s="15" t="s">
        <v>96</v>
      </c>
      <c r="Q61" s="15" t="s">
        <v>114</v>
      </c>
      <c r="R61" s="13" t="s">
        <v>115</v>
      </c>
      <c r="S61" s="13" t="s">
        <v>99</v>
      </c>
      <c r="T61" s="13" t="s">
        <v>100</v>
      </c>
      <c r="U61" s="14">
        <v>45124</v>
      </c>
      <c r="V61" s="14"/>
      <c r="W61" s="15"/>
      <c r="X61" s="15"/>
      <c r="Y61" s="13"/>
      <c r="Z61" s="15"/>
      <c r="AA61" s="15"/>
      <c r="AB61" s="15"/>
      <c r="AC61" s="13"/>
      <c r="AD61" s="15"/>
      <c r="AE61" s="15"/>
      <c r="AF61" s="15"/>
      <c r="AG61" s="13"/>
      <c r="AH61" s="15"/>
      <c r="AI61" s="15"/>
      <c r="AJ61" s="15"/>
      <c r="AK61" s="13"/>
      <c r="AL61" s="15"/>
      <c r="AM61" s="15"/>
      <c r="AN61" s="13"/>
      <c r="AO61" s="13"/>
    </row>
    <row r="62" spans="1:41" ht="87" x14ac:dyDescent="0.35">
      <c r="A62" s="13" t="s">
        <v>118</v>
      </c>
      <c r="B62" s="13" t="s">
        <v>83</v>
      </c>
      <c r="C62" s="14">
        <v>45428.467361111114</v>
      </c>
      <c r="D62" s="13" t="s">
        <v>84</v>
      </c>
      <c r="E62" s="15" t="s">
        <v>85</v>
      </c>
      <c r="F62" s="13" t="s">
        <v>86</v>
      </c>
      <c r="G62" s="15" t="s">
        <v>87</v>
      </c>
      <c r="H62" s="13" t="s">
        <v>230</v>
      </c>
      <c r="I62" s="15" t="s">
        <v>231</v>
      </c>
      <c r="J62" s="15" t="s">
        <v>232</v>
      </c>
      <c r="K62" s="15" t="s">
        <v>233</v>
      </c>
      <c r="L62" s="13" t="s">
        <v>236</v>
      </c>
      <c r="M62" s="15" t="s">
        <v>237</v>
      </c>
      <c r="N62" s="13" t="s">
        <v>94</v>
      </c>
      <c r="O62" s="15" t="s">
        <v>103</v>
      </c>
      <c r="P62" s="15" t="s">
        <v>104</v>
      </c>
      <c r="Q62" s="15" t="s">
        <v>114</v>
      </c>
      <c r="R62" s="13" t="s">
        <v>115</v>
      </c>
      <c r="S62" s="13" t="s">
        <v>99</v>
      </c>
      <c r="T62" s="13" t="s">
        <v>100</v>
      </c>
      <c r="U62" s="14">
        <v>45124</v>
      </c>
      <c r="V62" s="14"/>
      <c r="W62" s="15"/>
      <c r="X62" s="15"/>
      <c r="Y62" s="13"/>
      <c r="Z62" s="15"/>
      <c r="AA62" s="15"/>
      <c r="AB62" s="15"/>
      <c r="AC62" s="13"/>
      <c r="AD62" s="15"/>
      <c r="AE62" s="15"/>
      <c r="AF62" s="15"/>
      <c r="AG62" s="13"/>
      <c r="AH62" s="15"/>
      <c r="AI62" s="15"/>
      <c r="AJ62" s="15"/>
      <c r="AK62" s="13"/>
      <c r="AL62" s="15"/>
      <c r="AM62" s="15"/>
      <c r="AN62" s="13"/>
      <c r="AO62" s="13"/>
    </row>
    <row r="63" spans="1:41" ht="87" x14ac:dyDescent="0.35">
      <c r="A63" s="13" t="s">
        <v>118</v>
      </c>
      <c r="B63" s="13" t="s">
        <v>83</v>
      </c>
      <c r="C63" s="14">
        <v>45428.468055555553</v>
      </c>
      <c r="D63" s="13" t="s">
        <v>84</v>
      </c>
      <c r="E63" s="15" t="s">
        <v>85</v>
      </c>
      <c r="F63" s="13" t="s">
        <v>86</v>
      </c>
      <c r="G63" s="15" t="s">
        <v>87</v>
      </c>
      <c r="H63" s="13" t="s">
        <v>230</v>
      </c>
      <c r="I63" s="15" t="s">
        <v>231</v>
      </c>
      <c r="J63" s="15" t="s">
        <v>232</v>
      </c>
      <c r="K63" s="15" t="s">
        <v>233</v>
      </c>
      <c r="L63" s="13" t="s">
        <v>238</v>
      </c>
      <c r="M63" s="15" t="s">
        <v>239</v>
      </c>
      <c r="N63" s="13" t="s">
        <v>107</v>
      </c>
      <c r="O63" s="15" t="s">
        <v>108</v>
      </c>
      <c r="P63" s="15" t="s">
        <v>109</v>
      </c>
      <c r="Q63" s="15" t="s">
        <v>114</v>
      </c>
      <c r="R63" s="13" t="s">
        <v>115</v>
      </c>
      <c r="S63" s="13" t="s">
        <v>99</v>
      </c>
      <c r="T63" s="13" t="s">
        <v>100</v>
      </c>
      <c r="U63" s="14">
        <v>45124</v>
      </c>
      <c r="V63" s="14"/>
      <c r="W63" s="15"/>
      <c r="X63" s="15"/>
      <c r="Y63" s="13"/>
      <c r="Z63" s="15"/>
      <c r="AA63" s="15"/>
      <c r="AB63" s="15"/>
      <c r="AC63" s="13"/>
      <c r="AD63" s="15"/>
      <c r="AE63" s="15"/>
      <c r="AF63" s="15"/>
      <c r="AG63" s="13"/>
      <c r="AH63" s="15"/>
      <c r="AI63" s="15"/>
      <c r="AJ63" s="15"/>
      <c r="AK63" s="13"/>
      <c r="AL63" s="15"/>
      <c r="AM63" s="15"/>
      <c r="AN63" s="13"/>
      <c r="AO63" s="13"/>
    </row>
    <row r="64" spans="1:41" ht="87" x14ac:dyDescent="0.35">
      <c r="A64" s="13" t="s">
        <v>118</v>
      </c>
      <c r="B64" s="13" t="s">
        <v>83</v>
      </c>
      <c r="C64" s="14">
        <v>45428.466666666667</v>
      </c>
      <c r="D64" s="13" t="s">
        <v>84</v>
      </c>
      <c r="E64" s="15" t="s">
        <v>85</v>
      </c>
      <c r="F64" s="13" t="s">
        <v>86</v>
      </c>
      <c r="G64" s="15" t="s">
        <v>87</v>
      </c>
      <c r="H64" s="13" t="s">
        <v>230</v>
      </c>
      <c r="I64" s="15" t="s">
        <v>231</v>
      </c>
      <c r="J64" s="15" t="s">
        <v>232</v>
      </c>
      <c r="K64" s="15" t="s">
        <v>233</v>
      </c>
      <c r="L64" s="13" t="s">
        <v>234</v>
      </c>
      <c r="M64" s="15" t="s">
        <v>235</v>
      </c>
      <c r="N64" s="13" t="s">
        <v>94</v>
      </c>
      <c r="O64" s="15" t="s">
        <v>95</v>
      </c>
      <c r="P64" s="15" t="s">
        <v>96</v>
      </c>
      <c r="Q64" s="15" t="s">
        <v>116</v>
      </c>
      <c r="R64" s="13" t="s">
        <v>117</v>
      </c>
      <c r="S64" s="13" t="s">
        <v>99</v>
      </c>
      <c r="T64" s="13" t="s">
        <v>100</v>
      </c>
      <c r="U64" s="14">
        <v>45124</v>
      </c>
      <c r="V64" s="14"/>
      <c r="W64" s="15"/>
      <c r="X64" s="15"/>
      <c r="Y64" s="13"/>
      <c r="Z64" s="15"/>
      <c r="AA64" s="15"/>
      <c r="AB64" s="15"/>
      <c r="AC64" s="13"/>
      <c r="AD64" s="15"/>
      <c r="AE64" s="15"/>
      <c r="AF64" s="15"/>
      <c r="AG64" s="13"/>
      <c r="AH64" s="15"/>
      <c r="AI64" s="15"/>
      <c r="AJ64" s="15"/>
      <c r="AK64" s="13"/>
      <c r="AL64" s="15"/>
      <c r="AM64" s="15"/>
      <c r="AN64" s="13"/>
      <c r="AO64" s="13"/>
    </row>
    <row r="65" spans="1:41" ht="87" x14ac:dyDescent="0.35">
      <c r="A65" s="13" t="s">
        <v>118</v>
      </c>
      <c r="B65" s="13" t="s">
        <v>83</v>
      </c>
      <c r="C65" s="14">
        <v>45428.467361111114</v>
      </c>
      <c r="D65" s="13" t="s">
        <v>84</v>
      </c>
      <c r="E65" s="15" t="s">
        <v>85</v>
      </c>
      <c r="F65" s="13" t="s">
        <v>86</v>
      </c>
      <c r="G65" s="15" t="s">
        <v>87</v>
      </c>
      <c r="H65" s="13" t="s">
        <v>230</v>
      </c>
      <c r="I65" s="15" t="s">
        <v>231</v>
      </c>
      <c r="J65" s="15" t="s">
        <v>232</v>
      </c>
      <c r="K65" s="15" t="s">
        <v>233</v>
      </c>
      <c r="L65" s="13" t="s">
        <v>236</v>
      </c>
      <c r="M65" s="15" t="s">
        <v>237</v>
      </c>
      <c r="N65" s="13" t="s">
        <v>94</v>
      </c>
      <c r="O65" s="15" t="s">
        <v>103</v>
      </c>
      <c r="P65" s="15" t="s">
        <v>104</v>
      </c>
      <c r="Q65" s="15" t="s">
        <v>116</v>
      </c>
      <c r="R65" s="13" t="s">
        <v>117</v>
      </c>
      <c r="S65" s="13" t="s">
        <v>99</v>
      </c>
      <c r="T65" s="13" t="s">
        <v>100</v>
      </c>
      <c r="U65" s="14">
        <v>45124</v>
      </c>
      <c r="V65" s="14"/>
      <c r="W65" s="15"/>
      <c r="X65" s="15"/>
      <c r="Y65" s="13"/>
      <c r="Z65" s="15"/>
      <c r="AA65" s="15"/>
      <c r="AB65" s="15"/>
      <c r="AC65" s="13"/>
      <c r="AD65" s="15"/>
      <c r="AE65" s="15"/>
      <c r="AF65" s="15"/>
      <c r="AG65" s="13"/>
      <c r="AH65" s="15"/>
      <c r="AI65" s="15"/>
      <c r="AJ65" s="15"/>
      <c r="AK65" s="13"/>
      <c r="AL65" s="15"/>
      <c r="AM65" s="15"/>
      <c r="AN65" s="13"/>
      <c r="AO65" s="13"/>
    </row>
    <row r="66" spans="1:41" ht="87" x14ac:dyDescent="0.35">
      <c r="A66" s="13" t="s">
        <v>118</v>
      </c>
      <c r="B66" s="13" t="s">
        <v>83</v>
      </c>
      <c r="C66" s="14">
        <v>45428.46875</v>
      </c>
      <c r="D66" s="13" t="s">
        <v>84</v>
      </c>
      <c r="E66" s="15" t="s">
        <v>85</v>
      </c>
      <c r="F66" s="13" t="s">
        <v>86</v>
      </c>
      <c r="G66" s="15" t="s">
        <v>87</v>
      </c>
      <c r="H66" s="13" t="s">
        <v>230</v>
      </c>
      <c r="I66" s="15" t="s">
        <v>231</v>
      </c>
      <c r="J66" s="15" t="s">
        <v>232</v>
      </c>
      <c r="K66" s="15" t="s">
        <v>233</v>
      </c>
      <c r="L66" s="13" t="s">
        <v>238</v>
      </c>
      <c r="M66" s="15" t="s">
        <v>239</v>
      </c>
      <c r="N66" s="13" t="s">
        <v>107</v>
      </c>
      <c r="O66" s="15" t="s">
        <v>108</v>
      </c>
      <c r="P66" s="15" t="s">
        <v>109</v>
      </c>
      <c r="Q66" s="15" t="s">
        <v>116</v>
      </c>
      <c r="R66" s="13" t="s">
        <v>117</v>
      </c>
      <c r="S66" s="13" t="s">
        <v>99</v>
      </c>
      <c r="T66" s="13" t="s">
        <v>100</v>
      </c>
      <c r="U66" s="14">
        <v>45124</v>
      </c>
      <c r="V66" s="14"/>
      <c r="W66" s="15"/>
      <c r="X66" s="15"/>
      <c r="Y66" s="13"/>
      <c r="Z66" s="15"/>
      <c r="AA66" s="15"/>
      <c r="AB66" s="15"/>
      <c r="AC66" s="13"/>
      <c r="AD66" s="15"/>
      <c r="AE66" s="15"/>
      <c r="AF66" s="15"/>
      <c r="AG66" s="13"/>
      <c r="AH66" s="15"/>
      <c r="AI66" s="15"/>
      <c r="AJ66" s="15"/>
      <c r="AK66" s="13"/>
      <c r="AL66" s="15"/>
      <c r="AM66" s="15"/>
      <c r="AN66" s="13"/>
      <c r="AO66" s="13"/>
    </row>
    <row r="67" spans="1:41" ht="87" x14ac:dyDescent="0.35">
      <c r="A67" s="13" t="s">
        <v>118</v>
      </c>
      <c r="B67" s="13" t="s">
        <v>83</v>
      </c>
      <c r="C67" s="14">
        <v>45428.456250000003</v>
      </c>
      <c r="D67" s="13" t="s">
        <v>84</v>
      </c>
      <c r="E67" s="15" t="s">
        <v>85</v>
      </c>
      <c r="F67" s="13" t="s">
        <v>86</v>
      </c>
      <c r="G67" s="15" t="s">
        <v>87</v>
      </c>
      <c r="H67" s="13" t="s">
        <v>230</v>
      </c>
      <c r="I67" s="15" t="s">
        <v>231</v>
      </c>
      <c r="J67" s="15" t="s">
        <v>232</v>
      </c>
      <c r="K67" s="15" t="s">
        <v>233</v>
      </c>
      <c r="L67" s="13" t="s">
        <v>234</v>
      </c>
      <c r="M67" s="15" t="s">
        <v>235</v>
      </c>
      <c r="N67" s="13" t="s">
        <v>94</v>
      </c>
      <c r="O67" s="15" t="s">
        <v>95</v>
      </c>
      <c r="P67" s="15" t="s">
        <v>96</v>
      </c>
      <c r="Q67" s="15" t="s">
        <v>120</v>
      </c>
      <c r="R67" s="13" t="s">
        <v>121</v>
      </c>
      <c r="S67" s="13" t="s">
        <v>122</v>
      </c>
      <c r="T67" s="13" t="s">
        <v>123</v>
      </c>
      <c r="U67" s="14">
        <v>45124</v>
      </c>
      <c r="V67" s="14"/>
      <c r="W67" s="15"/>
      <c r="X67" s="15"/>
      <c r="Y67" s="13"/>
      <c r="Z67" s="15"/>
      <c r="AA67" s="15"/>
      <c r="AB67" s="15"/>
      <c r="AC67" s="13"/>
      <c r="AD67" s="15"/>
      <c r="AE67" s="15"/>
      <c r="AF67" s="15"/>
      <c r="AG67" s="13"/>
      <c r="AH67" s="15"/>
      <c r="AI67" s="15"/>
      <c r="AJ67" s="15"/>
      <c r="AK67" s="13"/>
      <c r="AL67" s="15"/>
      <c r="AM67" s="15"/>
      <c r="AN67" s="13"/>
      <c r="AO67" s="13"/>
    </row>
    <row r="68" spans="1:41" ht="87" x14ac:dyDescent="0.35">
      <c r="A68" s="13" t="s">
        <v>118</v>
      </c>
      <c r="B68" s="13" t="s">
        <v>83</v>
      </c>
      <c r="C68" s="14">
        <v>45428.490277777775</v>
      </c>
      <c r="D68" s="13" t="s">
        <v>84</v>
      </c>
      <c r="E68" s="15" t="s">
        <v>85</v>
      </c>
      <c r="F68" s="13" t="s">
        <v>86</v>
      </c>
      <c r="G68" s="15" t="s">
        <v>87</v>
      </c>
      <c r="H68" s="13" t="s">
        <v>230</v>
      </c>
      <c r="I68" s="15" t="s">
        <v>231</v>
      </c>
      <c r="J68" s="15" t="s">
        <v>232</v>
      </c>
      <c r="K68" s="15" t="s">
        <v>233</v>
      </c>
      <c r="L68" s="13" t="s">
        <v>236</v>
      </c>
      <c r="M68" s="15" t="s">
        <v>237</v>
      </c>
      <c r="N68" s="13" t="s">
        <v>94</v>
      </c>
      <c r="O68" s="15" t="s">
        <v>103</v>
      </c>
      <c r="P68" s="15" t="s">
        <v>104</v>
      </c>
      <c r="Q68" s="15" t="s">
        <v>120</v>
      </c>
      <c r="R68" s="13" t="s">
        <v>121</v>
      </c>
      <c r="S68" s="13" t="s">
        <v>122</v>
      </c>
      <c r="T68" s="13" t="s">
        <v>123</v>
      </c>
      <c r="U68" s="14">
        <v>45124</v>
      </c>
      <c r="V68" s="14"/>
      <c r="W68" s="15"/>
      <c r="X68" s="15"/>
      <c r="Y68" s="13"/>
      <c r="Z68" s="15"/>
      <c r="AA68" s="15"/>
      <c r="AB68" s="15"/>
      <c r="AC68" s="13"/>
      <c r="AD68" s="15"/>
      <c r="AE68" s="15"/>
      <c r="AF68" s="15"/>
      <c r="AG68" s="13"/>
      <c r="AH68" s="15"/>
      <c r="AI68" s="15"/>
      <c r="AJ68" s="15"/>
      <c r="AK68" s="13"/>
      <c r="AL68" s="15"/>
      <c r="AM68" s="15"/>
      <c r="AN68" s="13"/>
      <c r="AO68" s="13"/>
    </row>
    <row r="69" spans="1:41" ht="87" x14ac:dyDescent="0.35">
      <c r="A69" s="13" t="s">
        <v>118</v>
      </c>
      <c r="B69" s="13" t="s">
        <v>83</v>
      </c>
      <c r="C69" s="14">
        <v>45428.488888888889</v>
      </c>
      <c r="D69" s="13" t="s">
        <v>84</v>
      </c>
      <c r="E69" s="15" t="s">
        <v>85</v>
      </c>
      <c r="F69" s="13" t="s">
        <v>86</v>
      </c>
      <c r="G69" s="15" t="s">
        <v>87</v>
      </c>
      <c r="H69" s="13" t="s">
        <v>230</v>
      </c>
      <c r="I69" s="15" t="s">
        <v>231</v>
      </c>
      <c r="J69" s="15" t="s">
        <v>232</v>
      </c>
      <c r="K69" s="15" t="s">
        <v>233</v>
      </c>
      <c r="L69" s="13" t="s">
        <v>238</v>
      </c>
      <c r="M69" s="15" t="s">
        <v>239</v>
      </c>
      <c r="N69" s="13" t="s">
        <v>107</v>
      </c>
      <c r="O69" s="15" t="s">
        <v>108</v>
      </c>
      <c r="P69" s="15" t="s">
        <v>109</v>
      </c>
      <c r="Q69" s="15" t="s">
        <v>120</v>
      </c>
      <c r="R69" s="13" t="s">
        <v>121</v>
      </c>
      <c r="S69" s="13" t="s">
        <v>122</v>
      </c>
      <c r="T69" s="13" t="s">
        <v>123</v>
      </c>
      <c r="U69" s="14">
        <v>45124</v>
      </c>
      <c r="V69" s="14"/>
      <c r="W69" s="15"/>
      <c r="X69" s="15"/>
      <c r="Y69" s="13"/>
      <c r="Z69" s="15"/>
      <c r="AA69" s="15"/>
      <c r="AB69" s="15"/>
      <c r="AC69" s="13"/>
      <c r="AD69" s="15"/>
      <c r="AE69" s="15"/>
      <c r="AF69" s="15"/>
      <c r="AG69" s="13"/>
      <c r="AH69" s="15"/>
      <c r="AI69" s="15"/>
      <c r="AJ69" s="15"/>
      <c r="AK69" s="13"/>
      <c r="AL69" s="15"/>
      <c r="AM69" s="15"/>
      <c r="AN69" s="13"/>
      <c r="AO69" s="13"/>
    </row>
    <row r="70" spans="1:41" ht="87" x14ac:dyDescent="0.35">
      <c r="A70" s="13" t="s">
        <v>118</v>
      </c>
      <c r="B70" s="13" t="s">
        <v>83</v>
      </c>
      <c r="C70" s="14">
        <v>45428.458333333336</v>
      </c>
      <c r="D70" s="13" t="s">
        <v>84</v>
      </c>
      <c r="E70" s="15" t="s">
        <v>85</v>
      </c>
      <c r="F70" s="13" t="s">
        <v>86</v>
      </c>
      <c r="G70" s="15" t="s">
        <v>87</v>
      </c>
      <c r="H70" s="13" t="s">
        <v>230</v>
      </c>
      <c r="I70" s="15" t="s">
        <v>231</v>
      </c>
      <c r="J70" s="15" t="s">
        <v>232</v>
      </c>
      <c r="K70" s="15" t="s">
        <v>233</v>
      </c>
      <c r="L70" s="13" t="s">
        <v>234</v>
      </c>
      <c r="M70" s="15" t="s">
        <v>235</v>
      </c>
      <c r="N70" s="13" t="s">
        <v>94</v>
      </c>
      <c r="O70" s="15" t="s">
        <v>95</v>
      </c>
      <c r="P70" s="15" t="s">
        <v>96</v>
      </c>
      <c r="Q70" s="15" t="s">
        <v>178</v>
      </c>
      <c r="R70" s="13" t="s">
        <v>179</v>
      </c>
      <c r="S70" s="13" t="s">
        <v>122</v>
      </c>
      <c r="T70" s="13" t="s">
        <v>123</v>
      </c>
      <c r="U70" s="14">
        <v>45124</v>
      </c>
      <c r="V70" s="14"/>
      <c r="W70" s="15"/>
      <c r="X70" s="15"/>
      <c r="Y70" s="13"/>
      <c r="Z70" s="15"/>
      <c r="AA70" s="15"/>
      <c r="AB70" s="15"/>
      <c r="AC70" s="13"/>
      <c r="AD70" s="15"/>
      <c r="AE70" s="15"/>
      <c r="AF70" s="15"/>
      <c r="AG70" s="13"/>
      <c r="AH70" s="15"/>
      <c r="AI70" s="15"/>
      <c r="AJ70" s="15"/>
      <c r="AK70" s="13"/>
      <c r="AL70" s="15"/>
      <c r="AM70" s="15"/>
      <c r="AN70" s="13"/>
      <c r="AO70" s="13"/>
    </row>
    <row r="71" spans="1:41" ht="87" x14ac:dyDescent="0.35">
      <c r="A71" s="13" t="s">
        <v>118</v>
      </c>
      <c r="B71" s="13" t="s">
        <v>83</v>
      </c>
      <c r="C71" s="14">
        <v>45428.459027777775</v>
      </c>
      <c r="D71" s="13" t="s">
        <v>84</v>
      </c>
      <c r="E71" s="15" t="s">
        <v>85</v>
      </c>
      <c r="F71" s="13" t="s">
        <v>86</v>
      </c>
      <c r="G71" s="15" t="s">
        <v>87</v>
      </c>
      <c r="H71" s="13" t="s">
        <v>230</v>
      </c>
      <c r="I71" s="15" t="s">
        <v>231</v>
      </c>
      <c r="J71" s="15" t="s">
        <v>232</v>
      </c>
      <c r="K71" s="15" t="s">
        <v>233</v>
      </c>
      <c r="L71" s="13" t="s">
        <v>236</v>
      </c>
      <c r="M71" s="15" t="s">
        <v>237</v>
      </c>
      <c r="N71" s="13" t="s">
        <v>94</v>
      </c>
      <c r="O71" s="15" t="s">
        <v>103</v>
      </c>
      <c r="P71" s="15" t="s">
        <v>104</v>
      </c>
      <c r="Q71" s="15" t="s">
        <v>178</v>
      </c>
      <c r="R71" s="13" t="s">
        <v>179</v>
      </c>
      <c r="S71" s="13" t="s">
        <v>122</v>
      </c>
      <c r="T71" s="13" t="s">
        <v>123</v>
      </c>
      <c r="U71" s="14">
        <v>45124</v>
      </c>
      <c r="V71" s="14"/>
      <c r="W71" s="15"/>
      <c r="X71" s="15"/>
      <c r="Y71" s="13"/>
      <c r="Z71" s="15"/>
      <c r="AA71" s="15"/>
      <c r="AB71" s="15"/>
      <c r="AC71" s="13"/>
      <c r="AD71" s="15"/>
      <c r="AE71" s="15"/>
      <c r="AF71" s="15"/>
      <c r="AG71" s="13"/>
      <c r="AH71" s="15"/>
      <c r="AI71" s="15"/>
      <c r="AJ71" s="15"/>
      <c r="AK71" s="13"/>
      <c r="AL71" s="15"/>
      <c r="AM71" s="15"/>
      <c r="AN71" s="13"/>
      <c r="AO71" s="13"/>
    </row>
    <row r="72" spans="1:41" ht="87" x14ac:dyDescent="0.35">
      <c r="A72" s="13" t="s">
        <v>118</v>
      </c>
      <c r="B72" s="13" t="s">
        <v>83</v>
      </c>
      <c r="C72" s="14">
        <v>45428.488888888889</v>
      </c>
      <c r="D72" s="13" t="s">
        <v>84</v>
      </c>
      <c r="E72" s="15" t="s">
        <v>85</v>
      </c>
      <c r="F72" s="13" t="s">
        <v>86</v>
      </c>
      <c r="G72" s="15" t="s">
        <v>87</v>
      </c>
      <c r="H72" s="13" t="s">
        <v>230</v>
      </c>
      <c r="I72" s="15" t="s">
        <v>231</v>
      </c>
      <c r="J72" s="15" t="s">
        <v>232</v>
      </c>
      <c r="K72" s="15" t="s">
        <v>233</v>
      </c>
      <c r="L72" s="13" t="s">
        <v>238</v>
      </c>
      <c r="M72" s="15" t="s">
        <v>239</v>
      </c>
      <c r="N72" s="13" t="s">
        <v>107</v>
      </c>
      <c r="O72" s="15" t="s">
        <v>108</v>
      </c>
      <c r="P72" s="15" t="s">
        <v>109</v>
      </c>
      <c r="Q72" s="15" t="s">
        <v>178</v>
      </c>
      <c r="R72" s="13" t="s">
        <v>179</v>
      </c>
      <c r="S72" s="13" t="s">
        <v>122</v>
      </c>
      <c r="T72" s="13" t="s">
        <v>123</v>
      </c>
      <c r="U72" s="14">
        <v>45124</v>
      </c>
      <c r="V72" s="14"/>
      <c r="W72" s="15"/>
      <c r="X72" s="15"/>
      <c r="Y72" s="13"/>
      <c r="Z72" s="15"/>
      <c r="AA72" s="15"/>
      <c r="AB72" s="15"/>
      <c r="AC72" s="13"/>
      <c r="AD72" s="15"/>
      <c r="AE72" s="15"/>
      <c r="AF72" s="15"/>
      <c r="AG72" s="13"/>
      <c r="AH72" s="15"/>
      <c r="AI72" s="15"/>
      <c r="AJ72" s="15"/>
      <c r="AK72" s="13"/>
      <c r="AL72" s="15"/>
      <c r="AM72" s="15"/>
      <c r="AN72" s="13"/>
      <c r="AO72" s="13"/>
    </row>
  </sheetData>
  <autoFilter ref="A1:AS1" xr:uid="{8DB98556-E663-485F-A038-6B74A540F1C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DF48F-51B2-4170-9044-482C94D204B9}">
  <dimension ref="A1:U49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4" width="12.6328125" style="12" customWidth="1"/>
    <col min="5" max="5" width="14.6328125" style="12" customWidth="1"/>
    <col min="6" max="6" width="40.6328125" style="17" customWidth="1"/>
    <col min="7" max="7" width="25.6328125" style="12" customWidth="1"/>
    <col min="8" max="9" width="12.6328125" style="12" customWidth="1"/>
    <col min="10" max="11" width="40.6328125" style="17" customWidth="1"/>
    <col min="12" max="12" width="14.6328125" style="12" customWidth="1"/>
    <col min="13" max="13" width="25.6328125" style="17" customWidth="1"/>
    <col min="14" max="17" width="25.6328125" style="12" customWidth="1"/>
    <col min="18" max="18" width="9.6328125" style="12" customWidth="1"/>
    <col min="19" max="20" width="15.6328125" style="12" customWidth="1"/>
    <col min="21" max="21" width="40.6328125" style="17" customWidth="1"/>
    <col min="22" max="16384" width="10.90625" style="12"/>
  </cols>
  <sheetData>
    <row r="1" spans="1:21" ht="43.5" x14ac:dyDescent="0.35">
      <c r="A1" s="10" t="s">
        <v>2</v>
      </c>
      <c r="B1" s="10" t="s">
        <v>3</v>
      </c>
      <c r="C1" s="11" t="s">
        <v>4</v>
      </c>
      <c r="D1" s="10" t="s">
        <v>302</v>
      </c>
      <c r="E1" s="10" t="s">
        <v>303</v>
      </c>
      <c r="F1" s="10" t="s">
        <v>304</v>
      </c>
      <c r="G1" s="10" t="s">
        <v>305</v>
      </c>
      <c r="H1" s="11" t="s">
        <v>21</v>
      </c>
      <c r="I1" s="11" t="s">
        <v>22</v>
      </c>
      <c r="J1" s="10" t="s">
        <v>306</v>
      </c>
      <c r="K1" s="10" t="s">
        <v>307</v>
      </c>
      <c r="L1" s="10" t="s">
        <v>308</v>
      </c>
      <c r="M1" s="10" t="s">
        <v>301</v>
      </c>
      <c r="N1" s="10" t="s">
        <v>309</v>
      </c>
      <c r="O1" s="10" t="s">
        <v>310</v>
      </c>
      <c r="P1" s="10" t="s">
        <v>311</v>
      </c>
      <c r="Q1" s="10" t="s">
        <v>312</v>
      </c>
      <c r="R1" s="10" t="s">
        <v>80</v>
      </c>
      <c r="S1" s="10" t="s">
        <v>81</v>
      </c>
      <c r="T1" s="10" t="s">
        <v>313</v>
      </c>
      <c r="U1" s="10" t="s">
        <v>314</v>
      </c>
    </row>
    <row r="2" spans="1:21" ht="43.5" x14ac:dyDescent="0.35">
      <c r="A2" s="13" t="s">
        <v>82</v>
      </c>
      <c r="B2" s="13" t="s">
        <v>83</v>
      </c>
      <c r="C2" s="14">
        <v>44967.681250000001</v>
      </c>
      <c r="D2" s="13" t="s">
        <v>143</v>
      </c>
      <c r="E2" s="13" t="s">
        <v>306</v>
      </c>
      <c r="F2" s="15" t="s">
        <v>144</v>
      </c>
      <c r="G2" s="13" t="s">
        <v>315</v>
      </c>
      <c r="H2" s="14">
        <v>43831</v>
      </c>
      <c r="I2" s="14"/>
      <c r="J2" s="15" t="s">
        <v>316</v>
      </c>
      <c r="K2" s="15" t="s">
        <v>317</v>
      </c>
      <c r="L2" s="13" t="s">
        <v>318</v>
      </c>
      <c r="M2" s="15"/>
      <c r="N2" s="13" t="s">
        <v>319</v>
      </c>
      <c r="O2" s="13"/>
      <c r="P2" s="13"/>
      <c r="Q2" s="13"/>
      <c r="R2" s="13"/>
      <c r="S2" s="13"/>
      <c r="T2" s="13"/>
      <c r="U2" s="15"/>
    </row>
    <row r="3" spans="1:21" ht="72.5" x14ac:dyDescent="0.35">
      <c r="A3" s="13" t="s">
        <v>82</v>
      </c>
      <c r="B3" s="13" t="s">
        <v>83</v>
      </c>
      <c r="C3" s="14">
        <v>44967.621527777781</v>
      </c>
      <c r="D3" s="13" t="s">
        <v>147</v>
      </c>
      <c r="E3" s="13" t="s">
        <v>306</v>
      </c>
      <c r="F3" s="15" t="s">
        <v>148</v>
      </c>
      <c r="G3" s="13" t="s">
        <v>320</v>
      </c>
      <c r="H3" s="14">
        <v>43831</v>
      </c>
      <c r="I3" s="14"/>
      <c r="J3" s="15" t="s">
        <v>321</v>
      </c>
      <c r="K3" s="15" t="s">
        <v>322</v>
      </c>
      <c r="L3" s="13" t="s">
        <v>318</v>
      </c>
      <c r="M3" s="15"/>
      <c r="N3" s="13" t="s">
        <v>323</v>
      </c>
      <c r="O3" s="13"/>
      <c r="P3" s="13"/>
      <c r="Q3" s="13"/>
      <c r="R3" s="13"/>
      <c r="S3" s="13"/>
      <c r="T3" s="13" t="s">
        <v>324</v>
      </c>
      <c r="U3" s="15" t="s">
        <v>325</v>
      </c>
    </row>
    <row r="4" spans="1:21" ht="72.5" x14ac:dyDescent="0.35">
      <c r="A4" s="13" t="s">
        <v>82</v>
      </c>
      <c r="B4" s="13" t="s">
        <v>83</v>
      </c>
      <c r="C4" s="14">
        <v>44973.670138888891</v>
      </c>
      <c r="D4" s="13" t="s">
        <v>149</v>
      </c>
      <c r="E4" s="13" t="s">
        <v>306</v>
      </c>
      <c r="F4" s="15" t="s">
        <v>150</v>
      </c>
      <c r="G4" s="13" t="s">
        <v>320</v>
      </c>
      <c r="H4" s="14">
        <v>43831</v>
      </c>
      <c r="I4" s="14"/>
      <c r="J4" s="15" t="s">
        <v>326</v>
      </c>
      <c r="K4" s="15" t="s">
        <v>327</v>
      </c>
      <c r="L4" s="13" t="s">
        <v>318</v>
      </c>
      <c r="M4" s="15"/>
      <c r="N4" s="13" t="s">
        <v>323</v>
      </c>
      <c r="O4" s="13"/>
      <c r="P4" s="13"/>
      <c r="Q4" s="13"/>
      <c r="R4" s="13"/>
      <c r="S4" s="13"/>
      <c r="T4" s="13"/>
      <c r="U4" s="15"/>
    </row>
    <row r="5" spans="1:21" ht="43.5" x14ac:dyDescent="0.35">
      <c r="A5" s="13" t="s">
        <v>82</v>
      </c>
      <c r="B5" s="13" t="s">
        <v>83</v>
      </c>
      <c r="C5" s="14">
        <v>44973.663194444445</v>
      </c>
      <c r="D5" s="13" t="s">
        <v>141</v>
      </c>
      <c r="E5" s="13" t="s">
        <v>306</v>
      </c>
      <c r="F5" s="15" t="s">
        <v>142</v>
      </c>
      <c r="G5" s="13" t="s">
        <v>315</v>
      </c>
      <c r="H5" s="14">
        <v>43831</v>
      </c>
      <c r="I5" s="14"/>
      <c r="J5" s="15" t="s">
        <v>328</v>
      </c>
      <c r="K5" s="15" t="s">
        <v>329</v>
      </c>
      <c r="L5" s="13" t="s">
        <v>318</v>
      </c>
      <c r="M5" s="15"/>
      <c r="N5" s="13" t="s">
        <v>330</v>
      </c>
      <c r="O5" s="13"/>
      <c r="P5" s="13"/>
      <c r="Q5" s="13"/>
      <c r="R5" s="13"/>
      <c r="S5" s="13"/>
      <c r="T5" s="13" t="s">
        <v>324</v>
      </c>
      <c r="U5" s="15" t="s">
        <v>331</v>
      </c>
    </row>
    <row r="6" spans="1:21" ht="43.5" x14ac:dyDescent="0.35">
      <c r="A6" s="13" t="s">
        <v>118</v>
      </c>
      <c r="B6" s="13" t="s">
        <v>119</v>
      </c>
      <c r="C6" s="14">
        <v>45428.395833333336</v>
      </c>
      <c r="D6" s="13" t="s">
        <v>145</v>
      </c>
      <c r="E6" s="13" t="s">
        <v>306</v>
      </c>
      <c r="F6" s="15" t="s">
        <v>146</v>
      </c>
      <c r="G6" s="13" t="s">
        <v>315</v>
      </c>
      <c r="H6" s="14">
        <v>43831</v>
      </c>
      <c r="I6" s="14"/>
      <c r="J6" s="15"/>
      <c r="K6" s="15" t="s">
        <v>332</v>
      </c>
      <c r="L6" s="13" t="s">
        <v>318</v>
      </c>
      <c r="M6" s="15"/>
      <c r="N6" s="13" t="s">
        <v>333</v>
      </c>
      <c r="O6" s="13"/>
      <c r="P6" s="13"/>
      <c r="Q6" s="13"/>
      <c r="R6" s="13"/>
      <c r="S6" s="13"/>
      <c r="T6" s="13" t="s">
        <v>324</v>
      </c>
      <c r="U6" s="15" t="s">
        <v>146</v>
      </c>
    </row>
    <row r="7" spans="1:21" ht="29" x14ac:dyDescent="0.35">
      <c r="A7" s="13" t="s">
        <v>82</v>
      </c>
      <c r="B7" s="13" t="s">
        <v>83</v>
      </c>
      <c r="C7" s="14">
        <v>44967.658333333333</v>
      </c>
      <c r="D7" s="13" t="s">
        <v>207</v>
      </c>
      <c r="E7" s="13" t="s">
        <v>306</v>
      </c>
      <c r="F7" s="15" t="s">
        <v>208</v>
      </c>
      <c r="G7" s="13" t="s">
        <v>334</v>
      </c>
      <c r="H7" s="14">
        <v>43831</v>
      </c>
      <c r="I7" s="14">
        <v>44125</v>
      </c>
      <c r="J7" s="15" t="s">
        <v>328</v>
      </c>
      <c r="K7" s="15" t="s">
        <v>335</v>
      </c>
      <c r="L7" s="13" t="s">
        <v>318</v>
      </c>
      <c r="M7" s="15"/>
      <c r="N7" s="13" t="s">
        <v>336</v>
      </c>
      <c r="O7" s="13"/>
      <c r="P7" s="13"/>
      <c r="Q7" s="13"/>
      <c r="R7" s="13"/>
      <c r="S7" s="13"/>
      <c r="T7" s="13" t="s">
        <v>324</v>
      </c>
      <c r="U7" s="15" t="s">
        <v>337</v>
      </c>
    </row>
    <row r="8" spans="1:21" ht="29" x14ac:dyDescent="0.35">
      <c r="A8" s="13" t="s">
        <v>82</v>
      </c>
      <c r="B8" s="13" t="s">
        <v>83</v>
      </c>
      <c r="C8" s="14">
        <v>44967.667361111111</v>
      </c>
      <c r="D8" s="13" t="s">
        <v>209</v>
      </c>
      <c r="E8" s="13" t="s">
        <v>306</v>
      </c>
      <c r="F8" s="15" t="s">
        <v>210</v>
      </c>
      <c r="G8" s="13" t="s">
        <v>334</v>
      </c>
      <c r="H8" s="14">
        <v>43831</v>
      </c>
      <c r="I8" s="14">
        <v>44125</v>
      </c>
      <c r="J8" s="15" t="s">
        <v>316</v>
      </c>
      <c r="K8" s="15" t="s">
        <v>338</v>
      </c>
      <c r="L8" s="13" t="s">
        <v>318</v>
      </c>
      <c r="M8" s="15"/>
      <c r="N8" s="13" t="s">
        <v>336</v>
      </c>
      <c r="O8" s="13"/>
      <c r="P8" s="13"/>
      <c r="Q8" s="13"/>
      <c r="R8" s="13"/>
      <c r="S8" s="13"/>
      <c r="T8" s="13"/>
      <c r="U8" s="15"/>
    </row>
    <row r="9" spans="1:21" ht="43.5" x14ac:dyDescent="0.35">
      <c r="A9" s="13" t="s">
        <v>82</v>
      </c>
      <c r="B9" s="13" t="s">
        <v>83</v>
      </c>
      <c r="C9" s="14">
        <v>44970.527083333334</v>
      </c>
      <c r="D9" s="13" t="s">
        <v>216</v>
      </c>
      <c r="E9" s="13" t="s">
        <v>306</v>
      </c>
      <c r="F9" s="15" t="s">
        <v>217</v>
      </c>
      <c r="G9" s="13" t="s">
        <v>334</v>
      </c>
      <c r="H9" s="14">
        <v>44126</v>
      </c>
      <c r="I9" s="14"/>
      <c r="J9" s="15" t="s">
        <v>328</v>
      </c>
      <c r="K9" s="15" t="s">
        <v>339</v>
      </c>
      <c r="L9" s="13" t="s">
        <v>318</v>
      </c>
      <c r="M9" s="15"/>
      <c r="N9" s="13" t="s">
        <v>340</v>
      </c>
      <c r="O9" s="13"/>
      <c r="P9" s="13"/>
      <c r="Q9" s="13"/>
      <c r="R9" s="13"/>
      <c r="S9" s="13"/>
      <c r="T9" s="13" t="s">
        <v>324</v>
      </c>
      <c r="U9" s="15" t="s">
        <v>341</v>
      </c>
    </row>
    <row r="10" spans="1:21" ht="29" x14ac:dyDescent="0.35">
      <c r="A10" s="13" t="s">
        <v>82</v>
      </c>
      <c r="B10" s="13" t="s">
        <v>83</v>
      </c>
      <c r="C10" s="14">
        <v>44970.527083333334</v>
      </c>
      <c r="D10" s="13" t="s">
        <v>218</v>
      </c>
      <c r="E10" s="13" t="s">
        <v>306</v>
      </c>
      <c r="F10" s="15" t="s">
        <v>219</v>
      </c>
      <c r="G10" s="13" t="s">
        <v>334</v>
      </c>
      <c r="H10" s="14">
        <v>44126</v>
      </c>
      <c r="I10" s="14"/>
      <c r="J10" s="15" t="s">
        <v>316</v>
      </c>
      <c r="K10" s="15" t="s">
        <v>342</v>
      </c>
      <c r="L10" s="13" t="s">
        <v>318</v>
      </c>
      <c r="M10" s="15"/>
      <c r="N10" s="13" t="s">
        <v>340</v>
      </c>
      <c r="O10" s="13"/>
      <c r="P10" s="13"/>
      <c r="Q10" s="13"/>
      <c r="R10" s="13"/>
      <c r="S10" s="13"/>
      <c r="T10" s="13"/>
      <c r="U10" s="15"/>
    </row>
    <row r="11" spans="1:21" ht="116" x14ac:dyDescent="0.35">
      <c r="A11" s="13" t="s">
        <v>343</v>
      </c>
      <c r="B11" s="13" t="s">
        <v>83</v>
      </c>
      <c r="C11" s="14">
        <v>43662.665277777778</v>
      </c>
      <c r="D11" s="13" t="s">
        <v>151</v>
      </c>
      <c r="E11" s="13" t="s">
        <v>344</v>
      </c>
      <c r="F11" s="15" t="s">
        <v>152</v>
      </c>
      <c r="G11" s="13"/>
      <c r="H11" s="14">
        <v>40725</v>
      </c>
      <c r="I11" s="14"/>
      <c r="J11" s="15" t="s">
        <v>328</v>
      </c>
      <c r="K11" s="15" t="s">
        <v>345</v>
      </c>
      <c r="L11" s="13" t="s">
        <v>318</v>
      </c>
      <c r="M11" s="15"/>
      <c r="N11" s="13"/>
      <c r="O11" s="13" t="s">
        <v>346</v>
      </c>
      <c r="P11" s="13"/>
      <c r="Q11" s="13"/>
      <c r="R11" s="13"/>
      <c r="S11" s="13"/>
      <c r="T11" s="13"/>
      <c r="U11" s="15"/>
    </row>
    <row r="12" spans="1:21" ht="101.5" x14ac:dyDescent="0.35">
      <c r="A12" s="13" t="s">
        <v>343</v>
      </c>
      <c r="B12" s="13" t="s">
        <v>83</v>
      </c>
      <c r="C12" s="14">
        <v>43662.665972222225</v>
      </c>
      <c r="D12" s="13" t="s">
        <v>181</v>
      </c>
      <c r="E12" s="13" t="s">
        <v>344</v>
      </c>
      <c r="F12" s="15" t="s">
        <v>182</v>
      </c>
      <c r="G12" s="13"/>
      <c r="H12" s="14">
        <v>40725</v>
      </c>
      <c r="I12" s="14"/>
      <c r="J12" s="15"/>
      <c r="K12" s="15" t="s">
        <v>347</v>
      </c>
      <c r="L12" s="13" t="s">
        <v>318</v>
      </c>
      <c r="M12" s="15"/>
      <c r="N12" s="13"/>
      <c r="O12" s="13" t="s">
        <v>348</v>
      </c>
      <c r="P12" s="13"/>
      <c r="Q12" s="13"/>
      <c r="R12" s="13"/>
      <c r="S12" s="13"/>
      <c r="T12" s="13"/>
      <c r="U12" s="15"/>
    </row>
    <row r="13" spans="1:21" ht="101.5" x14ac:dyDescent="0.35">
      <c r="A13" s="13" t="s">
        <v>343</v>
      </c>
      <c r="B13" s="13" t="s">
        <v>83</v>
      </c>
      <c r="C13" s="14">
        <v>44895.470833333333</v>
      </c>
      <c r="D13" s="13" t="s">
        <v>153</v>
      </c>
      <c r="E13" s="13" t="s">
        <v>344</v>
      </c>
      <c r="F13" s="15" t="s">
        <v>154</v>
      </c>
      <c r="G13" s="13"/>
      <c r="H13" s="14">
        <v>40725</v>
      </c>
      <c r="I13" s="14"/>
      <c r="J13" s="15" t="s">
        <v>316</v>
      </c>
      <c r="K13" s="15" t="s">
        <v>349</v>
      </c>
      <c r="L13" s="13" t="s">
        <v>350</v>
      </c>
      <c r="M13" s="15" t="s">
        <v>351</v>
      </c>
      <c r="N13" s="13"/>
      <c r="O13" s="13" t="s">
        <v>348</v>
      </c>
      <c r="P13" s="13"/>
      <c r="Q13" s="13"/>
      <c r="R13" s="13"/>
      <c r="S13" s="13"/>
      <c r="T13" s="13"/>
      <c r="U13" s="15"/>
    </row>
    <row r="14" spans="1:21" ht="43.5" x14ac:dyDescent="0.35">
      <c r="A14" s="13" t="s">
        <v>343</v>
      </c>
      <c r="B14" s="13" t="s">
        <v>83</v>
      </c>
      <c r="C14" s="14">
        <v>43152.5</v>
      </c>
      <c r="D14" s="13" t="s">
        <v>155</v>
      </c>
      <c r="E14" s="13" t="s">
        <v>344</v>
      </c>
      <c r="F14" s="15" t="s">
        <v>156</v>
      </c>
      <c r="G14" s="13"/>
      <c r="H14" s="14">
        <v>40725</v>
      </c>
      <c r="I14" s="14"/>
      <c r="J14" s="15"/>
      <c r="K14" s="15" t="s">
        <v>352</v>
      </c>
      <c r="L14" s="13" t="s">
        <v>318</v>
      </c>
      <c r="M14" s="15"/>
      <c r="N14" s="13"/>
      <c r="O14" s="13" t="s">
        <v>353</v>
      </c>
      <c r="P14" s="13"/>
      <c r="Q14" s="13"/>
      <c r="R14" s="13"/>
      <c r="S14" s="13"/>
      <c r="T14" s="13"/>
      <c r="U14" s="15"/>
    </row>
    <row r="15" spans="1:21" ht="101.5" x14ac:dyDescent="0.35">
      <c r="A15" s="13" t="s">
        <v>343</v>
      </c>
      <c r="B15" s="13" t="s">
        <v>83</v>
      </c>
      <c r="C15" s="14">
        <v>43662.667361111111</v>
      </c>
      <c r="D15" s="13" t="s">
        <v>157</v>
      </c>
      <c r="E15" s="13" t="s">
        <v>344</v>
      </c>
      <c r="F15" s="15" t="s">
        <v>158</v>
      </c>
      <c r="G15" s="13"/>
      <c r="H15" s="14">
        <v>40725</v>
      </c>
      <c r="I15" s="14"/>
      <c r="J15" s="15" t="s">
        <v>316</v>
      </c>
      <c r="K15" s="15" t="s">
        <v>354</v>
      </c>
      <c r="L15" s="13" t="s">
        <v>318</v>
      </c>
      <c r="M15" s="15"/>
      <c r="N15" s="13"/>
      <c r="O15" s="13" t="s">
        <v>348</v>
      </c>
      <c r="P15" s="13"/>
      <c r="Q15" s="13"/>
      <c r="R15" s="13"/>
      <c r="S15" s="13"/>
      <c r="T15" s="13"/>
      <c r="U15" s="15"/>
    </row>
    <row r="16" spans="1:21" ht="101.5" x14ac:dyDescent="0.35">
      <c r="A16" s="13" t="s">
        <v>343</v>
      </c>
      <c r="B16" s="13" t="s">
        <v>83</v>
      </c>
      <c r="C16" s="14">
        <v>43662.674305555556</v>
      </c>
      <c r="D16" s="13" t="s">
        <v>159</v>
      </c>
      <c r="E16" s="13" t="s">
        <v>344</v>
      </c>
      <c r="F16" s="15" t="s">
        <v>160</v>
      </c>
      <c r="G16" s="13"/>
      <c r="H16" s="14">
        <v>40725</v>
      </c>
      <c r="I16" s="14"/>
      <c r="J16" s="15" t="s">
        <v>328</v>
      </c>
      <c r="K16" s="15" t="s">
        <v>355</v>
      </c>
      <c r="L16" s="13" t="s">
        <v>350</v>
      </c>
      <c r="M16" s="15" t="s">
        <v>351</v>
      </c>
      <c r="N16" s="13"/>
      <c r="O16" s="13" t="s">
        <v>348</v>
      </c>
      <c r="P16" s="13"/>
      <c r="Q16" s="13"/>
      <c r="R16" s="13"/>
      <c r="S16" s="13"/>
      <c r="T16" s="13"/>
      <c r="U16" s="15"/>
    </row>
    <row r="17" spans="1:21" ht="101.5" x14ac:dyDescent="0.35">
      <c r="A17" s="13" t="s">
        <v>343</v>
      </c>
      <c r="B17" s="13" t="s">
        <v>83</v>
      </c>
      <c r="C17" s="14">
        <v>43152.5</v>
      </c>
      <c r="D17" s="13" t="s">
        <v>161</v>
      </c>
      <c r="E17" s="13" t="s">
        <v>344</v>
      </c>
      <c r="F17" s="15" t="s">
        <v>162</v>
      </c>
      <c r="G17" s="13"/>
      <c r="H17" s="14">
        <v>40725</v>
      </c>
      <c r="I17" s="14"/>
      <c r="J17" s="15" t="s">
        <v>356</v>
      </c>
      <c r="K17" s="15" t="s">
        <v>357</v>
      </c>
      <c r="L17" s="13" t="s">
        <v>318</v>
      </c>
      <c r="M17" s="15" t="s">
        <v>358</v>
      </c>
      <c r="N17" s="13"/>
      <c r="O17" s="13" t="s">
        <v>348</v>
      </c>
      <c r="P17" s="13"/>
      <c r="Q17" s="13"/>
      <c r="R17" s="13"/>
      <c r="S17" s="13"/>
      <c r="T17" s="13"/>
      <c r="U17" s="15"/>
    </row>
    <row r="18" spans="1:21" x14ac:dyDescent="0.35">
      <c r="A18" s="13" t="s">
        <v>343</v>
      </c>
      <c r="B18" s="13" t="s">
        <v>83</v>
      </c>
      <c r="C18" s="14">
        <v>43152.5</v>
      </c>
      <c r="D18" s="13" t="s">
        <v>211</v>
      </c>
      <c r="E18" s="13" t="s">
        <v>344</v>
      </c>
      <c r="F18" s="15" t="s">
        <v>212</v>
      </c>
      <c r="G18" s="13"/>
      <c r="H18" s="14">
        <v>40725</v>
      </c>
      <c r="I18" s="14"/>
      <c r="J18" s="15"/>
      <c r="K18" s="15" t="s">
        <v>359</v>
      </c>
      <c r="L18" s="13" t="s">
        <v>318</v>
      </c>
      <c r="M18" s="15"/>
      <c r="N18" s="13"/>
      <c r="O18" s="13"/>
      <c r="P18" s="13"/>
      <c r="Q18" s="13"/>
      <c r="R18" s="13"/>
      <c r="S18" s="13"/>
      <c r="T18" s="13"/>
      <c r="U18" s="15"/>
    </row>
    <row r="19" spans="1:21" ht="29" x14ac:dyDescent="0.35">
      <c r="A19" s="13" t="s">
        <v>343</v>
      </c>
      <c r="B19" s="13" t="s">
        <v>83</v>
      </c>
      <c r="C19" s="14">
        <v>43152.5</v>
      </c>
      <c r="D19" s="13" t="s">
        <v>213</v>
      </c>
      <c r="E19" s="13" t="s">
        <v>344</v>
      </c>
      <c r="F19" s="15" t="s">
        <v>214</v>
      </c>
      <c r="G19" s="13"/>
      <c r="H19" s="14">
        <v>40725</v>
      </c>
      <c r="I19" s="14"/>
      <c r="J19" s="15"/>
      <c r="K19" s="15" t="s">
        <v>360</v>
      </c>
      <c r="L19" s="13" t="s">
        <v>318</v>
      </c>
      <c r="M19" s="15"/>
      <c r="N19" s="13"/>
      <c r="O19" s="13"/>
      <c r="P19" s="13"/>
      <c r="Q19" s="13"/>
      <c r="R19" s="13"/>
      <c r="S19" s="13"/>
      <c r="T19" s="13"/>
      <c r="U19" s="15"/>
    </row>
    <row r="20" spans="1:21" ht="43.5" x14ac:dyDescent="0.35">
      <c r="A20" s="13" t="s">
        <v>343</v>
      </c>
      <c r="B20" s="13" t="s">
        <v>83</v>
      </c>
      <c r="C20" s="14">
        <v>43152.5</v>
      </c>
      <c r="D20" s="13" t="s">
        <v>183</v>
      </c>
      <c r="E20" s="13" t="s">
        <v>344</v>
      </c>
      <c r="F20" s="15" t="s">
        <v>184</v>
      </c>
      <c r="G20" s="13"/>
      <c r="H20" s="14">
        <v>40725</v>
      </c>
      <c r="I20" s="14"/>
      <c r="J20" s="15" t="s">
        <v>361</v>
      </c>
      <c r="K20" s="15" t="s">
        <v>362</v>
      </c>
      <c r="L20" s="13" t="s">
        <v>318</v>
      </c>
      <c r="M20" s="15"/>
      <c r="N20" s="13"/>
      <c r="O20" s="13"/>
      <c r="P20" s="13"/>
      <c r="Q20" s="13"/>
      <c r="R20" s="13"/>
      <c r="S20" s="13"/>
      <c r="T20" s="13"/>
      <c r="U20" s="15"/>
    </row>
    <row r="21" spans="1:21" ht="58" x14ac:dyDescent="0.35">
      <c r="A21" s="13" t="s">
        <v>343</v>
      </c>
      <c r="B21" s="13" t="s">
        <v>83</v>
      </c>
      <c r="C21" s="14">
        <v>43152.5</v>
      </c>
      <c r="D21" s="13" t="s">
        <v>185</v>
      </c>
      <c r="E21" s="13" t="s">
        <v>344</v>
      </c>
      <c r="F21" s="15" t="s">
        <v>186</v>
      </c>
      <c r="G21" s="13"/>
      <c r="H21" s="14">
        <v>40725</v>
      </c>
      <c r="I21" s="14"/>
      <c r="J21" s="15" t="s">
        <v>363</v>
      </c>
      <c r="K21" s="15" t="s">
        <v>364</v>
      </c>
      <c r="L21" s="13" t="s">
        <v>318</v>
      </c>
      <c r="M21" s="15"/>
      <c r="N21" s="13"/>
      <c r="O21" s="13"/>
      <c r="P21" s="13"/>
      <c r="Q21" s="13"/>
      <c r="R21" s="13"/>
      <c r="S21" s="13"/>
      <c r="T21" s="13"/>
      <c r="U21" s="15"/>
    </row>
    <row r="22" spans="1:21" ht="101.5" x14ac:dyDescent="0.35">
      <c r="A22" s="13" t="s">
        <v>343</v>
      </c>
      <c r="B22" s="13" t="s">
        <v>83</v>
      </c>
      <c r="C22" s="14">
        <v>43662.668749999997</v>
      </c>
      <c r="D22" s="13" t="s">
        <v>163</v>
      </c>
      <c r="E22" s="13" t="s">
        <v>344</v>
      </c>
      <c r="F22" s="15" t="s">
        <v>164</v>
      </c>
      <c r="G22" s="13"/>
      <c r="H22" s="14">
        <v>40725</v>
      </c>
      <c r="I22" s="14"/>
      <c r="J22" s="15"/>
      <c r="K22" s="15" t="s">
        <v>365</v>
      </c>
      <c r="L22" s="13" t="s">
        <v>318</v>
      </c>
      <c r="M22" s="15"/>
      <c r="N22" s="13"/>
      <c r="O22" s="13" t="s">
        <v>366</v>
      </c>
      <c r="P22" s="13"/>
      <c r="Q22" s="13"/>
      <c r="R22" s="13"/>
      <c r="S22" s="13"/>
      <c r="T22" s="13"/>
      <c r="U22" s="15"/>
    </row>
    <row r="23" spans="1:21" ht="29" x14ac:dyDescent="0.35">
      <c r="A23" s="13" t="s">
        <v>367</v>
      </c>
      <c r="B23" s="13" t="s">
        <v>83</v>
      </c>
      <c r="C23" s="14">
        <v>44321.754861111112</v>
      </c>
      <c r="D23" s="13" t="s">
        <v>165</v>
      </c>
      <c r="E23" s="13" t="s">
        <v>344</v>
      </c>
      <c r="F23" s="15" t="s">
        <v>166</v>
      </c>
      <c r="G23" s="13"/>
      <c r="H23" s="14">
        <v>40725</v>
      </c>
      <c r="I23" s="14"/>
      <c r="J23" s="15" t="s">
        <v>368</v>
      </c>
      <c r="K23" s="15" t="s">
        <v>369</v>
      </c>
      <c r="L23" s="13" t="s">
        <v>318</v>
      </c>
      <c r="M23" s="15"/>
      <c r="N23" s="13"/>
      <c r="O23" s="13" t="s">
        <v>370</v>
      </c>
      <c r="P23" s="13"/>
      <c r="Q23" s="13"/>
      <c r="R23" s="13"/>
      <c r="S23" s="13"/>
      <c r="T23" s="13" t="s">
        <v>324</v>
      </c>
      <c r="U23" s="15" t="s">
        <v>371</v>
      </c>
    </row>
    <row r="24" spans="1:21" ht="29" x14ac:dyDescent="0.35">
      <c r="A24" s="13" t="s">
        <v>367</v>
      </c>
      <c r="B24" s="13" t="s">
        <v>83</v>
      </c>
      <c r="C24" s="14">
        <v>44368.459027777775</v>
      </c>
      <c r="D24" s="13" t="s">
        <v>167</v>
      </c>
      <c r="E24" s="13" t="s">
        <v>344</v>
      </c>
      <c r="F24" s="15" t="s">
        <v>168</v>
      </c>
      <c r="G24" s="13"/>
      <c r="H24" s="14">
        <v>40725</v>
      </c>
      <c r="I24" s="14"/>
      <c r="J24" s="15" t="s">
        <v>372</v>
      </c>
      <c r="K24" s="15" t="s">
        <v>373</v>
      </c>
      <c r="L24" s="13" t="s">
        <v>318</v>
      </c>
      <c r="M24" s="15"/>
      <c r="N24" s="13"/>
      <c r="O24" s="13" t="s">
        <v>370</v>
      </c>
      <c r="P24" s="13"/>
      <c r="Q24" s="13"/>
      <c r="R24" s="13"/>
      <c r="S24" s="13"/>
      <c r="T24" s="13"/>
      <c r="U24" s="15"/>
    </row>
    <row r="25" spans="1:21" ht="43.5" x14ac:dyDescent="0.35">
      <c r="A25" s="13" t="s">
        <v>82</v>
      </c>
      <c r="B25" s="13" t="s">
        <v>83</v>
      </c>
      <c r="C25" s="14">
        <v>44970.375694444447</v>
      </c>
      <c r="D25" s="13" t="s">
        <v>133</v>
      </c>
      <c r="E25" s="13" t="s">
        <v>374</v>
      </c>
      <c r="F25" s="15" t="s">
        <v>134</v>
      </c>
      <c r="G25" s="13" t="s">
        <v>375</v>
      </c>
      <c r="H25" s="14">
        <v>43831</v>
      </c>
      <c r="I25" s="14"/>
      <c r="J25" s="15"/>
      <c r="K25" s="15"/>
      <c r="L25" s="13" t="s">
        <v>350</v>
      </c>
      <c r="M25" s="15"/>
      <c r="N25" s="13"/>
      <c r="O25" s="13"/>
      <c r="P25" s="13" t="s">
        <v>376</v>
      </c>
      <c r="Q25" s="13"/>
      <c r="R25" s="13"/>
      <c r="S25" s="13"/>
      <c r="T25" s="13" t="s">
        <v>324</v>
      </c>
      <c r="U25" s="15" t="s">
        <v>134</v>
      </c>
    </row>
    <row r="26" spans="1:21" ht="43.5" x14ac:dyDescent="0.35">
      <c r="A26" s="13" t="s">
        <v>82</v>
      </c>
      <c r="B26" s="13" t="s">
        <v>83</v>
      </c>
      <c r="C26" s="14">
        <v>44970.379861111112</v>
      </c>
      <c r="D26" s="13" t="s">
        <v>135</v>
      </c>
      <c r="E26" s="13" t="s">
        <v>374</v>
      </c>
      <c r="F26" s="15" t="s">
        <v>136</v>
      </c>
      <c r="G26" s="13" t="s">
        <v>377</v>
      </c>
      <c r="H26" s="14">
        <v>43831</v>
      </c>
      <c r="I26" s="14"/>
      <c r="J26" s="15"/>
      <c r="K26" s="15"/>
      <c r="L26" s="13" t="s">
        <v>350</v>
      </c>
      <c r="M26" s="15"/>
      <c r="N26" s="13"/>
      <c r="O26" s="13"/>
      <c r="P26" s="13" t="s">
        <v>376</v>
      </c>
      <c r="Q26" s="13"/>
      <c r="R26" s="13"/>
      <c r="S26" s="13"/>
      <c r="T26" s="13" t="s">
        <v>324</v>
      </c>
      <c r="U26" s="15" t="s">
        <v>136</v>
      </c>
    </row>
    <row r="27" spans="1:21" ht="43.5" x14ac:dyDescent="0.35">
      <c r="A27" s="13" t="s">
        <v>82</v>
      </c>
      <c r="B27" s="13" t="s">
        <v>83</v>
      </c>
      <c r="C27" s="14">
        <v>44970.381944444445</v>
      </c>
      <c r="D27" s="13" t="s">
        <v>125</v>
      </c>
      <c r="E27" s="13" t="s">
        <v>374</v>
      </c>
      <c r="F27" s="15" t="s">
        <v>126</v>
      </c>
      <c r="G27" s="13" t="s">
        <v>334</v>
      </c>
      <c r="H27" s="14">
        <v>43831</v>
      </c>
      <c r="I27" s="14"/>
      <c r="J27" s="15"/>
      <c r="K27" s="15"/>
      <c r="L27" s="13" t="s">
        <v>350</v>
      </c>
      <c r="M27" s="15"/>
      <c r="N27" s="13"/>
      <c r="O27" s="13"/>
      <c r="P27" s="13" t="s">
        <v>378</v>
      </c>
      <c r="Q27" s="13"/>
      <c r="R27" s="13"/>
      <c r="S27" s="13"/>
      <c r="T27" s="13" t="s">
        <v>324</v>
      </c>
      <c r="U27" s="15" t="s">
        <v>126</v>
      </c>
    </row>
    <row r="28" spans="1:21" ht="72.5" x14ac:dyDescent="0.35">
      <c r="A28" s="13" t="s">
        <v>82</v>
      </c>
      <c r="B28" s="13" t="s">
        <v>83</v>
      </c>
      <c r="C28" s="14">
        <v>44973.672222222223</v>
      </c>
      <c r="D28" s="13" t="s">
        <v>137</v>
      </c>
      <c r="E28" s="13" t="s">
        <v>374</v>
      </c>
      <c r="F28" s="15" t="s">
        <v>138</v>
      </c>
      <c r="G28" s="13" t="s">
        <v>379</v>
      </c>
      <c r="H28" s="14">
        <v>43831</v>
      </c>
      <c r="I28" s="14"/>
      <c r="J28" s="15"/>
      <c r="K28" s="15"/>
      <c r="L28" s="13" t="s">
        <v>350</v>
      </c>
      <c r="M28" s="15"/>
      <c r="N28" s="13"/>
      <c r="O28" s="13"/>
      <c r="P28" s="13" t="s">
        <v>380</v>
      </c>
      <c r="Q28" s="13"/>
      <c r="R28" s="13"/>
      <c r="S28" s="13"/>
      <c r="T28" s="13" t="s">
        <v>324</v>
      </c>
      <c r="U28" s="15" t="s">
        <v>138</v>
      </c>
    </row>
    <row r="29" spans="1:21" ht="43.5" x14ac:dyDescent="0.35">
      <c r="A29" s="13" t="s">
        <v>82</v>
      </c>
      <c r="B29" s="13" t="s">
        <v>83</v>
      </c>
      <c r="C29" s="14">
        <v>44970.38958333333</v>
      </c>
      <c r="D29" s="13" t="s">
        <v>171</v>
      </c>
      <c r="E29" s="13" t="s">
        <v>374</v>
      </c>
      <c r="F29" s="15" t="s">
        <v>172</v>
      </c>
      <c r="G29" s="13" t="s">
        <v>381</v>
      </c>
      <c r="H29" s="14">
        <v>43831</v>
      </c>
      <c r="I29" s="14"/>
      <c r="J29" s="15"/>
      <c r="K29" s="15"/>
      <c r="L29" s="13" t="s">
        <v>350</v>
      </c>
      <c r="M29" s="15"/>
      <c r="N29" s="13"/>
      <c r="O29" s="13"/>
      <c r="P29" s="13" t="s">
        <v>382</v>
      </c>
      <c r="Q29" s="13"/>
      <c r="R29" s="13"/>
      <c r="S29" s="13"/>
      <c r="T29" s="13" t="s">
        <v>324</v>
      </c>
      <c r="U29" s="15" t="s">
        <v>172</v>
      </c>
    </row>
    <row r="30" spans="1:21" ht="43.5" x14ac:dyDescent="0.35">
      <c r="A30" s="13" t="s">
        <v>82</v>
      </c>
      <c r="B30" s="13" t="s">
        <v>83</v>
      </c>
      <c r="C30" s="14">
        <v>44970.39166666667</v>
      </c>
      <c r="D30" s="13" t="s">
        <v>174</v>
      </c>
      <c r="E30" s="13" t="s">
        <v>374</v>
      </c>
      <c r="F30" s="15" t="s">
        <v>175</v>
      </c>
      <c r="G30" s="13" t="s">
        <v>381</v>
      </c>
      <c r="H30" s="14">
        <v>43831</v>
      </c>
      <c r="I30" s="14"/>
      <c r="J30" s="15"/>
      <c r="K30" s="15"/>
      <c r="L30" s="13" t="s">
        <v>350</v>
      </c>
      <c r="M30" s="15"/>
      <c r="N30" s="13"/>
      <c r="O30" s="13"/>
      <c r="P30" s="13" t="s">
        <v>383</v>
      </c>
      <c r="Q30" s="13"/>
      <c r="R30" s="13"/>
      <c r="S30" s="13"/>
      <c r="T30" s="13" t="s">
        <v>324</v>
      </c>
      <c r="U30" s="15" t="s">
        <v>175</v>
      </c>
    </row>
    <row r="31" spans="1:21" ht="72.5" x14ac:dyDescent="0.35">
      <c r="A31" s="13" t="s">
        <v>82</v>
      </c>
      <c r="B31" s="13" t="s">
        <v>83</v>
      </c>
      <c r="C31" s="14">
        <v>44970.393055555556</v>
      </c>
      <c r="D31" s="13" t="s">
        <v>176</v>
      </c>
      <c r="E31" s="13" t="s">
        <v>374</v>
      </c>
      <c r="F31" s="15" t="s">
        <v>177</v>
      </c>
      <c r="G31" s="13" t="s">
        <v>381</v>
      </c>
      <c r="H31" s="14">
        <v>43831</v>
      </c>
      <c r="I31" s="14"/>
      <c r="J31" s="15"/>
      <c r="K31" s="15"/>
      <c r="L31" s="13" t="s">
        <v>350</v>
      </c>
      <c r="M31" s="15"/>
      <c r="N31" s="13"/>
      <c r="O31" s="13"/>
      <c r="P31" s="13" t="s">
        <v>383</v>
      </c>
      <c r="Q31" s="13"/>
      <c r="R31" s="13"/>
      <c r="S31" s="13"/>
      <c r="T31" s="13" t="s">
        <v>324</v>
      </c>
      <c r="U31" s="15" t="s">
        <v>177</v>
      </c>
    </row>
    <row r="32" spans="1:21" ht="58" x14ac:dyDescent="0.35">
      <c r="A32" s="13" t="s">
        <v>82</v>
      </c>
      <c r="B32" s="13" t="s">
        <v>83</v>
      </c>
      <c r="C32" s="14">
        <v>44970.404861111114</v>
      </c>
      <c r="D32" s="13" t="s">
        <v>201</v>
      </c>
      <c r="E32" s="13" t="s">
        <v>374</v>
      </c>
      <c r="F32" s="15" t="s">
        <v>202</v>
      </c>
      <c r="G32" s="13" t="s">
        <v>384</v>
      </c>
      <c r="H32" s="14">
        <v>43831</v>
      </c>
      <c r="I32" s="14"/>
      <c r="J32" s="15"/>
      <c r="K32" s="15"/>
      <c r="L32" s="13" t="s">
        <v>350</v>
      </c>
      <c r="M32" s="15"/>
      <c r="N32" s="13"/>
      <c r="O32" s="13"/>
      <c r="P32" s="13" t="s">
        <v>385</v>
      </c>
      <c r="Q32" s="13"/>
      <c r="R32" s="13"/>
      <c r="S32" s="13"/>
      <c r="T32" s="13" t="s">
        <v>324</v>
      </c>
      <c r="U32" s="15" t="s">
        <v>202</v>
      </c>
    </row>
    <row r="33" spans="1:21" ht="58" x14ac:dyDescent="0.35">
      <c r="A33" s="13" t="s">
        <v>82</v>
      </c>
      <c r="B33" s="13" t="s">
        <v>83</v>
      </c>
      <c r="C33" s="14">
        <v>44970.410416666666</v>
      </c>
      <c r="D33" s="13" t="s">
        <v>203</v>
      </c>
      <c r="E33" s="13" t="s">
        <v>374</v>
      </c>
      <c r="F33" s="15" t="s">
        <v>204</v>
      </c>
      <c r="G33" s="13" t="s">
        <v>384</v>
      </c>
      <c r="H33" s="14">
        <v>43831</v>
      </c>
      <c r="I33" s="14"/>
      <c r="J33" s="15"/>
      <c r="K33" s="15"/>
      <c r="L33" s="13" t="s">
        <v>350</v>
      </c>
      <c r="M33" s="15"/>
      <c r="N33" s="13"/>
      <c r="O33" s="13"/>
      <c r="P33" s="13" t="s">
        <v>386</v>
      </c>
      <c r="Q33" s="13"/>
      <c r="R33" s="13"/>
      <c r="S33" s="13"/>
      <c r="T33" s="13" t="s">
        <v>324</v>
      </c>
      <c r="U33" s="15" t="s">
        <v>204</v>
      </c>
    </row>
    <row r="34" spans="1:21" ht="87" x14ac:dyDescent="0.35">
      <c r="A34" s="13" t="s">
        <v>82</v>
      </c>
      <c r="B34" s="13" t="s">
        <v>83</v>
      </c>
      <c r="C34" s="14">
        <v>44970.412499999999</v>
      </c>
      <c r="D34" s="13" t="s">
        <v>205</v>
      </c>
      <c r="E34" s="13" t="s">
        <v>374</v>
      </c>
      <c r="F34" s="15" t="s">
        <v>206</v>
      </c>
      <c r="G34" s="13" t="s">
        <v>384</v>
      </c>
      <c r="H34" s="14">
        <v>43831</v>
      </c>
      <c r="I34" s="14"/>
      <c r="J34" s="15"/>
      <c r="K34" s="15"/>
      <c r="L34" s="13" t="s">
        <v>350</v>
      </c>
      <c r="M34" s="15"/>
      <c r="N34" s="13"/>
      <c r="O34" s="13"/>
      <c r="P34" s="13" t="s">
        <v>386</v>
      </c>
      <c r="Q34" s="13"/>
      <c r="R34" s="13"/>
      <c r="S34" s="13"/>
      <c r="T34" s="13" t="s">
        <v>324</v>
      </c>
      <c r="U34" s="15" t="s">
        <v>206</v>
      </c>
    </row>
    <row r="35" spans="1:21" ht="87" x14ac:dyDescent="0.35">
      <c r="A35" s="13" t="s">
        <v>118</v>
      </c>
      <c r="B35" s="13" t="s">
        <v>119</v>
      </c>
      <c r="C35" s="14">
        <v>45428.474305555559</v>
      </c>
      <c r="D35" s="13" t="s">
        <v>127</v>
      </c>
      <c r="E35" s="13" t="s">
        <v>374</v>
      </c>
      <c r="F35" s="15" t="s">
        <v>128</v>
      </c>
      <c r="G35" s="13" t="s">
        <v>334</v>
      </c>
      <c r="H35" s="14">
        <v>43831</v>
      </c>
      <c r="I35" s="14">
        <v>45123</v>
      </c>
      <c r="J35" s="15"/>
      <c r="K35" s="15"/>
      <c r="L35" s="13" t="s">
        <v>350</v>
      </c>
      <c r="M35" s="15"/>
      <c r="N35" s="13"/>
      <c r="O35" s="13"/>
      <c r="P35" s="13" t="s">
        <v>387</v>
      </c>
      <c r="Q35" s="13"/>
      <c r="R35" s="13"/>
      <c r="S35" s="13"/>
      <c r="T35" s="13" t="s">
        <v>324</v>
      </c>
      <c r="U35" s="15" t="s">
        <v>128</v>
      </c>
    </row>
    <row r="36" spans="1:21" ht="72.5" x14ac:dyDescent="0.35">
      <c r="A36" s="13" t="s">
        <v>82</v>
      </c>
      <c r="B36" s="13" t="s">
        <v>83</v>
      </c>
      <c r="C36" s="14">
        <v>44970.413888888892</v>
      </c>
      <c r="D36" s="13" t="s">
        <v>129</v>
      </c>
      <c r="E36" s="13" t="s">
        <v>374</v>
      </c>
      <c r="F36" s="15" t="s">
        <v>130</v>
      </c>
      <c r="G36" s="13" t="s">
        <v>334</v>
      </c>
      <c r="H36" s="14">
        <v>43831</v>
      </c>
      <c r="I36" s="14"/>
      <c r="J36" s="15"/>
      <c r="K36" s="15"/>
      <c r="L36" s="13" t="s">
        <v>350</v>
      </c>
      <c r="M36" s="15"/>
      <c r="N36" s="13"/>
      <c r="O36" s="13"/>
      <c r="P36" s="13" t="s">
        <v>388</v>
      </c>
      <c r="Q36" s="13"/>
      <c r="R36" s="13"/>
      <c r="S36" s="13"/>
      <c r="T36" s="13" t="s">
        <v>324</v>
      </c>
      <c r="U36" s="15" t="s">
        <v>130</v>
      </c>
    </row>
    <row r="37" spans="1:21" ht="43.5" x14ac:dyDescent="0.35">
      <c r="A37" s="13" t="s">
        <v>82</v>
      </c>
      <c r="B37" s="13" t="s">
        <v>83</v>
      </c>
      <c r="C37" s="14">
        <v>44970.415277777778</v>
      </c>
      <c r="D37" s="13" t="s">
        <v>131</v>
      </c>
      <c r="E37" s="13" t="s">
        <v>374</v>
      </c>
      <c r="F37" s="15" t="s">
        <v>132</v>
      </c>
      <c r="G37" s="13" t="s">
        <v>334</v>
      </c>
      <c r="H37" s="14">
        <v>43831</v>
      </c>
      <c r="I37" s="14"/>
      <c r="J37" s="15"/>
      <c r="K37" s="15"/>
      <c r="L37" s="13" t="s">
        <v>350</v>
      </c>
      <c r="M37" s="15"/>
      <c r="N37" s="13"/>
      <c r="O37" s="13"/>
      <c r="P37" s="13" t="s">
        <v>387</v>
      </c>
      <c r="Q37" s="13"/>
      <c r="R37" s="13"/>
      <c r="S37" s="13"/>
      <c r="T37" s="13" t="s">
        <v>324</v>
      </c>
      <c r="U37" s="15" t="s">
        <v>132</v>
      </c>
    </row>
    <row r="38" spans="1:21" ht="43.5" x14ac:dyDescent="0.35">
      <c r="A38" s="13" t="s">
        <v>82</v>
      </c>
      <c r="B38" s="13" t="s">
        <v>83</v>
      </c>
      <c r="C38" s="14">
        <v>44970.416666666664</v>
      </c>
      <c r="D38" s="13" t="s">
        <v>139</v>
      </c>
      <c r="E38" s="13" t="s">
        <v>374</v>
      </c>
      <c r="F38" s="15" t="s">
        <v>140</v>
      </c>
      <c r="G38" s="13" t="s">
        <v>389</v>
      </c>
      <c r="H38" s="14">
        <v>43831</v>
      </c>
      <c r="I38" s="14"/>
      <c r="J38" s="15"/>
      <c r="K38" s="15"/>
      <c r="L38" s="13" t="s">
        <v>350</v>
      </c>
      <c r="M38" s="15"/>
      <c r="N38" s="13"/>
      <c r="O38" s="13"/>
      <c r="P38" s="13" t="s">
        <v>390</v>
      </c>
      <c r="Q38" s="13"/>
      <c r="R38" s="13"/>
      <c r="S38" s="13"/>
      <c r="T38" s="13" t="s">
        <v>324</v>
      </c>
      <c r="U38" s="15" t="s">
        <v>140</v>
      </c>
    </row>
    <row r="39" spans="1:21" ht="43.5" x14ac:dyDescent="0.35">
      <c r="A39" s="13" t="s">
        <v>82</v>
      </c>
      <c r="B39" s="13" t="s">
        <v>83</v>
      </c>
      <c r="C39" s="14">
        <v>44967.681250000001</v>
      </c>
      <c r="D39" s="13" t="s">
        <v>260</v>
      </c>
      <c r="E39" s="13" t="s">
        <v>391</v>
      </c>
      <c r="F39" s="15" t="s">
        <v>261</v>
      </c>
      <c r="G39" s="13" t="s">
        <v>392</v>
      </c>
      <c r="H39" s="14">
        <v>43831</v>
      </c>
      <c r="I39" s="14"/>
      <c r="J39" s="15"/>
      <c r="K39" s="15"/>
      <c r="L39" s="13" t="s">
        <v>350</v>
      </c>
      <c r="M39" s="15"/>
      <c r="N39" s="13"/>
      <c r="O39" s="13"/>
      <c r="P39" s="13"/>
      <c r="Q39" s="13" t="s">
        <v>380</v>
      </c>
      <c r="R39" s="13"/>
      <c r="S39" s="13"/>
      <c r="T39" s="13" t="s">
        <v>324</v>
      </c>
      <c r="U39" s="15" t="s">
        <v>261</v>
      </c>
    </row>
    <row r="40" spans="1:21" ht="43.5" x14ac:dyDescent="0.35">
      <c r="A40" s="13" t="s">
        <v>82</v>
      </c>
      <c r="B40" s="13" t="s">
        <v>83</v>
      </c>
      <c r="C40" s="14">
        <v>44967.689583333333</v>
      </c>
      <c r="D40" s="13" t="s">
        <v>269</v>
      </c>
      <c r="E40" s="13" t="s">
        <v>391</v>
      </c>
      <c r="F40" s="15" t="s">
        <v>270</v>
      </c>
      <c r="G40" s="13" t="s">
        <v>375</v>
      </c>
      <c r="H40" s="14">
        <v>43831</v>
      </c>
      <c r="I40" s="14"/>
      <c r="J40" s="15"/>
      <c r="K40" s="15"/>
      <c r="L40" s="13" t="s">
        <v>350</v>
      </c>
      <c r="M40" s="15"/>
      <c r="N40" s="13"/>
      <c r="O40" s="13"/>
      <c r="P40" s="13"/>
      <c r="Q40" s="13" t="s">
        <v>393</v>
      </c>
      <c r="R40" s="13"/>
      <c r="S40" s="13"/>
      <c r="T40" s="13" t="s">
        <v>324</v>
      </c>
      <c r="U40" s="15" t="s">
        <v>270</v>
      </c>
    </row>
    <row r="41" spans="1:21" ht="43.5" x14ac:dyDescent="0.35">
      <c r="A41" s="13" t="s">
        <v>82</v>
      </c>
      <c r="B41" s="13" t="s">
        <v>83</v>
      </c>
      <c r="C41" s="14">
        <v>44967.689583333333</v>
      </c>
      <c r="D41" s="13" t="s">
        <v>262</v>
      </c>
      <c r="E41" s="13" t="s">
        <v>391</v>
      </c>
      <c r="F41" s="15" t="s">
        <v>263</v>
      </c>
      <c r="G41" s="13" t="s">
        <v>320</v>
      </c>
      <c r="H41" s="14">
        <v>43831</v>
      </c>
      <c r="I41" s="14"/>
      <c r="J41" s="15"/>
      <c r="K41" s="15"/>
      <c r="L41" s="13" t="s">
        <v>350</v>
      </c>
      <c r="M41" s="15"/>
      <c r="N41" s="13"/>
      <c r="O41" s="13"/>
      <c r="P41" s="13"/>
      <c r="Q41" s="13" t="s">
        <v>394</v>
      </c>
      <c r="R41" s="13"/>
      <c r="S41" s="13"/>
      <c r="T41" s="13" t="s">
        <v>324</v>
      </c>
      <c r="U41" s="15" t="s">
        <v>263</v>
      </c>
    </row>
    <row r="42" spans="1:21" ht="43.5" x14ac:dyDescent="0.35">
      <c r="A42" s="13" t="s">
        <v>82</v>
      </c>
      <c r="B42" s="13" t="s">
        <v>83</v>
      </c>
      <c r="C42" s="14">
        <v>44967.691666666666</v>
      </c>
      <c r="D42" s="13" t="s">
        <v>264</v>
      </c>
      <c r="E42" s="13" t="s">
        <v>391</v>
      </c>
      <c r="F42" s="15" t="s">
        <v>265</v>
      </c>
      <c r="G42" s="13" t="s">
        <v>375</v>
      </c>
      <c r="H42" s="14">
        <v>43831</v>
      </c>
      <c r="I42" s="14"/>
      <c r="J42" s="15"/>
      <c r="K42" s="15"/>
      <c r="L42" s="13" t="s">
        <v>350</v>
      </c>
      <c r="M42" s="15"/>
      <c r="N42" s="13"/>
      <c r="O42" s="13"/>
      <c r="P42" s="13"/>
      <c r="Q42" s="13" t="s">
        <v>395</v>
      </c>
      <c r="R42" s="13"/>
      <c r="S42" s="13"/>
      <c r="T42" s="13" t="s">
        <v>324</v>
      </c>
      <c r="U42" s="15" t="s">
        <v>265</v>
      </c>
    </row>
    <row r="43" spans="1:21" ht="43.5" x14ac:dyDescent="0.35">
      <c r="A43" s="13" t="s">
        <v>82</v>
      </c>
      <c r="B43" s="13" t="s">
        <v>83</v>
      </c>
      <c r="C43" s="14">
        <v>44973.685416666667</v>
      </c>
      <c r="D43" s="13" t="s">
        <v>266</v>
      </c>
      <c r="E43" s="13" t="s">
        <v>391</v>
      </c>
      <c r="F43" s="15" t="s">
        <v>267</v>
      </c>
      <c r="G43" s="13"/>
      <c r="H43" s="14">
        <v>43831</v>
      </c>
      <c r="I43" s="14"/>
      <c r="J43" s="15"/>
      <c r="K43" s="15"/>
      <c r="L43" s="13" t="s">
        <v>350</v>
      </c>
      <c r="M43" s="15"/>
      <c r="N43" s="13"/>
      <c r="O43" s="13"/>
      <c r="P43" s="13"/>
      <c r="Q43" s="13" t="s">
        <v>396</v>
      </c>
      <c r="R43" s="13"/>
      <c r="S43" s="13"/>
      <c r="T43" s="13" t="s">
        <v>324</v>
      </c>
      <c r="U43" s="15" t="s">
        <v>267</v>
      </c>
    </row>
    <row r="44" spans="1:21" ht="87" x14ac:dyDescent="0.35">
      <c r="A44" s="13" t="s">
        <v>82</v>
      </c>
      <c r="B44" s="13" t="s">
        <v>83</v>
      </c>
      <c r="C44" s="14">
        <v>44967.702777777777</v>
      </c>
      <c r="D44" s="13" t="s">
        <v>283</v>
      </c>
      <c r="E44" s="13" t="s">
        <v>391</v>
      </c>
      <c r="F44" s="15" t="s">
        <v>284</v>
      </c>
      <c r="G44" s="13" t="s">
        <v>397</v>
      </c>
      <c r="H44" s="14">
        <v>44126</v>
      </c>
      <c r="I44" s="14"/>
      <c r="J44" s="15"/>
      <c r="K44" s="15"/>
      <c r="L44" s="13" t="s">
        <v>350</v>
      </c>
      <c r="M44" s="15"/>
      <c r="N44" s="13"/>
      <c r="O44" s="13"/>
      <c r="P44" s="13"/>
      <c r="Q44" s="13" t="s">
        <v>385</v>
      </c>
      <c r="R44" s="13"/>
      <c r="S44" s="13"/>
      <c r="T44" s="13" t="s">
        <v>324</v>
      </c>
      <c r="U44" s="15" t="s">
        <v>284</v>
      </c>
    </row>
    <row r="45" spans="1:21" ht="58" x14ac:dyDescent="0.35">
      <c r="A45" s="13" t="s">
        <v>82</v>
      </c>
      <c r="B45" s="13" t="s">
        <v>83</v>
      </c>
      <c r="C45" s="14">
        <v>44967.713194444441</v>
      </c>
      <c r="D45" s="13" t="s">
        <v>272</v>
      </c>
      <c r="E45" s="13" t="s">
        <v>391</v>
      </c>
      <c r="F45" s="15" t="s">
        <v>273</v>
      </c>
      <c r="G45" s="13" t="s">
        <v>398</v>
      </c>
      <c r="H45" s="14">
        <v>43831</v>
      </c>
      <c r="I45" s="14"/>
      <c r="J45" s="15"/>
      <c r="K45" s="15"/>
      <c r="L45" s="13" t="s">
        <v>350</v>
      </c>
      <c r="M45" s="15"/>
      <c r="N45" s="13"/>
      <c r="O45" s="13"/>
      <c r="P45" s="13"/>
      <c r="Q45" s="13" t="s">
        <v>386</v>
      </c>
      <c r="R45" s="13"/>
      <c r="S45" s="13"/>
      <c r="T45" s="13" t="s">
        <v>324</v>
      </c>
      <c r="U45" s="15" t="s">
        <v>273</v>
      </c>
    </row>
    <row r="46" spans="1:21" ht="58" x14ac:dyDescent="0.35">
      <c r="A46" s="13" t="s">
        <v>82</v>
      </c>
      <c r="B46" s="13" t="s">
        <v>83</v>
      </c>
      <c r="C46" s="14">
        <v>44973.686805555553</v>
      </c>
      <c r="D46" s="13" t="s">
        <v>274</v>
      </c>
      <c r="E46" s="13" t="s">
        <v>391</v>
      </c>
      <c r="F46" s="15" t="s">
        <v>275</v>
      </c>
      <c r="G46" s="13" t="s">
        <v>384</v>
      </c>
      <c r="H46" s="14">
        <v>43831</v>
      </c>
      <c r="I46" s="14"/>
      <c r="J46" s="15"/>
      <c r="K46" s="15"/>
      <c r="L46" s="13" t="s">
        <v>350</v>
      </c>
      <c r="M46" s="15"/>
      <c r="N46" s="13"/>
      <c r="O46" s="13"/>
      <c r="P46" s="13"/>
      <c r="Q46" s="13" t="s">
        <v>385</v>
      </c>
      <c r="R46" s="13"/>
      <c r="S46" s="13"/>
      <c r="T46" s="13" t="s">
        <v>324</v>
      </c>
      <c r="U46" s="15" t="s">
        <v>275</v>
      </c>
    </row>
    <row r="47" spans="1:21" ht="87" x14ac:dyDescent="0.35">
      <c r="A47" s="13" t="s">
        <v>82</v>
      </c>
      <c r="B47" s="13" t="s">
        <v>83</v>
      </c>
      <c r="C47" s="14">
        <v>44967.724305555559</v>
      </c>
      <c r="D47" s="13" t="s">
        <v>276</v>
      </c>
      <c r="E47" s="13" t="s">
        <v>391</v>
      </c>
      <c r="F47" s="15" t="s">
        <v>277</v>
      </c>
      <c r="G47" s="13" t="s">
        <v>384</v>
      </c>
      <c r="H47" s="14">
        <v>43831</v>
      </c>
      <c r="I47" s="14"/>
      <c r="J47" s="15"/>
      <c r="K47" s="15"/>
      <c r="L47" s="13" t="s">
        <v>350</v>
      </c>
      <c r="M47" s="15"/>
      <c r="N47" s="13"/>
      <c r="O47" s="13"/>
      <c r="P47" s="13"/>
      <c r="Q47" s="13" t="s">
        <v>386</v>
      </c>
      <c r="R47" s="13"/>
      <c r="S47" s="13"/>
      <c r="T47" s="13" t="s">
        <v>324</v>
      </c>
      <c r="U47" s="15" t="s">
        <v>277</v>
      </c>
    </row>
    <row r="48" spans="1:21" ht="43.5" x14ac:dyDescent="0.35">
      <c r="A48" s="13" t="s">
        <v>82</v>
      </c>
      <c r="B48" s="13" t="s">
        <v>83</v>
      </c>
      <c r="C48" s="14">
        <v>44967.727777777778</v>
      </c>
      <c r="D48" s="13" t="s">
        <v>278</v>
      </c>
      <c r="E48" s="13" t="s">
        <v>391</v>
      </c>
      <c r="F48" s="15" t="s">
        <v>279</v>
      </c>
      <c r="G48" s="13" t="s">
        <v>384</v>
      </c>
      <c r="H48" s="14">
        <v>43831</v>
      </c>
      <c r="I48" s="14"/>
      <c r="J48" s="15"/>
      <c r="K48" s="15"/>
      <c r="L48" s="13" t="s">
        <v>350</v>
      </c>
      <c r="M48" s="15"/>
      <c r="N48" s="13"/>
      <c r="O48" s="13"/>
      <c r="P48" s="13"/>
      <c r="Q48" s="13" t="s">
        <v>385</v>
      </c>
      <c r="R48" s="13"/>
      <c r="S48" s="13"/>
      <c r="T48" s="13" t="s">
        <v>324</v>
      </c>
      <c r="U48" s="15" t="s">
        <v>279</v>
      </c>
    </row>
    <row r="49" spans="1:21" ht="72.5" x14ac:dyDescent="0.35">
      <c r="A49" s="13" t="s">
        <v>82</v>
      </c>
      <c r="B49" s="13" t="s">
        <v>83</v>
      </c>
      <c r="C49" s="14">
        <v>44967.729166666664</v>
      </c>
      <c r="D49" s="13" t="s">
        <v>280</v>
      </c>
      <c r="E49" s="13" t="s">
        <v>391</v>
      </c>
      <c r="F49" s="15" t="s">
        <v>281</v>
      </c>
      <c r="G49" s="13" t="s">
        <v>384</v>
      </c>
      <c r="H49" s="14">
        <v>43831</v>
      </c>
      <c r="I49" s="14"/>
      <c r="J49" s="15"/>
      <c r="K49" s="15"/>
      <c r="L49" s="13" t="s">
        <v>350</v>
      </c>
      <c r="M49" s="15"/>
      <c r="N49" s="13"/>
      <c r="O49" s="13"/>
      <c r="P49" s="13"/>
      <c r="Q49" s="13" t="s">
        <v>385</v>
      </c>
      <c r="R49" s="13"/>
      <c r="S49" s="13"/>
      <c r="T49" s="13" t="s">
        <v>324</v>
      </c>
      <c r="U49" s="15" t="s">
        <v>281</v>
      </c>
    </row>
  </sheetData>
  <autoFilter ref="A1:Z1" xr:uid="{C1BDF48F-51B2-4170-9044-482C94D204B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2025-12-10T09:30:40Z</dcterms:created>
  <dcterms:modified xsi:type="dcterms:W3CDTF">2025-12-10T09:30:41Z</dcterms:modified>
</cp:coreProperties>
</file>