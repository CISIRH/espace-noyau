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Position\"/>
    </mc:Choice>
  </mc:AlternateContent>
  <xr:revisionPtr revIDLastSave="0" documentId="13_ncr:1_{3860B803-A573-4B55-8F2B-846F5074C26F}" xr6:coauthVersionLast="47" xr6:coauthVersionMax="47" xr10:uidLastSave="{00000000-0000-0000-0000-000000000000}"/>
  <bookViews>
    <workbookView xWindow="-110" yWindow="-110" windowWidth="19420" windowHeight="11500" firstSheet="2" activeTab="4" xr2:uid="{BFA62F8D-762B-4831-8885-C14023C33246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305" i="4" l="1"/>
  <c r="AM304" i="4"/>
  <c r="AM265" i="4"/>
  <c r="AM264" i="4"/>
  <c r="AM263" i="4"/>
  <c r="AM262" i="4"/>
  <c r="AM245" i="4"/>
  <c r="AM219" i="4"/>
  <c r="AM205" i="4"/>
  <c r="AM177" i="4"/>
  <c r="AM176" i="4"/>
  <c r="AM153" i="4"/>
  <c r="AM152" i="4"/>
  <c r="AM129" i="4"/>
  <c r="AM128" i="4"/>
  <c r="AM105" i="4"/>
  <c r="AM104" i="4"/>
  <c r="AM85" i="4"/>
  <c r="AM84" i="4"/>
  <c r="AM65" i="4"/>
  <c r="AM64" i="4"/>
  <c r="AM45" i="4"/>
  <c r="AM44" i="4"/>
  <c r="AM14" i="4"/>
  <c r="AM13" i="4"/>
  <c r="AM12" i="4"/>
  <c r="AM11" i="4"/>
  <c r="AK305" i="4"/>
  <c r="AK304" i="4"/>
  <c r="AK265" i="4"/>
  <c r="AK264" i="4"/>
  <c r="AK263" i="4"/>
  <c r="AK262" i="4"/>
  <c r="AK245" i="4"/>
  <c r="AK219" i="4"/>
  <c r="AK205" i="4"/>
  <c r="AK177" i="4"/>
  <c r="AK176" i="4"/>
  <c r="AK153" i="4"/>
  <c r="AK152" i="4"/>
  <c r="AK129" i="4"/>
  <c r="AK128" i="4"/>
  <c r="AK105" i="4"/>
  <c r="AK104" i="4"/>
  <c r="AK85" i="4"/>
  <c r="AK84" i="4"/>
  <c r="AK65" i="4"/>
  <c r="AK64" i="4"/>
  <c r="AK45" i="4"/>
  <c r="AK44" i="4"/>
  <c r="AK14" i="4"/>
  <c r="AK13" i="4"/>
  <c r="AK12" i="4"/>
  <c r="AK11" i="4"/>
  <c r="AI305" i="4"/>
  <c r="AI304" i="4"/>
  <c r="AI265" i="4"/>
  <c r="AI264" i="4"/>
  <c r="AI263" i="4"/>
  <c r="AI262" i="4"/>
  <c r="AI245" i="4"/>
  <c r="AI219" i="4"/>
  <c r="AI205" i="4"/>
  <c r="AI177" i="4"/>
  <c r="AI176" i="4"/>
  <c r="AI153" i="4"/>
  <c r="AI152" i="4"/>
  <c r="AI129" i="4"/>
  <c r="AI128" i="4"/>
  <c r="AI105" i="4"/>
  <c r="AI104" i="4"/>
  <c r="AI85" i="4"/>
  <c r="AI84" i="4"/>
  <c r="AI65" i="4"/>
  <c r="AI64" i="4"/>
  <c r="AI45" i="4"/>
  <c r="AI44" i="4"/>
  <c r="AI14" i="4"/>
  <c r="AI13" i="4"/>
  <c r="AI12" i="4"/>
  <c r="AI11" i="4"/>
  <c r="AG305" i="4"/>
  <c r="AG304" i="4"/>
  <c r="AG265" i="4"/>
  <c r="AG264" i="4"/>
  <c r="AG263" i="4"/>
  <c r="AG262" i="4"/>
  <c r="AG245" i="4"/>
  <c r="AG219" i="4"/>
  <c r="AG205" i="4"/>
  <c r="AG177" i="4"/>
  <c r="AG176" i="4"/>
  <c r="AG153" i="4"/>
  <c r="AG152" i="4"/>
  <c r="AG129" i="4"/>
  <c r="AG128" i="4"/>
  <c r="AG105" i="4"/>
  <c r="AG104" i="4"/>
  <c r="AG85" i="4"/>
  <c r="AG84" i="4"/>
  <c r="AG65" i="4"/>
  <c r="AG64" i="4"/>
  <c r="AG45" i="4"/>
  <c r="AG44" i="4"/>
  <c r="AG14" i="4"/>
  <c r="AG13" i="4"/>
  <c r="AG12" i="4"/>
  <c r="AG11" i="4"/>
  <c r="AE305" i="4"/>
  <c r="AE304" i="4"/>
  <c r="AE265" i="4"/>
  <c r="AE264" i="4"/>
  <c r="AE263" i="4"/>
  <c r="AE262" i="4"/>
  <c r="AE245" i="4"/>
  <c r="AE219" i="4"/>
  <c r="AE205" i="4"/>
  <c r="AE177" i="4"/>
  <c r="AE176" i="4"/>
  <c r="AE153" i="4"/>
  <c r="AE152" i="4"/>
  <c r="AE129" i="4"/>
  <c r="AE128" i="4"/>
  <c r="AE105" i="4"/>
  <c r="AE104" i="4"/>
  <c r="AE85" i="4"/>
  <c r="AE84" i="4"/>
  <c r="AE65" i="4"/>
  <c r="AE64" i="4"/>
  <c r="AE45" i="4"/>
  <c r="AE44" i="4"/>
  <c r="AE14" i="4"/>
  <c r="AE13" i="4"/>
  <c r="AE12" i="4"/>
  <c r="AE11" i="4"/>
  <c r="AC305" i="4"/>
  <c r="AC304" i="4"/>
  <c r="AC265" i="4"/>
  <c r="AC264" i="4"/>
  <c r="AC263" i="4"/>
  <c r="AC262" i="4"/>
  <c r="AC245" i="4"/>
  <c r="AC219" i="4"/>
  <c r="AC205" i="4"/>
  <c r="AC177" i="4"/>
  <c r="AC176" i="4"/>
  <c r="AC153" i="4"/>
  <c r="AC152" i="4"/>
  <c r="AC129" i="4"/>
  <c r="AC128" i="4"/>
  <c r="AC105" i="4"/>
  <c r="AC104" i="4"/>
  <c r="AC85" i="4"/>
  <c r="AC84" i="4"/>
  <c r="AC65" i="4"/>
  <c r="AC64" i="4"/>
  <c r="AC45" i="4"/>
  <c r="AC44" i="4"/>
  <c r="AC14" i="4"/>
  <c r="AC13" i="4"/>
  <c r="AC12" i="4"/>
  <c r="AC11" i="4"/>
  <c r="AA305" i="4"/>
  <c r="AA304" i="4"/>
  <c r="AA265" i="4"/>
  <c r="AA264" i="4"/>
  <c r="AA263" i="4"/>
  <c r="AA262" i="4"/>
  <c r="AA245" i="4"/>
  <c r="AA219" i="4"/>
  <c r="AA205" i="4"/>
  <c r="AA177" i="4"/>
  <c r="AA176" i="4"/>
  <c r="AA153" i="4"/>
  <c r="AA152" i="4"/>
  <c r="AA129" i="4"/>
  <c r="AA128" i="4"/>
  <c r="AA105" i="4"/>
  <c r="AA104" i="4"/>
  <c r="AA85" i="4"/>
  <c r="AA84" i="4"/>
  <c r="AA65" i="4"/>
  <c r="AA64" i="4"/>
  <c r="AA45" i="4"/>
  <c r="AA44" i="4"/>
  <c r="AA14" i="4"/>
  <c r="AA13" i="4"/>
  <c r="AA12" i="4"/>
  <c r="AA11" i="4"/>
  <c r="Y305" i="4"/>
  <c r="Y304" i="4"/>
  <c r="Y265" i="4"/>
  <c r="Y264" i="4"/>
  <c r="Y263" i="4"/>
  <c r="Y262" i="4"/>
  <c r="Y245" i="4"/>
  <c r="Y219" i="4"/>
  <c r="Y205" i="4"/>
  <c r="Y177" i="4"/>
  <c r="Y176" i="4"/>
  <c r="Y153" i="4"/>
  <c r="Y152" i="4"/>
  <c r="Y129" i="4"/>
  <c r="Y128" i="4"/>
  <c r="Y105" i="4"/>
  <c r="Y104" i="4"/>
  <c r="Y85" i="4"/>
  <c r="Y84" i="4"/>
  <c r="Y65" i="4"/>
  <c r="Y64" i="4"/>
  <c r="Y45" i="4"/>
  <c r="Y44" i="4"/>
  <c r="Y14" i="4"/>
  <c r="Y13" i="4"/>
  <c r="Y12" i="4"/>
  <c r="Y11" i="4"/>
  <c r="BU28" i="5"/>
  <c r="BS139" i="5"/>
  <c r="BS30" i="5"/>
  <c r="BS28" i="5"/>
  <c r="BQ140" i="5"/>
  <c r="BQ139" i="5"/>
  <c r="BQ30" i="5"/>
  <c r="BQ29" i="5"/>
  <c r="BQ28" i="5"/>
  <c r="BQ22" i="5"/>
  <c r="BQ21" i="5"/>
  <c r="BQ12" i="5"/>
  <c r="BQ11" i="5"/>
  <c r="BO225" i="5"/>
  <c r="BO140" i="5"/>
  <c r="BO139" i="5"/>
  <c r="BO135" i="5"/>
  <c r="BO128" i="5"/>
  <c r="BO91" i="5"/>
  <c r="BO84" i="5"/>
  <c r="BO33" i="5"/>
  <c r="BO32" i="5"/>
  <c r="BO31" i="5"/>
  <c r="BO30" i="5"/>
  <c r="BO29" i="5"/>
  <c r="BO28" i="5"/>
  <c r="BO24" i="5"/>
  <c r="BO23" i="5"/>
  <c r="BO22" i="5"/>
  <c r="BO21" i="5"/>
  <c r="BO14" i="5"/>
  <c r="BO13" i="5"/>
  <c r="BO12" i="5"/>
  <c r="BO11" i="5"/>
  <c r="BM278" i="5"/>
  <c r="BM277" i="5"/>
  <c r="BM225" i="5"/>
  <c r="BM211" i="5"/>
  <c r="BM163" i="5"/>
  <c r="BM142" i="5"/>
  <c r="BM141" i="5"/>
  <c r="BM140" i="5"/>
  <c r="BM139" i="5"/>
  <c r="BM136" i="5"/>
  <c r="BM135" i="5"/>
  <c r="BM129" i="5"/>
  <c r="BM128" i="5"/>
  <c r="BM115" i="5"/>
  <c r="BM92" i="5"/>
  <c r="BM91" i="5"/>
  <c r="BM85" i="5"/>
  <c r="BM84" i="5"/>
  <c r="BM33" i="5"/>
  <c r="BM32" i="5"/>
  <c r="BM31" i="5"/>
  <c r="BM30" i="5"/>
  <c r="BM29" i="5"/>
  <c r="BM28" i="5"/>
  <c r="BM24" i="5"/>
  <c r="BM23" i="5"/>
  <c r="BM22" i="5"/>
  <c r="BM21" i="5"/>
  <c r="BM14" i="5"/>
  <c r="BM13" i="5"/>
  <c r="BM12" i="5"/>
  <c r="BM11" i="5"/>
  <c r="BK293" i="5"/>
  <c r="BK280" i="5"/>
  <c r="BK279" i="5"/>
  <c r="BK278" i="5"/>
  <c r="BK277" i="5"/>
  <c r="BK237" i="5"/>
  <c r="BK225" i="5"/>
  <c r="BK223" i="5"/>
  <c r="BK219" i="5"/>
  <c r="BK211" i="5"/>
  <c r="BK164" i="5"/>
  <c r="BK163" i="5"/>
  <c r="BK142" i="5"/>
  <c r="BK141" i="5"/>
  <c r="BK140" i="5"/>
  <c r="BK139" i="5"/>
  <c r="BK136" i="5"/>
  <c r="BK135" i="5"/>
  <c r="BK129" i="5"/>
  <c r="BK128" i="5"/>
  <c r="BK116" i="5"/>
  <c r="BK115" i="5"/>
  <c r="BK92" i="5"/>
  <c r="BK91" i="5"/>
  <c r="BK85" i="5"/>
  <c r="BK84" i="5"/>
  <c r="BK34" i="5"/>
  <c r="BK33" i="5"/>
  <c r="BK32" i="5"/>
  <c r="BK31" i="5"/>
  <c r="BK30" i="5"/>
  <c r="BK29" i="5"/>
  <c r="BK28" i="5"/>
  <c r="BK27" i="5"/>
  <c r="BK26" i="5"/>
  <c r="BK25" i="5"/>
  <c r="BK24" i="5"/>
  <c r="BK23" i="5"/>
  <c r="BK22" i="5"/>
  <c r="BK21" i="5"/>
  <c r="BK17" i="5"/>
  <c r="BK16" i="5"/>
  <c r="BK15" i="5"/>
  <c r="BK14" i="5"/>
  <c r="BK13" i="5"/>
  <c r="BK12" i="5"/>
  <c r="BK11" i="5"/>
  <c r="BI304" i="5"/>
  <c r="BI293" i="5"/>
  <c r="BI280" i="5"/>
  <c r="BI279" i="5"/>
  <c r="BI278" i="5"/>
  <c r="BI277" i="5"/>
  <c r="BI272" i="5"/>
  <c r="BI271" i="5"/>
  <c r="BI263" i="5"/>
  <c r="BI262" i="5"/>
  <c r="BI251" i="5"/>
  <c r="BI237" i="5"/>
  <c r="BI226" i="5"/>
  <c r="BI225" i="5"/>
  <c r="BI223" i="5"/>
  <c r="BI219" i="5"/>
  <c r="BI211" i="5"/>
  <c r="BI205" i="5"/>
  <c r="BI183" i="5"/>
  <c r="BI176" i="5"/>
  <c r="BI164" i="5"/>
  <c r="BI163" i="5"/>
  <c r="BI159" i="5"/>
  <c r="BI152" i="5"/>
  <c r="BI142" i="5"/>
  <c r="BI141" i="5"/>
  <c r="BI140" i="5"/>
  <c r="BI139" i="5"/>
  <c r="BI138" i="5"/>
  <c r="BI137" i="5"/>
  <c r="BI136" i="5"/>
  <c r="BI135" i="5"/>
  <c r="BI131" i="5"/>
  <c r="BI130" i="5"/>
  <c r="BI129" i="5"/>
  <c r="BI128" i="5"/>
  <c r="BI116" i="5"/>
  <c r="BI115" i="5"/>
  <c r="BI111" i="5"/>
  <c r="BI104" i="5"/>
  <c r="BI94" i="5"/>
  <c r="BI93" i="5"/>
  <c r="BI92" i="5"/>
  <c r="BI91" i="5"/>
  <c r="BI87" i="5"/>
  <c r="BI86" i="5"/>
  <c r="BI85" i="5"/>
  <c r="BI84" i="5"/>
  <c r="BI71" i="5"/>
  <c r="BI64" i="5"/>
  <c r="BI51" i="5"/>
  <c r="BI44" i="5"/>
  <c r="BI34" i="5"/>
  <c r="BI33" i="5"/>
  <c r="BI32" i="5"/>
  <c r="BI31" i="5"/>
  <c r="BI30" i="5"/>
  <c r="BI29" i="5"/>
  <c r="BI28" i="5"/>
  <c r="BI27" i="5"/>
  <c r="BI26" i="5"/>
  <c r="BI25" i="5"/>
  <c r="BI24" i="5"/>
  <c r="BI23" i="5"/>
  <c r="BI22" i="5"/>
  <c r="BI21" i="5"/>
  <c r="BI17" i="5"/>
  <c r="BI16" i="5"/>
  <c r="BI15" i="5"/>
  <c r="BI14" i="5"/>
  <c r="BI13" i="5"/>
  <c r="BI12" i="5"/>
  <c r="BI11" i="5"/>
  <c r="BG305" i="5"/>
  <c r="BG304" i="5"/>
  <c r="BG293" i="5"/>
  <c r="BG282" i="5"/>
  <c r="BG281" i="5"/>
  <c r="BG280" i="5"/>
  <c r="BG279" i="5"/>
  <c r="BG278" i="5"/>
  <c r="BG277" i="5"/>
  <c r="BG274" i="5"/>
  <c r="BG273" i="5"/>
  <c r="BG272" i="5"/>
  <c r="BG271" i="5"/>
  <c r="BG265" i="5"/>
  <c r="BG264" i="5"/>
  <c r="BG263" i="5"/>
  <c r="BG262" i="5"/>
  <c r="BG251" i="5"/>
  <c r="BG237" i="5"/>
  <c r="BG226" i="5"/>
  <c r="BG225" i="5"/>
  <c r="BG223" i="5"/>
  <c r="BG219" i="5"/>
  <c r="BG212" i="5"/>
  <c r="BG211" i="5"/>
  <c r="BG205" i="5"/>
  <c r="BG197" i="5"/>
  <c r="BG184" i="5"/>
  <c r="BG183" i="5"/>
  <c r="BG177" i="5"/>
  <c r="BG176" i="5"/>
  <c r="BG166" i="5"/>
  <c r="BG165" i="5"/>
  <c r="BG164" i="5"/>
  <c r="BG163" i="5"/>
  <c r="BG160" i="5"/>
  <c r="BG159" i="5"/>
  <c r="BG153" i="5"/>
  <c r="BG152" i="5"/>
  <c r="BG142" i="5"/>
  <c r="BG141" i="5"/>
  <c r="BG140" i="5"/>
  <c r="BG139" i="5"/>
  <c r="BG138" i="5"/>
  <c r="BG137" i="5"/>
  <c r="BG136" i="5"/>
  <c r="BG135" i="5"/>
  <c r="BG131" i="5"/>
  <c r="BG130" i="5"/>
  <c r="BG129" i="5"/>
  <c r="BG128" i="5"/>
  <c r="BG118" i="5"/>
  <c r="BG117" i="5"/>
  <c r="BG116" i="5"/>
  <c r="BG115" i="5"/>
  <c r="BG112" i="5"/>
  <c r="BG111" i="5"/>
  <c r="BG105" i="5"/>
  <c r="BG104" i="5"/>
  <c r="BG94" i="5"/>
  <c r="BG93" i="5"/>
  <c r="BG92" i="5"/>
  <c r="BG91" i="5"/>
  <c r="BG87" i="5"/>
  <c r="BG86" i="5"/>
  <c r="BG85" i="5"/>
  <c r="BG84" i="5"/>
  <c r="BG72" i="5"/>
  <c r="BG71" i="5"/>
  <c r="BG65" i="5"/>
  <c r="BG64" i="5"/>
  <c r="BG52" i="5"/>
  <c r="BG51" i="5"/>
  <c r="BG45" i="5"/>
  <c r="BG44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17" i="5"/>
  <c r="BG16" i="5"/>
  <c r="BG15" i="5"/>
  <c r="BG14" i="5"/>
  <c r="BG13" i="5"/>
  <c r="BG12" i="5"/>
  <c r="BG11" i="5"/>
  <c r="BE305" i="5"/>
  <c r="BE304" i="5"/>
  <c r="BE294" i="5"/>
  <c r="BE293" i="5"/>
  <c r="BE282" i="5"/>
  <c r="BE281" i="5"/>
  <c r="BE280" i="5"/>
  <c r="BE279" i="5"/>
  <c r="BE278" i="5"/>
  <c r="BE277" i="5"/>
  <c r="BE274" i="5"/>
  <c r="BE273" i="5"/>
  <c r="BE272" i="5"/>
  <c r="BE271" i="5"/>
  <c r="BE265" i="5"/>
  <c r="BE264" i="5"/>
  <c r="BE263" i="5"/>
  <c r="BE262" i="5"/>
  <c r="BE251" i="5"/>
  <c r="BE245" i="5"/>
  <c r="BE238" i="5"/>
  <c r="BE237" i="5"/>
  <c r="BE226" i="5"/>
  <c r="BE225" i="5"/>
  <c r="BE224" i="5"/>
  <c r="BE223" i="5"/>
  <c r="BE220" i="5"/>
  <c r="BE219" i="5"/>
  <c r="BE212" i="5"/>
  <c r="BE211" i="5"/>
  <c r="BE205" i="5"/>
  <c r="BE197" i="5"/>
  <c r="BE184" i="5"/>
  <c r="BE183" i="5"/>
  <c r="BE177" i="5"/>
  <c r="BE176" i="5"/>
  <c r="BE166" i="5"/>
  <c r="BE165" i="5"/>
  <c r="BE164" i="5"/>
  <c r="BE163" i="5"/>
  <c r="BE160" i="5"/>
  <c r="BE159" i="5"/>
  <c r="BE153" i="5"/>
  <c r="BE152" i="5"/>
  <c r="BE142" i="5"/>
  <c r="BE141" i="5"/>
  <c r="BE140" i="5"/>
  <c r="BE139" i="5"/>
  <c r="BE138" i="5"/>
  <c r="BE137" i="5"/>
  <c r="BE136" i="5"/>
  <c r="BE135" i="5"/>
  <c r="BE131" i="5"/>
  <c r="BE130" i="5"/>
  <c r="BE129" i="5"/>
  <c r="BE128" i="5"/>
  <c r="BE118" i="5"/>
  <c r="BE117" i="5"/>
  <c r="BE116" i="5"/>
  <c r="BE115" i="5"/>
  <c r="BE112" i="5"/>
  <c r="BE111" i="5"/>
  <c r="BE105" i="5"/>
  <c r="BE104" i="5"/>
  <c r="BE94" i="5"/>
  <c r="BE93" i="5"/>
  <c r="BE92" i="5"/>
  <c r="BE91" i="5"/>
  <c r="BE87" i="5"/>
  <c r="BE86" i="5"/>
  <c r="BE85" i="5"/>
  <c r="BE84" i="5"/>
  <c r="BE72" i="5"/>
  <c r="BE71" i="5"/>
  <c r="BE65" i="5"/>
  <c r="BE64" i="5"/>
  <c r="BE52" i="5"/>
  <c r="BE51" i="5"/>
  <c r="BE45" i="5"/>
  <c r="BE44" i="5"/>
  <c r="BE34" i="5"/>
  <c r="BE33" i="5"/>
  <c r="BE32" i="5"/>
  <c r="BE31" i="5"/>
  <c r="BE30" i="5"/>
  <c r="BE29" i="5"/>
  <c r="BE28" i="5"/>
  <c r="BE27" i="5"/>
  <c r="BE26" i="5"/>
  <c r="BE25" i="5"/>
  <c r="BE24" i="5"/>
  <c r="BE23" i="5"/>
  <c r="BE22" i="5"/>
  <c r="BE21" i="5"/>
  <c r="BE17" i="5"/>
  <c r="BE16" i="5"/>
  <c r="BE15" i="5"/>
  <c r="BE14" i="5"/>
  <c r="BE13" i="5"/>
  <c r="BE12" i="5"/>
  <c r="BE11" i="5"/>
  <c r="BC306" i="5"/>
  <c r="BC305" i="5"/>
  <c r="BC304" i="5"/>
  <c r="BC294" i="5"/>
  <c r="BC293" i="5"/>
  <c r="BC282" i="5"/>
  <c r="BC281" i="5"/>
  <c r="BC280" i="5"/>
  <c r="BC279" i="5"/>
  <c r="BC278" i="5"/>
  <c r="BC277" i="5"/>
  <c r="BC276" i="5"/>
  <c r="BC275" i="5"/>
  <c r="BC274" i="5"/>
  <c r="BC273" i="5"/>
  <c r="BC272" i="5"/>
  <c r="BC271" i="5"/>
  <c r="BC267" i="5"/>
  <c r="BC266" i="5"/>
  <c r="BC265" i="5"/>
  <c r="BC264" i="5"/>
  <c r="BC263" i="5"/>
  <c r="BC262" i="5"/>
  <c r="BC252" i="5"/>
  <c r="BC251" i="5"/>
  <c r="BC245" i="5"/>
  <c r="BC238" i="5"/>
  <c r="BC237" i="5"/>
  <c r="BC226" i="5"/>
  <c r="BC225" i="5"/>
  <c r="BC224" i="5"/>
  <c r="BC223" i="5"/>
  <c r="BC220" i="5"/>
  <c r="BC219" i="5"/>
  <c r="BC212" i="5"/>
  <c r="BC211" i="5"/>
  <c r="BC206" i="5"/>
  <c r="BC205" i="5"/>
  <c r="BC197" i="5"/>
  <c r="BC186" i="5"/>
  <c r="BC185" i="5"/>
  <c r="BC184" i="5"/>
  <c r="BC183" i="5"/>
  <c r="BC179" i="5"/>
  <c r="BC178" i="5"/>
  <c r="BC177" i="5"/>
  <c r="BC176" i="5"/>
  <c r="BC166" i="5"/>
  <c r="BC165" i="5"/>
  <c r="BC164" i="5"/>
  <c r="BC163" i="5"/>
  <c r="BC162" i="5"/>
  <c r="BC161" i="5"/>
  <c r="BC160" i="5"/>
  <c r="BC159" i="5"/>
  <c r="BC155" i="5"/>
  <c r="BC154" i="5"/>
  <c r="BC153" i="5"/>
  <c r="BC152" i="5"/>
  <c r="BC142" i="5"/>
  <c r="BC141" i="5"/>
  <c r="BC140" i="5"/>
  <c r="BC139" i="5"/>
  <c r="BC138" i="5"/>
  <c r="BC137" i="5"/>
  <c r="BC136" i="5"/>
  <c r="BC135" i="5"/>
  <c r="BC131" i="5"/>
  <c r="BC130" i="5"/>
  <c r="BC129" i="5"/>
  <c r="BC128" i="5"/>
  <c r="BC118" i="5"/>
  <c r="BC117" i="5"/>
  <c r="BC116" i="5"/>
  <c r="BC115" i="5"/>
  <c r="BC114" i="5"/>
  <c r="BC113" i="5"/>
  <c r="BC112" i="5"/>
  <c r="BC111" i="5"/>
  <c r="BC107" i="5"/>
  <c r="BC106" i="5"/>
  <c r="BC105" i="5"/>
  <c r="BC104" i="5"/>
  <c r="BC94" i="5"/>
  <c r="BC93" i="5"/>
  <c r="BC92" i="5"/>
  <c r="BC91" i="5"/>
  <c r="BC87" i="5"/>
  <c r="BC86" i="5"/>
  <c r="BC85" i="5"/>
  <c r="BC84" i="5"/>
  <c r="BC74" i="5"/>
  <c r="BC73" i="5"/>
  <c r="BC72" i="5"/>
  <c r="BC71" i="5"/>
  <c r="BC67" i="5"/>
  <c r="BC66" i="5"/>
  <c r="BC65" i="5"/>
  <c r="BC64" i="5"/>
  <c r="BC54" i="5"/>
  <c r="BC53" i="5"/>
  <c r="BC52" i="5"/>
  <c r="BC51" i="5"/>
  <c r="BC47" i="5"/>
  <c r="BC46" i="5"/>
  <c r="BC45" i="5"/>
  <c r="BC44" i="5"/>
  <c r="BC34" i="5"/>
  <c r="BC33" i="5"/>
  <c r="BC32" i="5"/>
  <c r="BC31" i="5"/>
  <c r="BC30" i="5"/>
  <c r="BC29" i="5"/>
  <c r="BC28" i="5"/>
  <c r="BC27" i="5"/>
  <c r="BC26" i="5"/>
  <c r="BC25" i="5"/>
  <c r="BC24" i="5"/>
  <c r="BC23" i="5"/>
  <c r="BC22" i="5"/>
  <c r="BC21" i="5"/>
  <c r="BC17" i="5"/>
  <c r="BC16" i="5"/>
  <c r="BC15" i="5"/>
  <c r="BC14" i="5"/>
  <c r="BC13" i="5"/>
  <c r="BC12" i="5"/>
  <c r="BC11" i="5"/>
  <c r="BA306" i="5"/>
  <c r="BA305" i="5"/>
  <c r="BA304" i="5"/>
  <c r="BA294" i="5"/>
  <c r="BA293" i="5"/>
  <c r="BA282" i="5"/>
  <c r="BA281" i="5"/>
  <c r="BA280" i="5"/>
  <c r="BA279" i="5"/>
  <c r="BA278" i="5"/>
  <c r="BA277" i="5"/>
  <c r="BA276" i="5"/>
  <c r="BA275" i="5"/>
  <c r="BA274" i="5"/>
  <c r="BA273" i="5"/>
  <c r="BA272" i="5"/>
  <c r="BA271" i="5"/>
  <c r="BA267" i="5"/>
  <c r="BA266" i="5"/>
  <c r="BA265" i="5"/>
  <c r="BA264" i="5"/>
  <c r="BA263" i="5"/>
  <c r="BA262" i="5"/>
  <c r="BA252" i="5"/>
  <c r="BA251" i="5"/>
  <c r="BA245" i="5"/>
  <c r="BA238" i="5"/>
  <c r="BA237" i="5"/>
  <c r="BA226" i="5"/>
  <c r="BA225" i="5"/>
  <c r="BA224" i="5"/>
  <c r="BA223" i="5"/>
  <c r="BA220" i="5"/>
  <c r="BA219" i="5"/>
  <c r="BA212" i="5"/>
  <c r="BA211" i="5"/>
  <c r="BA206" i="5"/>
  <c r="BA205" i="5"/>
  <c r="BA198" i="5"/>
  <c r="BA197" i="5"/>
  <c r="BA186" i="5"/>
  <c r="BA185" i="5"/>
  <c r="BA184" i="5"/>
  <c r="BA183" i="5"/>
  <c r="BA179" i="5"/>
  <c r="BA178" i="5"/>
  <c r="BA177" i="5"/>
  <c r="BA176" i="5"/>
  <c r="BA166" i="5"/>
  <c r="BA165" i="5"/>
  <c r="BA164" i="5"/>
  <c r="BA163" i="5"/>
  <c r="BA162" i="5"/>
  <c r="BA161" i="5"/>
  <c r="BA160" i="5"/>
  <c r="BA159" i="5"/>
  <c r="BA155" i="5"/>
  <c r="BA154" i="5"/>
  <c r="BA153" i="5"/>
  <c r="BA152" i="5"/>
  <c r="BA142" i="5"/>
  <c r="BA141" i="5"/>
  <c r="BA140" i="5"/>
  <c r="BA139" i="5"/>
  <c r="BA138" i="5"/>
  <c r="BA137" i="5"/>
  <c r="BA136" i="5"/>
  <c r="BA135" i="5"/>
  <c r="BA131" i="5"/>
  <c r="BA130" i="5"/>
  <c r="BA129" i="5"/>
  <c r="BA128" i="5"/>
  <c r="BA118" i="5"/>
  <c r="BA117" i="5"/>
  <c r="BA116" i="5"/>
  <c r="BA115" i="5"/>
  <c r="BA114" i="5"/>
  <c r="BA113" i="5"/>
  <c r="BA112" i="5"/>
  <c r="BA111" i="5"/>
  <c r="BA107" i="5"/>
  <c r="BA106" i="5"/>
  <c r="BA105" i="5"/>
  <c r="BA104" i="5"/>
  <c r="BA94" i="5"/>
  <c r="BA93" i="5"/>
  <c r="BA92" i="5"/>
  <c r="BA91" i="5"/>
  <c r="BA87" i="5"/>
  <c r="BA86" i="5"/>
  <c r="BA85" i="5"/>
  <c r="BA84" i="5"/>
  <c r="BA74" i="5"/>
  <c r="BA73" i="5"/>
  <c r="BA72" i="5"/>
  <c r="BA71" i="5"/>
  <c r="BA67" i="5"/>
  <c r="BA66" i="5"/>
  <c r="BA65" i="5"/>
  <c r="BA64" i="5"/>
  <c r="BA54" i="5"/>
  <c r="BA53" i="5"/>
  <c r="BA52" i="5"/>
  <c r="BA51" i="5"/>
  <c r="BA47" i="5"/>
  <c r="BA46" i="5"/>
  <c r="BA45" i="5"/>
  <c r="BA44" i="5"/>
  <c r="BA34" i="5"/>
  <c r="BA3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17" i="5"/>
  <c r="BA16" i="5"/>
  <c r="BA15" i="5"/>
  <c r="BA14" i="5"/>
  <c r="BA13" i="5"/>
  <c r="BA12" i="5"/>
  <c r="BA11" i="5"/>
  <c r="AY306" i="5"/>
  <c r="AY305" i="5"/>
  <c r="AY304" i="5"/>
  <c r="AY294" i="5"/>
  <c r="AY293" i="5"/>
  <c r="AY282" i="5"/>
  <c r="AY281" i="5"/>
  <c r="AY280" i="5"/>
  <c r="AY279" i="5"/>
  <c r="AY278" i="5"/>
  <c r="AY277" i="5"/>
  <c r="AY276" i="5"/>
  <c r="AY275" i="5"/>
  <c r="AY274" i="5"/>
  <c r="AY273" i="5"/>
  <c r="AY272" i="5"/>
  <c r="AY271" i="5"/>
  <c r="AY267" i="5"/>
  <c r="AY266" i="5"/>
  <c r="AY265" i="5"/>
  <c r="AY264" i="5"/>
  <c r="AY263" i="5"/>
  <c r="AY262" i="5"/>
  <c r="AY252" i="5"/>
  <c r="AY251" i="5"/>
  <c r="AY246" i="5"/>
  <c r="AY245" i="5"/>
  <c r="AY238" i="5"/>
  <c r="AY237" i="5"/>
  <c r="AY226" i="5"/>
  <c r="AY225" i="5"/>
  <c r="AY224" i="5"/>
  <c r="AY223" i="5"/>
  <c r="AY220" i="5"/>
  <c r="AY219" i="5"/>
  <c r="AY212" i="5"/>
  <c r="AY211" i="5"/>
  <c r="AY206" i="5"/>
  <c r="AY205" i="5"/>
  <c r="AY198" i="5"/>
  <c r="AY197" i="5"/>
  <c r="AY186" i="5"/>
  <c r="AY185" i="5"/>
  <c r="AY184" i="5"/>
  <c r="AY183" i="5"/>
  <c r="AY179" i="5"/>
  <c r="AY178" i="5"/>
  <c r="AY177" i="5"/>
  <c r="AY176" i="5"/>
  <c r="AY166" i="5"/>
  <c r="AY165" i="5"/>
  <c r="AY164" i="5"/>
  <c r="AY163" i="5"/>
  <c r="AY162" i="5"/>
  <c r="AY161" i="5"/>
  <c r="AY160" i="5"/>
  <c r="AY159" i="5"/>
  <c r="AY155" i="5"/>
  <c r="AY154" i="5"/>
  <c r="AY153" i="5"/>
  <c r="AY152" i="5"/>
  <c r="AY142" i="5"/>
  <c r="AY141" i="5"/>
  <c r="AY140" i="5"/>
  <c r="AY139" i="5"/>
  <c r="AY138" i="5"/>
  <c r="AY137" i="5"/>
  <c r="AY136" i="5"/>
  <c r="AY135" i="5"/>
  <c r="AY131" i="5"/>
  <c r="AY130" i="5"/>
  <c r="AY129" i="5"/>
  <c r="AY128" i="5"/>
  <c r="AY118" i="5"/>
  <c r="AY117" i="5"/>
  <c r="AY116" i="5"/>
  <c r="AY115" i="5"/>
  <c r="AY114" i="5"/>
  <c r="AY113" i="5"/>
  <c r="AY112" i="5"/>
  <c r="AY111" i="5"/>
  <c r="AY107" i="5"/>
  <c r="AY106" i="5"/>
  <c r="AY105" i="5"/>
  <c r="AY104" i="5"/>
  <c r="AY94" i="5"/>
  <c r="AY93" i="5"/>
  <c r="AY92" i="5"/>
  <c r="AY91" i="5"/>
  <c r="AY87" i="5"/>
  <c r="AY86" i="5"/>
  <c r="AY85" i="5"/>
  <c r="AY84" i="5"/>
  <c r="AY74" i="5"/>
  <c r="AY73" i="5"/>
  <c r="AY72" i="5"/>
  <c r="AY71" i="5"/>
  <c r="AY67" i="5"/>
  <c r="AY66" i="5"/>
  <c r="AY65" i="5"/>
  <c r="AY64" i="5"/>
  <c r="AY54" i="5"/>
  <c r="AY53" i="5"/>
  <c r="AY52" i="5"/>
  <c r="AY51" i="5"/>
  <c r="AY47" i="5"/>
  <c r="AY46" i="5"/>
  <c r="AY45" i="5"/>
  <c r="AY44" i="5"/>
  <c r="AY34" i="5"/>
  <c r="AY33" i="5"/>
  <c r="AY32" i="5"/>
  <c r="AY31" i="5"/>
  <c r="AY30" i="5"/>
  <c r="AY29" i="5"/>
  <c r="AY28" i="5"/>
  <c r="AY27" i="5"/>
  <c r="AY26" i="5"/>
  <c r="AY25" i="5"/>
  <c r="AY24" i="5"/>
  <c r="AY23" i="5"/>
  <c r="AY22" i="5"/>
  <c r="AY21" i="5"/>
  <c r="AY17" i="5"/>
  <c r="AY16" i="5"/>
  <c r="AY15" i="5"/>
  <c r="AY14" i="5"/>
  <c r="AY13" i="5"/>
  <c r="AY12" i="5"/>
  <c r="AY11" i="5"/>
  <c r="AW306" i="5"/>
  <c r="AW305" i="5"/>
  <c r="AW304" i="5"/>
  <c r="AW294" i="5"/>
  <c r="AW293" i="5"/>
  <c r="AW282" i="5"/>
  <c r="AW281" i="5"/>
  <c r="AW280" i="5"/>
  <c r="AW279" i="5"/>
  <c r="AW278" i="5"/>
  <c r="AW277" i="5"/>
  <c r="AW276" i="5"/>
  <c r="AW275" i="5"/>
  <c r="AW274" i="5"/>
  <c r="AW273" i="5"/>
  <c r="AW272" i="5"/>
  <c r="AW271" i="5"/>
  <c r="AW267" i="5"/>
  <c r="AW266" i="5"/>
  <c r="AW265" i="5"/>
  <c r="AW264" i="5"/>
  <c r="AW263" i="5"/>
  <c r="AW262" i="5"/>
  <c r="AW252" i="5"/>
  <c r="AW251" i="5"/>
  <c r="AW246" i="5"/>
  <c r="AW245" i="5"/>
  <c r="AW238" i="5"/>
  <c r="AW237" i="5"/>
  <c r="AW226" i="5"/>
  <c r="AW225" i="5"/>
  <c r="AW224" i="5"/>
  <c r="AW223" i="5"/>
  <c r="AW220" i="5"/>
  <c r="AW219" i="5"/>
  <c r="AW212" i="5"/>
  <c r="AW211" i="5"/>
  <c r="AW206" i="5"/>
  <c r="AW205" i="5"/>
  <c r="AW198" i="5"/>
  <c r="AW197" i="5"/>
  <c r="AW186" i="5"/>
  <c r="AW185" i="5"/>
  <c r="AW184" i="5"/>
  <c r="AW183" i="5"/>
  <c r="AW179" i="5"/>
  <c r="AW178" i="5"/>
  <c r="AW177" i="5"/>
  <c r="AW176" i="5"/>
  <c r="AW166" i="5"/>
  <c r="AW165" i="5"/>
  <c r="AW164" i="5"/>
  <c r="AW163" i="5"/>
  <c r="AW162" i="5"/>
  <c r="AW161" i="5"/>
  <c r="AW160" i="5"/>
  <c r="AW159" i="5"/>
  <c r="AW155" i="5"/>
  <c r="AW154" i="5"/>
  <c r="AW153" i="5"/>
  <c r="AW152" i="5"/>
  <c r="AW142" i="5"/>
  <c r="AW141" i="5"/>
  <c r="AW140" i="5"/>
  <c r="AW139" i="5"/>
  <c r="AW138" i="5"/>
  <c r="AW137" i="5"/>
  <c r="AW136" i="5"/>
  <c r="AW135" i="5"/>
  <c r="AW131" i="5"/>
  <c r="AW130" i="5"/>
  <c r="AW129" i="5"/>
  <c r="AW128" i="5"/>
  <c r="AW118" i="5"/>
  <c r="AW117" i="5"/>
  <c r="AW116" i="5"/>
  <c r="AW115" i="5"/>
  <c r="AW114" i="5"/>
  <c r="AW113" i="5"/>
  <c r="AW112" i="5"/>
  <c r="AW111" i="5"/>
  <c r="AW107" i="5"/>
  <c r="AW106" i="5"/>
  <c r="AW105" i="5"/>
  <c r="AW104" i="5"/>
  <c r="AW94" i="5"/>
  <c r="AW93" i="5"/>
  <c r="AW92" i="5"/>
  <c r="AW91" i="5"/>
  <c r="AW87" i="5"/>
  <c r="AW86" i="5"/>
  <c r="AW85" i="5"/>
  <c r="AW84" i="5"/>
  <c r="AW74" i="5"/>
  <c r="AW73" i="5"/>
  <c r="AW72" i="5"/>
  <c r="AW71" i="5"/>
  <c r="AW67" i="5"/>
  <c r="AW66" i="5"/>
  <c r="AW65" i="5"/>
  <c r="AW64" i="5"/>
  <c r="AW54" i="5"/>
  <c r="AW53" i="5"/>
  <c r="AW52" i="5"/>
  <c r="AW51" i="5"/>
  <c r="AW47" i="5"/>
  <c r="AW46" i="5"/>
  <c r="AW45" i="5"/>
  <c r="AW44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17" i="5"/>
  <c r="AW16" i="5"/>
  <c r="AW15" i="5"/>
  <c r="AW14" i="5"/>
  <c r="AW13" i="5"/>
  <c r="AW12" i="5"/>
  <c r="AW11" i="5"/>
  <c r="AU306" i="5"/>
  <c r="AU305" i="5"/>
  <c r="AU304" i="5"/>
  <c r="AU294" i="5"/>
  <c r="AU293" i="5"/>
  <c r="AU282" i="5"/>
  <c r="AU281" i="5"/>
  <c r="AU280" i="5"/>
  <c r="AU279" i="5"/>
  <c r="AU278" i="5"/>
  <c r="AU277" i="5"/>
  <c r="AU276" i="5"/>
  <c r="AU275" i="5"/>
  <c r="AU274" i="5"/>
  <c r="AU273" i="5"/>
  <c r="AU272" i="5"/>
  <c r="AU271" i="5"/>
  <c r="AU267" i="5"/>
  <c r="AU266" i="5"/>
  <c r="AU265" i="5"/>
  <c r="AU264" i="5"/>
  <c r="AU263" i="5"/>
  <c r="AU262" i="5"/>
  <c r="AU252" i="5"/>
  <c r="AU251" i="5"/>
  <c r="AU246" i="5"/>
  <c r="AU245" i="5"/>
  <c r="AU238" i="5"/>
  <c r="AU237" i="5"/>
  <c r="AU226" i="5"/>
  <c r="AU225" i="5"/>
  <c r="AU224" i="5"/>
  <c r="AU223" i="5"/>
  <c r="AU220" i="5"/>
  <c r="AU219" i="5"/>
  <c r="AU212" i="5"/>
  <c r="AU211" i="5"/>
  <c r="AU206" i="5"/>
  <c r="AU205" i="5"/>
  <c r="AU198" i="5"/>
  <c r="AU197" i="5"/>
  <c r="AU186" i="5"/>
  <c r="AU185" i="5"/>
  <c r="AU184" i="5"/>
  <c r="AU183" i="5"/>
  <c r="AU179" i="5"/>
  <c r="AU178" i="5"/>
  <c r="AU177" i="5"/>
  <c r="AU176" i="5"/>
  <c r="AU166" i="5"/>
  <c r="AU165" i="5"/>
  <c r="AU164" i="5"/>
  <c r="AU163" i="5"/>
  <c r="AU162" i="5"/>
  <c r="AU161" i="5"/>
  <c r="AU160" i="5"/>
  <c r="AU159" i="5"/>
  <c r="AU155" i="5"/>
  <c r="AU154" i="5"/>
  <c r="AU153" i="5"/>
  <c r="AU152" i="5"/>
  <c r="AU142" i="5"/>
  <c r="AU141" i="5"/>
  <c r="AU140" i="5"/>
  <c r="AU139" i="5"/>
  <c r="AU138" i="5"/>
  <c r="AU137" i="5"/>
  <c r="AU136" i="5"/>
  <c r="AU135" i="5"/>
  <c r="AU131" i="5"/>
  <c r="AU130" i="5"/>
  <c r="AU129" i="5"/>
  <c r="AU128" i="5"/>
  <c r="AU118" i="5"/>
  <c r="AU117" i="5"/>
  <c r="AU116" i="5"/>
  <c r="AU115" i="5"/>
  <c r="AU114" i="5"/>
  <c r="AU113" i="5"/>
  <c r="AU112" i="5"/>
  <c r="AU111" i="5"/>
  <c r="AU107" i="5"/>
  <c r="AU106" i="5"/>
  <c r="AU105" i="5"/>
  <c r="AU104" i="5"/>
  <c r="AU94" i="5"/>
  <c r="AU93" i="5"/>
  <c r="AU92" i="5"/>
  <c r="AU91" i="5"/>
  <c r="AU87" i="5"/>
  <c r="AU86" i="5"/>
  <c r="AU85" i="5"/>
  <c r="AU84" i="5"/>
  <c r="AU74" i="5"/>
  <c r="AU73" i="5"/>
  <c r="AU72" i="5"/>
  <c r="AU71" i="5"/>
  <c r="AU67" i="5"/>
  <c r="AU66" i="5"/>
  <c r="AU65" i="5"/>
  <c r="AU64" i="5"/>
  <c r="AU54" i="5"/>
  <c r="AU53" i="5"/>
  <c r="AU52" i="5"/>
  <c r="AU51" i="5"/>
  <c r="AU47" i="5"/>
  <c r="AU46" i="5"/>
  <c r="AU45" i="5"/>
  <c r="AU44" i="5"/>
  <c r="AU34" i="5"/>
  <c r="AU33" i="5"/>
  <c r="AU32" i="5"/>
  <c r="AU31" i="5"/>
  <c r="AU30" i="5"/>
  <c r="AU29" i="5"/>
  <c r="AU28" i="5"/>
  <c r="AU27" i="5"/>
  <c r="AU26" i="5"/>
  <c r="AU25" i="5"/>
  <c r="AU24" i="5"/>
  <c r="AU23" i="5"/>
  <c r="AU22" i="5"/>
  <c r="AU21" i="5"/>
  <c r="AU17" i="5"/>
  <c r="AU16" i="5"/>
  <c r="AU15" i="5"/>
  <c r="AU14" i="5"/>
  <c r="AU13" i="5"/>
  <c r="AU12" i="5"/>
  <c r="AU11" i="5"/>
  <c r="AS306" i="5"/>
  <c r="AS305" i="5"/>
  <c r="AS304" i="5"/>
  <c r="AS294" i="5"/>
  <c r="AS293" i="5"/>
  <c r="AS282" i="5"/>
  <c r="AS281" i="5"/>
  <c r="AS280" i="5"/>
  <c r="AS279" i="5"/>
  <c r="AS278" i="5"/>
  <c r="AS277" i="5"/>
  <c r="AS276" i="5"/>
  <c r="AS275" i="5"/>
  <c r="AS274" i="5"/>
  <c r="AS273" i="5"/>
  <c r="AS272" i="5"/>
  <c r="AS271" i="5"/>
  <c r="AS267" i="5"/>
  <c r="AS266" i="5"/>
  <c r="AS265" i="5"/>
  <c r="AS264" i="5"/>
  <c r="AS263" i="5"/>
  <c r="AS262" i="5"/>
  <c r="AS252" i="5"/>
  <c r="AS251" i="5"/>
  <c r="AS246" i="5"/>
  <c r="AS245" i="5"/>
  <c r="AS238" i="5"/>
  <c r="AS237" i="5"/>
  <c r="AS226" i="5"/>
  <c r="AS225" i="5"/>
  <c r="AS224" i="5"/>
  <c r="AS223" i="5"/>
  <c r="AS220" i="5"/>
  <c r="AS219" i="5"/>
  <c r="AS212" i="5"/>
  <c r="AS211" i="5"/>
  <c r="AS206" i="5"/>
  <c r="AS205" i="5"/>
  <c r="AS198" i="5"/>
  <c r="AS197" i="5"/>
  <c r="AS186" i="5"/>
  <c r="AS185" i="5"/>
  <c r="AS184" i="5"/>
  <c r="AS183" i="5"/>
  <c r="AS179" i="5"/>
  <c r="AS178" i="5"/>
  <c r="AS177" i="5"/>
  <c r="AS176" i="5"/>
  <c r="AS166" i="5"/>
  <c r="AS165" i="5"/>
  <c r="AS164" i="5"/>
  <c r="AS163" i="5"/>
  <c r="AS162" i="5"/>
  <c r="AS161" i="5"/>
  <c r="AS160" i="5"/>
  <c r="AS159" i="5"/>
  <c r="AS155" i="5"/>
  <c r="AS154" i="5"/>
  <c r="AS153" i="5"/>
  <c r="AS152" i="5"/>
  <c r="AS142" i="5"/>
  <c r="AS141" i="5"/>
  <c r="AS140" i="5"/>
  <c r="AS139" i="5"/>
  <c r="AS138" i="5"/>
  <c r="AS137" i="5"/>
  <c r="AS136" i="5"/>
  <c r="AS135" i="5"/>
  <c r="AS131" i="5"/>
  <c r="AS130" i="5"/>
  <c r="AS129" i="5"/>
  <c r="AS128" i="5"/>
  <c r="AS118" i="5"/>
  <c r="AS117" i="5"/>
  <c r="AS116" i="5"/>
  <c r="AS115" i="5"/>
  <c r="AS114" i="5"/>
  <c r="AS113" i="5"/>
  <c r="AS112" i="5"/>
  <c r="AS111" i="5"/>
  <c r="AS107" i="5"/>
  <c r="AS106" i="5"/>
  <c r="AS105" i="5"/>
  <c r="AS104" i="5"/>
  <c r="AS94" i="5"/>
  <c r="AS93" i="5"/>
  <c r="AS92" i="5"/>
  <c r="AS91" i="5"/>
  <c r="AS87" i="5"/>
  <c r="AS86" i="5"/>
  <c r="AS85" i="5"/>
  <c r="AS84" i="5"/>
  <c r="AS74" i="5"/>
  <c r="AS73" i="5"/>
  <c r="AS72" i="5"/>
  <c r="AS71" i="5"/>
  <c r="AS67" i="5"/>
  <c r="AS66" i="5"/>
  <c r="AS65" i="5"/>
  <c r="AS64" i="5"/>
  <c r="AS54" i="5"/>
  <c r="AS53" i="5"/>
  <c r="AS52" i="5"/>
  <c r="AS51" i="5"/>
  <c r="AS47" i="5"/>
  <c r="AS46" i="5"/>
  <c r="AS45" i="5"/>
  <c r="AS44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17" i="5"/>
  <c r="AS16" i="5"/>
  <c r="AS15" i="5"/>
  <c r="AS14" i="5"/>
  <c r="AS13" i="5"/>
  <c r="AS12" i="5"/>
  <c r="AS11" i="5"/>
  <c r="AQ306" i="5"/>
  <c r="AQ305" i="5"/>
  <c r="AQ304" i="5"/>
  <c r="AQ294" i="5"/>
  <c r="AQ293" i="5"/>
  <c r="AQ282" i="5"/>
  <c r="AQ281" i="5"/>
  <c r="AQ280" i="5"/>
  <c r="AQ279" i="5"/>
  <c r="AQ278" i="5"/>
  <c r="AQ277" i="5"/>
  <c r="AQ276" i="5"/>
  <c r="AQ275" i="5"/>
  <c r="AQ274" i="5"/>
  <c r="AQ273" i="5"/>
  <c r="AQ272" i="5"/>
  <c r="AQ271" i="5"/>
  <c r="AQ267" i="5"/>
  <c r="AQ266" i="5"/>
  <c r="AQ265" i="5"/>
  <c r="AQ264" i="5"/>
  <c r="AQ263" i="5"/>
  <c r="AQ262" i="5"/>
  <c r="AQ252" i="5"/>
  <c r="AQ251" i="5"/>
  <c r="AQ246" i="5"/>
  <c r="AQ245" i="5"/>
  <c r="AQ238" i="5"/>
  <c r="AQ237" i="5"/>
  <c r="AQ226" i="5"/>
  <c r="AQ225" i="5"/>
  <c r="AQ224" i="5"/>
  <c r="AQ223" i="5"/>
  <c r="AQ220" i="5"/>
  <c r="AQ219" i="5"/>
  <c r="AQ212" i="5"/>
  <c r="AQ211" i="5"/>
  <c r="AQ206" i="5"/>
  <c r="AQ205" i="5"/>
  <c r="AQ198" i="5"/>
  <c r="AQ197" i="5"/>
  <c r="AQ186" i="5"/>
  <c r="AQ185" i="5"/>
  <c r="AQ184" i="5"/>
  <c r="AQ183" i="5"/>
  <c r="AQ179" i="5"/>
  <c r="AQ178" i="5"/>
  <c r="AQ177" i="5"/>
  <c r="AQ176" i="5"/>
  <c r="AQ166" i="5"/>
  <c r="AQ165" i="5"/>
  <c r="AQ164" i="5"/>
  <c r="AQ163" i="5"/>
  <c r="AQ162" i="5"/>
  <c r="AQ161" i="5"/>
  <c r="AQ160" i="5"/>
  <c r="AQ159" i="5"/>
  <c r="AQ155" i="5"/>
  <c r="AQ154" i="5"/>
  <c r="AQ153" i="5"/>
  <c r="AQ152" i="5"/>
  <c r="AQ142" i="5"/>
  <c r="AQ141" i="5"/>
  <c r="AQ140" i="5"/>
  <c r="AQ139" i="5"/>
  <c r="AQ138" i="5"/>
  <c r="AQ137" i="5"/>
  <c r="AQ136" i="5"/>
  <c r="AQ135" i="5"/>
  <c r="AQ131" i="5"/>
  <c r="AQ130" i="5"/>
  <c r="AQ129" i="5"/>
  <c r="AQ128" i="5"/>
  <c r="AQ118" i="5"/>
  <c r="AQ117" i="5"/>
  <c r="AQ116" i="5"/>
  <c r="AQ115" i="5"/>
  <c r="AQ114" i="5"/>
  <c r="AQ113" i="5"/>
  <c r="AQ112" i="5"/>
  <c r="AQ111" i="5"/>
  <c r="AQ107" i="5"/>
  <c r="AQ106" i="5"/>
  <c r="AQ105" i="5"/>
  <c r="AQ104" i="5"/>
  <c r="AQ94" i="5"/>
  <c r="AQ93" i="5"/>
  <c r="AQ92" i="5"/>
  <c r="AQ91" i="5"/>
  <c r="AQ87" i="5"/>
  <c r="AQ86" i="5"/>
  <c r="AQ85" i="5"/>
  <c r="AQ84" i="5"/>
  <c r="AQ74" i="5"/>
  <c r="AQ73" i="5"/>
  <c r="AQ72" i="5"/>
  <c r="AQ71" i="5"/>
  <c r="AQ67" i="5"/>
  <c r="AQ66" i="5"/>
  <c r="AQ65" i="5"/>
  <c r="AQ64" i="5"/>
  <c r="AQ54" i="5"/>
  <c r="AQ53" i="5"/>
  <c r="AQ52" i="5"/>
  <c r="AQ51" i="5"/>
  <c r="AQ47" i="5"/>
  <c r="AQ46" i="5"/>
  <c r="AQ45" i="5"/>
  <c r="AQ44" i="5"/>
  <c r="AQ34" i="5"/>
  <c r="AQ33" i="5"/>
  <c r="AQ32" i="5"/>
  <c r="AQ31" i="5"/>
  <c r="AQ30" i="5"/>
  <c r="AQ29" i="5"/>
  <c r="AQ28" i="5"/>
  <c r="AQ27" i="5"/>
  <c r="AQ26" i="5"/>
  <c r="AQ25" i="5"/>
  <c r="AQ24" i="5"/>
  <c r="AQ23" i="5"/>
  <c r="AQ22" i="5"/>
  <c r="AQ21" i="5"/>
  <c r="AQ17" i="5"/>
  <c r="AQ16" i="5"/>
  <c r="AQ15" i="5"/>
  <c r="AQ14" i="5"/>
  <c r="AQ13" i="5"/>
  <c r="AQ12" i="5"/>
  <c r="AQ11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17" i="5"/>
  <c r="AO16" i="5"/>
  <c r="AO15" i="5"/>
  <c r="AO14" i="5"/>
  <c r="AO13" i="5"/>
  <c r="AO12" i="5"/>
  <c r="AO11" i="5"/>
  <c r="AM282" i="5"/>
  <c r="AM281" i="5"/>
  <c r="AM280" i="5"/>
  <c r="AM279" i="5"/>
  <c r="AM276" i="5"/>
  <c r="AM275" i="5"/>
  <c r="AM274" i="5"/>
  <c r="AM273" i="5"/>
  <c r="AM267" i="5"/>
  <c r="AM266" i="5"/>
  <c r="AM265" i="5"/>
  <c r="AM264" i="5"/>
  <c r="AM220" i="5"/>
  <c r="AM219" i="5"/>
  <c r="AM186" i="5"/>
  <c r="AM185" i="5"/>
  <c r="AM184" i="5"/>
  <c r="AM183" i="5"/>
  <c r="AM179" i="5"/>
  <c r="AM178" i="5"/>
  <c r="AM177" i="5"/>
  <c r="AM176" i="5"/>
  <c r="AM142" i="5"/>
  <c r="AM141" i="5"/>
  <c r="AM140" i="5"/>
  <c r="AM139" i="5"/>
  <c r="AM138" i="5"/>
  <c r="AM137" i="5"/>
  <c r="AM136" i="5"/>
  <c r="AM135" i="5"/>
  <c r="AM131" i="5"/>
  <c r="AM130" i="5"/>
  <c r="AM129" i="5"/>
  <c r="AM128" i="5"/>
  <c r="AM118" i="5"/>
  <c r="AM117" i="5"/>
  <c r="AM116" i="5"/>
  <c r="AM115" i="5"/>
  <c r="AM114" i="5"/>
  <c r="AM113" i="5"/>
  <c r="AM112" i="5"/>
  <c r="AM111" i="5"/>
  <c r="AM107" i="5"/>
  <c r="AM106" i="5"/>
  <c r="AM105" i="5"/>
  <c r="AM104" i="5"/>
  <c r="AM94" i="5"/>
  <c r="AM93" i="5"/>
  <c r="AM92" i="5"/>
  <c r="AM91" i="5"/>
  <c r="AM87" i="5"/>
  <c r="AM86" i="5"/>
  <c r="AM85" i="5"/>
  <c r="AM84" i="5"/>
  <c r="AM54" i="5"/>
  <c r="AM53" i="5"/>
  <c r="AM52" i="5"/>
  <c r="AM51" i="5"/>
  <c r="AM47" i="5"/>
  <c r="AM46" i="5"/>
  <c r="AM45" i="5"/>
  <c r="AM44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17" i="5"/>
  <c r="AM16" i="5"/>
  <c r="AM15" i="5"/>
  <c r="AM14" i="5"/>
  <c r="AM13" i="5"/>
  <c r="AM12" i="5"/>
  <c r="AM11" i="5"/>
  <c r="AK282" i="5"/>
  <c r="AK281" i="5"/>
  <c r="AK280" i="5"/>
  <c r="AK279" i="5"/>
  <c r="AK276" i="5"/>
  <c r="AK275" i="5"/>
  <c r="AK274" i="5"/>
  <c r="AK273" i="5"/>
  <c r="AK267" i="5"/>
  <c r="AK266" i="5"/>
  <c r="AK265" i="5"/>
  <c r="AK264" i="5"/>
  <c r="AK220" i="5"/>
  <c r="AK219" i="5"/>
  <c r="AK186" i="5"/>
  <c r="AK185" i="5"/>
  <c r="AK184" i="5"/>
  <c r="AK183" i="5"/>
  <c r="AK179" i="5"/>
  <c r="AK178" i="5"/>
  <c r="AK177" i="5"/>
  <c r="AK176" i="5"/>
  <c r="AK166" i="5"/>
  <c r="AK165" i="5"/>
  <c r="AK164" i="5"/>
  <c r="AK163" i="5"/>
  <c r="AK162" i="5"/>
  <c r="AK161" i="5"/>
  <c r="AK160" i="5"/>
  <c r="AK159" i="5"/>
  <c r="AK155" i="5"/>
  <c r="AK154" i="5"/>
  <c r="AK153" i="5"/>
  <c r="AK152" i="5"/>
  <c r="AK142" i="5"/>
  <c r="AK141" i="5"/>
  <c r="AK140" i="5"/>
  <c r="AK139" i="5"/>
  <c r="AK138" i="5"/>
  <c r="AK137" i="5"/>
  <c r="AK136" i="5"/>
  <c r="AK135" i="5"/>
  <c r="AK131" i="5"/>
  <c r="AK130" i="5"/>
  <c r="AK129" i="5"/>
  <c r="AK128" i="5"/>
  <c r="AK118" i="5"/>
  <c r="AK117" i="5"/>
  <c r="AK116" i="5"/>
  <c r="AK115" i="5"/>
  <c r="AK114" i="5"/>
  <c r="AK113" i="5"/>
  <c r="AK112" i="5"/>
  <c r="AK111" i="5"/>
  <c r="AK107" i="5"/>
  <c r="AK106" i="5"/>
  <c r="AK105" i="5"/>
  <c r="AK104" i="5"/>
  <c r="AK94" i="5"/>
  <c r="AK93" i="5"/>
  <c r="AK92" i="5"/>
  <c r="AK91" i="5"/>
  <c r="AK87" i="5"/>
  <c r="AK86" i="5"/>
  <c r="AK85" i="5"/>
  <c r="AK84" i="5"/>
  <c r="AK74" i="5"/>
  <c r="AK73" i="5"/>
  <c r="AK72" i="5"/>
  <c r="AK71" i="5"/>
  <c r="AK67" i="5"/>
  <c r="AK66" i="5"/>
  <c r="AK65" i="5"/>
  <c r="AK64" i="5"/>
  <c r="AK54" i="5"/>
  <c r="AK53" i="5"/>
  <c r="AK52" i="5"/>
  <c r="AK51" i="5"/>
  <c r="AK47" i="5"/>
  <c r="AK46" i="5"/>
  <c r="AK45" i="5"/>
  <c r="AK44" i="5"/>
  <c r="AK34" i="5"/>
  <c r="AK33" i="5"/>
  <c r="AK32" i="5"/>
  <c r="AK31" i="5"/>
  <c r="AK30" i="5"/>
  <c r="AK29" i="5"/>
  <c r="AK28" i="5"/>
  <c r="AK27" i="5"/>
  <c r="AK26" i="5"/>
  <c r="AK25" i="5"/>
  <c r="AK24" i="5"/>
  <c r="AK23" i="5"/>
  <c r="AK22" i="5"/>
  <c r="AK21" i="5"/>
  <c r="AK17" i="5"/>
  <c r="AK16" i="5"/>
  <c r="AK15" i="5"/>
  <c r="AK14" i="5"/>
  <c r="AK13" i="5"/>
  <c r="AK12" i="5"/>
  <c r="AK11" i="5"/>
  <c r="AI294" i="5"/>
  <c r="AI29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67" i="5"/>
  <c r="AI266" i="5"/>
  <c r="AI265" i="5"/>
  <c r="AI264" i="5"/>
  <c r="AI263" i="5"/>
  <c r="AI262" i="5"/>
  <c r="AI238" i="5"/>
  <c r="AI237" i="5"/>
  <c r="AI226" i="5"/>
  <c r="AI225" i="5"/>
  <c r="AI224" i="5"/>
  <c r="AI223" i="5"/>
  <c r="AI220" i="5"/>
  <c r="AI219" i="5"/>
  <c r="AI198" i="5"/>
  <c r="AI197" i="5"/>
  <c r="AI186" i="5"/>
  <c r="AI185" i="5"/>
  <c r="AI184" i="5"/>
  <c r="AI183" i="5"/>
  <c r="AI179" i="5"/>
  <c r="AI178" i="5"/>
  <c r="AI177" i="5"/>
  <c r="AI176" i="5"/>
  <c r="AI166" i="5"/>
  <c r="AI165" i="5"/>
  <c r="AI164" i="5"/>
  <c r="AI163" i="5"/>
  <c r="AI162" i="5"/>
  <c r="AI161" i="5"/>
  <c r="AI160" i="5"/>
  <c r="AI159" i="5"/>
  <c r="AI155" i="5"/>
  <c r="AI154" i="5"/>
  <c r="AI153" i="5"/>
  <c r="AI152" i="5"/>
  <c r="AI142" i="5"/>
  <c r="AI141" i="5"/>
  <c r="AI140" i="5"/>
  <c r="AI139" i="5"/>
  <c r="AI138" i="5"/>
  <c r="AI137" i="5"/>
  <c r="AI136" i="5"/>
  <c r="AI135" i="5"/>
  <c r="AI131" i="5"/>
  <c r="AI130" i="5"/>
  <c r="AI129" i="5"/>
  <c r="AI128" i="5"/>
  <c r="AI118" i="5"/>
  <c r="AI117" i="5"/>
  <c r="AI116" i="5"/>
  <c r="AI115" i="5"/>
  <c r="AI114" i="5"/>
  <c r="AI113" i="5"/>
  <c r="AI112" i="5"/>
  <c r="AI111" i="5"/>
  <c r="AI107" i="5"/>
  <c r="AI106" i="5"/>
  <c r="AI105" i="5"/>
  <c r="AI104" i="5"/>
  <c r="AI94" i="5"/>
  <c r="AI93" i="5"/>
  <c r="AI92" i="5"/>
  <c r="AI91" i="5"/>
  <c r="AI87" i="5"/>
  <c r="AI86" i="5"/>
  <c r="AI85" i="5"/>
  <c r="AI84" i="5"/>
  <c r="AI74" i="5"/>
  <c r="AI73" i="5"/>
  <c r="AI72" i="5"/>
  <c r="AI71" i="5"/>
  <c r="AI67" i="5"/>
  <c r="AI66" i="5"/>
  <c r="AI65" i="5"/>
  <c r="AI64" i="5"/>
  <c r="AI54" i="5"/>
  <c r="AI53" i="5"/>
  <c r="AI52" i="5"/>
  <c r="AI51" i="5"/>
  <c r="AI47" i="5"/>
  <c r="AI46" i="5"/>
  <c r="AI45" i="5"/>
  <c r="AI44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17" i="5"/>
  <c r="AI16" i="5"/>
  <c r="AI15" i="5"/>
  <c r="AI14" i="5"/>
  <c r="AI13" i="5"/>
  <c r="AI12" i="5"/>
  <c r="AI11" i="5"/>
  <c r="AG294" i="5"/>
  <c r="AG29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67" i="5"/>
  <c r="AG266" i="5"/>
  <c r="AG265" i="5"/>
  <c r="AG264" i="5"/>
  <c r="AG263" i="5"/>
  <c r="AG262" i="5"/>
  <c r="AG238" i="5"/>
  <c r="AG237" i="5"/>
  <c r="AG226" i="5"/>
  <c r="AG225" i="5"/>
  <c r="AG224" i="5"/>
  <c r="AG223" i="5"/>
  <c r="AG220" i="5"/>
  <c r="AG219" i="5"/>
  <c r="AG198" i="5"/>
  <c r="AG197" i="5"/>
  <c r="AG186" i="5"/>
  <c r="AG185" i="5"/>
  <c r="AG184" i="5"/>
  <c r="AG183" i="5"/>
  <c r="AG179" i="5"/>
  <c r="AG178" i="5"/>
  <c r="AG177" i="5"/>
  <c r="AG176" i="5"/>
  <c r="AG166" i="5"/>
  <c r="AG165" i="5"/>
  <c r="AG164" i="5"/>
  <c r="AG163" i="5"/>
  <c r="AG162" i="5"/>
  <c r="AG161" i="5"/>
  <c r="AG160" i="5"/>
  <c r="AG159" i="5"/>
  <c r="AG155" i="5"/>
  <c r="AG154" i="5"/>
  <c r="AG153" i="5"/>
  <c r="AG152" i="5"/>
  <c r="AG142" i="5"/>
  <c r="AG141" i="5"/>
  <c r="AG140" i="5"/>
  <c r="AG139" i="5"/>
  <c r="AG138" i="5"/>
  <c r="AG137" i="5"/>
  <c r="AG136" i="5"/>
  <c r="AG135" i="5"/>
  <c r="AG131" i="5"/>
  <c r="AG130" i="5"/>
  <c r="AG129" i="5"/>
  <c r="AG128" i="5"/>
  <c r="AG118" i="5"/>
  <c r="AG117" i="5"/>
  <c r="AG116" i="5"/>
  <c r="AG115" i="5"/>
  <c r="AG114" i="5"/>
  <c r="AG113" i="5"/>
  <c r="AG112" i="5"/>
  <c r="AG111" i="5"/>
  <c r="AG107" i="5"/>
  <c r="AG106" i="5"/>
  <c r="AG105" i="5"/>
  <c r="AG104" i="5"/>
  <c r="AG94" i="5"/>
  <c r="AG93" i="5"/>
  <c r="AG92" i="5"/>
  <c r="AG91" i="5"/>
  <c r="AG87" i="5"/>
  <c r="AG86" i="5"/>
  <c r="AG85" i="5"/>
  <c r="AG84" i="5"/>
  <c r="AG74" i="5"/>
  <c r="AG73" i="5"/>
  <c r="AG72" i="5"/>
  <c r="AG71" i="5"/>
  <c r="AG67" i="5"/>
  <c r="AG66" i="5"/>
  <c r="AG65" i="5"/>
  <c r="AG64" i="5"/>
  <c r="AG54" i="5"/>
  <c r="AG53" i="5"/>
  <c r="AG52" i="5"/>
  <c r="AG51" i="5"/>
  <c r="AG47" i="5"/>
  <c r="AG46" i="5"/>
  <c r="AG45" i="5"/>
  <c r="AG44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17" i="5"/>
  <c r="AG16" i="5"/>
  <c r="AG15" i="5"/>
  <c r="AG14" i="5"/>
  <c r="AG13" i="5"/>
  <c r="AG12" i="5"/>
  <c r="AG11" i="5"/>
  <c r="AE237" i="5"/>
  <c r="AE205" i="5"/>
  <c r="AC237" i="5"/>
  <c r="AC211" i="5"/>
  <c r="AC205" i="5"/>
  <c r="AC34" i="5"/>
  <c r="AC29" i="5"/>
  <c r="AC27" i="5"/>
  <c r="AC22" i="5"/>
  <c r="AA306" i="5"/>
  <c r="AA305" i="5"/>
  <c r="AA304" i="5"/>
  <c r="AA294" i="5"/>
  <c r="AA280" i="5"/>
  <c r="AA279" i="5"/>
  <c r="AA274" i="5"/>
  <c r="AA273" i="5"/>
  <c r="AA272" i="5"/>
  <c r="AA271" i="5"/>
  <c r="AA265" i="5"/>
  <c r="AA264" i="5"/>
  <c r="AA237" i="5"/>
  <c r="AA223" i="5"/>
  <c r="AA219" i="5"/>
  <c r="AA211" i="5"/>
  <c r="AA205" i="5"/>
  <c r="AA186" i="5"/>
  <c r="AA185" i="5"/>
  <c r="AA183" i="5"/>
  <c r="AA179" i="5"/>
  <c r="AA178" i="5"/>
  <c r="AA176" i="5"/>
  <c r="AA166" i="5"/>
  <c r="AA165" i="5"/>
  <c r="AA163" i="5"/>
  <c r="AA162" i="5"/>
  <c r="AA161" i="5"/>
  <c r="AA159" i="5"/>
  <c r="AA155" i="5"/>
  <c r="AA154" i="5"/>
  <c r="AA152" i="5"/>
  <c r="AA142" i="5"/>
  <c r="AA141" i="5"/>
  <c r="AA139" i="5"/>
  <c r="AA138" i="5"/>
  <c r="AA137" i="5"/>
  <c r="AA135" i="5"/>
  <c r="AA131" i="5"/>
  <c r="AA130" i="5"/>
  <c r="AA128" i="5"/>
  <c r="AA118" i="5"/>
  <c r="AA117" i="5"/>
  <c r="AA115" i="5"/>
  <c r="AA114" i="5"/>
  <c r="AA113" i="5"/>
  <c r="AA111" i="5"/>
  <c r="AA107" i="5"/>
  <c r="AA106" i="5"/>
  <c r="AA104" i="5"/>
  <c r="AA94" i="5"/>
  <c r="AA93" i="5"/>
  <c r="AA91" i="5"/>
  <c r="AA87" i="5"/>
  <c r="AA86" i="5"/>
  <c r="AA84" i="5"/>
  <c r="AA74" i="5"/>
  <c r="AA73" i="5"/>
  <c r="AA71" i="5"/>
  <c r="AA67" i="5"/>
  <c r="AA66" i="5"/>
  <c r="AA64" i="5"/>
  <c r="AA54" i="5"/>
  <c r="AA53" i="5"/>
  <c r="AA51" i="5"/>
  <c r="AA47" i="5"/>
  <c r="AA46" i="5"/>
  <c r="AA44" i="5"/>
  <c r="AA34" i="5"/>
  <c r="AA33" i="5"/>
  <c r="AA32" i="5"/>
  <c r="AA31" i="5"/>
  <c r="AA29" i="5"/>
  <c r="AA28" i="5"/>
  <c r="AA27" i="5"/>
  <c r="AA26" i="5"/>
  <c r="AA25" i="5"/>
  <c r="AA24" i="5"/>
  <c r="AA22" i="5"/>
  <c r="AA21" i="5"/>
  <c r="AA17" i="5"/>
  <c r="AA16" i="5"/>
  <c r="AA15" i="5"/>
  <c r="AA12" i="5"/>
  <c r="AA11" i="5"/>
  <c r="Y306" i="5"/>
  <c r="Y305" i="5"/>
  <c r="Y304" i="5"/>
  <c r="Y294" i="5"/>
  <c r="Y29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67" i="5"/>
  <c r="Y266" i="5"/>
  <c r="Y265" i="5"/>
  <c r="Y264" i="5"/>
  <c r="Y263" i="5"/>
  <c r="Y262" i="5"/>
  <c r="Y237" i="5"/>
  <c r="Y225" i="5"/>
  <c r="Y223" i="5"/>
  <c r="Y219" i="5"/>
  <c r="Y211" i="5"/>
  <c r="Y206" i="5"/>
  <c r="Y205" i="5"/>
  <c r="Y186" i="5"/>
  <c r="Y185" i="5"/>
  <c r="Y184" i="5"/>
  <c r="Y183" i="5"/>
  <c r="Y179" i="5"/>
  <c r="Y178" i="5"/>
  <c r="Y177" i="5"/>
  <c r="Y176" i="5"/>
  <c r="Y166" i="5"/>
  <c r="Y165" i="5"/>
  <c r="Y164" i="5"/>
  <c r="Y163" i="5"/>
  <c r="Y162" i="5"/>
  <c r="Y161" i="5"/>
  <c r="Y160" i="5"/>
  <c r="Y159" i="5"/>
  <c r="Y155" i="5"/>
  <c r="Y154" i="5"/>
  <c r="Y153" i="5"/>
  <c r="Y152" i="5"/>
  <c r="Y142" i="5"/>
  <c r="Y141" i="5"/>
  <c r="Y140" i="5"/>
  <c r="Y139" i="5"/>
  <c r="Y138" i="5"/>
  <c r="Y137" i="5"/>
  <c r="Y136" i="5"/>
  <c r="Y135" i="5"/>
  <c r="Y131" i="5"/>
  <c r="Y130" i="5"/>
  <c r="Y129" i="5"/>
  <c r="Y128" i="5"/>
  <c r="Y118" i="5"/>
  <c r="Y117" i="5"/>
  <c r="Y116" i="5"/>
  <c r="Y115" i="5"/>
  <c r="Y114" i="5"/>
  <c r="Y113" i="5"/>
  <c r="Y112" i="5"/>
  <c r="Y111" i="5"/>
  <c r="Y107" i="5"/>
  <c r="Y106" i="5"/>
  <c r="Y105" i="5"/>
  <c r="Y104" i="5"/>
  <c r="Y94" i="5"/>
  <c r="Y93" i="5"/>
  <c r="Y92" i="5"/>
  <c r="Y91" i="5"/>
  <c r="Y87" i="5"/>
  <c r="Y86" i="5"/>
  <c r="Y85" i="5"/>
  <c r="Y84" i="5"/>
  <c r="Y74" i="5"/>
  <c r="Y73" i="5"/>
  <c r="Y72" i="5"/>
  <c r="Y71" i="5"/>
  <c r="Y67" i="5"/>
  <c r="Y66" i="5"/>
  <c r="Y65" i="5"/>
  <c r="Y64" i="5"/>
  <c r="Y54" i="5"/>
  <c r="Y53" i="5"/>
  <c r="Y52" i="5"/>
  <c r="Y51" i="5"/>
  <c r="Y47" i="5"/>
  <c r="Y46" i="5"/>
  <c r="Y45" i="5"/>
  <c r="Y44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17" i="5"/>
  <c r="Y16" i="5"/>
  <c r="Y15" i="5"/>
  <c r="Y14" i="5"/>
  <c r="Y13" i="5"/>
  <c r="Y12" i="5"/>
  <c r="Y11" i="5"/>
</calcChain>
</file>

<file path=xl/sharedStrings.xml><?xml version="1.0" encoding="utf-8"?>
<sst xmlns="http://schemas.openxmlformats.org/spreadsheetml/2006/main" count="21049" uniqueCount="803">
  <si>
    <t>MODE OPERATOIRE</t>
  </si>
  <si>
    <t>La transaction s'effectue au niveau de la sous rubrique "Position statutaire/situation administrative".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</si>
  <si>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</si>
  <si>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</si>
  <si>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</si>
  <si>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</si>
  <si>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</si>
  <si>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</si>
  <si>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</si>
  <si>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</si>
  <si>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</si>
  <si>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</si>
  <si>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</si>
  <si>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</si>
  <si>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</si>
  <si>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</si>
  <si>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</si>
  <si>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</si>
  <si>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</si>
  <si>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</si>
  <si>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</si>
  <si>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</si>
  <si>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</si>
  <si>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</si>
  <si>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</si>
  <si>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</si>
  <si>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</si>
  <si>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</si>
  <si>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</si>
  <si>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</si>
  <si>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</si>
  <si>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</si>
  <si>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</si>
  <si>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</si>
  <si>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</si>
  <si>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</si>
  <si>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</si>
  <si>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</si>
  <si>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</si>
  <si>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</si>
  <si>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</si>
  <si>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</si>
  <si>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</si>
  <si>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</si>
  <si>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</si>
  <si>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</si>
  <si>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</si>
  <si>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</si>
  <si>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</si>
  <si>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</si>
  <si>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</si>
  <si>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</si>
  <si>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</si>
  <si>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</si>
  <si>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</si>
  <si>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</si>
  <si>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</si>
  <si>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</si>
  <si>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</si>
  <si>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</si>
  <si>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</si>
  <si>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</si>
  <si>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</si>
  <si>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</si>
  <si>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</si>
  <si>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</si>
  <si>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</si>
  <si>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</si>
  <si>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Identifiant Règle de contrôle 14</t>
  </si>
  <si>
    <t>Libellé Règle de contrôle 14</t>
  </si>
  <si>
    <t>Identifiant Règle de contrôle 15</t>
  </si>
  <si>
    <t>Libellé Règle de contrôle 15</t>
  </si>
  <si>
    <t>Identifiant Règle de contrôle 16</t>
  </si>
  <si>
    <t>Libellé Règle de contrôle 16</t>
  </si>
  <si>
    <t>FIME</t>
  </si>
  <si>
    <t>Statut de travail</t>
  </si>
  <si>
    <t>17.10.00</t>
  </si>
  <si>
    <t>A</t>
  </si>
  <si>
    <t>D0004</t>
  </si>
  <si>
    <t>Position</t>
  </si>
  <si>
    <t>S0028</t>
  </si>
  <si>
    <t>Congé sans traitement</t>
  </si>
  <si>
    <t>E0312</t>
  </si>
  <si>
    <t>Congé sans traitement pour élever enfant</t>
  </si>
  <si>
    <t>Position saisie égale à 'Congé sans traitement pour élever enfant'</t>
  </si>
  <si>
    <t>A_POS_POSIAD [Saisi] = 'NAC43'</t>
  </si>
  <si>
    <t>T0907</t>
  </si>
  <si>
    <t>Congé sans traitement pour élever un enfant - Demande</t>
  </si>
  <si>
    <t>Création Modification</t>
  </si>
  <si>
    <t>Indicateur de renouvellement saisi = Non ET l'indicateur de renouvellement saisi est différent de l'indicateur de renouvellement avant saisie</t>
  </si>
  <si>
    <t>A_POS_INDREN [Saisi] = '0' ET A_POS_INDREN [Saisi] &lt;&gt; A_POS_INDREN [Valeur avant saisie]</t>
  </si>
  <si>
    <t>Titulaire ou magistrat</t>
  </si>
  <si>
    <t>P0001</t>
  </si>
  <si>
    <t>Général</t>
  </si>
  <si>
    <t>Exclu</t>
  </si>
  <si>
    <t>T0908</t>
  </si>
  <si>
    <t>Congé sans traitement pour élever un enfant - Renouvellement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</si>
  <si>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</si>
  <si>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</si>
  <si>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T0909</t>
  </si>
  <si>
    <t>Congé sans traitement pour élever un enfant - Modification/Fin</t>
  </si>
  <si>
    <t>Modification</t>
  </si>
  <si>
    <t>L'indicateur de renouvellement saisi est égal à l'indicateur de renouvellement avant saisie</t>
  </si>
  <si>
    <t>A_POS_INDREN [Saisi] = A_POS_INDREN [Valeur avant saisie]</t>
  </si>
  <si>
    <t>Militaire</t>
  </si>
  <si>
    <t>P0002</t>
  </si>
  <si>
    <t>Contractuel</t>
  </si>
  <si>
    <t>P0003</t>
  </si>
  <si>
    <t>25.00.00</t>
  </si>
  <si>
    <t>M</t>
  </si>
  <si>
    <t>Stagiaire ou auditeur ou élève</t>
  </si>
  <si>
    <t>P0004</t>
  </si>
  <si>
    <t>Passant</t>
  </si>
  <si>
    <t>CST_I_001 ET CST_I_002 ET CST_D_003 ET CST_D_200 ET CST_D_004 ET CST_D_005 ET CST_D_202 ET POS_C_100 ET POS_C_005 ET POS_C_022 ET POS_C_004 ET POS_C_010 ET POS_C_012 ET POS_C_007 ET POS_C_111 ET POS_C_050 ET POS_C_051 ET POS_C_055 ET POS_C_056 ET POS_C_120 ET POS_C_121</t>
  </si>
  <si>
    <t>CST_I_001</t>
  </si>
  <si>
    <t>L'agent doit présenter une demande de congé sans traitement.</t>
  </si>
  <si>
    <t>CST_I_002</t>
  </si>
  <si>
    <t>La demande est accordée de droit par le supérieur hiérarchique.</t>
  </si>
  <si>
    <t>CST_D_003</t>
  </si>
  <si>
    <t>La durée prévisionnelle maximale de chaque période est de un an.</t>
  </si>
  <si>
    <t>CST_D_200</t>
  </si>
  <si>
    <t>La durée réelle maximale de chaque période est de un an.</t>
  </si>
  <si>
    <t>CST_D_004</t>
  </si>
  <si>
    <t>L'agent ne peut pas bénéficier de plus de 3 ans cumulés de congé sans traitement quels que soient les motifs de congés sans traitement : pour raisons personnelles ou familiales.</t>
  </si>
  <si>
    <t>CST_D_005</t>
  </si>
  <si>
    <t>L'agent doit avoir un enfant lié à cette position et l'enfant doit être âgé de moins de huit ans (date de fin prévisionnelle du congé sans traitement).</t>
  </si>
  <si>
    <t>CST_D_202</t>
  </si>
  <si>
    <t>L'agent doit avoir un enfant lié à cette position et l'enfant doit être âgé de moins de huit ans (date de fin réelle du congé sans traitement).</t>
  </si>
  <si>
    <t>POS_C_100</t>
  </si>
  <si>
    <t>Lors de la demande initiale, l'agent doit être en activité.</t>
  </si>
  <si>
    <t>POS_C_005</t>
  </si>
  <si>
    <t>La date de début de la position doit être postérieure ou égale à la date d'entrée dans la FPE ou dans la carrière militaire.</t>
  </si>
  <si>
    <t>POS_C_022</t>
  </si>
  <si>
    <t>La date de début de position est à J+1 de la date de fin de position de l'occurrence précédente.</t>
  </si>
  <si>
    <t>POS_C_004</t>
  </si>
  <si>
    <t>La date de début de position doit être antérieure ou égale à la date de fin prévisionnelle de position.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</si>
  <si>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</si>
  <si>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</si>
  <si>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</si>
  <si>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</si>
  <si>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POS_C_007</t>
  </si>
  <si>
    <t>La date de fin réelle de la position doit être antérieure à la date limite de départ à la retraite.</t>
  </si>
  <si>
    <t>POS_C_111</t>
  </si>
  <si>
    <t>La date de fin ou la date de fin prévisionnelle doit être saisie.</t>
  </si>
  <si>
    <t>POS_C_050</t>
  </si>
  <si>
    <t>Le lien vers l'enfant doit être renseigné.</t>
  </si>
  <si>
    <t>POS_C_051</t>
  </si>
  <si>
    <t>La date de naissance de l'enfant doit être renseignée.</t>
  </si>
  <si>
    <t>POS_C_055</t>
  </si>
  <si>
    <t>La date de fin réelle de la position doit être antérieure ou égale à la date de décès de l'enfant.</t>
  </si>
  <si>
    <t>POS_C_056</t>
  </si>
  <si>
    <t>La date de fin prévisionnelle de la position doit être antérieure ou égale à la date de décès de l'enfant.</t>
  </si>
  <si>
    <t>POS_C_120</t>
  </si>
  <si>
    <t>La saisie d'une occurrence de congés/absences est interdite (date de fin réelle)</t>
  </si>
  <si>
    <t>POS_C_121</t>
  </si>
  <si>
    <t>La saisie d'une occurrence de congés/absences est interdite (date de fin prévisionnelle)</t>
  </si>
  <si>
    <t>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</si>
  <si>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CST_D_250</t>
  </si>
  <si>
    <t>L'agent doit avoir un enfant lié à cette position et l'enfant doit être âgé de moins de 12 ans (date de fin prévisionnelle du congé sans traitement).</t>
  </si>
  <si>
    <t>CST_D_253</t>
  </si>
  <si>
    <t>L'agent doit avoir un enfant lié à cette position et l'enfant doit être âgé de moins de 12 ans (date de fin réelle du congé sans traitement).</t>
  </si>
  <si>
    <t>CST_I_003 ET CST_D_003 ET CST_D_200 ET CST_D_004 ET CST_D_005 ET CST_D_202 ET POS_C_005 ET POS_C_022 ET POS_C_004 ET POS_C_010 ET POS_C_012 ET POS_C_007 ET POS_C_111 ET POS_C_050 ET POS_C_051 ET POS_C_055 ET POS_C_056 ET POS_C_120 ET POS_C_121</t>
  </si>
  <si>
    <t>CST_I_003</t>
  </si>
  <si>
    <t>L'agent peut renouveler le congé sans traitement 2 fois.</t>
  </si>
  <si>
    <t>CST_I_003 ET CST_D_003 ET CST_D_200 ET CST_D_004 ET CST_D_250 ET CST_D_253 ET POS_C_005 ET POS_C_022 ET POS_C_004 ET POS_C_010 ET POS_C_012 ET POS_C_007 ET POS_C_111 ET POS_C_050 ET POS_C_051 ET POS_C_055 ET POS_C_056 ET POS_C_120 ET POS_C_121</t>
  </si>
  <si>
    <t>22.00.00</t>
  </si>
  <si>
    <t>CST_I_013 ET CST_I_014 ET CST_D_003 ET CST_D_200 ET CST_D_004 ET CST_D_005 ET CST_D_202 ET POS_C_004 ET POS_C_010 ET POS_C_012 ET POS_C_007 ET POS_C_111 ET POS_C_050 ET POS_C_051 ET POS_C_055 ET POS_C_056 ET POS_C_120 ET POS_C_121</t>
  </si>
  <si>
    <t>CST_I_013</t>
  </si>
  <si>
    <t>L'agent doit demander à reprendre ses fonctions au moins 2 mois avant l'expiration du congé en cours.</t>
  </si>
  <si>
    <t>CST_I_014</t>
  </si>
  <si>
    <t>Si l'interruption du stage est d'au moins 1 an, la reprise des fonctions est subordonnée à une vérification de l'aptitude physique à l'exercice des fonctions par un médecin agréé et, éventuellement, par le comité médical compétent.</t>
  </si>
  <si>
    <t>CST_I_013 ET CST_I_049 ET CST_D_003 ET CST_D_200 ET CST_D_004 ET CST_D_005 ET CST_D_202 ET POS_C_004 ET POS_C_010 ET POS_C_012 ET POS_C_007 ET POS_C_111 ET POS_C_050 ET POS_C_051 ET POS_C_055 ET POS_C_056 ET POS_C_120 ET POS_C_121</t>
  </si>
  <si>
    <t>CST_I_049</t>
  </si>
  <si>
    <t>Si l'interruption du stage est d'au moins 1 an, la reprise des fonctions est subordonnée à une vérification des conditions de santé particulières exigées pour l'exercice de certaines fonctions par un médecin agréé et/ou par le conseil médical compétent.</t>
  </si>
  <si>
    <t>CST_I_013 ET CST_I_049 ET CST_D_003 ET CST_D_200 ET CST_D_004 ET CST_D_250 ET CST_D_253 ET POS_C_004 ET POS_C_010 ET POS_C_012 ET POS_C_007 ET POS_C_111 ET POS_C_050 ET POS_C_051 ET POS_C_055 ET POS_C_056 ET POS_C_120 ET POS_C_121</t>
  </si>
  <si>
    <t>Ouvrier d'état</t>
  </si>
  <si>
    <t>P0005</t>
  </si>
  <si>
    <t>Auditeur de justice</t>
  </si>
  <si>
    <t>P0009</t>
  </si>
  <si>
    <t>Particulier</t>
  </si>
  <si>
    <t>CST_I_022 ET CST_I_023 ET CST_D_157 ET CST_D_210 ET CST_D_185 ET CST_D_158 ET CST_D_212 ET POS_C_100 ET POS_C_005 ET POS_C_022 ET POS_C_004 ET POS_C_010 ET POS_C_012 ET POS_C_007 ET POS_C_111 ET POS_C_050 ET POS_C_051 ET POS_C_055 ET POS_C_056 ET POS_C_120 ET POS_C_121</t>
  </si>
  <si>
    <t>CST_I_022</t>
  </si>
  <si>
    <t>CST_I_023</t>
  </si>
  <si>
    <t>CST_D_157</t>
  </si>
  <si>
    <t>CST_D_210</t>
  </si>
  <si>
    <t>CST_D_185</t>
  </si>
  <si>
    <t>CST_D_158</t>
  </si>
  <si>
    <t>CST_D_212</t>
  </si>
  <si>
    <t>CST_I_059 ET 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</si>
  <si>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CST_I_059</t>
  </si>
  <si>
    <t>L'agent bénéficie des dispositions applicables aux agents stagiaires.</t>
  </si>
  <si>
    <t>CST_I_024 ET CST_D_157 ET CST_D_210 ET CST_D_185 ET CST_D_158 ET CST_D_212 ET POS_C_005 ET POS_C_022 ET POS_C_004 ET POS_C_010 ET POS_C_012 ET POS_C_007 ET POS_C_111 ET POS_C_050 ET POS_C_051 ET POS_C_055 ET POS_C_056 ET POS_C_120 ET POS_C_121</t>
  </si>
  <si>
    <t>CST_I_024</t>
  </si>
  <si>
    <t>CST_I_059 ET CST_I_003 ET CST_D_003 ET CST_D_200 ET CST_D_004 ET CST_D_250 ET CST_D_253 ET POS_C_005 ET POS_C_022 ET POS_C_004 ET POS_C_010 ET POS_C_012 ET POS_C_007 ET POS_C_111 ET POS_C_050 ET POS_C_051 ET POS_C_055 ET POS_C_056 ET POS_C_120 ET POS_C_121</t>
  </si>
  <si>
    <t>CST_I_027 ET CST_I_028 ET CST_D_157 ET CST_D_210 ET CST_D_185 ET CST_D_158 ET CST_D_212 ET POS_C_004 ET POS_C_010 ET POS_C_012 ET POS_C_007 ET POS_C_111 ET POS_C_050 ET POS_C_051 ET POS_C_055 ET POS_C_056 ET POS_C_120 ET POS_C_121</t>
  </si>
  <si>
    <t>CST_I_027</t>
  </si>
  <si>
    <t>L'agent doit demander à reprendre ses fonctions 2 mois au moins avant l'expiration du congé en cours.</t>
  </si>
  <si>
    <t>CST_I_028</t>
  </si>
  <si>
    <t>CST_I_027 ET CST_I_051 ET CST_D_157 ET CST_D_210 ET CST_D_185 ET CST_D_158 ET CST_D_212 ET POS_C_004 ET POS_C_010 ET POS_C_012 ET POS_C_007 ET POS_C_111 ET POS_C_050 ET POS_C_051 ET POS_C_055 ET POS_C_056 ET POS_C_120 ET POS_C_121</t>
  </si>
  <si>
    <t>CST_I_051</t>
  </si>
  <si>
    <t>CST_I_059 ET CST_I_013 ET CST_I_049 ET CST_D_003 ET CST_D_200 ET CST_D_004 ET CST_D_250 ET CST_D_253 ET POS_C_004 ET POS_C_010 ET POS_C_012 ET POS_C_007 ET POS_C_111 ET POS_C_050 ET POS_C_051 ET POS_C_055 ET POS_C_056 ET POS_C_120 ET POS_C_121</t>
  </si>
  <si>
    <t>Enseignant contractuel de l'enseignement agricole privé sous contrat non définitif - Agriculture</t>
  </si>
  <si>
    <t>P0078</t>
  </si>
  <si>
    <t>CST_I_047 ET CST_I_048 ET CST_D_091 ET CST_D_217 ET CST_D_092 ET CST_D_093 ET CST_D_219 ET POS_C_100 ET POS_C_022 ET POS_C_004 ET POS_C_010 ET POS_C_012 ET POS_C_007 ET POS_C_111 ET POS_C_050 ET POS_C_051 ET POS_C_009 ET POS_C_006 ET POS_C_106 ET POS_C_055 ET POS_C_056 ET POS_C_120 ET POS_C_121</t>
  </si>
  <si>
    <t>CST_I_047</t>
  </si>
  <si>
    <t>CST_I_048</t>
  </si>
  <si>
    <t>CST_D_091</t>
  </si>
  <si>
    <t>CST_D_217</t>
  </si>
  <si>
    <t>CST_D_092</t>
  </si>
  <si>
    <t>CST_D_093</t>
  </si>
  <si>
    <t>CST_D_219</t>
  </si>
  <si>
    <t>POS_C_009</t>
  </si>
  <si>
    <t>La date de début de la position doit être postérieure ou égale à la date de début du lien juridique.</t>
  </si>
  <si>
    <t>POS_C_006</t>
  </si>
  <si>
    <t>La date de fin réelle de la position doit être antérieure ou égale à la date de fin réelle ou prévisionnelle du lien juridique.</t>
  </si>
  <si>
    <t>POS_C_106</t>
  </si>
  <si>
    <t>La date de fin prévisionnelle de la position doit être antérieure ou égale à la date de fin réelle ou prévisionnelle du lien juridique.</t>
  </si>
  <si>
    <t>CST_I_058 ET 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</si>
  <si>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CST_I_058</t>
  </si>
  <si>
    <t>CST_I_034 ET CST_D_091 ET CST_D_217 ET CST_D_092 ET CST_D_093 ET CST_D_219 ET POS_C_022 ET POS_C_004 ET POS_C_010 ET POS_C_012 ET POS_C_007 ET POS_C_111 ET POS_C_050 ET POS_C_051 ET POS_C_009 ET POS_C_006 ET POS_C_106 ET POS_C_055 ET POS_C_056 ET POS_C_120 ET POS_C_121</t>
  </si>
  <si>
    <t>CST_I_034</t>
  </si>
  <si>
    <t>CST_I_058 ET CST_I_003 ET CST_D_003 ET CST_D_200 ET CST_D_004 ET CST_D_250 ET CST_D_253 ET POS_C_005 ET POS_C_022 ET POS_C_004 ET POS_C_010 ET POS_C_012 ET POS_C_007 ET POS_C_111 ET POS_C_050 ET POS_C_051 ET POS_C_055 ET POS_C_056 ET POS_C_120 ET POS_C_121</t>
  </si>
  <si>
    <t>CST_I_039 ET CST_I_040 ET CST_D_091 ET CST_D_217 ET CST_D_092 ET CST_D_093 ET CST_D_219 ET POS_C_004 ET POS_C_010 ET POS_C_012 ET POS_C_007 ET POS_C_111 ET POS_C_050 ET POS_C_051 ET POS_C_006 ET POS_C_106 ET POS_C_055 ET POS_C_056 ET POS_C_120 ET POS_C_121</t>
  </si>
  <si>
    <t>CST_I_039</t>
  </si>
  <si>
    <t>CST_I_040</t>
  </si>
  <si>
    <t>CST_I_039 ET CST_I_053 ET CST_D_091 ET CST_D_217 ET CST_D_092 ET CST_D_093 ET CST_D_219 ET POS_C_004 ET POS_C_010 ET POS_C_012 ET POS_C_007 ET POS_C_111 ET POS_C_050 ET POS_C_051 ET POS_C_006 ET POS_C_106 ET POS_C_055 ET POS_C_056 ET POS_C_120 ET POS_C_121</t>
  </si>
  <si>
    <t>CST_I_053</t>
  </si>
  <si>
    <t>CST_I_058 ET CST_I_013 ET CST_I_049 ET CST_D_003 ET CST_D_200 ET CST_D_004 ET CST_D_250 ET CST_D_253 ET POS_C_004 ET POS_C_010 ET POS_C_012 ET POS_C_007 ET POS_C_111 ET POS_C_050 ET POS_C_051 ET POS_C_055 ET POS_C_056 ET POS_C_120 ET POS_C_121</t>
  </si>
  <si>
    <t>E0313</t>
  </si>
  <si>
    <t>Congé sans traitement pour donner des soins au conjoint ou au partenaire pacsé suite à accident/maladie graves</t>
  </si>
  <si>
    <t>Position saisie égale à 'Congé sans traitement pour donner des soins au conjoint ou au partenaire pacsé suite à accident/maladie graves'</t>
  </si>
  <si>
    <t>A_POS_POSIAD [Saisi] = 'NAC39'</t>
  </si>
  <si>
    <t>T0910</t>
  </si>
  <si>
    <t>Congé sans traitement pour donner des soins au conjoint ou au partenaire pacsé suite à accident/maladie graves - Demande</t>
  </si>
  <si>
    <t>T0911</t>
  </si>
  <si>
    <t>Congé sans traitement pour donner des soins au conjoint ou au partenaire pacsé suite à accident/maladie graves - Renouvellement</t>
  </si>
  <si>
    <t>T0912</t>
  </si>
  <si>
    <t>Congé sans traitement pour donner des soins au conjoint ou au partenaire pacsé suite à accident/maladie graves - Modification/Fin</t>
  </si>
  <si>
    <t>21.00.00</t>
  </si>
  <si>
    <t>CST_I_001 ET CST_I_002 ET CST_D_003 ET CST_D_200 ET CST_D_004 ET CST_D_011 ET POS_C_100 ET POS_C_005 ET POS_C_022 ET POS_C_004 ET POS_C_010 ET POS_C_012 ET POS_C_007 ET POS_C_111 ET POS_C_120 ET POS_C_121</t>
  </si>
  <si>
    <t>CST_D_011</t>
  </si>
  <si>
    <t>Le type de situation de famille de l'agent doit être "marié(e)" ou "pacsé(e)".</t>
  </si>
  <si>
    <t>CST_I_003 ET CST_D_003 ET CST_D_200 ET CST_D_004 ET CST_D_011 ET POS_C_005 ET POS_C_022 ET POS_C_004 ET POS_C_010 ET POS_C_012 ET POS_C_007 ET POS_C_111 ET POS_C_120 ET POS_C_121</t>
  </si>
  <si>
    <t>CST_I_013 ET CST_I_014 ET CST_D_003 ET CST_D_200 ET CST_D_004 ET CST_D_011 ET POS_C_004 ET POS_C_010 ET POS_C_012 ET POS_C_007 ET POS_C_111 ET POS_C_120 ET POS_C_121</t>
  </si>
  <si>
    <t>CST_I_013 ET CST_I_049 ET CST_D_003 ET CST_D_200 ET CST_D_004 ET CST_D_011 ET POS_C_004 ET POS_C_010 ET POS_C_012 ET POS_C_007 ET POS_C_111 ET POS_C_120 ET POS_C_121</t>
  </si>
  <si>
    <t>CST_I_022 ET CST_I_023 ET CST_D_157 ET CST_D_210 ET CST_D_185 ET CST_D_164 ET POS_C_100 ET POS_C_005 ET POS_C_022 ET POS_C_004 ET POS_C_010 ET POS_C_012 ET POS_C_007 ET POS_C_111 ET POS_C_120 ET POS_C_121</t>
  </si>
  <si>
    <t>CST_D_164</t>
  </si>
  <si>
    <t>CST_I_024 ET CST_D_157 ET CST_D_210 ET CST_D_185 ET CST_D_164 ET POS_C_005 ET POS_C_022 ET POS_C_004 ET POS_C_010 ET POS_C_012 ET POS_C_007 ET POS_C_111 ET POS_C_120 ET POS_C_121</t>
  </si>
  <si>
    <t>CST_I_027 ET CST_I_028 ET CST_D_157 ET CST_D_210 ET CST_D_185 ET CST_D_164 ET POS_C_004 ET POS_C_010 ET POS_C_012 ET POS_C_007 ET POS_C_111 ET POS_C_120 ET POS_C_121</t>
  </si>
  <si>
    <t>CST_I_027 ET CST_I_051 ET CST_D_157 ET CST_D_210 ET CST_D_185 ET CST_D_164 ET POS_C_004 ET POS_C_010 ET POS_C_012 ET POS_C_007 ET POS_C_111 ET POS_C_120 ET POS_C_121</t>
  </si>
  <si>
    <t>E0315</t>
  </si>
  <si>
    <t>Congé sans traitement pour donner des soins à ascendant suite à accident/maladie graves</t>
  </si>
  <si>
    <t>Position saisie égale à 'Congé sans traitement pour donner des soins à ascendant suite à accident/maladie graves'</t>
  </si>
  <si>
    <t>A_POS_POSIAD [Saisi] = 'NAC42'</t>
  </si>
  <si>
    <t>T0916</t>
  </si>
  <si>
    <t>Congé sans traitement pour donner des soins à ascendant suite à accident/maladie graves - Demande</t>
  </si>
  <si>
    <t>T0917</t>
  </si>
  <si>
    <t>Congé sans traitement pour donner des soins à ascendant suite à accident/maladie graves - Renouvellement</t>
  </si>
  <si>
    <t>T0918</t>
  </si>
  <si>
    <t>Congé sans traitement pour donner des soins à ascendant suite à accident/maladie graves - Modification/Fin</t>
  </si>
  <si>
    <t>CST_I_001 ET CST_I_002 ET CST_D_003 ET CST_D_200 ET CST_D_004 ET POS_C_100 ET POS_C_005 ET POS_C_022 ET POS_C_004 ET POS_C_010 ET POS_C_012 ET POS_C_007 ET POS_C_111 ET POS_C_120 ET POS_C_121</t>
  </si>
  <si>
    <t>CST_I_003 ET CST_D_003 ET CST_D_200 ET CST_D_004 ET POS_C_005 ET POS_C_022 ET POS_C_004 ET POS_C_010 ET POS_C_012 ET POS_C_007 ET POS_C_111 ET POS_C_120 ET POS_C_121</t>
  </si>
  <si>
    <t>CST_I_013 ET CST_I_014 ET CST_D_003 ET CST_D_200 ET CST_D_004 ET POS_C_004 ET POS_C_010 ET POS_C_012 ET POS_C_007 ET POS_C_111 ET POS_C_120 ET POS_C_121</t>
  </si>
  <si>
    <t>CST_I_013 ET CST_I_049 ET CST_D_003 ET CST_D_200 ET CST_D_004 ET POS_C_004 ET POS_C_010 ET POS_C_012 ET POS_C_007 ET POS_C_111 ET POS_C_120 ET POS_C_121</t>
  </si>
  <si>
    <t>CST_I_022 ET CST_I_023 ET CST_D_157 ET CST_D_210 ET CST_D_185 ET POS_C_100 ET POS_C_005 ET POS_C_022 ET POS_C_004 ET POS_C_010 ET POS_C_012 ET POS_C_007 ET POS_C_111 ET POS_C_120 ET POS_C_121</t>
  </si>
  <si>
    <t>CST_I_024 ET CST_D_157 ET CST_D_210 ET CST_D_185 ET POS_C_005 ET POS_C_022 ET POS_C_004 ET POS_C_010 ET POS_C_012 ET POS_C_007 ET POS_C_111 ET POS_C_120 ET POS_C_121</t>
  </si>
  <si>
    <t>CST_I_027 ET CST_I_028 ET CST_D_157 ET CST_D_210 ET CST_D_185 ET POS_C_004 ET POS_C_010 ET POS_C_012 ET POS_C_007 ET POS_C_111 ET POS_C_120 ET POS_C_121</t>
  </si>
  <si>
    <t>CST_I_027 ET CST_I_051 ET CST_D_157 ET CST_D_210 ET CST_D_185 ET POS_C_004 ET POS_C_010 ET POS_C_012 ET POS_C_007 ET POS_C_111 ET POS_C_120 ET POS_C_121</t>
  </si>
  <si>
    <t>E0316</t>
  </si>
  <si>
    <t>Congé sans traitement pour donner des soins à enfant suite à accident/maladie graves</t>
  </si>
  <si>
    <t>Position saisie égale à 'Congé sans traitement pour donner des soins à enfant suite à accident/maladie graves'</t>
  </si>
  <si>
    <t>A_POS_POSIAD [Saisi] = 'NAC41'</t>
  </si>
  <si>
    <t>T0919</t>
  </si>
  <si>
    <t>Congé sans traitement pour donner des soins à enfant suite à accident/maladie graves - Demande</t>
  </si>
  <si>
    <t>T0920</t>
  </si>
  <si>
    <t>Congé sans traitement pour donner des soins à enfant suite à accident/maladie graves - Renouvellement</t>
  </si>
  <si>
    <t>T0921</t>
  </si>
  <si>
    <t>Congé sans traitement pour donner des soins à enfant suite à accident/maladie graves - Modification/Fin</t>
  </si>
  <si>
    <t>CST_I_001 ET CST_I_002 ET CST_D_003 ET CST_D_200 ET CST_D_004 ET CST_D_013 ET POS_C_100 ET POS_C_005 ET POS_C_022 ET POS_C_004 ET POS_C_010 ET POS_C_012 ET POS_C_007 ET POS_C_111 ET POS_C_050 ET POS_C_055 ET POS_C_056 ET POS_C_120 ET POS_C_121</t>
  </si>
  <si>
    <t>CST_D_013</t>
  </si>
  <si>
    <t>L'agent doit avoir un enfant lié à cette position.</t>
  </si>
  <si>
    <t>CST_I_003 ET CST_D_003 ET CST_D_200 ET CST_D_004 ET CST_D_013 ET POS_C_005 ET POS_C_022 ET POS_C_004 ET POS_C_010 ET POS_C_012 ET POS_C_007 ET POS_C_111 ET POS_C_050 ET POS_C_055 ET POS_C_056 ET POS_C_120 ET POS_C_121</t>
  </si>
  <si>
    <t>CST_I_013 ET CST_I_014 ET CST_D_003 ET CST_D_200 ET CST_D_004 ET CST_D_013 ET POS_C_004 ET POS_C_010 ET POS_C_012 ET POS_C_007 ET POS_C_111 ET POS_C_050 ET POS_C_055 ET POS_C_056 ET POS_C_120 ET POS_C_121</t>
  </si>
  <si>
    <t>CST_I_013 ET CST_I_049 ET CST_D_003 ET CST_D_200 ET CST_D_004 ET CST_D_013 ET POS_C_004 ET POS_C_010 ET POS_C_012 ET POS_C_007 ET POS_C_111 ET POS_C_050 ET POS_C_055 ET POS_C_056 ET POS_C_120 ET POS_C_121</t>
  </si>
  <si>
    <t>CST_I_022 ET CST_I_023 ET CST_D_157 ET CST_D_210 ET CST_D_185 ET CST_D_166 ET POS_C_100 ET POS_C_005 ET POS_C_022 ET POS_C_004 ET POS_C_010 ET POS_C_012 ET POS_C_007 ET POS_C_111 ET POS_C_050 ET POS_C_055 ET POS_C_056 ET POS_C_120 ET POS_C_121</t>
  </si>
  <si>
    <t>CST_D_166</t>
  </si>
  <si>
    <t>CST_I_024 ET CST_D_157 ET CST_D_210 ET CST_D_185 ET CST_D_166 ET POS_C_005 ET POS_C_022 ET POS_C_004 ET POS_C_010 ET POS_C_012 ET POS_C_007 ET POS_C_111 ET POS_C_050 ET POS_C_055 ET POS_C_056 ET POS_C_120 ET POS_C_121</t>
  </si>
  <si>
    <t>CST_I_027 ET CST_I_028 ET CST_D_157 ET CST_D_210 ET CST_D_185 ET CST_D_166 ET POS_C_004 ET POS_C_010 ET POS_C_012 ET POS_C_007 ET POS_C_111 ET POS_C_050 ET POS_C_055 ET POS_C_056 ET POS_C_120 ET POS_C_121</t>
  </si>
  <si>
    <t>CST_I_027 ET CST_I_051 ET CST_D_157 ET CST_D_210 ET CST_D_185 ET CST_D_166 ET POS_C_004 ET POS_C_010 ET POS_C_012 ET POS_C_007 ET POS_C_111 ET POS_C_050 ET POS_C_055 ET POS_C_056 ET POS_C_120 ET POS_C_121</t>
  </si>
  <si>
    <t>E0317</t>
  </si>
  <si>
    <t>Congé sans traitement pour donner des soins au conjoint ou au partenaire pacsé atteint handicap nécessitant présence tierce personne</t>
  </si>
  <si>
    <t>Position saisie égale à 'Congé sans traitement pour donner des soins au conjoint ou au partenaire pacsé atteint handicap nécessitant présence tierce personne'</t>
  </si>
  <si>
    <t>A_POS_POSIAD [Saisi] = 'NAC45'</t>
  </si>
  <si>
    <t>T0922</t>
  </si>
  <si>
    <t>Congé sans traitement pour donner des soins au conjoint ou au partenaire pacsé atteint handicap nécessitant présence tierce personne - Demande</t>
  </si>
  <si>
    <t>T0923</t>
  </si>
  <si>
    <t>Congé sans traitement pour donner des soins au conjoint ou au partenaire pacsé atteint handicap nécessitant présence tierce personne - Renouvellement</t>
  </si>
  <si>
    <t>T0924</t>
  </si>
  <si>
    <t>Congé sans traitement pour donner des soins au conjoint ou au partenaire pacsé atteint handicap nécessitant présence tierce personne -Modification/Fin</t>
  </si>
  <si>
    <t>CST_I_001 ET CST_I_002 ET CST_D_003 ET CST_D_200 ET CST_D_004 ET CST_D_007 ET POS_C_100 ET POS_C_005 ET POS_C_022 ET POS_C_004 ET POS_C_010 ET POS_C_012 ET POS_C_007 ET POS_C_111 ET POS_C_120 ET POS_C_121</t>
  </si>
  <si>
    <t>CST_D_007</t>
  </si>
  <si>
    <t>CST_I_003 ET CST_D_003 ET CST_D_200 ET CST_D_004 ET CST_D_007 ET POS_C_005 ET POS_C_022 ET POS_C_004 ET POS_C_010 ET POS_C_012 ET POS_C_007 ET POS_C_111 ET POS_C_120 ET POS_C_121</t>
  </si>
  <si>
    <t>CST_I_013 ET CST_I_014 ET CST_D_003 ET CST_D_200 ET CST_D_004 ET CST_D_007 ET POS_C_004 ET POS_C_010 ET POS_C_012 ET POS_C_007 ET POS_C_111 ET POS_C_120 ET POS_C_121</t>
  </si>
  <si>
    <t>CST_I_013 ET CST_I_049 ET CST_D_003 ET CST_D_200 ET CST_D_004 ET CST_D_007 ET POS_C_004 ET POS_C_010 ET POS_C_012 ET POS_C_007 ET POS_C_111 ET POS_C_120 ET POS_C_121</t>
  </si>
  <si>
    <t>CST_I_022 ET CST_I_023 ET CST_D_157 ET CST_D_210 ET CST_D_185 ET CST_D_160 ET POS_C_100 ET POS_C_005 ET POS_C_022 ET POS_C_004 ET POS_C_010 ET POS_C_012 ET POS_C_007 ET POS_C_111 ET POS_C_120 ET POS_C_121</t>
  </si>
  <si>
    <t>CST_D_160</t>
  </si>
  <si>
    <t>CST_I_024 ET CST_D_157 ET CST_D_210 ET CST_D_185 ET CST_D_160 ET POS_C_005 ET POS_C_022 ET POS_C_004 ET POS_C_010 ET POS_C_012 ET POS_C_007 ET POS_C_111 ET POS_C_120 ET POS_C_121</t>
  </si>
  <si>
    <t>CST_I_027 ET CST_I_028 ET CST_D_157 ET CST_D_210 ET CST_D_185 ET CST_D_160 ET POS_C_004 ET POS_C_010 ET POS_C_012 ET POS_C_007 ET POS_C_111 ET POS_C_120 ET POS_C_121</t>
  </si>
  <si>
    <t>CST_I_027 ET CST_I_051 ET CST_D_157 ET CST_D_210 ET CST_D_185 ET CST_D_160 ET POS_C_004 ET POS_C_010 ET POS_C_012 ET POS_C_007 ET POS_C_111 ET POS_C_120 ET POS_C_121</t>
  </si>
  <si>
    <t>CST_I_047 ET CST_I_048 ET CST_D_091 ET CST_D_217 ET CST_D_092 ET CST_D_095 ET POS_C_100 ET POS_C_022 ET POS_C_004 ET POS_C_010 ET POS_C_012 ET POS_C_007 ET POS_C_111 ET POS_C_009 ET POS_C_006 ET POS_C_106 ET POS_C_120 ET POS_C_121</t>
  </si>
  <si>
    <t>CST_D_095</t>
  </si>
  <si>
    <t>CST_I_034 ET CST_D_091 ET CST_D_217 ET CST_D_092 ET CST_D_095 ET POS_C_022 ET POS_C_004 ET POS_C_010 ET POS_C_012 ET POS_C_007 ET POS_C_111 ET POS_C_009 ET POS_C_006 ET POS_C_106 ET POS_C_120 ET POS_C_121</t>
  </si>
  <si>
    <t>CST_I_039 ET CST_I_040 ET CST_D_091 ET CST_D_217 ET CST_D_092 ET CST_D_095 ET POS_C_004 ET POS_C_010 ET POS_C_012 ET POS_C_007 ET POS_C_111 ET POS_C_006 ET POS_C_106 ET POS_C_120 ET POS_C_121</t>
  </si>
  <si>
    <t>CST_I_039 ET CST_I_053 ET CST_D_091 ET CST_D_217 ET CST_D_092 ET CST_D_095 ET POS_C_004 ET POS_C_010 ET POS_C_012 ET POS_C_007 ET POS_C_111 ET POS_C_006 ET POS_C_106 ET POS_C_120 ET POS_C_121</t>
  </si>
  <si>
    <t>E0319</t>
  </si>
  <si>
    <t>Congé sans traitement pour donner des soins à enfant à charge atteint handicap nécessitant présence tierce personne</t>
  </si>
  <si>
    <t>Position saisie égale à 'Congé sans traitement pour donner des soins à enfant à charge atteint handicap nécessitant présence tierce personne'</t>
  </si>
  <si>
    <t>A_POS_POSIAD [Saisi] = 'NAC44'</t>
  </si>
  <si>
    <t>T0928</t>
  </si>
  <si>
    <t>Congé sans traitement pour donner des soins à enfant à charge atteint handicap nécessitant présence tierce personne - Demande</t>
  </si>
  <si>
    <t>T0929</t>
  </si>
  <si>
    <t>Congé sans traitement pour donner des soins à enfant à charge atteint handicap nécessitant présence tierce personne - Renouvellement</t>
  </si>
  <si>
    <t>T0930</t>
  </si>
  <si>
    <t>Congé sans traitement pour donner des soins à enfant à charge atteint handicap nécessitant présence tierce personne - Modification/Fin</t>
  </si>
  <si>
    <t>CST_I_001 ET CST_I_002 ET CST_D_003 ET CST_D_200 ET CST_D_004 ET CST_D_009 ET POS_C_100 ET POS_C_005 ET POS_C_022 ET POS_C_004 ET POS_C_010 ET POS_C_012 ET POS_C_007 ET POS_C_111 ET POS_C_050 ET POS_C_055 ET POS_C_056 ET POS_C_120 ET POS_C_121</t>
  </si>
  <si>
    <t>CST_D_009</t>
  </si>
  <si>
    <t>CST_I_003 ET CST_D_003 ET CST_D_200 ET CST_D_004 ET CST_D_009 ET POS_C_005 ET POS_C_022 ET POS_C_004 ET POS_C_010 ET POS_C_012 ET POS_C_007 ET POS_C_111 ET POS_C_050 ET POS_C_055 ET POS_C_056 ET POS_C_120 ET POS_C_121</t>
  </si>
  <si>
    <t>CST_I_013 ET CST_I_014 ET CST_D_003 ET CST_D_200 ET CST_D_004 ET CST_D_009 ET POS_C_004 ET POS_C_010 ET POS_C_012 ET POS_C_007 ET POS_C_111 ET POS_C_050 ET POS_C_055 ET POS_C_056 ET POS_C_120 ET POS_C_121</t>
  </si>
  <si>
    <t>CST_I_013 ET CST_I_049 ET CST_D_003 ET CST_D_200 ET CST_D_004 ET CST_D_009 ET POS_C_004 ET POS_C_010 ET POS_C_012 ET POS_C_007 ET POS_C_111 ET POS_C_050 ET POS_C_055 ET POS_C_056 ET POS_C_120 ET POS_C_121</t>
  </si>
  <si>
    <t>CST_I_022 ET CST_I_023 ET CST_D_157 ET CST_D_210 ET CST_D_185 ET CST_D_162 ET POS_C_100 ET POS_C_005 ET POS_C_022 ET POS_C_004 ET POS_C_010 ET POS_C_012 ET POS_C_007 ET POS_C_111 ET POS_C_050 ET POS_C_055 ET POS_C_056 ET POS_C_120 ET POS_C_121</t>
  </si>
  <si>
    <t>CST_D_162</t>
  </si>
  <si>
    <t>CST_I_024 ET CST_D_157 ET CST_D_210 ET CST_D_185 ET CST_D_162 ET POS_C_005 ET POS_C_022 ET POS_C_004 ET POS_C_010 ET POS_C_012 ET POS_C_007 ET POS_C_111 ET POS_C_050 ET POS_C_055 ET POS_C_056 ET POS_C_120 ET POS_C_121</t>
  </si>
  <si>
    <t>CST_I_027 ET CST_I_028 ET CST_D_157 ET CST_D_210 ET CST_D_185 ET CST_D_162 ET POS_C_004 ET POS_C_010 ET POS_C_012 ET POS_C_007 ET POS_C_111 ET POS_C_050 ET POS_C_055 ET POS_C_056 ET POS_C_120 ET POS_C_121</t>
  </si>
  <si>
    <t>CST_I_027 ET CST_I_051 ET CST_D_157 ET CST_D_210 ET CST_D_185 ET CST_D_162 ET POS_C_004 ET POS_C_010 ET POS_C_012 ET POS_C_007 ET POS_C_111 ET POS_C_050 ET POS_C_055 ET POS_C_056 ET POS_C_120 ET POS_C_121</t>
  </si>
  <si>
    <t>CST_I_047 ET CST_I_048 ET CST_D_091 ET CST_D_217 ET CST_D_092 ET CST_D_097 ET POS_C_100 ET POS_C_022 ET POS_C_004 ET POS_C_010 ET POS_C_012 ET POS_C_007 ET POS_C_111 ET POS_C_050 ET POS_C_009 ET POS_C_006 ET POS_C_106 ET POS_C_055 ET POS_C_056 ET POS_C_120 ET POS_C_121</t>
  </si>
  <si>
    <t>CST_D_097</t>
  </si>
  <si>
    <t>CST_I_034 ET CST_D_091 ET CST_D_217 ET CST_D_092 ET CST_D_097 ET POS_C_022 ET POS_C_004 ET POS_C_010 ET POS_C_012 ET POS_C_007 ET POS_C_111 ET POS_C_050 ET POS_C_009 ET POS_C_006 ET POS_C_106 ET POS_C_055 ET POS_C_056 ET POS_C_120 ET POS_C_121</t>
  </si>
  <si>
    <t>CST_I_039 ET CST_I_040 ET CST_D_091 ET CST_D_217 ET CST_D_092 ET CST_D_097 ET POS_C_004 ET POS_C_010 ET POS_C_012 ET POS_C_007 ET POS_C_111 ET POS_C_050 ET POS_C_006 ET POS_C_106 ET POS_C_055 ET POS_C_056 ET POS_C_120 ET POS_C_121</t>
  </si>
  <si>
    <t>CST_I_039 ET CST_I_053 ET CST_D_091 ET CST_D_217 ET CST_D_092 ET CST_D_097 ET POS_C_004 ET POS_C_010 ET POS_C_012 ET POS_C_007 ET POS_C_111 ET POS_C_050 ET POS_C_006 ET POS_C_106 ET POS_C_055 ET POS_C_056 ET POS_C_120 ET POS_C_121</t>
  </si>
  <si>
    <t>E0320</t>
  </si>
  <si>
    <t>Congé sans traitement pour donner des soins à ascendant atteint handicap nécessitant présence tierce personne</t>
  </si>
  <si>
    <t>Position saisie égale à 'Congé sans traitement pour donner des soins à ascendant atteint handicap nécessitant présence tierce personne'</t>
  </si>
  <si>
    <t>A_POS_POSIAD [Saisi] = 'NAC47'</t>
  </si>
  <si>
    <t>T0931</t>
  </si>
  <si>
    <t>Congé sans traitement pour donner des soins à ascendant atteint handicap nécessitant présence tierce personne - Demande</t>
  </si>
  <si>
    <t>T0932</t>
  </si>
  <si>
    <t>Congé sans traitement pour donner des soins à ascendant atteint handicap nécessitant présence tierce personne - Renouvellement</t>
  </si>
  <si>
    <t>T0933</t>
  </si>
  <si>
    <t>Congé sans traitement pour donner des soins à ascendant atteint handicap nécessitant présence tierce personne - Modification/Fin</t>
  </si>
  <si>
    <t>CST_I_047 ET CST_I_048 ET CST_D_091 ET CST_D_217 ET CST_D_092 ET POS_C_100 ET POS_C_022 ET POS_C_004 ET POS_C_010 ET POS_C_012 ET POS_C_007 ET POS_C_111 ET POS_C_009 ET POS_C_006 ET POS_C_106 ET POS_C_120 ET POS_C_121</t>
  </si>
  <si>
    <t>CST_I_034 ET CST_D_091 ET CST_D_217 ET CST_D_092 ET POS_C_022 ET POS_C_004 ET POS_C_010 ET POS_C_012 ET POS_C_007 ET POS_C_111 ET POS_C_009 ET POS_C_006 ET POS_C_106 ET POS_C_120 ET POS_C_121</t>
  </si>
  <si>
    <t>CST_I_039 ET CST_I_040 ET CST_D_091 ET CST_D_217 ET CST_D_092 ET POS_C_004 ET POS_C_010 ET POS_C_012 ET POS_C_007 ET POS_C_111 ET POS_C_006 ET POS_C_106 ET POS_C_120 ET POS_C_121</t>
  </si>
  <si>
    <t>CST_I_039 ET CST_I_053 ET CST_D_091 ET CST_D_217 ET CST_D_092 ET POS_C_004 ET POS_C_010 ET POS_C_012 ET POS_C_007 ET POS_C_111 ET POS_C_006 ET POS_C_106 ET POS_C_120 ET POS_C_121</t>
  </si>
  <si>
    <t>E0321</t>
  </si>
  <si>
    <t>Congé sans traitement pour suivre son conjoint ou partenaire pacsé</t>
  </si>
  <si>
    <t>Position saisie égale à 'Congé sans traitement pour suivre son conjoint ou partenaire pacsé'</t>
  </si>
  <si>
    <t>A_POS_POSIAD [Saisi] = 'NAC37'</t>
  </si>
  <si>
    <t>T0934</t>
  </si>
  <si>
    <t>Congé sans traitement pour suivre son conjoint ou partenaire pacsé - Demande</t>
  </si>
  <si>
    <t>T0935</t>
  </si>
  <si>
    <t>Congé sans traitement pour suivre son conjoint ou partenaire pacsé - Renouvellement</t>
  </si>
  <si>
    <t>T0936</t>
  </si>
  <si>
    <t>Congé sans traitement pour suivre son conjoint ou partenaire pacsé - Modification/Fin</t>
  </si>
  <si>
    <t>CST_I_001 ET CST_I_002 ET CST_D_003 ET CST_D_200 ET CST_D_004 ET CST_D_015 ET POS_C_100 ET POS_C_005 ET POS_C_022 ET POS_C_004 ET POS_C_010 ET POS_C_012 ET POS_C_007 ET POS_C_111 ET POS_C_120 ET POS_C_121</t>
  </si>
  <si>
    <t>CST_D_015</t>
  </si>
  <si>
    <t>CST_I_003 ET CST_D_003 ET CST_D_200 ET CST_D_004 ET CST_D_015 ET POS_C_005 ET POS_C_022 ET POS_C_004 ET POS_C_010 ET POS_C_012 ET POS_C_007 ET POS_C_111 ET POS_C_120 ET POS_C_121</t>
  </si>
  <si>
    <t>CST_I_013 ET CST_I_014 ET CST_D_003 ET CST_D_200 ET CST_D_004 ET CST_D_015 ET POS_C_004 ET POS_C_010 ET POS_C_012 ET POS_C_007 ET POS_C_111 ET POS_C_120 ET POS_C_121</t>
  </si>
  <si>
    <t>CST_I_013 ET CST_I_049 ET CST_D_003 ET CST_D_200 ET CST_D_004 ET CST_D_015 ET POS_C_004 ET POS_C_010 ET POS_C_012 ET POS_C_007 ET POS_C_111 ET POS_C_120 ET POS_C_121</t>
  </si>
  <si>
    <t>CST_I_022 ET CST_I_023 ET CST_D_157 ET CST_D_210 ET CST_D_185 ET CST_D_168 ET POS_C_100 ET POS_C_005 ET POS_C_022 ET POS_C_004 ET POS_C_010 ET POS_C_012 ET POS_C_007 ET POS_C_111 ET POS_C_120 ET POS_C_121</t>
  </si>
  <si>
    <t>CST_D_168</t>
  </si>
  <si>
    <t>CST_I_024 ET CST_D_157 ET CST_D_210 ET CST_D_185 ET CST_D_168 ET POS_C_005 ET POS_C_022 ET POS_C_004 ET POS_C_010 ET POS_C_012 ET POS_C_007 ET POS_C_111 ET POS_C_120 ET POS_C_121</t>
  </si>
  <si>
    <t>CST_I_027 ET CST_I_028 ET CST_D_157 ET CST_D_210 ET CST_D_185 ET CST_D_168 ET POS_C_004 ET POS_C_010 ET POS_C_012 ET POS_C_007 ET POS_C_111 ET POS_C_120 ET POS_C_121</t>
  </si>
  <si>
    <t>CST_I_027 ET CST_I_051 ET CST_D_157 ET CST_D_210 ET CST_D_185 ET CST_D_168 ET POS_C_004 ET POS_C_010 ET POS_C_012 ET POS_C_007 ET POS_C_111 ET POS_C_120 ET POS_C_121</t>
  </si>
  <si>
    <t>E0323</t>
  </si>
  <si>
    <t>Congé sans traitement pour convenances personnelles ou pour études</t>
  </si>
  <si>
    <t>Position saisie égale à 'Congé sans traitement pour convenances personnelles ou pour études'</t>
  </si>
  <si>
    <t>A_POS_POSIAD [Saisi] = 'NAC61'</t>
  </si>
  <si>
    <t>T0940</t>
  </si>
  <si>
    <t>Congé sans traitement pour convenances personnelles ou pour études - Demande</t>
  </si>
  <si>
    <t>Création</t>
  </si>
  <si>
    <t>T0941</t>
  </si>
  <si>
    <t>Congé sans traitement pour convenances personnelles ou pour études - Modification/Fin</t>
  </si>
  <si>
    <t>Conservateur du patrimoine stagiaire</t>
  </si>
  <si>
    <t>P0011</t>
  </si>
  <si>
    <t>CST_D_135 ET CST_D_205 ET POS_C_100 ET POS_C_005 ET POS_C_022 ET POS_C_004 ET POS_C_010 ET POS_C_012 ET POS_C_007 ET POS_C_111 ET POS_C_053</t>
  </si>
  <si>
    <t>CST_D_135</t>
  </si>
  <si>
    <t>La durée du congé est d'une durée prévisionnelle maximale de deux ans.</t>
  </si>
  <si>
    <t>CST_D_205</t>
  </si>
  <si>
    <t>La durée du congé est d'une durée réelle maximale de deux ans.</t>
  </si>
  <si>
    <t>POS_C_053</t>
  </si>
  <si>
    <t>L'indicateur de renouvellement ne doit pas être positionné à Oui.</t>
  </si>
  <si>
    <t>CST_D_135 ET CST_D_205 ET POS_C_004 ET POS_C_010 ET POS_C_012 ET POS_C_007 ET POS_C_111 ET POS_C_053</t>
  </si>
  <si>
    <t>E0324</t>
  </si>
  <si>
    <t>Congé sans traitement pour suivre un cycle préparatoire à un concours ou période probatoire ou scolarité</t>
  </si>
  <si>
    <t>Position saisie égale à 'Congé sans traitement pour suivre un cycle préparatoire à un concours ou période probatoire ou scolarité'</t>
  </si>
  <si>
    <t>A_POS_POSIAD [Saisi] = 'NAC12'</t>
  </si>
  <si>
    <t>T0942</t>
  </si>
  <si>
    <t>Congé sans traitement pour suivre un cycle préparatoire à un concours ou période probatoire ou scolarité - Demande</t>
  </si>
  <si>
    <t>T0943</t>
  </si>
  <si>
    <t>Congé sans traitement pour suivre un cycle préparatoire à un concours ou période probatoire ou scolarité - Modification/Fin</t>
  </si>
  <si>
    <t>CST_I_004 ET CST_I_005 ET CST_I_006 ET CST_I_007 ET POS_C_100 ET POS_C_005 ET POS_C_022 ET POS_C_004 ET POS_C_010 ET POS_C_012 ET POS_C_007 ET POS_C_053 ET POS_C_120 ET POS_C_121</t>
  </si>
  <si>
    <t>CST_I_004</t>
  </si>
  <si>
    <t>CST_I_005</t>
  </si>
  <si>
    <t>CST_I_006</t>
  </si>
  <si>
    <t>Le congé sans traitement est accordé pour la durée du cycle préparatoire ou de la scolarité.</t>
  </si>
  <si>
    <t>CST_I_007</t>
  </si>
  <si>
    <t>L'agent ne peut pas bénéficier simultanément de plusieurs congés de ce type.</t>
  </si>
  <si>
    <t>CST_I_006 ET POS_C_004 ET POS_C_010 ET POS_C_012 ET POS_C_007 ET POS_C_053 ET POS_C_120 ET POS_C_121</t>
  </si>
  <si>
    <t>CST_I_036 ET CST_I_038 ET CST_I_037 ET POS_C_100 ET POS_C_022 ET POS_C_004 ET POS_C_010 ET POS_C_012 ET POS_C_007 ET POS_C_053 ET POS_C_009 ET POS_C_006 ET POS_C_106 ET POS_C_120 ET POS_C_121</t>
  </si>
  <si>
    <t>CST_I_036</t>
  </si>
  <si>
    <t>CST_I_038</t>
  </si>
  <si>
    <t>CST_I_037</t>
  </si>
  <si>
    <t>POS_C_004 ET POS_C_010 ET POS_C_012 ET POS_C_007 ET POS_C_053 ET POS_C_006 ET POS_C_106 ET POS_C_120 ET POS_C_121</t>
  </si>
  <si>
    <t>E0325</t>
  </si>
  <si>
    <t>Congé sans traitement pour convenances personnelles</t>
  </si>
  <si>
    <t>Position saisie égale à 'Congé sans traitement pour convenances personnelles'</t>
  </si>
  <si>
    <t>A_POS_POSIAD [Saisi] = 'NAC59'</t>
  </si>
  <si>
    <t>T0944</t>
  </si>
  <si>
    <t>Congé sans traitement pour convenances personnelles - Demande</t>
  </si>
  <si>
    <t>T0945</t>
  </si>
  <si>
    <t>Congé sans traitement pour convenances personnelles - Modification/Fin</t>
  </si>
  <si>
    <t>22.10.00</t>
  </si>
  <si>
    <t>CST_I_008 ET CST_I_009 ET CST_D_131 ET CST_D_203 ET CST_D_132 ET CST_D_201 ET POS_C_100 ET POS_C_005 ET POS_C_022 ET POS_C_004 ET POS_C_010 ET POS_C_012 ET POS_C_007 ET POS_C_111 ET POS_C_053 ET POS_C_120 ET POS_C_121</t>
  </si>
  <si>
    <t>CST_I_008</t>
  </si>
  <si>
    <t>CST_I_009</t>
  </si>
  <si>
    <t>Le refus est possible uniquement pour des motifs liés aux nécessités de service.</t>
  </si>
  <si>
    <t>CST_D_131</t>
  </si>
  <si>
    <t>L' agent peut bénéficier d'un congé sans traitement pour convenance personnelle d'une durée prévisionnelle maximale de 3 mois.</t>
  </si>
  <si>
    <t>CST_D_203</t>
  </si>
  <si>
    <t>L'agent peut bénéficier d'un congé sans traitement pour convenance personnelle d'une durée réelle maximale de 3 mois.</t>
  </si>
  <si>
    <t>CST_D_132</t>
  </si>
  <si>
    <t>Les élèves des écoles normales supérieures peuvent par dérogation bénéficier d'un congé sans traitement pour convenance personnelle d'une durée prévisionnelle maximale de 2 ans.</t>
  </si>
  <si>
    <t>CST_D_201</t>
  </si>
  <si>
    <t>Les élèves des écoles normales supérieures peuvent par dérogation bénéficier d'un congé sans traitement pour convenance personnelle d'une durée réelle maximale de 2 ans.</t>
  </si>
  <si>
    <t>CST_D_131 ET CST_D_203 ET CST_D_132 ET CST_D_201 ET POS_C_004 ET POS_C_010 ET POS_C_012 ET POS_C_007 ET POS_C_111 ET POS_C_053 ET POS_C_120 ET POS_C_121</t>
  </si>
  <si>
    <t>CST_I_025 ET CST_I_026 ET CST_D_171 ET CST_D_213 ET POS_C_100 ET POS_C_005 ET POS_C_022 ET POS_C_004 ET POS_C_010 ET POS_C_012 ET POS_C_007 ET POS_C_111 ET POS_C_053 ET POS_C_120 ET POS_C_121</t>
  </si>
  <si>
    <t>CST_I_025</t>
  </si>
  <si>
    <t>CST_I_026</t>
  </si>
  <si>
    <t>Le refus est possible pour des motifs liés uniquement aux nécessités de service.</t>
  </si>
  <si>
    <t>CST_D_171</t>
  </si>
  <si>
    <t>L'agent peut bénéficier d'un congé sans traitement pour convenance personnelle d'une durée prévisionnelle maximale de 3 mois.</t>
  </si>
  <si>
    <t>CST_D_213</t>
  </si>
  <si>
    <t>CST_D_171 ET CST_D_213 ET POS_C_004 ET POS_C_010 ET POS_C_012 ET POS_C_007 ET POS_C_111 ET POS_C_053 ET POS_C_120 ET POS_C_121</t>
  </si>
  <si>
    <t>CST_I_035 ET CST_D_151 ET CST_D_220 ET POS_C_100 ET POS_C_022 ET POS_C_004 ET POS_C_010 ET POS_C_012 ET POS_C_007 ET POS_C_111 ET POS_C_053 ET POS_C_009 ET POS_C_006 ET POS_C_106 ET POS_C_120 ET POS_C_121</t>
  </si>
  <si>
    <t>CST_I_035</t>
  </si>
  <si>
    <t>CST_D_151</t>
  </si>
  <si>
    <t>CST_D_220</t>
  </si>
  <si>
    <t>CST_D_151 ET CST_D_220 ET POS_C_004 ET POS_C_010 ET POS_C_012 ET POS_C_007 ET POS_C_111 ET POS_C_053 ET POS_C_006 ET POS_C_106 ET POS_C_120 ET POS_C_121</t>
  </si>
  <si>
    <t>E0326</t>
  </si>
  <si>
    <t>Congé sans traitement pour exercer des fonctions d'attaché temporaire d'enseignement et de recherche ou de doctorant contractuel</t>
  </si>
  <si>
    <t>Position saisie égale à 'Congé sans traitement pour exercer des fonctions d'attaché temporaire d'enseignement et de recherche ou de doctorant contractuel'</t>
  </si>
  <si>
    <t>A_POS_POSIAD [Saisi] = 'NAC65'</t>
  </si>
  <si>
    <t>T0946</t>
  </si>
  <si>
    <t>Congé sans traitement pour exercer des fonctions d'attaché temporaire d'enseignement et de recherche ou de doctorant contractuel - Demande</t>
  </si>
  <si>
    <t>T0947</t>
  </si>
  <si>
    <t>Congé sans traitement pour exercer des fonctions d'attaché temporaire d'enseignement et de recherche ou de doctorant contractuel - Modification/Fin</t>
  </si>
  <si>
    <t>Professeur stagiaire d'éducation physique et sportive ou des écoles ou de lycée professionnel ou certifié ou agrégé du second degré - Education</t>
  </si>
  <si>
    <t>P0012</t>
  </si>
  <si>
    <t>CST_I_044 ET CST_I_045 ET CST_I_010 ET CST_I_046 ET CST_D_183 ET CST_D_204 ET POS_C_100 ET POS_C_005 ET POS_C_022 ET POS_C_004 ET POS_C_010 ET POS_C_012 ET POS_C_007 ET POS_C_111 ET POS_C_053 ET POS_C_120 ET POS_C_121</t>
  </si>
  <si>
    <t>CST_I_044</t>
  </si>
  <si>
    <t>CST_I_045</t>
  </si>
  <si>
    <t>L'accord préalable du supérieur hiérarchique est requis.</t>
  </si>
  <si>
    <t>CST_I_010</t>
  </si>
  <si>
    <t>Si, dans le cadre de ce congé sans traitement, l'agent exerce des fonctions de doctorant contractuel, il doit alors nécessairement exercer un service d'enseignement.</t>
  </si>
  <si>
    <t>CST_I_046</t>
  </si>
  <si>
    <t>La durée du congé sans traitement est limitée à celle de l'exercice des fonctions d'attaché temporaire d'enseignement ou de recherche ou de doctorant contractuel.</t>
  </si>
  <si>
    <t>CST_D_183</t>
  </si>
  <si>
    <t>La durée prévisionnelle du congé est limitée à celle de l'exercice des fonctions; elle ne peut excéder 4 ans.</t>
  </si>
  <si>
    <t>CST_D_204</t>
  </si>
  <si>
    <t>La durée réelle du congé est limitée à celle de l'exercice des fonctions; elle ne peut excéder 4 ans.</t>
  </si>
  <si>
    <t>CST_D_183 ET CST_D_204 ET POS_C_004 ET POS_C_010 ET POS_C_012 ET POS_C_007 ET POS_C_111 ET POS_C_053 ET POS_C_120 ET POS_C_121</t>
  </si>
  <si>
    <t>E0327</t>
  </si>
  <si>
    <t>Congé sans traitement pour service national</t>
  </si>
  <si>
    <t>Position saisie égale à 'Congé sans traitement pour service national'</t>
  </si>
  <si>
    <t>A_POS_POSIAD [Saisi] = 'NAC53'</t>
  </si>
  <si>
    <t>T0948</t>
  </si>
  <si>
    <t>Congé sans traitement pour service national - Demande</t>
  </si>
  <si>
    <t>T0949</t>
  </si>
  <si>
    <t>Congé sans traitement pour service national - Modification/Fin</t>
  </si>
  <si>
    <t>POS_C_100 ET POS_C_005 ET POS_C_022 ET POS_C_004 ET POS_C_010 ET POS_C_012 ET POS_C_007 ET POS_C_053</t>
  </si>
  <si>
    <t>POS_C_004 ET POS_C_010 ET POS_C_012 ET POS_C_007 ET POS_C_053</t>
  </si>
  <si>
    <t>POS_C_100 ET POS_C_022 ET POS_C_004 ET POS_C_010 ET POS_C_012 ET POS_C_007 ET POS_C_053 ET POS_C_009 ET POS_C_006 ET POS_C_106</t>
  </si>
  <si>
    <t>POS_C_004 ET POS_C_010 ET POS_C_012 ET POS_C_007 ET POS_C_053 ET POS_C_006 ET POS_C_106</t>
  </si>
  <si>
    <t>E0328</t>
  </si>
  <si>
    <t>Congé sans traitement pour raison de santé</t>
  </si>
  <si>
    <t>Position saisie égale à 'Congé sans traitement pour raison de santé'</t>
  </si>
  <si>
    <t>A_POS_POSIAD [Saisi] = 'NAC11'</t>
  </si>
  <si>
    <t>T0950</t>
  </si>
  <si>
    <t>Congé sans traitement pour raison de santé - Demande</t>
  </si>
  <si>
    <t>T0951</t>
  </si>
  <si>
    <t>Congé sans traitement pour raison de santé - Renouvellement</t>
  </si>
  <si>
    <t>T0952</t>
  </si>
  <si>
    <t>Congé sans traitement pour raison de santé - Modification/Fin</t>
  </si>
  <si>
    <t>CST_I_017 ET CST_D_037 ET CST_D_208 ET POS_C_100 ET POS_C_005 ET POS_C_022 ET POS_C_004 ET POS_C_010 ET POS_C_012 ET POS_C_007 ET POS_C_111 ET POS_C_120 ET POS_C_121</t>
  </si>
  <si>
    <t>CST_I_017</t>
  </si>
  <si>
    <t>Le congé sans traitement est accordé après avis du comité médical.</t>
  </si>
  <si>
    <t>CST_D_037</t>
  </si>
  <si>
    <t>L'agent inapte temporairement à reprendre ses fonctions à l'expiration d'un congé pour raison de santé est placé après avis du Comité médical en position de congé sans traitement pour une durée prévisionnelle maximale d'un an.</t>
  </si>
  <si>
    <t>CST_D_208</t>
  </si>
  <si>
    <t>L'agent inapte temporairement à reprendre ses fonctions à l'expiration d'un congé pour raison de santé est placé après avis du Comité médical en position de congé sans traitement pour une durée réelle maximale d'un an.</t>
  </si>
  <si>
    <t>CST_I_050 ET CST_D_224 ET CST_D_227 ET POS_C_100 ET POS_C_005 ET POS_C_022 ET POS_C_004 ET POS_C_010 ET POS_C_012 ET POS_C_007 ET POS_C_111 ET POS_C_120 ET POS_C_121</t>
  </si>
  <si>
    <t>CST_I_050</t>
  </si>
  <si>
    <t>Le congé sans traitement est accordé après avis du conseil médical.</t>
  </si>
  <si>
    <t>CST_D_224</t>
  </si>
  <si>
    <t>L'agent inapte temporairement à reprendre ses fonctions à l'expiration d'un congé pour raison de santé est placé après avis du conseil médical en position de congé sans traitement pour une durée prévisionnelle maximale d'un an.</t>
  </si>
  <si>
    <t>CST_D_227</t>
  </si>
  <si>
    <t>L'agent inapte temporairement à reprendre ses fonctions à l'expiration d'un congé pour raison de santé est placé après avis du conseil médical en position de congé sans traitement pour une durée réelle maximale d'un an.</t>
  </si>
  <si>
    <t>CST_I_017 ET CST_I_018 ET CST_D_037 ET CST_D_208 ET CST_D_140 ET CST_D_209 ET POS_C_005 ET POS_C_022 ET POS_C_004 ET POS_C_010 ET POS_C_012 ET POS_C_007 ET POS_C_111 ET POS_C_120 ET POS_C_121</t>
  </si>
  <si>
    <t>CST_I_018</t>
  </si>
  <si>
    <t>CST_D_140</t>
  </si>
  <si>
    <t>Le congé sans traitement pour raison de santé peut être renouvelé 2 fois par période maximale d'un an soit au total pour une durée cumulée prévisionnelle de 3 ans.</t>
  </si>
  <si>
    <t>CST_D_209</t>
  </si>
  <si>
    <t>Le congé sans traitement pour raison de santé peut être renouvelé 2 fois par période maximale d'un an soit au total pour une durée cumulée réelle de 3 ans.</t>
  </si>
  <si>
    <t>CST_I_050 ET CST_I_018 ET CST_D_224 ET CST_D_227 ET CST_D_140 ET CST_D_209 ET POS_C_005 ET POS_C_022 ET POS_C_004 ET POS_C_010 ET POS_C_012 ET POS_C_007 ET POS_C_111 ET POS_C_120 ET POS_C_121</t>
  </si>
  <si>
    <t>CST_I_021 ET CST_D_037 ET CST_D_208 ET CST_D_140 ET CST_D_209 ET POS_C_004 ET POS_C_010 ET POS_C_012 ET POS_C_007 ET POS_C_111 ET POS_C_120 ET POS_C_121</t>
  </si>
  <si>
    <t>CST_I_021</t>
  </si>
  <si>
    <t>A l'issue du congé sans traitement, l'avis de la commission de réforme est nécessaire.</t>
  </si>
  <si>
    <t>CST_I_055 ET CST_D_224 ET CST_D_227 ET CST_D_140 ET CST_D_209 ET POS_C_004 ET POS_C_010 ET POS_C_012 ET POS_C_007 ET POS_C_111 ET POS_C_120 ET POS_C_121</t>
  </si>
  <si>
    <t>CST_I_055</t>
  </si>
  <si>
    <t>A l'issue du congé sans traitement, l'avis du conseil médical est nécessaire.</t>
  </si>
  <si>
    <t>CST_I_030 ET CST_I_031 ET CST_D_180 ET CST_D_215 ET POS_C_100 ET POS_C_005 ET POS_C_022 ET POS_C_004 ET POS_C_010 ET POS_C_012 ET POS_C_007 ET POS_C_111 ET POS_C_120 ET POS_C_121</t>
  </si>
  <si>
    <t>CST_I_030</t>
  </si>
  <si>
    <t>L'agent doit avoir épuisé ses droits statutaires à congé.</t>
  </si>
  <si>
    <t>CST_I_031</t>
  </si>
  <si>
    <t>CST_D_180</t>
  </si>
  <si>
    <t>CST_D_215</t>
  </si>
  <si>
    <t>CST_I_030 ET CST_I_052 ET CST_D_226 ET CST_D_228 ET POS_C_100 ET POS_C_005 ET POS_C_022 ET POS_C_004 ET POS_C_010 ET POS_C_012 ET POS_C_007 ET POS_C_111 ET POS_C_120 ET POS_C_121</t>
  </si>
  <si>
    <t>CST_I_052</t>
  </si>
  <si>
    <t>CST_D_226</t>
  </si>
  <si>
    <t>CST_D_228</t>
  </si>
  <si>
    <t>CST_I_030 ET CST_I_032 ET CST_D_180 ET CST_D_215 ET CST_D_181 ET CST_D_216 ET POS_C_005 ET POS_C_022 ET POS_C_004 ET POS_C_010 ET POS_C_012 ET POS_C_007 ET POS_C_111 ET POS_C_120 ET POS_C_121</t>
  </si>
  <si>
    <t>CST_I_032</t>
  </si>
  <si>
    <t>CST_D_181</t>
  </si>
  <si>
    <t>CST_D_216</t>
  </si>
  <si>
    <t>CST_I_030 ET CST_I_032 ET CST_D_226 ET CST_D_228 ET CST_D_181 ET CST_D_216 ET POS_C_005 ET POS_C_022 ET POS_C_004 ET POS_C_010 ET POS_C_012 ET POS_C_007 ET POS_C_111 ET POS_C_120 ET POS_C_121</t>
  </si>
  <si>
    <t>CST_I_033 ET CST_D_180 ET CST_D_215 ET CST_D_181 ET CST_D_216 ET POS_C_004 ET POS_C_010 ET POS_C_012 ET POS_C_007 ET POS_C_111 ET POS_C_120 ET POS_C_121</t>
  </si>
  <si>
    <t>CST_I_033</t>
  </si>
  <si>
    <t>CST_I_056 ET CST_D_226 ET CST_D_228 ET CST_D_181 ET CST_D_216 ET POS_C_004 ET POS_C_010 ET POS_C_012 ET POS_C_007 ET POS_C_111 ET POS_C_120 ET POS_C_121</t>
  </si>
  <si>
    <t>CST_I_056</t>
  </si>
  <si>
    <t>CST_I_041 ET CST_D_127 ET CST_D_222 ET POS_C_100 ET POS_C_022 ET POS_C_004 ET POS_C_010 ET POS_C_012 ET POS_C_007 ET POS_C_111 ET POS_C_009 ET POS_C_006 ET POS_C_106 ET POS_C_120 ET POS_C_121</t>
  </si>
  <si>
    <t>CST_I_041</t>
  </si>
  <si>
    <t>CST_D_127</t>
  </si>
  <si>
    <t>L'agent inapte temporairement à reprendre ses fonctions à l'expiration d'un congé pour raison de santé est placé après avis du Comité médical en position de congé sans traitement pour une durée maximale prévisionnelle d'un an.</t>
  </si>
  <si>
    <t>CST_D_222</t>
  </si>
  <si>
    <t>L'agent inapte temporairement à reprendre ses fonctions à l'expiration d'un congé pour raison de santé est placé après avis du Comité médical en position de congé sans traitement pour une durée maximale réelle d'un an.</t>
  </si>
  <si>
    <t>CST_I_054 ET CST_D_225 ET CST_D_229 ET POS_C_100 ET POS_C_022 ET POS_C_004 ET POS_C_010 ET POS_C_012 ET POS_C_007 ET POS_C_111 ET POS_C_009 ET POS_C_006 ET POS_C_106 ET POS_C_120 ET POS_C_121</t>
  </si>
  <si>
    <t>CST_I_054</t>
  </si>
  <si>
    <t>CST_D_225</t>
  </si>
  <si>
    <t>L'agent inapte temporairement à reprendre ses fonctions à l'expiration d'un congé pour raison de santé est placé après avis du conseil médical en position de congé sans traitement pour une durée maximale prévisionnelle d'un an.</t>
  </si>
  <si>
    <t>CST_D_229</t>
  </si>
  <si>
    <t>L'agent inapte temporairement à reprendre ses fonctions à l'expiration d'un congé pour raison de santé est placé après avis du conseil médical en position de congé sans traitement pour une durée maximale réelle d'un an.</t>
  </si>
  <si>
    <t>CST_I_041 ET CST_I_042 ET CST_D_127 ET CST_D_222 ET CST_D_153 ET CST_D_223 ET POS_C_022 ET POS_C_004 ET POS_C_010 ET POS_C_012 ET POS_C_007 ET POS_C_111 ET POS_C_009 ET POS_C_006 ET POS_C_106 ET POS_C_120 ET POS_C_121</t>
  </si>
  <si>
    <t>CST_I_042</t>
  </si>
  <si>
    <t>CST_D_153</t>
  </si>
  <si>
    <t>CST_D_223</t>
  </si>
  <si>
    <t>CST_I_054 ET CST_I_042 ET CST_D_225 ET CST_D_229 ET CST_D_153 ET CST_D_223 ET POS_C_022 ET POS_C_004 ET POS_C_010 ET POS_C_012 ET POS_C_007 ET POS_C_111 ET POS_C_009 ET POS_C_006 ET POS_C_106 ET POS_C_120 ET POS_C_121</t>
  </si>
  <si>
    <t>CST_I_043 ET CST_D_127 ET CST_D_222 ET CST_D_153 ET CST_D_223 ET POS_C_004 ET POS_C_010 ET POS_C_012 ET POS_C_007 ET POS_C_111 ET POS_C_006 ET POS_C_106 ET POS_C_120 ET POS_C_121</t>
  </si>
  <si>
    <t>CST_I_043</t>
  </si>
  <si>
    <t>CST_I_057 ET CST_D_225 ET CST_D_229 ET CST_D_153 ET CST_D_223 ET POS_C_004 ET POS_C_010 ET POS_C_012 ET POS_C_007 ET POS_C_111 ET POS_C_006 ET POS_C_106 ET POS_C_120 ET POS_C_121</t>
  </si>
  <si>
    <t>CST_I_057</t>
  </si>
  <si>
    <t>E0634</t>
  </si>
  <si>
    <t>Congé sans traitement pour études ou pour recherches</t>
  </si>
  <si>
    <t>Position saisie égale à 'Congé sans traitement pour études ou pour recherches'</t>
  </si>
  <si>
    <t>A_POS_POSIAD [Saisi] = 'NAC73'</t>
  </si>
  <si>
    <t>T1506</t>
  </si>
  <si>
    <t>Congé sans traitement pour études ou pour recherches - Demande</t>
  </si>
  <si>
    <t>T1679</t>
  </si>
  <si>
    <t>Congé sans traitement pour études ou pour recherches - Modification/Fin</t>
  </si>
  <si>
    <t>CST_I_011 ET CST_D_187 ET CST_D_206 ET POS_C_100 ET POS_C_005 ET POS_C_022 ET POS_C_004 ET POS_C_010 ET POS_C_012 ET POS_C_007 ET POS_C_111 ET POS_C_053 ET POS_C_120 ET POS_C_121</t>
  </si>
  <si>
    <t>CST_I_011</t>
  </si>
  <si>
    <t>CST_D_187</t>
  </si>
  <si>
    <t>CST_D_206</t>
  </si>
  <si>
    <t>CST_I_012 ET CST_I_016 ET CST_D_187 ET CST_D_206 ET POS_C_004 ET POS_C_010 ET POS_C_012 ET POS_C_007 ET POS_C_111 ET POS_C_053 ET POS_C_120 ET POS_C_121</t>
  </si>
  <si>
    <t>CST_I_012</t>
  </si>
  <si>
    <t>A l'issue de ce congé, si l'agent n'est pas titularisé, il est licencié.</t>
  </si>
  <si>
    <t>CST_I_016</t>
  </si>
  <si>
    <t>A l'issue de ce congé, si l'agent a la qualité de fonctionnaire, il est réintégré dans son corps ou son cadre d'emplois d'origine.</t>
  </si>
  <si>
    <t>E0753</t>
  </si>
  <si>
    <t>Congé sans traitement pour mandat parlementaire ou fonctions de membre du gouvernement</t>
  </si>
  <si>
    <t>Position saisie égale à 'Congé sans traitement pour mandat parlementaire ou fonctions de membre du gouvernement'</t>
  </si>
  <si>
    <t>A_POS_POSIAD [Saisi] = 'NAC75'</t>
  </si>
  <si>
    <t>T1858</t>
  </si>
  <si>
    <t>Congé sans traitement pour mandat parlementaire ou fonctions de membre du gouvernement - Placement</t>
  </si>
  <si>
    <t>A_POS_INDREN [Saisi] = '0' ET (A_POS_INDREN [Saisi] &lt;&gt; A_POS_INDREN [Valeur avant saisie]</t>
  </si>
  <si>
    <t>T1859</t>
  </si>
  <si>
    <t>Congé sans traitement pour mandat parlementaire ou fonctions de membre du gouvernement - Renouvellement</t>
  </si>
  <si>
    <t>A_POS_INDREN [Saisi] = '1' ET (A_POS_INDREN [Saisi] &lt;&gt; A_POS_INDREN [Valeur avant saisie]</t>
  </si>
  <si>
    <t>T1860</t>
  </si>
  <si>
    <t>Congé sans traitement pour mandat parlementaire ou fonctions de membre du gouvernement - Modification/Fin</t>
  </si>
  <si>
    <t>CST_I_019 ET CST_I_020 ET POS_C_100 ET POS_C_005 ET POS_C_022 ET POS_C_004 ET POS_C_010 ET POS_C_012 ET POS_C_007 ET POS_C_111 ET POS_C_120 ET POS_C_121</t>
  </si>
  <si>
    <t>CST_I_019</t>
  </si>
  <si>
    <t>L'agent doit exercer les fonctions de membre du gouvernement ou être titulaire d'un mandat d'élu de l'Assemblée nationale, du Sénat, ou du Parlement européen.</t>
  </si>
  <si>
    <t>CST_I_020</t>
  </si>
  <si>
    <t>Le congé sans traitement est accordé pour la durée du mandat ou de la fonction exercée.</t>
  </si>
  <si>
    <t>CST_I_019 ET CST_I_020 ET POS_C_005 ET POS_C_022 ET POS_C_004 ET POS_C_010 ET POS_C_012 ET POS_C_007 ET POS_C_111 ET POS_C_120 ET POS_C_121</t>
  </si>
  <si>
    <t>CST_I_019 ET CST_I_020 ET POS_C_004 ET POS_C_010 ET POS_C_012 ET POS_C_007 ET POS_C_111 ET POS_C_120 ET POS_C_121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</si>
  <si>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</si>
  <si>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</si>
  <si>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</si>
  <si>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</si>
  <si>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</si>
  <si>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</si>
  <si>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</si>
  <si>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</si>
  <si>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</si>
  <si>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</si>
  <si>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</si>
  <si>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</si>
  <si>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</si>
  <si>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</si>
  <si>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</si>
  <si>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</si>
  <si>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</si>
  <si>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CST_P_001 ET CST_P_002 ET CST_P_003 ET CST_P_004 ET CST_P_005 ET CST_P_006 ET CST_P_007 ET CST_P_008</t>
  </si>
  <si>
    <t>CST_P_001</t>
  </si>
  <si>
    <t>Rémunération : L'agent ne perçoit plus son traitement.</t>
  </si>
  <si>
    <t>CST_P_002</t>
  </si>
  <si>
    <t>Congés annuels : L'agent ne cumule pas de droits à congé.</t>
  </si>
  <si>
    <t>CST_P_003</t>
  </si>
  <si>
    <t>Carrière : L'agent voit sa carrière suspendue. Il perd ses droits à l'avancement.</t>
  </si>
  <si>
    <t>CST_P_004</t>
  </si>
  <si>
    <t>Retraite : Si l'enfant est né ou adopté après 2003, cette période de congé sans traitement sera prise en compte pour le calcul du nombre de trimestre pour la retraite. Elle est limitée à 3 ans par enfant.</t>
  </si>
  <si>
    <t>CST_P_005</t>
  </si>
  <si>
    <t>Protection sociale de l'agent en activité : L'agent relève du régime de protection sociale de sa nouvelle activité professionnelle sauf en cas de maladie (pour les prestations en nature), de maternité (période prénatale) et d'invalidité.</t>
  </si>
  <si>
    <t>CST_P_006</t>
  </si>
  <si>
    <t>Protection sociale de l'agent en inactivité professionnelle : L'agent bénéficie de son ancien régime d'assurance maladie durant 1 an. En cas de disponibilité d'office faute d'emploi vacant, la durée est portée à la durée de versement des allocations chômage.</t>
  </si>
  <si>
    <t>CST_P_007</t>
  </si>
  <si>
    <t>Stage : Les congés sans traitement ne sont pas comptabilisés comme temps de stage. Ils reportent donc la date de fin de stage du nombre total de jours d'absence.</t>
  </si>
  <si>
    <t>CST_P_008</t>
  </si>
  <si>
    <t>Acte : Un acte administratif doit être produit.</t>
  </si>
  <si>
    <t>CST_P_001 ET CST_P_002 ET CST_P_003 ET CST_P_009 ET CST_P_005 ET CST_P_006 ET CST_P_007 ET CST_P_008</t>
  </si>
  <si>
    <t>CST_P_009</t>
  </si>
  <si>
    <t>Retraite : Les périodes de congé sans traitement ne sont pas prises en compte pour la constitution du droit à pension et la liquidation de cette dernière.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</si>
  <si>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</si>
  <si>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</si>
  <si>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</si>
  <si>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</si>
  <si>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</si>
  <si>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</si>
  <si>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</si>
  <si>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</si>
  <si>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</si>
  <si>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</si>
  <si>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</si>
  <si>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</si>
  <si>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</si>
  <si>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</si>
  <si>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</si>
  <si>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</si>
  <si>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</si>
  <si>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</si>
  <si>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</si>
  <si>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</si>
  <si>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</si>
  <si>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</si>
  <si>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</si>
  <si>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</si>
  <si>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</si>
  <si>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</si>
  <si>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</si>
  <si>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</si>
  <si>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</si>
  <si>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</si>
  <si>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25.10.00</t>
  </si>
  <si>
    <t>Code général de la fonction publique R327-44</t>
  </si>
  <si>
    <t>SI A_POS_DAFPRE [Saisi] &lt;&gt; Vide ET A_POS_DAFIPS [Saisi] = Vide</t>
  </si>
  <si>
    <t>A_POS_DAFPRE [Saisi] - A_POS_DADEPS [Saisi] &lt;= 1 AN</t>
  </si>
  <si>
    <t>Bloquant</t>
  </si>
  <si>
    <t>2025-118</t>
  </si>
  <si>
    <t>x</t>
  </si>
  <si>
    <t>Le congé sans traitement ne peut pas excéder 1 an pour chaque période.</t>
  </si>
  <si>
    <t># La somme des occurrences de tous les compteurs (A_POS_DTOPOS) tels que A_POS_TYPCPS DANS ('NAC37', 'NAC39', 'NAC41', 'NAC42', 'NAC43', 'NAC44', 'NAC45', 'NAC47') doit être &lt;= 03/00/00 #</t>
  </si>
  <si>
    <t>Pour cette règle, il est nécessaire d'additionner tous les compteurs de congé sans traitement. Le fonctionnement du compteur tient compte de la date (réelle ou prévisionnelle) qui a été saisie.</t>
  </si>
  <si>
    <t>Les congés sans traitement, qu'ils soient pour motifs personnels ou familiaux, ne peuvent pas excéder 3 années cumulées.</t>
  </si>
  <si>
    <t>Décret 94-874 A19-2°</t>
  </si>
  <si>
    <t>P_FAM_IENPAC [Enfant lié(A_POS_LVEPAC)] = 'E' ET A_POS_DAFPRE [Saisi] - P_FAM_DNAEAC [Enfant lié(A_POS_LVEPAC)] &lt; 8 AN</t>
  </si>
  <si>
    <t>L'enfant de l'agent doit être agé de moins de 8 ans.</t>
  </si>
  <si>
    <t>P_FAM_TYSIFA [Dossier] DANS ('MAR', 'PAC')</t>
  </si>
  <si>
    <t>L'agent doit être marié ou pacsé.</t>
  </si>
  <si>
    <t>P_FAM_IENPAC [Enfant lié(A_POS_LVEPAC)] = 'E'</t>
  </si>
  <si>
    <t>Il appartient au gestionnaire de vérifier la qualité à charge de l'enfant</t>
  </si>
  <si>
    <t>Décret 94-874 A24-2°</t>
  </si>
  <si>
    <t>Code général de la fonction publique R327-44 / Décret 2006-79 A3 / Décret 89-406</t>
  </si>
  <si>
    <t>Décret 2006-79 A3 / Décret 94-874 A19-2° / Décret 89-406</t>
  </si>
  <si>
    <t>Code général de la fonction publique  / Décret 2006-79 A3 / Décret 89-406</t>
  </si>
  <si>
    <t>Il appartient au gestionnaire de vérifier la qualité à charge de l'enfant.</t>
  </si>
  <si>
    <t>Décret 2006-79 A3 / Décret 94-874 A24-2° / Décret 89-406</t>
  </si>
  <si>
    <t>Code général de la fonction publique R327-43</t>
  </si>
  <si>
    <t>SI A_POS_DAFPRE [Saisi] &lt;&gt; Vide ET A_POS_DAFIPS [Saisi] = Vide ET P_CEF_CECOLE [Dossier] &lt;&gt; 'EC113'</t>
  </si>
  <si>
    <t>A_POS_DAFPRE [Saisi] - A_POS_DADEPS [Saisi] &lt;= 3 MOIS</t>
  </si>
  <si>
    <t>La durée totale du congé sans traitement ne peut pas excéder 3 mois.</t>
  </si>
  <si>
    <t>Code de l'éducation D652-1 / Décret 2013-1140  / Décret 2013-924  / Décret 2012-715  / Décret 2011-21</t>
  </si>
  <si>
    <t>SI A_POS_DAFPRE [Saisi] &lt;&gt; Vide ET A_POS_DAFIPS [Saisi] = Vide ET P_CEF_CECOLE [Dossier] = 'EC113'</t>
  </si>
  <si>
    <t>A_POS_DAFPRE [Saisi] - A_POS_DADEPS [Saisi] &lt;= 2 AN</t>
  </si>
  <si>
    <t>P0004 - E0325</t>
  </si>
  <si>
    <t>Les élèves des écoles normales supérieures peuvent par dérogation bénéficier d'un congé sans traitement pour convenance personnelle d'une durée maximale de 2 ans.</t>
  </si>
  <si>
    <t>Décret 90-404 A15</t>
  </si>
  <si>
    <t>Code général de la fonction publique R327-37</t>
  </si>
  <si>
    <t># La somme des durées des occurrences de position du dossier dont le code position est égal à celui de l'occurrence de position en cours plus la durée prévisionnelle de l'occurrence de position en cours doit être inférieure ou égale à 3 ans. Les occurrences doivent être successives.#</t>
  </si>
  <si>
    <t>Le congé sans traitement peut être renouvelé au maximum 2 fois. La durée cumulée totale du congé ne peut pas excéder 3 ans.</t>
  </si>
  <si>
    <t>Code général de la fonction publique R327-43 / Décret 2006-79 A3 / Décret 89-406</t>
  </si>
  <si>
    <t>Code général de la fonction publique R327-37 / Décret 2006-79 A3 / Décret 89-406</t>
  </si>
  <si>
    <t>Code général de la fonction publique R327-44 / Décret 72-355 A53</t>
  </si>
  <si>
    <t>Décret 94-874 A19-2° / Décret 72-355 A53</t>
  </si>
  <si>
    <t>Code général de la fonction publique R327-43 / Décret 72-355 A53</t>
  </si>
  <si>
    <t>Décret 94-874 A24-2° / Décret 72-355 A53</t>
  </si>
  <si>
    <t>Code général de la fonction publique R327-37 / Décret 72-355 A53</t>
  </si>
  <si>
    <t>Décret 91-259 A1</t>
  </si>
  <si>
    <t>A_POS_DAFPRE [Saisi] - A_POS_DADEPS [Saisi] &lt;= 4 AN</t>
  </si>
  <si>
    <t>La durée totale du congé sans traitement est limitée à la durée de l'exercice des fonctions de l'agent et elle ne peut pas excéder 4 ans.</t>
  </si>
  <si>
    <t>Décret 2013-788 A14</t>
  </si>
  <si>
    <t>La durée totale du congé sans traitement ne peut pas excéder 2 ans.</t>
  </si>
  <si>
    <t>SI A_POS_DAFIPS [Saisi] &lt;&gt; Vide</t>
  </si>
  <si>
    <t>A_POS_DAFIPS [Saisi] - A_POS_DADEPS [Saisi] &lt;= 1 AN</t>
  </si>
  <si>
    <t>SI A_POS_DAFIPS [Saisi] &lt;&gt; Vide ET P_CEF_CECOLE [Dossier] = 'EC113'</t>
  </si>
  <si>
    <t>A_POS_DAFIPS [Saisi] - A_POS_DADEPS [Saisi] &lt;= 2 AN</t>
  </si>
  <si>
    <t>P_FAM_IENPAC [Enfant lié(A_POS_LVEPAC)] = 'E' ET A_POS_DAFIPS [Saisi] - P_FAM_DNAEAC [Enfant lié(A_POS_LVEPAC)] &lt; 8 AN</t>
  </si>
  <si>
    <t>SI A_POS_DAFIPS [Saisi] &lt;&gt; Vide ET P_CEF_CECOLE [Dossier] &lt;&gt; 'EC113'</t>
  </si>
  <si>
    <t>A_POS_DAFIPS [Saisi] - A_POS_DADEPS [Saisi] &lt;= 3 MOIS</t>
  </si>
  <si>
    <t>A_POS_DAFIPS [Saisi] - A_POS_DADEPS [Saisi] &lt;= 4 AN</t>
  </si>
  <si>
    <t># La somme des durées des occurrences de position du dossier dont le code position est égal à celui de l'occurrence de position en cours plus la durée réelle de l'occurrence de position en cours doit être inférieure ou égale à 3 ans. Les occurrences doivent être successives.#</t>
  </si>
  <si>
    <t>P0004 - E0328</t>
  </si>
  <si>
    <t>P0078 - E0328</t>
  </si>
  <si>
    <t>P0009 - E0328</t>
  </si>
  <si>
    <t>P_FAM_IENPAC [Enfant lié(A_POS_LVEPAC)] = 'E' ET A_POS_DAFPRE [Saisi] - P_FAM_DNAEAC [Enfant lié(A_POS_LVEPAC)] &lt; 12 AN</t>
  </si>
  <si>
    <t>P0009 / P0078 - P0004 - E0312</t>
  </si>
  <si>
    <t>L'enfant de l'agent doit être âgé de moins de 12 ans.</t>
  </si>
  <si>
    <t>P_FAM_IENPAC [Enfant lié(A_POS_LVEPAC)] = 'E' ET A_POS_DAFIPS [Saisi] - P_FAM_DNAEAC [Enfant lié(A_POS_LVEPAC)] &lt; 12 AN</t>
  </si>
  <si>
    <t>P0078 / P0009 - P0004 - E0312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</si>
  <si>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</si>
  <si>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</si>
  <si>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</si>
  <si>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</si>
  <si>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E0874 / E0873 / E0976 / E0977 / E0978 / E0979 / E0980 / E0981 / E0982 / E0983 / E0984 / E0985 / E0986 / E0987 / E1052</t>
  </si>
  <si>
    <t>SI A_POS_DAFIPS [Saisi] &lt;&gt; Vide
ET A_CAR_TYPCOT [Dossier] = 'TC01'</t>
  </si>
  <si>
    <t>A_POS_DAFIPS [Saisi] &lt;= [Date limite de fin réelle ou prévisionnelle du lien juridique]</t>
  </si>
  <si>
    <t>P0003 / P0005 - E0873 / E0976 / E0977 / E0978 / E0979 / E0983</t>
  </si>
  <si>
    <t>A_POS_DAFIPS [Saisi] &lt; A_SAP_DLDPRE [Dossier]</t>
  </si>
  <si>
    <t>Non Bloquant</t>
  </si>
  <si>
    <t>.</t>
  </si>
  <si>
    <t>P0007 / P0264 - P0001 / P0003 / P0004 / P0005 - E0987 / E0976 / E0873 / E1052 / E0874 / E0977 / E0978 / E0979 / E0980 / E0981 / E0982 / E0983 / E0984 / E0985 / E0986</t>
  </si>
  <si>
    <t>A_POS_DADEPS [Saisi] &gt;= A_CAR_DDLIJU [Dossier]</t>
  </si>
  <si>
    <t>P0003 / P0005 - E0976 / E0873 / E0977 / E0978 / E0979 / E0983</t>
  </si>
  <si>
    <t>A_POS_DADEPS [Saisi] &lt;= A_POS_DAFIPS [Saisi]</t>
  </si>
  <si>
    <t>A_POS_DAFPRE [Saisi] &lt; A_SAP_DLDPRE [Dossier]</t>
  </si>
  <si>
    <t>P0007 / P0264 - P0001 / P0003 / P0004 / P0005 - E0873 / E1052 / E0874 / E0976 / E0977 / E0978 / E0979 / E0980 / E0981 / E0982 / E0983 / E0984 / E0985 / E0986 / E0987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</si>
  <si>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</si>
  <si>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</si>
  <si>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</si>
  <si>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P0007 / P0264 - P0001 / P0003 / P0004 / P0005 - E1052 / E0873 / E0874 / E0976 / E0977 / E0978 / E0979 / E0980 / E0981 / E0982 / E0983 / E0984 / E0985 / E0986 / E0987</t>
  </si>
  <si>
    <t>A_POS_LVEPAC [Saisi] &lt;&gt; Vide</t>
  </si>
  <si>
    <t>P_FAM_DNAEAC [Enfant lié(A_POS_LVEPAC)] &lt;&gt; Vide</t>
  </si>
  <si>
    <t>A_POS_INDREN [Saisi] = '0'</t>
  </si>
  <si>
    <t>Le renouvellement est interdit.</t>
  </si>
  <si>
    <t>SI A_POS_DAFIPS [Saisi] &lt;&gt; Vide ET P_FAM_DECEAC [Enfant lié(A_POS_LVEPAC)] &lt;&gt; Vide</t>
  </si>
  <si>
    <t>A_POS_DAFIPS [Saisi] &lt;= P_FAM_DECEAC [Enfant lié(A_POS_LVEPAC)]</t>
  </si>
  <si>
    <t>SI A_POS_DAFPRE [Saisi] &lt;&gt; Vide ET A_POS_DAFIPS [Saisi] = Vide ET P_FAM_DECEAC [Enfant lié(A_POS_LVEPAC)] &lt;&gt; Vide</t>
  </si>
  <si>
    <t>A_POS_DAFPRE [Saisi] &lt;= P_FAM_DECEAC [Enfant lié(A_POS_LVEPAC)]</t>
  </si>
  <si>
    <t>18.00.00</t>
  </si>
  <si>
    <t>A_POS_POSIAD [Occurrence précédente] = POSITION_SITUATION.R_FOR_IDEN05 ET (POSITION_SITUATION.R_REL_PSSAG2 DANS ('ACI','HCA','MAD','DEL','MDE','MLD') OU (POSITION_SITUATION.R_REL_PSSAG1 DANS ('DEE00', 'DES00'))</t>
  </si>
  <si>
    <t>Cette RG est non bloquante pour prendre en compte le cas de retour pour ordre</t>
  </si>
  <si>
    <t>P0003 / P0005 - E0873</t>
  </si>
  <si>
    <t>SI A_POS_DAFPRE [Saisi] &lt;&gt; Vide
ET A_POS_DAFIPS [Saisi] = Vide
ET A_CAR_TYPCOT [Dossier] = 'TC01'</t>
  </si>
  <si>
    <t>A_POS_DAFPRE [Saisi] &lt;= [Date limite de fin réelle ou prévisionnelle du lien juridique]</t>
  </si>
  <si>
    <t>P0003 / P0005 - E0976 / E0977 / E0978 / E0979 / E0983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</si>
  <si>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</si>
  <si>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</si>
  <si>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SI A_COA_DFRECA [Dossier] &lt;&gt; Vide</t>
  </si>
  <si>
    <t>A_POS_DADEPS [Saisi] &gt; A_COA_DFRECA [Dossier]</t>
  </si>
  <si>
    <t>P0001 / P0003 / P0004</t>
  </si>
  <si>
    <t>L'agent ne peut pas être placé en congé.</t>
  </si>
  <si>
    <t>SI A_COA_DAFIPR [Dossier] &lt;&gt; Vide ET A_COA_DFRECA [Dossier] = Vide</t>
  </si>
  <si>
    <t>A_POS_DADEPS [Saisi] &gt; A_COA_DAFIPR [Dossier]</t>
  </si>
  <si>
    <t>Intellectuel</t>
  </si>
  <si>
    <t>Code général de la fonction publique R327-42</t>
  </si>
  <si>
    <t>Décret 2013-788 A19</t>
  </si>
  <si>
    <t>Décret 94-874 A19</t>
  </si>
  <si>
    <t>Code électoral LO151-1 / Ordonnance 58-1099 A4</t>
  </si>
  <si>
    <t>Décret 94-874 A24-3°</t>
  </si>
  <si>
    <t>Décret 94-874 A19 / Décret 72-355 A53</t>
  </si>
  <si>
    <t>Décret 72-355 A53-1</t>
  </si>
  <si>
    <t>Décret 94-874 A24-3° / Décret 72-355 A53</t>
  </si>
  <si>
    <t>Code général de la fonction publique R327-42 / Décret 2006-79 A3 / Décret 89-406</t>
  </si>
  <si>
    <t>Décret 2006-79 A3 / Décret 94-874 A19 / Décret 89-406</t>
  </si>
  <si>
    <t>P0009 / P0078 - P0004 - E0313 / E0321 / E0312 / E0315 / E0316 / E0317 / E0319 / E0320</t>
  </si>
  <si>
    <t>P0009 - E0312 / E0321 / E0313 / E0315 / E0316 / E0317 / E0319 / E0320</t>
  </si>
  <si>
    <t>P0078 - E0312 / E0317 / E0319 / E0320</t>
  </si>
  <si>
    <t>Code général de la fonction publique R327-39</t>
  </si>
  <si>
    <t>Code général de la fonction publique R327-39 / Décret 72-355 A53</t>
  </si>
  <si>
    <t>Code général de la fonction publique R327-44 / Décret 2006-79 A1</t>
  </si>
  <si>
    <t>P0078 - E0312</t>
  </si>
  <si>
    <t>P0009 - E0312</t>
  </si>
  <si>
    <t>Impact</t>
  </si>
  <si>
    <t>P0004 - E0312 / E0320 / E0328 / E0313 / E0315 / E0316 / E0317 / E0319 / E0321 / E0324 / E0325 / E0327 / E0753 - Rémunération</t>
  </si>
  <si>
    <t>P0004 - E0321 / E0317 / E0320 / E0312 / E0313 / E0315 / E0316 / E0319 / E0324 / E0325 / E0327 / E0328 / E0753 - Congés annuels</t>
  </si>
  <si>
    <t>P0004 - E0320 / E0313 / E0312 / E0328 / E0315 / E0316 / E0317 / E0319 / E0321 / E0324 / E0325 / E0327 / E0753 - Carrière</t>
  </si>
  <si>
    <t>P0004 - E0312 - Retraite</t>
  </si>
  <si>
    <t>P0004 - E0321 / E0315 / E0316 / E0317 / E0320 / E0312 / E0313 / E0319 / E0324 / E0325 / E0327 / E0328 / E0753 - Protection sociale activité</t>
  </si>
  <si>
    <t>P0004 - E0320 / E0328 / E0313 / E0312 / E0315 / E0316 / E0317 / E0319 / E0321 / E0324 / E0325 / E0327 / E0753 - Protection sociale inactivité</t>
  </si>
  <si>
    <t>Protection sociale de l'agent en inactivité professionnelle : L'agent bénéficie de son ancien régime d'assurance maladie durant 1 an. En cas de dispo d'office faute d'emploi vacant, la durée est portée à la durée de versement des allocations chômage.</t>
  </si>
  <si>
    <t>P0004 - E0315 / E0316 / E0317 / E0320 / E0312 / E0313 / E0319 / E0321 / E0324 / E0325 / E0327 / E0328 / E0753 - Stage</t>
  </si>
  <si>
    <t>P0004 - E0313 / E0317 / E0320 / E0321 / E0328 / E0312 / E0315 / E0316 / E0319 / E0324 / E0325 / E0327 / E0753 - Acte</t>
  </si>
  <si>
    <t>P0004 - E0315 / E0316 / E0317 / E0320 / E0313 / E0319 / E0321 / E0324 / E0325 / E0327 / E0328 / E0753 - Retraite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</si>
</sst>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0F73-A610-45CE-8A48-270709B6D248}">
  <sheetPr codeName="Feuil2"/>
  <dimension ref="A1:AG425"/>
  <sheetViews>
    <sheetView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C6B7-389D-4D2E-8B17-3D12855EEBB9}">
  <dimension ref="A1:BW84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9.6328125" style="18" customWidth="1"/>
    <col min="75" max="75" width="15.6328125" style="17" customWidth="1"/>
    <col min="76" max="16384" width="10.90625" style="12"/>
  </cols>
  <sheetData>
    <row r="1" spans="1:7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</row>
    <row r="2" spans="1:75" ht="72.5" x14ac:dyDescent="0.35">
      <c r="A2" s="13" t="s">
        <v>76</v>
      </c>
      <c r="B2" s="13" t="s">
        <v>77</v>
      </c>
      <c r="C2" s="14">
        <v>43152.5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 t="s">
        <v>89</v>
      </c>
      <c r="P2" s="15" t="s">
        <v>90</v>
      </c>
      <c r="Q2" s="15" t="s">
        <v>91</v>
      </c>
      <c r="R2" s="13" t="s">
        <v>92</v>
      </c>
      <c r="S2" s="13" t="s">
        <v>93</v>
      </c>
      <c r="T2" s="13" t="s">
        <v>94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</row>
    <row r="3" spans="1:75" ht="72.5" x14ac:dyDescent="0.35">
      <c r="A3" s="13" t="s">
        <v>76</v>
      </c>
      <c r="B3" s="13" t="s">
        <v>77</v>
      </c>
      <c r="C3" s="14">
        <v>43152.5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95</v>
      </c>
      <c r="M3" s="15" t="s">
        <v>96</v>
      </c>
      <c r="N3" s="13" t="s">
        <v>88</v>
      </c>
      <c r="O3" s="15" t="s">
        <v>97</v>
      </c>
      <c r="P3" s="15" t="s">
        <v>98</v>
      </c>
      <c r="Q3" s="15" t="s">
        <v>91</v>
      </c>
      <c r="R3" s="13" t="s">
        <v>92</v>
      </c>
      <c r="S3" s="13" t="s">
        <v>93</v>
      </c>
      <c r="T3" s="13" t="s">
        <v>94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</row>
    <row r="4" spans="1:75" ht="43.5" x14ac:dyDescent="0.35">
      <c r="A4" s="13" t="s">
        <v>76</v>
      </c>
      <c r="B4" s="13" t="s">
        <v>77</v>
      </c>
      <c r="C4" s="14">
        <v>43152.5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99</v>
      </c>
      <c r="M4" s="15" t="s">
        <v>100</v>
      </c>
      <c r="N4" s="13" t="s">
        <v>101</v>
      </c>
      <c r="O4" s="15" t="s">
        <v>102</v>
      </c>
      <c r="P4" s="15" t="s">
        <v>103</v>
      </c>
      <c r="Q4" s="15" t="s">
        <v>91</v>
      </c>
      <c r="R4" s="13" t="s">
        <v>92</v>
      </c>
      <c r="S4" s="13" t="s">
        <v>93</v>
      </c>
      <c r="T4" s="13" t="s">
        <v>94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</row>
    <row r="5" spans="1:75" ht="72.5" x14ac:dyDescent="0.35">
      <c r="A5" s="13" t="s">
        <v>76</v>
      </c>
      <c r="B5" s="13" t="s">
        <v>77</v>
      </c>
      <c r="C5" s="14">
        <v>43152.5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86</v>
      </c>
      <c r="M5" s="15" t="s">
        <v>87</v>
      </c>
      <c r="N5" s="13" t="s">
        <v>88</v>
      </c>
      <c r="O5" s="15" t="s">
        <v>89</v>
      </c>
      <c r="P5" s="15" t="s">
        <v>90</v>
      </c>
      <c r="Q5" s="15" t="s">
        <v>104</v>
      </c>
      <c r="R5" s="13" t="s">
        <v>105</v>
      </c>
      <c r="S5" s="13" t="s">
        <v>93</v>
      </c>
      <c r="T5" s="13" t="s">
        <v>94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</row>
    <row r="6" spans="1:75" ht="72.5" x14ac:dyDescent="0.35">
      <c r="A6" s="13" t="s">
        <v>76</v>
      </c>
      <c r="B6" s="13" t="s">
        <v>77</v>
      </c>
      <c r="C6" s="14">
        <v>43152.5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95</v>
      </c>
      <c r="M6" s="15" t="s">
        <v>96</v>
      </c>
      <c r="N6" s="13" t="s">
        <v>88</v>
      </c>
      <c r="O6" s="15" t="s">
        <v>97</v>
      </c>
      <c r="P6" s="15" t="s">
        <v>98</v>
      </c>
      <c r="Q6" s="15" t="s">
        <v>104</v>
      </c>
      <c r="R6" s="13" t="s">
        <v>105</v>
      </c>
      <c r="S6" s="13" t="s">
        <v>93</v>
      </c>
      <c r="T6" s="13" t="s">
        <v>94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</row>
    <row r="7" spans="1:75" ht="43.5" x14ac:dyDescent="0.35">
      <c r="A7" s="13" t="s">
        <v>76</v>
      </c>
      <c r="B7" s="13" t="s">
        <v>77</v>
      </c>
      <c r="C7" s="14">
        <v>43152.5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99</v>
      </c>
      <c r="M7" s="15" t="s">
        <v>100</v>
      </c>
      <c r="N7" s="13" t="s">
        <v>101</v>
      </c>
      <c r="O7" s="15" t="s">
        <v>102</v>
      </c>
      <c r="P7" s="15" t="s">
        <v>103</v>
      </c>
      <c r="Q7" s="15" t="s">
        <v>104</v>
      </c>
      <c r="R7" s="13" t="s">
        <v>105</v>
      </c>
      <c r="S7" s="13" t="s">
        <v>93</v>
      </c>
      <c r="T7" s="13" t="s">
        <v>94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</row>
    <row r="8" spans="1:75" ht="72.5" x14ac:dyDescent="0.35">
      <c r="A8" s="13" t="s">
        <v>76</v>
      </c>
      <c r="B8" s="13" t="s">
        <v>77</v>
      </c>
      <c r="C8" s="14">
        <v>43152.5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 t="s">
        <v>89</v>
      </c>
      <c r="P8" s="15" t="s">
        <v>90</v>
      </c>
      <c r="Q8" s="15" t="s">
        <v>106</v>
      </c>
      <c r="R8" s="13" t="s">
        <v>107</v>
      </c>
      <c r="S8" s="13" t="s">
        <v>93</v>
      </c>
      <c r="T8" s="13" t="s">
        <v>94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</row>
    <row r="9" spans="1:75" ht="72.5" x14ac:dyDescent="0.35">
      <c r="A9" s="13" t="s">
        <v>76</v>
      </c>
      <c r="B9" s="13" t="s">
        <v>77</v>
      </c>
      <c r="C9" s="14">
        <v>43152.5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95</v>
      </c>
      <c r="M9" s="15" t="s">
        <v>96</v>
      </c>
      <c r="N9" s="13" t="s">
        <v>88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93</v>
      </c>
      <c r="T9" s="13" t="s">
        <v>94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</row>
    <row r="10" spans="1:75" ht="43.5" x14ac:dyDescent="0.35">
      <c r="A10" s="13" t="s">
        <v>76</v>
      </c>
      <c r="B10" s="13" t="s">
        <v>77</v>
      </c>
      <c r="C10" s="14">
        <v>43152.5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99</v>
      </c>
      <c r="M10" s="15" t="s">
        <v>100</v>
      </c>
      <c r="N10" s="13" t="s">
        <v>101</v>
      </c>
      <c r="O10" s="15" t="s">
        <v>102</v>
      </c>
      <c r="P10" s="15" t="s">
        <v>103</v>
      </c>
      <c r="Q10" s="15" t="s">
        <v>106</v>
      </c>
      <c r="R10" s="13" t="s">
        <v>107</v>
      </c>
      <c r="S10" s="13" t="s">
        <v>93</v>
      </c>
      <c r="T10" s="13" t="s">
        <v>94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</row>
    <row r="11" spans="1:75" ht="101.5" x14ac:dyDescent="0.35">
      <c r="A11" s="13" t="s">
        <v>108</v>
      </c>
      <c r="B11" s="13" t="s">
        <v>109</v>
      </c>
      <c r="C11" s="14">
        <v>45805.656944444447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86</v>
      </c>
      <c r="M11" s="15" t="s">
        <v>87</v>
      </c>
      <c r="N11" s="13" t="s">
        <v>88</v>
      </c>
      <c r="O11" s="15" t="s">
        <v>89</v>
      </c>
      <c r="P11" s="15" t="s">
        <v>90</v>
      </c>
      <c r="Q11" s="15" t="s">
        <v>110</v>
      </c>
      <c r="R11" s="13" t="s">
        <v>111</v>
      </c>
      <c r="S11" s="13" t="s">
        <v>93</v>
      </c>
      <c r="T11" s="13" t="s">
        <v>112</v>
      </c>
      <c r="U11" s="14">
        <v>40725</v>
      </c>
      <c r="V11" s="14">
        <v>45781</v>
      </c>
      <c r="W11" s="15" t="s">
        <v>113</v>
      </c>
      <c r="X11" s="13" t="s">
        <v>114</v>
      </c>
      <c r="Y11" s="15" t="str">
        <f>VLOOKUP(X11,'Axe 2 Règles de gestion'!$D$2:$F$146,3, FALSE)</f>
        <v>L'agent doit présenter une demande de congé sans traitement.</v>
      </c>
      <c r="Z11" s="13" t="s">
        <v>116</v>
      </c>
      <c r="AA11" s="15" t="str">
        <f>VLOOKUP(Z11,'Axe 2 Règles de gestion'!$D$2:$F$146,3, FALSE)</f>
        <v>La demande est accordée de droit par le supérieur hiérarchique.</v>
      </c>
      <c r="AB11" s="13"/>
      <c r="AC11" s="15"/>
      <c r="AD11" s="13"/>
      <c r="AE11" s="15"/>
      <c r="AF11" s="13" t="s">
        <v>118</v>
      </c>
      <c r="AG11" s="15" t="str">
        <f>VLOOKUP(AF11,'Axe 2 Règles de gestion'!$D$2:$F$146,3, FALSE)</f>
        <v>La durée prévisionnelle maximale de chaque période est de un an.</v>
      </c>
      <c r="AH11" s="13" t="s">
        <v>120</v>
      </c>
      <c r="AI11" s="15" t="str">
        <f>VLOOKUP(AH11,'Axe 2 Règles de gestion'!$D$2:$F$146,3, FALSE)</f>
        <v>La durée réelle maximale de chaque période est de un an.</v>
      </c>
      <c r="AJ11" s="13" t="s">
        <v>122</v>
      </c>
      <c r="AK11" s="15" t="str">
        <f>VLOOKUP(AJ11,'Axe 2 Règles de gestion'!$D$2:$F$146,3, FALSE)</f>
        <v>L'agent ne peut pas bénéficier de plus de 3 ans cumulés de congé sans traitement quels que soient les motifs de congés sans traitement : pour raisons personnelles ou familiales.</v>
      </c>
      <c r="AL11" s="13" t="s">
        <v>124</v>
      </c>
      <c r="AM11" s="15" t="str">
        <f>VLOOKUP(AL11,'Axe 2 Règles de gestion'!$D$2:$F$146,3, FALSE)</f>
        <v>L'agent doit avoir un enfant lié à cette position et l'enfant doit être âgé de moins de huit ans (date de fin prévisionnelle du congé sans traitement).</v>
      </c>
      <c r="AN11" s="13" t="s">
        <v>126</v>
      </c>
      <c r="AO11" s="15" t="str">
        <f>VLOOKUP(AN11,'Axe 2 Règles de gestion'!$D$2:$F$146,3, FALSE)</f>
        <v>L'agent doit avoir un enfant lié à cette position et l'enfant doit être âgé de moins de huit ans (date de fin réelle du congé sans traitement).</v>
      </c>
      <c r="AP11" s="13" t="s">
        <v>128</v>
      </c>
      <c r="AQ11" s="15" t="str">
        <f>VLOOKUP(AP11,'Axe 2 Règles de gestion'!$D$2:$F$146,3, FALSE)</f>
        <v>Lors de la demande initiale, l'agent doit être en activité.</v>
      </c>
      <c r="AR11" s="13" t="s">
        <v>130</v>
      </c>
      <c r="AS11" s="15" t="str">
        <f>VLOOKUP(AR11,'Axe 2 Règles de gestion'!$D$2:$F$146,3, FALSE)</f>
        <v>La date de début de la position doit être postérieure ou égale à la date d'entrée dans la FPE ou dans la carrière militaire.</v>
      </c>
      <c r="AT11" s="13" t="s">
        <v>132</v>
      </c>
      <c r="AU11" s="15" t="str">
        <f>VLOOKUP(AT11,'Axe 2 Règles de gestion'!$D$2:$F$146,3, FALSE)</f>
        <v>La date de début de position est à J+1 de la date de fin de position de l'occurrence précédente.</v>
      </c>
      <c r="AV11" s="13" t="s">
        <v>134</v>
      </c>
      <c r="AW11" s="15" t="str">
        <f>VLOOKUP(AV11,'Axe 2 Règles de gestion'!$D$2:$F$146,3, FALSE)</f>
        <v>La date de début de position doit être antérieure ou égale à la date de fin prévisionnelle de position.</v>
      </c>
      <c r="AX11" s="13" t="s">
        <v>136</v>
      </c>
      <c r="AY11" s="15" t="str">
        <f>VLOOKUP(AX11,'Axe 2 Règles de gestion'!$D$2:$F$146,3, FALSE)</f>
        <v>La date de début de position doit être antérieure ou égale à la date de fin réelle de position.</v>
      </c>
      <c r="AZ11" s="13" t="s">
        <v>138</v>
      </c>
      <c r="BA11" s="15" t="str">
        <f>VLOOKUP(AZ11,'Axe 2 Règles de gestion'!$D$2:$F$146,3, FALSE)</f>
        <v>La date de fin prévisionnelle de la position doit être antérieure à la date limite de départ à la retraite.</v>
      </c>
      <c r="BB11" s="13" t="s">
        <v>140</v>
      </c>
      <c r="BC11" s="15" t="str">
        <f>VLOOKUP(BB11,'Axe 2 Règles de gestion'!$D$2:$F$146,3, FALSE)</f>
        <v>La date de fin réelle de la position doit être antérieure à la date limite de départ à la retraite.</v>
      </c>
      <c r="BD11" s="13" t="s">
        <v>142</v>
      </c>
      <c r="BE11" s="15" t="str">
        <f>VLOOKUP(BD11,'Axe 2 Règles de gestion'!$D$2:$F$146,3, FALSE)</f>
        <v>La date de fin ou la date de fin prévisionnelle doit être saisie.</v>
      </c>
      <c r="BF11" s="13" t="s">
        <v>144</v>
      </c>
      <c r="BG11" s="15" t="str">
        <f>VLOOKUP(BF11,'Axe 2 Règles de gestion'!$D$2:$F$146,3, FALSE)</f>
        <v>Le lien vers l'enfant doit être renseigné.</v>
      </c>
      <c r="BH11" s="13" t="s">
        <v>146</v>
      </c>
      <c r="BI11" s="15" t="str">
        <f>VLOOKUP(BH11,'Axe 2 Règles de gestion'!$D$2:$F$146,3, FALSE)</f>
        <v>La date de naissance de l'enfant doit être renseignée.</v>
      </c>
      <c r="BJ11" s="13" t="s">
        <v>148</v>
      </c>
      <c r="BK11" s="15" t="str">
        <f>VLOOKUP(BJ11,'Axe 2 Règles de gestion'!$D$2:$F$146,3, FALSE)</f>
        <v>La date de fin réelle de la position doit être antérieure ou égale à la date de décès de l'enfant.</v>
      </c>
      <c r="BL11" s="13" t="s">
        <v>150</v>
      </c>
      <c r="BM11" s="15" t="str">
        <f>VLOOKUP(BL11,'Axe 2 Règles de gestion'!$D$2:$F$146,3, FALSE)</f>
        <v>La date de fin prévisionnelle de la position doit être antérieure ou égale à la date de décès de l'enfant.</v>
      </c>
      <c r="BN11" s="13" t="s">
        <v>152</v>
      </c>
      <c r="BO11" s="15" t="str">
        <f>VLOOKUP(BN11,'Axe 2 Règles de gestion'!$D$2:$F$146,3, FALSE)</f>
        <v>La saisie d'une occurrence de congés/absences est interdite (date de fin réelle)</v>
      </c>
      <c r="BP11" s="13" t="s">
        <v>154</v>
      </c>
      <c r="BQ11" s="15" t="str">
        <f>VLOOKUP(BP11,'Axe 2 Règles de gestion'!$D$2:$F$146,3, FALSE)</f>
        <v>La saisie d'une occurrence de congés/absences est interdite (date de fin prévisionnelle)</v>
      </c>
      <c r="BR11" s="13"/>
      <c r="BS11" s="15"/>
      <c r="BT11" s="13"/>
      <c r="BU11" s="15"/>
      <c r="BV11" s="13"/>
      <c r="BW11" s="15"/>
    </row>
    <row r="12" spans="1:75" ht="101.5" x14ac:dyDescent="0.35">
      <c r="A12" s="13" t="s">
        <v>108</v>
      </c>
      <c r="B12" s="13" t="s">
        <v>77</v>
      </c>
      <c r="C12" s="14">
        <v>45805.657638888886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 t="s">
        <v>89</v>
      </c>
      <c r="P12" s="15" t="s">
        <v>90</v>
      </c>
      <c r="Q12" s="15" t="s">
        <v>110</v>
      </c>
      <c r="R12" s="13" t="s">
        <v>111</v>
      </c>
      <c r="S12" s="13" t="s">
        <v>93</v>
      </c>
      <c r="T12" s="13" t="s">
        <v>112</v>
      </c>
      <c r="U12" s="14">
        <v>45782</v>
      </c>
      <c r="V12" s="14"/>
      <c r="W12" s="15" t="s">
        <v>156</v>
      </c>
      <c r="X12" s="13" t="s">
        <v>114</v>
      </c>
      <c r="Y12" s="15" t="str">
        <f>VLOOKUP(X12,'Axe 2 Règles de gestion'!$D$2:$F$146,3, FALSE)</f>
        <v>L'agent doit présenter une demande de congé sans traitement.</v>
      </c>
      <c r="Z12" s="13" t="s">
        <v>116</v>
      </c>
      <c r="AA12" s="15" t="str">
        <f>VLOOKUP(Z12,'Axe 2 Règles de gestion'!$D$2:$F$146,3, FALSE)</f>
        <v>La demande est accordée de droit par le supérieur hiérarchique.</v>
      </c>
      <c r="AB12" s="13"/>
      <c r="AC12" s="15"/>
      <c r="AD12" s="13"/>
      <c r="AE12" s="15"/>
      <c r="AF12" s="13" t="s">
        <v>118</v>
      </c>
      <c r="AG12" s="15" t="str">
        <f>VLOOKUP(AF12,'Axe 2 Règles de gestion'!$D$2:$F$146,3, FALSE)</f>
        <v>La durée prévisionnelle maximale de chaque période est de un an.</v>
      </c>
      <c r="AH12" s="13" t="s">
        <v>120</v>
      </c>
      <c r="AI12" s="15" t="str">
        <f>VLOOKUP(AH12,'Axe 2 Règles de gestion'!$D$2:$F$146,3, FALSE)</f>
        <v>La durée réelle maximale de chaque période est de un an.</v>
      </c>
      <c r="AJ12" s="13" t="s">
        <v>122</v>
      </c>
      <c r="AK12" s="15" t="str">
        <f>VLOOKUP(AJ12,'Axe 2 Règles de gestion'!$D$2:$F$146,3, FALSE)</f>
        <v>L'agent ne peut pas bénéficier de plus de 3 ans cumulés de congé sans traitement quels que soient les motifs de congés sans traitement : pour raisons personnelles ou familiales.</v>
      </c>
      <c r="AL12" s="13" t="s">
        <v>157</v>
      </c>
      <c r="AM12" s="15" t="str">
        <f>VLOOKUP(AL12,'Axe 2 Règles de gestion'!$D$2:$F$146,3, FALSE)</f>
        <v>L'agent doit avoir un enfant lié à cette position et l'enfant doit être âgé de moins de 12 ans (date de fin prévisionnelle du congé sans traitement).</v>
      </c>
      <c r="AN12" s="13" t="s">
        <v>159</v>
      </c>
      <c r="AO12" s="15" t="str">
        <f>VLOOKUP(AN12,'Axe 2 Règles de gestion'!$D$2:$F$146,3, FALSE)</f>
        <v>L'agent doit avoir un enfant lié à cette position et l'enfant doit être âgé de moins de 12 ans (date de fin réelle du congé sans traitement).</v>
      </c>
      <c r="AP12" s="13" t="s">
        <v>128</v>
      </c>
      <c r="AQ12" s="15" t="str">
        <f>VLOOKUP(AP12,'Axe 2 Règles de gestion'!$D$2:$F$146,3, FALSE)</f>
        <v>Lors de la demande initiale, l'agent doit être en activité.</v>
      </c>
      <c r="AR12" s="13" t="s">
        <v>130</v>
      </c>
      <c r="AS12" s="15" t="str">
        <f>VLOOKUP(AR12,'Axe 2 Règles de gestion'!$D$2:$F$146,3, FALSE)</f>
        <v>La date de début de la position doit être postérieure ou égale à la date d'entrée dans la FPE ou dans la carrière militaire.</v>
      </c>
      <c r="AT12" s="13" t="s">
        <v>132</v>
      </c>
      <c r="AU12" s="15" t="str">
        <f>VLOOKUP(AT12,'Axe 2 Règles de gestion'!$D$2:$F$146,3, FALSE)</f>
        <v>La date de début de position est à J+1 de la date de fin de position de l'occurrence précédente.</v>
      </c>
      <c r="AV12" s="13" t="s">
        <v>134</v>
      </c>
      <c r="AW12" s="15" t="str">
        <f>VLOOKUP(AV12,'Axe 2 Règles de gestion'!$D$2:$F$146,3, FALSE)</f>
        <v>La date de début de position doit être antérieure ou égale à la date de fin prévisionnelle de position.</v>
      </c>
      <c r="AX12" s="13" t="s">
        <v>136</v>
      </c>
      <c r="AY12" s="15" t="str">
        <f>VLOOKUP(AX12,'Axe 2 Règles de gestion'!$D$2:$F$146,3, FALSE)</f>
        <v>La date de début de position doit être antérieure ou égale à la date de fin réelle de position.</v>
      </c>
      <c r="AZ12" s="13" t="s">
        <v>138</v>
      </c>
      <c r="BA12" s="15" t="str">
        <f>VLOOKUP(AZ12,'Axe 2 Règles de gestion'!$D$2:$F$146,3, FALSE)</f>
        <v>La date de fin prévisionnelle de la position doit être antérieure à la date limite de départ à la retraite.</v>
      </c>
      <c r="BB12" s="13" t="s">
        <v>140</v>
      </c>
      <c r="BC12" s="15" t="str">
        <f>VLOOKUP(BB12,'Axe 2 Règles de gestion'!$D$2:$F$146,3, FALSE)</f>
        <v>La date de fin réelle de la position doit être antérieure à la date limite de départ à la retraite.</v>
      </c>
      <c r="BD12" s="13" t="s">
        <v>142</v>
      </c>
      <c r="BE12" s="15" t="str">
        <f>VLOOKUP(BD12,'Axe 2 Règles de gestion'!$D$2:$F$146,3, FALSE)</f>
        <v>La date de fin ou la date de fin prévisionnelle doit être saisie.</v>
      </c>
      <c r="BF12" s="13" t="s">
        <v>144</v>
      </c>
      <c r="BG12" s="15" t="str">
        <f>VLOOKUP(BF12,'Axe 2 Règles de gestion'!$D$2:$F$146,3, FALSE)</f>
        <v>Le lien vers l'enfant doit être renseigné.</v>
      </c>
      <c r="BH12" s="13" t="s">
        <v>146</v>
      </c>
      <c r="BI12" s="15" t="str">
        <f>VLOOKUP(BH12,'Axe 2 Règles de gestion'!$D$2:$F$146,3, FALSE)</f>
        <v>La date de naissance de l'enfant doit être renseignée.</v>
      </c>
      <c r="BJ12" s="13" t="s">
        <v>148</v>
      </c>
      <c r="BK12" s="15" t="str">
        <f>VLOOKUP(BJ12,'Axe 2 Règles de gestion'!$D$2:$F$146,3, FALSE)</f>
        <v>La date de fin réelle de la position doit être antérieure ou égale à la date de décès de l'enfant.</v>
      </c>
      <c r="BL12" s="13" t="s">
        <v>150</v>
      </c>
      <c r="BM12" s="15" t="str">
        <f>VLOOKUP(BL12,'Axe 2 Règles de gestion'!$D$2:$F$146,3, FALSE)</f>
        <v>La date de fin prévisionnelle de la position doit être antérieure ou égale à la date de décès de l'enfant.</v>
      </c>
      <c r="BN12" s="13" t="s">
        <v>152</v>
      </c>
      <c r="BO12" s="15" t="str">
        <f>VLOOKUP(BN12,'Axe 2 Règles de gestion'!$D$2:$F$146,3, FALSE)</f>
        <v>La saisie d'une occurrence de congés/absences est interdite (date de fin réelle)</v>
      </c>
      <c r="BP12" s="13" t="s">
        <v>154</v>
      </c>
      <c r="BQ12" s="15" t="str">
        <f>VLOOKUP(BP12,'Axe 2 Règles de gestion'!$D$2:$F$146,3, FALSE)</f>
        <v>La saisie d'une occurrence de congés/absences est interdite (date de fin prévisionnelle)</v>
      </c>
      <c r="BR12" s="13"/>
      <c r="BS12" s="15"/>
      <c r="BT12" s="13"/>
      <c r="BU12" s="15"/>
      <c r="BV12" s="13"/>
      <c r="BW12" s="15"/>
    </row>
    <row r="13" spans="1:75" ht="101.5" x14ac:dyDescent="0.35">
      <c r="A13" s="13" t="s">
        <v>108</v>
      </c>
      <c r="B13" s="13" t="s">
        <v>109</v>
      </c>
      <c r="C13" s="14">
        <v>45805.659722222219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95</v>
      </c>
      <c r="M13" s="15" t="s">
        <v>96</v>
      </c>
      <c r="N13" s="13" t="s">
        <v>88</v>
      </c>
      <c r="O13" s="15" t="s">
        <v>97</v>
      </c>
      <c r="P13" s="15" t="s">
        <v>98</v>
      </c>
      <c r="Q13" s="15" t="s">
        <v>110</v>
      </c>
      <c r="R13" s="13" t="s">
        <v>111</v>
      </c>
      <c r="S13" s="13" t="s">
        <v>93</v>
      </c>
      <c r="T13" s="13" t="s">
        <v>112</v>
      </c>
      <c r="U13" s="14">
        <v>40725</v>
      </c>
      <c r="V13" s="14">
        <v>45781</v>
      </c>
      <c r="W13" s="15" t="s">
        <v>161</v>
      </c>
      <c r="X13" s="13" t="s">
        <v>162</v>
      </c>
      <c r="Y13" s="15" t="str">
        <f>VLOOKUP(X13,'Axe 2 Règles de gestion'!$D$2:$F$146,3, FALSE)</f>
        <v>L'agent peut renouveler le congé sans traitement 2 fois.</v>
      </c>
      <c r="Z13" s="13"/>
      <c r="AA13" s="15"/>
      <c r="AB13" s="13"/>
      <c r="AC13" s="15"/>
      <c r="AD13" s="13"/>
      <c r="AE13" s="15"/>
      <c r="AF13" s="13" t="s">
        <v>118</v>
      </c>
      <c r="AG13" s="15" t="str">
        <f>VLOOKUP(AF13,'Axe 2 Règles de gestion'!$D$2:$F$146,3, FALSE)</f>
        <v>La durée prévisionnelle maximale de chaque période est de un an.</v>
      </c>
      <c r="AH13" s="13" t="s">
        <v>120</v>
      </c>
      <c r="AI13" s="15" t="str">
        <f>VLOOKUP(AH13,'Axe 2 Règles de gestion'!$D$2:$F$146,3, FALSE)</f>
        <v>La durée réelle maximale de chaque période est de un an.</v>
      </c>
      <c r="AJ13" s="13" t="s">
        <v>122</v>
      </c>
      <c r="AK13" s="15" t="str">
        <f>VLOOKUP(AJ13,'Axe 2 Règles de gestion'!$D$2:$F$146,3, FALSE)</f>
        <v>L'agent ne peut pas bénéficier de plus de 3 ans cumulés de congé sans traitement quels que soient les motifs de congés sans traitement : pour raisons personnelles ou familiales.</v>
      </c>
      <c r="AL13" s="13" t="s">
        <v>124</v>
      </c>
      <c r="AM13" s="15" t="str">
        <f>VLOOKUP(AL13,'Axe 2 Règles de gestion'!$D$2:$F$146,3, FALSE)</f>
        <v>L'agent doit avoir un enfant lié à cette position et l'enfant doit être âgé de moins de huit ans (date de fin prévisionnelle du congé sans traitement).</v>
      </c>
      <c r="AN13" s="13" t="s">
        <v>126</v>
      </c>
      <c r="AO13" s="15" t="str">
        <f>VLOOKUP(AN13,'Axe 2 Règles de gestion'!$D$2:$F$146,3, FALSE)</f>
        <v>L'agent doit avoir un enfant lié à cette position et l'enfant doit être âgé de moins de huit ans (date de fin réelle du congé sans traitement).</v>
      </c>
      <c r="AP13" s="13" t="s">
        <v>130</v>
      </c>
      <c r="AQ13" s="15" t="str">
        <f>VLOOKUP(AP13,'Axe 2 Règles de gestion'!$D$2:$F$146,3, FALSE)</f>
        <v>La date de début de la position doit être postérieure ou égale à la date d'entrée dans la FPE ou dans la carrière militaire.</v>
      </c>
      <c r="AR13" s="13" t="s">
        <v>132</v>
      </c>
      <c r="AS13" s="15" t="str">
        <f>VLOOKUP(AR13,'Axe 2 Règles de gestion'!$D$2:$F$146,3, FALSE)</f>
        <v>La date de début de position est à J+1 de la date de fin de position de l'occurrence précédente.</v>
      </c>
      <c r="AT13" s="13" t="s">
        <v>134</v>
      </c>
      <c r="AU13" s="15" t="str">
        <f>VLOOKUP(AT13,'Axe 2 Règles de gestion'!$D$2:$F$146,3, FALSE)</f>
        <v>La date de début de position doit être antérieure ou égale à la date de fin prévisionnelle de position.</v>
      </c>
      <c r="AV13" s="13" t="s">
        <v>136</v>
      </c>
      <c r="AW13" s="15" t="str">
        <f>VLOOKUP(AV13,'Axe 2 Règles de gestion'!$D$2:$F$146,3, FALSE)</f>
        <v>La date de début de position doit être antérieure ou égale à la date de fin réelle de position.</v>
      </c>
      <c r="AX13" s="13" t="s">
        <v>138</v>
      </c>
      <c r="AY13" s="15" t="str">
        <f>VLOOKUP(AX13,'Axe 2 Règles de gestion'!$D$2:$F$146,3, FALSE)</f>
        <v>La date de fin prévisionnelle de la position doit être antérieure à la date limite de départ à la retraite.</v>
      </c>
      <c r="AZ13" s="13" t="s">
        <v>140</v>
      </c>
      <c r="BA13" s="15" t="str">
        <f>VLOOKUP(AZ13,'Axe 2 Règles de gestion'!$D$2:$F$146,3, FALSE)</f>
        <v>La date de fin réelle de la position doit être antérieure à la date limite de départ à la retraite.</v>
      </c>
      <c r="BB13" s="13" t="s">
        <v>142</v>
      </c>
      <c r="BC13" s="15" t="str">
        <f>VLOOKUP(BB13,'Axe 2 Règles de gestion'!$D$2:$F$146,3, FALSE)</f>
        <v>La date de fin ou la date de fin prévisionnelle doit être saisie.</v>
      </c>
      <c r="BD13" s="13" t="s">
        <v>144</v>
      </c>
      <c r="BE13" s="15" t="str">
        <f>VLOOKUP(BD13,'Axe 2 Règles de gestion'!$D$2:$F$146,3, FALSE)</f>
        <v>Le lien vers l'enfant doit être renseigné.</v>
      </c>
      <c r="BF13" s="13" t="s">
        <v>146</v>
      </c>
      <c r="BG13" s="15" t="str">
        <f>VLOOKUP(BF13,'Axe 2 Règles de gestion'!$D$2:$F$146,3, FALSE)</f>
        <v>La date de naissance de l'enfant doit être renseignée.</v>
      </c>
      <c r="BH13" s="13" t="s">
        <v>148</v>
      </c>
      <c r="BI13" s="15" t="str">
        <f>VLOOKUP(BH13,'Axe 2 Règles de gestion'!$D$2:$F$146,3, FALSE)</f>
        <v>La date de fin réelle de la position doit être antérieure ou égale à la date de décès de l'enfant.</v>
      </c>
      <c r="BJ13" s="13" t="s">
        <v>150</v>
      </c>
      <c r="BK13" s="15" t="str">
        <f>VLOOKUP(BJ13,'Axe 2 Règles de gestion'!$D$2:$F$146,3, FALSE)</f>
        <v>La date de fin prévisionnelle de la position doit être antérieure ou égale à la date de décès de l'enfant.</v>
      </c>
      <c r="BL13" s="13" t="s">
        <v>152</v>
      </c>
      <c r="BM13" s="15" t="str">
        <f>VLOOKUP(BL13,'Axe 2 Règles de gestion'!$D$2:$F$146,3, FALSE)</f>
        <v>La saisie d'une occurrence de congés/absences est interdite (date de fin réelle)</v>
      </c>
      <c r="BN13" s="13" t="s">
        <v>154</v>
      </c>
      <c r="BO13" s="15" t="str">
        <f>VLOOKUP(BN13,'Axe 2 Règles de gestion'!$D$2:$F$146,3, FALSE)</f>
        <v>La saisie d'une occurrence de congés/absences est interdite (date de fin prévisionnelle)</v>
      </c>
      <c r="BP13" s="13"/>
      <c r="BQ13" s="15"/>
      <c r="BR13" s="13"/>
      <c r="BS13" s="15"/>
      <c r="BT13" s="13"/>
      <c r="BU13" s="15"/>
      <c r="BV13" s="13"/>
      <c r="BW13" s="15"/>
    </row>
    <row r="14" spans="1:75" ht="101.5" x14ac:dyDescent="0.35">
      <c r="A14" s="13" t="s">
        <v>108</v>
      </c>
      <c r="B14" s="13" t="s">
        <v>77</v>
      </c>
      <c r="C14" s="14">
        <v>45805.659722222219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95</v>
      </c>
      <c r="M14" s="15" t="s">
        <v>96</v>
      </c>
      <c r="N14" s="13" t="s">
        <v>88</v>
      </c>
      <c r="O14" s="15" t="s">
        <v>97</v>
      </c>
      <c r="P14" s="15" t="s">
        <v>98</v>
      </c>
      <c r="Q14" s="15" t="s">
        <v>110</v>
      </c>
      <c r="R14" s="13" t="s">
        <v>111</v>
      </c>
      <c r="S14" s="13" t="s">
        <v>93</v>
      </c>
      <c r="T14" s="13" t="s">
        <v>112</v>
      </c>
      <c r="U14" s="14">
        <v>45782</v>
      </c>
      <c r="V14" s="14"/>
      <c r="W14" s="15" t="s">
        <v>164</v>
      </c>
      <c r="X14" s="13" t="s">
        <v>162</v>
      </c>
      <c r="Y14" s="15" t="str">
        <f>VLOOKUP(X14,'Axe 2 Règles de gestion'!$D$2:$F$146,3, FALSE)</f>
        <v>L'agent peut renouveler le congé sans traitement 2 fois.</v>
      </c>
      <c r="Z14" s="13"/>
      <c r="AA14" s="15"/>
      <c r="AB14" s="13"/>
      <c r="AC14" s="15"/>
      <c r="AD14" s="13"/>
      <c r="AE14" s="15"/>
      <c r="AF14" s="13" t="s">
        <v>118</v>
      </c>
      <c r="AG14" s="15" t="str">
        <f>VLOOKUP(AF14,'Axe 2 Règles de gestion'!$D$2:$F$146,3, FALSE)</f>
        <v>La durée prévisionnelle maximale de chaque période est de un an.</v>
      </c>
      <c r="AH14" s="13" t="s">
        <v>120</v>
      </c>
      <c r="AI14" s="15" t="str">
        <f>VLOOKUP(AH14,'Axe 2 Règles de gestion'!$D$2:$F$146,3, FALSE)</f>
        <v>La durée réelle maximale de chaque période est de un an.</v>
      </c>
      <c r="AJ14" s="13" t="s">
        <v>122</v>
      </c>
      <c r="AK14" s="15" t="str">
        <f>VLOOKUP(AJ14,'Axe 2 Règles de gestion'!$D$2:$F$146,3, FALSE)</f>
        <v>L'agent ne peut pas bénéficier de plus de 3 ans cumulés de congé sans traitement quels que soient les motifs de congés sans traitement : pour raisons personnelles ou familiales.</v>
      </c>
      <c r="AL14" s="13" t="s">
        <v>157</v>
      </c>
      <c r="AM14" s="15" t="str">
        <f>VLOOKUP(AL14,'Axe 2 Règles de gestion'!$D$2:$F$146,3, FALSE)</f>
        <v>L'agent doit avoir un enfant lié à cette position et l'enfant doit être âgé de moins de 12 ans (date de fin prévisionnelle du congé sans traitement).</v>
      </c>
      <c r="AN14" s="13" t="s">
        <v>159</v>
      </c>
      <c r="AO14" s="15" t="str">
        <f>VLOOKUP(AN14,'Axe 2 Règles de gestion'!$D$2:$F$146,3, FALSE)</f>
        <v>L'agent doit avoir un enfant lié à cette position et l'enfant doit être âgé de moins de 12 ans (date de fin réelle du congé sans traitement).</v>
      </c>
      <c r="AP14" s="13" t="s">
        <v>130</v>
      </c>
      <c r="AQ14" s="15" t="str">
        <f>VLOOKUP(AP14,'Axe 2 Règles de gestion'!$D$2:$F$146,3, FALSE)</f>
        <v>La date de début de la position doit être postérieure ou égale à la date d'entrée dans la FPE ou dans la carrière militaire.</v>
      </c>
      <c r="AR14" s="13" t="s">
        <v>132</v>
      </c>
      <c r="AS14" s="15" t="str">
        <f>VLOOKUP(AR14,'Axe 2 Règles de gestion'!$D$2:$F$146,3, FALSE)</f>
        <v>La date de début de position est à J+1 de la date de fin de position de l'occurrence précédente.</v>
      </c>
      <c r="AT14" s="13" t="s">
        <v>134</v>
      </c>
      <c r="AU14" s="15" t="str">
        <f>VLOOKUP(AT14,'Axe 2 Règles de gestion'!$D$2:$F$146,3, FALSE)</f>
        <v>La date de début de position doit être antérieure ou égale à la date de fin prévisionnelle de position.</v>
      </c>
      <c r="AV14" s="13" t="s">
        <v>136</v>
      </c>
      <c r="AW14" s="15" t="str">
        <f>VLOOKUP(AV14,'Axe 2 Règles de gestion'!$D$2:$F$146,3, FALSE)</f>
        <v>La date de début de position doit être antérieure ou égale à la date de fin réelle de position.</v>
      </c>
      <c r="AX14" s="13" t="s">
        <v>138</v>
      </c>
      <c r="AY14" s="15" t="str">
        <f>VLOOKUP(AX14,'Axe 2 Règles de gestion'!$D$2:$F$146,3, FALSE)</f>
        <v>La date de fin prévisionnelle de la position doit être antérieure à la date limite de départ à la retraite.</v>
      </c>
      <c r="AZ14" s="13" t="s">
        <v>140</v>
      </c>
      <c r="BA14" s="15" t="str">
        <f>VLOOKUP(AZ14,'Axe 2 Règles de gestion'!$D$2:$F$146,3, FALSE)</f>
        <v>La date de fin réelle de la position doit être antérieure à la date limite de départ à la retraite.</v>
      </c>
      <c r="BB14" s="13" t="s">
        <v>142</v>
      </c>
      <c r="BC14" s="15" t="str">
        <f>VLOOKUP(BB14,'Axe 2 Règles de gestion'!$D$2:$F$146,3, FALSE)</f>
        <v>La date de fin ou la date de fin prévisionnelle doit être saisie.</v>
      </c>
      <c r="BD14" s="13" t="s">
        <v>144</v>
      </c>
      <c r="BE14" s="15" t="str">
        <f>VLOOKUP(BD14,'Axe 2 Règles de gestion'!$D$2:$F$146,3, FALSE)</f>
        <v>Le lien vers l'enfant doit être renseigné.</v>
      </c>
      <c r="BF14" s="13" t="s">
        <v>146</v>
      </c>
      <c r="BG14" s="15" t="str">
        <f>VLOOKUP(BF14,'Axe 2 Règles de gestion'!$D$2:$F$146,3, FALSE)</f>
        <v>La date de naissance de l'enfant doit être renseignée.</v>
      </c>
      <c r="BH14" s="13" t="s">
        <v>148</v>
      </c>
      <c r="BI14" s="15" t="str">
        <f>VLOOKUP(BH14,'Axe 2 Règles de gestion'!$D$2:$F$146,3, FALSE)</f>
        <v>La date de fin réelle de la position doit être antérieure ou égale à la date de décès de l'enfant.</v>
      </c>
      <c r="BJ14" s="13" t="s">
        <v>150</v>
      </c>
      <c r="BK14" s="15" t="str">
        <f>VLOOKUP(BJ14,'Axe 2 Règles de gestion'!$D$2:$F$146,3, FALSE)</f>
        <v>La date de fin prévisionnelle de la position doit être antérieure ou égale à la date de décès de l'enfant.</v>
      </c>
      <c r="BL14" s="13" t="s">
        <v>152</v>
      </c>
      <c r="BM14" s="15" t="str">
        <f>VLOOKUP(BL14,'Axe 2 Règles de gestion'!$D$2:$F$146,3, FALSE)</f>
        <v>La saisie d'une occurrence de congés/absences est interdite (date de fin réelle)</v>
      </c>
      <c r="BN14" s="13" t="s">
        <v>154</v>
      </c>
      <c r="BO14" s="15" t="str">
        <f>VLOOKUP(BN14,'Axe 2 Règles de gestion'!$D$2:$F$146,3, FALSE)</f>
        <v>La saisie d'une occurrence de congés/absences est interdite (date de fin prévisionnelle)</v>
      </c>
      <c r="BP14" s="13"/>
      <c r="BQ14" s="15"/>
      <c r="BR14" s="13"/>
      <c r="BS14" s="15"/>
      <c r="BT14" s="13"/>
      <c r="BU14" s="15"/>
      <c r="BV14" s="13"/>
      <c r="BW14" s="15"/>
    </row>
    <row r="15" spans="1:75" ht="130.5" x14ac:dyDescent="0.35">
      <c r="A15" s="13" t="s">
        <v>165</v>
      </c>
      <c r="B15" s="13" t="s">
        <v>109</v>
      </c>
      <c r="C15" s="14">
        <v>44714.706944444442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99</v>
      </c>
      <c r="M15" s="15" t="s">
        <v>100</v>
      </c>
      <c r="N15" s="13" t="s">
        <v>101</v>
      </c>
      <c r="O15" s="15" t="s">
        <v>102</v>
      </c>
      <c r="P15" s="15" t="s">
        <v>103</v>
      </c>
      <c r="Q15" s="15" t="s">
        <v>110</v>
      </c>
      <c r="R15" s="13" t="s">
        <v>111</v>
      </c>
      <c r="S15" s="13" t="s">
        <v>93</v>
      </c>
      <c r="T15" s="13" t="s">
        <v>112</v>
      </c>
      <c r="U15" s="14">
        <v>40725</v>
      </c>
      <c r="V15" s="14">
        <v>44633</v>
      </c>
      <c r="W15" s="15" t="s">
        <v>166</v>
      </c>
      <c r="X15" s="13" t="s">
        <v>167</v>
      </c>
      <c r="Y15" s="15" t="str">
        <f>VLOOKUP(X15,'Axe 2 Règles de gestion'!$D$2:$F$146,3, FALSE)</f>
        <v>L'agent doit demander à reprendre ses fonctions au moins 2 mois avant l'expiration du congé en cours.</v>
      </c>
      <c r="Z15" s="13" t="s">
        <v>169</v>
      </c>
      <c r="AA15" s="15" t="str">
        <f>VLOOKUP(Z15,'Axe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5" s="13"/>
      <c r="AC15" s="15"/>
      <c r="AD15" s="13"/>
      <c r="AE15" s="15"/>
      <c r="AF15" s="13" t="s">
        <v>118</v>
      </c>
      <c r="AG15" s="15" t="str">
        <f>VLOOKUP(AF15,'Axe 2 Règles de gestion'!$D$2:$F$146,3, FALSE)</f>
        <v>La durée prévisionnelle maximale de chaque période est de un an.</v>
      </c>
      <c r="AH15" s="13" t="s">
        <v>120</v>
      </c>
      <c r="AI15" s="15" t="str">
        <f>VLOOKUP(AH15,'Axe 2 Règles de gestion'!$D$2:$F$146,3, FALSE)</f>
        <v>La durée réelle maximale de chaque période est de un an.</v>
      </c>
      <c r="AJ15" s="13" t="s">
        <v>122</v>
      </c>
      <c r="AK15" s="15" t="str">
        <f>VLOOKUP(AJ15,'Axe 2 Règles de gestion'!$D$2:$F$146,3, FALSE)</f>
        <v>L'agent ne peut pas bénéficier de plus de 3 ans cumulés de congé sans traitement quels que soient les motifs de congés sans traitement : pour raisons personnelles ou familiales.</v>
      </c>
      <c r="AL15" s="13" t="s">
        <v>124</v>
      </c>
      <c r="AM15" s="15" t="str">
        <f>VLOOKUP(AL15,'Axe 2 Règles de gestion'!$D$2:$F$146,3, FALSE)</f>
        <v>L'agent doit avoir un enfant lié à cette position et l'enfant doit être âgé de moins de huit ans (date de fin prévisionnelle du congé sans traitement).</v>
      </c>
      <c r="AN15" s="13" t="s">
        <v>126</v>
      </c>
      <c r="AO15" s="15" t="str">
        <f>VLOOKUP(AN15,'Axe 2 Règles de gestion'!$D$2:$F$146,3, FALSE)</f>
        <v>L'agent doit avoir un enfant lié à cette position et l'enfant doit être âgé de moins de huit ans (date de fin réelle du congé sans traitement).</v>
      </c>
      <c r="AP15" s="13" t="s">
        <v>134</v>
      </c>
      <c r="AQ15" s="15" t="str">
        <f>VLOOKUP(AP15,'Axe 2 Règles de gestion'!$D$2:$F$146,3, FALSE)</f>
        <v>La date de début de position doit être antérieure ou égale à la date de fin prévisionnelle de position.</v>
      </c>
      <c r="AR15" s="13" t="s">
        <v>136</v>
      </c>
      <c r="AS15" s="15" t="str">
        <f>VLOOKUP(AR15,'Axe 2 Règles de gestion'!$D$2:$F$146,3, FALSE)</f>
        <v>La date de début de position doit être antérieure ou égale à la date de fin réelle de position.</v>
      </c>
      <c r="AT15" s="13" t="s">
        <v>138</v>
      </c>
      <c r="AU15" s="15" t="str">
        <f>VLOOKUP(AT15,'Axe 2 Règles de gestion'!$D$2:$F$146,3, FALSE)</f>
        <v>La date de fin prévisionnelle de la position doit être antérieure à la date limite de départ à la retraite.</v>
      </c>
      <c r="AV15" s="13" t="s">
        <v>140</v>
      </c>
      <c r="AW15" s="15" t="str">
        <f>VLOOKUP(AV15,'Axe 2 Règles de gestion'!$D$2:$F$146,3, FALSE)</f>
        <v>La date de fin réelle de la position doit être antérieure à la date limite de départ à la retraite.</v>
      </c>
      <c r="AX15" s="13" t="s">
        <v>142</v>
      </c>
      <c r="AY15" s="15" t="str">
        <f>VLOOKUP(AX15,'Axe 2 Règles de gestion'!$D$2:$F$146,3, FALSE)</f>
        <v>La date de fin ou la date de fin prévisionnelle doit être saisie.</v>
      </c>
      <c r="AZ15" s="13" t="s">
        <v>144</v>
      </c>
      <c r="BA15" s="15" t="str">
        <f>VLOOKUP(AZ15,'Axe 2 Règles de gestion'!$D$2:$F$146,3, FALSE)</f>
        <v>Le lien vers l'enfant doit être renseigné.</v>
      </c>
      <c r="BB15" s="13" t="s">
        <v>146</v>
      </c>
      <c r="BC15" s="15" t="str">
        <f>VLOOKUP(BB15,'Axe 2 Règles de gestion'!$D$2:$F$146,3, FALSE)</f>
        <v>La date de naissance de l'enfant doit être renseignée.</v>
      </c>
      <c r="BD15" s="13" t="s">
        <v>148</v>
      </c>
      <c r="BE15" s="15" t="str">
        <f>VLOOKUP(BD15,'Axe 2 Règles de gestion'!$D$2:$F$146,3, FALSE)</f>
        <v>La date de fin réelle de la position doit être antérieure ou égale à la date de décès de l'enfant.</v>
      </c>
      <c r="BF15" s="13" t="s">
        <v>150</v>
      </c>
      <c r="BG15" s="15" t="str">
        <f>VLOOKUP(BF15,'Axe 2 Règles de gestion'!$D$2:$F$146,3, FALSE)</f>
        <v>La date de fin prévisionnelle de la position doit être antérieure ou égale à la date de décès de l'enfant.</v>
      </c>
      <c r="BH15" s="13" t="s">
        <v>152</v>
      </c>
      <c r="BI15" s="15" t="str">
        <f>VLOOKUP(BH15,'Axe 2 Règles de gestion'!$D$2:$F$146,3, FALSE)</f>
        <v>La saisie d'une occurrence de congés/absences est interdite (date de fin réelle)</v>
      </c>
      <c r="BJ15" s="13" t="s">
        <v>154</v>
      </c>
      <c r="BK15" s="15" t="str">
        <f>VLOOKUP(BJ15,'Axe 2 Règles de gestion'!$D$2:$F$146,3, FALSE)</f>
        <v>La saisie d'une occurrence de congés/absences est interdite (date de fin prévisionnelle)</v>
      </c>
      <c r="BL15" s="13"/>
      <c r="BM15" s="15"/>
      <c r="BN15" s="13"/>
      <c r="BO15" s="15"/>
      <c r="BP15" s="13"/>
      <c r="BQ15" s="15"/>
      <c r="BR15" s="13"/>
      <c r="BS15" s="15"/>
      <c r="BT15" s="13"/>
      <c r="BU15" s="15"/>
      <c r="BV15" s="13"/>
      <c r="BW15" s="15"/>
    </row>
    <row r="16" spans="1:75" ht="145" x14ac:dyDescent="0.35">
      <c r="A16" s="13" t="s">
        <v>108</v>
      </c>
      <c r="B16" s="13" t="s">
        <v>109</v>
      </c>
      <c r="C16" s="14">
        <v>45805.663194444445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99</v>
      </c>
      <c r="M16" s="15" t="s">
        <v>100</v>
      </c>
      <c r="N16" s="13" t="s">
        <v>101</v>
      </c>
      <c r="O16" s="15" t="s">
        <v>102</v>
      </c>
      <c r="P16" s="15" t="s">
        <v>103</v>
      </c>
      <c r="Q16" s="15" t="s">
        <v>110</v>
      </c>
      <c r="R16" s="13" t="s">
        <v>111</v>
      </c>
      <c r="S16" s="13" t="s">
        <v>93</v>
      </c>
      <c r="T16" s="13" t="s">
        <v>112</v>
      </c>
      <c r="U16" s="14">
        <v>44634</v>
      </c>
      <c r="V16" s="14">
        <v>45781</v>
      </c>
      <c r="W16" s="15" t="s">
        <v>171</v>
      </c>
      <c r="X16" s="13" t="s">
        <v>167</v>
      </c>
      <c r="Y16" s="15" t="str">
        <f>VLOOKUP(X16,'Axe 2 Règles de gestion'!$D$2:$F$146,3, FALSE)</f>
        <v>L'agent doit demander à reprendre ses fonctions au moins 2 mois avant l'expiration du congé en cours.</v>
      </c>
      <c r="Z16" s="13" t="s">
        <v>172</v>
      </c>
      <c r="AA16" s="15" t="str">
        <f>VLOOKUP(Z16,'Axe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6" s="13"/>
      <c r="AC16" s="15"/>
      <c r="AD16" s="13"/>
      <c r="AE16" s="15"/>
      <c r="AF16" s="13" t="s">
        <v>118</v>
      </c>
      <c r="AG16" s="15" t="str">
        <f>VLOOKUP(AF16,'Axe 2 Règles de gestion'!$D$2:$F$146,3, FALSE)</f>
        <v>La durée prévisionnelle maximale de chaque période est de un an.</v>
      </c>
      <c r="AH16" s="13" t="s">
        <v>120</v>
      </c>
      <c r="AI16" s="15" t="str">
        <f>VLOOKUP(AH16,'Axe 2 Règles de gestion'!$D$2:$F$146,3, FALSE)</f>
        <v>La durée réelle maximale de chaque période est de un an.</v>
      </c>
      <c r="AJ16" s="13" t="s">
        <v>122</v>
      </c>
      <c r="AK16" s="15" t="str">
        <f>VLOOKUP(AJ16,'Axe 2 Règles de gestion'!$D$2:$F$146,3, FALSE)</f>
        <v>L'agent ne peut pas bénéficier de plus de 3 ans cumulés de congé sans traitement quels que soient les motifs de congés sans traitement : pour raisons personnelles ou familiales.</v>
      </c>
      <c r="AL16" s="13" t="s">
        <v>124</v>
      </c>
      <c r="AM16" s="15" t="str">
        <f>VLOOKUP(AL16,'Axe 2 Règles de gestion'!$D$2:$F$146,3, FALSE)</f>
        <v>L'agent doit avoir un enfant lié à cette position et l'enfant doit être âgé de moins de huit ans (date de fin prévisionnelle du congé sans traitement).</v>
      </c>
      <c r="AN16" s="13" t="s">
        <v>126</v>
      </c>
      <c r="AO16" s="15" t="str">
        <f>VLOOKUP(AN16,'Axe 2 Règles de gestion'!$D$2:$F$146,3, FALSE)</f>
        <v>L'agent doit avoir un enfant lié à cette position et l'enfant doit être âgé de moins de huit ans (date de fin réelle du congé sans traitement).</v>
      </c>
      <c r="AP16" s="13" t="s">
        <v>134</v>
      </c>
      <c r="AQ16" s="15" t="str">
        <f>VLOOKUP(AP16,'Axe 2 Règles de gestion'!$D$2:$F$146,3, FALSE)</f>
        <v>La date de début de position doit être antérieure ou égale à la date de fin prévisionnelle de position.</v>
      </c>
      <c r="AR16" s="13" t="s">
        <v>136</v>
      </c>
      <c r="AS16" s="15" t="str">
        <f>VLOOKUP(AR16,'Axe 2 Règles de gestion'!$D$2:$F$146,3, FALSE)</f>
        <v>La date de début de position doit être antérieure ou égale à la date de fin réelle de position.</v>
      </c>
      <c r="AT16" s="13" t="s">
        <v>138</v>
      </c>
      <c r="AU16" s="15" t="str">
        <f>VLOOKUP(AT16,'Axe 2 Règles de gestion'!$D$2:$F$146,3, FALSE)</f>
        <v>La date de fin prévisionnelle de la position doit être antérieure à la date limite de départ à la retraite.</v>
      </c>
      <c r="AV16" s="13" t="s">
        <v>140</v>
      </c>
      <c r="AW16" s="15" t="str">
        <f>VLOOKUP(AV16,'Axe 2 Règles de gestion'!$D$2:$F$146,3, FALSE)</f>
        <v>La date de fin réelle de la position doit être antérieure à la date limite de départ à la retraite.</v>
      </c>
      <c r="AX16" s="13" t="s">
        <v>142</v>
      </c>
      <c r="AY16" s="15" t="str">
        <f>VLOOKUP(AX16,'Axe 2 Règles de gestion'!$D$2:$F$146,3, FALSE)</f>
        <v>La date de fin ou la date de fin prévisionnelle doit être saisie.</v>
      </c>
      <c r="AZ16" s="13" t="s">
        <v>144</v>
      </c>
      <c r="BA16" s="15" t="str">
        <f>VLOOKUP(AZ16,'Axe 2 Règles de gestion'!$D$2:$F$146,3, FALSE)</f>
        <v>Le lien vers l'enfant doit être renseigné.</v>
      </c>
      <c r="BB16" s="13" t="s">
        <v>146</v>
      </c>
      <c r="BC16" s="15" t="str">
        <f>VLOOKUP(BB16,'Axe 2 Règles de gestion'!$D$2:$F$146,3, FALSE)</f>
        <v>La date de naissance de l'enfant doit être renseignée.</v>
      </c>
      <c r="BD16" s="13" t="s">
        <v>148</v>
      </c>
      <c r="BE16" s="15" t="str">
        <f>VLOOKUP(BD16,'Axe 2 Règles de gestion'!$D$2:$F$146,3, FALSE)</f>
        <v>La date de fin réelle de la position doit être antérieure ou égale à la date de décès de l'enfant.</v>
      </c>
      <c r="BF16" s="13" t="s">
        <v>150</v>
      </c>
      <c r="BG16" s="15" t="str">
        <f>VLOOKUP(BF16,'Axe 2 Règles de gestion'!$D$2:$F$146,3, FALSE)</f>
        <v>La date de fin prévisionnelle de la position doit être antérieure ou égale à la date de décès de l'enfant.</v>
      </c>
      <c r="BH16" s="13" t="s">
        <v>152</v>
      </c>
      <c r="BI16" s="15" t="str">
        <f>VLOOKUP(BH16,'Axe 2 Règles de gestion'!$D$2:$F$146,3, FALSE)</f>
        <v>La saisie d'une occurrence de congés/absences est interdite (date de fin réelle)</v>
      </c>
      <c r="BJ16" s="13" t="s">
        <v>154</v>
      </c>
      <c r="BK16" s="15" t="str">
        <f>VLOOKUP(BJ16,'Axe 2 Règles de gestion'!$D$2:$F$146,3, FALSE)</f>
        <v>La saisie d'une occurrence de congés/absences est interdite (date de fin prévisionnelle)</v>
      </c>
      <c r="BL16" s="13"/>
      <c r="BM16" s="15"/>
      <c r="BN16" s="13"/>
      <c r="BO16" s="15"/>
      <c r="BP16" s="13"/>
      <c r="BQ16" s="15"/>
      <c r="BR16" s="13"/>
      <c r="BS16" s="15"/>
      <c r="BT16" s="13"/>
      <c r="BU16" s="15"/>
      <c r="BV16" s="13"/>
      <c r="BW16" s="15"/>
    </row>
    <row r="17" spans="1:75" ht="145" x14ac:dyDescent="0.35">
      <c r="A17" s="13" t="s">
        <v>108</v>
      </c>
      <c r="B17" s="13" t="s">
        <v>77</v>
      </c>
      <c r="C17" s="14">
        <v>45805.663194444445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99</v>
      </c>
      <c r="M17" s="15" t="s">
        <v>100</v>
      </c>
      <c r="N17" s="13" t="s">
        <v>101</v>
      </c>
      <c r="O17" s="15" t="s">
        <v>102</v>
      </c>
      <c r="P17" s="15" t="s">
        <v>103</v>
      </c>
      <c r="Q17" s="15" t="s">
        <v>110</v>
      </c>
      <c r="R17" s="13" t="s">
        <v>111</v>
      </c>
      <c r="S17" s="13" t="s">
        <v>93</v>
      </c>
      <c r="T17" s="13" t="s">
        <v>112</v>
      </c>
      <c r="U17" s="14">
        <v>45782</v>
      </c>
      <c r="V17" s="14"/>
      <c r="W17" s="15" t="s">
        <v>174</v>
      </c>
      <c r="X17" s="13" t="s">
        <v>167</v>
      </c>
      <c r="Y17" s="15" t="str">
        <f>VLOOKUP(X17,'Axe 2 Règles de gestion'!$D$2:$F$146,3, FALSE)</f>
        <v>L'agent doit demander à reprendre ses fonctions au moins 2 mois avant l'expiration du congé en cours.</v>
      </c>
      <c r="Z17" s="13" t="s">
        <v>172</v>
      </c>
      <c r="AA17" s="15" t="str">
        <f>VLOOKUP(Z17,'Axe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7" s="13"/>
      <c r="AC17" s="15"/>
      <c r="AD17" s="13"/>
      <c r="AE17" s="15"/>
      <c r="AF17" s="13" t="s">
        <v>118</v>
      </c>
      <c r="AG17" s="15" t="str">
        <f>VLOOKUP(AF17,'Axe 2 Règles de gestion'!$D$2:$F$146,3, FALSE)</f>
        <v>La durée prévisionnelle maximale de chaque période est de un an.</v>
      </c>
      <c r="AH17" s="13" t="s">
        <v>120</v>
      </c>
      <c r="AI17" s="15" t="str">
        <f>VLOOKUP(AH17,'Axe 2 Règles de gestion'!$D$2:$F$146,3, FALSE)</f>
        <v>La durée réelle maximale de chaque période est de un an.</v>
      </c>
      <c r="AJ17" s="13" t="s">
        <v>122</v>
      </c>
      <c r="AK17" s="15" t="str">
        <f>VLOOKUP(AJ17,'Axe 2 Règles de gestion'!$D$2:$F$146,3, FALSE)</f>
        <v>L'agent ne peut pas bénéficier de plus de 3 ans cumulés de congé sans traitement quels que soient les motifs de congés sans traitement : pour raisons personnelles ou familiales.</v>
      </c>
      <c r="AL17" s="13" t="s">
        <v>157</v>
      </c>
      <c r="AM17" s="15" t="str">
        <f>VLOOKUP(AL17,'Axe 2 Règles de gestion'!$D$2:$F$146,3, FALSE)</f>
        <v>L'agent doit avoir un enfant lié à cette position et l'enfant doit être âgé de moins de 12 ans (date de fin prévisionnelle du congé sans traitement).</v>
      </c>
      <c r="AN17" s="13" t="s">
        <v>159</v>
      </c>
      <c r="AO17" s="15" t="str">
        <f>VLOOKUP(AN17,'Axe 2 Règles de gestion'!$D$2:$F$146,3, FALSE)</f>
        <v>L'agent doit avoir un enfant lié à cette position et l'enfant doit être âgé de moins de 12 ans (date de fin réelle du congé sans traitement).</v>
      </c>
      <c r="AP17" s="13" t="s">
        <v>134</v>
      </c>
      <c r="AQ17" s="15" t="str">
        <f>VLOOKUP(AP17,'Axe 2 Règles de gestion'!$D$2:$F$146,3, FALSE)</f>
        <v>La date de début de position doit être antérieure ou égale à la date de fin prévisionnelle de position.</v>
      </c>
      <c r="AR17" s="13" t="s">
        <v>136</v>
      </c>
      <c r="AS17" s="15" t="str">
        <f>VLOOKUP(AR17,'Axe 2 Règles de gestion'!$D$2:$F$146,3, FALSE)</f>
        <v>La date de début de position doit être antérieure ou égale à la date de fin réelle de position.</v>
      </c>
      <c r="AT17" s="13" t="s">
        <v>138</v>
      </c>
      <c r="AU17" s="15" t="str">
        <f>VLOOKUP(AT17,'Axe 2 Règles de gestion'!$D$2:$F$146,3, FALSE)</f>
        <v>La date de fin prévisionnelle de la position doit être antérieure à la date limite de départ à la retraite.</v>
      </c>
      <c r="AV17" s="13" t="s">
        <v>140</v>
      </c>
      <c r="AW17" s="15" t="str">
        <f>VLOOKUP(AV17,'Axe 2 Règles de gestion'!$D$2:$F$146,3, FALSE)</f>
        <v>La date de fin réelle de la position doit être antérieure à la date limite de départ à la retraite.</v>
      </c>
      <c r="AX17" s="13" t="s">
        <v>142</v>
      </c>
      <c r="AY17" s="15" t="str">
        <f>VLOOKUP(AX17,'Axe 2 Règles de gestion'!$D$2:$F$146,3, FALSE)</f>
        <v>La date de fin ou la date de fin prévisionnelle doit être saisie.</v>
      </c>
      <c r="AZ17" s="13" t="s">
        <v>144</v>
      </c>
      <c r="BA17" s="15" t="str">
        <f>VLOOKUP(AZ17,'Axe 2 Règles de gestion'!$D$2:$F$146,3, FALSE)</f>
        <v>Le lien vers l'enfant doit être renseigné.</v>
      </c>
      <c r="BB17" s="13" t="s">
        <v>146</v>
      </c>
      <c r="BC17" s="15" t="str">
        <f>VLOOKUP(BB17,'Axe 2 Règles de gestion'!$D$2:$F$146,3, FALSE)</f>
        <v>La date de naissance de l'enfant doit être renseignée.</v>
      </c>
      <c r="BD17" s="13" t="s">
        <v>148</v>
      </c>
      <c r="BE17" s="15" t="str">
        <f>VLOOKUP(BD17,'Axe 2 Règles de gestion'!$D$2:$F$146,3, FALSE)</f>
        <v>La date de fin réelle de la position doit être antérieure ou égale à la date de décès de l'enfant.</v>
      </c>
      <c r="BF17" s="13" t="s">
        <v>150</v>
      </c>
      <c r="BG17" s="15" t="str">
        <f>VLOOKUP(BF17,'Axe 2 Règles de gestion'!$D$2:$F$146,3, FALSE)</f>
        <v>La date de fin prévisionnelle de la position doit être antérieure ou égale à la date de décès de l'enfant.</v>
      </c>
      <c r="BH17" s="13" t="s">
        <v>152</v>
      </c>
      <c r="BI17" s="15" t="str">
        <f>VLOOKUP(BH17,'Axe 2 Règles de gestion'!$D$2:$F$146,3, FALSE)</f>
        <v>La saisie d'une occurrence de congés/absences est interdite (date de fin réelle)</v>
      </c>
      <c r="BJ17" s="13" t="s">
        <v>154</v>
      </c>
      <c r="BK17" s="15" t="str">
        <f>VLOOKUP(BJ17,'Axe 2 Règles de gestion'!$D$2:$F$146,3, FALSE)</f>
        <v>La saisie d'une occurrence de congés/absences est interdite (date de fin prévisionnelle)</v>
      </c>
      <c r="BL17" s="13"/>
      <c r="BM17" s="15"/>
      <c r="BN17" s="13"/>
      <c r="BO17" s="15"/>
      <c r="BP17" s="13"/>
      <c r="BQ17" s="15"/>
      <c r="BR17" s="13"/>
      <c r="BS17" s="15"/>
      <c r="BT17" s="13"/>
      <c r="BU17" s="15"/>
      <c r="BV17" s="13"/>
      <c r="BW17" s="15"/>
    </row>
    <row r="18" spans="1:75" ht="72.5" x14ac:dyDescent="0.35">
      <c r="A18" s="13" t="s">
        <v>76</v>
      </c>
      <c r="B18" s="13" t="s">
        <v>77</v>
      </c>
      <c r="C18" s="14">
        <v>43152.5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82</v>
      </c>
      <c r="I18" s="15" t="s">
        <v>83</v>
      </c>
      <c r="J18" s="15" t="s">
        <v>84</v>
      </c>
      <c r="K18" s="15" t="s">
        <v>85</v>
      </c>
      <c r="L18" s="13" t="s">
        <v>86</v>
      </c>
      <c r="M18" s="15" t="s">
        <v>87</v>
      </c>
      <c r="N18" s="13" t="s">
        <v>88</v>
      </c>
      <c r="O18" s="15" t="s">
        <v>89</v>
      </c>
      <c r="P18" s="15" t="s">
        <v>90</v>
      </c>
      <c r="Q18" s="15" t="s">
        <v>175</v>
      </c>
      <c r="R18" s="13" t="s">
        <v>176</v>
      </c>
      <c r="S18" s="13" t="s">
        <v>93</v>
      </c>
      <c r="T18" s="13" t="s">
        <v>94</v>
      </c>
      <c r="U18" s="14">
        <v>40725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  <c r="BH18" s="13"/>
      <c r="BI18" s="15"/>
      <c r="BJ18" s="13"/>
      <c r="BK18" s="15"/>
      <c r="BL18" s="13"/>
      <c r="BM18" s="15"/>
      <c r="BN18" s="13"/>
      <c r="BO18" s="15"/>
      <c r="BP18" s="13"/>
      <c r="BQ18" s="15"/>
      <c r="BR18" s="13"/>
      <c r="BS18" s="15"/>
      <c r="BT18" s="13"/>
      <c r="BU18" s="15"/>
      <c r="BV18" s="13"/>
      <c r="BW18" s="15"/>
    </row>
    <row r="19" spans="1:75" ht="72.5" x14ac:dyDescent="0.35">
      <c r="A19" s="13" t="s">
        <v>76</v>
      </c>
      <c r="B19" s="13" t="s">
        <v>77</v>
      </c>
      <c r="C19" s="14">
        <v>43152.5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82</v>
      </c>
      <c r="I19" s="15" t="s">
        <v>83</v>
      </c>
      <c r="J19" s="15" t="s">
        <v>84</v>
      </c>
      <c r="K19" s="15" t="s">
        <v>85</v>
      </c>
      <c r="L19" s="13" t="s">
        <v>95</v>
      </c>
      <c r="M19" s="15" t="s">
        <v>96</v>
      </c>
      <c r="N19" s="13" t="s">
        <v>88</v>
      </c>
      <c r="O19" s="15" t="s">
        <v>97</v>
      </c>
      <c r="P19" s="15" t="s">
        <v>98</v>
      </c>
      <c r="Q19" s="15" t="s">
        <v>175</v>
      </c>
      <c r="R19" s="13" t="s">
        <v>176</v>
      </c>
      <c r="S19" s="13" t="s">
        <v>93</v>
      </c>
      <c r="T19" s="13" t="s">
        <v>94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  <c r="BH19" s="13"/>
      <c r="BI19" s="15"/>
      <c r="BJ19" s="13"/>
      <c r="BK19" s="15"/>
      <c r="BL19" s="13"/>
      <c r="BM19" s="15"/>
      <c r="BN19" s="13"/>
      <c r="BO19" s="15"/>
      <c r="BP19" s="13"/>
      <c r="BQ19" s="15"/>
      <c r="BR19" s="13"/>
      <c r="BS19" s="15"/>
      <c r="BT19" s="13"/>
      <c r="BU19" s="15"/>
      <c r="BV19" s="13"/>
      <c r="BW19" s="15"/>
    </row>
    <row r="20" spans="1:75" ht="43.5" x14ac:dyDescent="0.35">
      <c r="A20" s="13" t="s">
        <v>76</v>
      </c>
      <c r="B20" s="13" t="s">
        <v>77</v>
      </c>
      <c r="C20" s="14">
        <v>43152.5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82</v>
      </c>
      <c r="I20" s="15" t="s">
        <v>83</v>
      </c>
      <c r="J20" s="15" t="s">
        <v>84</v>
      </c>
      <c r="K20" s="15" t="s">
        <v>85</v>
      </c>
      <c r="L20" s="13" t="s">
        <v>99</v>
      </c>
      <c r="M20" s="15" t="s">
        <v>100</v>
      </c>
      <c r="N20" s="13" t="s">
        <v>101</v>
      </c>
      <c r="O20" s="15" t="s">
        <v>102</v>
      </c>
      <c r="P20" s="15" t="s">
        <v>103</v>
      </c>
      <c r="Q20" s="15" t="s">
        <v>175</v>
      </c>
      <c r="R20" s="13" t="s">
        <v>176</v>
      </c>
      <c r="S20" s="13" t="s">
        <v>93</v>
      </c>
      <c r="T20" s="13" t="s">
        <v>94</v>
      </c>
      <c r="U20" s="14">
        <v>40725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  <c r="BH20" s="13"/>
      <c r="BI20" s="15"/>
      <c r="BJ20" s="13"/>
      <c r="BK20" s="15"/>
      <c r="BL20" s="13"/>
      <c r="BM20" s="15"/>
      <c r="BN20" s="13"/>
      <c r="BO20" s="15"/>
      <c r="BP20" s="13"/>
      <c r="BQ20" s="15"/>
      <c r="BR20" s="13"/>
      <c r="BS20" s="15"/>
      <c r="BT20" s="13"/>
      <c r="BU20" s="15"/>
      <c r="BV20" s="13"/>
      <c r="BW20" s="15"/>
    </row>
    <row r="21" spans="1:75" ht="101.5" x14ac:dyDescent="0.35">
      <c r="A21" s="13" t="s">
        <v>108</v>
      </c>
      <c r="B21" s="13" t="s">
        <v>109</v>
      </c>
      <c r="C21" s="14">
        <v>45805.675000000003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82</v>
      </c>
      <c r="I21" s="15" t="s">
        <v>83</v>
      </c>
      <c r="J21" s="15" t="s">
        <v>84</v>
      </c>
      <c r="K21" s="15" t="s">
        <v>85</v>
      </c>
      <c r="L21" s="13" t="s">
        <v>86</v>
      </c>
      <c r="M21" s="15" t="s">
        <v>87</v>
      </c>
      <c r="N21" s="13" t="s">
        <v>88</v>
      </c>
      <c r="O21" s="15" t="s">
        <v>89</v>
      </c>
      <c r="P21" s="15" t="s">
        <v>90</v>
      </c>
      <c r="Q21" s="15" t="s">
        <v>177</v>
      </c>
      <c r="R21" s="13" t="s">
        <v>178</v>
      </c>
      <c r="S21" s="13" t="s">
        <v>179</v>
      </c>
      <c r="T21" s="13" t="s">
        <v>112</v>
      </c>
      <c r="U21" s="14">
        <v>40725</v>
      </c>
      <c r="V21" s="14">
        <v>45781</v>
      </c>
      <c r="W21" s="15" t="s">
        <v>180</v>
      </c>
      <c r="X21" s="13" t="s">
        <v>181</v>
      </c>
      <c r="Y21" s="15" t="str">
        <f>VLOOKUP(X21,'Axe 2 Règles de gestion'!$D$2:$F$146,3, FALSE)</f>
        <v>L'agent doit présenter une demande de congé sans traitement.</v>
      </c>
      <c r="Z21" s="13" t="s">
        <v>182</v>
      </c>
      <c r="AA21" s="15" t="str">
        <f>VLOOKUP(Z21,'Axe 2 Règles de gestion'!$D$2:$F$146,3, FALSE)</f>
        <v>La demande est accordée de droit par le supérieur hiérarchique.</v>
      </c>
      <c r="AB21" s="13"/>
      <c r="AC21" s="15"/>
      <c r="AD21" s="13"/>
      <c r="AE21" s="15"/>
      <c r="AF21" s="13" t="s">
        <v>183</v>
      </c>
      <c r="AG21" s="15" t="str">
        <f>VLOOKUP(AF21,'Axe 2 Règles de gestion'!$D$2:$F$146,3, FALSE)</f>
        <v>La durée prévisionnelle maximale de chaque période est de un an.</v>
      </c>
      <c r="AH21" s="13" t="s">
        <v>184</v>
      </c>
      <c r="AI21" s="15" t="str">
        <f>VLOOKUP(AH21,'Axe 2 Règles de gestion'!$D$2:$F$146,3, FALSE)</f>
        <v>La durée réelle maximale de chaque période est de un an.</v>
      </c>
      <c r="AJ21" s="13" t="s">
        <v>185</v>
      </c>
      <c r="AK21" s="15" t="str">
        <f>VLOOKUP(AJ21,'Axe 2 Règles de gestion'!$D$2:$F$146,3, FALSE)</f>
        <v>L'agent ne peut pas bénéficier de plus de 3 ans cumulés de congé sans traitement quels que soient les motifs de congés sans traitement : pour raisons personnelles ou familiales.</v>
      </c>
      <c r="AL21" s="13" t="s">
        <v>186</v>
      </c>
      <c r="AM21" s="15" t="str">
        <f>VLOOKUP(AL21,'Axe 2 Règles de gestion'!$D$2:$F$146,3, FALSE)</f>
        <v>L'agent doit avoir un enfant lié à cette position et l'enfant doit être âgé de moins de huit ans (date de fin prévisionnelle du congé sans traitement).</v>
      </c>
      <c r="AN21" s="13" t="s">
        <v>187</v>
      </c>
      <c r="AO21" s="15" t="str">
        <f>VLOOKUP(AN21,'Axe 2 Règles de gestion'!$D$2:$F$146,3, FALSE)</f>
        <v>L'agent doit avoir un enfant lié à cette position et l'enfant doit être âgé de moins de huit ans (date de fin réelle du congé sans traitement).</v>
      </c>
      <c r="AP21" s="13" t="s">
        <v>128</v>
      </c>
      <c r="AQ21" s="15" t="str">
        <f>VLOOKUP(AP21,'Axe 2 Règles de gestion'!$D$2:$F$146,3, FALSE)</f>
        <v>Lors de la demande initiale, l'agent doit être en activité.</v>
      </c>
      <c r="AR21" s="13" t="s">
        <v>130</v>
      </c>
      <c r="AS21" s="15" t="str">
        <f>VLOOKUP(AR21,'Axe 2 Règles de gestion'!$D$2:$F$146,3, FALSE)</f>
        <v>La date de début de la position doit être postérieure ou égale à la date d'entrée dans la FPE ou dans la carrière militaire.</v>
      </c>
      <c r="AT21" s="13" t="s">
        <v>132</v>
      </c>
      <c r="AU21" s="15" t="str">
        <f>VLOOKUP(AT21,'Axe 2 Règles de gestion'!$D$2:$F$146,3, FALSE)</f>
        <v>La date de début de position est à J+1 de la date de fin de position de l'occurrence précédente.</v>
      </c>
      <c r="AV21" s="13" t="s">
        <v>134</v>
      </c>
      <c r="AW21" s="15" t="str">
        <f>VLOOKUP(AV21,'Axe 2 Règles de gestion'!$D$2:$F$146,3, FALSE)</f>
        <v>La date de début de position doit être antérieure ou égale à la date de fin prévisionnelle de position.</v>
      </c>
      <c r="AX21" s="13" t="s">
        <v>136</v>
      </c>
      <c r="AY21" s="15" t="str">
        <f>VLOOKUP(AX21,'Axe 2 Règles de gestion'!$D$2:$F$146,3, FALSE)</f>
        <v>La date de début de position doit être antérieure ou égale à la date de fin réelle de position.</v>
      </c>
      <c r="AZ21" s="13" t="s">
        <v>138</v>
      </c>
      <c r="BA21" s="15" t="str">
        <f>VLOOKUP(AZ21,'Axe 2 Règles de gestion'!$D$2:$F$146,3, FALSE)</f>
        <v>La date de fin prévisionnelle de la position doit être antérieure à la date limite de départ à la retraite.</v>
      </c>
      <c r="BB21" s="13" t="s">
        <v>140</v>
      </c>
      <c r="BC21" s="15" t="str">
        <f>VLOOKUP(BB21,'Axe 2 Règles de gestion'!$D$2:$F$146,3, FALSE)</f>
        <v>La date de fin réelle de la position doit être antérieure à la date limite de départ à la retraite.</v>
      </c>
      <c r="BD21" s="13" t="s">
        <v>142</v>
      </c>
      <c r="BE21" s="15" t="str">
        <f>VLOOKUP(BD21,'Axe 2 Règles de gestion'!$D$2:$F$146,3, FALSE)</f>
        <v>La date de fin ou la date de fin prévisionnelle doit être saisie.</v>
      </c>
      <c r="BF21" s="13" t="s">
        <v>144</v>
      </c>
      <c r="BG21" s="15" t="str">
        <f>VLOOKUP(BF21,'Axe 2 Règles de gestion'!$D$2:$F$146,3, FALSE)</f>
        <v>Le lien vers l'enfant doit être renseigné.</v>
      </c>
      <c r="BH21" s="13" t="s">
        <v>146</v>
      </c>
      <c r="BI21" s="15" t="str">
        <f>VLOOKUP(BH21,'Axe 2 Règles de gestion'!$D$2:$F$146,3, FALSE)</f>
        <v>La date de naissance de l'enfant doit être renseignée.</v>
      </c>
      <c r="BJ21" s="13" t="s">
        <v>148</v>
      </c>
      <c r="BK21" s="15" t="str">
        <f>VLOOKUP(BJ21,'Axe 2 Règles de gestion'!$D$2:$F$146,3, FALSE)</f>
        <v>La date de fin réelle de la position doit être antérieure ou égale à la date de décès de l'enfant.</v>
      </c>
      <c r="BL21" s="13" t="s">
        <v>150</v>
      </c>
      <c r="BM21" s="15" t="str">
        <f>VLOOKUP(BL21,'Axe 2 Règles de gestion'!$D$2:$F$146,3, FALSE)</f>
        <v>La date de fin prévisionnelle de la position doit être antérieure ou égale à la date de décès de l'enfant.</v>
      </c>
      <c r="BN21" s="13" t="s">
        <v>152</v>
      </c>
      <c r="BO21" s="15" t="str">
        <f>VLOOKUP(BN21,'Axe 2 Règles de gestion'!$D$2:$F$146,3, FALSE)</f>
        <v>La saisie d'une occurrence de congés/absences est interdite (date de fin réelle)</v>
      </c>
      <c r="BP21" s="13" t="s">
        <v>154</v>
      </c>
      <c r="BQ21" s="15" t="str">
        <f>VLOOKUP(BP21,'Axe 2 Règles de gestion'!$D$2:$F$146,3, FALSE)</f>
        <v>La saisie d'une occurrence de congés/absences est interdite (date de fin prévisionnelle)</v>
      </c>
      <c r="BR21" s="13"/>
      <c r="BS21" s="15"/>
      <c r="BT21" s="13"/>
      <c r="BU21" s="15"/>
      <c r="BV21" s="13"/>
      <c r="BW21" s="15"/>
    </row>
    <row r="22" spans="1:75" ht="116" x14ac:dyDescent="0.35">
      <c r="A22" s="13" t="s">
        <v>108</v>
      </c>
      <c r="B22" s="13" t="s">
        <v>77</v>
      </c>
      <c r="C22" s="14">
        <v>45805.675000000003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82</v>
      </c>
      <c r="I22" s="15" t="s">
        <v>83</v>
      </c>
      <c r="J22" s="15" t="s">
        <v>84</v>
      </c>
      <c r="K22" s="15" t="s">
        <v>85</v>
      </c>
      <c r="L22" s="13" t="s">
        <v>86</v>
      </c>
      <c r="M22" s="15" t="s">
        <v>87</v>
      </c>
      <c r="N22" s="13" t="s">
        <v>88</v>
      </c>
      <c r="O22" s="15" t="s">
        <v>89</v>
      </c>
      <c r="P22" s="15" t="s">
        <v>90</v>
      </c>
      <c r="Q22" s="15" t="s">
        <v>177</v>
      </c>
      <c r="R22" s="13" t="s">
        <v>178</v>
      </c>
      <c r="S22" s="13" t="s">
        <v>179</v>
      </c>
      <c r="T22" s="13" t="s">
        <v>112</v>
      </c>
      <c r="U22" s="14">
        <v>45782</v>
      </c>
      <c r="V22" s="14"/>
      <c r="W22" s="15" t="s">
        <v>188</v>
      </c>
      <c r="X22" s="13" t="s">
        <v>189</v>
      </c>
      <c r="Y22" s="15" t="str">
        <f>VLOOKUP(X22,'Axe 2 Règles de gestion'!$D$2:$F$146,3, FALSE)</f>
        <v>L'agent bénéficie des dispositions applicables aux agents stagiaires.</v>
      </c>
      <c r="Z22" s="13" t="s">
        <v>114</v>
      </c>
      <c r="AA22" s="15" t="str">
        <f>VLOOKUP(Z22,'Axe 2 Règles de gestion'!$D$2:$F$146,3, FALSE)</f>
        <v>L'agent doit présenter une demande de congé sans traitement.</v>
      </c>
      <c r="AB22" s="13" t="s">
        <v>116</v>
      </c>
      <c r="AC22" s="15" t="str">
        <f>VLOOKUP(AB22,'Axe 2 Règles de gestion'!$D$2:$F$146,3, FALSE)</f>
        <v>La demande est accordée de droit par le supérieur hiérarchique.</v>
      </c>
      <c r="AD22" s="13"/>
      <c r="AE22" s="15"/>
      <c r="AF22" s="13" t="s">
        <v>118</v>
      </c>
      <c r="AG22" s="15" t="str">
        <f>VLOOKUP(AF22,'Axe 2 Règles de gestion'!$D$2:$F$146,3, FALSE)</f>
        <v>La durée prévisionnelle maximale de chaque période est de un an.</v>
      </c>
      <c r="AH22" s="13" t="s">
        <v>120</v>
      </c>
      <c r="AI22" s="15" t="str">
        <f>VLOOKUP(AH22,'Axe 2 Règles de gestion'!$D$2:$F$146,3, FALSE)</f>
        <v>La durée réelle maximale de chaque période est de un an.</v>
      </c>
      <c r="AJ22" s="13" t="s">
        <v>122</v>
      </c>
      <c r="AK22" s="15" t="str">
        <f>VLOOKUP(AJ22,'Axe 2 Règles de gestion'!$D$2:$F$146,3, FALSE)</f>
        <v>L'agent ne peut pas bénéficier de plus de 3 ans cumulés de congé sans traitement quels que soient les motifs de congés sans traitement : pour raisons personnelles ou familiales.</v>
      </c>
      <c r="AL22" s="13" t="s">
        <v>157</v>
      </c>
      <c r="AM22" s="15" t="str">
        <f>VLOOKUP(AL22,'Axe 2 Règles de gestion'!$D$2:$F$146,3, FALSE)</f>
        <v>L'agent doit avoir un enfant lié à cette position et l'enfant doit être âgé de moins de 12 ans (date de fin prévisionnelle du congé sans traitement).</v>
      </c>
      <c r="AN22" s="13" t="s">
        <v>159</v>
      </c>
      <c r="AO22" s="15" t="str">
        <f>VLOOKUP(AN22,'Axe 2 Règles de gestion'!$D$2:$F$146,3, FALSE)</f>
        <v>L'agent doit avoir un enfant lié à cette position et l'enfant doit être âgé de moins de 12 ans (date de fin réelle du congé sans traitement).</v>
      </c>
      <c r="AP22" s="13" t="s">
        <v>128</v>
      </c>
      <c r="AQ22" s="15" t="str">
        <f>VLOOKUP(AP22,'Axe 2 Règles de gestion'!$D$2:$F$146,3, FALSE)</f>
        <v>Lors de la demande initiale, l'agent doit être en activité.</v>
      </c>
      <c r="AR22" s="13" t="s">
        <v>130</v>
      </c>
      <c r="AS22" s="15" t="str">
        <f>VLOOKUP(AR22,'Axe 2 Règles de gestion'!$D$2:$F$146,3, FALSE)</f>
        <v>La date de début de la position doit être postérieure ou égale à la date d'entrée dans la FPE ou dans la carrière militaire.</v>
      </c>
      <c r="AT22" s="13" t="s">
        <v>132</v>
      </c>
      <c r="AU22" s="15" t="str">
        <f>VLOOKUP(AT22,'Axe 2 Règles de gestion'!$D$2:$F$146,3, FALSE)</f>
        <v>La date de début de position est à J+1 de la date de fin de position de l'occurrence précédente.</v>
      </c>
      <c r="AV22" s="13" t="s">
        <v>134</v>
      </c>
      <c r="AW22" s="15" t="str">
        <f>VLOOKUP(AV22,'Axe 2 Règles de gestion'!$D$2:$F$146,3, FALSE)</f>
        <v>La date de début de position doit être antérieure ou égale à la date de fin prévisionnelle de position.</v>
      </c>
      <c r="AX22" s="13" t="s">
        <v>136</v>
      </c>
      <c r="AY22" s="15" t="str">
        <f>VLOOKUP(AX22,'Axe 2 Règles de gestion'!$D$2:$F$146,3, FALSE)</f>
        <v>La date de début de position doit être antérieure ou égale à la date de fin réelle de position.</v>
      </c>
      <c r="AZ22" s="13" t="s">
        <v>138</v>
      </c>
      <c r="BA22" s="15" t="str">
        <f>VLOOKUP(AZ22,'Axe 2 Règles de gestion'!$D$2:$F$146,3, FALSE)</f>
        <v>La date de fin prévisionnelle de la position doit être antérieure à la date limite de départ à la retraite.</v>
      </c>
      <c r="BB22" s="13" t="s">
        <v>140</v>
      </c>
      <c r="BC22" s="15" t="str">
        <f>VLOOKUP(BB22,'Axe 2 Règles de gestion'!$D$2:$F$146,3, FALSE)</f>
        <v>La date de fin réelle de la position doit être antérieure à la date limite de départ à la retraite.</v>
      </c>
      <c r="BD22" s="13" t="s">
        <v>142</v>
      </c>
      <c r="BE22" s="15" t="str">
        <f>VLOOKUP(BD22,'Axe 2 Règles de gestion'!$D$2:$F$146,3, FALSE)</f>
        <v>La date de fin ou la date de fin prévisionnelle doit être saisie.</v>
      </c>
      <c r="BF22" s="13" t="s">
        <v>144</v>
      </c>
      <c r="BG22" s="15" t="str">
        <f>VLOOKUP(BF22,'Axe 2 Règles de gestion'!$D$2:$F$146,3, FALSE)</f>
        <v>Le lien vers l'enfant doit être renseigné.</v>
      </c>
      <c r="BH22" s="13" t="s">
        <v>146</v>
      </c>
      <c r="BI22" s="15" t="str">
        <f>VLOOKUP(BH22,'Axe 2 Règles de gestion'!$D$2:$F$146,3, FALSE)</f>
        <v>La date de naissance de l'enfant doit être renseignée.</v>
      </c>
      <c r="BJ22" s="13" t="s">
        <v>148</v>
      </c>
      <c r="BK22" s="15" t="str">
        <f>VLOOKUP(BJ22,'Axe 2 Règles de gestion'!$D$2:$F$146,3, FALSE)</f>
        <v>La date de fin réelle de la position doit être antérieure ou égale à la date de décès de l'enfant.</v>
      </c>
      <c r="BL22" s="13" t="s">
        <v>150</v>
      </c>
      <c r="BM22" s="15" t="str">
        <f>VLOOKUP(BL22,'Axe 2 Règles de gestion'!$D$2:$F$146,3, FALSE)</f>
        <v>La date de fin prévisionnelle de la position doit être antérieure ou égale à la date de décès de l'enfant.</v>
      </c>
      <c r="BN22" s="13" t="s">
        <v>152</v>
      </c>
      <c r="BO22" s="15" t="str">
        <f>VLOOKUP(BN22,'Axe 2 Règles de gestion'!$D$2:$F$146,3, FALSE)</f>
        <v>La saisie d'une occurrence de congés/absences est interdite (date de fin réelle)</v>
      </c>
      <c r="BP22" s="13" t="s">
        <v>154</v>
      </c>
      <c r="BQ22" s="15" t="str">
        <f>VLOOKUP(BP22,'Axe 2 Règles de gestion'!$D$2:$F$146,3, FALSE)</f>
        <v>La saisie d'une occurrence de congés/absences est interdite (date de fin prévisionnelle)</v>
      </c>
      <c r="BR22" s="13"/>
      <c r="BS22" s="15"/>
      <c r="BT22" s="13"/>
      <c r="BU22" s="15"/>
      <c r="BV22" s="13"/>
      <c r="BW22" s="15"/>
    </row>
    <row r="23" spans="1:75" ht="101.5" x14ac:dyDescent="0.35">
      <c r="A23" s="13" t="s">
        <v>108</v>
      </c>
      <c r="B23" s="13" t="s">
        <v>109</v>
      </c>
      <c r="C23" s="14">
        <v>45805.677083333336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82</v>
      </c>
      <c r="I23" s="15" t="s">
        <v>83</v>
      </c>
      <c r="J23" s="15" t="s">
        <v>84</v>
      </c>
      <c r="K23" s="15" t="s">
        <v>85</v>
      </c>
      <c r="L23" s="13" t="s">
        <v>95</v>
      </c>
      <c r="M23" s="15" t="s">
        <v>96</v>
      </c>
      <c r="N23" s="13" t="s">
        <v>88</v>
      </c>
      <c r="O23" s="15" t="s">
        <v>97</v>
      </c>
      <c r="P23" s="15" t="s">
        <v>98</v>
      </c>
      <c r="Q23" s="15" t="s">
        <v>177</v>
      </c>
      <c r="R23" s="13" t="s">
        <v>178</v>
      </c>
      <c r="S23" s="13" t="s">
        <v>179</v>
      </c>
      <c r="T23" s="13" t="s">
        <v>112</v>
      </c>
      <c r="U23" s="14">
        <v>40725</v>
      </c>
      <c r="V23" s="14">
        <v>45781</v>
      </c>
      <c r="W23" s="15" t="s">
        <v>191</v>
      </c>
      <c r="X23" s="13" t="s">
        <v>192</v>
      </c>
      <c r="Y23" s="15" t="str">
        <f>VLOOKUP(X23,'Axe 2 Règles de gestion'!$D$2:$F$146,3, FALSE)</f>
        <v>L'agent peut renouveler le congé sans traitement 2 fois.</v>
      </c>
      <c r="Z23" s="13"/>
      <c r="AA23" s="15"/>
      <c r="AB23" s="13"/>
      <c r="AC23" s="15"/>
      <c r="AD23" s="13"/>
      <c r="AE23" s="15"/>
      <c r="AF23" s="13" t="s">
        <v>183</v>
      </c>
      <c r="AG23" s="15" t="str">
        <f>VLOOKUP(AF23,'Axe 2 Règles de gestion'!$D$2:$F$146,3, FALSE)</f>
        <v>La durée prévisionnelle maximale de chaque période est de un an.</v>
      </c>
      <c r="AH23" s="13" t="s">
        <v>184</v>
      </c>
      <c r="AI23" s="15" t="str">
        <f>VLOOKUP(AH23,'Axe 2 Règles de gestion'!$D$2:$F$146,3, FALSE)</f>
        <v>La durée réelle maximale de chaque période est de un an.</v>
      </c>
      <c r="AJ23" s="13" t="s">
        <v>185</v>
      </c>
      <c r="AK23" s="15" t="str">
        <f>VLOOKUP(AJ23,'Axe 2 Règles de gestion'!$D$2:$F$146,3, FALSE)</f>
        <v>L'agent ne peut pas bénéficier de plus de 3 ans cumulés de congé sans traitement quels que soient les motifs de congés sans traitement : pour raisons personnelles ou familiales.</v>
      </c>
      <c r="AL23" s="13" t="s">
        <v>186</v>
      </c>
      <c r="AM23" s="15" t="str">
        <f>VLOOKUP(AL23,'Axe 2 Règles de gestion'!$D$2:$F$146,3, FALSE)</f>
        <v>L'agent doit avoir un enfant lié à cette position et l'enfant doit être âgé de moins de huit ans (date de fin prévisionnelle du congé sans traitement).</v>
      </c>
      <c r="AN23" s="13" t="s">
        <v>187</v>
      </c>
      <c r="AO23" s="15" t="str">
        <f>VLOOKUP(AN23,'Axe 2 Règles de gestion'!$D$2:$F$146,3, FALSE)</f>
        <v>L'agent doit avoir un enfant lié à cette position et l'enfant doit être âgé de moins de huit ans (date de fin réelle du congé sans traitement).</v>
      </c>
      <c r="AP23" s="13" t="s">
        <v>130</v>
      </c>
      <c r="AQ23" s="15" t="str">
        <f>VLOOKUP(AP23,'Axe 2 Règles de gestion'!$D$2:$F$146,3, FALSE)</f>
        <v>La date de début de la position doit être postérieure ou égale à la date d'entrée dans la FPE ou dans la carrière militaire.</v>
      </c>
      <c r="AR23" s="13" t="s">
        <v>132</v>
      </c>
      <c r="AS23" s="15" t="str">
        <f>VLOOKUP(AR23,'Axe 2 Règles de gestion'!$D$2:$F$146,3, FALSE)</f>
        <v>La date de début de position est à J+1 de la date de fin de position de l'occurrence précédente.</v>
      </c>
      <c r="AT23" s="13" t="s">
        <v>134</v>
      </c>
      <c r="AU23" s="15" t="str">
        <f>VLOOKUP(AT23,'Axe 2 Règles de gestion'!$D$2:$F$146,3, FALSE)</f>
        <v>La date de début de position doit être antérieure ou égale à la date de fin prévisionnelle de position.</v>
      </c>
      <c r="AV23" s="13" t="s">
        <v>136</v>
      </c>
      <c r="AW23" s="15" t="str">
        <f>VLOOKUP(AV23,'Axe 2 Règles de gestion'!$D$2:$F$146,3, FALSE)</f>
        <v>La date de début de position doit être antérieure ou égale à la date de fin réelle de position.</v>
      </c>
      <c r="AX23" s="13" t="s">
        <v>138</v>
      </c>
      <c r="AY23" s="15" t="str">
        <f>VLOOKUP(AX23,'Axe 2 Règles de gestion'!$D$2:$F$146,3, FALSE)</f>
        <v>La date de fin prévisionnelle de la position doit être antérieure à la date limite de départ à la retraite.</v>
      </c>
      <c r="AZ23" s="13" t="s">
        <v>140</v>
      </c>
      <c r="BA23" s="15" t="str">
        <f>VLOOKUP(AZ23,'Axe 2 Règles de gestion'!$D$2:$F$146,3, FALSE)</f>
        <v>La date de fin réelle de la position doit être antérieure à la date limite de départ à la retraite.</v>
      </c>
      <c r="BB23" s="13" t="s">
        <v>142</v>
      </c>
      <c r="BC23" s="15" t="str">
        <f>VLOOKUP(BB23,'Axe 2 Règles de gestion'!$D$2:$F$146,3, FALSE)</f>
        <v>La date de fin ou la date de fin prévisionnelle doit être saisie.</v>
      </c>
      <c r="BD23" s="13" t="s">
        <v>144</v>
      </c>
      <c r="BE23" s="15" t="str">
        <f>VLOOKUP(BD23,'Axe 2 Règles de gestion'!$D$2:$F$146,3, FALSE)</f>
        <v>Le lien vers l'enfant doit être renseigné.</v>
      </c>
      <c r="BF23" s="13" t="s">
        <v>146</v>
      </c>
      <c r="BG23" s="15" t="str">
        <f>VLOOKUP(BF23,'Axe 2 Règles de gestion'!$D$2:$F$146,3, FALSE)</f>
        <v>La date de naissance de l'enfant doit être renseignée.</v>
      </c>
      <c r="BH23" s="13" t="s">
        <v>148</v>
      </c>
      <c r="BI23" s="15" t="str">
        <f>VLOOKUP(BH23,'Axe 2 Règles de gestion'!$D$2:$F$146,3, FALSE)</f>
        <v>La date de fin réelle de la position doit être antérieure ou égale à la date de décès de l'enfant.</v>
      </c>
      <c r="BJ23" s="13" t="s">
        <v>150</v>
      </c>
      <c r="BK23" s="15" t="str">
        <f>VLOOKUP(BJ23,'Axe 2 Règles de gestion'!$D$2:$F$146,3, FALSE)</f>
        <v>La date de fin prévisionnelle de la position doit être antérieure ou égale à la date de décès de l'enfant.</v>
      </c>
      <c r="BL23" s="13" t="s">
        <v>152</v>
      </c>
      <c r="BM23" s="15" t="str">
        <f>VLOOKUP(BL23,'Axe 2 Règles de gestion'!$D$2:$F$146,3, FALSE)</f>
        <v>La saisie d'une occurrence de congés/absences est interdite (date de fin réelle)</v>
      </c>
      <c r="BN23" s="13" t="s">
        <v>154</v>
      </c>
      <c r="BO23" s="15" t="str">
        <f>VLOOKUP(BN23,'Axe 2 Règles de gestion'!$D$2:$F$146,3, FALSE)</f>
        <v>La saisie d'une occurrence de congés/absences est interdite (date de fin prévisionnelle)</v>
      </c>
      <c r="BP23" s="13"/>
      <c r="BQ23" s="15"/>
      <c r="BR23" s="13"/>
      <c r="BS23" s="15"/>
      <c r="BT23" s="13"/>
      <c r="BU23" s="15"/>
      <c r="BV23" s="13"/>
      <c r="BW23" s="15"/>
    </row>
    <row r="24" spans="1:75" ht="101.5" x14ac:dyDescent="0.35">
      <c r="A24" s="13" t="s">
        <v>108</v>
      </c>
      <c r="B24" s="13" t="s">
        <v>77</v>
      </c>
      <c r="C24" s="14">
        <v>45805.677083333336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82</v>
      </c>
      <c r="I24" s="15" t="s">
        <v>83</v>
      </c>
      <c r="J24" s="15" t="s">
        <v>84</v>
      </c>
      <c r="K24" s="15" t="s">
        <v>85</v>
      </c>
      <c r="L24" s="13" t="s">
        <v>95</v>
      </c>
      <c r="M24" s="15" t="s">
        <v>96</v>
      </c>
      <c r="N24" s="13" t="s">
        <v>88</v>
      </c>
      <c r="O24" s="15" t="s">
        <v>97</v>
      </c>
      <c r="P24" s="15" t="s">
        <v>98</v>
      </c>
      <c r="Q24" s="15" t="s">
        <v>177</v>
      </c>
      <c r="R24" s="13" t="s">
        <v>178</v>
      </c>
      <c r="S24" s="13" t="s">
        <v>179</v>
      </c>
      <c r="T24" s="13" t="s">
        <v>112</v>
      </c>
      <c r="U24" s="14">
        <v>45782</v>
      </c>
      <c r="V24" s="14"/>
      <c r="W24" s="15" t="s">
        <v>193</v>
      </c>
      <c r="X24" s="13" t="s">
        <v>189</v>
      </c>
      <c r="Y24" s="15" t="str">
        <f>VLOOKUP(X24,'Axe 2 Règles de gestion'!$D$2:$F$146,3, FALSE)</f>
        <v>L'agent bénéficie des dispositions applicables aux agents stagiaires.</v>
      </c>
      <c r="Z24" s="13" t="s">
        <v>162</v>
      </c>
      <c r="AA24" s="15" t="str">
        <f>VLOOKUP(Z24,'Axe 2 Règles de gestion'!$D$2:$F$146,3, FALSE)</f>
        <v>L'agent peut renouveler le congé sans traitement 2 fois.</v>
      </c>
      <c r="AB24" s="13"/>
      <c r="AC24" s="15"/>
      <c r="AD24" s="13"/>
      <c r="AE24" s="15"/>
      <c r="AF24" s="13" t="s">
        <v>118</v>
      </c>
      <c r="AG24" s="15" t="str">
        <f>VLOOKUP(AF24,'Axe 2 Règles de gestion'!$D$2:$F$146,3, FALSE)</f>
        <v>La durée prévisionnelle maximale de chaque période est de un an.</v>
      </c>
      <c r="AH24" s="13" t="s">
        <v>120</v>
      </c>
      <c r="AI24" s="15" t="str">
        <f>VLOOKUP(AH24,'Axe 2 Règles de gestion'!$D$2:$F$146,3, FALSE)</f>
        <v>La durée réelle maximale de chaque période est de un an.</v>
      </c>
      <c r="AJ24" s="13" t="s">
        <v>122</v>
      </c>
      <c r="AK24" s="15" t="str">
        <f>VLOOKUP(AJ24,'Axe 2 Règles de gestion'!$D$2:$F$146,3, FALSE)</f>
        <v>L'agent ne peut pas bénéficier de plus de 3 ans cumulés de congé sans traitement quels que soient les motifs de congés sans traitement : pour raisons personnelles ou familiales.</v>
      </c>
      <c r="AL24" s="13" t="s">
        <v>157</v>
      </c>
      <c r="AM24" s="15" t="str">
        <f>VLOOKUP(AL24,'Axe 2 Règles de gestion'!$D$2:$F$146,3, FALSE)</f>
        <v>L'agent doit avoir un enfant lié à cette position et l'enfant doit être âgé de moins de 12 ans (date de fin prévisionnelle du congé sans traitement).</v>
      </c>
      <c r="AN24" s="13" t="s">
        <v>159</v>
      </c>
      <c r="AO24" s="15" t="str">
        <f>VLOOKUP(AN24,'Axe 2 Règles de gestion'!$D$2:$F$146,3, FALSE)</f>
        <v>L'agent doit avoir un enfant lié à cette position et l'enfant doit être âgé de moins de 12 ans (date de fin réelle du congé sans traitement).</v>
      </c>
      <c r="AP24" s="13" t="s">
        <v>130</v>
      </c>
      <c r="AQ24" s="15" t="str">
        <f>VLOOKUP(AP24,'Axe 2 Règles de gestion'!$D$2:$F$146,3, FALSE)</f>
        <v>La date de début de la position doit être postérieure ou égale à la date d'entrée dans la FPE ou dans la carrière militaire.</v>
      </c>
      <c r="AR24" s="13" t="s">
        <v>132</v>
      </c>
      <c r="AS24" s="15" t="str">
        <f>VLOOKUP(AR24,'Axe 2 Règles de gestion'!$D$2:$F$146,3, FALSE)</f>
        <v>La date de début de position est à J+1 de la date de fin de position de l'occurrence précédente.</v>
      </c>
      <c r="AT24" s="13" t="s">
        <v>134</v>
      </c>
      <c r="AU24" s="15" t="str">
        <f>VLOOKUP(AT24,'Axe 2 Règles de gestion'!$D$2:$F$146,3, FALSE)</f>
        <v>La date de début de position doit être antérieure ou égale à la date de fin prévisionnelle de position.</v>
      </c>
      <c r="AV24" s="13" t="s">
        <v>136</v>
      </c>
      <c r="AW24" s="15" t="str">
        <f>VLOOKUP(AV24,'Axe 2 Règles de gestion'!$D$2:$F$146,3, FALSE)</f>
        <v>La date de début de position doit être antérieure ou égale à la date de fin réelle de position.</v>
      </c>
      <c r="AX24" s="13" t="s">
        <v>138</v>
      </c>
      <c r="AY24" s="15" t="str">
        <f>VLOOKUP(AX24,'Axe 2 Règles de gestion'!$D$2:$F$146,3, FALSE)</f>
        <v>La date de fin prévisionnelle de la position doit être antérieure à la date limite de départ à la retraite.</v>
      </c>
      <c r="AZ24" s="13" t="s">
        <v>140</v>
      </c>
      <c r="BA24" s="15" t="str">
        <f>VLOOKUP(AZ24,'Axe 2 Règles de gestion'!$D$2:$F$146,3, FALSE)</f>
        <v>La date de fin réelle de la position doit être antérieure à la date limite de départ à la retraite.</v>
      </c>
      <c r="BB24" s="13" t="s">
        <v>142</v>
      </c>
      <c r="BC24" s="15" t="str">
        <f>VLOOKUP(BB24,'Axe 2 Règles de gestion'!$D$2:$F$146,3, FALSE)</f>
        <v>La date de fin ou la date de fin prévisionnelle doit être saisie.</v>
      </c>
      <c r="BD24" s="13" t="s">
        <v>144</v>
      </c>
      <c r="BE24" s="15" t="str">
        <f>VLOOKUP(BD24,'Axe 2 Règles de gestion'!$D$2:$F$146,3, FALSE)</f>
        <v>Le lien vers l'enfant doit être renseigné.</v>
      </c>
      <c r="BF24" s="13" t="s">
        <v>146</v>
      </c>
      <c r="BG24" s="15" t="str">
        <f>VLOOKUP(BF24,'Axe 2 Règles de gestion'!$D$2:$F$146,3, FALSE)</f>
        <v>La date de naissance de l'enfant doit être renseignée.</v>
      </c>
      <c r="BH24" s="13" t="s">
        <v>148</v>
      </c>
      <c r="BI24" s="15" t="str">
        <f>VLOOKUP(BH24,'Axe 2 Règles de gestion'!$D$2:$F$146,3, FALSE)</f>
        <v>La date de fin réelle de la position doit être antérieure ou égale à la date de décès de l'enfant.</v>
      </c>
      <c r="BJ24" s="13" t="s">
        <v>150</v>
      </c>
      <c r="BK24" s="15" t="str">
        <f>VLOOKUP(BJ24,'Axe 2 Règles de gestion'!$D$2:$F$146,3, FALSE)</f>
        <v>La date de fin prévisionnelle de la position doit être antérieure ou égale à la date de décès de l'enfant.</v>
      </c>
      <c r="BL24" s="13" t="s">
        <v>152</v>
      </c>
      <c r="BM24" s="15" t="str">
        <f>VLOOKUP(BL24,'Axe 2 Règles de gestion'!$D$2:$F$146,3, FALSE)</f>
        <v>La saisie d'une occurrence de congés/absences est interdite (date de fin réelle)</v>
      </c>
      <c r="BN24" s="13" t="s">
        <v>154</v>
      </c>
      <c r="BO24" s="15" t="str">
        <f>VLOOKUP(BN24,'Axe 2 Règles de gestion'!$D$2:$F$146,3, FALSE)</f>
        <v>La saisie d'une occurrence de congés/absences est interdite (date de fin prévisionnelle)</v>
      </c>
      <c r="BP24" s="13"/>
      <c r="BQ24" s="15"/>
      <c r="BR24" s="13"/>
      <c r="BS24" s="15"/>
      <c r="BT24" s="13"/>
      <c r="BU24" s="15"/>
      <c r="BV24" s="13"/>
      <c r="BW24" s="15"/>
    </row>
    <row r="25" spans="1:75" ht="130.5" x14ac:dyDescent="0.35">
      <c r="A25" s="13" t="s">
        <v>165</v>
      </c>
      <c r="B25" s="13" t="s">
        <v>109</v>
      </c>
      <c r="C25" s="14">
        <v>44714.711805555555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82</v>
      </c>
      <c r="I25" s="15" t="s">
        <v>83</v>
      </c>
      <c r="J25" s="15" t="s">
        <v>84</v>
      </c>
      <c r="K25" s="15" t="s">
        <v>85</v>
      </c>
      <c r="L25" s="13" t="s">
        <v>99</v>
      </c>
      <c r="M25" s="15" t="s">
        <v>100</v>
      </c>
      <c r="N25" s="13" t="s">
        <v>101</v>
      </c>
      <c r="O25" s="15" t="s">
        <v>102</v>
      </c>
      <c r="P25" s="15" t="s">
        <v>103</v>
      </c>
      <c r="Q25" s="15" t="s">
        <v>177</v>
      </c>
      <c r="R25" s="13" t="s">
        <v>178</v>
      </c>
      <c r="S25" s="13" t="s">
        <v>179</v>
      </c>
      <c r="T25" s="13" t="s">
        <v>112</v>
      </c>
      <c r="U25" s="14">
        <v>40725</v>
      </c>
      <c r="V25" s="14">
        <v>44633</v>
      </c>
      <c r="W25" s="15" t="s">
        <v>194</v>
      </c>
      <c r="X25" s="13" t="s">
        <v>195</v>
      </c>
      <c r="Y25" s="15" t="str">
        <f>VLOOKUP(X25,'Axe 2 Règles de gestion'!$D$2:$F$146,3, FALSE)</f>
        <v>L'agent doit demander à reprendre ses fonctions 2 mois au moins avant l'expiration du congé en cours.</v>
      </c>
      <c r="Z25" s="13" t="s">
        <v>197</v>
      </c>
      <c r="AA25" s="15" t="str">
        <f>VLOOKUP(Z25,'Axe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25" s="13"/>
      <c r="AC25" s="15"/>
      <c r="AD25" s="13"/>
      <c r="AE25" s="15"/>
      <c r="AF25" s="13" t="s">
        <v>183</v>
      </c>
      <c r="AG25" s="15" t="str">
        <f>VLOOKUP(AF25,'Axe 2 Règles de gestion'!$D$2:$F$146,3, FALSE)</f>
        <v>La durée prévisionnelle maximale de chaque période est de un an.</v>
      </c>
      <c r="AH25" s="13" t="s">
        <v>184</v>
      </c>
      <c r="AI25" s="15" t="str">
        <f>VLOOKUP(AH25,'Axe 2 Règles de gestion'!$D$2:$F$146,3, FALSE)</f>
        <v>La durée réelle maximale de chaque période est de un an.</v>
      </c>
      <c r="AJ25" s="13" t="s">
        <v>185</v>
      </c>
      <c r="AK25" s="15" t="str">
        <f>VLOOKUP(AJ25,'Axe 2 Règles de gestion'!$D$2:$F$146,3, FALSE)</f>
        <v>L'agent ne peut pas bénéficier de plus de 3 ans cumulés de congé sans traitement quels que soient les motifs de congés sans traitement : pour raisons personnelles ou familiales.</v>
      </c>
      <c r="AL25" s="13" t="s">
        <v>186</v>
      </c>
      <c r="AM25" s="15" t="str">
        <f>VLOOKUP(AL25,'Axe 2 Règles de gestion'!$D$2:$F$146,3, FALSE)</f>
        <v>L'agent doit avoir un enfant lié à cette position et l'enfant doit être âgé de moins de huit ans (date de fin prévisionnelle du congé sans traitement).</v>
      </c>
      <c r="AN25" s="13" t="s">
        <v>187</v>
      </c>
      <c r="AO25" s="15" t="str">
        <f>VLOOKUP(AN25,'Axe 2 Règles de gestion'!$D$2:$F$146,3, FALSE)</f>
        <v>L'agent doit avoir un enfant lié à cette position et l'enfant doit être âgé de moins de huit ans (date de fin réelle du congé sans traitement).</v>
      </c>
      <c r="AP25" s="13" t="s">
        <v>134</v>
      </c>
      <c r="AQ25" s="15" t="str">
        <f>VLOOKUP(AP25,'Axe 2 Règles de gestion'!$D$2:$F$146,3, FALSE)</f>
        <v>La date de début de position doit être antérieure ou égale à la date de fin prévisionnelle de position.</v>
      </c>
      <c r="AR25" s="13" t="s">
        <v>136</v>
      </c>
      <c r="AS25" s="15" t="str">
        <f>VLOOKUP(AR25,'Axe 2 Règles de gestion'!$D$2:$F$146,3, FALSE)</f>
        <v>La date de début de position doit être antérieure ou égale à la date de fin réelle de position.</v>
      </c>
      <c r="AT25" s="13" t="s">
        <v>138</v>
      </c>
      <c r="AU25" s="15" t="str">
        <f>VLOOKUP(AT25,'Axe 2 Règles de gestion'!$D$2:$F$146,3, FALSE)</f>
        <v>La date de fin prévisionnelle de la position doit être antérieure à la date limite de départ à la retraite.</v>
      </c>
      <c r="AV25" s="13" t="s">
        <v>140</v>
      </c>
      <c r="AW25" s="15" t="str">
        <f>VLOOKUP(AV25,'Axe 2 Règles de gestion'!$D$2:$F$146,3, FALSE)</f>
        <v>La date de fin réelle de la position doit être antérieure à la date limite de départ à la retraite.</v>
      </c>
      <c r="AX25" s="13" t="s">
        <v>142</v>
      </c>
      <c r="AY25" s="15" t="str">
        <f>VLOOKUP(AX25,'Axe 2 Règles de gestion'!$D$2:$F$146,3, FALSE)</f>
        <v>La date de fin ou la date de fin prévisionnelle doit être saisie.</v>
      </c>
      <c r="AZ25" s="13" t="s">
        <v>144</v>
      </c>
      <c r="BA25" s="15" t="str">
        <f>VLOOKUP(AZ25,'Axe 2 Règles de gestion'!$D$2:$F$146,3, FALSE)</f>
        <v>Le lien vers l'enfant doit être renseigné.</v>
      </c>
      <c r="BB25" s="13" t="s">
        <v>146</v>
      </c>
      <c r="BC25" s="15" t="str">
        <f>VLOOKUP(BB25,'Axe 2 Règles de gestion'!$D$2:$F$146,3, FALSE)</f>
        <v>La date de naissance de l'enfant doit être renseignée.</v>
      </c>
      <c r="BD25" s="13" t="s">
        <v>148</v>
      </c>
      <c r="BE25" s="15" t="str">
        <f>VLOOKUP(BD25,'Axe 2 Règles de gestion'!$D$2:$F$146,3, FALSE)</f>
        <v>La date de fin réelle de la position doit être antérieure ou égale à la date de décès de l'enfant.</v>
      </c>
      <c r="BF25" s="13" t="s">
        <v>150</v>
      </c>
      <c r="BG25" s="15" t="str">
        <f>VLOOKUP(BF25,'Axe 2 Règles de gestion'!$D$2:$F$146,3, FALSE)</f>
        <v>La date de fin prévisionnelle de la position doit être antérieure ou égale à la date de décès de l'enfant.</v>
      </c>
      <c r="BH25" s="13" t="s">
        <v>152</v>
      </c>
      <c r="BI25" s="15" t="str">
        <f>VLOOKUP(BH25,'Axe 2 Règles de gestion'!$D$2:$F$146,3, FALSE)</f>
        <v>La saisie d'une occurrence de congés/absences est interdite (date de fin réelle)</v>
      </c>
      <c r="BJ25" s="13" t="s">
        <v>154</v>
      </c>
      <c r="BK25" s="15" t="str">
        <f>VLOOKUP(BJ25,'Axe 2 Règles de gestion'!$D$2:$F$146,3, FALSE)</f>
        <v>La saisie d'une occurrence de congés/absences est interdite (date de fin prévisionnelle)</v>
      </c>
      <c r="BL25" s="13"/>
      <c r="BM25" s="15"/>
      <c r="BN25" s="13"/>
      <c r="BO25" s="15"/>
      <c r="BP25" s="13"/>
      <c r="BQ25" s="15"/>
      <c r="BR25" s="13"/>
      <c r="BS25" s="15"/>
      <c r="BT25" s="13"/>
      <c r="BU25" s="15"/>
      <c r="BV25" s="13"/>
      <c r="BW25" s="15"/>
    </row>
    <row r="26" spans="1:75" ht="145" x14ac:dyDescent="0.35">
      <c r="A26" s="13" t="s">
        <v>108</v>
      </c>
      <c r="B26" s="13" t="s">
        <v>109</v>
      </c>
      <c r="C26" s="14">
        <v>45805.681250000001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82</v>
      </c>
      <c r="I26" s="15" t="s">
        <v>83</v>
      </c>
      <c r="J26" s="15" t="s">
        <v>84</v>
      </c>
      <c r="K26" s="15" t="s">
        <v>85</v>
      </c>
      <c r="L26" s="13" t="s">
        <v>99</v>
      </c>
      <c r="M26" s="15" t="s">
        <v>100</v>
      </c>
      <c r="N26" s="13" t="s">
        <v>101</v>
      </c>
      <c r="O26" s="15" t="s">
        <v>102</v>
      </c>
      <c r="P26" s="15" t="s">
        <v>103</v>
      </c>
      <c r="Q26" s="15" t="s">
        <v>177</v>
      </c>
      <c r="R26" s="13" t="s">
        <v>178</v>
      </c>
      <c r="S26" s="13" t="s">
        <v>179</v>
      </c>
      <c r="T26" s="13" t="s">
        <v>112</v>
      </c>
      <c r="U26" s="14">
        <v>44634</v>
      </c>
      <c r="V26" s="14">
        <v>45781</v>
      </c>
      <c r="W26" s="15" t="s">
        <v>198</v>
      </c>
      <c r="X26" s="13" t="s">
        <v>195</v>
      </c>
      <c r="Y26" s="15" t="str">
        <f>VLOOKUP(X26,'Axe 2 Règles de gestion'!$D$2:$F$146,3, FALSE)</f>
        <v>L'agent doit demander à reprendre ses fonctions 2 mois au moins avant l'expiration du congé en cours.</v>
      </c>
      <c r="Z26" s="13" t="s">
        <v>199</v>
      </c>
      <c r="AA26" s="15" t="str">
        <f>VLOOKUP(Z26,'Axe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26" s="13"/>
      <c r="AC26" s="15"/>
      <c r="AD26" s="13"/>
      <c r="AE26" s="15"/>
      <c r="AF26" s="13" t="s">
        <v>183</v>
      </c>
      <c r="AG26" s="15" t="str">
        <f>VLOOKUP(AF26,'Axe 2 Règles de gestion'!$D$2:$F$146,3, FALSE)</f>
        <v>La durée prévisionnelle maximale de chaque période est de un an.</v>
      </c>
      <c r="AH26" s="13" t="s">
        <v>184</v>
      </c>
      <c r="AI26" s="15" t="str">
        <f>VLOOKUP(AH26,'Axe 2 Règles de gestion'!$D$2:$F$146,3, FALSE)</f>
        <v>La durée réelle maximale de chaque période est de un an.</v>
      </c>
      <c r="AJ26" s="13" t="s">
        <v>185</v>
      </c>
      <c r="AK26" s="15" t="str">
        <f>VLOOKUP(AJ26,'Axe 2 Règles de gestion'!$D$2:$F$146,3, FALSE)</f>
        <v>L'agent ne peut pas bénéficier de plus de 3 ans cumulés de congé sans traitement quels que soient les motifs de congés sans traitement : pour raisons personnelles ou familiales.</v>
      </c>
      <c r="AL26" s="13" t="s">
        <v>186</v>
      </c>
      <c r="AM26" s="15" t="str">
        <f>VLOOKUP(AL26,'Axe 2 Règles de gestion'!$D$2:$F$146,3, FALSE)</f>
        <v>L'agent doit avoir un enfant lié à cette position et l'enfant doit être âgé de moins de huit ans (date de fin prévisionnelle du congé sans traitement).</v>
      </c>
      <c r="AN26" s="13" t="s">
        <v>187</v>
      </c>
      <c r="AO26" s="15" t="str">
        <f>VLOOKUP(AN26,'Axe 2 Règles de gestion'!$D$2:$F$146,3, FALSE)</f>
        <v>L'agent doit avoir un enfant lié à cette position et l'enfant doit être âgé de moins de huit ans (date de fin réelle du congé sans traitement).</v>
      </c>
      <c r="AP26" s="13" t="s">
        <v>134</v>
      </c>
      <c r="AQ26" s="15" t="str">
        <f>VLOOKUP(AP26,'Axe 2 Règles de gestion'!$D$2:$F$146,3, FALSE)</f>
        <v>La date de début de position doit être antérieure ou égale à la date de fin prévisionnelle de position.</v>
      </c>
      <c r="AR26" s="13" t="s">
        <v>136</v>
      </c>
      <c r="AS26" s="15" t="str">
        <f>VLOOKUP(AR26,'Axe 2 Règles de gestion'!$D$2:$F$146,3, FALSE)</f>
        <v>La date de début de position doit être antérieure ou égale à la date de fin réelle de position.</v>
      </c>
      <c r="AT26" s="13" t="s">
        <v>138</v>
      </c>
      <c r="AU26" s="15" t="str">
        <f>VLOOKUP(AT26,'Axe 2 Règles de gestion'!$D$2:$F$146,3, FALSE)</f>
        <v>La date de fin prévisionnelle de la position doit être antérieure à la date limite de départ à la retraite.</v>
      </c>
      <c r="AV26" s="13" t="s">
        <v>140</v>
      </c>
      <c r="AW26" s="15" t="str">
        <f>VLOOKUP(AV26,'Axe 2 Règles de gestion'!$D$2:$F$146,3, FALSE)</f>
        <v>La date de fin réelle de la position doit être antérieure à la date limite de départ à la retraite.</v>
      </c>
      <c r="AX26" s="13" t="s">
        <v>142</v>
      </c>
      <c r="AY26" s="15" t="str">
        <f>VLOOKUP(AX26,'Axe 2 Règles de gestion'!$D$2:$F$146,3, FALSE)</f>
        <v>La date de fin ou la date de fin prévisionnelle doit être saisie.</v>
      </c>
      <c r="AZ26" s="13" t="s">
        <v>144</v>
      </c>
      <c r="BA26" s="15" t="str">
        <f>VLOOKUP(AZ26,'Axe 2 Règles de gestion'!$D$2:$F$146,3, FALSE)</f>
        <v>Le lien vers l'enfant doit être renseigné.</v>
      </c>
      <c r="BB26" s="13" t="s">
        <v>146</v>
      </c>
      <c r="BC26" s="15" t="str">
        <f>VLOOKUP(BB26,'Axe 2 Règles de gestion'!$D$2:$F$146,3, FALSE)</f>
        <v>La date de naissance de l'enfant doit être renseignée.</v>
      </c>
      <c r="BD26" s="13" t="s">
        <v>148</v>
      </c>
      <c r="BE26" s="15" t="str">
        <f>VLOOKUP(BD26,'Axe 2 Règles de gestion'!$D$2:$F$146,3, FALSE)</f>
        <v>La date de fin réelle de la position doit être antérieure ou égale à la date de décès de l'enfant.</v>
      </c>
      <c r="BF26" s="13" t="s">
        <v>150</v>
      </c>
      <c r="BG26" s="15" t="str">
        <f>VLOOKUP(BF26,'Axe 2 Règles de gestion'!$D$2:$F$146,3, FALSE)</f>
        <v>La date de fin prévisionnelle de la position doit être antérieure ou égale à la date de décès de l'enfant.</v>
      </c>
      <c r="BH26" s="13" t="s">
        <v>152</v>
      </c>
      <c r="BI26" s="15" t="str">
        <f>VLOOKUP(BH26,'Axe 2 Règles de gestion'!$D$2:$F$146,3, FALSE)</f>
        <v>La saisie d'une occurrence de congés/absences est interdite (date de fin réelle)</v>
      </c>
      <c r="BJ26" s="13" t="s">
        <v>154</v>
      </c>
      <c r="BK26" s="15" t="str">
        <f>VLOOKUP(BJ26,'Axe 2 Règles de gestion'!$D$2:$F$146,3, FALSE)</f>
        <v>La saisie d'une occurrence de congés/absences est interdite (date de fin prévisionnelle)</v>
      </c>
      <c r="BL26" s="13"/>
      <c r="BM26" s="15"/>
      <c r="BN26" s="13"/>
      <c r="BO26" s="15"/>
      <c r="BP26" s="13"/>
      <c r="BQ26" s="15"/>
      <c r="BR26" s="13"/>
      <c r="BS26" s="15"/>
      <c r="BT26" s="13"/>
      <c r="BU26" s="15"/>
      <c r="BV26" s="13"/>
      <c r="BW26" s="15"/>
    </row>
    <row r="27" spans="1:75" ht="145" x14ac:dyDescent="0.35">
      <c r="A27" s="13" t="s">
        <v>108</v>
      </c>
      <c r="B27" s="13" t="s">
        <v>77</v>
      </c>
      <c r="C27" s="14">
        <v>45805.681250000001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82</v>
      </c>
      <c r="I27" s="15" t="s">
        <v>83</v>
      </c>
      <c r="J27" s="15" t="s">
        <v>84</v>
      </c>
      <c r="K27" s="15" t="s">
        <v>85</v>
      </c>
      <c r="L27" s="13" t="s">
        <v>99</v>
      </c>
      <c r="M27" s="15" t="s">
        <v>100</v>
      </c>
      <c r="N27" s="13" t="s">
        <v>101</v>
      </c>
      <c r="O27" s="15" t="s">
        <v>102</v>
      </c>
      <c r="P27" s="15" t="s">
        <v>103</v>
      </c>
      <c r="Q27" s="15" t="s">
        <v>177</v>
      </c>
      <c r="R27" s="13" t="s">
        <v>178</v>
      </c>
      <c r="S27" s="13" t="s">
        <v>179</v>
      </c>
      <c r="T27" s="13" t="s">
        <v>112</v>
      </c>
      <c r="U27" s="14">
        <v>45782</v>
      </c>
      <c r="V27" s="14"/>
      <c r="W27" s="15" t="s">
        <v>200</v>
      </c>
      <c r="X27" s="13" t="s">
        <v>189</v>
      </c>
      <c r="Y27" s="15" t="str">
        <f>VLOOKUP(X27,'Axe 2 Règles de gestion'!$D$2:$F$146,3, FALSE)</f>
        <v>L'agent bénéficie des dispositions applicables aux agents stagiaires.</v>
      </c>
      <c r="Z27" s="13" t="s">
        <v>167</v>
      </c>
      <c r="AA27" s="15" t="str">
        <f>VLOOKUP(Z27,'Axe 2 Règles de gestion'!$D$2:$F$146,3, FALSE)</f>
        <v>L'agent doit demander à reprendre ses fonctions au moins 2 mois avant l'expiration du congé en cours.</v>
      </c>
      <c r="AB27" s="13" t="s">
        <v>172</v>
      </c>
      <c r="AC27" s="15" t="str">
        <f>VLOOKUP(AB27,'Axe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D27" s="13"/>
      <c r="AE27" s="15"/>
      <c r="AF27" s="13" t="s">
        <v>118</v>
      </c>
      <c r="AG27" s="15" t="str">
        <f>VLOOKUP(AF27,'Axe 2 Règles de gestion'!$D$2:$F$146,3, FALSE)</f>
        <v>La durée prévisionnelle maximale de chaque période est de un an.</v>
      </c>
      <c r="AH27" s="13" t="s">
        <v>120</v>
      </c>
      <c r="AI27" s="15" t="str">
        <f>VLOOKUP(AH27,'Axe 2 Règles de gestion'!$D$2:$F$146,3, FALSE)</f>
        <v>La durée réelle maximale de chaque période est de un an.</v>
      </c>
      <c r="AJ27" s="13" t="s">
        <v>122</v>
      </c>
      <c r="AK27" s="15" t="str">
        <f>VLOOKUP(AJ27,'Axe 2 Règles de gestion'!$D$2:$F$146,3, FALSE)</f>
        <v>L'agent ne peut pas bénéficier de plus de 3 ans cumulés de congé sans traitement quels que soient les motifs de congés sans traitement : pour raisons personnelles ou familiales.</v>
      </c>
      <c r="AL27" s="13" t="s">
        <v>157</v>
      </c>
      <c r="AM27" s="15" t="str">
        <f>VLOOKUP(AL27,'Axe 2 Règles de gestion'!$D$2:$F$146,3, FALSE)</f>
        <v>L'agent doit avoir un enfant lié à cette position et l'enfant doit être âgé de moins de 12 ans (date de fin prévisionnelle du congé sans traitement).</v>
      </c>
      <c r="AN27" s="13" t="s">
        <v>159</v>
      </c>
      <c r="AO27" s="15" t="str">
        <f>VLOOKUP(AN27,'Axe 2 Règles de gestion'!$D$2:$F$146,3, FALSE)</f>
        <v>L'agent doit avoir un enfant lié à cette position et l'enfant doit être âgé de moins de 12 ans (date de fin réelle du congé sans traitement).</v>
      </c>
      <c r="AP27" s="13" t="s">
        <v>134</v>
      </c>
      <c r="AQ27" s="15" t="str">
        <f>VLOOKUP(AP27,'Axe 2 Règles de gestion'!$D$2:$F$146,3, FALSE)</f>
        <v>La date de début de position doit être antérieure ou égale à la date de fin prévisionnelle de position.</v>
      </c>
      <c r="AR27" s="13" t="s">
        <v>136</v>
      </c>
      <c r="AS27" s="15" t="str">
        <f>VLOOKUP(AR27,'Axe 2 Règles de gestion'!$D$2:$F$146,3, FALSE)</f>
        <v>La date de début de position doit être antérieure ou égale à la date de fin réelle de position.</v>
      </c>
      <c r="AT27" s="13" t="s">
        <v>138</v>
      </c>
      <c r="AU27" s="15" t="str">
        <f>VLOOKUP(AT27,'Axe 2 Règles de gestion'!$D$2:$F$146,3, FALSE)</f>
        <v>La date de fin prévisionnelle de la position doit être antérieure à la date limite de départ à la retraite.</v>
      </c>
      <c r="AV27" s="13" t="s">
        <v>140</v>
      </c>
      <c r="AW27" s="15" t="str">
        <f>VLOOKUP(AV27,'Axe 2 Règles de gestion'!$D$2:$F$146,3, FALSE)</f>
        <v>La date de fin réelle de la position doit être antérieure à la date limite de départ à la retraite.</v>
      </c>
      <c r="AX27" s="13" t="s">
        <v>142</v>
      </c>
      <c r="AY27" s="15" t="str">
        <f>VLOOKUP(AX27,'Axe 2 Règles de gestion'!$D$2:$F$146,3, FALSE)</f>
        <v>La date de fin ou la date de fin prévisionnelle doit être saisie.</v>
      </c>
      <c r="AZ27" s="13" t="s">
        <v>144</v>
      </c>
      <c r="BA27" s="15" t="str">
        <f>VLOOKUP(AZ27,'Axe 2 Règles de gestion'!$D$2:$F$146,3, FALSE)</f>
        <v>Le lien vers l'enfant doit être renseigné.</v>
      </c>
      <c r="BB27" s="13" t="s">
        <v>146</v>
      </c>
      <c r="BC27" s="15" t="str">
        <f>VLOOKUP(BB27,'Axe 2 Règles de gestion'!$D$2:$F$146,3, FALSE)</f>
        <v>La date de naissance de l'enfant doit être renseignée.</v>
      </c>
      <c r="BD27" s="13" t="s">
        <v>148</v>
      </c>
      <c r="BE27" s="15" t="str">
        <f>VLOOKUP(BD27,'Axe 2 Règles de gestion'!$D$2:$F$146,3, FALSE)</f>
        <v>La date de fin réelle de la position doit être antérieure ou égale à la date de décès de l'enfant.</v>
      </c>
      <c r="BF27" s="13" t="s">
        <v>150</v>
      </c>
      <c r="BG27" s="15" t="str">
        <f>VLOOKUP(BF27,'Axe 2 Règles de gestion'!$D$2:$F$146,3, FALSE)</f>
        <v>La date de fin prévisionnelle de la position doit être antérieure ou égale à la date de décès de l'enfant.</v>
      </c>
      <c r="BH27" s="13" t="s">
        <v>152</v>
      </c>
      <c r="BI27" s="15" t="str">
        <f>VLOOKUP(BH27,'Axe 2 Règles de gestion'!$D$2:$F$146,3, FALSE)</f>
        <v>La saisie d'une occurrence de congés/absences est interdite (date de fin réelle)</v>
      </c>
      <c r="BJ27" s="13" t="s">
        <v>154</v>
      </c>
      <c r="BK27" s="15" t="str">
        <f>VLOOKUP(BJ27,'Axe 2 Règles de gestion'!$D$2:$F$146,3, FALSE)</f>
        <v>La saisie d'une occurrence de congés/absences est interdite (date de fin prévisionnelle)</v>
      </c>
      <c r="BL27" s="13"/>
      <c r="BM27" s="15"/>
      <c r="BN27" s="13"/>
      <c r="BO27" s="15"/>
      <c r="BP27" s="13"/>
      <c r="BQ27" s="15"/>
      <c r="BR27" s="13"/>
      <c r="BS27" s="15"/>
      <c r="BT27" s="13"/>
      <c r="BU27" s="15"/>
      <c r="BV27" s="13"/>
      <c r="BW27" s="15"/>
    </row>
    <row r="28" spans="1:75" ht="116" x14ac:dyDescent="0.35">
      <c r="A28" s="13" t="s">
        <v>108</v>
      </c>
      <c r="B28" s="13" t="s">
        <v>109</v>
      </c>
      <c r="C28" s="14">
        <v>45805.675694444442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82</v>
      </c>
      <c r="I28" s="15" t="s">
        <v>83</v>
      </c>
      <c r="J28" s="15" t="s">
        <v>84</v>
      </c>
      <c r="K28" s="15" t="s">
        <v>85</v>
      </c>
      <c r="L28" s="13" t="s">
        <v>86</v>
      </c>
      <c r="M28" s="15" t="s">
        <v>87</v>
      </c>
      <c r="N28" s="13" t="s">
        <v>88</v>
      </c>
      <c r="O28" s="15" t="s">
        <v>89</v>
      </c>
      <c r="P28" s="15" t="s">
        <v>90</v>
      </c>
      <c r="Q28" s="15" t="s">
        <v>201</v>
      </c>
      <c r="R28" s="13" t="s">
        <v>202</v>
      </c>
      <c r="S28" s="13" t="s">
        <v>179</v>
      </c>
      <c r="T28" s="13" t="s">
        <v>112</v>
      </c>
      <c r="U28" s="14">
        <v>40725</v>
      </c>
      <c r="V28" s="14">
        <v>45781</v>
      </c>
      <c r="W28" s="15" t="s">
        <v>203</v>
      </c>
      <c r="X28" s="13" t="s">
        <v>204</v>
      </c>
      <c r="Y28" s="15" t="str">
        <f>VLOOKUP(X28,'Axe 2 Règles de gestion'!$D$2:$F$146,3, FALSE)</f>
        <v>L'agent doit présenter une demande de congé sans traitement.</v>
      </c>
      <c r="Z28" s="13" t="s">
        <v>205</v>
      </c>
      <c r="AA28" s="15" t="str">
        <f>VLOOKUP(Z28,'Axe 2 Règles de gestion'!$D$2:$F$146,3, FALSE)</f>
        <v>La demande est accordée de droit par le supérieur hiérarchique.</v>
      </c>
      <c r="AB28" s="13"/>
      <c r="AC28" s="15"/>
      <c r="AD28" s="13"/>
      <c r="AE28" s="15"/>
      <c r="AF28" s="13" t="s">
        <v>206</v>
      </c>
      <c r="AG28" s="15" t="str">
        <f>VLOOKUP(AF28,'Axe 2 Règles de gestion'!$D$2:$F$146,3, FALSE)</f>
        <v>La durée prévisionnelle maximale de chaque période est de un an.</v>
      </c>
      <c r="AH28" s="13" t="s">
        <v>207</v>
      </c>
      <c r="AI28" s="15" t="str">
        <f>VLOOKUP(AH28,'Axe 2 Règles de gestion'!$D$2:$F$146,3, FALSE)</f>
        <v>La durée réelle maximale de chaque période est de un an.</v>
      </c>
      <c r="AJ28" s="13" t="s">
        <v>208</v>
      </c>
      <c r="AK28" s="15" t="str">
        <f>VLOOKUP(AJ28,'Axe 2 Règles de gestion'!$D$2:$F$146,3, FALSE)</f>
        <v>L'agent ne peut pas bénéficier de plus de 3 ans cumulés de congé sans traitement quels que soient les motifs de congés sans traitement : pour raisons personnelles ou familiales.</v>
      </c>
      <c r="AL28" s="13" t="s">
        <v>209</v>
      </c>
      <c r="AM28" s="15" t="str">
        <f>VLOOKUP(AL28,'Axe 2 Règles de gestion'!$D$2:$F$146,3, FALSE)</f>
        <v>L'agent doit avoir un enfant lié à cette position et l'enfant doit être âgé de moins de huit ans (date de fin prévisionnelle du congé sans traitement).</v>
      </c>
      <c r="AN28" s="13" t="s">
        <v>210</v>
      </c>
      <c r="AO28" s="15" t="str">
        <f>VLOOKUP(AN28,'Axe 2 Règles de gestion'!$D$2:$F$146,3, FALSE)</f>
        <v>L'agent doit avoir un enfant lié à cette position et l'enfant doit être âgé de moins de huit ans (date de fin réelle du congé sans traitement).</v>
      </c>
      <c r="AP28" s="13" t="s">
        <v>128</v>
      </c>
      <c r="AQ28" s="15" t="str">
        <f>VLOOKUP(AP28,'Axe 2 Règles de gestion'!$D$2:$F$146,3, FALSE)</f>
        <v>Lors de la demande initiale, l'agent doit être en activité.</v>
      </c>
      <c r="AR28" s="13" t="s">
        <v>132</v>
      </c>
      <c r="AS28" s="15" t="str">
        <f>VLOOKUP(AR28,'Axe 2 Règles de gestion'!$D$2:$F$146,3, FALSE)</f>
        <v>La date de début de position est à J+1 de la date de fin de position de l'occurrence précédente.</v>
      </c>
      <c r="AT28" s="13" t="s">
        <v>134</v>
      </c>
      <c r="AU28" s="15" t="str">
        <f>VLOOKUP(AT28,'Axe 2 Règles de gestion'!$D$2:$F$146,3, FALSE)</f>
        <v>La date de début de position doit être antérieure ou égale à la date de fin prévisionnelle de position.</v>
      </c>
      <c r="AV28" s="13" t="s">
        <v>136</v>
      </c>
      <c r="AW28" s="15" t="str">
        <f>VLOOKUP(AV28,'Axe 2 Règles de gestion'!$D$2:$F$146,3, FALSE)</f>
        <v>La date de début de position doit être antérieure ou égale à la date de fin réelle de position.</v>
      </c>
      <c r="AX28" s="13" t="s">
        <v>138</v>
      </c>
      <c r="AY28" s="15" t="str">
        <f>VLOOKUP(AX28,'Axe 2 Règles de gestion'!$D$2:$F$146,3, FALSE)</f>
        <v>La date de fin prévisionnelle de la position doit être antérieure à la date limite de départ à la retraite.</v>
      </c>
      <c r="AZ28" s="13" t="s">
        <v>140</v>
      </c>
      <c r="BA28" s="15" t="str">
        <f>VLOOKUP(AZ28,'Axe 2 Règles de gestion'!$D$2:$F$146,3, FALSE)</f>
        <v>La date de fin réelle de la position doit être antérieure à la date limite de départ à la retraite.</v>
      </c>
      <c r="BB28" s="13" t="s">
        <v>142</v>
      </c>
      <c r="BC28" s="15" t="str">
        <f>VLOOKUP(BB28,'Axe 2 Règles de gestion'!$D$2:$F$146,3, FALSE)</f>
        <v>La date de fin ou la date de fin prévisionnelle doit être saisie.</v>
      </c>
      <c r="BD28" s="13" t="s">
        <v>144</v>
      </c>
      <c r="BE28" s="15" t="str">
        <f>VLOOKUP(BD28,'Axe 2 Règles de gestion'!$D$2:$F$146,3, FALSE)</f>
        <v>Le lien vers l'enfant doit être renseigné.</v>
      </c>
      <c r="BF28" s="13" t="s">
        <v>146</v>
      </c>
      <c r="BG28" s="15" t="str">
        <f>VLOOKUP(BF28,'Axe 2 Règles de gestion'!$D$2:$F$146,3, FALSE)</f>
        <v>La date de naissance de l'enfant doit être renseignée.</v>
      </c>
      <c r="BH28" s="13" t="s">
        <v>211</v>
      </c>
      <c r="BI28" s="15" t="str">
        <f>VLOOKUP(BH28,'Axe 2 Règles de gestion'!$D$2:$F$146,3, FALSE)</f>
        <v>La date de début de la position doit être postérieure ou égale à la date de début du lien juridique.</v>
      </c>
      <c r="BJ28" s="13" t="s">
        <v>213</v>
      </c>
      <c r="BK28" s="15" t="str">
        <f>VLOOKUP(BJ28,'Axe 2 Règles de gestion'!$D$2:$F$146,3, FALSE)</f>
        <v>La date de fin réelle de la position doit être antérieure ou égale à la date de fin réelle ou prévisionnelle du lien juridique.</v>
      </c>
      <c r="BL28" s="13" t="s">
        <v>215</v>
      </c>
      <c r="BM28" s="15" t="str">
        <f>VLOOKUP(BL28,'Axe 2 Règles de gestion'!$D$2:$F$146,3, FALSE)</f>
        <v>La date de fin prévisionnelle de la position doit être antérieure ou égale à la date de fin réelle ou prévisionnelle du lien juridique.</v>
      </c>
      <c r="BN28" s="13" t="s">
        <v>148</v>
      </c>
      <c r="BO28" s="15" t="str">
        <f>VLOOKUP(BN28,'Axe 2 Règles de gestion'!$D$2:$F$146,3, FALSE)</f>
        <v>La date de fin réelle de la position doit être antérieure ou égale à la date de décès de l'enfant.</v>
      </c>
      <c r="BP28" s="13" t="s">
        <v>150</v>
      </c>
      <c r="BQ28" s="15" t="str">
        <f>VLOOKUP(BP28,'Axe 2 Règles de gestion'!$D$2:$F$146,3, FALSE)</f>
        <v>La date de fin prévisionnelle de la position doit être antérieure ou égale à la date de décès de l'enfant.</v>
      </c>
      <c r="BR28" s="13" t="s">
        <v>152</v>
      </c>
      <c r="BS28" s="15" t="str">
        <f>VLOOKUP(BR28,'Axe 2 Règles de gestion'!$D$2:$F$146,3, FALSE)</f>
        <v>La saisie d'une occurrence de congés/absences est interdite (date de fin réelle)</v>
      </c>
      <c r="BT28" s="13" t="s">
        <v>154</v>
      </c>
      <c r="BU28" s="15" t="str">
        <f>VLOOKUP(BT28,'Axe 2 Règles de gestion'!$D$2:$F$146,3, FALSE)</f>
        <v>La saisie d'une occurrence de congés/absences est interdite (date de fin prévisionnelle)</v>
      </c>
      <c r="BV28" s="13"/>
      <c r="BW28" s="15"/>
    </row>
    <row r="29" spans="1:75" ht="116" x14ac:dyDescent="0.35">
      <c r="A29" s="13" t="s">
        <v>108</v>
      </c>
      <c r="B29" s="13" t="s">
        <v>77</v>
      </c>
      <c r="C29" s="14">
        <v>45805.675694444442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82</v>
      </c>
      <c r="I29" s="15" t="s">
        <v>83</v>
      </c>
      <c r="J29" s="15" t="s">
        <v>84</v>
      </c>
      <c r="K29" s="15" t="s">
        <v>85</v>
      </c>
      <c r="L29" s="13" t="s">
        <v>86</v>
      </c>
      <c r="M29" s="15" t="s">
        <v>87</v>
      </c>
      <c r="N29" s="13" t="s">
        <v>88</v>
      </c>
      <c r="O29" s="15" t="s">
        <v>89</v>
      </c>
      <c r="P29" s="15" t="s">
        <v>90</v>
      </c>
      <c r="Q29" s="15" t="s">
        <v>201</v>
      </c>
      <c r="R29" s="13" t="s">
        <v>202</v>
      </c>
      <c r="S29" s="13" t="s">
        <v>179</v>
      </c>
      <c r="T29" s="13" t="s">
        <v>112</v>
      </c>
      <c r="U29" s="14">
        <v>45782</v>
      </c>
      <c r="V29" s="14"/>
      <c r="W29" s="15" t="s">
        <v>217</v>
      </c>
      <c r="X29" s="13" t="s">
        <v>218</v>
      </c>
      <c r="Y29" s="15" t="str">
        <f>VLOOKUP(X29,'Axe 2 Règles de gestion'!$D$2:$F$146,3, FALSE)</f>
        <v>L'agent bénéficie des dispositions applicables aux agents stagiaires.</v>
      </c>
      <c r="Z29" s="13" t="s">
        <v>114</v>
      </c>
      <c r="AA29" s="15" t="str">
        <f>VLOOKUP(Z29,'Axe 2 Règles de gestion'!$D$2:$F$146,3, FALSE)</f>
        <v>L'agent doit présenter une demande de congé sans traitement.</v>
      </c>
      <c r="AB29" s="13" t="s">
        <v>116</v>
      </c>
      <c r="AC29" s="15" t="str">
        <f>VLOOKUP(AB29,'Axe 2 Règles de gestion'!$D$2:$F$146,3, FALSE)</f>
        <v>La demande est accordée de droit par le supérieur hiérarchique.</v>
      </c>
      <c r="AD29" s="13"/>
      <c r="AE29" s="15"/>
      <c r="AF29" s="13" t="s">
        <v>118</v>
      </c>
      <c r="AG29" s="15" t="str">
        <f>VLOOKUP(AF29,'Axe 2 Règles de gestion'!$D$2:$F$146,3, FALSE)</f>
        <v>La durée prévisionnelle maximale de chaque période est de un an.</v>
      </c>
      <c r="AH29" s="13" t="s">
        <v>120</v>
      </c>
      <c r="AI29" s="15" t="str">
        <f>VLOOKUP(AH29,'Axe 2 Règles de gestion'!$D$2:$F$146,3, FALSE)</f>
        <v>La durée réelle maximale de chaque période est de un an.</v>
      </c>
      <c r="AJ29" s="13" t="s">
        <v>122</v>
      </c>
      <c r="AK29" s="15" t="str">
        <f>VLOOKUP(AJ29,'Axe 2 Règles de gestion'!$D$2:$F$146,3, FALSE)</f>
        <v>L'agent ne peut pas bénéficier de plus de 3 ans cumulés de congé sans traitement quels que soient les motifs de congés sans traitement : pour raisons personnelles ou familiales.</v>
      </c>
      <c r="AL29" s="13" t="s">
        <v>157</v>
      </c>
      <c r="AM29" s="15" t="str">
        <f>VLOOKUP(AL29,'Axe 2 Règles de gestion'!$D$2:$F$146,3, FALSE)</f>
        <v>L'agent doit avoir un enfant lié à cette position et l'enfant doit être âgé de moins de 12 ans (date de fin prévisionnelle du congé sans traitement).</v>
      </c>
      <c r="AN29" s="13" t="s">
        <v>159</v>
      </c>
      <c r="AO29" s="15" t="str">
        <f>VLOOKUP(AN29,'Axe 2 Règles de gestion'!$D$2:$F$146,3, FALSE)</f>
        <v>L'agent doit avoir un enfant lié à cette position et l'enfant doit être âgé de moins de 12 ans (date de fin réelle du congé sans traitement).</v>
      </c>
      <c r="AP29" s="13" t="s">
        <v>128</v>
      </c>
      <c r="AQ29" s="15" t="str">
        <f>VLOOKUP(AP29,'Axe 2 Règles de gestion'!$D$2:$F$146,3, FALSE)</f>
        <v>Lors de la demande initiale, l'agent doit être en activité.</v>
      </c>
      <c r="AR29" s="13" t="s">
        <v>130</v>
      </c>
      <c r="AS29" s="15" t="str">
        <f>VLOOKUP(AR29,'Axe 2 Règles de gestion'!$D$2:$F$146,3, FALSE)</f>
        <v>La date de début de la position doit être postérieure ou égale à la date d'entrée dans la FPE ou dans la carrière militaire.</v>
      </c>
      <c r="AT29" s="13" t="s">
        <v>132</v>
      </c>
      <c r="AU29" s="15" t="str">
        <f>VLOOKUP(AT29,'Axe 2 Règles de gestion'!$D$2:$F$146,3, FALSE)</f>
        <v>La date de début de position est à J+1 de la date de fin de position de l'occurrence précédente.</v>
      </c>
      <c r="AV29" s="13" t="s">
        <v>134</v>
      </c>
      <c r="AW29" s="15" t="str">
        <f>VLOOKUP(AV29,'Axe 2 Règles de gestion'!$D$2:$F$146,3, FALSE)</f>
        <v>La date de début de position doit être antérieure ou égale à la date de fin prévisionnelle de position.</v>
      </c>
      <c r="AX29" s="13" t="s">
        <v>136</v>
      </c>
      <c r="AY29" s="15" t="str">
        <f>VLOOKUP(AX29,'Axe 2 Règles de gestion'!$D$2:$F$146,3, FALSE)</f>
        <v>La date de début de position doit être antérieure ou égale à la date de fin réelle de position.</v>
      </c>
      <c r="AZ29" s="13" t="s">
        <v>138</v>
      </c>
      <c r="BA29" s="15" t="str">
        <f>VLOOKUP(AZ29,'Axe 2 Règles de gestion'!$D$2:$F$146,3, FALSE)</f>
        <v>La date de fin prévisionnelle de la position doit être antérieure à la date limite de départ à la retraite.</v>
      </c>
      <c r="BB29" s="13" t="s">
        <v>140</v>
      </c>
      <c r="BC29" s="15" t="str">
        <f>VLOOKUP(BB29,'Axe 2 Règles de gestion'!$D$2:$F$146,3, FALSE)</f>
        <v>La date de fin réelle de la position doit être antérieure à la date limite de départ à la retraite.</v>
      </c>
      <c r="BD29" s="13" t="s">
        <v>142</v>
      </c>
      <c r="BE29" s="15" t="str">
        <f>VLOOKUP(BD29,'Axe 2 Règles de gestion'!$D$2:$F$146,3, FALSE)</f>
        <v>La date de fin ou la date de fin prévisionnelle doit être saisie.</v>
      </c>
      <c r="BF29" s="13" t="s">
        <v>144</v>
      </c>
      <c r="BG29" s="15" t="str">
        <f>VLOOKUP(BF29,'Axe 2 Règles de gestion'!$D$2:$F$146,3, FALSE)</f>
        <v>Le lien vers l'enfant doit être renseigné.</v>
      </c>
      <c r="BH29" s="13" t="s">
        <v>146</v>
      </c>
      <c r="BI29" s="15" t="str">
        <f>VLOOKUP(BH29,'Axe 2 Règles de gestion'!$D$2:$F$146,3, FALSE)</f>
        <v>La date de naissance de l'enfant doit être renseignée.</v>
      </c>
      <c r="BJ29" s="13" t="s">
        <v>148</v>
      </c>
      <c r="BK29" s="15" t="str">
        <f>VLOOKUP(BJ29,'Axe 2 Règles de gestion'!$D$2:$F$146,3, FALSE)</f>
        <v>La date de fin réelle de la position doit être antérieure ou égale à la date de décès de l'enfant.</v>
      </c>
      <c r="BL29" s="13" t="s">
        <v>150</v>
      </c>
      <c r="BM29" s="15" t="str">
        <f>VLOOKUP(BL29,'Axe 2 Règles de gestion'!$D$2:$F$146,3, FALSE)</f>
        <v>La date de fin prévisionnelle de la position doit être antérieure ou égale à la date de décès de l'enfant.</v>
      </c>
      <c r="BN29" s="13" t="s">
        <v>152</v>
      </c>
      <c r="BO29" s="15" t="str">
        <f>VLOOKUP(BN29,'Axe 2 Règles de gestion'!$D$2:$F$146,3, FALSE)</f>
        <v>La saisie d'une occurrence de congés/absences est interdite (date de fin réelle)</v>
      </c>
      <c r="BP29" s="13" t="s">
        <v>154</v>
      </c>
      <c r="BQ29" s="15" t="str">
        <f>VLOOKUP(BP29,'Axe 2 Règles de gestion'!$D$2:$F$146,3, FALSE)</f>
        <v>La saisie d'une occurrence de congés/absences est interdite (date de fin prévisionnelle)</v>
      </c>
      <c r="BR29" s="13"/>
      <c r="BS29" s="15"/>
      <c r="BT29" s="13"/>
      <c r="BU29" s="15"/>
      <c r="BV29" s="13"/>
      <c r="BW29" s="15"/>
    </row>
    <row r="30" spans="1:75" ht="101.5" x14ac:dyDescent="0.35">
      <c r="A30" s="13" t="s">
        <v>108</v>
      </c>
      <c r="B30" s="13" t="s">
        <v>109</v>
      </c>
      <c r="C30" s="14">
        <v>45805.677777777775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82</v>
      </c>
      <c r="I30" s="15" t="s">
        <v>83</v>
      </c>
      <c r="J30" s="15" t="s">
        <v>84</v>
      </c>
      <c r="K30" s="15" t="s">
        <v>85</v>
      </c>
      <c r="L30" s="13" t="s">
        <v>95</v>
      </c>
      <c r="M30" s="15" t="s">
        <v>96</v>
      </c>
      <c r="N30" s="13" t="s">
        <v>88</v>
      </c>
      <c r="O30" s="15" t="s">
        <v>97</v>
      </c>
      <c r="P30" s="15" t="s">
        <v>98</v>
      </c>
      <c r="Q30" s="15" t="s">
        <v>201</v>
      </c>
      <c r="R30" s="13" t="s">
        <v>202</v>
      </c>
      <c r="S30" s="13" t="s">
        <v>179</v>
      </c>
      <c r="T30" s="13" t="s">
        <v>112</v>
      </c>
      <c r="U30" s="14">
        <v>40725</v>
      </c>
      <c r="V30" s="14">
        <v>45781</v>
      </c>
      <c r="W30" s="15" t="s">
        <v>219</v>
      </c>
      <c r="X30" s="13" t="s">
        <v>220</v>
      </c>
      <c r="Y30" s="15" t="str">
        <f>VLOOKUP(X30,'Axe 2 Règles de gestion'!$D$2:$F$146,3, FALSE)</f>
        <v>L'agent peut renouveler le congé sans traitement 2 fois.</v>
      </c>
      <c r="Z30" s="13"/>
      <c r="AA30" s="15"/>
      <c r="AB30" s="13"/>
      <c r="AC30" s="15"/>
      <c r="AD30" s="13"/>
      <c r="AE30" s="15"/>
      <c r="AF30" s="13" t="s">
        <v>206</v>
      </c>
      <c r="AG30" s="15" t="str">
        <f>VLOOKUP(AF30,'Axe 2 Règles de gestion'!$D$2:$F$146,3, FALSE)</f>
        <v>La durée prévisionnelle maximale de chaque période est de un an.</v>
      </c>
      <c r="AH30" s="13" t="s">
        <v>207</v>
      </c>
      <c r="AI30" s="15" t="str">
        <f>VLOOKUP(AH30,'Axe 2 Règles de gestion'!$D$2:$F$146,3, FALSE)</f>
        <v>La durée réelle maximale de chaque période est de un an.</v>
      </c>
      <c r="AJ30" s="13" t="s">
        <v>208</v>
      </c>
      <c r="AK30" s="15" t="str">
        <f>VLOOKUP(AJ30,'Axe 2 Règles de gestion'!$D$2:$F$146,3, FALSE)</f>
        <v>L'agent ne peut pas bénéficier de plus de 3 ans cumulés de congé sans traitement quels que soient les motifs de congés sans traitement : pour raisons personnelles ou familiales.</v>
      </c>
      <c r="AL30" s="13" t="s">
        <v>209</v>
      </c>
      <c r="AM30" s="15" t="str">
        <f>VLOOKUP(AL30,'Axe 2 Règles de gestion'!$D$2:$F$146,3, FALSE)</f>
        <v>L'agent doit avoir un enfant lié à cette position et l'enfant doit être âgé de moins de huit ans (date de fin prévisionnelle du congé sans traitement).</v>
      </c>
      <c r="AN30" s="13" t="s">
        <v>210</v>
      </c>
      <c r="AO30" s="15" t="str">
        <f>VLOOKUP(AN30,'Axe 2 Règles de gestion'!$D$2:$F$146,3, FALSE)</f>
        <v>L'agent doit avoir un enfant lié à cette position et l'enfant doit être âgé de moins de huit ans (date de fin réelle du congé sans traitement).</v>
      </c>
      <c r="AP30" s="13" t="s">
        <v>132</v>
      </c>
      <c r="AQ30" s="15" t="str">
        <f>VLOOKUP(AP30,'Axe 2 Règles de gestion'!$D$2:$F$146,3, FALSE)</f>
        <v>La date de début de position est à J+1 de la date de fin de position de l'occurrence précédente.</v>
      </c>
      <c r="AR30" s="13" t="s">
        <v>134</v>
      </c>
      <c r="AS30" s="15" t="str">
        <f>VLOOKUP(AR30,'Axe 2 Règles de gestion'!$D$2:$F$146,3, FALSE)</f>
        <v>La date de début de position doit être antérieure ou égale à la date de fin prévisionnelle de position.</v>
      </c>
      <c r="AT30" s="13" t="s">
        <v>136</v>
      </c>
      <c r="AU30" s="15" t="str">
        <f>VLOOKUP(AT30,'Axe 2 Règles de gestion'!$D$2:$F$146,3, FALSE)</f>
        <v>La date de début de position doit être antérieure ou égale à la date de fin réelle de position.</v>
      </c>
      <c r="AV30" s="13" t="s">
        <v>138</v>
      </c>
      <c r="AW30" s="15" t="str">
        <f>VLOOKUP(AV30,'Axe 2 Règles de gestion'!$D$2:$F$146,3, FALSE)</f>
        <v>La date de fin prévisionnelle de la position doit être antérieure à la date limite de départ à la retraite.</v>
      </c>
      <c r="AX30" s="13" t="s">
        <v>140</v>
      </c>
      <c r="AY30" s="15" t="str">
        <f>VLOOKUP(AX30,'Axe 2 Règles de gestion'!$D$2:$F$146,3, FALSE)</f>
        <v>La date de fin réelle de la position doit être antérieure à la date limite de départ à la retraite.</v>
      </c>
      <c r="AZ30" s="13" t="s">
        <v>142</v>
      </c>
      <c r="BA30" s="15" t="str">
        <f>VLOOKUP(AZ30,'Axe 2 Règles de gestion'!$D$2:$F$146,3, FALSE)</f>
        <v>La date de fin ou la date de fin prévisionnelle doit être saisie.</v>
      </c>
      <c r="BB30" s="13" t="s">
        <v>144</v>
      </c>
      <c r="BC30" s="15" t="str">
        <f>VLOOKUP(BB30,'Axe 2 Règles de gestion'!$D$2:$F$146,3, FALSE)</f>
        <v>Le lien vers l'enfant doit être renseigné.</v>
      </c>
      <c r="BD30" s="13" t="s">
        <v>146</v>
      </c>
      <c r="BE30" s="15" t="str">
        <f>VLOOKUP(BD30,'Axe 2 Règles de gestion'!$D$2:$F$146,3, FALSE)</f>
        <v>La date de naissance de l'enfant doit être renseignée.</v>
      </c>
      <c r="BF30" s="13" t="s">
        <v>211</v>
      </c>
      <c r="BG30" s="15" t="str">
        <f>VLOOKUP(BF30,'Axe 2 Règles de gestion'!$D$2:$F$146,3, FALSE)</f>
        <v>La date de début de la position doit être postérieure ou égale à la date de début du lien juridique.</v>
      </c>
      <c r="BH30" s="13" t="s">
        <v>213</v>
      </c>
      <c r="BI30" s="15" t="str">
        <f>VLOOKUP(BH30,'Axe 2 Règles de gestion'!$D$2:$F$146,3, FALSE)</f>
        <v>La date de fin réelle de la position doit être antérieure ou égale à la date de fin réelle ou prévisionnelle du lien juridique.</v>
      </c>
      <c r="BJ30" s="13" t="s">
        <v>215</v>
      </c>
      <c r="BK30" s="15" t="str">
        <f>VLOOKUP(BJ30,'Axe 2 Règles de gestion'!$D$2:$F$146,3, FALSE)</f>
        <v>La date de fin prévisionnelle de la position doit être antérieure ou égale à la date de fin réelle ou prévisionnelle du lien juridique.</v>
      </c>
      <c r="BL30" s="13" t="s">
        <v>148</v>
      </c>
      <c r="BM30" s="15" t="str">
        <f>VLOOKUP(BL30,'Axe 2 Règles de gestion'!$D$2:$F$146,3, FALSE)</f>
        <v>La date de fin réelle de la position doit être antérieure ou égale à la date de décès de l'enfant.</v>
      </c>
      <c r="BN30" s="13" t="s">
        <v>150</v>
      </c>
      <c r="BO30" s="15" t="str">
        <f>VLOOKUP(BN30,'Axe 2 Règles de gestion'!$D$2:$F$146,3, FALSE)</f>
        <v>La date de fin prévisionnelle de la position doit être antérieure ou égale à la date de décès de l'enfant.</v>
      </c>
      <c r="BP30" s="13" t="s">
        <v>152</v>
      </c>
      <c r="BQ30" s="15" t="str">
        <f>VLOOKUP(BP30,'Axe 2 Règles de gestion'!$D$2:$F$146,3, FALSE)</f>
        <v>La saisie d'une occurrence de congés/absences est interdite (date de fin réelle)</v>
      </c>
      <c r="BR30" s="13" t="s">
        <v>154</v>
      </c>
      <c r="BS30" s="15" t="str">
        <f>VLOOKUP(BR30,'Axe 2 Règles de gestion'!$D$2:$F$146,3, FALSE)</f>
        <v>La saisie d'une occurrence de congés/absences est interdite (date de fin prévisionnelle)</v>
      </c>
      <c r="BT30" s="13"/>
      <c r="BU30" s="15"/>
      <c r="BV30" s="13"/>
      <c r="BW30" s="15"/>
    </row>
    <row r="31" spans="1:75" ht="101.5" x14ac:dyDescent="0.35">
      <c r="A31" s="13" t="s">
        <v>108</v>
      </c>
      <c r="B31" s="13" t="s">
        <v>77</v>
      </c>
      <c r="C31" s="14">
        <v>45805.677777777775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82</v>
      </c>
      <c r="I31" s="15" t="s">
        <v>83</v>
      </c>
      <c r="J31" s="15" t="s">
        <v>84</v>
      </c>
      <c r="K31" s="15" t="s">
        <v>85</v>
      </c>
      <c r="L31" s="13" t="s">
        <v>95</v>
      </c>
      <c r="M31" s="15" t="s">
        <v>96</v>
      </c>
      <c r="N31" s="13" t="s">
        <v>88</v>
      </c>
      <c r="O31" s="15" t="s">
        <v>97</v>
      </c>
      <c r="P31" s="15" t="s">
        <v>98</v>
      </c>
      <c r="Q31" s="15" t="s">
        <v>201</v>
      </c>
      <c r="R31" s="13" t="s">
        <v>202</v>
      </c>
      <c r="S31" s="13" t="s">
        <v>179</v>
      </c>
      <c r="T31" s="13" t="s">
        <v>112</v>
      </c>
      <c r="U31" s="14">
        <v>45782</v>
      </c>
      <c r="V31" s="14"/>
      <c r="W31" s="15" t="s">
        <v>221</v>
      </c>
      <c r="X31" s="13" t="s">
        <v>218</v>
      </c>
      <c r="Y31" s="15" t="str">
        <f>VLOOKUP(X31,'Axe 2 Règles de gestion'!$D$2:$F$146,3, FALSE)</f>
        <v>L'agent bénéficie des dispositions applicables aux agents stagiaires.</v>
      </c>
      <c r="Z31" s="13" t="s">
        <v>162</v>
      </c>
      <c r="AA31" s="15" t="str">
        <f>VLOOKUP(Z31,'Axe 2 Règles de gestion'!$D$2:$F$146,3, FALSE)</f>
        <v>L'agent peut renouveler le congé sans traitement 2 fois.</v>
      </c>
      <c r="AB31" s="13"/>
      <c r="AC31" s="15"/>
      <c r="AD31" s="13"/>
      <c r="AE31" s="15"/>
      <c r="AF31" s="13" t="s">
        <v>118</v>
      </c>
      <c r="AG31" s="15" t="str">
        <f>VLOOKUP(AF31,'Axe 2 Règles de gestion'!$D$2:$F$146,3, FALSE)</f>
        <v>La durée prévisionnelle maximale de chaque période est de un an.</v>
      </c>
      <c r="AH31" s="13" t="s">
        <v>120</v>
      </c>
      <c r="AI31" s="15" t="str">
        <f>VLOOKUP(AH31,'Axe 2 Règles de gestion'!$D$2:$F$146,3, FALSE)</f>
        <v>La durée réelle maximale de chaque période est de un an.</v>
      </c>
      <c r="AJ31" s="13" t="s">
        <v>122</v>
      </c>
      <c r="AK31" s="15" t="str">
        <f>VLOOKUP(AJ31,'Axe 2 Règles de gestion'!$D$2:$F$146,3, FALSE)</f>
        <v>L'agent ne peut pas bénéficier de plus de 3 ans cumulés de congé sans traitement quels que soient les motifs de congés sans traitement : pour raisons personnelles ou familiales.</v>
      </c>
      <c r="AL31" s="13" t="s">
        <v>157</v>
      </c>
      <c r="AM31" s="15" t="str">
        <f>VLOOKUP(AL31,'Axe 2 Règles de gestion'!$D$2:$F$146,3, FALSE)</f>
        <v>L'agent doit avoir un enfant lié à cette position et l'enfant doit être âgé de moins de 12 ans (date de fin prévisionnelle du congé sans traitement).</v>
      </c>
      <c r="AN31" s="13" t="s">
        <v>159</v>
      </c>
      <c r="AO31" s="15" t="str">
        <f>VLOOKUP(AN31,'Axe 2 Règles de gestion'!$D$2:$F$146,3, FALSE)</f>
        <v>L'agent doit avoir un enfant lié à cette position et l'enfant doit être âgé de moins de 12 ans (date de fin réelle du congé sans traitement).</v>
      </c>
      <c r="AP31" s="13" t="s">
        <v>130</v>
      </c>
      <c r="AQ31" s="15" t="str">
        <f>VLOOKUP(AP31,'Axe 2 Règles de gestion'!$D$2:$F$146,3, FALSE)</f>
        <v>La date de début de la position doit être postérieure ou égale à la date d'entrée dans la FPE ou dans la carrière militaire.</v>
      </c>
      <c r="AR31" s="13" t="s">
        <v>132</v>
      </c>
      <c r="AS31" s="15" t="str">
        <f>VLOOKUP(AR31,'Axe 2 Règles de gestion'!$D$2:$F$146,3, FALSE)</f>
        <v>La date de début de position est à J+1 de la date de fin de position de l'occurrence précédente.</v>
      </c>
      <c r="AT31" s="13" t="s">
        <v>134</v>
      </c>
      <c r="AU31" s="15" t="str">
        <f>VLOOKUP(AT31,'Axe 2 Règles de gestion'!$D$2:$F$146,3, FALSE)</f>
        <v>La date de début de position doit être antérieure ou égale à la date de fin prévisionnelle de position.</v>
      </c>
      <c r="AV31" s="13" t="s">
        <v>136</v>
      </c>
      <c r="AW31" s="15" t="str">
        <f>VLOOKUP(AV31,'Axe 2 Règles de gestion'!$D$2:$F$146,3, FALSE)</f>
        <v>La date de début de position doit être antérieure ou égale à la date de fin réelle de position.</v>
      </c>
      <c r="AX31" s="13" t="s">
        <v>138</v>
      </c>
      <c r="AY31" s="15" t="str">
        <f>VLOOKUP(AX31,'Axe 2 Règles de gestion'!$D$2:$F$146,3, FALSE)</f>
        <v>La date de fin prévisionnelle de la position doit être antérieure à la date limite de départ à la retraite.</v>
      </c>
      <c r="AZ31" s="13" t="s">
        <v>140</v>
      </c>
      <c r="BA31" s="15" t="str">
        <f>VLOOKUP(AZ31,'Axe 2 Règles de gestion'!$D$2:$F$146,3, FALSE)</f>
        <v>La date de fin réelle de la position doit être antérieure à la date limite de départ à la retraite.</v>
      </c>
      <c r="BB31" s="13" t="s">
        <v>142</v>
      </c>
      <c r="BC31" s="15" t="str">
        <f>VLOOKUP(BB31,'Axe 2 Règles de gestion'!$D$2:$F$146,3, FALSE)</f>
        <v>La date de fin ou la date de fin prévisionnelle doit être saisie.</v>
      </c>
      <c r="BD31" s="13" t="s">
        <v>144</v>
      </c>
      <c r="BE31" s="15" t="str">
        <f>VLOOKUP(BD31,'Axe 2 Règles de gestion'!$D$2:$F$146,3, FALSE)</f>
        <v>Le lien vers l'enfant doit être renseigné.</v>
      </c>
      <c r="BF31" s="13" t="s">
        <v>146</v>
      </c>
      <c r="BG31" s="15" t="str">
        <f>VLOOKUP(BF31,'Axe 2 Règles de gestion'!$D$2:$F$146,3, FALSE)</f>
        <v>La date de naissance de l'enfant doit être renseignée.</v>
      </c>
      <c r="BH31" s="13" t="s">
        <v>148</v>
      </c>
      <c r="BI31" s="15" t="str">
        <f>VLOOKUP(BH31,'Axe 2 Règles de gestion'!$D$2:$F$146,3, FALSE)</f>
        <v>La date de fin réelle de la position doit être antérieure ou égale à la date de décès de l'enfant.</v>
      </c>
      <c r="BJ31" s="13" t="s">
        <v>150</v>
      </c>
      <c r="BK31" s="15" t="str">
        <f>VLOOKUP(BJ31,'Axe 2 Règles de gestion'!$D$2:$F$146,3, FALSE)</f>
        <v>La date de fin prévisionnelle de la position doit être antérieure ou égale à la date de décès de l'enfant.</v>
      </c>
      <c r="BL31" s="13" t="s">
        <v>152</v>
      </c>
      <c r="BM31" s="15" t="str">
        <f>VLOOKUP(BL31,'Axe 2 Règles de gestion'!$D$2:$F$146,3, FALSE)</f>
        <v>La saisie d'une occurrence de congés/absences est interdite (date de fin réelle)</v>
      </c>
      <c r="BN31" s="13" t="s">
        <v>154</v>
      </c>
      <c r="BO31" s="15" t="str">
        <f>VLOOKUP(BN31,'Axe 2 Règles de gestion'!$D$2:$F$146,3, FALSE)</f>
        <v>La saisie d'une occurrence de congés/absences est interdite (date de fin prévisionnelle)</v>
      </c>
      <c r="BP31" s="13"/>
      <c r="BQ31" s="15"/>
      <c r="BR31" s="13"/>
      <c r="BS31" s="15"/>
      <c r="BT31" s="13"/>
      <c r="BU31" s="15"/>
      <c r="BV31" s="13"/>
      <c r="BW31" s="15"/>
    </row>
    <row r="32" spans="1:75" ht="130.5" x14ac:dyDescent="0.35">
      <c r="A32" s="13" t="s">
        <v>165</v>
      </c>
      <c r="B32" s="13" t="s">
        <v>109</v>
      </c>
      <c r="C32" s="14">
        <v>44714.711111111108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82</v>
      </c>
      <c r="I32" s="15" t="s">
        <v>83</v>
      </c>
      <c r="J32" s="15" t="s">
        <v>84</v>
      </c>
      <c r="K32" s="15" t="s">
        <v>85</v>
      </c>
      <c r="L32" s="13" t="s">
        <v>99</v>
      </c>
      <c r="M32" s="15" t="s">
        <v>100</v>
      </c>
      <c r="N32" s="13" t="s">
        <v>101</v>
      </c>
      <c r="O32" s="15" t="s">
        <v>102</v>
      </c>
      <c r="P32" s="15" t="s">
        <v>103</v>
      </c>
      <c r="Q32" s="15" t="s">
        <v>201</v>
      </c>
      <c r="R32" s="13" t="s">
        <v>202</v>
      </c>
      <c r="S32" s="13" t="s">
        <v>179</v>
      </c>
      <c r="T32" s="13" t="s">
        <v>112</v>
      </c>
      <c r="U32" s="14">
        <v>40725</v>
      </c>
      <c r="V32" s="14">
        <v>44633</v>
      </c>
      <c r="W32" s="15" t="s">
        <v>222</v>
      </c>
      <c r="X32" s="13" t="s">
        <v>223</v>
      </c>
      <c r="Y32" s="15" t="str">
        <f>VLOOKUP(X32,'Axe 2 Règles de gestion'!$D$2:$F$146,3, FALSE)</f>
        <v>L'agent doit demander à reprendre ses fonctions 2 mois au moins avant l'expiration du congé en cours.</v>
      </c>
      <c r="Z32" s="13" t="s">
        <v>224</v>
      </c>
      <c r="AA32" s="15" t="str">
        <f>VLOOKUP(Z32,'Axe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32" s="13"/>
      <c r="AC32" s="15"/>
      <c r="AD32" s="13"/>
      <c r="AE32" s="15"/>
      <c r="AF32" s="13" t="s">
        <v>206</v>
      </c>
      <c r="AG32" s="15" t="str">
        <f>VLOOKUP(AF32,'Axe 2 Règles de gestion'!$D$2:$F$146,3, FALSE)</f>
        <v>La durée prévisionnelle maximale de chaque période est de un an.</v>
      </c>
      <c r="AH32" s="13" t="s">
        <v>207</v>
      </c>
      <c r="AI32" s="15" t="str">
        <f>VLOOKUP(AH32,'Axe 2 Règles de gestion'!$D$2:$F$146,3, FALSE)</f>
        <v>La durée réelle maximale de chaque période est de un an.</v>
      </c>
      <c r="AJ32" s="13" t="s">
        <v>208</v>
      </c>
      <c r="AK32" s="15" t="str">
        <f>VLOOKUP(AJ32,'Axe 2 Règles de gestion'!$D$2:$F$146,3, FALSE)</f>
        <v>L'agent ne peut pas bénéficier de plus de 3 ans cumulés de congé sans traitement quels que soient les motifs de congés sans traitement : pour raisons personnelles ou familiales.</v>
      </c>
      <c r="AL32" s="13" t="s">
        <v>209</v>
      </c>
      <c r="AM32" s="15" t="str">
        <f>VLOOKUP(AL32,'Axe 2 Règles de gestion'!$D$2:$F$146,3, FALSE)</f>
        <v>L'agent doit avoir un enfant lié à cette position et l'enfant doit être âgé de moins de huit ans (date de fin prévisionnelle du congé sans traitement).</v>
      </c>
      <c r="AN32" s="13" t="s">
        <v>210</v>
      </c>
      <c r="AO32" s="15" t="str">
        <f>VLOOKUP(AN32,'Axe 2 Règles de gestion'!$D$2:$F$146,3, FALSE)</f>
        <v>L'agent doit avoir un enfant lié à cette position et l'enfant doit être âgé de moins de huit ans (date de fin réelle du congé sans traitement).</v>
      </c>
      <c r="AP32" s="13" t="s">
        <v>134</v>
      </c>
      <c r="AQ32" s="15" t="str">
        <f>VLOOKUP(AP32,'Axe 2 Règles de gestion'!$D$2:$F$146,3, FALSE)</f>
        <v>La date de début de position doit être antérieure ou égale à la date de fin prévisionnelle de position.</v>
      </c>
      <c r="AR32" s="13" t="s">
        <v>136</v>
      </c>
      <c r="AS32" s="15" t="str">
        <f>VLOOKUP(AR32,'Axe 2 Règles de gestion'!$D$2:$F$146,3, FALSE)</f>
        <v>La date de début de position doit être antérieure ou égale à la date de fin réelle de position.</v>
      </c>
      <c r="AT32" s="13" t="s">
        <v>138</v>
      </c>
      <c r="AU32" s="15" t="str">
        <f>VLOOKUP(AT32,'Axe 2 Règles de gestion'!$D$2:$F$146,3, FALSE)</f>
        <v>La date de fin prévisionnelle de la position doit être antérieure à la date limite de départ à la retraite.</v>
      </c>
      <c r="AV32" s="13" t="s">
        <v>140</v>
      </c>
      <c r="AW32" s="15" t="str">
        <f>VLOOKUP(AV32,'Axe 2 Règles de gestion'!$D$2:$F$146,3, FALSE)</f>
        <v>La date de fin réelle de la position doit être antérieure à la date limite de départ à la retraite.</v>
      </c>
      <c r="AX32" s="13" t="s">
        <v>142</v>
      </c>
      <c r="AY32" s="15" t="str">
        <f>VLOOKUP(AX32,'Axe 2 Règles de gestion'!$D$2:$F$146,3, FALSE)</f>
        <v>La date de fin ou la date de fin prévisionnelle doit être saisie.</v>
      </c>
      <c r="AZ32" s="13" t="s">
        <v>144</v>
      </c>
      <c r="BA32" s="15" t="str">
        <f>VLOOKUP(AZ32,'Axe 2 Règles de gestion'!$D$2:$F$146,3, FALSE)</f>
        <v>Le lien vers l'enfant doit être renseigné.</v>
      </c>
      <c r="BB32" s="13" t="s">
        <v>146</v>
      </c>
      <c r="BC32" s="15" t="str">
        <f>VLOOKUP(BB32,'Axe 2 Règles de gestion'!$D$2:$F$146,3, FALSE)</f>
        <v>La date de naissance de l'enfant doit être renseignée.</v>
      </c>
      <c r="BD32" s="13" t="s">
        <v>213</v>
      </c>
      <c r="BE32" s="15" t="str">
        <f>VLOOKUP(BD32,'Axe 2 Règles de gestion'!$D$2:$F$146,3, FALSE)</f>
        <v>La date de fin réelle de la position doit être antérieure ou égale à la date de fin réelle ou prévisionnelle du lien juridique.</v>
      </c>
      <c r="BF32" s="13" t="s">
        <v>215</v>
      </c>
      <c r="BG32" s="15" t="str">
        <f>VLOOKUP(BF32,'Axe 2 Règles de gestion'!$D$2:$F$146,3, FALSE)</f>
        <v>La date de fin prévisionnelle de la position doit être antérieure ou égale à la date de fin réelle ou prévisionnelle du lien juridique.</v>
      </c>
      <c r="BH32" s="13" t="s">
        <v>148</v>
      </c>
      <c r="BI32" s="15" t="str">
        <f>VLOOKUP(BH32,'Axe 2 Règles de gestion'!$D$2:$F$146,3, FALSE)</f>
        <v>La date de fin réelle de la position doit être antérieure ou égale à la date de décès de l'enfant.</v>
      </c>
      <c r="BJ32" s="13" t="s">
        <v>150</v>
      </c>
      <c r="BK32" s="15" t="str">
        <f>VLOOKUP(BJ32,'Axe 2 Règles de gestion'!$D$2:$F$146,3, FALSE)</f>
        <v>La date de fin prévisionnelle de la position doit être antérieure ou égale à la date de décès de l'enfant.</v>
      </c>
      <c r="BL32" s="13" t="s">
        <v>152</v>
      </c>
      <c r="BM32" s="15" t="str">
        <f>VLOOKUP(BL32,'Axe 2 Règles de gestion'!$D$2:$F$146,3, FALSE)</f>
        <v>La saisie d'une occurrence de congés/absences est interdite (date de fin réelle)</v>
      </c>
      <c r="BN32" s="13" t="s">
        <v>154</v>
      </c>
      <c r="BO32" s="15" t="str">
        <f>VLOOKUP(BN32,'Axe 2 Règles de gestion'!$D$2:$F$146,3, FALSE)</f>
        <v>La saisie d'une occurrence de congés/absences est interdite (date de fin prévisionnelle)</v>
      </c>
      <c r="BP32" s="13"/>
      <c r="BQ32" s="15"/>
      <c r="BR32" s="13"/>
      <c r="BS32" s="15"/>
      <c r="BT32" s="13"/>
      <c r="BU32" s="15"/>
      <c r="BV32" s="13"/>
      <c r="BW32" s="15"/>
    </row>
    <row r="33" spans="1:75" ht="145" x14ac:dyDescent="0.35">
      <c r="A33" s="13" t="s">
        <v>108</v>
      </c>
      <c r="B33" s="13" t="s">
        <v>109</v>
      </c>
      <c r="C33" s="14">
        <v>45805.682638888888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82</v>
      </c>
      <c r="I33" s="15" t="s">
        <v>83</v>
      </c>
      <c r="J33" s="15" t="s">
        <v>84</v>
      </c>
      <c r="K33" s="15" t="s">
        <v>85</v>
      </c>
      <c r="L33" s="13" t="s">
        <v>99</v>
      </c>
      <c r="M33" s="15" t="s">
        <v>100</v>
      </c>
      <c r="N33" s="13" t="s">
        <v>101</v>
      </c>
      <c r="O33" s="15" t="s">
        <v>102</v>
      </c>
      <c r="P33" s="15" t="s">
        <v>103</v>
      </c>
      <c r="Q33" s="15" t="s">
        <v>201</v>
      </c>
      <c r="R33" s="13" t="s">
        <v>202</v>
      </c>
      <c r="S33" s="13" t="s">
        <v>179</v>
      </c>
      <c r="T33" s="13" t="s">
        <v>112</v>
      </c>
      <c r="U33" s="14">
        <v>44634</v>
      </c>
      <c r="V33" s="14">
        <v>45781</v>
      </c>
      <c r="W33" s="15" t="s">
        <v>225</v>
      </c>
      <c r="X33" s="13" t="s">
        <v>223</v>
      </c>
      <c r="Y33" s="15" t="str">
        <f>VLOOKUP(X33,'Axe 2 Règles de gestion'!$D$2:$F$146,3, FALSE)</f>
        <v>L'agent doit demander à reprendre ses fonctions 2 mois au moins avant l'expiration du congé en cours.</v>
      </c>
      <c r="Z33" s="13" t="s">
        <v>226</v>
      </c>
      <c r="AA33" s="15" t="str">
        <f>VLOOKUP(Z33,'Axe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33" s="13"/>
      <c r="AC33" s="15"/>
      <c r="AD33" s="13"/>
      <c r="AE33" s="15"/>
      <c r="AF33" s="13" t="s">
        <v>206</v>
      </c>
      <c r="AG33" s="15" t="str">
        <f>VLOOKUP(AF33,'Axe 2 Règles de gestion'!$D$2:$F$146,3, FALSE)</f>
        <v>La durée prévisionnelle maximale de chaque période est de un an.</v>
      </c>
      <c r="AH33" s="13" t="s">
        <v>207</v>
      </c>
      <c r="AI33" s="15" t="str">
        <f>VLOOKUP(AH33,'Axe 2 Règles de gestion'!$D$2:$F$146,3, FALSE)</f>
        <v>La durée réelle maximale de chaque période est de un an.</v>
      </c>
      <c r="AJ33" s="13" t="s">
        <v>208</v>
      </c>
      <c r="AK33" s="15" t="str">
        <f>VLOOKUP(AJ33,'Axe 2 Règles de gestion'!$D$2:$F$146,3, FALSE)</f>
        <v>L'agent ne peut pas bénéficier de plus de 3 ans cumulés de congé sans traitement quels que soient les motifs de congés sans traitement : pour raisons personnelles ou familiales.</v>
      </c>
      <c r="AL33" s="13" t="s">
        <v>209</v>
      </c>
      <c r="AM33" s="15" t="str">
        <f>VLOOKUP(AL33,'Axe 2 Règles de gestion'!$D$2:$F$146,3, FALSE)</f>
        <v>L'agent doit avoir un enfant lié à cette position et l'enfant doit être âgé de moins de huit ans (date de fin prévisionnelle du congé sans traitement).</v>
      </c>
      <c r="AN33" s="13" t="s">
        <v>210</v>
      </c>
      <c r="AO33" s="15" t="str">
        <f>VLOOKUP(AN33,'Axe 2 Règles de gestion'!$D$2:$F$146,3, FALSE)</f>
        <v>L'agent doit avoir un enfant lié à cette position et l'enfant doit être âgé de moins de huit ans (date de fin réelle du congé sans traitement).</v>
      </c>
      <c r="AP33" s="13" t="s">
        <v>134</v>
      </c>
      <c r="AQ33" s="15" t="str">
        <f>VLOOKUP(AP33,'Axe 2 Règles de gestion'!$D$2:$F$146,3, FALSE)</f>
        <v>La date de début de position doit être antérieure ou égale à la date de fin prévisionnelle de position.</v>
      </c>
      <c r="AR33" s="13" t="s">
        <v>136</v>
      </c>
      <c r="AS33" s="15" t="str">
        <f>VLOOKUP(AR33,'Axe 2 Règles de gestion'!$D$2:$F$146,3, FALSE)</f>
        <v>La date de début de position doit être antérieure ou égale à la date de fin réelle de position.</v>
      </c>
      <c r="AT33" s="13" t="s">
        <v>138</v>
      </c>
      <c r="AU33" s="15" t="str">
        <f>VLOOKUP(AT33,'Axe 2 Règles de gestion'!$D$2:$F$146,3, FALSE)</f>
        <v>La date de fin prévisionnelle de la position doit être antérieure à la date limite de départ à la retraite.</v>
      </c>
      <c r="AV33" s="13" t="s">
        <v>140</v>
      </c>
      <c r="AW33" s="15" t="str">
        <f>VLOOKUP(AV33,'Axe 2 Règles de gestion'!$D$2:$F$146,3, FALSE)</f>
        <v>La date de fin réelle de la position doit être antérieure à la date limite de départ à la retraite.</v>
      </c>
      <c r="AX33" s="13" t="s">
        <v>142</v>
      </c>
      <c r="AY33" s="15" t="str">
        <f>VLOOKUP(AX33,'Axe 2 Règles de gestion'!$D$2:$F$146,3, FALSE)</f>
        <v>La date de fin ou la date de fin prévisionnelle doit être saisie.</v>
      </c>
      <c r="AZ33" s="13" t="s">
        <v>144</v>
      </c>
      <c r="BA33" s="15" t="str">
        <f>VLOOKUP(AZ33,'Axe 2 Règles de gestion'!$D$2:$F$146,3, FALSE)</f>
        <v>Le lien vers l'enfant doit être renseigné.</v>
      </c>
      <c r="BB33" s="13" t="s">
        <v>146</v>
      </c>
      <c r="BC33" s="15" t="str">
        <f>VLOOKUP(BB33,'Axe 2 Règles de gestion'!$D$2:$F$146,3, FALSE)</f>
        <v>La date de naissance de l'enfant doit être renseignée.</v>
      </c>
      <c r="BD33" s="13" t="s">
        <v>213</v>
      </c>
      <c r="BE33" s="15" t="str">
        <f>VLOOKUP(BD33,'Axe 2 Règles de gestion'!$D$2:$F$146,3, FALSE)</f>
        <v>La date de fin réelle de la position doit être antérieure ou égale à la date de fin réelle ou prévisionnelle du lien juridique.</v>
      </c>
      <c r="BF33" s="13" t="s">
        <v>215</v>
      </c>
      <c r="BG33" s="15" t="str">
        <f>VLOOKUP(BF33,'Axe 2 Règles de gestion'!$D$2:$F$146,3, FALSE)</f>
        <v>La date de fin prévisionnelle de la position doit être antérieure ou égale à la date de fin réelle ou prévisionnelle du lien juridique.</v>
      </c>
      <c r="BH33" s="13" t="s">
        <v>148</v>
      </c>
      <c r="BI33" s="15" t="str">
        <f>VLOOKUP(BH33,'Axe 2 Règles de gestion'!$D$2:$F$146,3, FALSE)</f>
        <v>La date de fin réelle de la position doit être antérieure ou égale à la date de décès de l'enfant.</v>
      </c>
      <c r="BJ33" s="13" t="s">
        <v>150</v>
      </c>
      <c r="BK33" s="15" t="str">
        <f>VLOOKUP(BJ33,'Axe 2 Règles de gestion'!$D$2:$F$146,3, FALSE)</f>
        <v>La date de fin prévisionnelle de la position doit être antérieure ou égale à la date de décès de l'enfant.</v>
      </c>
      <c r="BL33" s="13" t="s">
        <v>152</v>
      </c>
      <c r="BM33" s="15" t="str">
        <f>VLOOKUP(BL33,'Axe 2 Règles de gestion'!$D$2:$F$146,3, FALSE)</f>
        <v>La saisie d'une occurrence de congés/absences est interdite (date de fin réelle)</v>
      </c>
      <c r="BN33" s="13" t="s">
        <v>154</v>
      </c>
      <c r="BO33" s="15" t="str">
        <f>VLOOKUP(BN33,'Axe 2 Règles de gestion'!$D$2:$F$146,3, FALSE)</f>
        <v>La saisie d'une occurrence de congés/absences est interdite (date de fin prévisionnelle)</v>
      </c>
      <c r="BP33" s="13"/>
      <c r="BQ33" s="15"/>
      <c r="BR33" s="13"/>
      <c r="BS33" s="15"/>
      <c r="BT33" s="13"/>
      <c r="BU33" s="15"/>
      <c r="BV33" s="13"/>
      <c r="BW33" s="15"/>
    </row>
    <row r="34" spans="1:75" ht="145" x14ac:dyDescent="0.35">
      <c r="A34" s="13" t="s">
        <v>108</v>
      </c>
      <c r="B34" s="13" t="s">
        <v>77</v>
      </c>
      <c r="C34" s="14">
        <v>45805.682638888888</v>
      </c>
      <c r="D34" s="13" t="s">
        <v>78</v>
      </c>
      <c r="E34" s="15" t="s">
        <v>79</v>
      </c>
      <c r="F34" s="13" t="s">
        <v>80</v>
      </c>
      <c r="G34" s="15" t="s">
        <v>81</v>
      </c>
      <c r="H34" s="13" t="s">
        <v>82</v>
      </c>
      <c r="I34" s="15" t="s">
        <v>83</v>
      </c>
      <c r="J34" s="15" t="s">
        <v>84</v>
      </c>
      <c r="K34" s="15" t="s">
        <v>85</v>
      </c>
      <c r="L34" s="13" t="s">
        <v>99</v>
      </c>
      <c r="M34" s="15" t="s">
        <v>100</v>
      </c>
      <c r="N34" s="13" t="s">
        <v>101</v>
      </c>
      <c r="O34" s="15" t="s">
        <v>102</v>
      </c>
      <c r="P34" s="15" t="s">
        <v>103</v>
      </c>
      <c r="Q34" s="15" t="s">
        <v>201</v>
      </c>
      <c r="R34" s="13" t="s">
        <v>202</v>
      </c>
      <c r="S34" s="13" t="s">
        <v>179</v>
      </c>
      <c r="T34" s="13" t="s">
        <v>112</v>
      </c>
      <c r="U34" s="14">
        <v>45782</v>
      </c>
      <c r="V34" s="14"/>
      <c r="W34" s="15" t="s">
        <v>227</v>
      </c>
      <c r="X34" s="13" t="s">
        <v>218</v>
      </c>
      <c r="Y34" s="15" t="str">
        <f>VLOOKUP(X34,'Axe 2 Règles de gestion'!$D$2:$F$146,3, FALSE)</f>
        <v>L'agent bénéficie des dispositions applicables aux agents stagiaires.</v>
      </c>
      <c r="Z34" s="13" t="s">
        <v>167</v>
      </c>
      <c r="AA34" s="15" t="str">
        <f>VLOOKUP(Z34,'Axe 2 Règles de gestion'!$D$2:$F$146,3, FALSE)</f>
        <v>L'agent doit demander à reprendre ses fonctions au moins 2 mois avant l'expiration du congé en cours.</v>
      </c>
      <c r="AB34" s="13" t="s">
        <v>172</v>
      </c>
      <c r="AC34" s="15" t="str">
        <f>VLOOKUP(AB34,'Axe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D34" s="13"/>
      <c r="AE34" s="15"/>
      <c r="AF34" s="13" t="s">
        <v>118</v>
      </c>
      <c r="AG34" s="15" t="str">
        <f>VLOOKUP(AF34,'Axe 2 Règles de gestion'!$D$2:$F$146,3, FALSE)</f>
        <v>La durée prévisionnelle maximale de chaque période est de un an.</v>
      </c>
      <c r="AH34" s="13" t="s">
        <v>120</v>
      </c>
      <c r="AI34" s="15" t="str">
        <f>VLOOKUP(AH34,'Axe 2 Règles de gestion'!$D$2:$F$146,3, FALSE)</f>
        <v>La durée réelle maximale de chaque période est de un an.</v>
      </c>
      <c r="AJ34" s="13" t="s">
        <v>122</v>
      </c>
      <c r="AK34" s="15" t="str">
        <f>VLOOKUP(AJ34,'Axe 2 Règles de gestion'!$D$2:$F$146,3, FALSE)</f>
        <v>L'agent ne peut pas bénéficier de plus de 3 ans cumulés de congé sans traitement quels que soient les motifs de congés sans traitement : pour raisons personnelles ou familiales.</v>
      </c>
      <c r="AL34" s="13" t="s">
        <v>157</v>
      </c>
      <c r="AM34" s="15" t="str">
        <f>VLOOKUP(AL34,'Axe 2 Règles de gestion'!$D$2:$F$146,3, FALSE)</f>
        <v>L'agent doit avoir un enfant lié à cette position et l'enfant doit être âgé de moins de 12 ans (date de fin prévisionnelle du congé sans traitement).</v>
      </c>
      <c r="AN34" s="13" t="s">
        <v>159</v>
      </c>
      <c r="AO34" s="15" t="str">
        <f>VLOOKUP(AN34,'Axe 2 Règles de gestion'!$D$2:$F$146,3, FALSE)</f>
        <v>L'agent doit avoir un enfant lié à cette position et l'enfant doit être âgé de moins de 12 ans (date de fin réelle du congé sans traitement).</v>
      </c>
      <c r="AP34" s="13" t="s">
        <v>134</v>
      </c>
      <c r="AQ34" s="15" t="str">
        <f>VLOOKUP(AP34,'Axe 2 Règles de gestion'!$D$2:$F$146,3, FALSE)</f>
        <v>La date de début de position doit être antérieure ou égale à la date de fin prévisionnelle de position.</v>
      </c>
      <c r="AR34" s="13" t="s">
        <v>136</v>
      </c>
      <c r="AS34" s="15" t="str">
        <f>VLOOKUP(AR34,'Axe 2 Règles de gestion'!$D$2:$F$146,3, FALSE)</f>
        <v>La date de début de position doit être antérieure ou égale à la date de fin réelle de position.</v>
      </c>
      <c r="AT34" s="13" t="s">
        <v>138</v>
      </c>
      <c r="AU34" s="15" t="str">
        <f>VLOOKUP(AT34,'Axe 2 Règles de gestion'!$D$2:$F$146,3, FALSE)</f>
        <v>La date de fin prévisionnelle de la position doit être antérieure à la date limite de départ à la retraite.</v>
      </c>
      <c r="AV34" s="13" t="s">
        <v>140</v>
      </c>
      <c r="AW34" s="15" t="str">
        <f>VLOOKUP(AV34,'Axe 2 Règles de gestion'!$D$2:$F$146,3, FALSE)</f>
        <v>La date de fin réelle de la position doit être antérieure à la date limite de départ à la retraite.</v>
      </c>
      <c r="AX34" s="13" t="s">
        <v>142</v>
      </c>
      <c r="AY34" s="15" t="str">
        <f>VLOOKUP(AX34,'Axe 2 Règles de gestion'!$D$2:$F$146,3, FALSE)</f>
        <v>La date de fin ou la date de fin prévisionnelle doit être saisie.</v>
      </c>
      <c r="AZ34" s="13" t="s">
        <v>144</v>
      </c>
      <c r="BA34" s="15" t="str">
        <f>VLOOKUP(AZ34,'Axe 2 Règles de gestion'!$D$2:$F$146,3, FALSE)</f>
        <v>Le lien vers l'enfant doit être renseigné.</v>
      </c>
      <c r="BB34" s="13" t="s">
        <v>146</v>
      </c>
      <c r="BC34" s="15" t="str">
        <f>VLOOKUP(BB34,'Axe 2 Règles de gestion'!$D$2:$F$146,3, FALSE)</f>
        <v>La date de naissance de l'enfant doit être renseignée.</v>
      </c>
      <c r="BD34" s="13" t="s">
        <v>148</v>
      </c>
      <c r="BE34" s="15" t="str">
        <f>VLOOKUP(BD34,'Axe 2 Règles de gestion'!$D$2:$F$146,3, FALSE)</f>
        <v>La date de fin réelle de la position doit être antérieure ou égale à la date de décès de l'enfant.</v>
      </c>
      <c r="BF34" s="13" t="s">
        <v>150</v>
      </c>
      <c r="BG34" s="15" t="str">
        <f>VLOOKUP(BF34,'Axe 2 Règles de gestion'!$D$2:$F$146,3, FALSE)</f>
        <v>La date de fin prévisionnelle de la position doit être antérieure ou égale à la date de décès de l'enfant.</v>
      </c>
      <c r="BH34" s="13" t="s">
        <v>152</v>
      </c>
      <c r="BI34" s="15" t="str">
        <f>VLOOKUP(BH34,'Axe 2 Règles de gestion'!$D$2:$F$146,3, FALSE)</f>
        <v>La saisie d'une occurrence de congés/absences est interdite (date de fin réelle)</v>
      </c>
      <c r="BJ34" s="13" t="s">
        <v>154</v>
      </c>
      <c r="BK34" s="15" t="str">
        <f>VLOOKUP(BJ34,'Axe 2 Règles de gestion'!$D$2:$F$146,3, FALSE)</f>
        <v>La saisie d'une occurrence de congés/absences est interdite (date de fin prévisionnelle)</v>
      </c>
      <c r="BL34" s="13"/>
      <c r="BM34" s="15"/>
      <c r="BN34" s="13"/>
      <c r="BO34" s="15"/>
      <c r="BP34" s="13"/>
      <c r="BQ34" s="15"/>
      <c r="BR34" s="13"/>
      <c r="BS34" s="15"/>
      <c r="BT34" s="13"/>
      <c r="BU34" s="15"/>
      <c r="BV34" s="13"/>
      <c r="BW34" s="15"/>
    </row>
    <row r="35" spans="1:75" ht="72.5" x14ac:dyDescent="0.35">
      <c r="A35" s="13" t="s">
        <v>76</v>
      </c>
      <c r="B35" s="13" t="s">
        <v>77</v>
      </c>
      <c r="C35" s="14">
        <v>43152.5</v>
      </c>
      <c r="D35" s="13" t="s">
        <v>78</v>
      </c>
      <c r="E35" s="15" t="s">
        <v>79</v>
      </c>
      <c r="F35" s="13" t="s">
        <v>80</v>
      </c>
      <c r="G35" s="15" t="s">
        <v>81</v>
      </c>
      <c r="H35" s="13" t="s">
        <v>228</v>
      </c>
      <c r="I35" s="15" t="s">
        <v>229</v>
      </c>
      <c r="J35" s="15" t="s">
        <v>230</v>
      </c>
      <c r="K35" s="15" t="s">
        <v>231</v>
      </c>
      <c r="L35" s="13" t="s">
        <v>232</v>
      </c>
      <c r="M35" s="15" t="s">
        <v>233</v>
      </c>
      <c r="N35" s="13" t="s">
        <v>88</v>
      </c>
      <c r="O35" s="15" t="s">
        <v>89</v>
      </c>
      <c r="P35" s="15" t="s">
        <v>90</v>
      </c>
      <c r="Q35" s="15" t="s">
        <v>91</v>
      </c>
      <c r="R35" s="13" t="s">
        <v>92</v>
      </c>
      <c r="S35" s="13" t="s">
        <v>93</v>
      </c>
      <c r="T35" s="13" t="s">
        <v>94</v>
      </c>
      <c r="U35" s="14">
        <v>40725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/>
      <c r="BE35" s="15"/>
      <c r="BF35" s="13"/>
      <c r="BG35" s="15"/>
      <c r="BH35" s="13"/>
      <c r="BI35" s="15"/>
      <c r="BJ35" s="13"/>
      <c r="BK35" s="15"/>
      <c r="BL35" s="13"/>
      <c r="BM35" s="15"/>
      <c r="BN35" s="13"/>
      <c r="BO35" s="15"/>
      <c r="BP35" s="13"/>
      <c r="BQ35" s="15"/>
      <c r="BR35" s="13"/>
      <c r="BS35" s="15"/>
      <c r="BT35" s="13"/>
      <c r="BU35" s="15"/>
      <c r="BV35" s="13"/>
      <c r="BW35" s="15"/>
    </row>
    <row r="36" spans="1:75" ht="72.5" x14ac:dyDescent="0.35">
      <c r="A36" s="13" t="s">
        <v>76</v>
      </c>
      <c r="B36" s="13" t="s">
        <v>77</v>
      </c>
      <c r="C36" s="14">
        <v>43152.5</v>
      </c>
      <c r="D36" s="13" t="s">
        <v>78</v>
      </c>
      <c r="E36" s="15" t="s">
        <v>79</v>
      </c>
      <c r="F36" s="13" t="s">
        <v>80</v>
      </c>
      <c r="G36" s="15" t="s">
        <v>81</v>
      </c>
      <c r="H36" s="13" t="s">
        <v>228</v>
      </c>
      <c r="I36" s="15" t="s">
        <v>229</v>
      </c>
      <c r="J36" s="15" t="s">
        <v>230</v>
      </c>
      <c r="K36" s="15" t="s">
        <v>231</v>
      </c>
      <c r="L36" s="13" t="s">
        <v>234</v>
      </c>
      <c r="M36" s="15" t="s">
        <v>235</v>
      </c>
      <c r="N36" s="13" t="s">
        <v>88</v>
      </c>
      <c r="O36" s="15" t="s">
        <v>97</v>
      </c>
      <c r="P36" s="15" t="s">
        <v>98</v>
      </c>
      <c r="Q36" s="15" t="s">
        <v>91</v>
      </c>
      <c r="R36" s="13" t="s">
        <v>92</v>
      </c>
      <c r="S36" s="13" t="s">
        <v>93</v>
      </c>
      <c r="T36" s="13" t="s">
        <v>94</v>
      </c>
      <c r="U36" s="14">
        <v>40725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5"/>
      <c r="AX36" s="13"/>
      <c r="AY36" s="15"/>
      <c r="AZ36" s="13"/>
      <c r="BA36" s="15"/>
      <c r="BB36" s="13"/>
      <c r="BC36" s="15"/>
      <c r="BD36" s="13"/>
      <c r="BE36" s="15"/>
      <c r="BF36" s="13"/>
      <c r="BG36" s="15"/>
      <c r="BH36" s="13"/>
      <c r="BI36" s="15"/>
      <c r="BJ36" s="13"/>
      <c r="BK36" s="15"/>
      <c r="BL36" s="13"/>
      <c r="BM36" s="15"/>
      <c r="BN36" s="13"/>
      <c r="BO36" s="15"/>
      <c r="BP36" s="13"/>
      <c r="BQ36" s="15"/>
      <c r="BR36" s="13"/>
      <c r="BS36" s="15"/>
      <c r="BT36" s="13"/>
      <c r="BU36" s="15"/>
      <c r="BV36" s="13"/>
      <c r="BW36" s="15"/>
    </row>
    <row r="37" spans="1:75" ht="72.5" x14ac:dyDescent="0.35">
      <c r="A37" s="13" t="s">
        <v>76</v>
      </c>
      <c r="B37" s="13" t="s">
        <v>77</v>
      </c>
      <c r="C37" s="14">
        <v>43152.5</v>
      </c>
      <c r="D37" s="13" t="s">
        <v>78</v>
      </c>
      <c r="E37" s="15" t="s">
        <v>79</v>
      </c>
      <c r="F37" s="13" t="s">
        <v>80</v>
      </c>
      <c r="G37" s="15" t="s">
        <v>81</v>
      </c>
      <c r="H37" s="13" t="s">
        <v>228</v>
      </c>
      <c r="I37" s="15" t="s">
        <v>229</v>
      </c>
      <c r="J37" s="15" t="s">
        <v>230</v>
      </c>
      <c r="K37" s="15" t="s">
        <v>231</v>
      </c>
      <c r="L37" s="13" t="s">
        <v>236</v>
      </c>
      <c r="M37" s="15" t="s">
        <v>237</v>
      </c>
      <c r="N37" s="13" t="s">
        <v>101</v>
      </c>
      <c r="O37" s="15" t="s">
        <v>102</v>
      </c>
      <c r="P37" s="15" t="s">
        <v>103</v>
      </c>
      <c r="Q37" s="15" t="s">
        <v>91</v>
      </c>
      <c r="R37" s="13" t="s">
        <v>92</v>
      </c>
      <c r="S37" s="13" t="s">
        <v>93</v>
      </c>
      <c r="T37" s="13" t="s">
        <v>94</v>
      </c>
      <c r="U37" s="14">
        <v>40725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5"/>
      <c r="AX37" s="13"/>
      <c r="AY37" s="15"/>
      <c r="AZ37" s="13"/>
      <c r="BA37" s="15"/>
      <c r="BB37" s="13"/>
      <c r="BC37" s="15"/>
      <c r="BD37" s="13"/>
      <c r="BE37" s="15"/>
      <c r="BF37" s="13"/>
      <c r="BG37" s="15"/>
      <c r="BH37" s="13"/>
      <c r="BI37" s="15"/>
      <c r="BJ37" s="13"/>
      <c r="BK37" s="15"/>
      <c r="BL37" s="13"/>
      <c r="BM37" s="15"/>
      <c r="BN37" s="13"/>
      <c r="BO37" s="15"/>
      <c r="BP37" s="13"/>
      <c r="BQ37" s="15"/>
      <c r="BR37" s="13"/>
      <c r="BS37" s="15"/>
      <c r="BT37" s="13"/>
      <c r="BU37" s="15"/>
      <c r="BV37" s="13"/>
      <c r="BW37" s="15"/>
    </row>
    <row r="38" spans="1:75" ht="72.5" x14ac:dyDescent="0.35">
      <c r="A38" s="13" t="s">
        <v>76</v>
      </c>
      <c r="B38" s="13" t="s">
        <v>77</v>
      </c>
      <c r="C38" s="14">
        <v>43152.5</v>
      </c>
      <c r="D38" s="13" t="s">
        <v>78</v>
      </c>
      <c r="E38" s="15" t="s">
        <v>79</v>
      </c>
      <c r="F38" s="13" t="s">
        <v>80</v>
      </c>
      <c r="G38" s="15" t="s">
        <v>81</v>
      </c>
      <c r="H38" s="13" t="s">
        <v>228</v>
      </c>
      <c r="I38" s="15" t="s">
        <v>229</v>
      </c>
      <c r="J38" s="15" t="s">
        <v>230</v>
      </c>
      <c r="K38" s="15" t="s">
        <v>231</v>
      </c>
      <c r="L38" s="13" t="s">
        <v>232</v>
      </c>
      <c r="M38" s="15" t="s">
        <v>233</v>
      </c>
      <c r="N38" s="13" t="s">
        <v>88</v>
      </c>
      <c r="O38" s="15" t="s">
        <v>89</v>
      </c>
      <c r="P38" s="15" t="s">
        <v>90</v>
      </c>
      <c r="Q38" s="15" t="s">
        <v>104</v>
      </c>
      <c r="R38" s="13" t="s">
        <v>105</v>
      </c>
      <c r="S38" s="13" t="s">
        <v>93</v>
      </c>
      <c r="T38" s="13" t="s">
        <v>94</v>
      </c>
      <c r="U38" s="14">
        <v>40725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/>
      <c r="BA38" s="15"/>
      <c r="BB38" s="13"/>
      <c r="BC38" s="15"/>
      <c r="BD38" s="13"/>
      <c r="BE38" s="15"/>
      <c r="BF38" s="13"/>
      <c r="BG38" s="15"/>
      <c r="BH38" s="13"/>
      <c r="BI38" s="15"/>
      <c r="BJ38" s="13"/>
      <c r="BK38" s="15"/>
      <c r="BL38" s="13"/>
      <c r="BM38" s="15"/>
      <c r="BN38" s="13"/>
      <c r="BO38" s="15"/>
      <c r="BP38" s="13"/>
      <c r="BQ38" s="15"/>
      <c r="BR38" s="13"/>
      <c r="BS38" s="15"/>
      <c r="BT38" s="13"/>
      <c r="BU38" s="15"/>
      <c r="BV38" s="13"/>
      <c r="BW38" s="15"/>
    </row>
    <row r="39" spans="1:75" ht="72.5" x14ac:dyDescent="0.35">
      <c r="A39" s="13" t="s">
        <v>76</v>
      </c>
      <c r="B39" s="13" t="s">
        <v>77</v>
      </c>
      <c r="C39" s="14">
        <v>43152.5</v>
      </c>
      <c r="D39" s="13" t="s">
        <v>78</v>
      </c>
      <c r="E39" s="15" t="s">
        <v>79</v>
      </c>
      <c r="F39" s="13" t="s">
        <v>80</v>
      </c>
      <c r="G39" s="15" t="s">
        <v>81</v>
      </c>
      <c r="H39" s="13" t="s">
        <v>228</v>
      </c>
      <c r="I39" s="15" t="s">
        <v>229</v>
      </c>
      <c r="J39" s="15" t="s">
        <v>230</v>
      </c>
      <c r="K39" s="15" t="s">
        <v>231</v>
      </c>
      <c r="L39" s="13" t="s">
        <v>234</v>
      </c>
      <c r="M39" s="15" t="s">
        <v>235</v>
      </c>
      <c r="N39" s="13" t="s">
        <v>88</v>
      </c>
      <c r="O39" s="15" t="s">
        <v>97</v>
      </c>
      <c r="P39" s="15" t="s">
        <v>98</v>
      </c>
      <c r="Q39" s="15" t="s">
        <v>104</v>
      </c>
      <c r="R39" s="13" t="s">
        <v>105</v>
      </c>
      <c r="S39" s="13" t="s">
        <v>93</v>
      </c>
      <c r="T39" s="13" t="s">
        <v>94</v>
      </c>
      <c r="U39" s="14">
        <v>40725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5"/>
      <c r="AX39" s="13"/>
      <c r="AY39" s="15"/>
      <c r="AZ39" s="13"/>
      <c r="BA39" s="15"/>
      <c r="BB39" s="13"/>
      <c r="BC39" s="15"/>
      <c r="BD39" s="13"/>
      <c r="BE39" s="15"/>
      <c r="BF39" s="13"/>
      <c r="BG39" s="15"/>
      <c r="BH39" s="13"/>
      <c r="BI39" s="15"/>
      <c r="BJ39" s="13"/>
      <c r="BK39" s="15"/>
      <c r="BL39" s="13"/>
      <c r="BM39" s="15"/>
      <c r="BN39" s="13"/>
      <c r="BO39" s="15"/>
      <c r="BP39" s="13"/>
      <c r="BQ39" s="15"/>
      <c r="BR39" s="13"/>
      <c r="BS39" s="15"/>
      <c r="BT39" s="13"/>
      <c r="BU39" s="15"/>
      <c r="BV39" s="13"/>
      <c r="BW39" s="15"/>
    </row>
    <row r="40" spans="1:75" ht="72.5" x14ac:dyDescent="0.35">
      <c r="A40" s="13" t="s">
        <v>76</v>
      </c>
      <c r="B40" s="13" t="s">
        <v>77</v>
      </c>
      <c r="C40" s="14">
        <v>43152.5</v>
      </c>
      <c r="D40" s="13" t="s">
        <v>78</v>
      </c>
      <c r="E40" s="15" t="s">
        <v>79</v>
      </c>
      <c r="F40" s="13" t="s">
        <v>80</v>
      </c>
      <c r="G40" s="15" t="s">
        <v>81</v>
      </c>
      <c r="H40" s="13" t="s">
        <v>228</v>
      </c>
      <c r="I40" s="15" t="s">
        <v>229</v>
      </c>
      <c r="J40" s="15" t="s">
        <v>230</v>
      </c>
      <c r="K40" s="15" t="s">
        <v>231</v>
      </c>
      <c r="L40" s="13" t="s">
        <v>236</v>
      </c>
      <c r="M40" s="15" t="s">
        <v>237</v>
      </c>
      <c r="N40" s="13" t="s">
        <v>101</v>
      </c>
      <c r="O40" s="15" t="s">
        <v>102</v>
      </c>
      <c r="P40" s="15" t="s">
        <v>103</v>
      </c>
      <c r="Q40" s="15" t="s">
        <v>104</v>
      </c>
      <c r="R40" s="13" t="s">
        <v>105</v>
      </c>
      <c r="S40" s="13" t="s">
        <v>93</v>
      </c>
      <c r="T40" s="13" t="s">
        <v>94</v>
      </c>
      <c r="U40" s="14">
        <v>40725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/>
      <c r="AS40" s="15"/>
      <c r="AT40" s="13"/>
      <c r="AU40" s="15"/>
      <c r="AV40" s="13"/>
      <c r="AW40" s="15"/>
      <c r="AX40" s="13"/>
      <c r="AY40" s="15"/>
      <c r="AZ40" s="13"/>
      <c r="BA40" s="15"/>
      <c r="BB40" s="13"/>
      <c r="BC40" s="15"/>
      <c r="BD40" s="13"/>
      <c r="BE40" s="15"/>
      <c r="BF40" s="13"/>
      <c r="BG40" s="15"/>
      <c r="BH40" s="13"/>
      <c r="BI40" s="15"/>
      <c r="BJ40" s="13"/>
      <c r="BK40" s="15"/>
      <c r="BL40" s="13"/>
      <c r="BM40" s="15"/>
      <c r="BN40" s="13"/>
      <c r="BO40" s="15"/>
      <c r="BP40" s="13"/>
      <c r="BQ40" s="15"/>
      <c r="BR40" s="13"/>
      <c r="BS40" s="15"/>
      <c r="BT40" s="13"/>
      <c r="BU40" s="15"/>
      <c r="BV40" s="13"/>
      <c r="BW40" s="15"/>
    </row>
    <row r="41" spans="1:75" ht="72.5" x14ac:dyDescent="0.35">
      <c r="A41" s="13" t="s">
        <v>76</v>
      </c>
      <c r="B41" s="13" t="s">
        <v>77</v>
      </c>
      <c r="C41" s="14">
        <v>43152.5</v>
      </c>
      <c r="D41" s="13" t="s">
        <v>78</v>
      </c>
      <c r="E41" s="15" t="s">
        <v>79</v>
      </c>
      <c r="F41" s="13" t="s">
        <v>80</v>
      </c>
      <c r="G41" s="15" t="s">
        <v>81</v>
      </c>
      <c r="H41" s="13" t="s">
        <v>228</v>
      </c>
      <c r="I41" s="15" t="s">
        <v>229</v>
      </c>
      <c r="J41" s="15" t="s">
        <v>230</v>
      </c>
      <c r="K41" s="15" t="s">
        <v>231</v>
      </c>
      <c r="L41" s="13" t="s">
        <v>232</v>
      </c>
      <c r="M41" s="15" t="s">
        <v>233</v>
      </c>
      <c r="N41" s="13" t="s">
        <v>88</v>
      </c>
      <c r="O41" s="15" t="s">
        <v>89</v>
      </c>
      <c r="P41" s="15" t="s">
        <v>90</v>
      </c>
      <c r="Q41" s="15" t="s">
        <v>106</v>
      </c>
      <c r="R41" s="13" t="s">
        <v>107</v>
      </c>
      <c r="S41" s="13" t="s">
        <v>93</v>
      </c>
      <c r="T41" s="13" t="s">
        <v>94</v>
      </c>
      <c r="U41" s="14">
        <v>40725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5"/>
      <c r="BF41" s="13"/>
      <c r="BG41" s="15"/>
      <c r="BH41" s="13"/>
      <c r="BI41" s="15"/>
      <c r="BJ41" s="13"/>
      <c r="BK41" s="15"/>
      <c r="BL41" s="13"/>
      <c r="BM41" s="15"/>
      <c r="BN41" s="13"/>
      <c r="BO41" s="15"/>
      <c r="BP41" s="13"/>
      <c r="BQ41" s="15"/>
      <c r="BR41" s="13"/>
      <c r="BS41" s="15"/>
      <c r="BT41" s="13"/>
      <c r="BU41" s="15"/>
      <c r="BV41" s="13"/>
      <c r="BW41" s="15"/>
    </row>
    <row r="42" spans="1:75" ht="72.5" x14ac:dyDescent="0.35">
      <c r="A42" s="13" t="s">
        <v>76</v>
      </c>
      <c r="B42" s="13" t="s">
        <v>77</v>
      </c>
      <c r="C42" s="14">
        <v>43152.5</v>
      </c>
      <c r="D42" s="13" t="s">
        <v>78</v>
      </c>
      <c r="E42" s="15" t="s">
        <v>79</v>
      </c>
      <c r="F42" s="13" t="s">
        <v>80</v>
      </c>
      <c r="G42" s="15" t="s">
        <v>81</v>
      </c>
      <c r="H42" s="13" t="s">
        <v>228</v>
      </c>
      <c r="I42" s="15" t="s">
        <v>229</v>
      </c>
      <c r="J42" s="15" t="s">
        <v>230</v>
      </c>
      <c r="K42" s="15" t="s">
        <v>231</v>
      </c>
      <c r="L42" s="13" t="s">
        <v>234</v>
      </c>
      <c r="M42" s="15" t="s">
        <v>235</v>
      </c>
      <c r="N42" s="13" t="s">
        <v>88</v>
      </c>
      <c r="O42" s="15" t="s">
        <v>97</v>
      </c>
      <c r="P42" s="15" t="s">
        <v>98</v>
      </c>
      <c r="Q42" s="15" t="s">
        <v>106</v>
      </c>
      <c r="R42" s="13" t="s">
        <v>107</v>
      </c>
      <c r="S42" s="13" t="s">
        <v>93</v>
      </c>
      <c r="T42" s="13" t="s">
        <v>94</v>
      </c>
      <c r="U42" s="14">
        <v>40725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5"/>
      <c r="BF42" s="13"/>
      <c r="BG42" s="15"/>
      <c r="BH42" s="13"/>
      <c r="BI42" s="15"/>
      <c r="BJ42" s="13"/>
      <c r="BK42" s="15"/>
      <c r="BL42" s="13"/>
      <c r="BM42" s="15"/>
      <c r="BN42" s="13"/>
      <c r="BO42" s="15"/>
      <c r="BP42" s="13"/>
      <c r="BQ42" s="15"/>
      <c r="BR42" s="13"/>
      <c r="BS42" s="15"/>
      <c r="BT42" s="13"/>
      <c r="BU42" s="15"/>
      <c r="BV42" s="13"/>
      <c r="BW42" s="15"/>
    </row>
    <row r="43" spans="1:75" ht="72.5" x14ac:dyDescent="0.35">
      <c r="A43" s="13" t="s">
        <v>76</v>
      </c>
      <c r="B43" s="13" t="s">
        <v>77</v>
      </c>
      <c r="C43" s="14">
        <v>43152.5</v>
      </c>
      <c r="D43" s="13" t="s">
        <v>78</v>
      </c>
      <c r="E43" s="15" t="s">
        <v>79</v>
      </c>
      <c r="F43" s="13" t="s">
        <v>80</v>
      </c>
      <c r="G43" s="15" t="s">
        <v>81</v>
      </c>
      <c r="H43" s="13" t="s">
        <v>228</v>
      </c>
      <c r="I43" s="15" t="s">
        <v>229</v>
      </c>
      <c r="J43" s="15" t="s">
        <v>230</v>
      </c>
      <c r="K43" s="15" t="s">
        <v>231</v>
      </c>
      <c r="L43" s="13" t="s">
        <v>236</v>
      </c>
      <c r="M43" s="15" t="s">
        <v>237</v>
      </c>
      <c r="N43" s="13" t="s">
        <v>101</v>
      </c>
      <c r="O43" s="15" t="s">
        <v>102</v>
      </c>
      <c r="P43" s="15" t="s">
        <v>103</v>
      </c>
      <c r="Q43" s="15" t="s">
        <v>106</v>
      </c>
      <c r="R43" s="13" t="s">
        <v>107</v>
      </c>
      <c r="S43" s="13" t="s">
        <v>93</v>
      </c>
      <c r="T43" s="13" t="s">
        <v>94</v>
      </c>
      <c r="U43" s="14">
        <v>40725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5"/>
      <c r="BF43" s="13"/>
      <c r="BG43" s="15"/>
      <c r="BH43" s="13"/>
      <c r="BI43" s="15"/>
      <c r="BJ43" s="13"/>
      <c r="BK43" s="15"/>
      <c r="BL43" s="13"/>
      <c r="BM43" s="15"/>
      <c r="BN43" s="13"/>
      <c r="BO43" s="15"/>
      <c r="BP43" s="13"/>
      <c r="BQ43" s="15"/>
      <c r="BR43" s="13"/>
      <c r="BS43" s="15"/>
      <c r="BT43" s="13"/>
      <c r="BU43" s="15"/>
      <c r="BV43" s="13"/>
      <c r="BW43" s="15"/>
    </row>
    <row r="44" spans="1:75" ht="101.5" x14ac:dyDescent="0.35">
      <c r="A44" s="13" t="s">
        <v>238</v>
      </c>
      <c r="B44" s="13" t="s">
        <v>109</v>
      </c>
      <c r="C44" s="14">
        <v>44368.708333333336</v>
      </c>
      <c r="D44" s="13" t="s">
        <v>78</v>
      </c>
      <c r="E44" s="15" t="s">
        <v>79</v>
      </c>
      <c r="F44" s="13" t="s">
        <v>80</v>
      </c>
      <c r="G44" s="15" t="s">
        <v>81</v>
      </c>
      <c r="H44" s="13" t="s">
        <v>228</v>
      </c>
      <c r="I44" s="15" t="s">
        <v>229</v>
      </c>
      <c r="J44" s="15" t="s">
        <v>230</v>
      </c>
      <c r="K44" s="15" t="s">
        <v>231</v>
      </c>
      <c r="L44" s="13" t="s">
        <v>232</v>
      </c>
      <c r="M44" s="15" t="s">
        <v>233</v>
      </c>
      <c r="N44" s="13" t="s">
        <v>88</v>
      </c>
      <c r="O44" s="15" t="s">
        <v>89</v>
      </c>
      <c r="P44" s="15" t="s">
        <v>90</v>
      </c>
      <c r="Q44" s="15" t="s">
        <v>110</v>
      </c>
      <c r="R44" s="13" t="s">
        <v>111</v>
      </c>
      <c r="S44" s="13" t="s">
        <v>93</v>
      </c>
      <c r="T44" s="13" t="s">
        <v>112</v>
      </c>
      <c r="U44" s="14">
        <v>40725</v>
      </c>
      <c r="V44" s="14"/>
      <c r="W44" s="15" t="s">
        <v>239</v>
      </c>
      <c r="X44" s="13" t="s">
        <v>114</v>
      </c>
      <c r="Y44" s="15" t="str">
        <f>VLOOKUP(X44,'Axe 2 Règles de gestion'!$D$2:$F$146,3, FALSE)</f>
        <v>L'agent doit présenter une demande de congé sans traitement.</v>
      </c>
      <c r="Z44" s="13" t="s">
        <v>116</v>
      </c>
      <c r="AA44" s="15" t="str">
        <f>VLOOKUP(Z44,'Axe 2 Règles de gestion'!$D$2:$F$146,3, FALSE)</f>
        <v>La demande est accordée de droit par le supérieur hiérarchique.</v>
      </c>
      <c r="AB44" s="13"/>
      <c r="AC44" s="15"/>
      <c r="AD44" s="13"/>
      <c r="AE44" s="15"/>
      <c r="AF44" s="13" t="s">
        <v>118</v>
      </c>
      <c r="AG44" s="15" t="str">
        <f>VLOOKUP(AF44,'Axe 2 Règles de gestion'!$D$2:$F$146,3, FALSE)</f>
        <v>La durée prévisionnelle maximale de chaque période est de un an.</v>
      </c>
      <c r="AH44" s="13" t="s">
        <v>120</v>
      </c>
      <c r="AI44" s="15" t="str">
        <f>VLOOKUP(AH44,'Axe 2 Règles de gestion'!$D$2:$F$146,3, FALSE)</f>
        <v>La durée réelle maximale de chaque période est de un an.</v>
      </c>
      <c r="AJ44" s="13" t="s">
        <v>122</v>
      </c>
      <c r="AK44" s="15" t="str">
        <f>VLOOKUP(AJ44,'Axe 2 Règles de gestion'!$D$2:$F$146,3, FALSE)</f>
        <v>L'agent ne peut pas bénéficier de plus de 3 ans cumulés de congé sans traitement quels que soient les motifs de congés sans traitement : pour raisons personnelles ou familiales.</v>
      </c>
      <c r="AL44" s="13" t="s">
        <v>240</v>
      </c>
      <c r="AM44" s="15" t="str">
        <f>VLOOKUP(AL44,'Axe 2 Règles de gestion'!$D$2:$F$146,3, FALSE)</f>
        <v>Le type de situation de famille de l'agent doit être "marié(e)" ou "pacsé(e)".</v>
      </c>
      <c r="AN44" s="13"/>
      <c r="AO44" s="15"/>
      <c r="AP44" s="13" t="s">
        <v>128</v>
      </c>
      <c r="AQ44" s="15" t="str">
        <f>VLOOKUP(AP44,'Axe 2 Règles de gestion'!$D$2:$F$146,3, FALSE)</f>
        <v>Lors de la demande initiale, l'agent doit être en activité.</v>
      </c>
      <c r="AR44" s="13" t="s">
        <v>130</v>
      </c>
      <c r="AS44" s="15" t="str">
        <f>VLOOKUP(AR44,'Axe 2 Règles de gestion'!$D$2:$F$146,3, FALSE)</f>
        <v>La date de début de la position doit être postérieure ou égale à la date d'entrée dans la FPE ou dans la carrière militaire.</v>
      </c>
      <c r="AT44" s="13" t="s">
        <v>132</v>
      </c>
      <c r="AU44" s="15" t="str">
        <f>VLOOKUP(AT44,'Axe 2 Règles de gestion'!$D$2:$F$146,3, FALSE)</f>
        <v>La date de début de position est à J+1 de la date de fin de position de l'occurrence précédente.</v>
      </c>
      <c r="AV44" s="13" t="s">
        <v>134</v>
      </c>
      <c r="AW44" s="15" t="str">
        <f>VLOOKUP(AV44,'Axe 2 Règles de gestion'!$D$2:$F$146,3, FALSE)</f>
        <v>La date de début de position doit être antérieure ou égale à la date de fin prévisionnelle de position.</v>
      </c>
      <c r="AX44" s="13" t="s">
        <v>136</v>
      </c>
      <c r="AY44" s="15" t="str">
        <f>VLOOKUP(AX44,'Axe 2 Règles de gestion'!$D$2:$F$146,3, FALSE)</f>
        <v>La date de début de position doit être antérieure ou égale à la date de fin réelle de position.</v>
      </c>
      <c r="AZ44" s="13" t="s">
        <v>138</v>
      </c>
      <c r="BA44" s="15" t="str">
        <f>VLOOKUP(AZ44,'Axe 2 Règles de gestion'!$D$2:$F$146,3, FALSE)</f>
        <v>La date de fin prévisionnelle de la position doit être antérieure à la date limite de départ à la retraite.</v>
      </c>
      <c r="BB44" s="13" t="s">
        <v>140</v>
      </c>
      <c r="BC44" s="15" t="str">
        <f>VLOOKUP(BB44,'Axe 2 Règles de gestion'!$D$2:$F$146,3, FALSE)</f>
        <v>La date de fin réelle de la position doit être antérieure à la date limite de départ à la retraite.</v>
      </c>
      <c r="BD44" s="13" t="s">
        <v>142</v>
      </c>
      <c r="BE44" s="15" t="str">
        <f>VLOOKUP(BD44,'Axe 2 Règles de gestion'!$D$2:$F$146,3, FALSE)</f>
        <v>La date de fin ou la date de fin prévisionnelle doit être saisie.</v>
      </c>
      <c r="BF44" s="13" t="s">
        <v>152</v>
      </c>
      <c r="BG44" s="15" t="str">
        <f>VLOOKUP(BF44,'Axe 2 Règles de gestion'!$D$2:$F$146,3, FALSE)</f>
        <v>La saisie d'une occurrence de congés/absences est interdite (date de fin réelle)</v>
      </c>
      <c r="BH44" s="13" t="s">
        <v>154</v>
      </c>
      <c r="BI44" s="15" t="str">
        <f>VLOOKUP(BH44,'Axe 2 Règles de gestion'!$D$2:$F$146,3, FALSE)</f>
        <v>La saisie d'une occurrence de congés/absences est interdite (date de fin prévisionnelle)</v>
      </c>
      <c r="BJ44" s="13"/>
      <c r="BK44" s="15"/>
      <c r="BL44" s="13"/>
      <c r="BM44" s="15"/>
      <c r="BN44" s="13"/>
      <c r="BO44" s="15"/>
      <c r="BP44" s="13"/>
      <c r="BQ44" s="15"/>
      <c r="BR44" s="13"/>
      <c r="BS44" s="15"/>
      <c r="BT44" s="13"/>
      <c r="BU44" s="15"/>
      <c r="BV44" s="13"/>
      <c r="BW44" s="15"/>
    </row>
    <row r="45" spans="1:75" ht="101.5" x14ac:dyDescent="0.35">
      <c r="A45" s="13" t="s">
        <v>238</v>
      </c>
      <c r="B45" s="13" t="s">
        <v>109</v>
      </c>
      <c r="C45" s="14">
        <v>44368.708333333336</v>
      </c>
      <c r="D45" s="13" t="s">
        <v>78</v>
      </c>
      <c r="E45" s="15" t="s">
        <v>79</v>
      </c>
      <c r="F45" s="13" t="s">
        <v>80</v>
      </c>
      <c r="G45" s="15" t="s">
        <v>81</v>
      </c>
      <c r="H45" s="13" t="s">
        <v>228</v>
      </c>
      <c r="I45" s="15" t="s">
        <v>229</v>
      </c>
      <c r="J45" s="15" t="s">
        <v>230</v>
      </c>
      <c r="K45" s="15" t="s">
        <v>231</v>
      </c>
      <c r="L45" s="13" t="s">
        <v>234</v>
      </c>
      <c r="M45" s="15" t="s">
        <v>235</v>
      </c>
      <c r="N45" s="13" t="s">
        <v>88</v>
      </c>
      <c r="O45" s="15" t="s">
        <v>97</v>
      </c>
      <c r="P45" s="15" t="s">
        <v>98</v>
      </c>
      <c r="Q45" s="15" t="s">
        <v>110</v>
      </c>
      <c r="R45" s="13" t="s">
        <v>111</v>
      </c>
      <c r="S45" s="13" t="s">
        <v>93</v>
      </c>
      <c r="T45" s="13" t="s">
        <v>112</v>
      </c>
      <c r="U45" s="14">
        <v>40725</v>
      </c>
      <c r="V45" s="14"/>
      <c r="W45" s="15" t="s">
        <v>242</v>
      </c>
      <c r="X45" s="13" t="s">
        <v>162</v>
      </c>
      <c r="Y45" s="15" t="str">
        <f>VLOOKUP(X45,'Axe 2 Règles de gestion'!$D$2:$F$146,3, FALSE)</f>
        <v>L'agent peut renouveler le congé sans traitement 2 fois.</v>
      </c>
      <c r="Z45" s="13"/>
      <c r="AA45" s="15"/>
      <c r="AB45" s="13"/>
      <c r="AC45" s="15"/>
      <c r="AD45" s="13"/>
      <c r="AE45" s="15"/>
      <c r="AF45" s="13" t="s">
        <v>118</v>
      </c>
      <c r="AG45" s="15" t="str">
        <f>VLOOKUP(AF45,'Axe 2 Règles de gestion'!$D$2:$F$146,3, FALSE)</f>
        <v>La durée prévisionnelle maximale de chaque période est de un an.</v>
      </c>
      <c r="AH45" s="13" t="s">
        <v>120</v>
      </c>
      <c r="AI45" s="15" t="str">
        <f>VLOOKUP(AH45,'Axe 2 Règles de gestion'!$D$2:$F$146,3, FALSE)</f>
        <v>La durée réelle maximale de chaque période est de un an.</v>
      </c>
      <c r="AJ45" s="13" t="s">
        <v>122</v>
      </c>
      <c r="AK45" s="15" t="str">
        <f>VLOOKUP(AJ45,'Axe 2 Règles de gestion'!$D$2:$F$146,3, FALSE)</f>
        <v>L'agent ne peut pas bénéficier de plus de 3 ans cumulés de congé sans traitement quels que soient les motifs de congés sans traitement : pour raisons personnelles ou familiales.</v>
      </c>
      <c r="AL45" s="13" t="s">
        <v>240</v>
      </c>
      <c r="AM45" s="15" t="str">
        <f>VLOOKUP(AL45,'Axe 2 Règles de gestion'!$D$2:$F$146,3, FALSE)</f>
        <v>Le type de situation de famille de l'agent doit être "marié(e)" ou "pacsé(e)".</v>
      </c>
      <c r="AN45" s="13"/>
      <c r="AO45" s="15"/>
      <c r="AP45" s="13" t="s">
        <v>130</v>
      </c>
      <c r="AQ45" s="15" t="str">
        <f>VLOOKUP(AP45,'Axe 2 Règles de gestion'!$D$2:$F$146,3, FALSE)</f>
        <v>La date de début de la position doit être postérieure ou égale à la date d'entrée dans la FPE ou dans la carrière militaire.</v>
      </c>
      <c r="AR45" s="13" t="s">
        <v>132</v>
      </c>
      <c r="AS45" s="15" t="str">
        <f>VLOOKUP(AR45,'Axe 2 Règles de gestion'!$D$2:$F$146,3, FALSE)</f>
        <v>La date de début de position est à J+1 de la date de fin de position de l'occurrence précédente.</v>
      </c>
      <c r="AT45" s="13" t="s">
        <v>134</v>
      </c>
      <c r="AU45" s="15" t="str">
        <f>VLOOKUP(AT45,'Axe 2 Règles de gestion'!$D$2:$F$146,3, FALSE)</f>
        <v>La date de début de position doit être antérieure ou égale à la date de fin prévisionnelle de position.</v>
      </c>
      <c r="AV45" s="13" t="s">
        <v>136</v>
      </c>
      <c r="AW45" s="15" t="str">
        <f>VLOOKUP(AV45,'Axe 2 Règles de gestion'!$D$2:$F$146,3, FALSE)</f>
        <v>La date de début de position doit être antérieure ou égale à la date de fin réelle de position.</v>
      </c>
      <c r="AX45" s="13" t="s">
        <v>138</v>
      </c>
      <c r="AY45" s="15" t="str">
        <f>VLOOKUP(AX45,'Axe 2 Règles de gestion'!$D$2:$F$146,3, FALSE)</f>
        <v>La date de fin prévisionnelle de la position doit être antérieure à la date limite de départ à la retraite.</v>
      </c>
      <c r="AZ45" s="13" t="s">
        <v>140</v>
      </c>
      <c r="BA45" s="15" t="str">
        <f>VLOOKUP(AZ45,'Axe 2 Règles de gestion'!$D$2:$F$146,3, FALSE)</f>
        <v>La date de fin réelle de la position doit être antérieure à la date limite de départ à la retraite.</v>
      </c>
      <c r="BB45" s="13" t="s">
        <v>142</v>
      </c>
      <c r="BC45" s="15" t="str">
        <f>VLOOKUP(BB45,'Axe 2 Règles de gestion'!$D$2:$F$146,3, FALSE)</f>
        <v>La date de fin ou la date de fin prévisionnelle doit être saisie.</v>
      </c>
      <c r="BD45" s="13" t="s">
        <v>152</v>
      </c>
      <c r="BE45" s="15" t="str">
        <f>VLOOKUP(BD45,'Axe 2 Règles de gestion'!$D$2:$F$146,3, FALSE)</f>
        <v>La saisie d'une occurrence de congés/absences est interdite (date de fin réelle)</v>
      </c>
      <c r="BF45" s="13" t="s">
        <v>154</v>
      </c>
      <c r="BG45" s="15" t="str">
        <f>VLOOKUP(BF45,'Axe 2 Règles de gestion'!$D$2:$F$146,3, FALSE)</f>
        <v>La saisie d'une occurrence de congés/absences est interdite (date de fin prévisionnelle)</v>
      </c>
      <c r="BH45" s="13"/>
      <c r="BI45" s="15"/>
      <c r="BJ45" s="13"/>
      <c r="BK45" s="15"/>
      <c r="BL45" s="13"/>
      <c r="BM45" s="15"/>
      <c r="BN45" s="13"/>
      <c r="BO45" s="15"/>
      <c r="BP45" s="13"/>
      <c r="BQ45" s="15"/>
      <c r="BR45" s="13"/>
      <c r="BS45" s="15"/>
      <c r="BT45" s="13"/>
      <c r="BU45" s="15"/>
      <c r="BV45" s="13"/>
      <c r="BW45" s="15"/>
    </row>
    <row r="46" spans="1:75" ht="130.5" x14ac:dyDescent="0.35">
      <c r="A46" s="13" t="s">
        <v>165</v>
      </c>
      <c r="B46" s="13" t="s">
        <v>109</v>
      </c>
      <c r="C46" s="14">
        <v>44714.720138888886</v>
      </c>
      <c r="D46" s="13" t="s">
        <v>78</v>
      </c>
      <c r="E46" s="15" t="s">
        <v>79</v>
      </c>
      <c r="F46" s="13" t="s">
        <v>80</v>
      </c>
      <c r="G46" s="15" t="s">
        <v>81</v>
      </c>
      <c r="H46" s="13" t="s">
        <v>228</v>
      </c>
      <c r="I46" s="15" t="s">
        <v>229</v>
      </c>
      <c r="J46" s="15" t="s">
        <v>230</v>
      </c>
      <c r="K46" s="15" t="s">
        <v>231</v>
      </c>
      <c r="L46" s="13" t="s">
        <v>236</v>
      </c>
      <c r="M46" s="15" t="s">
        <v>237</v>
      </c>
      <c r="N46" s="13" t="s">
        <v>101</v>
      </c>
      <c r="O46" s="15" t="s">
        <v>102</v>
      </c>
      <c r="P46" s="15" t="s">
        <v>103</v>
      </c>
      <c r="Q46" s="15" t="s">
        <v>110</v>
      </c>
      <c r="R46" s="13" t="s">
        <v>111</v>
      </c>
      <c r="S46" s="13" t="s">
        <v>93</v>
      </c>
      <c r="T46" s="13" t="s">
        <v>112</v>
      </c>
      <c r="U46" s="14">
        <v>40725</v>
      </c>
      <c r="V46" s="14">
        <v>44633</v>
      </c>
      <c r="W46" s="15" t="s">
        <v>243</v>
      </c>
      <c r="X46" s="13" t="s">
        <v>167</v>
      </c>
      <c r="Y46" s="15" t="str">
        <f>VLOOKUP(X46,'Axe 2 Règles de gestion'!$D$2:$F$146,3, FALSE)</f>
        <v>L'agent doit demander à reprendre ses fonctions au moins 2 mois avant l'expiration du congé en cours.</v>
      </c>
      <c r="Z46" s="13" t="s">
        <v>169</v>
      </c>
      <c r="AA46" s="15" t="str">
        <f>VLOOKUP(Z46,'Axe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46" s="13"/>
      <c r="AC46" s="15"/>
      <c r="AD46" s="13"/>
      <c r="AE46" s="15"/>
      <c r="AF46" s="13" t="s">
        <v>118</v>
      </c>
      <c r="AG46" s="15" t="str">
        <f>VLOOKUP(AF46,'Axe 2 Règles de gestion'!$D$2:$F$146,3, FALSE)</f>
        <v>La durée prévisionnelle maximale de chaque période est de un an.</v>
      </c>
      <c r="AH46" s="13" t="s">
        <v>120</v>
      </c>
      <c r="AI46" s="15" t="str">
        <f>VLOOKUP(AH46,'Axe 2 Règles de gestion'!$D$2:$F$146,3, FALSE)</f>
        <v>La durée réelle maximale de chaque période est de un an.</v>
      </c>
      <c r="AJ46" s="13" t="s">
        <v>122</v>
      </c>
      <c r="AK46" s="15" t="str">
        <f>VLOOKUP(AJ46,'Axe 2 Règles de gestion'!$D$2:$F$146,3, FALSE)</f>
        <v>L'agent ne peut pas bénéficier de plus de 3 ans cumulés de congé sans traitement quels que soient les motifs de congés sans traitement : pour raisons personnelles ou familiales.</v>
      </c>
      <c r="AL46" s="13" t="s">
        <v>240</v>
      </c>
      <c r="AM46" s="15" t="str">
        <f>VLOOKUP(AL46,'Axe 2 Règles de gestion'!$D$2:$F$146,3, FALSE)</f>
        <v>Le type de situation de famille de l'agent doit être "marié(e)" ou "pacsé(e)".</v>
      </c>
      <c r="AN46" s="13"/>
      <c r="AO46" s="15"/>
      <c r="AP46" s="13" t="s">
        <v>134</v>
      </c>
      <c r="AQ46" s="15" t="str">
        <f>VLOOKUP(AP46,'Axe 2 Règles de gestion'!$D$2:$F$146,3, FALSE)</f>
        <v>La date de début de position doit être antérieure ou égale à la date de fin prévisionnelle de position.</v>
      </c>
      <c r="AR46" s="13" t="s">
        <v>136</v>
      </c>
      <c r="AS46" s="15" t="str">
        <f>VLOOKUP(AR46,'Axe 2 Règles de gestion'!$D$2:$F$146,3, FALSE)</f>
        <v>La date de début de position doit être antérieure ou égale à la date de fin réelle de position.</v>
      </c>
      <c r="AT46" s="13" t="s">
        <v>138</v>
      </c>
      <c r="AU46" s="15" t="str">
        <f>VLOOKUP(AT46,'Axe 2 Règles de gestion'!$D$2:$F$146,3, FALSE)</f>
        <v>La date de fin prévisionnelle de la position doit être antérieure à la date limite de départ à la retraite.</v>
      </c>
      <c r="AV46" s="13" t="s">
        <v>140</v>
      </c>
      <c r="AW46" s="15" t="str">
        <f>VLOOKUP(AV46,'Axe 2 Règles de gestion'!$D$2:$F$146,3, FALSE)</f>
        <v>La date de fin réelle de la position doit être antérieure à la date limite de départ à la retraite.</v>
      </c>
      <c r="AX46" s="13" t="s">
        <v>142</v>
      </c>
      <c r="AY46" s="15" t="str">
        <f>VLOOKUP(AX46,'Axe 2 Règles de gestion'!$D$2:$F$146,3, FALSE)</f>
        <v>La date de fin ou la date de fin prévisionnelle doit être saisie.</v>
      </c>
      <c r="AZ46" s="13" t="s">
        <v>152</v>
      </c>
      <c r="BA46" s="15" t="str">
        <f>VLOOKUP(AZ46,'Axe 2 Règles de gestion'!$D$2:$F$146,3, FALSE)</f>
        <v>La saisie d'une occurrence de congés/absences est interdite (date de fin réelle)</v>
      </c>
      <c r="BB46" s="13" t="s">
        <v>154</v>
      </c>
      <c r="BC46" s="15" t="str">
        <f>VLOOKUP(BB46,'Axe 2 Règles de gestion'!$D$2:$F$146,3, FALSE)</f>
        <v>La saisie d'une occurrence de congés/absences est interdite (date de fin prévisionnelle)</v>
      </c>
      <c r="BD46" s="13"/>
      <c r="BE46" s="15"/>
      <c r="BF46" s="13"/>
      <c r="BG46" s="15"/>
      <c r="BH46" s="13"/>
      <c r="BI46" s="15"/>
      <c r="BJ46" s="13"/>
      <c r="BK46" s="15"/>
      <c r="BL46" s="13"/>
      <c r="BM46" s="15"/>
      <c r="BN46" s="13"/>
      <c r="BO46" s="15"/>
      <c r="BP46" s="13"/>
      <c r="BQ46" s="15"/>
      <c r="BR46" s="13"/>
      <c r="BS46" s="15"/>
      <c r="BT46" s="13"/>
      <c r="BU46" s="15"/>
      <c r="BV46" s="13"/>
      <c r="BW46" s="15"/>
    </row>
    <row r="47" spans="1:75" ht="145" x14ac:dyDescent="0.35">
      <c r="A47" s="13" t="s">
        <v>165</v>
      </c>
      <c r="B47" s="13" t="s">
        <v>77</v>
      </c>
      <c r="C47" s="14">
        <v>44714.728472222225</v>
      </c>
      <c r="D47" s="13" t="s">
        <v>78</v>
      </c>
      <c r="E47" s="15" t="s">
        <v>79</v>
      </c>
      <c r="F47" s="13" t="s">
        <v>80</v>
      </c>
      <c r="G47" s="15" t="s">
        <v>81</v>
      </c>
      <c r="H47" s="13" t="s">
        <v>228</v>
      </c>
      <c r="I47" s="15" t="s">
        <v>229</v>
      </c>
      <c r="J47" s="15" t="s">
        <v>230</v>
      </c>
      <c r="K47" s="15" t="s">
        <v>231</v>
      </c>
      <c r="L47" s="13" t="s">
        <v>236</v>
      </c>
      <c r="M47" s="15" t="s">
        <v>237</v>
      </c>
      <c r="N47" s="13" t="s">
        <v>101</v>
      </c>
      <c r="O47" s="15" t="s">
        <v>102</v>
      </c>
      <c r="P47" s="15" t="s">
        <v>103</v>
      </c>
      <c r="Q47" s="15" t="s">
        <v>110</v>
      </c>
      <c r="R47" s="13" t="s">
        <v>111</v>
      </c>
      <c r="S47" s="13" t="s">
        <v>93</v>
      </c>
      <c r="T47" s="13" t="s">
        <v>112</v>
      </c>
      <c r="U47" s="14">
        <v>44634</v>
      </c>
      <c r="V47" s="14"/>
      <c r="W47" s="15" t="s">
        <v>244</v>
      </c>
      <c r="X47" s="13" t="s">
        <v>167</v>
      </c>
      <c r="Y47" s="15" t="str">
        <f>VLOOKUP(X47,'Axe 2 Règles de gestion'!$D$2:$F$146,3, FALSE)</f>
        <v>L'agent doit demander à reprendre ses fonctions au moins 2 mois avant l'expiration du congé en cours.</v>
      </c>
      <c r="Z47" s="13" t="s">
        <v>172</v>
      </c>
      <c r="AA47" s="15" t="str">
        <f>VLOOKUP(Z47,'Axe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47" s="13"/>
      <c r="AC47" s="15"/>
      <c r="AD47" s="13"/>
      <c r="AE47" s="15"/>
      <c r="AF47" s="13" t="s">
        <v>118</v>
      </c>
      <c r="AG47" s="15" t="str">
        <f>VLOOKUP(AF47,'Axe 2 Règles de gestion'!$D$2:$F$146,3, FALSE)</f>
        <v>La durée prévisionnelle maximale de chaque période est de un an.</v>
      </c>
      <c r="AH47" s="13" t="s">
        <v>120</v>
      </c>
      <c r="AI47" s="15" t="str">
        <f>VLOOKUP(AH47,'Axe 2 Règles de gestion'!$D$2:$F$146,3, FALSE)</f>
        <v>La durée réelle maximale de chaque période est de un an.</v>
      </c>
      <c r="AJ47" s="13" t="s">
        <v>122</v>
      </c>
      <c r="AK47" s="15" t="str">
        <f>VLOOKUP(AJ47,'Axe 2 Règles de gestion'!$D$2:$F$146,3, FALSE)</f>
        <v>L'agent ne peut pas bénéficier de plus de 3 ans cumulés de congé sans traitement quels que soient les motifs de congés sans traitement : pour raisons personnelles ou familiales.</v>
      </c>
      <c r="AL47" s="13" t="s">
        <v>240</v>
      </c>
      <c r="AM47" s="15" t="str">
        <f>VLOOKUP(AL47,'Axe 2 Règles de gestion'!$D$2:$F$146,3, FALSE)</f>
        <v>Le type de situation de famille de l'agent doit être "marié(e)" ou "pacsé(e)".</v>
      </c>
      <c r="AN47" s="13"/>
      <c r="AO47" s="15"/>
      <c r="AP47" s="13" t="s">
        <v>134</v>
      </c>
      <c r="AQ47" s="15" t="str">
        <f>VLOOKUP(AP47,'Axe 2 Règles de gestion'!$D$2:$F$146,3, FALSE)</f>
        <v>La date de début de position doit être antérieure ou égale à la date de fin prévisionnelle de position.</v>
      </c>
      <c r="AR47" s="13" t="s">
        <v>136</v>
      </c>
      <c r="AS47" s="15" t="str">
        <f>VLOOKUP(AR47,'Axe 2 Règles de gestion'!$D$2:$F$146,3, FALSE)</f>
        <v>La date de début de position doit être antérieure ou égale à la date de fin réelle de position.</v>
      </c>
      <c r="AT47" s="13" t="s">
        <v>138</v>
      </c>
      <c r="AU47" s="15" t="str">
        <f>VLOOKUP(AT47,'Axe 2 Règles de gestion'!$D$2:$F$146,3, FALSE)</f>
        <v>La date de fin prévisionnelle de la position doit être antérieure à la date limite de départ à la retraite.</v>
      </c>
      <c r="AV47" s="13" t="s">
        <v>140</v>
      </c>
      <c r="AW47" s="15" t="str">
        <f>VLOOKUP(AV47,'Axe 2 Règles de gestion'!$D$2:$F$146,3, FALSE)</f>
        <v>La date de fin réelle de la position doit être antérieure à la date limite de départ à la retraite.</v>
      </c>
      <c r="AX47" s="13" t="s">
        <v>142</v>
      </c>
      <c r="AY47" s="15" t="str">
        <f>VLOOKUP(AX47,'Axe 2 Règles de gestion'!$D$2:$F$146,3, FALSE)</f>
        <v>La date de fin ou la date de fin prévisionnelle doit être saisie.</v>
      </c>
      <c r="AZ47" s="13" t="s">
        <v>152</v>
      </c>
      <c r="BA47" s="15" t="str">
        <f>VLOOKUP(AZ47,'Axe 2 Règles de gestion'!$D$2:$F$146,3, FALSE)</f>
        <v>La saisie d'une occurrence de congés/absences est interdite (date de fin réelle)</v>
      </c>
      <c r="BB47" s="13" t="s">
        <v>154</v>
      </c>
      <c r="BC47" s="15" t="str">
        <f>VLOOKUP(BB47,'Axe 2 Règles de gestion'!$D$2:$F$146,3, FALSE)</f>
        <v>La saisie d'une occurrence de congés/absences est interdite (date de fin prévisionnelle)</v>
      </c>
      <c r="BD47" s="13"/>
      <c r="BE47" s="15"/>
      <c r="BF47" s="13"/>
      <c r="BG47" s="15"/>
      <c r="BH47" s="13"/>
      <c r="BI47" s="15"/>
      <c r="BJ47" s="13"/>
      <c r="BK47" s="15"/>
      <c r="BL47" s="13"/>
      <c r="BM47" s="15"/>
      <c r="BN47" s="13"/>
      <c r="BO47" s="15"/>
      <c r="BP47" s="13"/>
      <c r="BQ47" s="15"/>
      <c r="BR47" s="13"/>
      <c r="BS47" s="15"/>
      <c r="BT47" s="13"/>
      <c r="BU47" s="15"/>
      <c r="BV47" s="13"/>
      <c r="BW47" s="15"/>
    </row>
    <row r="48" spans="1:75" ht="72.5" x14ac:dyDescent="0.35">
      <c r="A48" s="13" t="s">
        <v>76</v>
      </c>
      <c r="B48" s="13" t="s">
        <v>77</v>
      </c>
      <c r="C48" s="14">
        <v>43152.5</v>
      </c>
      <c r="D48" s="13" t="s">
        <v>78</v>
      </c>
      <c r="E48" s="15" t="s">
        <v>79</v>
      </c>
      <c r="F48" s="13" t="s">
        <v>80</v>
      </c>
      <c r="G48" s="15" t="s">
        <v>81</v>
      </c>
      <c r="H48" s="13" t="s">
        <v>228</v>
      </c>
      <c r="I48" s="15" t="s">
        <v>229</v>
      </c>
      <c r="J48" s="15" t="s">
        <v>230</v>
      </c>
      <c r="K48" s="15" t="s">
        <v>231</v>
      </c>
      <c r="L48" s="13" t="s">
        <v>232</v>
      </c>
      <c r="M48" s="15" t="s">
        <v>233</v>
      </c>
      <c r="N48" s="13" t="s">
        <v>88</v>
      </c>
      <c r="O48" s="15" t="s">
        <v>89</v>
      </c>
      <c r="P48" s="15" t="s">
        <v>90</v>
      </c>
      <c r="Q48" s="15" t="s">
        <v>175</v>
      </c>
      <c r="R48" s="13" t="s">
        <v>176</v>
      </c>
      <c r="S48" s="13" t="s">
        <v>93</v>
      </c>
      <c r="T48" s="13" t="s">
        <v>94</v>
      </c>
      <c r="U48" s="14">
        <v>40725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5"/>
      <c r="AX48" s="13"/>
      <c r="AY48" s="15"/>
      <c r="AZ48" s="13"/>
      <c r="BA48" s="15"/>
      <c r="BB48" s="13"/>
      <c r="BC48" s="15"/>
      <c r="BD48" s="13"/>
      <c r="BE48" s="15"/>
      <c r="BF48" s="13"/>
      <c r="BG48" s="15"/>
      <c r="BH48" s="13"/>
      <c r="BI48" s="15"/>
      <c r="BJ48" s="13"/>
      <c r="BK48" s="15"/>
      <c r="BL48" s="13"/>
      <c r="BM48" s="15"/>
      <c r="BN48" s="13"/>
      <c r="BO48" s="15"/>
      <c r="BP48" s="13"/>
      <c r="BQ48" s="15"/>
      <c r="BR48" s="13"/>
      <c r="BS48" s="15"/>
      <c r="BT48" s="13"/>
      <c r="BU48" s="15"/>
      <c r="BV48" s="13"/>
      <c r="BW48" s="15"/>
    </row>
    <row r="49" spans="1:75" ht="72.5" x14ac:dyDescent="0.35">
      <c r="A49" s="13" t="s">
        <v>76</v>
      </c>
      <c r="B49" s="13" t="s">
        <v>77</v>
      </c>
      <c r="C49" s="14">
        <v>43152.5</v>
      </c>
      <c r="D49" s="13" t="s">
        <v>78</v>
      </c>
      <c r="E49" s="15" t="s">
        <v>79</v>
      </c>
      <c r="F49" s="13" t="s">
        <v>80</v>
      </c>
      <c r="G49" s="15" t="s">
        <v>81</v>
      </c>
      <c r="H49" s="13" t="s">
        <v>228</v>
      </c>
      <c r="I49" s="15" t="s">
        <v>229</v>
      </c>
      <c r="J49" s="15" t="s">
        <v>230</v>
      </c>
      <c r="K49" s="15" t="s">
        <v>231</v>
      </c>
      <c r="L49" s="13" t="s">
        <v>234</v>
      </c>
      <c r="M49" s="15" t="s">
        <v>235</v>
      </c>
      <c r="N49" s="13" t="s">
        <v>88</v>
      </c>
      <c r="O49" s="15" t="s">
        <v>97</v>
      </c>
      <c r="P49" s="15" t="s">
        <v>98</v>
      </c>
      <c r="Q49" s="15" t="s">
        <v>175</v>
      </c>
      <c r="R49" s="13" t="s">
        <v>176</v>
      </c>
      <c r="S49" s="13" t="s">
        <v>93</v>
      </c>
      <c r="T49" s="13" t="s">
        <v>94</v>
      </c>
      <c r="U49" s="14">
        <v>40725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5"/>
      <c r="AX49" s="13"/>
      <c r="AY49" s="15"/>
      <c r="AZ49" s="13"/>
      <c r="BA49" s="15"/>
      <c r="BB49" s="13"/>
      <c r="BC49" s="15"/>
      <c r="BD49" s="13"/>
      <c r="BE49" s="15"/>
      <c r="BF49" s="13"/>
      <c r="BG49" s="15"/>
      <c r="BH49" s="13"/>
      <c r="BI49" s="15"/>
      <c r="BJ49" s="13"/>
      <c r="BK49" s="15"/>
      <c r="BL49" s="13"/>
      <c r="BM49" s="15"/>
      <c r="BN49" s="13"/>
      <c r="BO49" s="15"/>
      <c r="BP49" s="13"/>
      <c r="BQ49" s="15"/>
      <c r="BR49" s="13"/>
      <c r="BS49" s="15"/>
      <c r="BT49" s="13"/>
      <c r="BU49" s="15"/>
      <c r="BV49" s="13"/>
      <c r="BW49" s="15"/>
    </row>
    <row r="50" spans="1:75" ht="72.5" x14ac:dyDescent="0.35">
      <c r="A50" s="13" t="s">
        <v>76</v>
      </c>
      <c r="B50" s="13" t="s">
        <v>77</v>
      </c>
      <c r="C50" s="14">
        <v>43152.5</v>
      </c>
      <c r="D50" s="13" t="s">
        <v>78</v>
      </c>
      <c r="E50" s="15" t="s">
        <v>79</v>
      </c>
      <c r="F50" s="13" t="s">
        <v>80</v>
      </c>
      <c r="G50" s="15" t="s">
        <v>81</v>
      </c>
      <c r="H50" s="13" t="s">
        <v>228</v>
      </c>
      <c r="I50" s="15" t="s">
        <v>229</v>
      </c>
      <c r="J50" s="15" t="s">
        <v>230</v>
      </c>
      <c r="K50" s="15" t="s">
        <v>231</v>
      </c>
      <c r="L50" s="13" t="s">
        <v>236</v>
      </c>
      <c r="M50" s="15" t="s">
        <v>237</v>
      </c>
      <c r="N50" s="13" t="s">
        <v>101</v>
      </c>
      <c r="O50" s="15" t="s">
        <v>102</v>
      </c>
      <c r="P50" s="15" t="s">
        <v>103</v>
      </c>
      <c r="Q50" s="15" t="s">
        <v>175</v>
      </c>
      <c r="R50" s="13" t="s">
        <v>176</v>
      </c>
      <c r="S50" s="13" t="s">
        <v>93</v>
      </c>
      <c r="T50" s="13" t="s">
        <v>94</v>
      </c>
      <c r="U50" s="14">
        <v>40725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5"/>
      <c r="AX50" s="13"/>
      <c r="AY50" s="15"/>
      <c r="AZ50" s="13"/>
      <c r="BA50" s="15"/>
      <c r="BB50" s="13"/>
      <c r="BC50" s="15"/>
      <c r="BD50" s="13"/>
      <c r="BE50" s="15"/>
      <c r="BF50" s="13"/>
      <c r="BG50" s="15"/>
      <c r="BH50" s="13"/>
      <c r="BI50" s="15"/>
      <c r="BJ50" s="13"/>
      <c r="BK50" s="15"/>
      <c r="BL50" s="13"/>
      <c r="BM50" s="15"/>
      <c r="BN50" s="13"/>
      <c r="BO50" s="15"/>
      <c r="BP50" s="13"/>
      <c r="BQ50" s="15"/>
      <c r="BR50" s="13"/>
      <c r="BS50" s="15"/>
      <c r="BT50" s="13"/>
      <c r="BU50" s="15"/>
      <c r="BV50" s="13"/>
      <c r="BW50" s="15"/>
    </row>
    <row r="51" spans="1:75" ht="101.5" x14ac:dyDescent="0.35">
      <c r="A51" s="13" t="s">
        <v>238</v>
      </c>
      <c r="B51" s="13" t="s">
        <v>109</v>
      </c>
      <c r="C51" s="14">
        <v>44368.708333333336</v>
      </c>
      <c r="D51" s="13" t="s">
        <v>78</v>
      </c>
      <c r="E51" s="15" t="s">
        <v>79</v>
      </c>
      <c r="F51" s="13" t="s">
        <v>80</v>
      </c>
      <c r="G51" s="15" t="s">
        <v>81</v>
      </c>
      <c r="H51" s="13" t="s">
        <v>228</v>
      </c>
      <c r="I51" s="15" t="s">
        <v>229</v>
      </c>
      <c r="J51" s="15" t="s">
        <v>230</v>
      </c>
      <c r="K51" s="15" t="s">
        <v>231</v>
      </c>
      <c r="L51" s="13" t="s">
        <v>232</v>
      </c>
      <c r="M51" s="15" t="s">
        <v>233</v>
      </c>
      <c r="N51" s="13" t="s">
        <v>88</v>
      </c>
      <c r="O51" s="15" t="s">
        <v>89</v>
      </c>
      <c r="P51" s="15" t="s">
        <v>90</v>
      </c>
      <c r="Q51" s="15" t="s">
        <v>177</v>
      </c>
      <c r="R51" s="13" t="s">
        <v>178</v>
      </c>
      <c r="S51" s="13" t="s">
        <v>179</v>
      </c>
      <c r="T51" s="13" t="s">
        <v>112</v>
      </c>
      <c r="U51" s="14">
        <v>40725</v>
      </c>
      <c r="V51" s="14"/>
      <c r="W51" s="15" t="s">
        <v>245</v>
      </c>
      <c r="X51" s="13" t="s">
        <v>181</v>
      </c>
      <c r="Y51" s="15" t="str">
        <f>VLOOKUP(X51,'Axe 2 Règles de gestion'!$D$2:$F$146,3, FALSE)</f>
        <v>L'agent doit présenter une demande de congé sans traitement.</v>
      </c>
      <c r="Z51" s="13" t="s">
        <v>182</v>
      </c>
      <c r="AA51" s="15" t="str">
        <f>VLOOKUP(Z51,'Axe 2 Règles de gestion'!$D$2:$F$146,3, FALSE)</f>
        <v>La demande est accordée de droit par le supérieur hiérarchique.</v>
      </c>
      <c r="AB51" s="13"/>
      <c r="AC51" s="15"/>
      <c r="AD51" s="13"/>
      <c r="AE51" s="15"/>
      <c r="AF51" s="13" t="s">
        <v>183</v>
      </c>
      <c r="AG51" s="15" t="str">
        <f>VLOOKUP(AF51,'Axe 2 Règles de gestion'!$D$2:$F$146,3, FALSE)</f>
        <v>La durée prévisionnelle maximale de chaque période est de un an.</v>
      </c>
      <c r="AH51" s="13" t="s">
        <v>184</v>
      </c>
      <c r="AI51" s="15" t="str">
        <f>VLOOKUP(AH51,'Axe 2 Règles de gestion'!$D$2:$F$146,3, FALSE)</f>
        <v>La durée réelle maximale de chaque période est de un an.</v>
      </c>
      <c r="AJ51" s="13" t="s">
        <v>185</v>
      </c>
      <c r="AK51" s="15" t="str">
        <f>VLOOKUP(AJ51,'Axe 2 Règles de gestion'!$D$2:$F$146,3, FALSE)</f>
        <v>L'agent ne peut pas bénéficier de plus de 3 ans cumulés de congé sans traitement quels que soient les motifs de congés sans traitement : pour raisons personnelles ou familiales.</v>
      </c>
      <c r="AL51" s="13" t="s">
        <v>246</v>
      </c>
      <c r="AM51" s="15" t="str">
        <f>VLOOKUP(AL51,'Axe 2 Règles de gestion'!$D$2:$F$146,3, FALSE)</f>
        <v>Le type de situation de famille de l'agent doit être "marié(e)" ou "pacsé(e)".</v>
      </c>
      <c r="AN51" s="13"/>
      <c r="AO51" s="15"/>
      <c r="AP51" s="13" t="s">
        <v>128</v>
      </c>
      <c r="AQ51" s="15" t="str">
        <f>VLOOKUP(AP51,'Axe 2 Règles de gestion'!$D$2:$F$146,3, FALSE)</f>
        <v>Lors de la demande initiale, l'agent doit être en activité.</v>
      </c>
      <c r="AR51" s="13" t="s">
        <v>130</v>
      </c>
      <c r="AS51" s="15" t="str">
        <f>VLOOKUP(AR51,'Axe 2 Règles de gestion'!$D$2:$F$146,3, FALSE)</f>
        <v>La date de début de la position doit être postérieure ou égale à la date d'entrée dans la FPE ou dans la carrière militaire.</v>
      </c>
      <c r="AT51" s="13" t="s">
        <v>132</v>
      </c>
      <c r="AU51" s="15" t="str">
        <f>VLOOKUP(AT51,'Axe 2 Règles de gestion'!$D$2:$F$146,3, FALSE)</f>
        <v>La date de début de position est à J+1 de la date de fin de position de l'occurrence précédente.</v>
      </c>
      <c r="AV51" s="13" t="s">
        <v>134</v>
      </c>
      <c r="AW51" s="15" t="str">
        <f>VLOOKUP(AV51,'Axe 2 Règles de gestion'!$D$2:$F$146,3, FALSE)</f>
        <v>La date de début de position doit être antérieure ou égale à la date de fin prévisionnelle de position.</v>
      </c>
      <c r="AX51" s="13" t="s">
        <v>136</v>
      </c>
      <c r="AY51" s="15" t="str">
        <f>VLOOKUP(AX51,'Axe 2 Règles de gestion'!$D$2:$F$146,3, FALSE)</f>
        <v>La date de début de position doit être antérieure ou égale à la date de fin réelle de position.</v>
      </c>
      <c r="AZ51" s="13" t="s">
        <v>138</v>
      </c>
      <c r="BA51" s="15" t="str">
        <f>VLOOKUP(AZ51,'Axe 2 Règles de gestion'!$D$2:$F$146,3, FALSE)</f>
        <v>La date de fin prévisionnelle de la position doit être antérieure à la date limite de départ à la retraite.</v>
      </c>
      <c r="BB51" s="13" t="s">
        <v>140</v>
      </c>
      <c r="BC51" s="15" t="str">
        <f>VLOOKUP(BB51,'Axe 2 Règles de gestion'!$D$2:$F$146,3, FALSE)</f>
        <v>La date de fin réelle de la position doit être antérieure à la date limite de départ à la retraite.</v>
      </c>
      <c r="BD51" s="13" t="s">
        <v>142</v>
      </c>
      <c r="BE51" s="15" t="str">
        <f>VLOOKUP(BD51,'Axe 2 Règles de gestion'!$D$2:$F$146,3, FALSE)</f>
        <v>La date de fin ou la date de fin prévisionnelle doit être saisie.</v>
      </c>
      <c r="BF51" s="13" t="s">
        <v>152</v>
      </c>
      <c r="BG51" s="15" t="str">
        <f>VLOOKUP(BF51,'Axe 2 Règles de gestion'!$D$2:$F$146,3, FALSE)</f>
        <v>La saisie d'une occurrence de congés/absences est interdite (date de fin réelle)</v>
      </c>
      <c r="BH51" s="13" t="s">
        <v>154</v>
      </c>
      <c r="BI51" s="15" t="str">
        <f>VLOOKUP(BH51,'Axe 2 Règles de gestion'!$D$2:$F$146,3, FALSE)</f>
        <v>La saisie d'une occurrence de congés/absences est interdite (date de fin prévisionnelle)</v>
      </c>
      <c r="BJ51" s="13"/>
      <c r="BK51" s="15"/>
      <c r="BL51" s="13"/>
      <c r="BM51" s="15"/>
      <c r="BN51" s="13"/>
      <c r="BO51" s="15"/>
      <c r="BP51" s="13"/>
      <c r="BQ51" s="15"/>
      <c r="BR51" s="13"/>
      <c r="BS51" s="15"/>
      <c r="BT51" s="13"/>
      <c r="BU51" s="15"/>
      <c r="BV51" s="13"/>
      <c r="BW51" s="15"/>
    </row>
    <row r="52" spans="1:75" ht="101.5" x14ac:dyDescent="0.35">
      <c r="A52" s="13" t="s">
        <v>238</v>
      </c>
      <c r="B52" s="13" t="s">
        <v>109</v>
      </c>
      <c r="C52" s="14">
        <v>44368.708333333336</v>
      </c>
      <c r="D52" s="13" t="s">
        <v>78</v>
      </c>
      <c r="E52" s="15" t="s">
        <v>79</v>
      </c>
      <c r="F52" s="13" t="s">
        <v>80</v>
      </c>
      <c r="G52" s="15" t="s">
        <v>81</v>
      </c>
      <c r="H52" s="13" t="s">
        <v>228</v>
      </c>
      <c r="I52" s="15" t="s">
        <v>229</v>
      </c>
      <c r="J52" s="15" t="s">
        <v>230</v>
      </c>
      <c r="K52" s="15" t="s">
        <v>231</v>
      </c>
      <c r="L52" s="13" t="s">
        <v>234</v>
      </c>
      <c r="M52" s="15" t="s">
        <v>235</v>
      </c>
      <c r="N52" s="13" t="s">
        <v>88</v>
      </c>
      <c r="O52" s="15" t="s">
        <v>97</v>
      </c>
      <c r="P52" s="15" t="s">
        <v>98</v>
      </c>
      <c r="Q52" s="15" t="s">
        <v>177</v>
      </c>
      <c r="R52" s="13" t="s">
        <v>178</v>
      </c>
      <c r="S52" s="13" t="s">
        <v>179</v>
      </c>
      <c r="T52" s="13" t="s">
        <v>112</v>
      </c>
      <c r="U52" s="14">
        <v>40725</v>
      </c>
      <c r="V52" s="14"/>
      <c r="W52" s="15" t="s">
        <v>247</v>
      </c>
      <c r="X52" s="13" t="s">
        <v>192</v>
      </c>
      <c r="Y52" s="15" t="str">
        <f>VLOOKUP(X52,'Axe 2 Règles de gestion'!$D$2:$F$146,3, FALSE)</f>
        <v>L'agent peut renouveler le congé sans traitement 2 fois.</v>
      </c>
      <c r="Z52" s="13"/>
      <c r="AA52" s="15"/>
      <c r="AB52" s="13"/>
      <c r="AC52" s="15"/>
      <c r="AD52" s="13"/>
      <c r="AE52" s="15"/>
      <c r="AF52" s="13" t="s">
        <v>183</v>
      </c>
      <c r="AG52" s="15" t="str">
        <f>VLOOKUP(AF52,'Axe 2 Règles de gestion'!$D$2:$F$146,3, FALSE)</f>
        <v>La durée prévisionnelle maximale de chaque période est de un an.</v>
      </c>
      <c r="AH52" s="13" t="s">
        <v>184</v>
      </c>
      <c r="AI52" s="15" t="str">
        <f>VLOOKUP(AH52,'Axe 2 Règles de gestion'!$D$2:$F$146,3, FALSE)</f>
        <v>La durée réelle maximale de chaque période est de un an.</v>
      </c>
      <c r="AJ52" s="13" t="s">
        <v>185</v>
      </c>
      <c r="AK52" s="15" t="str">
        <f>VLOOKUP(AJ52,'Axe 2 Règles de gestion'!$D$2:$F$146,3, FALSE)</f>
        <v>L'agent ne peut pas bénéficier de plus de 3 ans cumulés de congé sans traitement quels que soient les motifs de congés sans traitement : pour raisons personnelles ou familiales.</v>
      </c>
      <c r="AL52" s="13" t="s">
        <v>246</v>
      </c>
      <c r="AM52" s="15" t="str">
        <f>VLOOKUP(AL52,'Axe 2 Règles de gestion'!$D$2:$F$146,3, FALSE)</f>
        <v>Le type de situation de famille de l'agent doit être "marié(e)" ou "pacsé(e)".</v>
      </c>
      <c r="AN52" s="13"/>
      <c r="AO52" s="15"/>
      <c r="AP52" s="13" t="s">
        <v>130</v>
      </c>
      <c r="AQ52" s="15" t="str">
        <f>VLOOKUP(AP52,'Axe 2 Règles de gestion'!$D$2:$F$146,3, FALSE)</f>
        <v>La date de début de la position doit être postérieure ou égale à la date d'entrée dans la FPE ou dans la carrière militaire.</v>
      </c>
      <c r="AR52" s="13" t="s">
        <v>132</v>
      </c>
      <c r="AS52" s="15" t="str">
        <f>VLOOKUP(AR52,'Axe 2 Règles de gestion'!$D$2:$F$146,3, FALSE)</f>
        <v>La date de début de position est à J+1 de la date de fin de position de l'occurrence précédente.</v>
      </c>
      <c r="AT52" s="13" t="s">
        <v>134</v>
      </c>
      <c r="AU52" s="15" t="str">
        <f>VLOOKUP(AT52,'Axe 2 Règles de gestion'!$D$2:$F$146,3, FALSE)</f>
        <v>La date de début de position doit être antérieure ou égale à la date de fin prévisionnelle de position.</v>
      </c>
      <c r="AV52" s="13" t="s">
        <v>136</v>
      </c>
      <c r="AW52" s="15" t="str">
        <f>VLOOKUP(AV52,'Axe 2 Règles de gestion'!$D$2:$F$146,3, FALSE)</f>
        <v>La date de début de position doit être antérieure ou égale à la date de fin réelle de position.</v>
      </c>
      <c r="AX52" s="13" t="s">
        <v>138</v>
      </c>
      <c r="AY52" s="15" t="str">
        <f>VLOOKUP(AX52,'Axe 2 Règles de gestion'!$D$2:$F$146,3, FALSE)</f>
        <v>La date de fin prévisionnelle de la position doit être antérieure à la date limite de départ à la retraite.</v>
      </c>
      <c r="AZ52" s="13" t="s">
        <v>140</v>
      </c>
      <c r="BA52" s="15" t="str">
        <f>VLOOKUP(AZ52,'Axe 2 Règles de gestion'!$D$2:$F$146,3, FALSE)</f>
        <v>La date de fin réelle de la position doit être antérieure à la date limite de départ à la retraite.</v>
      </c>
      <c r="BB52" s="13" t="s">
        <v>142</v>
      </c>
      <c r="BC52" s="15" t="str">
        <f>VLOOKUP(BB52,'Axe 2 Règles de gestion'!$D$2:$F$146,3, FALSE)</f>
        <v>La date de fin ou la date de fin prévisionnelle doit être saisie.</v>
      </c>
      <c r="BD52" s="13" t="s">
        <v>152</v>
      </c>
      <c r="BE52" s="15" t="str">
        <f>VLOOKUP(BD52,'Axe 2 Règles de gestion'!$D$2:$F$146,3, FALSE)</f>
        <v>La saisie d'une occurrence de congés/absences est interdite (date de fin réelle)</v>
      </c>
      <c r="BF52" s="13" t="s">
        <v>154</v>
      </c>
      <c r="BG52" s="15" t="str">
        <f>VLOOKUP(BF52,'Axe 2 Règles de gestion'!$D$2:$F$146,3, FALSE)</f>
        <v>La saisie d'une occurrence de congés/absences est interdite (date de fin prévisionnelle)</v>
      </c>
      <c r="BH52" s="13"/>
      <c r="BI52" s="15"/>
      <c r="BJ52" s="13"/>
      <c r="BK52" s="15"/>
      <c r="BL52" s="13"/>
      <c r="BM52" s="15"/>
      <c r="BN52" s="13"/>
      <c r="BO52" s="15"/>
      <c r="BP52" s="13"/>
      <c r="BQ52" s="15"/>
      <c r="BR52" s="13"/>
      <c r="BS52" s="15"/>
      <c r="BT52" s="13"/>
      <c r="BU52" s="15"/>
      <c r="BV52" s="13"/>
      <c r="BW52" s="15"/>
    </row>
    <row r="53" spans="1:75" ht="130.5" x14ac:dyDescent="0.35">
      <c r="A53" s="13" t="s">
        <v>165</v>
      </c>
      <c r="B53" s="13" t="s">
        <v>109</v>
      </c>
      <c r="C53" s="14">
        <v>44714.729166666664</v>
      </c>
      <c r="D53" s="13" t="s">
        <v>78</v>
      </c>
      <c r="E53" s="15" t="s">
        <v>79</v>
      </c>
      <c r="F53" s="13" t="s">
        <v>80</v>
      </c>
      <c r="G53" s="15" t="s">
        <v>81</v>
      </c>
      <c r="H53" s="13" t="s">
        <v>228</v>
      </c>
      <c r="I53" s="15" t="s">
        <v>229</v>
      </c>
      <c r="J53" s="15" t="s">
        <v>230</v>
      </c>
      <c r="K53" s="15" t="s">
        <v>231</v>
      </c>
      <c r="L53" s="13" t="s">
        <v>236</v>
      </c>
      <c r="M53" s="15" t="s">
        <v>237</v>
      </c>
      <c r="N53" s="13" t="s">
        <v>101</v>
      </c>
      <c r="O53" s="15" t="s">
        <v>102</v>
      </c>
      <c r="P53" s="15" t="s">
        <v>103</v>
      </c>
      <c r="Q53" s="15" t="s">
        <v>177</v>
      </c>
      <c r="R53" s="13" t="s">
        <v>178</v>
      </c>
      <c r="S53" s="13" t="s">
        <v>179</v>
      </c>
      <c r="T53" s="13" t="s">
        <v>112</v>
      </c>
      <c r="U53" s="14">
        <v>40725</v>
      </c>
      <c r="V53" s="14">
        <v>44633</v>
      </c>
      <c r="W53" s="15" t="s">
        <v>248</v>
      </c>
      <c r="X53" s="13" t="s">
        <v>195</v>
      </c>
      <c r="Y53" s="15" t="str">
        <f>VLOOKUP(X53,'Axe 2 Règles de gestion'!$D$2:$F$146,3, FALSE)</f>
        <v>L'agent doit demander à reprendre ses fonctions 2 mois au moins avant l'expiration du congé en cours.</v>
      </c>
      <c r="Z53" s="13" t="s">
        <v>197</v>
      </c>
      <c r="AA53" s="15" t="str">
        <f>VLOOKUP(Z53,'Axe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53" s="13"/>
      <c r="AC53" s="15"/>
      <c r="AD53" s="13"/>
      <c r="AE53" s="15"/>
      <c r="AF53" s="13" t="s">
        <v>183</v>
      </c>
      <c r="AG53" s="15" t="str">
        <f>VLOOKUP(AF53,'Axe 2 Règles de gestion'!$D$2:$F$146,3, FALSE)</f>
        <v>La durée prévisionnelle maximale de chaque période est de un an.</v>
      </c>
      <c r="AH53" s="13" t="s">
        <v>184</v>
      </c>
      <c r="AI53" s="15" t="str">
        <f>VLOOKUP(AH53,'Axe 2 Règles de gestion'!$D$2:$F$146,3, FALSE)</f>
        <v>La durée réelle maximale de chaque période est de un an.</v>
      </c>
      <c r="AJ53" s="13" t="s">
        <v>185</v>
      </c>
      <c r="AK53" s="15" t="str">
        <f>VLOOKUP(AJ53,'Axe 2 Règles de gestion'!$D$2:$F$146,3, FALSE)</f>
        <v>L'agent ne peut pas bénéficier de plus de 3 ans cumulés de congé sans traitement quels que soient les motifs de congés sans traitement : pour raisons personnelles ou familiales.</v>
      </c>
      <c r="AL53" s="13" t="s">
        <v>246</v>
      </c>
      <c r="AM53" s="15" t="str">
        <f>VLOOKUP(AL53,'Axe 2 Règles de gestion'!$D$2:$F$146,3, FALSE)</f>
        <v>Le type de situation de famille de l'agent doit être "marié(e)" ou "pacsé(e)".</v>
      </c>
      <c r="AN53" s="13"/>
      <c r="AO53" s="15"/>
      <c r="AP53" s="13" t="s">
        <v>134</v>
      </c>
      <c r="AQ53" s="15" t="str">
        <f>VLOOKUP(AP53,'Axe 2 Règles de gestion'!$D$2:$F$146,3, FALSE)</f>
        <v>La date de début de position doit être antérieure ou égale à la date de fin prévisionnelle de position.</v>
      </c>
      <c r="AR53" s="13" t="s">
        <v>136</v>
      </c>
      <c r="AS53" s="15" t="str">
        <f>VLOOKUP(AR53,'Axe 2 Règles de gestion'!$D$2:$F$146,3, FALSE)</f>
        <v>La date de début de position doit être antérieure ou égale à la date de fin réelle de position.</v>
      </c>
      <c r="AT53" s="13" t="s">
        <v>138</v>
      </c>
      <c r="AU53" s="15" t="str">
        <f>VLOOKUP(AT53,'Axe 2 Règles de gestion'!$D$2:$F$146,3, FALSE)</f>
        <v>La date de fin prévisionnelle de la position doit être antérieure à la date limite de départ à la retraite.</v>
      </c>
      <c r="AV53" s="13" t="s">
        <v>140</v>
      </c>
      <c r="AW53" s="15" t="str">
        <f>VLOOKUP(AV53,'Axe 2 Règles de gestion'!$D$2:$F$146,3, FALSE)</f>
        <v>La date de fin réelle de la position doit être antérieure à la date limite de départ à la retraite.</v>
      </c>
      <c r="AX53" s="13" t="s">
        <v>142</v>
      </c>
      <c r="AY53" s="15" t="str">
        <f>VLOOKUP(AX53,'Axe 2 Règles de gestion'!$D$2:$F$146,3, FALSE)</f>
        <v>La date de fin ou la date de fin prévisionnelle doit être saisie.</v>
      </c>
      <c r="AZ53" s="13" t="s">
        <v>152</v>
      </c>
      <c r="BA53" s="15" t="str">
        <f>VLOOKUP(AZ53,'Axe 2 Règles de gestion'!$D$2:$F$146,3, FALSE)</f>
        <v>La saisie d'une occurrence de congés/absences est interdite (date de fin réelle)</v>
      </c>
      <c r="BB53" s="13" t="s">
        <v>154</v>
      </c>
      <c r="BC53" s="15" t="str">
        <f>VLOOKUP(BB53,'Axe 2 Règles de gestion'!$D$2:$F$146,3, FALSE)</f>
        <v>La saisie d'une occurrence de congés/absences est interdite (date de fin prévisionnelle)</v>
      </c>
      <c r="BD53" s="13"/>
      <c r="BE53" s="15"/>
      <c r="BF53" s="13"/>
      <c r="BG53" s="15"/>
      <c r="BH53" s="13"/>
      <c r="BI53" s="15"/>
      <c r="BJ53" s="13"/>
      <c r="BK53" s="15"/>
      <c r="BL53" s="13"/>
      <c r="BM53" s="15"/>
      <c r="BN53" s="13"/>
      <c r="BO53" s="15"/>
      <c r="BP53" s="13"/>
      <c r="BQ53" s="15"/>
      <c r="BR53" s="13"/>
      <c r="BS53" s="15"/>
      <c r="BT53" s="13"/>
      <c r="BU53" s="15"/>
      <c r="BV53" s="13"/>
      <c r="BW53" s="15"/>
    </row>
    <row r="54" spans="1:75" ht="145" x14ac:dyDescent="0.35">
      <c r="A54" s="13" t="s">
        <v>165</v>
      </c>
      <c r="B54" s="13" t="s">
        <v>77</v>
      </c>
      <c r="C54" s="14">
        <v>44714.730555555558</v>
      </c>
      <c r="D54" s="13" t="s">
        <v>78</v>
      </c>
      <c r="E54" s="15" t="s">
        <v>79</v>
      </c>
      <c r="F54" s="13" t="s">
        <v>80</v>
      </c>
      <c r="G54" s="15" t="s">
        <v>81</v>
      </c>
      <c r="H54" s="13" t="s">
        <v>228</v>
      </c>
      <c r="I54" s="15" t="s">
        <v>229</v>
      </c>
      <c r="J54" s="15" t="s">
        <v>230</v>
      </c>
      <c r="K54" s="15" t="s">
        <v>231</v>
      </c>
      <c r="L54" s="13" t="s">
        <v>236</v>
      </c>
      <c r="M54" s="15" t="s">
        <v>237</v>
      </c>
      <c r="N54" s="13" t="s">
        <v>101</v>
      </c>
      <c r="O54" s="15" t="s">
        <v>102</v>
      </c>
      <c r="P54" s="15" t="s">
        <v>103</v>
      </c>
      <c r="Q54" s="15" t="s">
        <v>177</v>
      </c>
      <c r="R54" s="13" t="s">
        <v>178</v>
      </c>
      <c r="S54" s="13" t="s">
        <v>179</v>
      </c>
      <c r="T54" s="13" t="s">
        <v>112</v>
      </c>
      <c r="U54" s="14">
        <v>44634</v>
      </c>
      <c r="V54" s="14"/>
      <c r="W54" s="15" t="s">
        <v>249</v>
      </c>
      <c r="X54" s="13" t="s">
        <v>195</v>
      </c>
      <c r="Y54" s="15" t="str">
        <f>VLOOKUP(X54,'Axe 2 Règles de gestion'!$D$2:$F$146,3, FALSE)</f>
        <v>L'agent doit demander à reprendre ses fonctions 2 mois au moins avant l'expiration du congé en cours.</v>
      </c>
      <c r="Z54" s="13" t="s">
        <v>199</v>
      </c>
      <c r="AA54" s="15" t="str">
        <f>VLOOKUP(Z54,'Axe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54" s="13"/>
      <c r="AC54" s="15"/>
      <c r="AD54" s="13"/>
      <c r="AE54" s="15"/>
      <c r="AF54" s="13" t="s">
        <v>183</v>
      </c>
      <c r="AG54" s="15" t="str">
        <f>VLOOKUP(AF54,'Axe 2 Règles de gestion'!$D$2:$F$146,3, FALSE)</f>
        <v>La durée prévisionnelle maximale de chaque période est de un an.</v>
      </c>
      <c r="AH54" s="13" t="s">
        <v>184</v>
      </c>
      <c r="AI54" s="15" t="str">
        <f>VLOOKUP(AH54,'Axe 2 Règles de gestion'!$D$2:$F$146,3, FALSE)</f>
        <v>La durée réelle maximale de chaque période est de un an.</v>
      </c>
      <c r="AJ54" s="13" t="s">
        <v>185</v>
      </c>
      <c r="AK54" s="15" t="str">
        <f>VLOOKUP(AJ54,'Axe 2 Règles de gestion'!$D$2:$F$146,3, FALSE)</f>
        <v>L'agent ne peut pas bénéficier de plus de 3 ans cumulés de congé sans traitement quels que soient les motifs de congés sans traitement : pour raisons personnelles ou familiales.</v>
      </c>
      <c r="AL54" s="13" t="s">
        <v>246</v>
      </c>
      <c r="AM54" s="15" t="str">
        <f>VLOOKUP(AL54,'Axe 2 Règles de gestion'!$D$2:$F$146,3, FALSE)</f>
        <v>Le type de situation de famille de l'agent doit être "marié(e)" ou "pacsé(e)".</v>
      </c>
      <c r="AN54" s="13"/>
      <c r="AO54" s="15"/>
      <c r="AP54" s="13" t="s">
        <v>134</v>
      </c>
      <c r="AQ54" s="15" t="str">
        <f>VLOOKUP(AP54,'Axe 2 Règles de gestion'!$D$2:$F$146,3, FALSE)</f>
        <v>La date de début de position doit être antérieure ou égale à la date de fin prévisionnelle de position.</v>
      </c>
      <c r="AR54" s="13" t="s">
        <v>136</v>
      </c>
      <c r="AS54" s="15" t="str">
        <f>VLOOKUP(AR54,'Axe 2 Règles de gestion'!$D$2:$F$146,3, FALSE)</f>
        <v>La date de début de position doit être antérieure ou égale à la date de fin réelle de position.</v>
      </c>
      <c r="AT54" s="13" t="s">
        <v>138</v>
      </c>
      <c r="AU54" s="15" t="str">
        <f>VLOOKUP(AT54,'Axe 2 Règles de gestion'!$D$2:$F$146,3, FALSE)</f>
        <v>La date de fin prévisionnelle de la position doit être antérieure à la date limite de départ à la retraite.</v>
      </c>
      <c r="AV54" s="13" t="s">
        <v>140</v>
      </c>
      <c r="AW54" s="15" t="str">
        <f>VLOOKUP(AV54,'Axe 2 Règles de gestion'!$D$2:$F$146,3, FALSE)</f>
        <v>La date de fin réelle de la position doit être antérieure à la date limite de départ à la retraite.</v>
      </c>
      <c r="AX54" s="13" t="s">
        <v>142</v>
      </c>
      <c r="AY54" s="15" t="str">
        <f>VLOOKUP(AX54,'Axe 2 Règles de gestion'!$D$2:$F$146,3, FALSE)</f>
        <v>La date de fin ou la date de fin prévisionnelle doit être saisie.</v>
      </c>
      <c r="AZ54" s="13" t="s">
        <v>152</v>
      </c>
      <c r="BA54" s="15" t="str">
        <f>VLOOKUP(AZ54,'Axe 2 Règles de gestion'!$D$2:$F$146,3, FALSE)</f>
        <v>La saisie d'une occurrence de congés/absences est interdite (date de fin réelle)</v>
      </c>
      <c r="BB54" s="13" t="s">
        <v>154</v>
      </c>
      <c r="BC54" s="15" t="str">
        <f>VLOOKUP(BB54,'Axe 2 Règles de gestion'!$D$2:$F$146,3, FALSE)</f>
        <v>La saisie d'une occurrence de congés/absences est interdite (date de fin prévisionnelle)</v>
      </c>
      <c r="BD54" s="13"/>
      <c r="BE54" s="15"/>
      <c r="BF54" s="13"/>
      <c r="BG54" s="15"/>
      <c r="BH54" s="13"/>
      <c r="BI54" s="15"/>
      <c r="BJ54" s="13"/>
      <c r="BK54" s="15"/>
      <c r="BL54" s="13"/>
      <c r="BM54" s="15"/>
      <c r="BN54" s="13"/>
      <c r="BO54" s="15"/>
      <c r="BP54" s="13"/>
      <c r="BQ54" s="15"/>
      <c r="BR54" s="13"/>
      <c r="BS54" s="15"/>
      <c r="BT54" s="13"/>
      <c r="BU54" s="15"/>
      <c r="BV54" s="13"/>
      <c r="BW54" s="15"/>
    </row>
    <row r="55" spans="1:75" ht="72.5" x14ac:dyDescent="0.35">
      <c r="A55" s="13" t="s">
        <v>76</v>
      </c>
      <c r="B55" s="13" t="s">
        <v>77</v>
      </c>
      <c r="C55" s="14">
        <v>43152.5</v>
      </c>
      <c r="D55" s="13" t="s">
        <v>78</v>
      </c>
      <c r="E55" s="15" t="s">
        <v>79</v>
      </c>
      <c r="F55" s="13" t="s">
        <v>80</v>
      </c>
      <c r="G55" s="15" t="s">
        <v>81</v>
      </c>
      <c r="H55" s="13" t="s">
        <v>250</v>
      </c>
      <c r="I55" s="15" t="s">
        <v>251</v>
      </c>
      <c r="J55" s="15" t="s">
        <v>252</v>
      </c>
      <c r="K55" s="15" t="s">
        <v>253</v>
      </c>
      <c r="L55" s="13" t="s">
        <v>254</v>
      </c>
      <c r="M55" s="15" t="s">
        <v>255</v>
      </c>
      <c r="N55" s="13" t="s">
        <v>88</v>
      </c>
      <c r="O55" s="15" t="s">
        <v>89</v>
      </c>
      <c r="P55" s="15" t="s">
        <v>90</v>
      </c>
      <c r="Q55" s="15" t="s">
        <v>91</v>
      </c>
      <c r="R55" s="13" t="s">
        <v>92</v>
      </c>
      <c r="S55" s="13" t="s">
        <v>93</v>
      </c>
      <c r="T55" s="13" t="s">
        <v>94</v>
      </c>
      <c r="U55" s="14">
        <v>40725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5"/>
      <c r="AP55" s="13"/>
      <c r="AQ55" s="15"/>
      <c r="AR55" s="13"/>
      <c r="AS55" s="15"/>
      <c r="AT55" s="13"/>
      <c r="AU55" s="15"/>
      <c r="AV55" s="13"/>
      <c r="AW55" s="15"/>
      <c r="AX55" s="13"/>
      <c r="AY55" s="15"/>
      <c r="AZ55" s="13"/>
      <c r="BA55" s="15"/>
      <c r="BB55" s="13"/>
      <c r="BC55" s="15"/>
      <c r="BD55" s="13"/>
      <c r="BE55" s="15"/>
      <c r="BF55" s="13"/>
      <c r="BG55" s="15"/>
      <c r="BH55" s="13"/>
      <c r="BI55" s="15"/>
      <c r="BJ55" s="13"/>
      <c r="BK55" s="15"/>
      <c r="BL55" s="13"/>
      <c r="BM55" s="15"/>
      <c r="BN55" s="13"/>
      <c r="BO55" s="15"/>
      <c r="BP55" s="13"/>
      <c r="BQ55" s="15"/>
      <c r="BR55" s="13"/>
      <c r="BS55" s="15"/>
      <c r="BT55" s="13"/>
      <c r="BU55" s="15"/>
      <c r="BV55" s="13"/>
      <c r="BW55" s="15"/>
    </row>
    <row r="56" spans="1:75" ht="72.5" x14ac:dyDescent="0.35">
      <c r="A56" s="13" t="s">
        <v>76</v>
      </c>
      <c r="B56" s="13" t="s">
        <v>77</v>
      </c>
      <c r="C56" s="14">
        <v>43152.5</v>
      </c>
      <c r="D56" s="13" t="s">
        <v>78</v>
      </c>
      <c r="E56" s="15" t="s">
        <v>79</v>
      </c>
      <c r="F56" s="13" t="s">
        <v>80</v>
      </c>
      <c r="G56" s="15" t="s">
        <v>81</v>
      </c>
      <c r="H56" s="13" t="s">
        <v>250</v>
      </c>
      <c r="I56" s="15" t="s">
        <v>251</v>
      </c>
      <c r="J56" s="15" t="s">
        <v>252</v>
      </c>
      <c r="K56" s="15" t="s">
        <v>253</v>
      </c>
      <c r="L56" s="13" t="s">
        <v>256</v>
      </c>
      <c r="M56" s="15" t="s">
        <v>257</v>
      </c>
      <c r="N56" s="13" t="s">
        <v>88</v>
      </c>
      <c r="O56" s="15" t="s">
        <v>97</v>
      </c>
      <c r="P56" s="15" t="s">
        <v>98</v>
      </c>
      <c r="Q56" s="15" t="s">
        <v>91</v>
      </c>
      <c r="R56" s="13" t="s">
        <v>92</v>
      </c>
      <c r="S56" s="13" t="s">
        <v>93</v>
      </c>
      <c r="T56" s="13" t="s">
        <v>94</v>
      </c>
      <c r="U56" s="14">
        <v>40725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5"/>
      <c r="AP56" s="13"/>
      <c r="AQ56" s="15"/>
      <c r="AR56" s="13"/>
      <c r="AS56" s="15"/>
      <c r="AT56" s="13"/>
      <c r="AU56" s="15"/>
      <c r="AV56" s="13"/>
      <c r="AW56" s="15"/>
      <c r="AX56" s="13"/>
      <c r="AY56" s="15"/>
      <c r="AZ56" s="13"/>
      <c r="BA56" s="15"/>
      <c r="BB56" s="13"/>
      <c r="BC56" s="15"/>
      <c r="BD56" s="13"/>
      <c r="BE56" s="15"/>
      <c r="BF56" s="13"/>
      <c r="BG56" s="15"/>
      <c r="BH56" s="13"/>
      <c r="BI56" s="15"/>
      <c r="BJ56" s="13"/>
      <c r="BK56" s="15"/>
      <c r="BL56" s="13"/>
      <c r="BM56" s="15"/>
      <c r="BN56" s="13"/>
      <c r="BO56" s="15"/>
      <c r="BP56" s="13"/>
      <c r="BQ56" s="15"/>
      <c r="BR56" s="13"/>
      <c r="BS56" s="15"/>
      <c r="BT56" s="13"/>
      <c r="BU56" s="15"/>
      <c r="BV56" s="13"/>
      <c r="BW56" s="15"/>
    </row>
    <row r="57" spans="1:75" ht="58" x14ac:dyDescent="0.35">
      <c r="A57" s="13" t="s">
        <v>76</v>
      </c>
      <c r="B57" s="13" t="s">
        <v>77</v>
      </c>
      <c r="C57" s="14">
        <v>43152.5</v>
      </c>
      <c r="D57" s="13" t="s">
        <v>78</v>
      </c>
      <c r="E57" s="15" t="s">
        <v>79</v>
      </c>
      <c r="F57" s="13" t="s">
        <v>80</v>
      </c>
      <c r="G57" s="15" t="s">
        <v>81</v>
      </c>
      <c r="H57" s="13" t="s">
        <v>250</v>
      </c>
      <c r="I57" s="15" t="s">
        <v>251</v>
      </c>
      <c r="J57" s="15" t="s">
        <v>252</v>
      </c>
      <c r="K57" s="15" t="s">
        <v>253</v>
      </c>
      <c r="L57" s="13" t="s">
        <v>258</v>
      </c>
      <c r="M57" s="15" t="s">
        <v>259</v>
      </c>
      <c r="N57" s="13" t="s">
        <v>101</v>
      </c>
      <c r="O57" s="15" t="s">
        <v>102</v>
      </c>
      <c r="P57" s="15" t="s">
        <v>103</v>
      </c>
      <c r="Q57" s="15" t="s">
        <v>91</v>
      </c>
      <c r="R57" s="13" t="s">
        <v>92</v>
      </c>
      <c r="S57" s="13" t="s">
        <v>93</v>
      </c>
      <c r="T57" s="13" t="s">
        <v>94</v>
      </c>
      <c r="U57" s="14">
        <v>40725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5"/>
      <c r="AP57" s="13"/>
      <c r="AQ57" s="15"/>
      <c r="AR57" s="13"/>
      <c r="AS57" s="15"/>
      <c r="AT57" s="13"/>
      <c r="AU57" s="15"/>
      <c r="AV57" s="13"/>
      <c r="AW57" s="15"/>
      <c r="AX57" s="13"/>
      <c r="AY57" s="15"/>
      <c r="AZ57" s="13"/>
      <c r="BA57" s="15"/>
      <c r="BB57" s="13"/>
      <c r="BC57" s="15"/>
      <c r="BD57" s="13"/>
      <c r="BE57" s="15"/>
      <c r="BF57" s="13"/>
      <c r="BG57" s="15"/>
      <c r="BH57" s="13"/>
      <c r="BI57" s="15"/>
      <c r="BJ57" s="13"/>
      <c r="BK57" s="15"/>
      <c r="BL57" s="13"/>
      <c r="BM57" s="15"/>
      <c r="BN57" s="13"/>
      <c r="BO57" s="15"/>
      <c r="BP57" s="13"/>
      <c r="BQ57" s="15"/>
      <c r="BR57" s="13"/>
      <c r="BS57" s="15"/>
      <c r="BT57" s="13"/>
      <c r="BU57" s="15"/>
      <c r="BV57" s="13"/>
      <c r="BW57" s="15"/>
    </row>
    <row r="58" spans="1:75" ht="72.5" x14ac:dyDescent="0.35">
      <c r="A58" s="13" t="s">
        <v>76</v>
      </c>
      <c r="B58" s="13" t="s">
        <v>77</v>
      </c>
      <c r="C58" s="14">
        <v>43152.5</v>
      </c>
      <c r="D58" s="13" t="s">
        <v>78</v>
      </c>
      <c r="E58" s="15" t="s">
        <v>79</v>
      </c>
      <c r="F58" s="13" t="s">
        <v>80</v>
      </c>
      <c r="G58" s="15" t="s">
        <v>81</v>
      </c>
      <c r="H58" s="13" t="s">
        <v>250</v>
      </c>
      <c r="I58" s="15" t="s">
        <v>251</v>
      </c>
      <c r="J58" s="15" t="s">
        <v>252</v>
      </c>
      <c r="K58" s="15" t="s">
        <v>253</v>
      </c>
      <c r="L58" s="13" t="s">
        <v>254</v>
      </c>
      <c r="M58" s="15" t="s">
        <v>255</v>
      </c>
      <c r="N58" s="13" t="s">
        <v>88</v>
      </c>
      <c r="O58" s="15" t="s">
        <v>89</v>
      </c>
      <c r="P58" s="15" t="s">
        <v>90</v>
      </c>
      <c r="Q58" s="15" t="s">
        <v>104</v>
      </c>
      <c r="R58" s="13" t="s">
        <v>105</v>
      </c>
      <c r="S58" s="13" t="s">
        <v>93</v>
      </c>
      <c r="T58" s="13" t="s">
        <v>94</v>
      </c>
      <c r="U58" s="14">
        <v>40725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5"/>
      <c r="AP58" s="13"/>
      <c r="AQ58" s="15"/>
      <c r="AR58" s="13"/>
      <c r="AS58" s="15"/>
      <c r="AT58" s="13"/>
      <c r="AU58" s="15"/>
      <c r="AV58" s="13"/>
      <c r="AW58" s="15"/>
      <c r="AX58" s="13"/>
      <c r="AY58" s="15"/>
      <c r="AZ58" s="13"/>
      <c r="BA58" s="15"/>
      <c r="BB58" s="13"/>
      <c r="BC58" s="15"/>
      <c r="BD58" s="13"/>
      <c r="BE58" s="15"/>
      <c r="BF58" s="13"/>
      <c r="BG58" s="15"/>
      <c r="BH58" s="13"/>
      <c r="BI58" s="15"/>
      <c r="BJ58" s="13"/>
      <c r="BK58" s="15"/>
      <c r="BL58" s="13"/>
      <c r="BM58" s="15"/>
      <c r="BN58" s="13"/>
      <c r="BO58" s="15"/>
      <c r="BP58" s="13"/>
      <c r="BQ58" s="15"/>
      <c r="BR58" s="13"/>
      <c r="BS58" s="15"/>
      <c r="BT58" s="13"/>
      <c r="BU58" s="15"/>
      <c r="BV58" s="13"/>
      <c r="BW58" s="15"/>
    </row>
    <row r="59" spans="1:75" ht="72.5" x14ac:dyDescent="0.35">
      <c r="A59" s="13" t="s">
        <v>76</v>
      </c>
      <c r="B59" s="13" t="s">
        <v>77</v>
      </c>
      <c r="C59" s="14">
        <v>43152.5</v>
      </c>
      <c r="D59" s="13" t="s">
        <v>78</v>
      </c>
      <c r="E59" s="15" t="s">
        <v>79</v>
      </c>
      <c r="F59" s="13" t="s">
        <v>80</v>
      </c>
      <c r="G59" s="15" t="s">
        <v>81</v>
      </c>
      <c r="H59" s="13" t="s">
        <v>250</v>
      </c>
      <c r="I59" s="15" t="s">
        <v>251</v>
      </c>
      <c r="J59" s="15" t="s">
        <v>252</v>
      </c>
      <c r="K59" s="15" t="s">
        <v>253</v>
      </c>
      <c r="L59" s="13" t="s">
        <v>256</v>
      </c>
      <c r="M59" s="15" t="s">
        <v>257</v>
      </c>
      <c r="N59" s="13" t="s">
        <v>88</v>
      </c>
      <c r="O59" s="15" t="s">
        <v>97</v>
      </c>
      <c r="P59" s="15" t="s">
        <v>98</v>
      </c>
      <c r="Q59" s="15" t="s">
        <v>104</v>
      </c>
      <c r="R59" s="13" t="s">
        <v>105</v>
      </c>
      <c r="S59" s="13" t="s">
        <v>93</v>
      </c>
      <c r="T59" s="13" t="s">
        <v>94</v>
      </c>
      <c r="U59" s="14">
        <v>40725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5"/>
      <c r="AP59" s="13"/>
      <c r="AQ59" s="15"/>
      <c r="AR59" s="13"/>
      <c r="AS59" s="15"/>
      <c r="AT59" s="13"/>
      <c r="AU59" s="15"/>
      <c r="AV59" s="13"/>
      <c r="AW59" s="15"/>
      <c r="AX59" s="13"/>
      <c r="AY59" s="15"/>
      <c r="AZ59" s="13"/>
      <c r="BA59" s="15"/>
      <c r="BB59" s="13"/>
      <c r="BC59" s="15"/>
      <c r="BD59" s="13"/>
      <c r="BE59" s="15"/>
      <c r="BF59" s="13"/>
      <c r="BG59" s="15"/>
      <c r="BH59" s="13"/>
      <c r="BI59" s="15"/>
      <c r="BJ59" s="13"/>
      <c r="BK59" s="15"/>
      <c r="BL59" s="13"/>
      <c r="BM59" s="15"/>
      <c r="BN59" s="13"/>
      <c r="BO59" s="15"/>
      <c r="BP59" s="13"/>
      <c r="BQ59" s="15"/>
      <c r="BR59" s="13"/>
      <c r="BS59" s="15"/>
      <c r="BT59" s="13"/>
      <c r="BU59" s="15"/>
      <c r="BV59" s="13"/>
      <c r="BW59" s="15"/>
    </row>
    <row r="60" spans="1:75" ht="58" x14ac:dyDescent="0.35">
      <c r="A60" s="13" t="s">
        <v>76</v>
      </c>
      <c r="B60" s="13" t="s">
        <v>77</v>
      </c>
      <c r="C60" s="14">
        <v>43152.5</v>
      </c>
      <c r="D60" s="13" t="s">
        <v>78</v>
      </c>
      <c r="E60" s="15" t="s">
        <v>79</v>
      </c>
      <c r="F60" s="13" t="s">
        <v>80</v>
      </c>
      <c r="G60" s="15" t="s">
        <v>81</v>
      </c>
      <c r="H60" s="13" t="s">
        <v>250</v>
      </c>
      <c r="I60" s="15" t="s">
        <v>251</v>
      </c>
      <c r="J60" s="15" t="s">
        <v>252</v>
      </c>
      <c r="K60" s="15" t="s">
        <v>253</v>
      </c>
      <c r="L60" s="13" t="s">
        <v>258</v>
      </c>
      <c r="M60" s="15" t="s">
        <v>259</v>
      </c>
      <c r="N60" s="13" t="s">
        <v>101</v>
      </c>
      <c r="O60" s="15" t="s">
        <v>102</v>
      </c>
      <c r="P60" s="15" t="s">
        <v>103</v>
      </c>
      <c r="Q60" s="15" t="s">
        <v>104</v>
      </c>
      <c r="R60" s="13" t="s">
        <v>105</v>
      </c>
      <c r="S60" s="13" t="s">
        <v>93</v>
      </c>
      <c r="T60" s="13" t="s">
        <v>94</v>
      </c>
      <c r="U60" s="14">
        <v>40725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5"/>
      <c r="AP60" s="13"/>
      <c r="AQ60" s="15"/>
      <c r="AR60" s="13"/>
      <c r="AS60" s="15"/>
      <c r="AT60" s="13"/>
      <c r="AU60" s="15"/>
      <c r="AV60" s="13"/>
      <c r="AW60" s="15"/>
      <c r="AX60" s="13"/>
      <c r="AY60" s="15"/>
      <c r="AZ60" s="13"/>
      <c r="BA60" s="15"/>
      <c r="BB60" s="13"/>
      <c r="BC60" s="15"/>
      <c r="BD60" s="13"/>
      <c r="BE60" s="15"/>
      <c r="BF60" s="13"/>
      <c r="BG60" s="15"/>
      <c r="BH60" s="13"/>
      <c r="BI60" s="15"/>
      <c r="BJ60" s="13"/>
      <c r="BK60" s="15"/>
      <c r="BL60" s="13"/>
      <c r="BM60" s="15"/>
      <c r="BN60" s="13"/>
      <c r="BO60" s="15"/>
      <c r="BP60" s="13"/>
      <c r="BQ60" s="15"/>
      <c r="BR60" s="13"/>
      <c r="BS60" s="15"/>
      <c r="BT60" s="13"/>
      <c r="BU60" s="15"/>
      <c r="BV60" s="13"/>
      <c r="BW60" s="15"/>
    </row>
    <row r="61" spans="1:75" ht="72.5" x14ac:dyDescent="0.35">
      <c r="A61" s="13" t="s">
        <v>76</v>
      </c>
      <c r="B61" s="13" t="s">
        <v>77</v>
      </c>
      <c r="C61" s="14">
        <v>43152.5</v>
      </c>
      <c r="D61" s="13" t="s">
        <v>78</v>
      </c>
      <c r="E61" s="15" t="s">
        <v>79</v>
      </c>
      <c r="F61" s="13" t="s">
        <v>80</v>
      </c>
      <c r="G61" s="15" t="s">
        <v>81</v>
      </c>
      <c r="H61" s="13" t="s">
        <v>250</v>
      </c>
      <c r="I61" s="15" t="s">
        <v>251</v>
      </c>
      <c r="J61" s="15" t="s">
        <v>252</v>
      </c>
      <c r="K61" s="15" t="s">
        <v>253</v>
      </c>
      <c r="L61" s="13" t="s">
        <v>254</v>
      </c>
      <c r="M61" s="15" t="s">
        <v>255</v>
      </c>
      <c r="N61" s="13" t="s">
        <v>88</v>
      </c>
      <c r="O61" s="15" t="s">
        <v>89</v>
      </c>
      <c r="P61" s="15" t="s">
        <v>90</v>
      </c>
      <c r="Q61" s="15" t="s">
        <v>106</v>
      </c>
      <c r="R61" s="13" t="s">
        <v>107</v>
      </c>
      <c r="S61" s="13" t="s">
        <v>93</v>
      </c>
      <c r="T61" s="13" t="s">
        <v>94</v>
      </c>
      <c r="U61" s="14">
        <v>40725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5"/>
      <c r="AP61" s="13"/>
      <c r="AQ61" s="15"/>
      <c r="AR61" s="13"/>
      <c r="AS61" s="15"/>
      <c r="AT61" s="13"/>
      <c r="AU61" s="15"/>
      <c r="AV61" s="13"/>
      <c r="AW61" s="15"/>
      <c r="AX61" s="13"/>
      <c r="AY61" s="15"/>
      <c r="AZ61" s="13"/>
      <c r="BA61" s="15"/>
      <c r="BB61" s="13"/>
      <c r="BC61" s="15"/>
      <c r="BD61" s="13"/>
      <c r="BE61" s="15"/>
      <c r="BF61" s="13"/>
      <c r="BG61" s="15"/>
      <c r="BH61" s="13"/>
      <c r="BI61" s="15"/>
      <c r="BJ61" s="13"/>
      <c r="BK61" s="15"/>
      <c r="BL61" s="13"/>
      <c r="BM61" s="15"/>
      <c r="BN61" s="13"/>
      <c r="BO61" s="15"/>
      <c r="BP61" s="13"/>
      <c r="BQ61" s="15"/>
      <c r="BR61" s="13"/>
      <c r="BS61" s="15"/>
      <c r="BT61" s="13"/>
      <c r="BU61" s="15"/>
      <c r="BV61" s="13"/>
      <c r="BW61" s="15"/>
    </row>
    <row r="62" spans="1:75" ht="72.5" x14ac:dyDescent="0.35">
      <c r="A62" s="13" t="s">
        <v>76</v>
      </c>
      <c r="B62" s="13" t="s">
        <v>77</v>
      </c>
      <c r="C62" s="14">
        <v>43152.5</v>
      </c>
      <c r="D62" s="13" t="s">
        <v>78</v>
      </c>
      <c r="E62" s="15" t="s">
        <v>79</v>
      </c>
      <c r="F62" s="13" t="s">
        <v>80</v>
      </c>
      <c r="G62" s="15" t="s">
        <v>81</v>
      </c>
      <c r="H62" s="13" t="s">
        <v>250</v>
      </c>
      <c r="I62" s="15" t="s">
        <v>251</v>
      </c>
      <c r="J62" s="15" t="s">
        <v>252</v>
      </c>
      <c r="K62" s="15" t="s">
        <v>253</v>
      </c>
      <c r="L62" s="13" t="s">
        <v>256</v>
      </c>
      <c r="M62" s="15" t="s">
        <v>257</v>
      </c>
      <c r="N62" s="13" t="s">
        <v>88</v>
      </c>
      <c r="O62" s="15" t="s">
        <v>97</v>
      </c>
      <c r="P62" s="15" t="s">
        <v>98</v>
      </c>
      <c r="Q62" s="15" t="s">
        <v>106</v>
      </c>
      <c r="R62" s="13" t="s">
        <v>107</v>
      </c>
      <c r="S62" s="13" t="s">
        <v>93</v>
      </c>
      <c r="T62" s="13" t="s">
        <v>94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5"/>
      <c r="AX62" s="13"/>
      <c r="AY62" s="15"/>
      <c r="AZ62" s="13"/>
      <c r="BA62" s="15"/>
      <c r="BB62" s="13"/>
      <c r="BC62" s="15"/>
      <c r="BD62" s="13"/>
      <c r="BE62" s="15"/>
      <c r="BF62" s="13"/>
      <c r="BG62" s="15"/>
      <c r="BH62" s="13"/>
      <c r="BI62" s="15"/>
      <c r="BJ62" s="13"/>
      <c r="BK62" s="15"/>
      <c r="BL62" s="13"/>
      <c r="BM62" s="15"/>
      <c r="BN62" s="13"/>
      <c r="BO62" s="15"/>
      <c r="BP62" s="13"/>
      <c r="BQ62" s="15"/>
      <c r="BR62" s="13"/>
      <c r="BS62" s="15"/>
      <c r="BT62" s="13"/>
      <c r="BU62" s="15"/>
      <c r="BV62" s="13"/>
      <c r="BW62" s="15"/>
    </row>
    <row r="63" spans="1:75" ht="58" x14ac:dyDescent="0.35">
      <c r="A63" s="13" t="s">
        <v>76</v>
      </c>
      <c r="B63" s="13" t="s">
        <v>77</v>
      </c>
      <c r="C63" s="14">
        <v>43152.5</v>
      </c>
      <c r="D63" s="13" t="s">
        <v>78</v>
      </c>
      <c r="E63" s="15" t="s">
        <v>79</v>
      </c>
      <c r="F63" s="13" t="s">
        <v>80</v>
      </c>
      <c r="G63" s="15" t="s">
        <v>81</v>
      </c>
      <c r="H63" s="13" t="s">
        <v>250</v>
      </c>
      <c r="I63" s="15" t="s">
        <v>251</v>
      </c>
      <c r="J63" s="15" t="s">
        <v>252</v>
      </c>
      <c r="K63" s="15" t="s">
        <v>253</v>
      </c>
      <c r="L63" s="13" t="s">
        <v>258</v>
      </c>
      <c r="M63" s="15" t="s">
        <v>259</v>
      </c>
      <c r="N63" s="13" t="s">
        <v>101</v>
      </c>
      <c r="O63" s="15" t="s">
        <v>102</v>
      </c>
      <c r="P63" s="15" t="s">
        <v>103</v>
      </c>
      <c r="Q63" s="15" t="s">
        <v>106</v>
      </c>
      <c r="R63" s="13" t="s">
        <v>107</v>
      </c>
      <c r="S63" s="13" t="s">
        <v>93</v>
      </c>
      <c r="T63" s="13" t="s">
        <v>94</v>
      </c>
      <c r="U63" s="14">
        <v>40725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5"/>
      <c r="AX63" s="13"/>
      <c r="AY63" s="15"/>
      <c r="AZ63" s="13"/>
      <c r="BA63" s="15"/>
      <c r="BB63" s="13"/>
      <c r="BC63" s="15"/>
      <c r="BD63" s="13"/>
      <c r="BE63" s="15"/>
      <c r="BF63" s="13"/>
      <c r="BG63" s="15"/>
      <c r="BH63" s="13"/>
      <c r="BI63" s="15"/>
      <c r="BJ63" s="13"/>
      <c r="BK63" s="15"/>
      <c r="BL63" s="13"/>
      <c r="BM63" s="15"/>
      <c r="BN63" s="13"/>
      <c r="BO63" s="15"/>
      <c r="BP63" s="13"/>
      <c r="BQ63" s="15"/>
      <c r="BR63" s="13"/>
      <c r="BS63" s="15"/>
      <c r="BT63" s="13"/>
      <c r="BU63" s="15"/>
      <c r="BV63" s="13"/>
      <c r="BW63" s="15"/>
    </row>
    <row r="64" spans="1:75" ht="101.5" x14ac:dyDescent="0.35">
      <c r="A64" s="13" t="s">
        <v>238</v>
      </c>
      <c r="B64" s="13" t="s">
        <v>109</v>
      </c>
      <c r="C64" s="14">
        <v>44368.708333333336</v>
      </c>
      <c r="D64" s="13" t="s">
        <v>78</v>
      </c>
      <c r="E64" s="15" t="s">
        <v>79</v>
      </c>
      <c r="F64" s="13" t="s">
        <v>80</v>
      </c>
      <c r="G64" s="15" t="s">
        <v>81</v>
      </c>
      <c r="H64" s="13" t="s">
        <v>250</v>
      </c>
      <c r="I64" s="15" t="s">
        <v>251</v>
      </c>
      <c r="J64" s="15" t="s">
        <v>252</v>
      </c>
      <c r="K64" s="15" t="s">
        <v>253</v>
      </c>
      <c r="L64" s="13" t="s">
        <v>254</v>
      </c>
      <c r="M64" s="15" t="s">
        <v>255</v>
      </c>
      <c r="N64" s="13" t="s">
        <v>88</v>
      </c>
      <c r="O64" s="15" t="s">
        <v>89</v>
      </c>
      <c r="P64" s="15" t="s">
        <v>90</v>
      </c>
      <c r="Q64" s="15" t="s">
        <v>110</v>
      </c>
      <c r="R64" s="13" t="s">
        <v>111</v>
      </c>
      <c r="S64" s="13" t="s">
        <v>93</v>
      </c>
      <c r="T64" s="13" t="s">
        <v>112</v>
      </c>
      <c r="U64" s="14">
        <v>40725</v>
      </c>
      <c r="V64" s="14"/>
      <c r="W64" s="15" t="s">
        <v>260</v>
      </c>
      <c r="X64" s="13" t="s">
        <v>114</v>
      </c>
      <c r="Y64" s="15" t="str">
        <f>VLOOKUP(X64,'Axe 2 Règles de gestion'!$D$2:$F$146,3, FALSE)</f>
        <v>L'agent doit présenter une demande de congé sans traitement.</v>
      </c>
      <c r="Z64" s="13" t="s">
        <v>116</v>
      </c>
      <c r="AA64" s="15" t="str">
        <f>VLOOKUP(Z64,'Axe 2 Règles de gestion'!$D$2:$F$146,3, FALSE)</f>
        <v>La demande est accordée de droit par le supérieur hiérarchique.</v>
      </c>
      <c r="AB64" s="13"/>
      <c r="AC64" s="15"/>
      <c r="AD64" s="13"/>
      <c r="AE64" s="15"/>
      <c r="AF64" s="13" t="s">
        <v>118</v>
      </c>
      <c r="AG64" s="15" t="str">
        <f>VLOOKUP(AF64,'Axe 2 Règles de gestion'!$D$2:$F$146,3, FALSE)</f>
        <v>La durée prévisionnelle maximale de chaque période est de un an.</v>
      </c>
      <c r="AH64" s="13" t="s">
        <v>120</v>
      </c>
      <c r="AI64" s="15" t="str">
        <f>VLOOKUP(AH64,'Axe 2 Règles de gestion'!$D$2:$F$146,3, FALSE)</f>
        <v>La durée réelle maximale de chaque période est de un an.</v>
      </c>
      <c r="AJ64" s="13" t="s">
        <v>122</v>
      </c>
      <c r="AK64" s="15" t="str">
        <f>VLOOKUP(AJ64,'Axe 2 Règles de gestion'!$D$2:$F$146,3, FALSE)</f>
        <v>L'agent ne peut pas bénéficier de plus de 3 ans cumulés de congé sans traitement quels que soient les motifs de congés sans traitement : pour raisons personnelles ou familiales.</v>
      </c>
      <c r="AL64" s="13"/>
      <c r="AM64" s="15"/>
      <c r="AN64" s="13"/>
      <c r="AO64" s="15"/>
      <c r="AP64" s="13" t="s">
        <v>128</v>
      </c>
      <c r="AQ64" s="15" t="str">
        <f>VLOOKUP(AP64,'Axe 2 Règles de gestion'!$D$2:$F$146,3, FALSE)</f>
        <v>Lors de la demande initiale, l'agent doit être en activité.</v>
      </c>
      <c r="AR64" s="13" t="s">
        <v>130</v>
      </c>
      <c r="AS64" s="15" t="str">
        <f>VLOOKUP(AR64,'Axe 2 Règles de gestion'!$D$2:$F$146,3, FALSE)</f>
        <v>La date de début de la position doit être postérieure ou égale à la date d'entrée dans la FPE ou dans la carrière militaire.</v>
      </c>
      <c r="AT64" s="13" t="s">
        <v>132</v>
      </c>
      <c r="AU64" s="15" t="str">
        <f>VLOOKUP(AT64,'Axe 2 Règles de gestion'!$D$2:$F$146,3, FALSE)</f>
        <v>La date de début de position est à J+1 de la date de fin de position de l'occurrence précédente.</v>
      </c>
      <c r="AV64" s="13" t="s">
        <v>134</v>
      </c>
      <c r="AW64" s="15" t="str">
        <f>VLOOKUP(AV64,'Axe 2 Règles de gestion'!$D$2:$F$146,3, FALSE)</f>
        <v>La date de début de position doit être antérieure ou égale à la date de fin prévisionnelle de position.</v>
      </c>
      <c r="AX64" s="13" t="s">
        <v>136</v>
      </c>
      <c r="AY64" s="15" t="str">
        <f>VLOOKUP(AX64,'Axe 2 Règles de gestion'!$D$2:$F$146,3, FALSE)</f>
        <v>La date de début de position doit être antérieure ou égale à la date de fin réelle de position.</v>
      </c>
      <c r="AZ64" s="13" t="s">
        <v>138</v>
      </c>
      <c r="BA64" s="15" t="str">
        <f>VLOOKUP(AZ64,'Axe 2 Règles de gestion'!$D$2:$F$146,3, FALSE)</f>
        <v>La date de fin prévisionnelle de la position doit être antérieure à la date limite de départ à la retraite.</v>
      </c>
      <c r="BB64" s="13" t="s">
        <v>140</v>
      </c>
      <c r="BC64" s="15" t="str">
        <f>VLOOKUP(BB64,'Axe 2 Règles de gestion'!$D$2:$F$146,3, FALSE)</f>
        <v>La date de fin réelle de la position doit être antérieure à la date limite de départ à la retraite.</v>
      </c>
      <c r="BD64" s="13" t="s">
        <v>142</v>
      </c>
      <c r="BE64" s="15" t="str">
        <f>VLOOKUP(BD64,'Axe 2 Règles de gestion'!$D$2:$F$146,3, FALSE)</f>
        <v>La date de fin ou la date de fin prévisionnelle doit être saisie.</v>
      </c>
      <c r="BF64" s="13" t="s">
        <v>152</v>
      </c>
      <c r="BG64" s="15" t="str">
        <f>VLOOKUP(BF64,'Axe 2 Règles de gestion'!$D$2:$F$146,3, FALSE)</f>
        <v>La saisie d'une occurrence de congés/absences est interdite (date de fin réelle)</v>
      </c>
      <c r="BH64" s="13" t="s">
        <v>154</v>
      </c>
      <c r="BI64" s="15" t="str">
        <f>VLOOKUP(BH64,'Axe 2 Règles de gestion'!$D$2:$F$146,3, FALSE)</f>
        <v>La saisie d'une occurrence de congés/absences est interdite (date de fin prévisionnelle)</v>
      </c>
      <c r="BJ64" s="13"/>
      <c r="BK64" s="15"/>
      <c r="BL64" s="13"/>
      <c r="BM64" s="15"/>
      <c r="BN64" s="13"/>
      <c r="BO64" s="15"/>
      <c r="BP64" s="13"/>
      <c r="BQ64" s="15"/>
      <c r="BR64" s="13"/>
      <c r="BS64" s="15"/>
      <c r="BT64" s="13"/>
      <c r="BU64" s="15"/>
      <c r="BV64" s="13"/>
      <c r="BW64" s="15"/>
    </row>
    <row r="65" spans="1:75" ht="101.5" x14ac:dyDescent="0.35">
      <c r="A65" s="13" t="s">
        <v>238</v>
      </c>
      <c r="B65" s="13" t="s">
        <v>109</v>
      </c>
      <c r="C65" s="14">
        <v>44368.708333333336</v>
      </c>
      <c r="D65" s="13" t="s">
        <v>78</v>
      </c>
      <c r="E65" s="15" t="s">
        <v>79</v>
      </c>
      <c r="F65" s="13" t="s">
        <v>80</v>
      </c>
      <c r="G65" s="15" t="s">
        <v>81</v>
      </c>
      <c r="H65" s="13" t="s">
        <v>250</v>
      </c>
      <c r="I65" s="15" t="s">
        <v>251</v>
      </c>
      <c r="J65" s="15" t="s">
        <v>252</v>
      </c>
      <c r="K65" s="15" t="s">
        <v>253</v>
      </c>
      <c r="L65" s="13" t="s">
        <v>256</v>
      </c>
      <c r="M65" s="15" t="s">
        <v>257</v>
      </c>
      <c r="N65" s="13" t="s">
        <v>88</v>
      </c>
      <c r="O65" s="15" t="s">
        <v>97</v>
      </c>
      <c r="P65" s="15" t="s">
        <v>98</v>
      </c>
      <c r="Q65" s="15" t="s">
        <v>110</v>
      </c>
      <c r="R65" s="13" t="s">
        <v>111</v>
      </c>
      <c r="S65" s="13" t="s">
        <v>93</v>
      </c>
      <c r="T65" s="13" t="s">
        <v>112</v>
      </c>
      <c r="U65" s="14">
        <v>40725</v>
      </c>
      <c r="V65" s="14"/>
      <c r="W65" s="15" t="s">
        <v>261</v>
      </c>
      <c r="X65" s="13" t="s">
        <v>162</v>
      </c>
      <c r="Y65" s="15" t="str">
        <f>VLOOKUP(X65,'Axe 2 Règles de gestion'!$D$2:$F$146,3, FALSE)</f>
        <v>L'agent peut renouveler le congé sans traitement 2 fois.</v>
      </c>
      <c r="Z65" s="13"/>
      <c r="AA65" s="15"/>
      <c r="AB65" s="13"/>
      <c r="AC65" s="15"/>
      <c r="AD65" s="13"/>
      <c r="AE65" s="15"/>
      <c r="AF65" s="13" t="s">
        <v>118</v>
      </c>
      <c r="AG65" s="15" t="str">
        <f>VLOOKUP(AF65,'Axe 2 Règles de gestion'!$D$2:$F$146,3, FALSE)</f>
        <v>La durée prévisionnelle maximale de chaque période est de un an.</v>
      </c>
      <c r="AH65" s="13" t="s">
        <v>120</v>
      </c>
      <c r="AI65" s="15" t="str">
        <f>VLOOKUP(AH65,'Axe 2 Règles de gestion'!$D$2:$F$146,3, FALSE)</f>
        <v>La durée réelle maximale de chaque période est de un an.</v>
      </c>
      <c r="AJ65" s="13" t="s">
        <v>122</v>
      </c>
      <c r="AK65" s="15" t="str">
        <f>VLOOKUP(AJ65,'Axe 2 Règles de gestion'!$D$2:$F$146,3, FALSE)</f>
        <v>L'agent ne peut pas bénéficier de plus de 3 ans cumulés de congé sans traitement quels que soient les motifs de congés sans traitement : pour raisons personnelles ou familiales.</v>
      </c>
      <c r="AL65" s="13"/>
      <c r="AM65" s="15"/>
      <c r="AN65" s="13"/>
      <c r="AO65" s="15"/>
      <c r="AP65" s="13" t="s">
        <v>130</v>
      </c>
      <c r="AQ65" s="15" t="str">
        <f>VLOOKUP(AP65,'Axe 2 Règles de gestion'!$D$2:$F$146,3, FALSE)</f>
        <v>La date de début de la position doit être postérieure ou égale à la date d'entrée dans la FPE ou dans la carrière militaire.</v>
      </c>
      <c r="AR65" s="13" t="s">
        <v>132</v>
      </c>
      <c r="AS65" s="15" t="str">
        <f>VLOOKUP(AR65,'Axe 2 Règles de gestion'!$D$2:$F$146,3, FALSE)</f>
        <v>La date de début de position est à J+1 de la date de fin de position de l'occurrence précédente.</v>
      </c>
      <c r="AT65" s="13" t="s">
        <v>134</v>
      </c>
      <c r="AU65" s="15" t="str">
        <f>VLOOKUP(AT65,'Axe 2 Règles de gestion'!$D$2:$F$146,3, FALSE)</f>
        <v>La date de début de position doit être antérieure ou égale à la date de fin prévisionnelle de position.</v>
      </c>
      <c r="AV65" s="13" t="s">
        <v>136</v>
      </c>
      <c r="AW65" s="15" t="str">
        <f>VLOOKUP(AV65,'Axe 2 Règles de gestion'!$D$2:$F$146,3, FALSE)</f>
        <v>La date de début de position doit être antérieure ou égale à la date de fin réelle de position.</v>
      </c>
      <c r="AX65" s="13" t="s">
        <v>138</v>
      </c>
      <c r="AY65" s="15" t="str">
        <f>VLOOKUP(AX65,'Axe 2 Règles de gestion'!$D$2:$F$146,3, FALSE)</f>
        <v>La date de fin prévisionnelle de la position doit être antérieure à la date limite de départ à la retraite.</v>
      </c>
      <c r="AZ65" s="13" t="s">
        <v>140</v>
      </c>
      <c r="BA65" s="15" t="str">
        <f>VLOOKUP(AZ65,'Axe 2 Règles de gestion'!$D$2:$F$146,3, FALSE)</f>
        <v>La date de fin réelle de la position doit être antérieure à la date limite de départ à la retraite.</v>
      </c>
      <c r="BB65" s="13" t="s">
        <v>142</v>
      </c>
      <c r="BC65" s="15" t="str">
        <f>VLOOKUP(BB65,'Axe 2 Règles de gestion'!$D$2:$F$146,3, FALSE)</f>
        <v>La date de fin ou la date de fin prévisionnelle doit être saisie.</v>
      </c>
      <c r="BD65" s="13" t="s">
        <v>152</v>
      </c>
      <c r="BE65" s="15" t="str">
        <f>VLOOKUP(BD65,'Axe 2 Règles de gestion'!$D$2:$F$146,3, FALSE)</f>
        <v>La saisie d'une occurrence de congés/absences est interdite (date de fin réelle)</v>
      </c>
      <c r="BF65" s="13" t="s">
        <v>154</v>
      </c>
      <c r="BG65" s="15" t="str">
        <f>VLOOKUP(BF65,'Axe 2 Règles de gestion'!$D$2:$F$146,3, FALSE)</f>
        <v>La saisie d'une occurrence de congés/absences est interdite (date de fin prévisionnelle)</v>
      </c>
      <c r="BH65" s="13"/>
      <c r="BI65" s="15"/>
      <c r="BJ65" s="13"/>
      <c r="BK65" s="15"/>
      <c r="BL65" s="13"/>
      <c r="BM65" s="15"/>
      <c r="BN65" s="13"/>
      <c r="BO65" s="15"/>
      <c r="BP65" s="13"/>
      <c r="BQ65" s="15"/>
      <c r="BR65" s="13"/>
      <c r="BS65" s="15"/>
      <c r="BT65" s="13"/>
      <c r="BU65" s="15"/>
      <c r="BV65" s="13"/>
      <c r="BW65" s="15"/>
    </row>
    <row r="66" spans="1:75" ht="130.5" x14ac:dyDescent="0.35">
      <c r="A66" s="13" t="s">
        <v>165</v>
      </c>
      <c r="B66" s="13" t="s">
        <v>109</v>
      </c>
      <c r="C66" s="14">
        <v>44715.397916666669</v>
      </c>
      <c r="D66" s="13" t="s">
        <v>78</v>
      </c>
      <c r="E66" s="15" t="s">
        <v>79</v>
      </c>
      <c r="F66" s="13" t="s">
        <v>80</v>
      </c>
      <c r="G66" s="15" t="s">
        <v>81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258</v>
      </c>
      <c r="M66" s="15" t="s">
        <v>259</v>
      </c>
      <c r="N66" s="13" t="s">
        <v>101</v>
      </c>
      <c r="O66" s="15" t="s">
        <v>102</v>
      </c>
      <c r="P66" s="15" t="s">
        <v>103</v>
      </c>
      <c r="Q66" s="15" t="s">
        <v>110</v>
      </c>
      <c r="R66" s="13" t="s">
        <v>111</v>
      </c>
      <c r="S66" s="13" t="s">
        <v>93</v>
      </c>
      <c r="T66" s="13" t="s">
        <v>112</v>
      </c>
      <c r="U66" s="14">
        <v>40725</v>
      </c>
      <c r="V66" s="14">
        <v>44633</v>
      </c>
      <c r="W66" s="15" t="s">
        <v>262</v>
      </c>
      <c r="X66" s="13" t="s">
        <v>167</v>
      </c>
      <c r="Y66" s="15" t="str">
        <f>VLOOKUP(X66,'Axe 2 Règles de gestion'!$D$2:$F$146,3, FALSE)</f>
        <v>L'agent doit demander à reprendre ses fonctions au moins 2 mois avant l'expiration du congé en cours.</v>
      </c>
      <c r="Z66" s="13" t="s">
        <v>169</v>
      </c>
      <c r="AA66" s="15" t="str">
        <f>VLOOKUP(Z66,'Axe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66" s="13"/>
      <c r="AC66" s="15"/>
      <c r="AD66" s="13"/>
      <c r="AE66" s="15"/>
      <c r="AF66" s="13" t="s">
        <v>118</v>
      </c>
      <c r="AG66" s="15" t="str">
        <f>VLOOKUP(AF66,'Axe 2 Règles de gestion'!$D$2:$F$146,3, FALSE)</f>
        <v>La durée prévisionnelle maximale de chaque période est de un an.</v>
      </c>
      <c r="AH66" s="13" t="s">
        <v>120</v>
      </c>
      <c r="AI66" s="15" t="str">
        <f>VLOOKUP(AH66,'Axe 2 Règles de gestion'!$D$2:$F$146,3, FALSE)</f>
        <v>La durée réelle maximale de chaque période est de un an.</v>
      </c>
      <c r="AJ66" s="13" t="s">
        <v>122</v>
      </c>
      <c r="AK66" s="15" t="str">
        <f>VLOOKUP(AJ66,'Axe 2 Règles de gestion'!$D$2:$F$146,3, FALSE)</f>
        <v>L'agent ne peut pas bénéficier de plus de 3 ans cumulés de congé sans traitement quels que soient les motifs de congés sans traitement : pour raisons personnelles ou familiales.</v>
      </c>
      <c r="AL66" s="13"/>
      <c r="AM66" s="15"/>
      <c r="AN66" s="13"/>
      <c r="AO66" s="15"/>
      <c r="AP66" s="13" t="s">
        <v>134</v>
      </c>
      <c r="AQ66" s="15" t="str">
        <f>VLOOKUP(AP66,'Axe 2 Règles de gestion'!$D$2:$F$146,3, FALSE)</f>
        <v>La date de début de position doit être antérieure ou égale à la date de fin prévisionnelle de position.</v>
      </c>
      <c r="AR66" s="13" t="s">
        <v>136</v>
      </c>
      <c r="AS66" s="15" t="str">
        <f>VLOOKUP(AR66,'Axe 2 Règles de gestion'!$D$2:$F$146,3, FALSE)</f>
        <v>La date de début de position doit être antérieure ou égale à la date de fin réelle de position.</v>
      </c>
      <c r="AT66" s="13" t="s">
        <v>138</v>
      </c>
      <c r="AU66" s="15" t="str">
        <f>VLOOKUP(AT66,'Axe 2 Règles de gestion'!$D$2:$F$146,3, FALSE)</f>
        <v>La date de fin prévisionnelle de la position doit être antérieure à la date limite de départ à la retraite.</v>
      </c>
      <c r="AV66" s="13" t="s">
        <v>140</v>
      </c>
      <c r="AW66" s="15" t="str">
        <f>VLOOKUP(AV66,'Axe 2 Règles de gestion'!$D$2:$F$146,3, FALSE)</f>
        <v>La date de fin réelle de la position doit être antérieure à la date limite de départ à la retraite.</v>
      </c>
      <c r="AX66" s="13" t="s">
        <v>142</v>
      </c>
      <c r="AY66" s="15" t="str">
        <f>VLOOKUP(AX66,'Axe 2 Règles de gestion'!$D$2:$F$146,3, FALSE)</f>
        <v>La date de fin ou la date de fin prévisionnelle doit être saisie.</v>
      </c>
      <c r="AZ66" s="13" t="s">
        <v>152</v>
      </c>
      <c r="BA66" s="15" t="str">
        <f>VLOOKUP(AZ66,'Axe 2 Règles de gestion'!$D$2:$F$146,3, FALSE)</f>
        <v>La saisie d'une occurrence de congés/absences est interdite (date de fin réelle)</v>
      </c>
      <c r="BB66" s="13" t="s">
        <v>154</v>
      </c>
      <c r="BC66" s="15" t="str">
        <f>VLOOKUP(BB66,'Axe 2 Règles de gestion'!$D$2:$F$146,3, FALSE)</f>
        <v>La saisie d'une occurrence de congés/absences est interdite (date de fin prévisionnelle)</v>
      </c>
      <c r="BD66" s="13"/>
      <c r="BE66" s="15"/>
      <c r="BF66" s="13"/>
      <c r="BG66" s="15"/>
      <c r="BH66" s="13"/>
      <c r="BI66" s="15"/>
      <c r="BJ66" s="13"/>
      <c r="BK66" s="15"/>
      <c r="BL66" s="13"/>
      <c r="BM66" s="15"/>
      <c r="BN66" s="13"/>
      <c r="BO66" s="15"/>
      <c r="BP66" s="13"/>
      <c r="BQ66" s="15"/>
      <c r="BR66" s="13"/>
      <c r="BS66" s="15"/>
      <c r="BT66" s="13"/>
      <c r="BU66" s="15"/>
      <c r="BV66" s="13"/>
      <c r="BW66" s="15"/>
    </row>
    <row r="67" spans="1:75" ht="145" x14ac:dyDescent="0.35">
      <c r="A67" s="13" t="s">
        <v>165</v>
      </c>
      <c r="B67" s="13" t="s">
        <v>77</v>
      </c>
      <c r="C67" s="14">
        <v>44715.398611111108</v>
      </c>
      <c r="D67" s="13" t="s">
        <v>78</v>
      </c>
      <c r="E67" s="15" t="s">
        <v>79</v>
      </c>
      <c r="F67" s="13" t="s">
        <v>80</v>
      </c>
      <c r="G67" s="15" t="s">
        <v>81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258</v>
      </c>
      <c r="M67" s="15" t="s">
        <v>259</v>
      </c>
      <c r="N67" s="13" t="s">
        <v>101</v>
      </c>
      <c r="O67" s="15" t="s">
        <v>102</v>
      </c>
      <c r="P67" s="15" t="s">
        <v>103</v>
      </c>
      <c r="Q67" s="15" t="s">
        <v>110</v>
      </c>
      <c r="R67" s="13" t="s">
        <v>111</v>
      </c>
      <c r="S67" s="13" t="s">
        <v>93</v>
      </c>
      <c r="T67" s="13" t="s">
        <v>112</v>
      </c>
      <c r="U67" s="14">
        <v>44634</v>
      </c>
      <c r="V67" s="14"/>
      <c r="W67" s="15" t="s">
        <v>263</v>
      </c>
      <c r="X67" s="13" t="s">
        <v>167</v>
      </c>
      <c r="Y67" s="15" t="str">
        <f>VLOOKUP(X67,'Axe 2 Règles de gestion'!$D$2:$F$146,3, FALSE)</f>
        <v>L'agent doit demander à reprendre ses fonctions au moins 2 mois avant l'expiration du congé en cours.</v>
      </c>
      <c r="Z67" s="13" t="s">
        <v>172</v>
      </c>
      <c r="AA67" s="15" t="str">
        <f>VLOOKUP(Z67,'Axe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67" s="13"/>
      <c r="AC67" s="15"/>
      <c r="AD67" s="13"/>
      <c r="AE67" s="15"/>
      <c r="AF67" s="13" t="s">
        <v>118</v>
      </c>
      <c r="AG67" s="15" t="str">
        <f>VLOOKUP(AF67,'Axe 2 Règles de gestion'!$D$2:$F$146,3, FALSE)</f>
        <v>La durée prévisionnelle maximale de chaque période est de un an.</v>
      </c>
      <c r="AH67" s="13" t="s">
        <v>120</v>
      </c>
      <c r="AI67" s="15" t="str">
        <f>VLOOKUP(AH67,'Axe 2 Règles de gestion'!$D$2:$F$146,3, FALSE)</f>
        <v>La durée réelle maximale de chaque période est de un an.</v>
      </c>
      <c r="AJ67" s="13" t="s">
        <v>122</v>
      </c>
      <c r="AK67" s="15" t="str">
        <f>VLOOKUP(AJ67,'Axe 2 Règles de gestion'!$D$2:$F$146,3, FALSE)</f>
        <v>L'agent ne peut pas bénéficier de plus de 3 ans cumulés de congé sans traitement quels que soient les motifs de congés sans traitement : pour raisons personnelles ou familiales.</v>
      </c>
      <c r="AL67" s="13"/>
      <c r="AM67" s="15"/>
      <c r="AN67" s="13"/>
      <c r="AO67" s="15"/>
      <c r="AP67" s="13" t="s">
        <v>134</v>
      </c>
      <c r="AQ67" s="15" t="str">
        <f>VLOOKUP(AP67,'Axe 2 Règles de gestion'!$D$2:$F$146,3, FALSE)</f>
        <v>La date de début de position doit être antérieure ou égale à la date de fin prévisionnelle de position.</v>
      </c>
      <c r="AR67" s="13" t="s">
        <v>136</v>
      </c>
      <c r="AS67" s="15" t="str">
        <f>VLOOKUP(AR67,'Axe 2 Règles de gestion'!$D$2:$F$146,3, FALSE)</f>
        <v>La date de début de position doit être antérieure ou égale à la date de fin réelle de position.</v>
      </c>
      <c r="AT67" s="13" t="s">
        <v>138</v>
      </c>
      <c r="AU67" s="15" t="str">
        <f>VLOOKUP(AT67,'Axe 2 Règles de gestion'!$D$2:$F$146,3, FALSE)</f>
        <v>La date de fin prévisionnelle de la position doit être antérieure à la date limite de départ à la retraite.</v>
      </c>
      <c r="AV67" s="13" t="s">
        <v>140</v>
      </c>
      <c r="AW67" s="15" t="str">
        <f>VLOOKUP(AV67,'Axe 2 Règles de gestion'!$D$2:$F$146,3, FALSE)</f>
        <v>La date de fin réelle de la position doit être antérieure à la date limite de départ à la retraite.</v>
      </c>
      <c r="AX67" s="13" t="s">
        <v>142</v>
      </c>
      <c r="AY67" s="15" t="str">
        <f>VLOOKUP(AX67,'Axe 2 Règles de gestion'!$D$2:$F$146,3, FALSE)</f>
        <v>La date de fin ou la date de fin prévisionnelle doit être saisie.</v>
      </c>
      <c r="AZ67" s="13" t="s">
        <v>152</v>
      </c>
      <c r="BA67" s="15" t="str">
        <f>VLOOKUP(AZ67,'Axe 2 Règles de gestion'!$D$2:$F$146,3, FALSE)</f>
        <v>La saisie d'une occurrence de congés/absences est interdite (date de fin réelle)</v>
      </c>
      <c r="BB67" s="13" t="s">
        <v>154</v>
      </c>
      <c r="BC67" s="15" t="str">
        <f>VLOOKUP(BB67,'Axe 2 Règles de gestion'!$D$2:$F$146,3, FALSE)</f>
        <v>La saisie d'une occurrence de congés/absences est interdite (date de fin prévisionnelle)</v>
      </c>
      <c r="BD67" s="13"/>
      <c r="BE67" s="15"/>
      <c r="BF67" s="13"/>
      <c r="BG67" s="15"/>
      <c r="BH67" s="13"/>
      <c r="BI67" s="15"/>
      <c r="BJ67" s="13"/>
      <c r="BK67" s="15"/>
      <c r="BL67" s="13"/>
      <c r="BM67" s="15"/>
      <c r="BN67" s="13"/>
      <c r="BO67" s="15"/>
      <c r="BP67" s="13"/>
      <c r="BQ67" s="15"/>
      <c r="BR67" s="13"/>
      <c r="BS67" s="15"/>
      <c r="BT67" s="13"/>
      <c r="BU67" s="15"/>
      <c r="BV67" s="13"/>
      <c r="BW67" s="15"/>
    </row>
    <row r="68" spans="1:75" ht="72.5" x14ac:dyDescent="0.35">
      <c r="A68" s="13" t="s">
        <v>76</v>
      </c>
      <c r="B68" s="13" t="s">
        <v>77</v>
      </c>
      <c r="C68" s="14">
        <v>43152.5</v>
      </c>
      <c r="D68" s="13" t="s">
        <v>78</v>
      </c>
      <c r="E68" s="15" t="s">
        <v>79</v>
      </c>
      <c r="F68" s="13" t="s">
        <v>80</v>
      </c>
      <c r="G68" s="15" t="s">
        <v>81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88</v>
      </c>
      <c r="O68" s="15" t="s">
        <v>89</v>
      </c>
      <c r="P68" s="15" t="s">
        <v>90</v>
      </c>
      <c r="Q68" s="15" t="s">
        <v>175</v>
      </c>
      <c r="R68" s="13" t="s">
        <v>176</v>
      </c>
      <c r="S68" s="13" t="s">
        <v>93</v>
      </c>
      <c r="T68" s="13" t="s">
        <v>94</v>
      </c>
      <c r="U68" s="14">
        <v>40725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/>
      <c r="AO68" s="15"/>
      <c r="AP68" s="13"/>
      <c r="AQ68" s="15"/>
      <c r="AR68" s="13"/>
      <c r="AS68" s="15"/>
      <c r="AT68" s="13"/>
      <c r="AU68" s="15"/>
      <c r="AV68" s="13"/>
      <c r="AW68" s="15"/>
      <c r="AX68" s="13"/>
      <c r="AY68" s="15"/>
      <c r="AZ68" s="13"/>
      <c r="BA68" s="15"/>
      <c r="BB68" s="13"/>
      <c r="BC68" s="15"/>
      <c r="BD68" s="13"/>
      <c r="BE68" s="15"/>
      <c r="BF68" s="13"/>
      <c r="BG68" s="15"/>
      <c r="BH68" s="13"/>
      <c r="BI68" s="15"/>
      <c r="BJ68" s="13"/>
      <c r="BK68" s="15"/>
      <c r="BL68" s="13"/>
      <c r="BM68" s="15"/>
      <c r="BN68" s="13"/>
      <c r="BO68" s="15"/>
      <c r="BP68" s="13"/>
      <c r="BQ68" s="15"/>
      <c r="BR68" s="13"/>
      <c r="BS68" s="15"/>
      <c r="BT68" s="13"/>
      <c r="BU68" s="15"/>
      <c r="BV68" s="13"/>
      <c r="BW68" s="15"/>
    </row>
    <row r="69" spans="1:75" ht="72.5" x14ac:dyDescent="0.35">
      <c r="A69" s="13" t="s">
        <v>76</v>
      </c>
      <c r="B69" s="13" t="s">
        <v>77</v>
      </c>
      <c r="C69" s="14">
        <v>43152.5</v>
      </c>
      <c r="D69" s="13" t="s">
        <v>78</v>
      </c>
      <c r="E69" s="15" t="s">
        <v>79</v>
      </c>
      <c r="F69" s="13" t="s">
        <v>80</v>
      </c>
      <c r="G69" s="15" t="s">
        <v>81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256</v>
      </c>
      <c r="M69" s="15" t="s">
        <v>257</v>
      </c>
      <c r="N69" s="13" t="s">
        <v>88</v>
      </c>
      <c r="O69" s="15" t="s">
        <v>97</v>
      </c>
      <c r="P69" s="15" t="s">
        <v>98</v>
      </c>
      <c r="Q69" s="15" t="s">
        <v>175</v>
      </c>
      <c r="R69" s="13" t="s">
        <v>176</v>
      </c>
      <c r="S69" s="13" t="s">
        <v>93</v>
      </c>
      <c r="T69" s="13" t="s">
        <v>94</v>
      </c>
      <c r="U69" s="14">
        <v>40725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/>
      <c r="AO69" s="15"/>
      <c r="AP69" s="13"/>
      <c r="AQ69" s="15"/>
      <c r="AR69" s="13"/>
      <c r="AS69" s="15"/>
      <c r="AT69" s="13"/>
      <c r="AU69" s="15"/>
      <c r="AV69" s="13"/>
      <c r="AW69" s="15"/>
      <c r="AX69" s="13"/>
      <c r="AY69" s="15"/>
      <c r="AZ69" s="13"/>
      <c r="BA69" s="15"/>
      <c r="BB69" s="13"/>
      <c r="BC69" s="15"/>
      <c r="BD69" s="13"/>
      <c r="BE69" s="15"/>
      <c r="BF69" s="13"/>
      <c r="BG69" s="15"/>
      <c r="BH69" s="13"/>
      <c r="BI69" s="15"/>
      <c r="BJ69" s="13"/>
      <c r="BK69" s="15"/>
      <c r="BL69" s="13"/>
      <c r="BM69" s="15"/>
      <c r="BN69" s="13"/>
      <c r="BO69" s="15"/>
      <c r="BP69" s="13"/>
      <c r="BQ69" s="15"/>
      <c r="BR69" s="13"/>
      <c r="BS69" s="15"/>
      <c r="BT69" s="13"/>
      <c r="BU69" s="15"/>
      <c r="BV69" s="13"/>
      <c r="BW69" s="15"/>
    </row>
    <row r="70" spans="1:75" ht="58" x14ac:dyDescent="0.35">
      <c r="A70" s="13" t="s">
        <v>76</v>
      </c>
      <c r="B70" s="13" t="s">
        <v>77</v>
      </c>
      <c r="C70" s="14">
        <v>43152.5</v>
      </c>
      <c r="D70" s="13" t="s">
        <v>78</v>
      </c>
      <c r="E70" s="15" t="s">
        <v>79</v>
      </c>
      <c r="F70" s="13" t="s">
        <v>80</v>
      </c>
      <c r="G70" s="15" t="s">
        <v>81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258</v>
      </c>
      <c r="M70" s="15" t="s">
        <v>259</v>
      </c>
      <c r="N70" s="13" t="s">
        <v>101</v>
      </c>
      <c r="O70" s="15" t="s">
        <v>102</v>
      </c>
      <c r="P70" s="15" t="s">
        <v>103</v>
      </c>
      <c r="Q70" s="15" t="s">
        <v>175</v>
      </c>
      <c r="R70" s="13" t="s">
        <v>176</v>
      </c>
      <c r="S70" s="13" t="s">
        <v>93</v>
      </c>
      <c r="T70" s="13" t="s">
        <v>94</v>
      </c>
      <c r="U70" s="14">
        <v>40725</v>
      </c>
      <c r="V70" s="14"/>
      <c r="W70" s="15"/>
      <c r="X70" s="13"/>
      <c r="Y70" s="15"/>
      <c r="Z70" s="13"/>
      <c r="AA70" s="15"/>
      <c r="AB70" s="13"/>
      <c r="AC70" s="15"/>
      <c r="AD70" s="13"/>
      <c r="AE70" s="15"/>
      <c r="AF70" s="13"/>
      <c r="AG70" s="15"/>
      <c r="AH70" s="13"/>
      <c r="AI70" s="15"/>
      <c r="AJ70" s="13"/>
      <c r="AK70" s="15"/>
      <c r="AL70" s="13"/>
      <c r="AM70" s="15"/>
      <c r="AN70" s="13"/>
      <c r="AO70" s="15"/>
      <c r="AP70" s="13"/>
      <c r="AQ70" s="15"/>
      <c r="AR70" s="13"/>
      <c r="AS70" s="15"/>
      <c r="AT70" s="13"/>
      <c r="AU70" s="15"/>
      <c r="AV70" s="13"/>
      <c r="AW70" s="15"/>
      <c r="AX70" s="13"/>
      <c r="AY70" s="15"/>
      <c r="AZ70" s="13"/>
      <c r="BA70" s="15"/>
      <c r="BB70" s="13"/>
      <c r="BC70" s="15"/>
      <c r="BD70" s="13"/>
      <c r="BE70" s="15"/>
      <c r="BF70" s="13"/>
      <c r="BG70" s="15"/>
      <c r="BH70" s="13"/>
      <c r="BI70" s="15"/>
      <c r="BJ70" s="13"/>
      <c r="BK70" s="15"/>
      <c r="BL70" s="13"/>
      <c r="BM70" s="15"/>
      <c r="BN70" s="13"/>
      <c r="BO70" s="15"/>
      <c r="BP70" s="13"/>
      <c r="BQ70" s="15"/>
      <c r="BR70" s="13"/>
      <c r="BS70" s="15"/>
      <c r="BT70" s="13"/>
      <c r="BU70" s="15"/>
      <c r="BV70" s="13"/>
      <c r="BW70" s="15"/>
    </row>
    <row r="71" spans="1:75" ht="101.5" x14ac:dyDescent="0.35">
      <c r="A71" s="13" t="s">
        <v>238</v>
      </c>
      <c r="B71" s="13" t="s">
        <v>109</v>
      </c>
      <c r="C71" s="14">
        <v>44368.708333333336</v>
      </c>
      <c r="D71" s="13" t="s">
        <v>78</v>
      </c>
      <c r="E71" s="15" t="s">
        <v>79</v>
      </c>
      <c r="F71" s="13" t="s">
        <v>80</v>
      </c>
      <c r="G71" s="15" t="s">
        <v>81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254</v>
      </c>
      <c r="M71" s="15" t="s">
        <v>255</v>
      </c>
      <c r="N71" s="13" t="s">
        <v>88</v>
      </c>
      <c r="O71" s="15" t="s">
        <v>89</v>
      </c>
      <c r="P71" s="15" t="s">
        <v>90</v>
      </c>
      <c r="Q71" s="15" t="s">
        <v>177</v>
      </c>
      <c r="R71" s="13" t="s">
        <v>178</v>
      </c>
      <c r="S71" s="13" t="s">
        <v>179</v>
      </c>
      <c r="T71" s="13" t="s">
        <v>112</v>
      </c>
      <c r="U71" s="14">
        <v>40725</v>
      </c>
      <c r="V71" s="14"/>
      <c r="W71" s="15" t="s">
        <v>264</v>
      </c>
      <c r="X71" s="13" t="s">
        <v>181</v>
      </c>
      <c r="Y71" s="15" t="str">
        <f>VLOOKUP(X71,'Axe 2 Règles de gestion'!$D$2:$F$146,3, FALSE)</f>
        <v>L'agent doit présenter une demande de congé sans traitement.</v>
      </c>
      <c r="Z71" s="13" t="s">
        <v>182</v>
      </c>
      <c r="AA71" s="15" t="str">
        <f>VLOOKUP(Z71,'Axe 2 Règles de gestion'!$D$2:$F$146,3, FALSE)</f>
        <v>La demande est accordée de droit par le supérieur hiérarchique.</v>
      </c>
      <c r="AB71" s="13"/>
      <c r="AC71" s="15"/>
      <c r="AD71" s="13"/>
      <c r="AE71" s="15"/>
      <c r="AF71" s="13" t="s">
        <v>183</v>
      </c>
      <c r="AG71" s="15" t="str">
        <f>VLOOKUP(AF71,'Axe 2 Règles de gestion'!$D$2:$F$146,3, FALSE)</f>
        <v>La durée prévisionnelle maximale de chaque période est de un an.</v>
      </c>
      <c r="AH71" s="13" t="s">
        <v>184</v>
      </c>
      <c r="AI71" s="15" t="str">
        <f>VLOOKUP(AH71,'Axe 2 Règles de gestion'!$D$2:$F$146,3, FALSE)</f>
        <v>La durée réelle maximale de chaque période est de un an.</v>
      </c>
      <c r="AJ71" s="13" t="s">
        <v>185</v>
      </c>
      <c r="AK71" s="15" t="str">
        <f>VLOOKUP(AJ71,'Axe 2 Règles de gestion'!$D$2:$F$146,3, FALSE)</f>
        <v>L'agent ne peut pas bénéficier de plus de 3 ans cumulés de congé sans traitement quels que soient les motifs de congés sans traitement : pour raisons personnelles ou familiales.</v>
      </c>
      <c r="AL71" s="13"/>
      <c r="AM71" s="15"/>
      <c r="AN71" s="13"/>
      <c r="AO71" s="15"/>
      <c r="AP71" s="13" t="s">
        <v>128</v>
      </c>
      <c r="AQ71" s="15" t="str">
        <f>VLOOKUP(AP71,'Axe 2 Règles de gestion'!$D$2:$F$146,3, FALSE)</f>
        <v>Lors de la demande initiale, l'agent doit être en activité.</v>
      </c>
      <c r="AR71" s="13" t="s">
        <v>130</v>
      </c>
      <c r="AS71" s="15" t="str">
        <f>VLOOKUP(AR71,'Axe 2 Règles de gestion'!$D$2:$F$146,3, FALSE)</f>
        <v>La date de début de la position doit être postérieure ou égale à la date d'entrée dans la FPE ou dans la carrière militaire.</v>
      </c>
      <c r="AT71" s="13" t="s">
        <v>132</v>
      </c>
      <c r="AU71" s="15" t="str">
        <f>VLOOKUP(AT71,'Axe 2 Règles de gestion'!$D$2:$F$146,3, FALSE)</f>
        <v>La date de début de position est à J+1 de la date de fin de position de l'occurrence précédente.</v>
      </c>
      <c r="AV71" s="13" t="s">
        <v>134</v>
      </c>
      <c r="AW71" s="15" t="str">
        <f>VLOOKUP(AV71,'Axe 2 Règles de gestion'!$D$2:$F$146,3, FALSE)</f>
        <v>La date de début de position doit être antérieure ou égale à la date de fin prévisionnelle de position.</v>
      </c>
      <c r="AX71" s="13" t="s">
        <v>136</v>
      </c>
      <c r="AY71" s="15" t="str">
        <f>VLOOKUP(AX71,'Axe 2 Règles de gestion'!$D$2:$F$146,3, FALSE)</f>
        <v>La date de début de position doit être antérieure ou égale à la date de fin réelle de position.</v>
      </c>
      <c r="AZ71" s="13" t="s">
        <v>138</v>
      </c>
      <c r="BA71" s="15" t="str">
        <f>VLOOKUP(AZ71,'Axe 2 Règles de gestion'!$D$2:$F$146,3, FALSE)</f>
        <v>La date de fin prévisionnelle de la position doit être antérieure à la date limite de départ à la retraite.</v>
      </c>
      <c r="BB71" s="13" t="s">
        <v>140</v>
      </c>
      <c r="BC71" s="15" t="str">
        <f>VLOOKUP(BB71,'Axe 2 Règles de gestion'!$D$2:$F$146,3, FALSE)</f>
        <v>La date de fin réelle de la position doit être antérieure à la date limite de départ à la retraite.</v>
      </c>
      <c r="BD71" s="13" t="s">
        <v>142</v>
      </c>
      <c r="BE71" s="15" t="str">
        <f>VLOOKUP(BD71,'Axe 2 Règles de gestion'!$D$2:$F$146,3, FALSE)</f>
        <v>La date de fin ou la date de fin prévisionnelle doit être saisie.</v>
      </c>
      <c r="BF71" s="13" t="s">
        <v>152</v>
      </c>
      <c r="BG71" s="15" t="str">
        <f>VLOOKUP(BF71,'Axe 2 Règles de gestion'!$D$2:$F$146,3, FALSE)</f>
        <v>La saisie d'une occurrence de congés/absences est interdite (date de fin réelle)</v>
      </c>
      <c r="BH71" s="13" t="s">
        <v>154</v>
      </c>
      <c r="BI71" s="15" t="str">
        <f>VLOOKUP(BH71,'Axe 2 Règles de gestion'!$D$2:$F$146,3, FALSE)</f>
        <v>La saisie d'une occurrence de congés/absences est interdite (date de fin prévisionnelle)</v>
      </c>
      <c r="BJ71" s="13"/>
      <c r="BK71" s="15"/>
      <c r="BL71" s="13"/>
      <c r="BM71" s="15"/>
      <c r="BN71" s="13"/>
      <c r="BO71" s="15"/>
      <c r="BP71" s="13"/>
      <c r="BQ71" s="15"/>
      <c r="BR71" s="13"/>
      <c r="BS71" s="15"/>
      <c r="BT71" s="13"/>
      <c r="BU71" s="15"/>
      <c r="BV71" s="13"/>
      <c r="BW71" s="15"/>
    </row>
    <row r="72" spans="1:75" ht="101.5" x14ac:dyDescent="0.35">
      <c r="A72" s="13" t="s">
        <v>238</v>
      </c>
      <c r="B72" s="13" t="s">
        <v>109</v>
      </c>
      <c r="C72" s="14">
        <v>44368.708333333336</v>
      </c>
      <c r="D72" s="13" t="s">
        <v>78</v>
      </c>
      <c r="E72" s="15" t="s">
        <v>79</v>
      </c>
      <c r="F72" s="13" t="s">
        <v>80</v>
      </c>
      <c r="G72" s="15" t="s">
        <v>81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256</v>
      </c>
      <c r="M72" s="15" t="s">
        <v>257</v>
      </c>
      <c r="N72" s="13" t="s">
        <v>88</v>
      </c>
      <c r="O72" s="15" t="s">
        <v>97</v>
      </c>
      <c r="P72" s="15" t="s">
        <v>98</v>
      </c>
      <c r="Q72" s="15" t="s">
        <v>177</v>
      </c>
      <c r="R72" s="13" t="s">
        <v>178</v>
      </c>
      <c r="S72" s="13" t="s">
        <v>179</v>
      </c>
      <c r="T72" s="13" t="s">
        <v>112</v>
      </c>
      <c r="U72" s="14">
        <v>40725</v>
      </c>
      <c r="V72" s="14"/>
      <c r="W72" s="15" t="s">
        <v>265</v>
      </c>
      <c r="X72" s="13" t="s">
        <v>192</v>
      </c>
      <c r="Y72" s="15" t="str">
        <f>VLOOKUP(X72,'Axe 2 Règles de gestion'!$D$2:$F$146,3, FALSE)</f>
        <v>L'agent peut renouveler le congé sans traitement 2 fois.</v>
      </c>
      <c r="Z72" s="13"/>
      <c r="AA72" s="15"/>
      <c r="AB72" s="13"/>
      <c r="AC72" s="15"/>
      <c r="AD72" s="13"/>
      <c r="AE72" s="15"/>
      <c r="AF72" s="13" t="s">
        <v>183</v>
      </c>
      <c r="AG72" s="15" t="str">
        <f>VLOOKUP(AF72,'Axe 2 Règles de gestion'!$D$2:$F$146,3, FALSE)</f>
        <v>La durée prévisionnelle maximale de chaque période est de un an.</v>
      </c>
      <c r="AH72" s="13" t="s">
        <v>184</v>
      </c>
      <c r="AI72" s="15" t="str">
        <f>VLOOKUP(AH72,'Axe 2 Règles de gestion'!$D$2:$F$146,3, FALSE)</f>
        <v>La durée réelle maximale de chaque période est de un an.</v>
      </c>
      <c r="AJ72" s="13" t="s">
        <v>185</v>
      </c>
      <c r="AK72" s="15" t="str">
        <f>VLOOKUP(AJ72,'Axe 2 Règles de gestion'!$D$2:$F$146,3, FALSE)</f>
        <v>L'agent ne peut pas bénéficier de plus de 3 ans cumulés de congé sans traitement quels que soient les motifs de congés sans traitement : pour raisons personnelles ou familiales.</v>
      </c>
      <c r="AL72" s="13"/>
      <c r="AM72" s="15"/>
      <c r="AN72" s="13"/>
      <c r="AO72" s="15"/>
      <c r="AP72" s="13" t="s">
        <v>130</v>
      </c>
      <c r="AQ72" s="15" t="str">
        <f>VLOOKUP(AP72,'Axe 2 Règles de gestion'!$D$2:$F$146,3, FALSE)</f>
        <v>La date de début de la position doit être postérieure ou égale à la date d'entrée dans la FPE ou dans la carrière militaire.</v>
      </c>
      <c r="AR72" s="13" t="s">
        <v>132</v>
      </c>
      <c r="AS72" s="15" t="str">
        <f>VLOOKUP(AR72,'Axe 2 Règles de gestion'!$D$2:$F$146,3, FALSE)</f>
        <v>La date de début de position est à J+1 de la date de fin de position de l'occurrence précédente.</v>
      </c>
      <c r="AT72" s="13" t="s">
        <v>134</v>
      </c>
      <c r="AU72" s="15" t="str">
        <f>VLOOKUP(AT72,'Axe 2 Règles de gestion'!$D$2:$F$146,3, FALSE)</f>
        <v>La date de début de position doit être antérieure ou égale à la date de fin prévisionnelle de position.</v>
      </c>
      <c r="AV72" s="13" t="s">
        <v>136</v>
      </c>
      <c r="AW72" s="15" t="str">
        <f>VLOOKUP(AV72,'Axe 2 Règles de gestion'!$D$2:$F$146,3, FALSE)</f>
        <v>La date de début de position doit être antérieure ou égale à la date de fin réelle de position.</v>
      </c>
      <c r="AX72" s="13" t="s">
        <v>138</v>
      </c>
      <c r="AY72" s="15" t="str">
        <f>VLOOKUP(AX72,'Axe 2 Règles de gestion'!$D$2:$F$146,3, FALSE)</f>
        <v>La date de fin prévisionnelle de la position doit être antérieure à la date limite de départ à la retraite.</v>
      </c>
      <c r="AZ72" s="13" t="s">
        <v>140</v>
      </c>
      <c r="BA72" s="15" t="str">
        <f>VLOOKUP(AZ72,'Axe 2 Règles de gestion'!$D$2:$F$146,3, FALSE)</f>
        <v>La date de fin réelle de la position doit être antérieure à la date limite de départ à la retraite.</v>
      </c>
      <c r="BB72" s="13" t="s">
        <v>142</v>
      </c>
      <c r="BC72" s="15" t="str">
        <f>VLOOKUP(BB72,'Axe 2 Règles de gestion'!$D$2:$F$146,3, FALSE)</f>
        <v>La date de fin ou la date de fin prévisionnelle doit être saisie.</v>
      </c>
      <c r="BD72" s="13" t="s">
        <v>152</v>
      </c>
      <c r="BE72" s="15" t="str">
        <f>VLOOKUP(BD72,'Axe 2 Règles de gestion'!$D$2:$F$146,3, FALSE)</f>
        <v>La saisie d'une occurrence de congés/absences est interdite (date de fin réelle)</v>
      </c>
      <c r="BF72" s="13" t="s">
        <v>154</v>
      </c>
      <c r="BG72" s="15" t="str">
        <f>VLOOKUP(BF72,'Axe 2 Règles de gestion'!$D$2:$F$146,3, FALSE)</f>
        <v>La saisie d'une occurrence de congés/absences est interdite (date de fin prévisionnelle)</v>
      </c>
      <c r="BH72" s="13"/>
      <c r="BI72" s="15"/>
      <c r="BJ72" s="13"/>
      <c r="BK72" s="15"/>
      <c r="BL72" s="13"/>
      <c r="BM72" s="15"/>
      <c r="BN72" s="13"/>
      <c r="BO72" s="15"/>
      <c r="BP72" s="13"/>
      <c r="BQ72" s="15"/>
      <c r="BR72" s="13"/>
      <c r="BS72" s="15"/>
      <c r="BT72" s="13"/>
      <c r="BU72" s="15"/>
      <c r="BV72" s="13"/>
      <c r="BW72" s="15"/>
    </row>
    <row r="73" spans="1:75" ht="130.5" x14ac:dyDescent="0.35">
      <c r="A73" s="13" t="s">
        <v>165</v>
      </c>
      <c r="B73" s="13" t="s">
        <v>109</v>
      </c>
      <c r="C73" s="14">
        <v>44715.4</v>
      </c>
      <c r="D73" s="13" t="s">
        <v>78</v>
      </c>
      <c r="E73" s="15" t="s">
        <v>79</v>
      </c>
      <c r="F73" s="13" t="s">
        <v>80</v>
      </c>
      <c r="G73" s="15" t="s">
        <v>81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258</v>
      </c>
      <c r="M73" s="15" t="s">
        <v>259</v>
      </c>
      <c r="N73" s="13" t="s">
        <v>101</v>
      </c>
      <c r="O73" s="15" t="s">
        <v>102</v>
      </c>
      <c r="P73" s="15" t="s">
        <v>103</v>
      </c>
      <c r="Q73" s="15" t="s">
        <v>177</v>
      </c>
      <c r="R73" s="13" t="s">
        <v>178</v>
      </c>
      <c r="S73" s="13" t="s">
        <v>179</v>
      </c>
      <c r="T73" s="13" t="s">
        <v>112</v>
      </c>
      <c r="U73" s="14">
        <v>40725</v>
      </c>
      <c r="V73" s="14">
        <v>44633</v>
      </c>
      <c r="W73" s="15" t="s">
        <v>266</v>
      </c>
      <c r="X73" s="13" t="s">
        <v>195</v>
      </c>
      <c r="Y73" s="15" t="str">
        <f>VLOOKUP(X73,'Axe 2 Règles de gestion'!$D$2:$F$146,3, FALSE)</f>
        <v>L'agent doit demander à reprendre ses fonctions 2 mois au moins avant l'expiration du congé en cours.</v>
      </c>
      <c r="Z73" s="13" t="s">
        <v>197</v>
      </c>
      <c r="AA73" s="15" t="str">
        <f>VLOOKUP(Z73,'Axe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73" s="13"/>
      <c r="AC73" s="15"/>
      <c r="AD73" s="13"/>
      <c r="AE73" s="15"/>
      <c r="AF73" s="13" t="s">
        <v>183</v>
      </c>
      <c r="AG73" s="15" t="str">
        <f>VLOOKUP(AF73,'Axe 2 Règles de gestion'!$D$2:$F$146,3, FALSE)</f>
        <v>La durée prévisionnelle maximale de chaque période est de un an.</v>
      </c>
      <c r="AH73" s="13" t="s">
        <v>184</v>
      </c>
      <c r="AI73" s="15" t="str">
        <f>VLOOKUP(AH73,'Axe 2 Règles de gestion'!$D$2:$F$146,3, FALSE)</f>
        <v>La durée réelle maximale de chaque période est de un an.</v>
      </c>
      <c r="AJ73" s="13" t="s">
        <v>185</v>
      </c>
      <c r="AK73" s="15" t="str">
        <f>VLOOKUP(AJ73,'Axe 2 Règles de gestion'!$D$2:$F$146,3, FALSE)</f>
        <v>L'agent ne peut pas bénéficier de plus de 3 ans cumulés de congé sans traitement quels que soient les motifs de congés sans traitement : pour raisons personnelles ou familiales.</v>
      </c>
      <c r="AL73" s="13"/>
      <c r="AM73" s="15"/>
      <c r="AN73" s="13"/>
      <c r="AO73" s="15"/>
      <c r="AP73" s="13" t="s">
        <v>134</v>
      </c>
      <c r="AQ73" s="15" t="str">
        <f>VLOOKUP(AP73,'Axe 2 Règles de gestion'!$D$2:$F$146,3, FALSE)</f>
        <v>La date de début de position doit être antérieure ou égale à la date de fin prévisionnelle de position.</v>
      </c>
      <c r="AR73" s="13" t="s">
        <v>136</v>
      </c>
      <c r="AS73" s="15" t="str">
        <f>VLOOKUP(AR73,'Axe 2 Règles de gestion'!$D$2:$F$146,3, FALSE)</f>
        <v>La date de début de position doit être antérieure ou égale à la date de fin réelle de position.</v>
      </c>
      <c r="AT73" s="13" t="s">
        <v>138</v>
      </c>
      <c r="AU73" s="15" t="str">
        <f>VLOOKUP(AT73,'Axe 2 Règles de gestion'!$D$2:$F$146,3, FALSE)</f>
        <v>La date de fin prévisionnelle de la position doit être antérieure à la date limite de départ à la retraite.</v>
      </c>
      <c r="AV73" s="13" t="s">
        <v>140</v>
      </c>
      <c r="AW73" s="15" t="str">
        <f>VLOOKUP(AV73,'Axe 2 Règles de gestion'!$D$2:$F$146,3, FALSE)</f>
        <v>La date de fin réelle de la position doit être antérieure à la date limite de départ à la retraite.</v>
      </c>
      <c r="AX73" s="13" t="s">
        <v>142</v>
      </c>
      <c r="AY73" s="15" t="str">
        <f>VLOOKUP(AX73,'Axe 2 Règles de gestion'!$D$2:$F$146,3, FALSE)</f>
        <v>La date de fin ou la date de fin prévisionnelle doit être saisie.</v>
      </c>
      <c r="AZ73" s="13" t="s">
        <v>152</v>
      </c>
      <c r="BA73" s="15" t="str">
        <f>VLOOKUP(AZ73,'Axe 2 Règles de gestion'!$D$2:$F$146,3, FALSE)</f>
        <v>La saisie d'une occurrence de congés/absences est interdite (date de fin réelle)</v>
      </c>
      <c r="BB73" s="13" t="s">
        <v>154</v>
      </c>
      <c r="BC73" s="15" t="str">
        <f>VLOOKUP(BB73,'Axe 2 Règles de gestion'!$D$2:$F$146,3, FALSE)</f>
        <v>La saisie d'une occurrence de congés/absences est interdite (date de fin prévisionnelle)</v>
      </c>
      <c r="BD73" s="13"/>
      <c r="BE73" s="15"/>
      <c r="BF73" s="13"/>
      <c r="BG73" s="15"/>
      <c r="BH73" s="13"/>
      <c r="BI73" s="15"/>
      <c r="BJ73" s="13"/>
      <c r="BK73" s="15"/>
      <c r="BL73" s="13"/>
      <c r="BM73" s="15"/>
      <c r="BN73" s="13"/>
      <c r="BO73" s="15"/>
      <c r="BP73" s="13"/>
      <c r="BQ73" s="15"/>
      <c r="BR73" s="13"/>
      <c r="BS73" s="15"/>
      <c r="BT73" s="13"/>
      <c r="BU73" s="15"/>
      <c r="BV73" s="13"/>
      <c r="BW73" s="15"/>
    </row>
    <row r="74" spans="1:75" ht="145" x14ac:dyDescent="0.35">
      <c r="A74" s="13" t="s">
        <v>165</v>
      </c>
      <c r="B74" s="13" t="s">
        <v>77</v>
      </c>
      <c r="C74" s="14">
        <v>44715.400694444441</v>
      </c>
      <c r="D74" s="13" t="s">
        <v>78</v>
      </c>
      <c r="E74" s="15" t="s">
        <v>79</v>
      </c>
      <c r="F74" s="13" t="s">
        <v>80</v>
      </c>
      <c r="G74" s="15" t="s">
        <v>81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258</v>
      </c>
      <c r="M74" s="15" t="s">
        <v>259</v>
      </c>
      <c r="N74" s="13" t="s">
        <v>101</v>
      </c>
      <c r="O74" s="15" t="s">
        <v>102</v>
      </c>
      <c r="P74" s="15" t="s">
        <v>103</v>
      </c>
      <c r="Q74" s="15" t="s">
        <v>177</v>
      </c>
      <c r="R74" s="13" t="s">
        <v>178</v>
      </c>
      <c r="S74" s="13" t="s">
        <v>179</v>
      </c>
      <c r="T74" s="13" t="s">
        <v>112</v>
      </c>
      <c r="U74" s="14">
        <v>44634</v>
      </c>
      <c r="V74" s="14"/>
      <c r="W74" s="15" t="s">
        <v>267</v>
      </c>
      <c r="X74" s="13" t="s">
        <v>195</v>
      </c>
      <c r="Y74" s="15" t="str">
        <f>VLOOKUP(X74,'Axe 2 Règles de gestion'!$D$2:$F$146,3, FALSE)</f>
        <v>L'agent doit demander à reprendre ses fonctions 2 mois au moins avant l'expiration du congé en cours.</v>
      </c>
      <c r="Z74" s="13" t="s">
        <v>199</v>
      </c>
      <c r="AA74" s="15" t="str">
        <f>VLOOKUP(Z74,'Axe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74" s="13"/>
      <c r="AC74" s="15"/>
      <c r="AD74" s="13"/>
      <c r="AE74" s="15"/>
      <c r="AF74" s="13" t="s">
        <v>183</v>
      </c>
      <c r="AG74" s="15" t="str">
        <f>VLOOKUP(AF74,'Axe 2 Règles de gestion'!$D$2:$F$146,3, FALSE)</f>
        <v>La durée prévisionnelle maximale de chaque période est de un an.</v>
      </c>
      <c r="AH74" s="13" t="s">
        <v>184</v>
      </c>
      <c r="AI74" s="15" t="str">
        <f>VLOOKUP(AH74,'Axe 2 Règles de gestion'!$D$2:$F$146,3, FALSE)</f>
        <v>La durée réelle maximale de chaque période est de un an.</v>
      </c>
      <c r="AJ74" s="13" t="s">
        <v>185</v>
      </c>
      <c r="AK74" s="15" t="str">
        <f>VLOOKUP(AJ74,'Axe 2 Règles de gestion'!$D$2:$F$146,3, FALSE)</f>
        <v>L'agent ne peut pas bénéficier de plus de 3 ans cumulés de congé sans traitement quels que soient les motifs de congés sans traitement : pour raisons personnelles ou familiales.</v>
      </c>
      <c r="AL74" s="13"/>
      <c r="AM74" s="15"/>
      <c r="AN74" s="13"/>
      <c r="AO74" s="15"/>
      <c r="AP74" s="13" t="s">
        <v>134</v>
      </c>
      <c r="AQ74" s="15" t="str">
        <f>VLOOKUP(AP74,'Axe 2 Règles de gestion'!$D$2:$F$146,3, FALSE)</f>
        <v>La date de début de position doit être antérieure ou égale à la date de fin prévisionnelle de position.</v>
      </c>
      <c r="AR74" s="13" t="s">
        <v>136</v>
      </c>
      <c r="AS74" s="15" t="str">
        <f>VLOOKUP(AR74,'Axe 2 Règles de gestion'!$D$2:$F$146,3, FALSE)</f>
        <v>La date de début de position doit être antérieure ou égale à la date de fin réelle de position.</v>
      </c>
      <c r="AT74" s="13" t="s">
        <v>138</v>
      </c>
      <c r="AU74" s="15" t="str">
        <f>VLOOKUP(AT74,'Axe 2 Règles de gestion'!$D$2:$F$146,3, FALSE)</f>
        <v>La date de fin prévisionnelle de la position doit être antérieure à la date limite de départ à la retraite.</v>
      </c>
      <c r="AV74" s="13" t="s">
        <v>140</v>
      </c>
      <c r="AW74" s="15" t="str">
        <f>VLOOKUP(AV74,'Axe 2 Règles de gestion'!$D$2:$F$146,3, FALSE)</f>
        <v>La date de fin réelle de la position doit être antérieure à la date limite de départ à la retraite.</v>
      </c>
      <c r="AX74" s="13" t="s">
        <v>142</v>
      </c>
      <c r="AY74" s="15" t="str">
        <f>VLOOKUP(AX74,'Axe 2 Règles de gestion'!$D$2:$F$146,3, FALSE)</f>
        <v>La date de fin ou la date de fin prévisionnelle doit être saisie.</v>
      </c>
      <c r="AZ74" s="13" t="s">
        <v>152</v>
      </c>
      <c r="BA74" s="15" t="str">
        <f>VLOOKUP(AZ74,'Axe 2 Règles de gestion'!$D$2:$F$146,3, FALSE)</f>
        <v>La saisie d'une occurrence de congés/absences est interdite (date de fin réelle)</v>
      </c>
      <c r="BB74" s="13" t="s">
        <v>154</v>
      </c>
      <c r="BC74" s="15" t="str">
        <f>VLOOKUP(BB74,'Axe 2 Règles de gestion'!$D$2:$F$146,3, FALSE)</f>
        <v>La saisie d'une occurrence de congés/absences est interdite (date de fin prévisionnelle)</v>
      </c>
      <c r="BD74" s="13"/>
      <c r="BE74" s="15"/>
      <c r="BF74" s="13"/>
      <c r="BG74" s="15"/>
      <c r="BH74" s="13"/>
      <c r="BI74" s="15"/>
      <c r="BJ74" s="13"/>
      <c r="BK74" s="15"/>
      <c r="BL74" s="13"/>
      <c r="BM74" s="15"/>
      <c r="BN74" s="13"/>
      <c r="BO74" s="15"/>
      <c r="BP74" s="13"/>
      <c r="BQ74" s="15"/>
      <c r="BR74" s="13"/>
      <c r="BS74" s="15"/>
      <c r="BT74" s="13"/>
      <c r="BU74" s="15"/>
      <c r="BV74" s="13"/>
      <c r="BW74" s="15"/>
    </row>
    <row r="75" spans="1:75" ht="72.5" x14ac:dyDescent="0.35">
      <c r="A75" s="13" t="s">
        <v>76</v>
      </c>
      <c r="B75" s="13" t="s">
        <v>77</v>
      </c>
      <c r="C75" s="14">
        <v>43152.5</v>
      </c>
      <c r="D75" s="13" t="s">
        <v>78</v>
      </c>
      <c r="E75" s="15" t="s">
        <v>79</v>
      </c>
      <c r="F75" s="13" t="s">
        <v>80</v>
      </c>
      <c r="G75" s="15" t="s">
        <v>81</v>
      </c>
      <c r="H75" s="13" t="s">
        <v>268</v>
      </c>
      <c r="I75" s="15" t="s">
        <v>269</v>
      </c>
      <c r="J75" s="15" t="s">
        <v>270</v>
      </c>
      <c r="K75" s="15" t="s">
        <v>271</v>
      </c>
      <c r="L75" s="13" t="s">
        <v>272</v>
      </c>
      <c r="M75" s="15" t="s">
        <v>273</v>
      </c>
      <c r="N75" s="13" t="s">
        <v>88</v>
      </c>
      <c r="O75" s="15" t="s">
        <v>89</v>
      </c>
      <c r="P75" s="15" t="s">
        <v>90</v>
      </c>
      <c r="Q75" s="15" t="s">
        <v>91</v>
      </c>
      <c r="R75" s="13" t="s">
        <v>92</v>
      </c>
      <c r="S75" s="13" t="s">
        <v>93</v>
      </c>
      <c r="T75" s="13" t="s">
        <v>94</v>
      </c>
      <c r="U75" s="14">
        <v>40725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5"/>
      <c r="AP75" s="13"/>
      <c r="AQ75" s="15"/>
      <c r="AR75" s="13"/>
      <c r="AS75" s="15"/>
      <c r="AT75" s="13"/>
      <c r="AU75" s="15"/>
      <c r="AV75" s="13"/>
      <c r="AW75" s="15"/>
      <c r="AX75" s="13"/>
      <c r="AY75" s="15"/>
      <c r="AZ75" s="13"/>
      <c r="BA75" s="15"/>
      <c r="BB75" s="13"/>
      <c r="BC75" s="15"/>
      <c r="BD75" s="13"/>
      <c r="BE75" s="15"/>
      <c r="BF75" s="13"/>
      <c r="BG75" s="15"/>
      <c r="BH75" s="13"/>
      <c r="BI75" s="15"/>
      <c r="BJ75" s="13"/>
      <c r="BK75" s="15"/>
      <c r="BL75" s="13"/>
      <c r="BM75" s="15"/>
      <c r="BN75" s="13"/>
      <c r="BO75" s="15"/>
      <c r="BP75" s="13"/>
      <c r="BQ75" s="15"/>
      <c r="BR75" s="13"/>
      <c r="BS75" s="15"/>
      <c r="BT75" s="13"/>
      <c r="BU75" s="15"/>
      <c r="BV75" s="13"/>
      <c r="BW75" s="15"/>
    </row>
    <row r="76" spans="1:75" ht="72.5" x14ac:dyDescent="0.35">
      <c r="A76" s="13" t="s">
        <v>76</v>
      </c>
      <c r="B76" s="13" t="s">
        <v>77</v>
      </c>
      <c r="C76" s="14">
        <v>43152.5</v>
      </c>
      <c r="D76" s="13" t="s">
        <v>78</v>
      </c>
      <c r="E76" s="15" t="s">
        <v>79</v>
      </c>
      <c r="F76" s="13" t="s">
        <v>80</v>
      </c>
      <c r="G76" s="15" t="s">
        <v>81</v>
      </c>
      <c r="H76" s="13" t="s">
        <v>268</v>
      </c>
      <c r="I76" s="15" t="s">
        <v>269</v>
      </c>
      <c r="J76" s="15" t="s">
        <v>270</v>
      </c>
      <c r="K76" s="15" t="s">
        <v>271</v>
      </c>
      <c r="L76" s="13" t="s">
        <v>274</v>
      </c>
      <c r="M76" s="15" t="s">
        <v>275</v>
      </c>
      <c r="N76" s="13" t="s">
        <v>88</v>
      </c>
      <c r="O76" s="15" t="s">
        <v>97</v>
      </c>
      <c r="P76" s="15" t="s">
        <v>98</v>
      </c>
      <c r="Q76" s="15" t="s">
        <v>91</v>
      </c>
      <c r="R76" s="13" t="s">
        <v>92</v>
      </c>
      <c r="S76" s="13" t="s">
        <v>93</v>
      </c>
      <c r="T76" s="13" t="s">
        <v>94</v>
      </c>
      <c r="U76" s="14">
        <v>40725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5"/>
      <c r="AH76" s="13"/>
      <c r="AI76" s="15"/>
      <c r="AJ76" s="13"/>
      <c r="AK76" s="15"/>
      <c r="AL76" s="13"/>
      <c r="AM76" s="15"/>
      <c r="AN76" s="13"/>
      <c r="AO76" s="15"/>
      <c r="AP76" s="13"/>
      <c r="AQ76" s="15"/>
      <c r="AR76" s="13"/>
      <c r="AS76" s="15"/>
      <c r="AT76" s="13"/>
      <c r="AU76" s="15"/>
      <c r="AV76" s="13"/>
      <c r="AW76" s="15"/>
      <c r="AX76" s="13"/>
      <c r="AY76" s="15"/>
      <c r="AZ76" s="13"/>
      <c r="BA76" s="15"/>
      <c r="BB76" s="13"/>
      <c r="BC76" s="15"/>
      <c r="BD76" s="13"/>
      <c r="BE76" s="15"/>
      <c r="BF76" s="13"/>
      <c r="BG76" s="15"/>
      <c r="BH76" s="13"/>
      <c r="BI76" s="15"/>
      <c r="BJ76" s="13"/>
      <c r="BK76" s="15"/>
      <c r="BL76" s="13"/>
      <c r="BM76" s="15"/>
      <c r="BN76" s="13"/>
      <c r="BO76" s="15"/>
      <c r="BP76" s="13"/>
      <c r="BQ76" s="15"/>
      <c r="BR76" s="13"/>
      <c r="BS76" s="15"/>
      <c r="BT76" s="13"/>
      <c r="BU76" s="15"/>
      <c r="BV76" s="13"/>
      <c r="BW76" s="15"/>
    </row>
    <row r="77" spans="1:75" ht="58" x14ac:dyDescent="0.35">
      <c r="A77" s="13" t="s">
        <v>76</v>
      </c>
      <c r="B77" s="13" t="s">
        <v>77</v>
      </c>
      <c r="C77" s="14">
        <v>43152.5</v>
      </c>
      <c r="D77" s="13" t="s">
        <v>78</v>
      </c>
      <c r="E77" s="15" t="s">
        <v>79</v>
      </c>
      <c r="F77" s="13" t="s">
        <v>80</v>
      </c>
      <c r="G77" s="15" t="s">
        <v>81</v>
      </c>
      <c r="H77" s="13" t="s">
        <v>268</v>
      </c>
      <c r="I77" s="15" t="s">
        <v>269</v>
      </c>
      <c r="J77" s="15" t="s">
        <v>270</v>
      </c>
      <c r="K77" s="15" t="s">
        <v>271</v>
      </c>
      <c r="L77" s="13" t="s">
        <v>276</v>
      </c>
      <c r="M77" s="15" t="s">
        <v>277</v>
      </c>
      <c r="N77" s="13" t="s">
        <v>101</v>
      </c>
      <c r="O77" s="15" t="s">
        <v>102</v>
      </c>
      <c r="P77" s="15" t="s">
        <v>103</v>
      </c>
      <c r="Q77" s="15" t="s">
        <v>91</v>
      </c>
      <c r="R77" s="13" t="s">
        <v>92</v>
      </c>
      <c r="S77" s="13" t="s">
        <v>93</v>
      </c>
      <c r="T77" s="13" t="s">
        <v>94</v>
      </c>
      <c r="U77" s="14">
        <v>40725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/>
      <c r="AO77" s="15"/>
      <c r="AP77" s="13"/>
      <c r="AQ77" s="15"/>
      <c r="AR77" s="13"/>
      <c r="AS77" s="15"/>
      <c r="AT77" s="13"/>
      <c r="AU77" s="15"/>
      <c r="AV77" s="13"/>
      <c r="AW77" s="15"/>
      <c r="AX77" s="13"/>
      <c r="AY77" s="15"/>
      <c r="AZ77" s="13"/>
      <c r="BA77" s="15"/>
      <c r="BB77" s="13"/>
      <c r="BC77" s="15"/>
      <c r="BD77" s="13"/>
      <c r="BE77" s="15"/>
      <c r="BF77" s="13"/>
      <c r="BG77" s="15"/>
      <c r="BH77" s="13"/>
      <c r="BI77" s="15"/>
      <c r="BJ77" s="13"/>
      <c r="BK77" s="15"/>
      <c r="BL77" s="13"/>
      <c r="BM77" s="15"/>
      <c r="BN77" s="13"/>
      <c r="BO77" s="15"/>
      <c r="BP77" s="13"/>
      <c r="BQ77" s="15"/>
      <c r="BR77" s="13"/>
      <c r="BS77" s="15"/>
      <c r="BT77" s="13"/>
      <c r="BU77" s="15"/>
      <c r="BV77" s="13"/>
      <c r="BW77" s="15"/>
    </row>
    <row r="78" spans="1:75" ht="72.5" x14ac:dyDescent="0.35">
      <c r="A78" s="13" t="s">
        <v>76</v>
      </c>
      <c r="B78" s="13" t="s">
        <v>77</v>
      </c>
      <c r="C78" s="14">
        <v>43152.5</v>
      </c>
      <c r="D78" s="13" t="s">
        <v>78</v>
      </c>
      <c r="E78" s="15" t="s">
        <v>79</v>
      </c>
      <c r="F78" s="13" t="s">
        <v>80</v>
      </c>
      <c r="G78" s="15" t="s">
        <v>81</v>
      </c>
      <c r="H78" s="13" t="s">
        <v>268</v>
      </c>
      <c r="I78" s="15" t="s">
        <v>269</v>
      </c>
      <c r="J78" s="15" t="s">
        <v>270</v>
      </c>
      <c r="K78" s="15" t="s">
        <v>271</v>
      </c>
      <c r="L78" s="13" t="s">
        <v>272</v>
      </c>
      <c r="M78" s="15" t="s">
        <v>273</v>
      </c>
      <c r="N78" s="13" t="s">
        <v>88</v>
      </c>
      <c r="O78" s="15" t="s">
        <v>89</v>
      </c>
      <c r="P78" s="15" t="s">
        <v>90</v>
      </c>
      <c r="Q78" s="15" t="s">
        <v>104</v>
      </c>
      <c r="R78" s="13" t="s">
        <v>105</v>
      </c>
      <c r="S78" s="13" t="s">
        <v>93</v>
      </c>
      <c r="T78" s="13" t="s">
        <v>94</v>
      </c>
      <c r="U78" s="14">
        <v>40725</v>
      </c>
      <c r="V78" s="14"/>
      <c r="W78" s="15"/>
      <c r="X78" s="13"/>
      <c r="Y78" s="15"/>
      <c r="Z78" s="13"/>
      <c r="AA78" s="15"/>
      <c r="AB78" s="13"/>
      <c r="AC78" s="15"/>
      <c r="AD78" s="13"/>
      <c r="AE78" s="15"/>
      <c r="AF78" s="13"/>
      <c r="AG78" s="15"/>
      <c r="AH78" s="13"/>
      <c r="AI78" s="15"/>
      <c r="AJ78" s="13"/>
      <c r="AK78" s="15"/>
      <c r="AL78" s="13"/>
      <c r="AM78" s="15"/>
      <c r="AN78" s="13"/>
      <c r="AO78" s="15"/>
      <c r="AP78" s="13"/>
      <c r="AQ78" s="15"/>
      <c r="AR78" s="13"/>
      <c r="AS78" s="15"/>
      <c r="AT78" s="13"/>
      <c r="AU78" s="15"/>
      <c r="AV78" s="13"/>
      <c r="AW78" s="15"/>
      <c r="AX78" s="13"/>
      <c r="AY78" s="15"/>
      <c r="AZ78" s="13"/>
      <c r="BA78" s="15"/>
      <c r="BB78" s="13"/>
      <c r="BC78" s="15"/>
      <c r="BD78" s="13"/>
      <c r="BE78" s="15"/>
      <c r="BF78" s="13"/>
      <c r="BG78" s="15"/>
      <c r="BH78" s="13"/>
      <c r="BI78" s="15"/>
      <c r="BJ78" s="13"/>
      <c r="BK78" s="15"/>
      <c r="BL78" s="13"/>
      <c r="BM78" s="15"/>
      <c r="BN78" s="13"/>
      <c r="BO78" s="15"/>
      <c r="BP78" s="13"/>
      <c r="BQ78" s="15"/>
      <c r="BR78" s="13"/>
      <c r="BS78" s="15"/>
      <c r="BT78" s="13"/>
      <c r="BU78" s="15"/>
      <c r="BV78" s="13"/>
      <c r="BW78" s="15"/>
    </row>
    <row r="79" spans="1:75" ht="72.5" x14ac:dyDescent="0.35">
      <c r="A79" s="13" t="s">
        <v>76</v>
      </c>
      <c r="B79" s="13" t="s">
        <v>77</v>
      </c>
      <c r="C79" s="14">
        <v>43152.5</v>
      </c>
      <c r="D79" s="13" t="s">
        <v>78</v>
      </c>
      <c r="E79" s="15" t="s">
        <v>79</v>
      </c>
      <c r="F79" s="13" t="s">
        <v>80</v>
      </c>
      <c r="G79" s="15" t="s">
        <v>81</v>
      </c>
      <c r="H79" s="13" t="s">
        <v>268</v>
      </c>
      <c r="I79" s="15" t="s">
        <v>269</v>
      </c>
      <c r="J79" s="15" t="s">
        <v>270</v>
      </c>
      <c r="K79" s="15" t="s">
        <v>271</v>
      </c>
      <c r="L79" s="13" t="s">
        <v>274</v>
      </c>
      <c r="M79" s="15" t="s">
        <v>275</v>
      </c>
      <c r="N79" s="13" t="s">
        <v>88</v>
      </c>
      <c r="O79" s="15" t="s">
        <v>97</v>
      </c>
      <c r="P79" s="15" t="s">
        <v>98</v>
      </c>
      <c r="Q79" s="15" t="s">
        <v>104</v>
      </c>
      <c r="R79" s="13" t="s">
        <v>105</v>
      </c>
      <c r="S79" s="13" t="s">
        <v>93</v>
      </c>
      <c r="T79" s="13" t="s">
        <v>94</v>
      </c>
      <c r="U79" s="14">
        <v>40725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/>
      <c r="AO79" s="15"/>
      <c r="AP79" s="13"/>
      <c r="AQ79" s="15"/>
      <c r="AR79" s="13"/>
      <c r="AS79" s="15"/>
      <c r="AT79" s="13"/>
      <c r="AU79" s="15"/>
      <c r="AV79" s="13"/>
      <c r="AW79" s="15"/>
      <c r="AX79" s="13"/>
      <c r="AY79" s="15"/>
      <c r="AZ79" s="13"/>
      <c r="BA79" s="15"/>
      <c r="BB79" s="13"/>
      <c r="BC79" s="15"/>
      <c r="BD79" s="13"/>
      <c r="BE79" s="15"/>
      <c r="BF79" s="13"/>
      <c r="BG79" s="15"/>
      <c r="BH79" s="13"/>
      <c r="BI79" s="15"/>
      <c r="BJ79" s="13"/>
      <c r="BK79" s="15"/>
      <c r="BL79" s="13"/>
      <c r="BM79" s="15"/>
      <c r="BN79" s="13"/>
      <c r="BO79" s="15"/>
      <c r="BP79" s="13"/>
      <c r="BQ79" s="15"/>
      <c r="BR79" s="13"/>
      <c r="BS79" s="15"/>
      <c r="BT79" s="13"/>
      <c r="BU79" s="15"/>
      <c r="BV79" s="13"/>
      <c r="BW79" s="15"/>
    </row>
    <row r="80" spans="1:75" ht="58" x14ac:dyDescent="0.35">
      <c r="A80" s="13" t="s">
        <v>76</v>
      </c>
      <c r="B80" s="13" t="s">
        <v>77</v>
      </c>
      <c r="C80" s="14">
        <v>43152.5</v>
      </c>
      <c r="D80" s="13" t="s">
        <v>78</v>
      </c>
      <c r="E80" s="15" t="s">
        <v>79</v>
      </c>
      <c r="F80" s="13" t="s">
        <v>80</v>
      </c>
      <c r="G80" s="15" t="s">
        <v>81</v>
      </c>
      <c r="H80" s="13" t="s">
        <v>268</v>
      </c>
      <c r="I80" s="15" t="s">
        <v>269</v>
      </c>
      <c r="J80" s="15" t="s">
        <v>270</v>
      </c>
      <c r="K80" s="15" t="s">
        <v>271</v>
      </c>
      <c r="L80" s="13" t="s">
        <v>276</v>
      </c>
      <c r="M80" s="15" t="s">
        <v>277</v>
      </c>
      <c r="N80" s="13" t="s">
        <v>101</v>
      </c>
      <c r="O80" s="15" t="s">
        <v>102</v>
      </c>
      <c r="P80" s="15" t="s">
        <v>103</v>
      </c>
      <c r="Q80" s="15" t="s">
        <v>104</v>
      </c>
      <c r="R80" s="13" t="s">
        <v>105</v>
      </c>
      <c r="S80" s="13" t="s">
        <v>93</v>
      </c>
      <c r="T80" s="13" t="s">
        <v>94</v>
      </c>
      <c r="U80" s="14">
        <v>40725</v>
      </c>
      <c r="V80" s="14"/>
      <c r="W80" s="15"/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5"/>
      <c r="AP80" s="13"/>
      <c r="AQ80" s="15"/>
      <c r="AR80" s="13"/>
      <c r="AS80" s="15"/>
      <c r="AT80" s="13"/>
      <c r="AU80" s="15"/>
      <c r="AV80" s="13"/>
      <c r="AW80" s="15"/>
      <c r="AX80" s="13"/>
      <c r="AY80" s="15"/>
      <c r="AZ80" s="13"/>
      <c r="BA80" s="15"/>
      <c r="BB80" s="13"/>
      <c r="BC80" s="15"/>
      <c r="BD80" s="13"/>
      <c r="BE80" s="15"/>
      <c r="BF80" s="13"/>
      <c r="BG80" s="15"/>
      <c r="BH80" s="13"/>
      <c r="BI80" s="15"/>
      <c r="BJ80" s="13"/>
      <c r="BK80" s="15"/>
      <c r="BL80" s="13"/>
      <c r="BM80" s="15"/>
      <c r="BN80" s="13"/>
      <c r="BO80" s="15"/>
      <c r="BP80" s="13"/>
      <c r="BQ80" s="15"/>
      <c r="BR80" s="13"/>
      <c r="BS80" s="15"/>
      <c r="BT80" s="13"/>
      <c r="BU80" s="15"/>
      <c r="BV80" s="13"/>
      <c r="BW80" s="15"/>
    </row>
    <row r="81" spans="1:75" ht="72.5" x14ac:dyDescent="0.35">
      <c r="A81" s="13" t="s">
        <v>76</v>
      </c>
      <c r="B81" s="13" t="s">
        <v>77</v>
      </c>
      <c r="C81" s="14">
        <v>43152.5</v>
      </c>
      <c r="D81" s="13" t="s">
        <v>78</v>
      </c>
      <c r="E81" s="15" t="s">
        <v>79</v>
      </c>
      <c r="F81" s="13" t="s">
        <v>80</v>
      </c>
      <c r="G81" s="15" t="s">
        <v>81</v>
      </c>
      <c r="H81" s="13" t="s">
        <v>268</v>
      </c>
      <c r="I81" s="15" t="s">
        <v>269</v>
      </c>
      <c r="J81" s="15" t="s">
        <v>270</v>
      </c>
      <c r="K81" s="15" t="s">
        <v>271</v>
      </c>
      <c r="L81" s="13" t="s">
        <v>272</v>
      </c>
      <c r="M81" s="15" t="s">
        <v>273</v>
      </c>
      <c r="N81" s="13" t="s">
        <v>88</v>
      </c>
      <c r="O81" s="15" t="s">
        <v>89</v>
      </c>
      <c r="P81" s="15" t="s">
        <v>90</v>
      </c>
      <c r="Q81" s="15" t="s">
        <v>106</v>
      </c>
      <c r="R81" s="13" t="s">
        <v>107</v>
      </c>
      <c r="S81" s="13" t="s">
        <v>93</v>
      </c>
      <c r="T81" s="13" t="s">
        <v>94</v>
      </c>
      <c r="U81" s="14">
        <v>40725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/>
      <c r="AK81" s="15"/>
      <c r="AL81" s="13"/>
      <c r="AM81" s="15"/>
      <c r="AN81" s="13"/>
      <c r="AO81" s="15"/>
      <c r="AP81" s="13"/>
      <c r="AQ81" s="15"/>
      <c r="AR81" s="13"/>
      <c r="AS81" s="15"/>
      <c r="AT81" s="13"/>
      <c r="AU81" s="15"/>
      <c r="AV81" s="13"/>
      <c r="AW81" s="15"/>
      <c r="AX81" s="13"/>
      <c r="AY81" s="15"/>
      <c r="AZ81" s="13"/>
      <c r="BA81" s="15"/>
      <c r="BB81" s="13"/>
      <c r="BC81" s="15"/>
      <c r="BD81" s="13"/>
      <c r="BE81" s="15"/>
      <c r="BF81" s="13"/>
      <c r="BG81" s="15"/>
      <c r="BH81" s="13"/>
      <c r="BI81" s="15"/>
      <c r="BJ81" s="13"/>
      <c r="BK81" s="15"/>
      <c r="BL81" s="13"/>
      <c r="BM81" s="15"/>
      <c r="BN81" s="13"/>
      <c r="BO81" s="15"/>
      <c r="BP81" s="13"/>
      <c r="BQ81" s="15"/>
      <c r="BR81" s="13"/>
      <c r="BS81" s="15"/>
      <c r="BT81" s="13"/>
      <c r="BU81" s="15"/>
      <c r="BV81" s="13"/>
      <c r="BW81" s="15"/>
    </row>
    <row r="82" spans="1:75" ht="72.5" x14ac:dyDescent="0.35">
      <c r="A82" s="13" t="s">
        <v>76</v>
      </c>
      <c r="B82" s="13" t="s">
        <v>77</v>
      </c>
      <c r="C82" s="14">
        <v>43152.5</v>
      </c>
      <c r="D82" s="13" t="s">
        <v>78</v>
      </c>
      <c r="E82" s="15" t="s">
        <v>79</v>
      </c>
      <c r="F82" s="13" t="s">
        <v>80</v>
      </c>
      <c r="G82" s="15" t="s">
        <v>81</v>
      </c>
      <c r="H82" s="13" t="s">
        <v>268</v>
      </c>
      <c r="I82" s="15" t="s">
        <v>269</v>
      </c>
      <c r="J82" s="15" t="s">
        <v>270</v>
      </c>
      <c r="K82" s="15" t="s">
        <v>271</v>
      </c>
      <c r="L82" s="13" t="s">
        <v>274</v>
      </c>
      <c r="M82" s="15" t="s">
        <v>275</v>
      </c>
      <c r="N82" s="13" t="s">
        <v>88</v>
      </c>
      <c r="O82" s="15" t="s">
        <v>97</v>
      </c>
      <c r="P82" s="15" t="s">
        <v>98</v>
      </c>
      <c r="Q82" s="15" t="s">
        <v>106</v>
      </c>
      <c r="R82" s="13" t="s">
        <v>107</v>
      </c>
      <c r="S82" s="13" t="s">
        <v>93</v>
      </c>
      <c r="T82" s="13" t="s">
        <v>94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5"/>
      <c r="AP82" s="13"/>
      <c r="AQ82" s="15"/>
      <c r="AR82" s="13"/>
      <c r="AS82" s="15"/>
      <c r="AT82" s="13"/>
      <c r="AU82" s="15"/>
      <c r="AV82" s="13"/>
      <c r="AW82" s="15"/>
      <c r="AX82" s="13"/>
      <c r="AY82" s="15"/>
      <c r="AZ82" s="13"/>
      <c r="BA82" s="15"/>
      <c r="BB82" s="13"/>
      <c r="BC82" s="15"/>
      <c r="BD82" s="13"/>
      <c r="BE82" s="15"/>
      <c r="BF82" s="13"/>
      <c r="BG82" s="15"/>
      <c r="BH82" s="13"/>
      <c r="BI82" s="15"/>
      <c r="BJ82" s="13"/>
      <c r="BK82" s="15"/>
      <c r="BL82" s="13"/>
      <c r="BM82" s="15"/>
      <c r="BN82" s="13"/>
      <c r="BO82" s="15"/>
      <c r="BP82" s="13"/>
      <c r="BQ82" s="15"/>
      <c r="BR82" s="13"/>
      <c r="BS82" s="15"/>
      <c r="BT82" s="13"/>
      <c r="BU82" s="15"/>
      <c r="BV82" s="13"/>
      <c r="BW82" s="15"/>
    </row>
    <row r="83" spans="1:75" ht="58" x14ac:dyDescent="0.35">
      <c r="A83" s="13" t="s">
        <v>76</v>
      </c>
      <c r="B83" s="13" t="s">
        <v>77</v>
      </c>
      <c r="C83" s="14">
        <v>43152.5</v>
      </c>
      <c r="D83" s="13" t="s">
        <v>78</v>
      </c>
      <c r="E83" s="15" t="s">
        <v>79</v>
      </c>
      <c r="F83" s="13" t="s">
        <v>80</v>
      </c>
      <c r="G83" s="15" t="s">
        <v>81</v>
      </c>
      <c r="H83" s="13" t="s">
        <v>268</v>
      </c>
      <c r="I83" s="15" t="s">
        <v>269</v>
      </c>
      <c r="J83" s="15" t="s">
        <v>270</v>
      </c>
      <c r="K83" s="15" t="s">
        <v>271</v>
      </c>
      <c r="L83" s="13" t="s">
        <v>276</v>
      </c>
      <c r="M83" s="15" t="s">
        <v>277</v>
      </c>
      <c r="N83" s="13" t="s">
        <v>101</v>
      </c>
      <c r="O83" s="15" t="s">
        <v>102</v>
      </c>
      <c r="P83" s="15" t="s">
        <v>103</v>
      </c>
      <c r="Q83" s="15" t="s">
        <v>106</v>
      </c>
      <c r="R83" s="13" t="s">
        <v>107</v>
      </c>
      <c r="S83" s="13" t="s">
        <v>93</v>
      </c>
      <c r="T83" s="13" t="s">
        <v>94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5"/>
      <c r="AP83" s="13"/>
      <c r="AQ83" s="15"/>
      <c r="AR83" s="13"/>
      <c r="AS83" s="15"/>
      <c r="AT83" s="13"/>
      <c r="AU83" s="15"/>
      <c r="AV83" s="13"/>
      <c r="AW83" s="15"/>
      <c r="AX83" s="13"/>
      <c r="AY83" s="15"/>
      <c r="AZ83" s="13"/>
      <c r="BA83" s="15"/>
      <c r="BB83" s="13"/>
      <c r="BC83" s="15"/>
      <c r="BD83" s="13"/>
      <c r="BE83" s="15"/>
      <c r="BF83" s="13"/>
      <c r="BG83" s="15"/>
      <c r="BH83" s="13"/>
      <c r="BI83" s="15"/>
      <c r="BJ83" s="13"/>
      <c r="BK83" s="15"/>
      <c r="BL83" s="13"/>
      <c r="BM83" s="15"/>
      <c r="BN83" s="13"/>
      <c r="BO83" s="15"/>
      <c r="BP83" s="13"/>
      <c r="BQ83" s="15"/>
      <c r="BR83" s="13"/>
      <c r="BS83" s="15"/>
      <c r="BT83" s="13"/>
      <c r="BU83" s="15"/>
      <c r="BV83" s="13"/>
      <c r="BW83" s="15"/>
    </row>
    <row r="84" spans="1:75" ht="101.5" x14ac:dyDescent="0.35">
      <c r="A84" s="13" t="s">
        <v>238</v>
      </c>
      <c r="B84" s="13" t="s">
        <v>109</v>
      </c>
      <c r="C84" s="14">
        <v>44368.708333333336</v>
      </c>
      <c r="D84" s="13" t="s">
        <v>78</v>
      </c>
      <c r="E84" s="15" t="s">
        <v>79</v>
      </c>
      <c r="F84" s="13" t="s">
        <v>80</v>
      </c>
      <c r="G84" s="15" t="s">
        <v>81</v>
      </c>
      <c r="H84" s="13" t="s">
        <v>268</v>
      </c>
      <c r="I84" s="15" t="s">
        <v>269</v>
      </c>
      <c r="J84" s="15" t="s">
        <v>270</v>
      </c>
      <c r="K84" s="15" t="s">
        <v>271</v>
      </c>
      <c r="L84" s="13" t="s">
        <v>272</v>
      </c>
      <c r="M84" s="15" t="s">
        <v>273</v>
      </c>
      <c r="N84" s="13" t="s">
        <v>88</v>
      </c>
      <c r="O84" s="15" t="s">
        <v>89</v>
      </c>
      <c r="P84" s="15" t="s">
        <v>90</v>
      </c>
      <c r="Q84" s="15" t="s">
        <v>110</v>
      </c>
      <c r="R84" s="13" t="s">
        <v>111</v>
      </c>
      <c r="S84" s="13" t="s">
        <v>93</v>
      </c>
      <c r="T84" s="13" t="s">
        <v>112</v>
      </c>
      <c r="U84" s="14">
        <v>40725</v>
      </c>
      <c r="V84" s="14"/>
      <c r="W84" s="15" t="s">
        <v>278</v>
      </c>
      <c r="X84" s="13" t="s">
        <v>114</v>
      </c>
      <c r="Y84" s="15" t="str">
        <f>VLOOKUP(X84,'Axe 2 Règles de gestion'!$D$2:$F$146,3, FALSE)</f>
        <v>L'agent doit présenter une demande de congé sans traitement.</v>
      </c>
      <c r="Z84" s="13" t="s">
        <v>116</v>
      </c>
      <c r="AA84" s="15" t="str">
        <f>VLOOKUP(Z84,'Axe 2 Règles de gestion'!$D$2:$F$146,3, FALSE)</f>
        <v>La demande est accordée de droit par le supérieur hiérarchique.</v>
      </c>
      <c r="AB84" s="13"/>
      <c r="AC84" s="15"/>
      <c r="AD84" s="13"/>
      <c r="AE84" s="15"/>
      <c r="AF84" s="13" t="s">
        <v>118</v>
      </c>
      <c r="AG84" s="15" t="str">
        <f>VLOOKUP(AF84,'Axe 2 Règles de gestion'!$D$2:$F$146,3, FALSE)</f>
        <v>La durée prévisionnelle maximale de chaque période est de un an.</v>
      </c>
      <c r="AH84" s="13" t="s">
        <v>120</v>
      </c>
      <c r="AI84" s="15" t="str">
        <f>VLOOKUP(AH84,'Axe 2 Règles de gestion'!$D$2:$F$146,3, FALSE)</f>
        <v>La durée réelle maximale de chaque période est de un an.</v>
      </c>
      <c r="AJ84" s="13" t="s">
        <v>122</v>
      </c>
      <c r="AK84" s="15" t="str">
        <f>VLOOKUP(AJ84,'Axe 2 Règles de gestion'!$D$2:$F$146,3, FALSE)</f>
        <v>L'agent ne peut pas bénéficier de plus de 3 ans cumulés de congé sans traitement quels que soient les motifs de congés sans traitement : pour raisons personnelles ou familiales.</v>
      </c>
      <c r="AL84" s="13" t="s">
        <v>279</v>
      </c>
      <c r="AM84" s="15" t="str">
        <f>VLOOKUP(AL84,'Axe 2 Règles de gestion'!$D$2:$F$146,3, FALSE)</f>
        <v>L'agent doit avoir un enfant lié à cette position.</v>
      </c>
      <c r="AN84" s="13"/>
      <c r="AO84" s="15"/>
      <c r="AP84" s="13" t="s">
        <v>128</v>
      </c>
      <c r="AQ84" s="15" t="str">
        <f>VLOOKUP(AP84,'Axe 2 Règles de gestion'!$D$2:$F$146,3, FALSE)</f>
        <v>Lors de la demande initiale, l'agent doit être en activité.</v>
      </c>
      <c r="AR84" s="13" t="s">
        <v>130</v>
      </c>
      <c r="AS84" s="15" t="str">
        <f>VLOOKUP(AR84,'Axe 2 Règles de gestion'!$D$2:$F$146,3, FALSE)</f>
        <v>La date de début de la position doit être postérieure ou égale à la date d'entrée dans la FPE ou dans la carrière militaire.</v>
      </c>
      <c r="AT84" s="13" t="s">
        <v>132</v>
      </c>
      <c r="AU84" s="15" t="str">
        <f>VLOOKUP(AT84,'Axe 2 Règles de gestion'!$D$2:$F$146,3, FALSE)</f>
        <v>La date de début de position est à J+1 de la date de fin de position de l'occurrence précédente.</v>
      </c>
      <c r="AV84" s="13" t="s">
        <v>134</v>
      </c>
      <c r="AW84" s="15" t="str">
        <f>VLOOKUP(AV84,'Axe 2 Règles de gestion'!$D$2:$F$146,3, FALSE)</f>
        <v>La date de début de position doit être antérieure ou égale à la date de fin prévisionnelle de position.</v>
      </c>
      <c r="AX84" s="13" t="s">
        <v>136</v>
      </c>
      <c r="AY84" s="15" t="str">
        <f>VLOOKUP(AX84,'Axe 2 Règles de gestion'!$D$2:$F$146,3, FALSE)</f>
        <v>La date de début de position doit être antérieure ou égale à la date de fin réelle de position.</v>
      </c>
      <c r="AZ84" s="13" t="s">
        <v>138</v>
      </c>
      <c r="BA84" s="15" t="str">
        <f>VLOOKUP(AZ84,'Axe 2 Règles de gestion'!$D$2:$F$146,3, FALSE)</f>
        <v>La date de fin prévisionnelle de la position doit être antérieure à la date limite de départ à la retraite.</v>
      </c>
      <c r="BB84" s="13" t="s">
        <v>140</v>
      </c>
      <c r="BC84" s="15" t="str">
        <f>VLOOKUP(BB84,'Axe 2 Règles de gestion'!$D$2:$F$146,3, FALSE)</f>
        <v>La date de fin réelle de la position doit être antérieure à la date limite de départ à la retraite.</v>
      </c>
      <c r="BD84" s="13" t="s">
        <v>142</v>
      </c>
      <c r="BE84" s="15" t="str">
        <f>VLOOKUP(BD84,'Axe 2 Règles de gestion'!$D$2:$F$146,3, FALSE)</f>
        <v>La date de fin ou la date de fin prévisionnelle doit être saisie.</v>
      </c>
      <c r="BF84" s="13" t="s">
        <v>144</v>
      </c>
      <c r="BG84" s="15" t="str">
        <f>VLOOKUP(BF84,'Axe 2 Règles de gestion'!$D$2:$F$146,3, FALSE)</f>
        <v>Le lien vers l'enfant doit être renseigné.</v>
      </c>
      <c r="BH84" s="13" t="s">
        <v>148</v>
      </c>
      <c r="BI84" s="15" t="str">
        <f>VLOOKUP(BH84,'Axe 2 Règles de gestion'!$D$2:$F$146,3, FALSE)</f>
        <v>La date de fin réelle de la position doit être antérieure ou égale à la date de décès de l'enfant.</v>
      </c>
      <c r="BJ84" s="13" t="s">
        <v>150</v>
      </c>
      <c r="BK84" s="15" t="str">
        <f>VLOOKUP(BJ84,'Axe 2 Règles de gestion'!$D$2:$F$146,3, FALSE)</f>
        <v>La date de fin prévisionnelle de la position doit être antérieure ou égale à la date de décès de l'enfant.</v>
      </c>
      <c r="BL84" s="13" t="s">
        <v>152</v>
      </c>
      <c r="BM84" s="15" t="str">
        <f>VLOOKUP(BL84,'Axe 2 Règles de gestion'!$D$2:$F$146,3, FALSE)</f>
        <v>La saisie d'une occurrence de congés/absences est interdite (date de fin réelle)</v>
      </c>
      <c r="BN84" s="13" t="s">
        <v>154</v>
      </c>
      <c r="BO84" s="15" t="str">
        <f>VLOOKUP(BN84,'Axe 2 Règles de gestion'!$D$2:$F$146,3, FALSE)</f>
        <v>La saisie d'une occurrence de congés/absences est interdite (date de fin prévisionnelle)</v>
      </c>
      <c r="BP84" s="13"/>
      <c r="BQ84" s="15"/>
      <c r="BR84" s="13"/>
      <c r="BS84" s="15"/>
      <c r="BT84" s="13"/>
      <c r="BU84" s="15"/>
      <c r="BV84" s="13"/>
      <c r="BW84" s="15"/>
    </row>
    <row r="85" spans="1:75" ht="101.5" x14ac:dyDescent="0.35">
      <c r="A85" s="13" t="s">
        <v>238</v>
      </c>
      <c r="B85" s="13" t="s">
        <v>109</v>
      </c>
      <c r="C85" s="14">
        <v>44368.708333333336</v>
      </c>
      <c r="D85" s="13" t="s">
        <v>78</v>
      </c>
      <c r="E85" s="15" t="s">
        <v>79</v>
      </c>
      <c r="F85" s="13" t="s">
        <v>80</v>
      </c>
      <c r="G85" s="15" t="s">
        <v>81</v>
      </c>
      <c r="H85" s="13" t="s">
        <v>268</v>
      </c>
      <c r="I85" s="15" t="s">
        <v>269</v>
      </c>
      <c r="J85" s="15" t="s">
        <v>270</v>
      </c>
      <c r="K85" s="15" t="s">
        <v>271</v>
      </c>
      <c r="L85" s="13" t="s">
        <v>274</v>
      </c>
      <c r="M85" s="15" t="s">
        <v>275</v>
      </c>
      <c r="N85" s="13" t="s">
        <v>88</v>
      </c>
      <c r="O85" s="15" t="s">
        <v>97</v>
      </c>
      <c r="P85" s="15" t="s">
        <v>98</v>
      </c>
      <c r="Q85" s="15" t="s">
        <v>110</v>
      </c>
      <c r="R85" s="13" t="s">
        <v>111</v>
      </c>
      <c r="S85" s="13" t="s">
        <v>93</v>
      </c>
      <c r="T85" s="13" t="s">
        <v>112</v>
      </c>
      <c r="U85" s="14">
        <v>40725</v>
      </c>
      <c r="V85" s="14"/>
      <c r="W85" s="15" t="s">
        <v>281</v>
      </c>
      <c r="X85" s="13" t="s">
        <v>162</v>
      </c>
      <c r="Y85" s="15" t="str">
        <f>VLOOKUP(X85,'Axe 2 Règles de gestion'!$D$2:$F$146,3, FALSE)</f>
        <v>L'agent peut renouveler le congé sans traitement 2 fois.</v>
      </c>
      <c r="Z85" s="13"/>
      <c r="AA85" s="15"/>
      <c r="AB85" s="13"/>
      <c r="AC85" s="15"/>
      <c r="AD85" s="13"/>
      <c r="AE85" s="15"/>
      <c r="AF85" s="13" t="s">
        <v>118</v>
      </c>
      <c r="AG85" s="15" t="str">
        <f>VLOOKUP(AF85,'Axe 2 Règles de gestion'!$D$2:$F$146,3, FALSE)</f>
        <v>La durée prévisionnelle maximale de chaque période est de un an.</v>
      </c>
      <c r="AH85" s="13" t="s">
        <v>120</v>
      </c>
      <c r="AI85" s="15" t="str">
        <f>VLOOKUP(AH85,'Axe 2 Règles de gestion'!$D$2:$F$146,3, FALSE)</f>
        <v>La durée réelle maximale de chaque période est de un an.</v>
      </c>
      <c r="AJ85" s="13" t="s">
        <v>122</v>
      </c>
      <c r="AK85" s="15" t="str">
        <f>VLOOKUP(AJ85,'Axe 2 Règles de gestion'!$D$2:$F$146,3, FALSE)</f>
        <v>L'agent ne peut pas bénéficier de plus de 3 ans cumulés de congé sans traitement quels que soient les motifs de congés sans traitement : pour raisons personnelles ou familiales.</v>
      </c>
      <c r="AL85" s="13" t="s">
        <v>279</v>
      </c>
      <c r="AM85" s="15" t="str">
        <f>VLOOKUP(AL85,'Axe 2 Règles de gestion'!$D$2:$F$146,3, FALSE)</f>
        <v>L'agent doit avoir un enfant lié à cette position.</v>
      </c>
      <c r="AN85" s="13"/>
      <c r="AO85" s="15"/>
      <c r="AP85" s="13" t="s">
        <v>130</v>
      </c>
      <c r="AQ85" s="15" t="str">
        <f>VLOOKUP(AP85,'Axe 2 Règles de gestion'!$D$2:$F$146,3, FALSE)</f>
        <v>La date de début de la position doit être postérieure ou égale à la date d'entrée dans la FPE ou dans la carrière militaire.</v>
      </c>
      <c r="AR85" s="13" t="s">
        <v>132</v>
      </c>
      <c r="AS85" s="15" t="str">
        <f>VLOOKUP(AR85,'Axe 2 Règles de gestion'!$D$2:$F$146,3, FALSE)</f>
        <v>La date de début de position est à J+1 de la date de fin de position de l'occurrence précédente.</v>
      </c>
      <c r="AT85" s="13" t="s">
        <v>134</v>
      </c>
      <c r="AU85" s="15" t="str">
        <f>VLOOKUP(AT85,'Axe 2 Règles de gestion'!$D$2:$F$146,3, FALSE)</f>
        <v>La date de début de position doit être antérieure ou égale à la date de fin prévisionnelle de position.</v>
      </c>
      <c r="AV85" s="13" t="s">
        <v>136</v>
      </c>
      <c r="AW85" s="15" t="str">
        <f>VLOOKUP(AV85,'Axe 2 Règles de gestion'!$D$2:$F$146,3, FALSE)</f>
        <v>La date de début de position doit être antérieure ou égale à la date de fin réelle de position.</v>
      </c>
      <c r="AX85" s="13" t="s">
        <v>138</v>
      </c>
      <c r="AY85" s="15" t="str">
        <f>VLOOKUP(AX85,'Axe 2 Règles de gestion'!$D$2:$F$146,3, FALSE)</f>
        <v>La date de fin prévisionnelle de la position doit être antérieure à la date limite de départ à la retraite.</v>
      </c>
      <c r="AZ85" s="13" t="s">
        <v>140</v>
      </c>
      <c r="BA85" s="15" t="str">
        <f>VLOOKUP(AZ85,'Axe 2 Règles de gestion'!$D$2:$F$146,3, FALSE)</f>
        <v>La date de fin réelle de la position doit être antérieure à la date limite de départ à la retraite.</v>
      </c>
      <c r="BB85" s="13" t="s">
        <v>142</v>
      </c>
      <c r="BC85" s="15" t="str">
        <f>VLOOKUP(BB85,'Axe 2 Règles de gestion'!$D$2:$F$146,3, FALSE)</f>
        <v>La date de fin ou la date de fin prévisionnelle doit être saisie.</v>
      </c>
      <c r="BD85" s="13" t="s">
        <v>144</v>
      </c>
      <c r="BE85" s="15" t="str">
        <f>VLOOKUP(BD85,'Axe 2 Règles de gestion'!$D$2:$F$146,3, FALSE)</f>
        <v>Le lien vers l'enfant doit être renseigné.</v>
      </c>
      <c r="BF85" s="13" t="s">
        <v>148</v>
      </c>
      <c r="BG85" s="15" t="str">
        <f>VLOOKUP(BF85,'Axe 2 Règles de gestion'!$D$2:$F$146,3, FALSE)</f>
        <v>La date de fin réelle de la position doit être antérieure ou égale à la date de décès de l'enfant.</v>
      </c>
      <c r="BH85" s="13" t="s">
        <v>150</v>
      </c>
      <c r="BI85" s="15" t="str">
        <f>VLOOKUP(BH85,'Axe 2 Règles de gestion'!$D$2:$F$146,3, FALSE)</f>
        <v>La date de fin prévisionnelle de la position doit être antérieure ou égale à la date de décès de l'enfant.</v>
      </c>
      <c r="BJ85" s="13" t="s">
        <v>152</v>
      </c>
      <c r="BK85" s="15" t="str">
        <f>VLOOKUP(BJ85,'Axe 2 Règles de gestion'!$D$2:$F$146,3, FALSE)</f>
        <v>La saisie d'une occurrence de congés/absences est interdite (date de fin réelle)</v>
      </c>
      <c r="BL85" s="13" t="s">
        <v>154</v>
      </c>
      <c r="BM85" s="15" t="str">
        <f>VLOOKUP(BL85,'Axe 2 Règles de gestion'!$D$2:$F$146,3, FALSE)</f>
        <v>La saisie d'une occurrence de congés/absences est interdite (date de fin prévisionnelle)</v>
      </c>
      <c r="BN85" s="13"/>
      <c r="BO85" s="15"/>
      <c r="BP85" s="13"/>
      <c r="BQ85" s="15"/>
      <c r="BR85" s="13"/>
      <c r="BS85" s="15"/>
      <c r="BT85" s="13"/>
      <c r="BU85" s="15"/>
      <c r="BV85" s="13"/>
      <c r="BW85" s="15"/>
    </row>
    <row r="86" spans="1:75" ht="130.5" x14ac:dyDescent="0.35">
      <c r="A86" s="13" t="s">
        <v>165</v>
      </c>
      <c r="B86" s="13" t="s">
        <v>109</v>
      </c>
      <c r="C86" s="14">
        <v>44715.631944444445</v>
      </c>
      <c r="D86" s="13" t="s">
        <v>78</v>
      </c>
      <c r="E86" s="15" t="s">
        <v>79</v>
      </c>
      <c r="F86" s="13" t="s">
        <v>80</v>
      </c>
      <c r="G86" s="15" t="s">
        <v>81</v>
      </c>
      <c r="H86" s="13" t="s">
        <v>268</v>
      </c>
      <c r="I86" s="15" t="s">
        <v>269</v>
      </c>
      <c r="J86" s="15" t="s">
        <v>270</v>
      </c>
      <c r="K86" s="15" t="s">
        <v>271</v>
      </c>
      <c r="L86" s="13" t="s">
        <v>276</v>
      </c>
      <c r="M86" s="15" t="s">
        <v>277</v>
      </c>
      <c r="N86" s="13" t="s">
        <v>101</v>
      </c>
      <c r="O86" s="15" t="s">
        <v>102</v>
      </c>
      <c r="P86" s="15" t="s">
        <v>103</v>
      </c>
      <c r="Q86" s="15" t="s">
        <v>110</v>
      </c>
      <c r="R86" s="13" t="s">
        <v>111</v>
      </c>
      <c r="S86" s="13" t="s">
        <v>93</v>
      </c>
      <c r="T86" s="13" t="s">
        <v>112</v>
      </c>
      <c r="U86" s="14">
        <v>40725</v>
      </c>
      <c r="V86" s="14">
        <v>44633</v>
      </c>
      <c r="W86" s="15" t="s">
        <v>282</v>
      </c>
      <c r="X86" s="13" t="s">
        <v>167</v>
      </c>
      <c r="Y86" s="15" t="str">
        <f>VLOOKUP(X86,'Axe 2 Règles de gestion'!$D$2:$F$146,3, FALSE)</f>
        <v>L'agent doit demander à reprendre ses fonctions au moins 2 mois avant l'expiration du congé en cours.</v>
      </c>
      <c r="Z86" s="13" t="s">
        <v>169</v>
      </c>
      <c r="AA86" s="15" t="str">
        <f>VLOOKUP(Z86,'Axe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86" s="13"/>
      <c r="AC86" s="15"/>
      <c r="AD86" s="13"/>
      <c r="AE86" s="15"/>
      <c r="AF86" s="13" t="s">
        <v>118</v>
      </c>
      <c r="AG86" s="15" t="str">
        <f>VLOOKUP(AF86,'Axe 2 Règles de gestion'!$D$2:$F$146,3, FALSE)</f>
        <v>La durée prévisionnelle maximale de chaque période est de un an.</v>
      </c>
      <c r="AH86" s="13" t="s">
        <v>120</v>
      </c>
      <c r="AI86" s="15" t="str">
        <f>VLOOKUP(AH86,'Axe 2 Règles de gestion'!$D$2:$F$146,3, FALSE)</f>
        <v>La durée réelle maximale de chaque période est de un an.</v>
      </c>
      <c r="AJ86" s="13" t="s">
        <v>122</v>
      </c>
      <c r="AK86" s="15" t="str">
        <f>VLOOKUP(AJ86,'Axe 2 Règles de gestion'!$D$2:$F$146,3, FALSE)</f>
        <v>L'agent ne peut pas bénéficier de plus de 3 ans cumulés de congé sans traitement quels que soient les motifs de congés sans traitement : pour raisons personnelles ou familiales.</v>
      </c>
      <c r="AL86" s="13" t="s">
        <v>279</v>
      </c>
      <c r="AM86" s="15" t="str">
        <f>VLOOKUP(AL86,'Axe 2 Règles de gestion'!$D$2:$F$146,3, FALSE)</f>
        <v>L'agent doit avoir un enfant lié à cette position.</v>
      </c>
      <c r="AN86" s="13"/>
      <c r="AO86" s="15"/>
      <c r="AP86" s="13" t="s">
        <v>134</v>
      </c>
      <c r="AQ86" s="15" t="str">
        <f>VLOOKUP(AP86,'Axe 2 Règles de gestion'!$D$2:$F$146,3, FALSE)</f>
        <v>La date de début de position doit être antérieure ou égale à la date de fin prévisionnelle de position.</v>
      </c>
      <c r="AR86" s="13" t="s">
        <v>136</v>
      </c>
      <c r="AS86" s="15" t="str">
        <f>VLOOKUP(AR86,'Axe 2 Règles de gestion'!$D$2:$F$146,3, FALSE)</f>
        <v>La date de début de position doit être antérieure ou égale à la date de fin réelle de position.</v>
      </c>
      <c r="AT86" s="13" t="s">
        <v>138</v>
      </c>
      <c r="AU86" s="15" t="str">
        <f>VLOOKUP(AT86,'Axe 2 Règles de gestion'!$D$2:$F$146,3, FALSE)</f>
        <v>La date de fin prévisionnelle de la position doit être antérieure à la date limite de départ à la retraite.</v>
      </c>
      <c r="AV86" s="13" t="s">
        <v>140</v>
      </c>
      <c r="AW86" s="15" t="str">
        <f>VLOOKUP(AV86,'Axe 2 Règles de gestion'!$D$2:$F$146,3, FALSE)</f>
        <v>La date de fin réelle de la position doit être antérieure à la date limite de départ à la retraite.</v>
      </c>
      <c r="AX86" s="13" t="s">
        <v>142</v>
      </c>
      <c r="AY86" s="15" t="str">
        <f>VLOOKUP(AX86,'Axe 2 Règles de gestion'!$D$2:$F$146,3, FALSE)</f>
        <v>La date de fin ou la date de fin prévisionnelle doit être saisie.</v>
      </c>
      <c r="AZ86" s="13" t="s">
        <v>144</v>
      </c>
      <c r="BA86" s="15" t="str">
        <f>VLOOKUP(AZ86,'Axe 2 Règles de gestion'!$D$2:$F$146,3, FALSE)</f>
        <v>Le lien vers l'enfant doit être renseigné.</v>
      </c>
      <c r="BB86" s="13" t="s">
        <v>148</v>
      </c>
      <c r="BC86" s="15" t="str">
        <f>VLOOKUP(BB86,'Axe 2 Règles de gestion'!$D$2:$F$146,3, FALSE)</f>
        <v>La date de fin réelle de la position doit être antérieure ou égale à la date de décès de l'enfant.</v>
      </c>
      <c r="BD86" s="13" t="s">
        <v>150</v>
      </c>
      <c r="BE86" s="15" t="str">
        <f>VLOOKUP(BD86,'Axe 2 Règles de gestion'!$D$2:$F$146,3, FALSE)</f>
        <v>La date de fin prévisionnelle de la position doit être antérieure ou égale à la date de décès de l'enfant.</v>
      </c>
      <c r="BF86" s="13" t="s">
        <v>152</v>
      </c>
      <c r="BG86" s="15" t="str">
        <f>VLOOKUP(BF86,'Axe 2 Règles de gestion'!$D$2:$F$146,3, FALSE)</f>
        <v>La saisie d'une occurrence de congés/absences est interdite (date de fin réelle)</v>
      </c>
      <c r="BH86" s="13" t="s">
        <v>154</v>
      </c>
      <c r="BI86" s="15" t="str">
        <f>VLOOKUP(BH86,'Axe 2 Règles de gestion'!$D$2:$F$146,3, FALSE)</f>
        <v>La saisie d'une occurrence de congés/absences est interdite (date de fin prévisionnelle)</v>
      </c>
      <c r="BJ86" s="13"/>
      <c r="BK86" s="15"/>
      <c r="BL86" s="13"/>
      <c r="BM86" s="15"/>
      <c r="BN86" s="13"/>
      <c r="BO86" s="15"/>
      <c r="BP86" s="13"/>
      <c r="BQ86" s="15"/>
      <c r="BR86" s="13"/>
      <c r="BS86" s="15"/>
      <c r="BT86" s="13"/>
      <c r="BU86" s="15"/>
      <c r="BV86" s="13"/>
      <c r="BW86" s="15"/>
    </row>
    <row r="87" spans="1:75" ht="145" x14ac:dyDescent="0.35">
      <c r="A87" s="13" t="s">
        <v>165</v>
      </c>
      <c r="B87" s="13" t="s">
        <v>77</v>
      </c>
      <c r="C87" s="14">
        <v>44715.632638888892</v>
      </c>
      <c r="D87" s="13" t="s">
        <v>78</v>
      </c>
      <c r="E87" s="15" t="s">
        <v>79</v>
      </c>
      <c r="F87" s="13" t="s">
        <v>80</v>
      </c>
      <c r="G87" s="15" t="s">
        <v>81</v>
      </c>
      <c r="H87" s="13" t="s">
        <v>268</v>
      </c>
      <c r="I87" s="15" t="s">
        <v>269</v>
      </c>
      <c r="J87" s="15" t="s">
        <v>270</v>
      </c>
      <c r="K87" s="15" t="s">
        <v>271</v>
      </c>
      <c r="L87" s="13" t="s">
        <v>276</v>
      </c>
      <c r="M87" s="15" t="s">
        <v>277</v>
      </c>
      <c r="N87" s="13" t="s">
        <v>101</v>
      </c>
      <c r="O87" s="15" t="s">
        <v>102</v>
      </c>
      <c r="P87" s="15" t="s">
        <v>103</v>
      </c>
      <c r="Q87" s="15" t="s">
        <v>110</v>
      </c>
      <c r="R87" s="13" t="s">
        <v>111</v>
      </c>
      <c r="S87" s="13" t="s">
        <v>93</v>
      </c>
      <c r="T87" s="13" t="s">
        <v>112</v>
      </c>
      <c r="U87" s="14">
        <v>44634</v>
      </c>
      <c r="V87" s="14"/>
      <c r="W87" s="15" t="s">
        <v>283</v>
      </c>
      <c r="X87" s="13" t="s">
        <v>167</v>
      </c>
      <c r="Y87" s="15" t="str">
        <f>VLOOKUP(X87,'Axe 2 Règles de gestion'!$D$2:$F$146,3, FALSE)</f>
        <v>L'agent doit demander à reprendre ses fonctions au moins 2 mois avant l'expiration du congé en cours.</v>
      </c>
      <c r="Z87" s="13" t="s">
        <v>172</v>
      </c>
      <c r="AA87" s="15" t="str">
        <f>VLOOKUP(Z87,'Axe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87" s="13"/>
      <c r="AC87" s="15"/>
      <c r="AD87" s="13"/>
      <c r="AE87" s="15"/>
      <c r="AF87" s="13" t="s">
        <v>118</v>
      </c>
      <c r="AG87" s="15" t="str">
        <f>VLOOKUP(AF87,'Axe 2 Règles de gestion'!$D$2:$F$146,3, FALSE)</f>
        <v>La durée prévisionnelle maximale de chaque période est de un an.</v>
      </c>
      <c r="AH87" s="13" t="s">
        <v>120</v>
      </c>
      <c r="AI87" s="15" t="str">
        <f>VLOOKUP(AH87,'Axe 2 Règles de gestion'!$D$2:$F$146,3, FALSE)</f>
        <v>La durée réelle maximale de chaque période est de un an.</v>
      </c>
      <c r="AJ87" s="13" t="s">
        <v>122</v>
      </c>
      <c r="AK87" s="15" t="str">
        <f>VLOOKUP(AJ87,'Axe 2 Règles de gestion'!$D$2:$F$146,3, FALSE)</f>
        <v>L'agent ne peut pas bénéficier de plus de 3 ans cumulés de congé sans traitement quels que soient les motifs de congés sans traitement : pour raisons personnelles ou familiales.</v>
      </c>
      <c r="AL87" s="13" t="s">
        <v>279</v>
      </c>
      <c r="AM87" s="15" t="str">
        <f>VLOOKUP(AL87,'Axe 2 Règles de gestion'!$D$2:$F$146,3, FALSE)</f>
        <v>L'agent doit avoir un enfant lié à cette position.</v>
      </c>
      <c r="AN87" s="13"/>
      <c r="AO87" s="15"/>
      <c r="AP87" s="13" t="s">
        <v>134</v>
      </c>
      <c r="AQ87" s="15" t="str">
        <f>VLOOKUP(AP87,'Axe 2 Règles de gestion'!$D$2:$F$146,3, FALSE)</f>
        <v>La date de début de position doit être antérieure ou égale à la date de fin prévisionnelle de position.</v>
      </c>
      <c r="AR87" s="13" t="s">
        <v>136</v>
      </c>
      <c r="AS87" s="15" t="str">
        <f>VLOOKUP(AR87,'Axe 2 Règles de gestion'!$D$2:$F$146,3, FALSE)</f>
        <v>La date de début de position doit être antérieure ou égale à la date de fin réelle de position.</v>
      </c>
      <c r="AT87" s="13" t="s">
        <v>138</v>
      </c>
      <c r="AU87" s="15" t="str">
        <f>VLOOKUP(AT87,'Axe 2 Règles de gestion'!$D$2:$F$146,3, FALSE)</f>
        <v>La date de fin prévisionnelle de la position doit être antérieure à la date limite de départ à la retraite.</v>
      </c>
      <c r="AV87" s="13" t="s">
        <v>140</v>
      </c>
      <c r="AW87" s="15" t="str">
        <f>VLOOKUP(AV87,'Axe 2 Règles de gestion'!$D$2:$F$146,3, FALSE)</f>
        <v>La date de fin réelle de la position doit être antérieure à la date limite de départ à la retraite.</v>
      </c>
      <c r="AX87" s="13" t="s">
        <v>142</v>
      </c>
      <c r="AY87" s="15" t="str">
        <f>VLOOKUP(AX87,'Axe 2 Règles de gestion'!$D$2:$F$146,3, FALSE)</f>
        <v>La date de fin ou la date de fin prévisionnelle doit être saisie.</v>
      </c>
      <c r="AZ87" s="13" t="s">
        <v>144</v>
      </c>
      <c r="BA87" s="15" t="str">
        <f>VLOOKUP(AZ87,'Axe 2 Règles de gestion'!$D$2:$F$146,3, FALSE)</f>
        <v>Le lien vers l'enfant doit être renseigné.</v>
      </c>
      <c r="BB87" s="13" t="s">
        <v>148</v>
      </c>
      <c r="BC87" s="15" t="str">
        <f>VLOOKUP(BB87,'Axe 2 Règles de gestion'!$D$2:$F$146,3, FALSE)</f>
        <v>La date de fin réelle de la position doit être antérieure ou égale à la date de décès de l'enfant.</v>
      </c>
      <c r="BD87" s="13" t="s">
        <v>150</v>
      </c>
      <c r="BE87" s="15" t="str">
        <f>VLOOKUP(BD87,'Axe 2 Règles de gestion'!$D$2:$F$146,3, FALSE)</f>
        <v>La date de fin prévisionnelle de la position doit être antérieure ou égale à la date de décès de l'enfant.</v>
      </c>
      <c r="BF87" s="13" t="s">
        <v>152</v>
      </c>
      <c r="BG87" s="15" t="str">
        <f>VLOOKUP(BF87,'Axe 2 Règles de gestion'!$D$2:$F$146,3, FALSE)</f>
        <v>La saisie d'une occurrence de congés/absences est interdite (date de fin réelle)</v>
      </c>
      <c r="BH87" s="13" t="s">
        <v>154</v>
      </c>
      <c r="BI87" s="15" t="str">
        <f>VLOOKUP(BH87,'Axe 2 Règles de gestion'!$D$2:$F$146,3, FALSE)</f>
        <v>La saisie d'une occurrence de congés/absences est interdite (date de fin prévisionnelle)</v>
      </c>
      <c r="BJ87" s="13"/>
      <c r="BK87" s="15"/>
      <c r="BL87" s="13"/>
      <c r="BM87" s="15"/>
      <c r="BN87" s="13"/>
      <c r="BO87" s="15"/>
      <c r="BP87" s="13"/>
      <c r="BQ87" s="15"/>
      <c r="BR87" s="13"/>
      <c r="BS87" s="15"/>
      <c r="BT87" s="13"/>
      <c r="BU87" s="15"/>
      <c r="BV87" s="13"/>
      <c r="BW87" s="15"/>
    </row>
    <row r="88" spans="1:75" ht="72.5" x14ac:dyDescent="0.35">
      <c r="A88" s="13" t="s">
        <v>76</v>
      </c>
      <c r="B88" s="13" t="s">
        <v>77</v>
      </c>
      <c r="C88" s="14">
        <v>43152.5</v>
      </c>
      <c r="D88" s="13" t="s">
        <v>78</v>
      </c>
      <c r="E88" s="15" t="s">
        <v>79</v>
      </c>
      <c r="F88" s="13" t="s">
        <v>80</v>
      </c>
      <c r="G88" s="15" t="s">
        <v>81</v>
      </c>
      <c r="H88" s="13" t="s">
        <v>268</v>
      </c>
      <c r="I88" s="15" t="s">
        <v>269</v>
      </c>
      <c r="J88" s="15" t="s">
        <v>270</v>
      </c>
      <c r="K88" s="15" t="s">
        <v>271</v>
      </c>
      <c r="L88" s="13" t="s">
        <v>272</v>
      </c>
      <c r="M88" s="15" t="s">
        <v>273</v>
      </c>
      <c r="N88" s="13" t="s">
        <v>88</v>
      </c>
      <c r="O88" s="15" t="s">
        <v>89</v>
      </c>
      <c r="P88" s="15" t="s">
        <v>90</v>
      </c>
      <c r="Q88" s="15" t="s">
        <v>175</v>
      </c>
      <c r="R88" s="13" t="s">
        <v>176</v>
      </c>
      <c r="S88" s="13" t="s">
        <v>93</v>
      </c>
      <c r="T88" s="13" t="s">
        <v>94</v>
      </c>
      <c r="U88" s="14">
        <v>40725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5"/>
      <c r="AP88" s="13"/>
      <c r="AQ88" s="15"/>
      <c r="AR88" s="13"/>
      <c r="AS88" s="15"/>
      <c r="AT88" s="13"/>
      <c r="AU88" s="15"/>
      <c r="AV88" s="13"/>
      <c r="AW88" s="15"/>
      <c r="AX88" s="13"/>
      <c r="AY88" s="15"/>
      <c r="AZ88" s="13"/>
      <c r="BA88" s="15"/>
      <c r="BB88" s="13"/>
      <c r="BC88" s="15"/>
      <c r="BD88" s="13"/>
      <c r="BE88" s="15"/>
      <c r="BF88" s="13"/>
      <c r="BG88" s="15"/>
      <c r="BH88" s="13"/>
      <c r="BI88" s="15"/>
      <c r="BJ88" s="13"/>
      <c r="BK88" s="15"/>
      <c r="BL88" s="13"/>
      <c r="BM88" s="15"/>
      <c r="BN88" s="13"/>
      <c r="BO88" s="15"/>
      <c r="BP88" s="13"/>
      <c r="BQ88" s="15"/>
      <c r="BR88" s="13"/>
      <c r="BS88" s="15"/>
      <c r="BT88" s="13"/>
      <c r="BU88" s="15"/>
      <c r="BV88" s="13"/>
      <c r="BW88" s="15"/>
    </row>
    <row r="89" spans="1:75" ht="72.5" x14ac:dyDescent="0.35">
      <c r="A89" s="13" t="s">
        <v>76</v>
      </c>
      <c r="B89" s="13" t="s">
        <v>77</v>
      </c>
      <c r="C89" s="14">
        <v>43152.5</v>
      </c>
      <c r="D89" s="13" t="s">
        <v>78</v>
      </c>
      <c r="E89" s="15" t="s">
        <v>79</v>
      </c>
      <c r="F89" s="13" t="s">
        <v>80</v>
      </c>
      <c r="G89" s="15" t="s">
        <v>81</v>
      </c>
      <c r="H89" s="13" t="s">
        <v>268</v>
      </c>
      <c r="I89" s="15" t="s">
        <v>269</v>
      </c>
      <c r="J89" s="15" t="s">
        <v>270</v>
      </c>
      <c r="K89" s="15" t="s">
        <v>271</v>
      </c>
      <c r="L89" s="13" t="s">
        <v>274</v>
      </c>
      <c r="M89" s="15" t="s">
        <v>275</v>
      </c>
      <c r="N89" s="13" t="s">
        <v>88</v>
      </c>
      <c r="O89" s="15" t="s">
        <v>97</v>
      </c>
      <c r="P89" s="15" t="s">
        <v>98</v>
      </c>
      <c r="Q89" s="15" t="s">
        <v>175</v>
      </c>
      <c r="R89" s="13" t="s">
        <v>176</v>
      </c>
      <c r="S89" s="13" t="s">
        <v>93</v>
      </c>
      <c r="T89" s="13" t="s">
        <v>94</v>
      </c>
      <c r="U89" s="14">
        <v>40725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5"/>
      <c r="AP89" s="13"/>
      <c r="AQ89" s="15"/>
      <c r="AR89" s="13"/>
      <c r="AS89" s="15"/>
      <c r="AT89" s="13"/>
      <c r="AU89" s="15"/>
      <c r="AV89" s="13"/>
      <c r="AW89" s="15"/>
      <c r="AX89" s="13"/>
      <c r="AY89" s="15"/>
      <c r="AZ89" s="13"/>
      <c r="BA89" s="15"/>
      <c r="BB89" s="13"/>
      <c r="BC89" s="15"/>
      <c r="BD89" s="13"/>
      <c r="BE89" s="15"/>
      <c r="BF89" s="13"/>
      <c r="BG89" s="15"/>
      <c r="BH89" s="13"/>
      <c r="BI89" s="15"/>
      <c r="BJ89" s="13"/>
      <c r="BK89" s="15"/>
      <c r="BL89" s="13"/>
      <c r="BM89" s="15"/>
      <c r="BN89" s="13"/>
      <c r="BO89" s="15"/>
      <c r="BP89" s="13"/>
      <c r="BQ89" s="15"/>
      <c r="BR89" s="13"/>
      <c r="BS89" s="15"/>
      <c r="BT89" s="13"/>
      <c r="BU89" s="15"/>
      <c r="BV89" s="13"/>
      <c r="BW89" s="15"/>
    </row>
    <row r="90" spans="1:75" ht="58" x14ac:dyDescent="0.35">
      <c r="A90" s="13" t="s">
        <v>76</v>
      </c>
      <c r="B90" s="13" t="s">
        <v>77</v>
      </c>
      <c r="C90" s="14">
        <v>43152.5</v>
      </c>
      <c r="D90" s="13" t="s">
        <v>78</v>
      </c>
      <c r="E90" s="15" t="s">
        <v>79</v>
      </c>
      <c r="F90" s="13" t="s">
        <v>80</v>
      </c>
      <c r="G90" s="15" t="s">
        <v>81</v>
      </c>
      <c r="H90" s="13" t="s">
        <v>268</v>
      </c>
      <c r="I90" s="15" t="s">
        <v>269</v>
      </c>
      <c r="J90" s="15" t="s">
        <v>270</v>
      </c>
      <c r="K90" s="15" t="s">
        <v>271</v>
      </c>
      <c r="L90" s="13" t="s">
        <v>276</v>
      </c>
      <c r="M90" s="15" t="s">
        <v>277</v>
      </c>
      <c r="N90" s="13" t="s">
        <v>101</v>
      </c>
      <c r="O90" s="15" t="s">
        <v>102</v>
      </c>
      <c r="P90" s="15" t="s">
        <v>103</v>
      </c>
      <c r="Q90" s="15" t="s">
        <v>175</v>
      </c>
      <c r="R90" s="13" t="s">
        <v>176</v>
      </c>
      <c r="S90" s="13" t="s">
        <v>93</v>
      </c>
      <c r="T90" s="13" t="s">
        <v>94</v>
      </c>
      <c r="U90" s="14">
        <v>40725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  <c r="AF90" s="13"/>
      <c r="AG90" s="15"/>
      <c r="AH90" s="13"/>
      <c r="AI90" s="15"/>
      <c r="AJ90" s="13"/>
      <c r="AK90" s="15"/>
      <c r="AL90" s="13"/>
      <c r="AM90" s="15"/>
      <c r="AN90" s="13"/>
      <c r="AO90" s="15"/>
      <c r="AP90" s="13"/>
      <c r="AQ90" s="15"/>
      <c r="AR90" s="13"/>
      <c r="AS90" s="15"/>
      <c r="AT90" s="13"/>
      <c r="AU90" s="15"/>
      <c r="AV90" s="13"/>
      <c r="AW90" s="15"/>
      <c r="AX90" s="13"/>
      <c r="AY90" s="15"/>
      <c r="AZ90" s="13"/>
      <c r="BA90" s="15"/>
      <c r="BB90" s="13"/>
      <c r="BC90" s="15"/>
      <c r="BD90" s="13"/>
      <c r="BE90" s="15"/>
      <c r="BF90" s="13"/>
      <c r="BG90" s="15"/>
      <c r="BH90" s="13"/>
      <c r="BI90" s="15"/>
      <c r="BJ90" s="13"/>
      <c r="BK90" s="15"/>
      <c r="BL90" s="13"/>
      <c r="BM90" s="15"/>
      <c r="BN90" s="13"/>
      <c r="BO90" s="15"/>
      <c r="BP90" s="13"/>
      <c r="BQ90" s="15"/>
      <c r="BR90" s="13"/>
      <c r="BS90" s="15"/>
      <c r="BT90" s="13"/>
      <c r="BU90" s="15"/>
      <c r="BV90" s="13"/>
      <c r="BW90" s="15"/>
    </row>
    <row r="91" spans="1:75" ht="101.5" x14ac:dyDescent="0.35">
      <c r="A91" s="13" t="s">
        <v>238</v>
      </c>
      <c r="B91" s="13" t="s">
        <v>109</v>
      </c>
      <c r="C91" s="14">
        <v>44368.708333333336</v>
      </c>
      <c r="D91" s="13" t="s">
        <v>78</v>
      </c>
      <c r="E91" s="15" t="s">
        <v>79</v>
      </c>
      <c r="F91" s="13" t="s">
        <v>80</v>
      </c>
      <c r="G91" s="15" t="s">
        <v>81</v>
      </c>
      <c r="H91" s="13" t="s">
        <v>268</v>
      </c>
      <c r="I91" s="15" t="s">
        <v>269</v>
      </c>
      <c r="J91" s="15" t="s">
        <v>270</v>
      </c>
      <c r="K91" s="15" t="s">
        <v>271</v>
      </c>
      <c r="L91" s="13" t="s">
        <v>272</v>
      </c>
      <c r="M91" s="15" t="s">
        <v>273</v>
      </c>
      <c r="N91" s="13" t="s">
        <v>88</v>
      </c>
      <c r="O91" s="15" t="s">
        <v>89</v>
      </c>
      <c r="P91" s="15" t="s">
        <v>90</v>
      </c>
      <c r="Q91" s="15" t="s">
        <v>177</v>
      </c>
      <c r="R91" s="13" t="s">
        <v>178</v>
      </c>
      <c r="S91" s="13" t="s">
        <v>179</v>
      </c>
      <c r="T91" s="13" t="s">
        <v>112</v>
      </c>
      <c r="U91" s="14">
        <v>40725</v>
      </c>
      <c r="V91" s="14"/>
      <c r="W91" s="15" t="s">
        <v>284</v>
      </c>
      <c r="X91" s="13" t="s">
        <v>181</v>
      </c>
      <c r="Y91" s="15" t="str">
        <f>VLOOKUP(X91,'Axe 2 Règles de gestion'!$D$2:$F$146,3, FALSE)</f>
        <v>L'agent doit présenter une demande de congé sans traitement.</v>
      </c>
      <c r="Z91" s="13" t="s">
        <v>182</v>
      </c>
      <c r="AA91" s="15" t="str">
        <f>VLOOKUP(Z91,'Axe 2 Règles de gestion'!$D$2:$F$146,3, FALSE)</f>
        <v>La demande est accordée de droit par le supérieur hiérarchique.</v>
      </c>
      <c r="AB91" s="13"/>
      <c r="AC91" s="15"/>
      <c r="AD91" s="13"/>
      <c r="AE91" s="15"/>
      <c r="AF91" s="13" t="s">
        <v>183</v>
      </c>
      <c r="AG91" s="15" t="str">
        <f>VLOOKUP(AF91,'Axe 2 Règles de gestion'!$D$2:$F$146,3, FALSE)</f>
        <v>La durée prévisionnelle maximale de chaque période est de un an.</v>
      </c>
      <c r="AH91" s="13" t="s">
        <v>184</v>
      </c>
      <c r="AI91" s="15" t="str">
        <f>VLOOKUP(AH91,'Axe 2 Règles de gestion'!$D$2:$F$146,3, FALSE)</f>
        <v>La durée réelle maximale de chaque période est de un an.</v>
      </c>
      <c r="AJ91" s="13" t="s">
        <v>185</v>
      </c>
      <c r="AK91" s="15" t="str">
        <f>VLOOKUP(AJ91,'Axe 2 Règles de gestion'!$D$2:$F$146,3, FALSE)</f>
        <v>L'agent ne peut pas bénéficier de plus de 3 ans cumulés de congé sans traitement quels que soient les motifs de congés sans traitement : pour raisons personnelles ou familiales.</v>
      </c>
      <c r="AL91" s="13" t="s">
        <v>285</v>
      </c>
      <c r="AM91" s="15" t="str">
        <f>VLOOKUP(AL91,'Axe 2 Règles de gestion'!$D$2:$F$146,3, FALSE)</f>
        <v>L'agent doit avoir un enfant lié à cette position.</v>
      </c>
      <c r="AN91" s="13"/>
      <c r="AO91" s="15"/>
      <c r="AP91" s="13" t="s">
        <v>128</v>
      </c>
      <c r="AQ91" s="15" t="str">
        <f>VLOOKUP(AP91,'Axe 2 Règles de gestion'!$D$2:$F$146,3, FALSE)</f>
        <v>Lors de la demande initiale, l'agent doit être en activité.</v>
      </c>
      <c r="AR91" s="13" t="s">
        <v>130</v>
      </c>
      <c r="AS91" s="15" t="str">
        <f>VLOOKUP(AR91,'Axe 2 Règles de gestion'!$D$2:$F$146,3, FALSE)</f>
        <v>La date de début de la position doit être postérieure ou égale à la date d'entrée dans la FPE ou dans la carrière militaire.</v>
      </c>
      <c r="AT91" s="13" t="s">
        <v>132</v>
      </c>
      <c r="AU91" s="15" t="str">
        <f>VLOOKUP(AT91,'Axe 2 Règles de gestion'!$D$2:$F$146,3, FALSE)</f>
        <v>La date de début de position est à J+1 de la date de fin de position de l'occurrence précédente.</v>
      </c>
      <c r="AV91" s="13" t="s">
        <v>134</v>
      </c>
      <c r="AW91" s="15" t="str">
        <f>VLOOKUP(AV91,'Axe 2 Règles de gestion'!$D$2:$F$146,3, FALSE)</f>
        <v>La date de début de position doit être antérieure ou égale à la date de fin prévisionnelle de position.</v>
      </c>
      <c r="AX91" s="13" t="s">
        <v>136</v>
      </c>
      <c r="AY91" s="15" t="str">
        <f>VLOOKUP(AX91,'Axe 2 Règles de gestion'!$D$2:$F$146,3, FALSE)</f>
        <v>La date de début de position doit être antérieure ou égale à la date de fin réelle de position.</v>
      </c>
      <c r="AZ91" s="13" t="s">
        <v>138</v>
      </c>
      <c r="BA91" s="15" t="str">
        <f>VLOOKUP(AZ91,'Axe 2 Règles de gestion'!$D$2:$F$146,3, FALSE)</f>
        <v>La date de fin prévisionnelle de la position doit être antérieure à la date limite de départ à la retraite.</v>
      </c>
      <c r="BB91" s="13" t="s">
        <v>140</v>
      </c>
      <c r="BC91" s="15" t="str">
        <f>VLOOKUP(BB91,'Axe 2 Règles de gestion'!$D$2:$F$146,3, FALSE)</f>
        <v>La date de fin réelle de la position doit être antérieure à la date limite de départ à la retraite.</v>
      </c>
      <c r="BD91" s="13" t="s">
        <v>142</v>
      </c>
      <c r="BE91" s="15" t="str">
        <f>VLOOKUP(BD91,'Axe 2 Règles de gestion'!$D$2:$F$146,3, FALSE)</f>
        <v>La date de fin ou la date de fin prévisionnelle doit être saisie.</v>
      </c>
      <c r="BF91" s="13" t="s">
        <v>144</v>
      </c>
      <c r="BG91" s="15" t="str">
        <f>VLOOKUP(BF91,'Axe 2 Règles de gestion'!$D$2:$F$146,3, FALSE)</f>
        <v>Le lien vers l'enfant doit être renseigné.</v>
      </c>
      <c r="BH91" s="13" t="s">
        <v>148</v>
      </c>
      <c r="BI91" s="15" t="str">
        <f>VLOOKUP(BH91,'Axe 2 Règles de gestion'!$D$2:$F$146,3, FALSE)</f>
        <v>La date de fin réelle de la position doit être antérieure ou égale à la date de décès de l'enfant.</v>
      </c>
      <c r="BJ91" s="13" t="s">
        <v>150</v>
      </c>
      <c r="BK91" s="15" t="str">
        <f>VLOOKUP(BJ91,'Axe 2 Règles de gestion'!$D$2:$F$146,3, FALSE)</f>
        <v>La date de fin prévisionnelle de la position doit être antérieure ou égale à la date de décès de l'enfant.</v>
      </c>
      <c r="BL91" s="13" t="s">
        <v>152</v>
      </c>
      <c r="BM91" s="15" t="str">
        <f>VLOOKUP(BL91,'Axe 2 Règles de gestion'!$D$2:$F$146,3, FALSE)</f>
        <v>La saisie d'une occurrence de congés/absences est interdite (date de fin réelle)</v>
      </c>
      <c r="BN91" s="13" t="s">
        <v>154</v>
      </c>
      <c r="BO91" s="15" t="str">
        <f>VLOOKUP(BN91,'Axe 2 Règles de gestion'!$D$2:$F$146,3, FALSE)</f>
        <v>La saisie d'une occurrence de congés/absences est interdite (date de fin prévisionnelle)</v>
      </c>
      <c r="BP91" s="13"/>
      <c r="BQ91" s="15"/>
      <c r="BR91" s="13"/>
      <c r="BS91" s="15"/>
      <c r="BT91" s="13"/>
      <c r="BU91" s="15"/>
      <c r="BV91" s="13"/>
      <c r="BW91" s="15"/>
    </row>
    <row r="92" spans="1:75" ht="101.5" x14ac:dyDescent="0.35">
      <c r="A92" s="13" t="s">
        <v>238</v>
      </c>
      <c r="B92" s="13" t="s">
        <v>109</v>
      </c>
      <c r="C92" s="14">
        <v>44368.708333333336</v>
      </c>
      <c r="D92" s="13" t="s">
        <v>78</v>
      </c>
      <c r="E92" s="15" t="s">
        <v>79</v>
      </c>
      <c r="F92" s="13" t="s">
        <v>80</v>
      </c>
      <c r="G92" s="15" t="s">
        <v>81</v>
      </c>
      <c r="H92" s="13" t="s">
        <v>268</v>
      </c>
      <c r="I92" s="15" t="s">
        <v>269</v>
      </c>
      <c r="J92" s="15" t="s">
        <v>270</v>
      </c>
      <c r="K92" s="15" t="s">
        <v>271</v>
      </c>
      <c r="L92" s="13" t="s">
        <v>274</v>
      </c>
      <c r="M92" s="15" t="s">
        <v>275</v>
      </c>
      <c r="N92" s="13" t="s">
        <v>88</v>
      </c>
      <c r="O92" s="15" t="s">
        <v>97</v>
      </c>
      <c r="P92" s="15" t="s">
        <v>98</v>
      </c>
      <c r="Q92" s="15" t="s">
        <v>177</v>
      </c>
      <c r="R92" s="13" t="s">
        <v>178</v>
      </c>
      <c r="S92" s="13" t="s">
        <v>179</v>
      </c>
      <c r="T92" s="13" t="s">
        <v>112</v>
      </c>
      <c r="U92" s="14">
        <v>40725</v>
      </c>
      <c r="V92" s="14"/>
      <c r="W92" s="15" t="s">
        <v>286</v>
      </c>
      <c r="X92" s="13" t="s">
        <v>192</v>
      </c>
      <c r="Y92" s="15" t="str">
        <f>VLOOKUP(X92,'Axe 2 Règles de gestion'!$D$2:$F$146,3, FALSE)</f>
        <v>L'agent peut renouveler le congé sans traitement 2 fois.</v>
      </c>
      <c r="Z92" s="13"/>
      <c r="AA92" s="15"/>
      <c r="AB92" s="13"/>
      <c r="AC92" s="15"/>
      <c r="AD92" s="13"/>
      <c r="AE92" s="15"/>
      <c r="AF92" s="13" t="s">
        <v>183</v>
      </c>
      <c r="AG92" s="15" t="str">
        <f>VLOOKUP(AF92,'Axe 2 Règles de gestion'!$D$2:$F$146,3, FALSE)</f>
        <v>La durée prévisionnelle maximale de chaque période est de un an.</v>
      </c>
      <c r="AH92" s="13" t="s">
        <v>184</v>
      </c>
      <c r="AI92" s="15" t="str">
        <f>VLOOKUP(AH92,'Axe 2 Règles de gestion'!$D$2:$F$146,3, FALSE)</f>
        <v>La durée réelle maximale de chaque période est de un an.</v>
      </c>
      <c r="AJ92" s="13" t="s">
        <v>185</v>
      </c>
      <c r="AK92" s="15" t="str">
        <f>VLOOKUP(AJ92,'Axe 2 Règles de gestion'!$D$2:$F$146,3, FALSE)</f>
        <v>L'agent ne peut pas bénéficier de plus de 3 ans cumulés de congé sans traitement quels que soient les motifs de congés sans traitement : pour raisons personnelles ou familiales.</v>
      </c>
      <c r="AL92" s="13" t="s">
        <v>285</v>
      </c>
      <c r="AM92" s="15" t="str">
        <f>VLOOKUP(AL92,'Axe 2 Règles de gestion'!$D$2:$F$146,3, FALSE)</f>
        <v>L'agent doit avoir un enfant lié à cette position.</v>
      </c>
      <c r="AN92" s="13"/>
      <c r="AO92" s="15"/>
      <c r="AP92" s="13" t="s">
        <v>130</v>
      </c>
      <c r="AQ92" s="15" t="str">
        <f>VLOOKUP(AP92,'Axe 2 Règles de gestion'!$D$2:$F$146,3, FALSE)</f>
        <v>La date de début de la position doit être postérieure ou égale à la date d'entrée dans la FPE ou dans la carrière militaire.</v>
      </c>
      <c r="AR92" s="13" t="s">
        <v>132</v>
      </c>
      <c r="AS92" s="15" t="str">
        <f>VLOOKUP(AR92,'Axe 2 Règles de gestion'!$D$2:$F$146,3, FALSE)</f>
        <v>La date de début de position est à J+1 de la date de fin de position de l'occurrence précédente.</v>
      </c>
      <c r="AT92" s="13" t="s">
        <v>134</v>
      </c>
      <c r="AU92" s="15" t="str">
        <f>VLOOKUP(AT92,'Axe 2 Règles de gestion'!$D$2:$F$146,3, FALSE)</f>
        <v>La date de début de position doit être antérieure ou égale à la date de fin prévisionnelle de position.</v>
      </c>
      <c r="AV92" s="13" t="s">
        <v>136</v>
      </c>
      <c r="AW92" s="15" t="str">
        <f>VLOOKUP(AV92,'Axe 2 Règles de gestion'!$D$2:$F$146,3, FALSE)</f>
        <v>La date de début de position doit être antérieure ou égale à la date de fin réelle de position.</v>
      </c>
      <c r="AX92" s="13" t="s">
        <v>138</v>
      </c>
      <c r="AY92" s="15" t="str">
        <f>VLOOKUP(AX92,'Axe 2 Règles de gestion'!$D$2:$F$146,3, FALSE)</f>
        <v>La date de fin prévisionnelle de la position doit être antérieure à la date limite de départ à la retraite.</v>
      </c>
      <c r="AZ92" s="13" t="s">
        <v>140</v>
      </c>
      <c r="BA92" s="15" t="str">
        <f>VLOOKUP(AZ92,'Axe 2 Règles de gestion'!$D$2:$F$146,3, FALSE)</f>
        <v>La date de fin réelle de la position doit être antérieure à la date limite de départ à la retraite.</v>
      </c>
      <c r="BB92" s="13" t="s">
        <v>142</v>
      </c>
      <c r="BC92" s="15" t="str">
        <f>VLOOKUP(BB92,'Axe 2 Règles de gestion'!$D$2:$F$146,3, FALSE)</f>
        <v>La date de fin ou la date de fin prévisionnelle doit être saisie.</v>
      </c>
      <c r="BD92" s="13" t="s">
        <v>144</v>
      </c>
      <c r="BE92" s="15" t="str">
        <f>VLOOKUP(BD92,'Axe 2 Règles de gestion'!$D$2:$F$146,3, FALSE)</f>
        <v>Le lien vers l'enfant doit être renseigné.</v>
      </c>
      <c r="BF92" s="13" t="s">
        <v>148</v>
      </c>
      <c r="BG92" s="15" t="str">
        <f>VLOOKUP(BF92,'Axe 2 Règles de gestion'!$D$2:$F$146,3, FALSE)</f>
        <v>La date de fin réelle de la position doit être antérieure ou égale à la date de décès de l'enfant.</v>
      </c>
      <c r="BH92" s="13" t="s">
        <v>150</v>
      </c>
      <c r="BI92" s="15" t="str">
        <f>VLOOKUP(BH92,'Axe 2 Règles de gestion'!$D$2:$F$146,3, FALSE)</f>
        <v>La date de fin prévisionnelle de la position doit être antérieure ou égale à la date de décès de l'enfant.</v>
      </c>
      <c r="BJ92" s="13" t="s">
        <v>152</v>
      </c>
      <c r="BK92" s="15" t="str">
        <f>VLOOKUP(BJ92,'Axe 2 Règles de gestion'!$D$2:$F$146,3, FALSE)</f>
        <v>La saisie d'une occurrence de congés/absences est interdite (date de fin réelle)</v>
      </c>
      <c r="BL92" s="13" t="s">
        <v>154</v>
      </c>
      <c r="BM92" s="15" t="str">
        <f>VLOOKUP(BL92,'Axe 2 Règles de gestion'!$D$2:$F$146,3, FALSE)</f>
        <v>La saisie d'une occurrence de congés/absences est interdite (date de fin prévisionnelle)</v>
      </c>
      <c r="BN92" s="13"/>
      <c r="BO92" s="15"/>
      <c r="BP92" s="13"/>
      <c r="BQ92" s="15"/>
      <c r="BR92" s="13"/>
      <c r="BS92" s="15"/>
      <c r="BT92" s="13"/>
      <c r="BU92" s="15"/>
      <c r="BV92" s="13"/>
      <c r="BW92" s="15"/>
    </row>
    <row r="93" spans="1:75" ht="130.5" x14ac:dyDescent="0.35">
      <c r="A93" s="13" t="s">
        <v>165</v>
      </c>
      <c r="B93" s="13" t="s">
        <v>109</v>
      </c>
      <c r="C93" s="14">
        <v>44715.633333333331</v>
      </c>
      <c r="D93" s="13" t="s">
        <v>78</v>
      </c>
      <c r="E93" s="15" t="s">
        <v>79</v>
      </c>
      <c r="F93" s="13" t="s">
        <v>80</v>
      </c>
      <c r="G93" s="15" t="s">
        <v>81</v>
      </c>
      <c r="H93" s="13" t="s">
        <v>268</v>
      </c>
      <c r="I93" s="15" t="s">
        <v>269</v>
      </c>
      <c r="J93" s="15" t="s">
        <v>270</v>
      </c>
      <c r="K93" s="15" t="s">
        <v>271</v>
      </c>
      <c r="L93" s="13" t="s">
        <v>276</v>
      </c>
      <c r="M93" s="15" t="s">
        <v>277</v>
      </c>
      <c r="N93" s="13" t="s">
        <v>101</v>
      </c>
      <c r="O93" s="15" t="s">
        <v>102</v>
      </c>
      <c r="P93" s="15" t="s">
        <v>103</v>
      </c>
      <c r="Q93" s="15" t="s">
        <v>177</v>
      </c>
      <c r="R93" s="13" t="s">
        <v>178</v>
      </c>
      <c r="S93" s="13" t="s">
        <v>179</v>
      </c>
      <c r="T93" s="13" t="s">
        <v>112</v>
      </c>
      <c r="U93" s="14">
        <v>40725</v>
      </c>
      <c r="V93" s="14">
        <v>44633</v>
      </c>
      <c r="W93" s="15" t="s">
        <v>287</v>
      </c>
      <c r="X93" s="13" t="s">
        <v>195</v>
      </c>
      <c r="Y93" s="15" t="str">
        <f>VLOOKUP(X93,'Axe 2 Règles de gestion'!$D$2:$F$146,3, FALSE)</f>
        <v>L'agent doit demander à reprendre ses fonctions 2 mois au moins avant l'expiration du congé en cours.</v>
      </c>
      <c r="Z93" s="13" t="s">
        <v>197</v>
      </c>
      <c r="AA93" s="15" t="str">
        <f>VLOOKUP(Z93,'Axe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93" s="13"/>
      <c r="AC93" s="15"/>
      <c r="AD93" s="13"/>
      <c r="AE93" s="15"/>
      <c r="AF93" s="13" t="s">
        <v>183</v>
      </c>
      <c r="AG93" s="15" t="str">
        <f>VLOOKUP(AF93,'Axe 2 Règles de gestion'!$D$2:$F$146,3, FALSE)</f>
        <v>La durée prévisionnelle maximale de chaque période est de un an.</v>
      </c>
      <c r="AH93" s="13" t="s">
        <v>184</v>
      </c>
      <c r="AI93" s="15" t="str">
        <f>VLOOKUP(AH93,'Axe 2 Règles de gestion'!$D$2:$F$146,3, FALSE)</f>
        <v>La durée réelle maximale de chaque période est de un an.</v>
      </c>
      <c r="AJ93" s="13" t="s">
        <v>185</v>
      </c>
      <c r="AK93" s="15" t="str">
        <f>VLOOKUP(AJ93,'Axe 2 Règles de gestion'!$D$2:$F$146,3, FALSE)</f>
        <v>L'agent ne peut pas bénéficier de plus de 3 ans cumulés de congé sans traitement quels que soient les motifs de congés sans traitement : pour raisons personnelles ou familiales.</v>
      </c>
      <c r="AL93" s="13" t="s">
        <v>285</v>
      </c>
      <c r="AM93" s="15" t="str">
        <f>VLOOKUP(AL93,'Axe 2 Règles de gestion'!$D$2:$F$146,3, FALSE)</f>
        <v>L'agent doit avoir un enfant lié à cette position.</v>
      </c>
      <c r="AN93" s="13"/>
      <c r="AO93" s="15"/>
      <c r="AP93" s="13" t="s">
        <v>134</v>
      </c>
      <c r="AQ93" s="15" t="str">
        <f>VLOOKUP(AP93,'Axe 2 Règles de gestion'!$D$2:$F$146,3, FALSE)</f>
        <v>La date de début de position doit être antérieure ou égale à la date de fin prévisionnelle de position.</v>
      </c>
      <c r="AR93" s="13" t="s">
        <v>136</v>
      </c>
      <c r="AS93" s="15" t="str">
        <f>VLOOKUP(AR93,'Axe 2 Règles de gestion'!$D$2:$F$146,3, FALSE)</f>
        <v>La date de début de position doit être antérieure ou égale à la date de fin réelle de position.</v>
      </c>
      <c r="AT93" s="13" t="s">
        <v>138</v>
      </c>
      <c r="AU93" s="15" t="str">
        <f>VLOOKUP(AT93,'Axe 2 Règles de gestion'!$D$2:$F$146,3, FALSE)</f>
        <v>La date de fin prévisionnelle de la position doit être antérieure à la date limite de départ à la retraite.</v>
      </c>
      <c r="AV93" s="13" t="s">
        <v>140</v>
      </c>
      <c r="AW93" s="15" t="str">
        <f>VLOOKUP(AV93,'Axe 2 Règles de gestion'!$D$2:$F$146,3, FALSE)</f>
        <v>La date de fin réelle de la position doit être antérieure à la date limite de départ à la retraite.</v>
      </c>
      <c r="AX93" s="13" t="s">
        <v>142</v>
      </c>
      <c r="AY93" s="15" t="str">
        <f>VLOOKUP(AX93,'Axe 2 Règles de gestion'!$D$2:$F$146,3, FALSE)</f>
        <v>La date de fin ou la date de fin prévisionnelle doit être saisie.</v>
      </c>
      <c r="AZ93" s="13" t="s">
        <v>144</v>
      </c>
      <c r="BA93" s="15" t="str">
        <f>VLOOKUP(AZ93,'Axe 2 Règles de gestion'!$D$2:$F$146,3, FALSE)</f>
        <v>Le lien vers l'enfant doit être renseigné.</v>
      </c>
      <c r="BB93" s="13" t="s">
        <v>148</v>
      </c>
      <c r="BC93" s="15" t="str">
        <f>VLOOKUP(BB93,'Axe 2 Règles de gestion'!$D$2:$F$146,3, FALSE)</f>
        <v>La date de fin réelle de la position doit être antérieure ou égale à la date de décès de l'enfant.</v>
      </c>
      <c r="BD93" s="13" t="s">
        <v>150</v>
      </c>
      <c r="BE93" s="15" t="str">
        <f>VLOOKUP(BD93,'Axe 2 Règles de gestion'!$D$2:$F$146,3, FALSE)</f>
        <v>La date de fin prévisionnelle de la position doit être antérieure ou égale à la date de décès de l'enfant.</v>
      </c>
      <c r="BF93" s="13" t="s">
        <v>152</v>
      </c>
      <c r="BG93" s="15" t="str">
        <f>VLOOKUP(BF93,'Axe 2 Règles de gestion'!$D$2:$F$146,3, FALSE)</f>
        <v>La saisie d'une occurrence de congés/absences est interdite (date de fin réelle)</v>
      </c>
      <c r="BH93" s="13" t="s">
        <v>154</v>
      </c>
      <c r="BI93" s="15" t="str">
        <f>VLOOKUP(BH93,'Axe 2 Règles de gestion'!$D$2:$F$146,3, FALSE)</f>
        <v>La saisie d'une occurrence de congés/absences est interdite (date de fin prévisionnelle)</v>
      </c>
      <c r="BJ93" s="13"/>
      <c r="BK93" s="15"/>
      <c r="BL93" s="13"/>
      <c r="BM93" s="15"/>
      <c r="BN93" s="13"/>
      <c r="BO93" s="15"/>
      <c r="BP93" s="13"/>
      <c r="BQ93" s="15"/>
      <c r="BR93" s="13"/>
      <c r="BS93" s="15"/>
      <c r="BT93" s="13"/>
      <c r="BU93" s="15"/>
      <c r="BV93" s="13"/>
      <c r="BW93" s="15"/>
    </row>
    <row r="94" spans="1:75" ht="145" x14ac:dyDescent="0.35">
      <c r="A94" s="13" t="s">
        <v>165</v>
      </c>
      <c r="B94" s="13" t="s">
        <v>77</v>
      </c>
      <c r="C94" s="14">
        <v>44715.634027777778</v>
      </c>
      <c r="D94" s="13" t="s">
        <v>78</v>
      </c>
      <c r="E94" s="15" t="s">
        <v>79</v>
      </c>
      <c r="F94" s="13" t="s">
        <v>80</v>
      </c>
      <c r="G94" s="15" t="s">
        <v>81</v>
      </c>
      <c r="H94" s="13" t="s">
        <v>268</v>
      </c>
      <c r="I94" s="15" t="s">
        <v>269</v>
      </c>
      <c r="J94" s="15" t="s">
        <v>270</v>
      </c>
      <c r="K94" s="15" t="s">
        <v>271</v>
      </c>
      <c r="L94" s="13" t="s">
        <v>276</v>
      </c>
      <c r="M94" s="15" t="s">
        <v>277</v>
      </c>
      <c r="N94" s="13" t="s">
        <v>101</v>
      </c>
      <c r="O94" s="15" t="s">
        <v>102</v>
      </c>
      <c r="P94" s="15" t="s">
        <v>103</v>
      </c>
      <c r="Q94" s="15" t="s">
        <v>177</v>
      </c>
      <c r="R94" s="13" t="s">
        <v>178</v>
      </c>
      <c r="S94" s="13" t="s">
        <v>179</v>
      </c>
      <c r="T94" s="13" t="s">
        <v>112</v>
      </c>
      <c r="U94" s="14">
        <v>44634</v>
      </c>
      <c r="V94" s="14"/>
      <c r="W94" s="15" t="s">
        <v>288</v>
      </c>
      <c r="X94" s="13" t="s">
        <v>195</v>
      </c>
      <c r="Y94" s="15" t="str">
        <f>VLOOKUP(X94,'Axe 2 Règles de gestion'!$D$2:$F$146,3, FALSE)</f>
        <v>L'agent doit demander à reprendre ses fonctions 2 mois au moins avant l'expiration du congé en cours.</v>
      </c>
      <c r="Z94" s="13" t="s">
        <v>199</v>
      </c>
      <c r="AA94" s="15" t="str">
        <f>VLOOKUP(Z94,'Axe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94" s="13"/>
      <c r="AC94" s="15"/>
      <c r="AD94" s="13"/>
      <c r="AE94" s="15"/>
      <c r="AF94" s="13" t="s">
        <v>183</v>
      </c>
      <c r="AG94" s="15" t="str">
        <f>VLOOKUP(AF94,'Axe 2 Règles de gestion'!$D$2:$F$146,3, FALSE)</f>
        <v>La durée prévisionnelle maximale de chaque période est de un an.</v>
      </c>
      <c r="AH94" s="13" t="s">
        <v>184</v>
      </c>
      <c r="AI94" s="15" t="str">
        <f>VLOOKUP(AH94,'Axe 2 Règles de gestion'!$D$2:$F$146,3, FALSE)</f>
        <v>La durée réelle maximale de chaque période est de un an.</v>
      </c>
      <c r="AJ94" s="13" t="s">
        <v>185</v>
      </c>
      <c r="AK94" s="15" t="str">
        <f>VLOOKUP(AJ94,'Axe 2 Règles de gestion'!$D$2:$F$146,3, FALSE)</f>
        <v>L'agent ne peut pas bénéficier de plus de 3 ans cumulés de congé sans traitement quels que soient les motifs de congés sans traitement : pour raisons personnelles ou familiales.</v>
      </c>
      <c r="AL94" s="13" t="s">
        <v>285</v>
      </c>
      <c r="AM94" s="15" t="str">
        <f>VLOOKUP(AL94,'Axe 2 Règles de gestion'!$D$2:$F$146,3, FALSE)</f>
        <v>L'agent doit avoir un enfant lié à cette position.</v>
      </c>
      <c r="AN94" s="13"/>
      <c r="AO94" s="15"/>
      <c r="AP94" s="13" t="s">
        <v>134</v>
      </c>
      <c r="AQ94" s="15" t="str">
        <f>VLOOKUP(AP94,'Axe 2 Règles de gestion'!$D$2:$F$146,3, FALSE)</f>
        <v>La date de début de position doit être antérieure ou égale à la date de fin prévisionnelle de position.</v>
      </c>
      <c r="AR94" s="13" t="s">
        <v>136</v>
      </c>
      <c r="AS94" s="15" t="str">
        <f>VLOOKUP(AR94,'Axe 2 Règles de gestion'!$D$2:$F$146,3, FALSE)</f>
        <v>La date de début de position doit être antérieure ou égale à la date de fin réelle de position.</v>
      </c>
      <c r="AT94" s="13" t="s">
        <v>138</v>
      </c>
      <c r="AU94" s="15" t="str">
        <f>VLOOKUP(AT94,'Axe 2 Règles de gestion'!$D$2:$F$146,3, FALSE)</f>
        <v>La date de fin prévisionnelle de la position doit être antérieure à la date limite de départ à la retraite.</v>
      </c>
      <c r="AV94" s="13" t="s">
        <v>140</v>
      </c>
      <c r="AW94" s="15" t="str">
        <f>VLOOKUP(AV94,'Axe 2 Règles de gestion'!$D$2:$F$146,3, FALSE)</f>
        <v>La date de fin réelle de la position doit être antérieure à la date limite de départ à la retraite.</v>
      </c>
      <c r="AX94" s="13" t="s">
        <v>142</v>
      </c>
      <c r="AY94" s="15" t="str">
        <f>VLOOKUP(AX94,'Axe 2 Règles de gestion'!$D$2:$F$146,3, FALSE)</f>
        <v>La date de fin ou la date de fin prévisionnelle doit être saisie.</v>
      </c>
      <c r="AZ94" s="13" t="s">
        <v>144</v>
      </c>
      <c r="BA94" s="15" t="str">
        <f>VLOOKUP(AZ94,'Axe 2 Règles de gestion'!$D$2:$F$146,3, FALSE)</f>
        <v>Le lien vers l'enfant doit être renseigné.</v>
      </c>
      <c r="BB94" s="13" t="s">
        <v>148</v>
      </c>
      <c r="BC94" s="15" t="str">
        <f>VLOOKUP(BB94,'Axe 2 Règles de gestion'!$D$2:$F$146,3, FALSE)</f>
        <v>La date de fin réelle de la position doit être antérieure ou égale à la date de décès de l'enfant.</v>
      </c>
      <c r="BD94" s="13" t="s">
        <v>150</v>
      </c>
      <c r="BE94" s="15" t="str">
        <f>VLOOKUP(BD94,'Axe 2 Règles de gestion'!$D$2:$F$146,3, FALSE)</f>
        <v>La date de fin prévisionnelle de la position doit être antérieure ou égale à la date de décès de l'enfant.</v>
      </c>
      <c r="BF94" s="13" t="s">
        <v>152</v>
      </c>
      <c r="BG94" s="15" t="str">
        <f>VLOOKUP(BF94,'Axe 2 Règles de gestion'!$D$2:$F$146,3, FALSE)</f>
        <v>La saisie d'une occurrence de congés/absences est interdite (date de fin réelle)</v>
      </c>
      <c r="BH94" s="13" t="s">
        <v>154</v>
      </c>
      <c r="BI94" s="15" t="str">
        <f>VLOOKUP(BH94,'Axe 2 Règles de gestion'!$D$2:$F$146,3, FALSE)</f>
        <v>La saisie d'une occurrence de congés/absences est interdite (date de fin prévisionnelle)</v>
      </c>
      <c r="BJ94" s="13"/>
      <c r="BK94" s="15"/>
      <c r="BL94" s="13"/>
      <c r="BM94" s="15"/>
      <c r="BN94" s="13"/>
      <c r="BO94" s="15"/>
      <c r="BP94" s="13"/>
      <c r="BQ94" s="15"/>
      <c r="BR94" s="13"/>
      <c r="BS94" s="15"/>
      <c r="BT94" s="13"/>
      <c r="BU94" s="15"/>
      <c r="BV94" s="13"/>
      <c r="BW94" s="15"/>
    </row>
    <row r="95" spans="1:75" ht="87" x14ac:dyDescent="0.35">
      <c r="A95" s="13" t="s">
        <v>76</v>
      </c>
      <c r="B95" s="13" t="s">
        <v>77</v>
      </c>
      <c r="C95" s="14">
        <v>43152.5</v>
      </c>
      <c r="D95" s="13" t="s">
        <v>78</v>
      </c>
      <c r="E95" s="15" t="s">
        <v>79</v>
      </c>
      <c r="F95" s="13" t="s">
        <v>80</v>
      </c>
      <c r="G95" s="15" t="s">
        <v>81</v>
      </c>
      <c r="H95" s="13" t="s">
        <v>289</v>
      </c>
      <c r="I95" s="15" t="s">
        <v>290</v>
      </c>
      <c r="J95" s="15" t="s">
        <v>291</v>
      </c>
      <c r="K95" s="15" t="s">
        <v>292</v>
      </c>
      <c r="L95" s="13" t="s">
        <v>293</v>
      </c>
      <c r="M95" s="15" t="s">
        <v>294</v>
      </c>
      <c r="N95" s="13" t="s">
        <v>88</v>
      </c>
      <c r="O95" s="15" t="s">
        <v>89</v>
      </c>
      <c r="P95" s="15" t="s">
        <v>90</v>
      </c>
      <c r="Q95" s="15" t="s">
        <v>91</v>
      </c>
      <c r="R95" s="13" t="s">
        <v>92</v>
      </c>
      <c r="S95" s="13" t="s">
        <v>93</v>
      </c>
      <c r="T95" s="13" t="s">
        <v>94</v>
      </c>
      <c r="U95" s="14">
        <v>40725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5"/>
      <c r="AP95" s="13"/>
      <c r="AQ95" s="15"/>
      <c r="AR95" s="13"/>
      <c r="AS95" s="15"/>
      <c r="AT95" s="13"/>
      <c r="AU95" s="15"/>
      <c r="AV95" s="13"/>
      <c r="AW95" s="15"/>
      <c r="AX95" s="13"/>
      <c r="AY95" s="15"/>
      <c r="AZ95" s="13"/>
      <c r="BA95" s="15"/>
      <c r="BB95" s="13"/>
      <c r="BC95" s="15"/>
      <c r="BD95" s="13"/>
      <c r="BE95" s="15"/>
      <c r="BF95" s="13"/>
      <c r="BG95" s="15"/>
      <c r="BH95" s="13"/>
      <c r="BI95" s="15"/>
      <c r="BJ95" s="13"/>
      <c r="BK95" s="15"/>
      <c r="BL95" s="13"/>
      <c r="BM95" s="15"/>
      <c r="BN95" s="13"/>
      <c r="BO95" s="15"/>
      <c r="BP95" s="13"/>
      <c r="BQ95" s="15"/>
      <c r="BR95" s="13"/>
      <c r="BS95" s="15"/>
      <c r="BT95" s="13"/>
      <c r="BU95" s="15"/>
      <c r="BV95" s="13"/>
      <c r="BW95" s="15"/>
    </row>
    <row r="96" spans="1:75" ht="87" x14ac:dyDescent="0.35">
      <c r="A96" s="13" t="s">
        <v>76</v>
      </c>
      <c r="B96" s="13" t="s">
        <v>77</v>
      </c>
      <c r="C96" s="14">
        <v>43152.5</v>
      </c>
      <c r="D96" s="13" t="s">
        <v>78</v>
      </c>
      <c r="E96" s="15" t="s">
        <v>79</v>
      </c>
      <c r="F96" s="13" t="s">
        <v>80</v>
      </c>
      <c r="G96" s="15" t="s">
        <v>81</v>
      </c>
      <c r="H96" s="13" t="s">
        <v>289</v>
      </c>
      <c r="I96" s="15" t="s">
        <v>290</v>
      </c>
      <c r="J96" s="15" t="s">
        <v>291</v>
      </c>
      <c r="K96" s="15" t="s">
        <v>292</v>
      </c>
      <c r="L96" s="13" t="s">
        <v>295</v>
      </c>
      <c r="M96" s="15" t="s">
        <v>296</v>
      </c>
      <c r="N96" s="13" t="s">
        <v>88</v>
      </c>
      <c r="O96" s="15" t="s">
        <v>97</v>
      </c>
      <c r="P96" s="15" t="s">
        <v>98</v>
      </c>
      <c r="Q96" s="15" t="s">
        <v>91</v>
      </c>
      <c r="R96" s="13" t="s">
        <v>92</v>
      </c>
      <c r="S96" s="13" t="s">
        <v>93</v>
      </c>
      <c r="T96" s="13" t="s">
        <v>94</v>
      </c>
      <c r="U96" s="14">
        <v>40725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  <c r="AF96" s="13"/>
      <c r="AG96" s="15"/>
      <c r="AH96" s="13"/>
      <c r="AI96" s="15"/>
      <c r="AJ96" s="13"/>
      <c r="AK96" s="15"/>
      <c r="AL96" s="13"/>
      <c r="AM96" s="15"/>
      <c r="AN96" s="13"/>
      <c r="AO96" s="15"/>
      <c r="AP96" s="13"/>
      <c r="AQ96" s="15"/>
      <c r="AR96" s="13"/>
      <c r="AS96" s="15"/>
      <c r="AT96" s="13"/>
      <c r="AU96" s="15"/>
      <c r="AV96" s="13"/>
      <c r="AW96" s="15"/>
      <c r="AX96" s="13"/>
      <c r="AY96" s="15"/>
      <c r="AZ96" s="13"/>
      <c r="BA96" s="15"/>
      <c r="BB96" s="13"/>
      <c r="BC96" s="15"/>
      <c r="BD96" s="13"/>
      <c r="BE96" s="15"/>
      <c r="BF96" s="13"/>
      <c r="BG96" s="15"/>
      <c r="BH96" s="13"/>
      <c r="BI96" s="15"/>
      <c r="BJ96" s="13"/>
      <c r="BK96" s="15"/>
      <c r="BL96" s="13"/>
      <c r="BM96" s="15"/>
      <c r="BN96" s="13"/>
      <c r="BO96" s="15"/>
      <c r="BP96" s="13"/>
      <c r="BQ96" s="15"/>
      <c r="BR96" s="13"/>
      <c r="BS96" s="15"/>
      <c r="BT96" s="13"/>
      <c r="BU96" s="15"/>
      <c r="BV96" s="13"/>
      <c r="BW96" s="15"/>
    </row>
    <row r="97" spans="1:75" ht="87" x14ac:dyDescent="0.35">
      <c r="A97" s="13" t="s">
        <v>76</v>
      </c>
      <c r="B97" s="13" t="s">
        <v>77</v>
      </c>
      <c r="C97" s="14">
        <v>43152.5</v>
      </c>
      <c r="D97" s="13" t="s">
        <v>78</v>
      </c>
      <c r="E97" s="15" t="s">
        <v>79</v>
      </c>
      <c r="F97" s="13" t="s">
        <v>80</v>
      </c>
      <c r="G97" s="15" t="s">
        <v>81</v>
      </c>
      <c r="H97" s="13" t="s">
        <v>289</v>
      </c>
      <c r="I97" s="15" t="s">
        <v>290</v>
      </c>
      <c r="J97" s="15" t="s">
        <v>291</v>
      </c>
      <c r="K97" s="15" t="s">
        <v>292</v>
      </c>
      <c r="L97" s="13" t="s">
        <v>297</v>
      </c>
      <c r="M97" s="15" t="s">
        <v>298</v>
      </c>
      <c r="N97" s="13" t="s">
        <v>101</v>
      </c>
      <c r="O97" s="15" t="s">
        <v>102</v>
      </c>
      <c r="P97" s="15" t="s">
        <v>103</v>
      </c>
      <c r="Q97" s="15" t="s">
        <v>91</v>
      </c>
      <c r="R97" s="13" t="s">
        <v>92</v>
      </c>
      <c r="S97" s="13" t="s">
        <v>93</v>
      </c>
      <c r="T97" s="13" t="s">
        <v>94</v>
      </c>
      <c r="U97" s="14">
        <v>40725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5"/>
      <c r="AH97" s="13"/>
      <c r="AI97" s="15"/>
      <c r="AJ97" s="13"/>
      <c r="AK97" s="15"/>
      <c r="AL97" s="13"/>
      <c r="AM97" s="15"/>
      <c r="AN97" s="13"/>
      <c r="AO97" s="15"/>
      <c r="AP97" s="13"/>
      <c r="AQ97" s="15"/>
      <c r="AR97" s="13"/>
      <c r="AS97" s="15"/>
      <c r="AT97" s="13"/>
      <c r="AU97" s="15"/>
      <c r="AV97" s="13"/>
      <c r="AW97" s="15"/>
      <c r="AX97" s="13"/>
      <c r="AY97" s="15"/>
      <c r="AZ97" s="13"/>
      <c r="BA97" s="15"/>
      <c r="BB97" s="13"/>
      <c r="BC97" s="15"/>
      <c r="BD97" s="13"/>
      <c r="BE97" s="15"/>
      <c r="BF97" s="13"/>
      <c r="BG97" s="15"/>
      <c r="BH97" s="13"/>
      <c r="BI97" s="15"/>
      <c r="BJ97" s="13"/>
      <c r="BK97" s="15"/>
      <c r="BL97" s="13"/>
      <c r="BM97" s="15"/>
      <c r="BN97" s="13"/>
      <c r="BO97" s="15"/>
      <c r="BP97" s="13"/>
      <c r="BQ97" s="15"/>
      <c r="BR97" s="13"/>
      <c r="BS97" s="15"/>
      <c r="BT97" s="13"/>
      <c r="BU97" s="15"/>
      <c r="BV97" s="13"/>
      <c r="BW97" s="15"/>
    </row>
    <row r="98" spans="1:75" ht="87" x14ac:dyDescent="0.35">
      <c r="A98" s="13" t="s">
        <v>76</v>
      </c>
      <c r="B98" s="13" t="s">
        <v>77</v>
      </c>
      <c r="C98" s="14">
        <v>43152.5</v>
      </c>
      <c r="D98" s="13" t="s">
        <v>78</v>
      </c>
      <c r="E98" s="15" t="s">
        <v>79</v>
      </c>
      <c r="F98" s="13" t="s">
        <v>80</v>
      </c>
      <c r="G98" s="15" t="s">
        <v>81</v>
      </c>
      <c r="H98" s="13" t="s">
        <v>289</v>
      </c>
      <c r="I98" s="15" t="s">
        <v>290</v>
      </c>
      <c r="J98" s="15" t="s">
        <v>291</v>
      </c>
      <c r="K98" s="15" t="s">
        <v>292</v>
      </c>
      <c r="L98" s="13" t="s">
        <v>293</v>
      </c>
      <c r="M98" s="15" t="s">
        <v>294</v>
      </c>
      <c r="N98" s="13" t="s">
        <v>88</v>
      </c>
      <c r="O98" s="15" t="s">
        <v>89</v>
      </c>
      <c r="P98" s="15" t="s">
        <v>90</v>
      </c>
      <c r="Q98" s="15" t="s">
        <v>104</v>
      </c>
      <c r="R98" s="13" t="s">
        <v>105</v>
      </c>
      <c r="S98" s="13" t="s">
        <v>93</v>
      </c>
      <c r="T98" s="13" t="s">
        <v>94</v>
      </c>
      <c r="U98" s="14">
        <v>40725</v>
      </c>
      <c r="V98" s="14"/>
      <c r="W98" s="15"/>
      <c r="X98" s="13"/>
      <c r="Y98" s="15"/>
      <c r="Z98" s="13"/>
      <c r="AA98" s="15"/>
      <c r="AB98" s="13"/>
      <c r="AC98" s="15"/>
      <c r="AD98" s="13"/>
      <c r="AE98" s="15"/>
      <c r="AF98" s="13"/>
      <c r="AG98" s="15"/>
      <c r="AH98" s="13"/>
      <c r="AI98" s="15"/>
      <c r="AJ98" s="13"/>
      <c r="AK98" s="15"/>
      <c r="AL98" s="13"/>
      <c r="AM98" s="15"/>
      <c r="AN98" s="13"/>
      <c r="AO98" s="15"/>
      <c r="AP98" s="13"/>
      <c r="AQ98" s="15"/>
      <c r="AR98" s="13"/>
      <c r="AS98" s="15"/>
      <c r="AT98" s="13"/>
      <c r="AU98" s="15"/>
      <c r="AV98" s="13"/>
      <c r="AW98" s="15"/>
      <c r="AX98" s="13"/>
      <c r="AY98" s="15"/>
      <c r="AZ98" s="13"/>
      <c r="BA98" s="15"/>
      <c r="BB98" s="13"/>
      <c r="BC98" s="15"/>
      <c r="BD98" s="13"/>
      <c r="BE98" s="15"/>
      <c r="BF98" s="13"/>
      <c r="BG98" s="15"/>
      <c r="BH98" s="13"/>
      <c r="BI98" s="15"/>
      <c r="BJ98" s="13"/>
      <c r="BK98" s="15"/>
      <c r="BL98" s="13"/>
      <c r="BM98" s="15"/>
      <c r="BN98" s="13"/>
      <c r="BO98" s="15"/>
      <c r="BP98" s="13"/>
      <c r="BQ98" s="15"/>
      <c r="BR98" s="13"/>
      <c r="BS98" s="15"/>
      <c r="BT98" s="13"/>
      <c r="BU98" s="15"/>
      <c r="BV98" s="13"/>
      <c r="BW98" s="15"/>
    </row>
    <row r="99" spans="1:75" ht="87" x14ac:dyDescent="0.35">
      <c r="A99" s="13" t="s">
        <v>76</v>
      </c>
      <c r="B99" s="13" t="s">
        <v>77</v>
      </c>
      <c r="C99" s="14">
        <v>43152.5</v>
      </c>
      <c r="D99" s="13" t="s">
        <v>78</v>
      </c>
      <c r="E99" s="15" t="s">
        <v>79</v>
      </c>
      <c r="F99" s="13" t="s">
        <v>80</v>
      </c>
      <c r="G99" s="15" t="s">
        <v>81</v>
      </c>
      <c r="H99" s="13" t="s">
        <v>289</v>
      </c>
      <c r="I99" s="15" t="s">
        <v>290</v>
      </c>
      <c r="J99" s="15" t="s">
        <v>291</v>
      </c>
      <c r="K99" s="15" t="s">
        <v>292</v>
      </c>
      <c r="L99" s="13" t="s">
        <v>295</v>
      </c>
      <c r="M99" s="15" t="s">
        <v>296</v>
      </c>
      <c r="N99" s="13" t="s">
        <v>88</v>
      </c>
      <c r="O99" s="15" t="s">
        <v>97</v>
      </c>
      <c r="P99" s="15" t="s">
        <v>98</v>
      </c>
      <c r="Q99" s="15" t="s">
        <v>104</v>
      </c>
      <c r="R99" s="13" t="s">
        <v>105</v>
      </c>
      <c r="S99" s="13" t="s">
        <v>93</v>
      </c>
      <c r="T99" s="13" t="s">
        <v>94</v>
      </c>
      <c r="U99" s="14">
        <v>40725</v>
      </c>
      <c r="V99" s="14"/>
      <c r="W99" s="15"/>
      <c r="X99" s="13"/>
      <c r="Y99" s="15"/>
      <c r="Z99" s="13"/>
      <c r="AA99" s="15"/>
      <c r="AB99" s="13"/>
      <c r="AC99" s="15"/>
      <c r="AD99" s="13"/>
      <c r="AE99" s="15"/>
      <c r="AF99" s="13"/>
      <c r="AG99" s="15"/>
      <c r="AH99" s="13"/>
      <c r="AI99" s="15"/>
      <c r="AJ99" s="13"/>
      <c r="AK99" s="15"/>
      <c r="AL99" s="13"/>
      <c r="AM99" s="15"/>
      <c r="AN99" s="13"/>
      <c r="AO99" s="15"/>
      <c r="AP99" s="13"/>
      <c r="AQ99" s="15"/>
      <c r="AR99" s="13"/>
      <c r="AS99" s="15"/>
      <c r="AT99" s="13"/>
      <c r="AU99" s="15"/>
      <c r="AV99" s="13"/>
      <c r="AW99" s="15"/>
      <c r="AX99" s="13"/>
      <c r="AY99" s="15"/>
      <c r="AZ99" s="13"/>
      <c r="BA99" s="15"/>
      <c r="BB99" s="13"/>
      <c r="BC99" s="15"/>
      <c r="BD99" s="13"/>
      <c r="BE99" s="15"/>
      <c r="BF99" s="13"/>
      <c r="BG99" s="15"/>
      <c r="BH99" s="13"/>
      <c r="BI99" s="15"/>
      <c r="BJ99" s="13"/>
      <c r="BK99" s="15"/>
      <c r="BL99" s="13"/>
      <c r="BM99" s="15"/>
      <c r="BN99" s="13"/>
      <c r="BO99" s="15"/>
      <c r="BP99" s="13"/>
      <c r="BQ99" s="15"/>
      <c r="BR99" s="13"/>
      <c r="BS99" s="15"/>
      <c r="BT99" s="13"/>
      <c r="BU99" s="15"/>
      <c r="BV99" s="13"/>
      <c r="BW99" s="15"/>
    </row>
    <row r="100" spans="1:75" ht="87" x14ac:dyDescent="0.35">
      <c r="A100" s="13" t="s">
        <v>76</v>
      </c>
      <c r="B100" s="13" t="s">
        <v>77</v>
      </c>
      <c r="C100" s="14">
        <v>43152.5</v>
      </c>
      <c r="D100" s="13" t="s">
        <v>78</v>
      </c>
      <c r="E100" s="15" t="s">
        <v>79</v>
      </c>
      <c r="F100" s="13" t="s">
        <v>80</v>
      </c>
      <c r="G100" s="15" t="s">
        <v>81</v>
      </c>
      <c r="H100" s="13" t="s">
        <v>289</v>
      </c>
      <c r="I100" s="15" t="s">
        <v>290</v>
      </c>
      <c r="J100" s="15" t="s">
        <v>291</v>
      </c>
      <c r="K100" s="15" t="s">
        <v>292</v>
      </c>
      <c r="L100" s="13" t="s">
        <v>297</v>
      </c>
      <c r="M100" s="15" t="s">
        <v>298</v>
      </c>
      <c r="N100" s="13" t="s">
        <v>101</v>
      </c>
      <c r="O100" s="15" t="s">
        <v>102</v>
      </c>
      <c r="P100" s="15" t="s">
        <v>103</v>
      </c>
      <c r="Q100" s="15" t="s">
        <v>104</v>
      </c>
      <c r="R100" s="13" t="s">
        <v>105</v>
      </c>
      <c r="S100" s="13" t="s">
        <v>93</v>
      </c>
      <c r="T100" s="13" t="s">
        <v>94</v>
      </c>
      <c r="U100" s="14">
        <v>40725</v>
      </c>
      <c r="V100" s="14"/>
      <c r="W100" s="15"/>
      <c r="X100" s="13"/>
      <c r="Y100" s="15"/>
      <c r="Z100" s="13"/>
      <c r="AA100" s="15"/>
      <c r="AB100" s="13"/>
      <c r="AC100" s="15"/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/>
      <c r="AO100" s="15"/>
      <c r="AP100" s="13"/>
      <c r="AQ100" s="15"/>
      <c r="AR100" s="13"/>
      <c r="AS100" s="15"/>
      <c r="AT100" s="13"/>
      <c r="AU100" s="15"/>
      <c r="AV100" s="13"/>
      <c r="AW100" s="15"/>
      <c r="AX100" s="13"/>
      <c r="AY100" s="15"/>
      <c r="AZ100" s="13"/>
      <c r="BA100" s="15"/>
      <c r="BB100" s="13"/>
      <c r="BC100" s="15"/>
      <c r="BD100" s="13"/>
      <c r="BE100" s="15"/>
      <c r="BF100" s="13"/>
      <c r="BG100" s="15"/>
      <c r="BH100" s="13"/>
      <c r="BI100" s="15"/>
      <c r="BJ100" s="13"/>
      <c r="BK100" s="15"/>
      <c r="BL100" s="13"/>
      <c r="BM100" s="15"/>
      <c r="BN100" s="13"/>
      <c r="BO100" s="15"/>
      <c r="BP100" s="13"/>
      <c r="BQ100" s="15"/>
      <c r="BR100" s="13"/>
      <c r="BS100" s="15"/>
      <c r="BT100" s="13"/>
      <c r="BU100" s="15"/>
      <c r="BV100" s="13"/>
      <c r="BW100" s="15"/>
    </row>
    <row r="101" spans="1:75" ht="87" x14ac:dyDescent="0.35">
      <c r="A101" s="13" t="s">
        <v>76</v>
      </c>
      <c r="B101" s="13" t="s">
        <v>77</v>
      </c>
      <c r="C101" s="14">
        <v>43152.5</v>
      </c>
      <c r="D101" s="13" t="s">
        <v>78</v>
      </c>
      <c r="E101" s="15" t="s">
        <v>79</v>
      </c>
      <c r="F101" s="13" t="s">
        <v>80</v>
      </c>
      <c r="G101" s="15" t="s">
        <v>81</v>
      </c>
      <c r="H101" s="13" t="s">
        <v>289</v>
      </c>
      <c r="I101" s="15" t="s">
        <v>290</v>
      </c>
      <c r="J101" s="15" t="s">
        <v>291</v>
      </c>
      <c r="K101" s="15" t="s">
        <v>292</v>
      </c>
      <c r="L101" s="13" t="s">
        <v>293</v>
      </c>
      <c r="M101" s="15" t="s">
        <v>294</v>
      </c>
      <c r="N101" s="13" t="s">
        <v>88</v>
      </c>
      <c r="O101" s="15" t="s">
        <v>89</v>
      </c>
      <c r="P101" s="15" t="s">
        <v>90</v>
      </c>
      <c r="Q101" s="15" t="s">
        <v>106</v>
      </c>
      <c r="R101" s="13" t="s">
        <v>107</v>
      </c>
      <c r="S101" s="13" t="s">
        <v>93</v>
      </c>
      <c r="T101" s="13" t="s">
        <v>94</v>
      </c>
      <c r="U101" s="14">
        <v>40725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5"/>
      <c r="AP101" s="13"/>
      <c r="AQ101" s="15"/>
      <c r="AR101" s="13"/>
      <c r="AS101" s="15"/>
      <c r="AT101" s="13"/>
      <c r="AU101" s="15"/>
      <c r="AV101" s="13"/>
      <c r="AW101" s="15"/>
      <c r="AX101" s="13"/>
      <c r="AY101" s="15"/>
      <c r="AZ101" s="13"/>
      <c r="BA101" s="15"/>
      <c r="BB101" s="13"/>
      <c r="BC101" s="15"/>
      <c r="BD101" s="13"/>
      <c r="BE101" s="15"/>
      <c r="BF101" s="13"/>
      <c r="BG101" s="15"/>
      <c r="BH101" s="13"/>
      <c r="BI101" s="15"/>
      <c r="BJ101" s="13"/>
      <c r="BK101" s="15"/>
      <c r="BL101" s="13"/>
      <c r="BM101" s="15"/>
      <c r="BN101" s="13"/>
      <c r="BO101" s="15"/>
      <c r="BP101" s="13"/>
      <c r="BQ101" s="15"/>
      <c r="BR101" s="13"/>
      <c r="BS101" s="15"/>
      <c r="BT101" s="13"/>
      <c r="BU101" s="15"/>
      <c r="BV101" s="13"/>
      <c r="BW101" s="15"/>
    </row>
    <row r="102" spans="1:75" ht="87" x14ac:dyDescent="0.35">
      <c r="A102" s="13" t="s">
        <v>76</v>
      </c>
      <c r="B102" s="13" t="s">
        <v>77</v>
      </c>
      <c r="C102" s="14">
        <v>43152.5</v>
      </c>
      <c r="D102" s="13" t="s">
        <v>78</v>
      </c>
      <c r="E102" s="15" t="s">
        <v>79</v>
      </c>
      <c r="F102" s="13" t="s">
        <v>80</v>
      </c>
      <c r="G102" s="15" t="s">
        <v>81</v>
      </c>
      <c r="H102" s="13" t="s">
        <v>289</v>
      </c>
      <c r="I102" s="15" t="s">
        <v>290</v>
      </c>
      <c r="J102" s="15" t="s">
        <v>291</v>
      </c>
      <c r="K102" s="15" t="s">
        <v>292</v>
      </c>
      <c r="L102" s="13" t="s">
        <v>295</v>
      </c>
      <c r="M102" s="15" t="s">
        <v>296</v>
      </c>
      <c r="N102" s="13" t="s">
        <v>88</v>
      </c>
      <c r="O102" s="15" t="s">
        <v>97</v>
      </c>
      <c r="P102" s="15" t="s">
        <v>98</v>
      </c>
      <c r="Q102" s="15" t="s">
        <v>106</v>
      </c>
      <c r="R102" s="13" t="s">
        <v>107</v>
      </c>
      <c r="S102" s="13" t="s">
        <v>93</v>
      </c>
      <c r="T102" s="13" t="s">
        <v>94</v>
      </c>
      <c r="U102" s="14">
        <v>40725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5"/>
      <c r="AP102" s="13"/>
      <c r="AQ102" s="15"/>
      <c r="AR102" s="13"/>
      <c r="AS102" s="15"/>
      <c r="AT102" s="13"/>
      <c r="AU102" s="15"/>
      <c r="AV102" s="13"/>
      <c r="AW102" s="15"/>
      <c r="AX102" s="13"/>
      <c r="AY102" s="15"/>
      <c r="AZ102" s="13"/>
      <c r="BA102" s="15"/>
      <c r="BB102" s="13"/>
      <c r="BC102" s="15"/>
      <c r="BD102" s="13"/>
      <c r="BE102" s="15"/>
      <c r="BF102" s="13"/>
      <c r="BG102" s="15"/>
      <c r="BH102" s="13"/>
      <c r="BI102" s="15"/>
      <c r="BJ102" s="13"/>
      <c r="BK102" s="15"/>
      <c r="BL102" s="13"/>
      <c r="BM102" s="15"/>
      <c r="BN102" s="13"/>
      <c r="BO102" s="15"/>
      <c r="BP102" s="13"/>
      <c r="BQ102" s="15"/>
      <c r="BR102" s="13"/>
      <c r="BS102" s="15"/>
      <c r="BT102" s="13"/>
      <c r="BU102" s="15"/>
      <c r="BV102" s="13"/>
      <c r="BW102" s="15"/>
    </row>
    <row r="103" spans="1:75" ht="87" x14ac:dyDescent="0.35">
      <c r="A103" s="13" t="s">
        <v>76</v>
      </c>
      <c r="B103" s="13" t="s">
        <v>77</v>
      </c>
      <c r="C103" s="14">
        <v>43152.5</v>
      </c>
      <c r="D103" s="13" t="s">
        <v>78</v>
      </c>
      <c r="E103" s="15" t="s">
        <v>79</v>
      </c>
      <c r="F103" s="13" t="s">
        <v>80</v>
      </c>
      <c r="G103" s="15" t="s">
        <v>81</v>
      </c>
      <c r="H103" s="13" t="s">
        <v>289</v>
      </c>
      <c r="I103" s="15" t="s">
        <v>290</v>
      </c>
      <c r="J103" s="15" t="s">
        <v>291</v>
      </c>
      <c r="K103" s="15" t="s">
        <v>292</v>
      </c>
      <c r="L103" s="13" t="s">
        <v>297</v>
      </c>
      <c r="M103" s="15" t="s">
        <v>298</v>
      </c>
      <c r="N103" s="13" t="s">
        <v>101</v>
      </c>
      <c r="O103" s="15" t="s">
        <v>102</v>
      </c>
      <c r="P103" s="15" t="s">
        <v>103</v>
      </c>
      <c r="Q103" s="15" t="s">
        <v>106</v>
      </c>
      <c r="R103" s="13" t="s">
        <v>107</v>
      </c>
      <c r="S103" s="13" t="s">
        <v>93</v>
      </c>
      <c r="T103" s="13" t="s">
        <v>94</v>
      </c>
      <c r="U103" s="14">
        <v>40725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5"/>
      <c r="AP103" s="13"/>
      <c r="AQ103" s="15"/>
      <c r="AR103" s="13"/>
      <c r="AS103" s="15"/>
      <c r="AT103" s="13"/>
      <c r="AU103" s="15"/>
      <c r="AV103" s="13"/>
      <c r="AW103" s="15"/>
      <c r="AX103" s="13"/>
      <c r="AY103" s="15"/>
      <c r="AZ103" s="13"/>
      <c r="BA103" s="15"/>
      <c r="BB103" s="13"/>
      <c r="BC103" s="15"/>
      <c r="BD103" s="13"/>
      <c r="BE103" s="15"/>
      <c r="BF103" s="13"/>
      <c r="BG103" s="15"/>
      <c r="BH103" s="13"/>
      <c r="BI103" s="15"/>
      <c r="BJ103" s="13"/>
      <c r="BK103" s="15"/>
      <c r="BL103" s="13"/>
      <c r="BM103" s="15"/>
      <c r="BN103" s="13"/>
      <c r="BO103" s="15"/>
      <c r="BP103" s="13"/>
      <c r="BQ103" s="15"/>
      <c r="BR103" s="13"/>
      <c r="BS103" s="15"/>
      <c r="BT103" s="13"/>
      <c r="BU103" s="15"/>
      <c r="BV103" s="13"/>
      <c r="BW103" s="15"/>
    </row>
    <row r="104" spans="1:75" ht="101.5" x14ac:dyDescent="0.35">
      <c r="A104" s="13" t="s">
        <v>238</v>
      </c>
      <c r="B104" s="13" t="s">
        <v>109</v>
      </c>
      <c r="C104" s="14">
        <v>44368.708333333336</v>
      </c>
      <c r="D104" s="13" t="s">
        <v>78</v>
      </c>
      <c r="E104" s="15" t="s">
        <v>79</v>
      </c>
      <c r="F104" s="13" t="s">
        <v>80</v>
      </c>
      <c r="G104" s="15" t="s">
        <v>81</v>
      </c>
      <c r="H104" s="13" t="s">
        <v>289</v>
      </c>
      <c r="I104" s="15" t="s">
        <v>290</v>
      </c>
      <c r="J104" s="15" t="s">
        <v>291</v>
      </c>
      <c r="K104" s="15" t="s">
        <v>292</v>
      </c>
      <c r="L104" s="13" t="s">
        <v>293</v>
      </c>
      <c r="M104" s="15" t="s">
        <v>294</v>
      </c>
      <c r="N104" s="13" t="s">
        <v>88</v>
      </c>
      <c r="O104" s="15" t="s">
        <v>89</v>
      </c>
      <c r="P104" s="15" t="s">
        <v>90</v>
      </c>
      <c r="Q104" s="15" t="s">
        <v>110</v>
      </c>
      <c r="R104" s="13" t="s">
        <v>111</v>
      </c>
      <c r="S104" s="13" t="s">
        <v>93</v>
      </c>
      <c r="T104" s="13" t="s">
        <v>112</v>
      </c>
      <c r="U104" s="14">
        <v>40725</v>
      </c>
      <c r="V104" s="14"/>
      <c r="W104" s="15" t="s">
        <v>299</v>
      </c>
      <c r="X104" s="13" t="s">
        <v>114</v>
      </c>
      <c r="Y104" s="15" t="str">
        <f>VLOOKUP(X104,'Axe 2 Règles de gestion'!$D$2:$F$146,3, FALSE)</f>
        <v>L'agent doit présenter une demande de congé sans traitement.</v>
      </c>
      <c r="Z104" s="13" t="s">
        <v>116</v>
      </c>
      <c r="AA104" s="15" t="str">
        <f>VLOOKUP(Z104,'Axe 2 Règles de gestion'!$D$2:$F$146,3, FALSE)</f>
        <v>La demande est accordée de droit par le supérieur hiérarchique.</v>
      </c>
      <c r="AB104" s="13"/>
      <c r="AC104" s="15"/>
      <c r="AD104" s="13"/>
      <c r="AE104" s="15"/>
      <c r="AF104" s="13" t="s">
        <v>118</v>
      </c>
      <c r="AG104" s="15" t="str">
        <f>VLOOKUP(AF104,'Axe 2 Règles de gestion'!$D$2:$F$146,3, FALSE)</f>
        <v>La durée prévisionnelle maximale de chaque période est de un an.</v>
      </c>
      <c r="AH104" s="13" t="s">
        <v>120</v>
      </c>
      <c r="AI104" s="15" t="str">
        <f>VLOOKUP(AH104,'Axe 2 Règles de gestion'!$D$2:$F$146,3, FALSE)</f>
        <v>La durée réelle maximale de chaque période est de un an.</v>
      </c>
      <c r="AJ104" s="13" t="s">
        <v>122</v>
      </c>
      <c r="AK104" s="15" t="str">
        <f>VLOOKUP(AJ104,'Axe 2 Règles de gestion'!$D$2:$F$146,3, FALSE)</f>
        <v>L'agent ne peut pas bénéficier de plus de 3 ans cumulés de congé sans traitement quels que soient les motifs de congés sans traitement : pour raisons personnelles ou familiales.</v>
      </c>
      <c r="AL104" s="13" t="s">
        <v>300</v>
      </c>
      <c r="AM104" s="15" t="str">
        <f>VLOOKUP(AL104,'Axe 2 Règles de gestion'!$D$2:$F$146,3, FALSE)</f>
        <v>Le type de situation de famille de l'agent doit être "marié(e)" ou "pacsé(e)".</v>
      </c>
      <c r="AN104" s="13"/>
      <c r="AO104" s="15"/>
      <c r="AP104" s="13" t="s">
        <v>128</v>
      </c>
      <c r="AQ104" s="15" t="str">
        <f>VLOOKUP(AP104,'Axe 2 Règles de gestion'!$D$2:$F$146,3, FALSE)</f>
        <v>Lors de la demande initiale, l'agent doit être en activité.</v>
      </c>
      <c r="AR104" s="13" t="s">
        <v>130</v>
      </c>
      <c r="AS104" s="15" t="str">
        <f>VLOOKUP(AR104,'Axe 2 Règles de gestion'!$D$2:$F$146,3, FALSE)</f>
        <v>La date de début de la position doit être postérieure ou égale à la date d'entrée dans la FPE ou dans la carrière militaire.</v>
      </c>
      <c r="AT104" s="13" t="s">
        <v>132</v>
      </c>
      <c r="AU104" s="15" t="str">
        <f>VLOOKUP(AT104,'Axe 2 Règles de gestion'!$D$2:$F$146,3, FALSE)</f>
        <v>La date de début de position est à J+1 de la date de fin de position de l'occurrence précédente.</v>
      </c>
      <c r="AV104" s="13" t="s">
        <v>134</v>
      </c>
      <c r="AW104" s="15" t="str">
        <f>VLOOKUP(AV104,'Axe 2 Règles de gestion'!$D$2:$F$146,3, FALSE)</f>
        <v>La date de début de position doit être antérieure ou égale à la date de fin prévisionnelle de position.</v>
      </c>
      <c r="AX104" s="13" t="s">
        <v>136</v>
      </c>
      <c r="AY104" s="15" t="str">
        <f>VLOOKUP(AX104,'Axe 2 Règles de gestion'!$D$2:$F$146,3, FALSE)</f>
        <v>La date de début de position doit être antérieure ou égale à la date de fin réelle de position.</v>
      </c>
      <c r="AZ104" s="13" t="s">
        <v>138</v>
      </c>
      <c r="BA104" s="15" t="str">
        <f>VLOOKUP(AZ104,'Axe 2 Règles de gestion'!$D$2:$F$146,3, FALSE)</f>
        <v>La date de fin prévisionnelle de la position doit être antérieure à la date limite de départ à la retraite.</v>
      </c>
      <c r="BB104" s="13" t="s">
        <v>140</v>
      </c>
      <c r="BC104" s="15" t="str">
        <f>VLOOKUP(BB104,'Axe 2 Règles de gestion'!$D$2:$F$146,3, FALSE)</f>
        <v>La date de fin réelle de la position doit être antérieure à la date limite de départ à la retraite.</v>
      </c>
      <c r="BD104" s="13" t="s">
        <v>142</v>
      </c>
      <c r="BE104" s="15" t="str">
        <f>VLOOKUP(BD104,'Axe 2 Règles de gestion'!$D$2:$F$146,3, FALSE)</f>
        <v>La date de fin ou la date de fin prévisionnelle doit être saisie.</v>
      </c>
      <c r="BF104" s="13" t="s">
        <v>152</v>
      </c>
      <c r="BG104" s="15" t="str">
        <f>VLOOKUP(BF104,'Axe 2 Règles de gestion'!$D$2:$F$146,3, FALSE)</f>
        <v>La saisie d'une occurrence de congés/absences est interdite (date de fin réelle)</v>
      </c>
      <c r="BH104" s="13" t="s">
        <v>154</v>
      </c>
      <c r="BI104" s="15" t="str">
        <f>VLOOKUP(BH104,'Axe 2 Règles de gestion'!$D$2:$F$146,3, FALSE)</f>
        <v>La saisie d'une occurrence de congés/absences est interdite (date de fin prévisionnelle)</v>
      </c>
      <c r="BJ104" s="13"/>
      <c r="BK104" s="15"/>
      <c r="BL104" s="13"/>
      <c r="BM104" s="15"/>
      <c r="BN104" s="13"/>
      <c r="BO104" s="15"/>
      <c r="BP104" s="13"/>
      <c r="BQ104" s="15"/>
      <c r="BR104" s="13"/>
      <c r="BS104" s="15"/>
      <c r="BT104" s="13"/>
      <c r="BU104" s="15"/>
      <c r="BV104" s="13"/>
      <c r="BW104" s="15"/>
    </row>
    <row r="105" spans="1:75" ht="101.5" x14ac:dyDescent="0.35">
      <c r="A105" s="13" t="s">
        <v>238</v>
      </c>
      <c r="B105" s="13" t="s">
        <v>109</v>
      </c>
      <c r="C105" s="14">
        <v>44368.708333333336</v>
      </c>
      <c r="D105" s="13" t="s">
        <v>78</v>
      </c>
      <c r="E105" s="15" t="s">
        <v>79</v>
      </c>
      <c r="F105" s="13" t="s">
        <v>80</v>
      </c>
      <c r="G105" s="15" t="s">
        <v>81</v>
      </c>
      <c r="H105" s="13" t="s">
        <v>289</v>
      </c>
      <c r="I105" s="15" t="s">
        <v>290</v>
      </c>
      <c r="J105" s="15" t="s">
        <v>291</v>
      </c>
      <c r="K105" s="15" t="s">
        <v>292</v>
      </c>
      <c r="L105" s="13" t="s">
        <v>295</v>
      </c>
      <c r="M105" s="15" t="s">
        <v>296</v>
      </c>
      <c r="N105" s="13" t="s">
        <v>88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93</v>
      </c>
      <c r="T105" s="13" t="s">
        <v>112</v>
      </c>
      <c r="U105" s="14">
        <v>40725</v>
      </c>
      <c r="V105" s="14"/>
      <c r="W105" s="15" t="s">
        <v>301</v>
      </c>
      <c r="X105" s="13" t="s">
        <v>162</v>
      </c>
      <c r="Y105" s="15" t="str">
        <f>VLOOKUP(X105,'Axe 2 Règles de gestion'!$D$2:$F$146,3, FALSE)</f>
        <v>L'agent peut renouveler le congé sans traitement 2 fois.</v>
      </c>
      <c r="Z105" s="13"/>
      <c r="AA105" s="15"/>
      <c r="AB105" s="13"/>
      <c r="AC105" s="15"/>
      <c r="AD105" s="13"/>
      <c r="AE105" s="15"/>
      <c r="AF105" s="13" t="s">
        <v>118</v>
      </c>
      <c r="AG105" s="15" t="str">
        <f>VLOOKUP(AF105,'Axe 2 Règles de gestion'!$D$2:$F$146,3, FALSE)</f>
        <v>La durée prévisionnelle maximale de chaque période est de un an.</v>
      </c>
      <c r="AH105" s="13" t="s">
        <v>120</v>
      </c>
      <c r="AI105" s="15" t="str">
        <f>VLOOKUP(AH105,'Axe 2 Règles de gestion'!$D$2:$F$146,3, FALSE)</f>
        <v>La durée réelle maximale de chaque période est de un an.</v>
      </c>
      <c r="AJ105" s="13" t="s">
        <v>122</v>
      </c>
      <c r="AK105" s="15" t="str">
        <f>VLOOKUP(AJ105,'Axe 2 Règles de gestion'!$D$2:$F$146,3, FALSE)</f>
        <v>L'agent ne peut pas bénéficier de plus de 3 ans cumulés de congé sans traitement quels que soient les motifs de congés sans traitement : pour raisons personnelles ou familiales.</v>
      </c>
      <c r="AL105" s="13" t="s">
        <v>300</v>
      </c>
      <c r="AM105" s="15" t="str">
        <f>VLOOKUP(AL105,'Axe 2 Règles de gestion'!$D$2:$F$146,3, FALSE)</f>
        <v>Le type de situation de famille de l'agent doit être "marié(e)" ou "pacsé(e)".</v>
      </c>
      <c r="AN105" s="13"/>
      <c r="AO105" s="15"/>
      <c r="AP105" s="13" t="s">
        <v>130</v>
      </c>
      <c r="AQ105" s="15" t="str">
        <f>VLOOKUP(AP105,'Axe 2 Règles de gestion'!$D$2:$F$146,3, FALSE)</f>
        <v>La date de début de la position doit être postérieure ou égale à la date d'entrée dans la FPE ou dans la carrière militaire.</v>
      </c>
      <c r="AR105" s="13" t="s">
        <v>132</v>
      </c>
      <c r="AS105" s="15" t="str">
        <f>VLOOKUP(AR105,'Axe 2 Règles de gestion'!$D$2:$F$146,3, FALSE)</f>
        <v>La date de début de position est à J+1 de la date de fin de position de l'occurrence précédente.</v>
      </c>
      <c r="AT105" s="13" t="s">
        <v>134</v>
      </c>
      <c r="AU105" s="15" t="str">
        <f>VLOOKUP(AT105,'Axe 2 Règles de gestion'!$D$2:$F$146,3, FALSE)</f>
        <v>La date de début de position doit être antérieure ou égale à la date de fin prévisionnelle de position.</v>
      </c>
      <c r="AV105" s="13" t="s">
        <v>136</v>
      </c>
      <c r="AW105" s="15" t="str">
        <f>VLOOKUP(AV105,'Axe 2 Règles de gestion'!$D$2:$F$146,3, FALSE)</f>
        <v>La date de début de position doit être antérieure ou égale à la date de fin réelle de position.</v>
      </c>
      <c r="AX105" s="13" t="s">
        <v>138</v>
      </c>
      <c r="AY105" s="15" t="str">
        <f>VLOOKUP(AX105,'Axe 2 Règles de gestion'!$D$2:$F$146,3, FALSE)</f>
        <v>La date de fin prévisionnelle de la position doit être antérieure à la date limite de départ à la retraite.</v>
      </c>
      <c r="AZ105" s="13" t="s">
        <v>140</v>
      </c>
      <c r="BA105" s="15" t="str">
        <f>VLOOKUP(AZ105,'Axe 2 Règles de gestion'!$D$2:$F$146,3, FALSE)</f>
        <v>La date de fin réelle de la position doit être antérieure à la date limite de départ à la retraite.</v>
      </c>
      <c r="BB105" s="13" t="s">
        <v>142</v>
      </c>
      <c r="BC105" s="15" t="str">
        <f>VLOOKUP(BB105,'Axe 2 Règles de gestion'!$D$2:$F$146,3, FALSE)</f>
        <v>La date de fin ou la date de fin prévisionnelle doit être saisie.</v>
      </c>
      <c r="BD105" s="13" t="s">
        <v>152</v>
      </c>
      <c r="BE105" s="15" t="str">
        <f>VLOOKUP(BD105,'Axe 2 Règles de gestion'!$D$2:$F$146,3, FALSE)</f>
        <v>La saisie d'une occurrence de congés/absences est interdite (date de fin réelle)</v>
      </c>
      <c r="BF105" s="13" t="s">
        <v>154</v>
      </c>
      <c r="BG105" s="15" t="str">
        <f>VLOOKUP(BF105,'Axe 2 Règles de gestion'!$D$2:$F$146,3, FALSE)</f>
        <v>La saisie d'une occurrence de congés/absences est interdite (date de fin prévisionnelle)</v>
      </c>
      <c r="BH105" s="13"/>
      <c r="BI105" s="15"/>
      <c r="BJ105" s="13"/>
      <c r="BK105" s="15"/>
      <c r="BL105" s="13"/>
      <c r="BM105" s="15"/>
      <c r="BN105" s="13"/>
      <c r="BO105" s="15"/>
      <c r="BP105" s="13"/>
      <c r="BQ105" s="15"/>
      <c r="BR105" s="13"/>
      <c r="BS105" s="15"/>
      <c r="BT105" s="13"/>
      <c r="BU105" s="15"/>
      <c r="BV105" s="13"/>
      <c r="BW105" s="15"/>
    </row>
    <row r="106" spans="1:75" ht="130.5" x14ac:dyDescent="0.35">
      <c r="A106" s="13" t="s">
        <v>165</v>
      </c>
      <c r="B106" s="13" t="s">
        <v>109</v>
      </c>
      <c r="C106" s="14">
        <v>44715.40347222222</v>
      </c>
      <c r="D106" s="13" t="s">
        <v>78</v>
      </c>
      <c r="E106" s="15" t="s">
        <v>79</v>
      </c>
      <c r="F106" s="13" t="s">
        <v>80</v>
      </c>
      <c r="G106" s="15" t="s">
        <v>81</v>
      </c>
      <c r="H106" s="13" t="s">
        <v>289</v>
      </c>
      <c r="I106" s="15" t="s">
        <v>290</v>
      </c>
      <c r="J106" s="15" t="s">
        <v>291</v>
      </c>
      <c r="K106" s="15" t="s">
        <v>292</v>
      </c>
      <c r="L106" s="13" t="s">
        <v>297</v>
      </c>
      <c r="M106" s="15" t="s">
        <v>298</v>
      </c>
      <c r="N106" s="13" t="s">
        <v>101</v>
      </c>
      <c r="O106" s="15" t="s">
        <v>102</v>
      </c>
      <c r="P106" s="15" t="s">
        <v>103</v>
      </c>
      <c r="Q106" s="15" t="s">
        <v>110</v>
      </c>
      <c r="R106" s="13" t="s">
        <v>111</v>
      </c>
      <c r="S106" s="13" t="s">
        <v>93</v>
      </c>
      <c r="T106" s="13" t="s">
        <v>112</v>
      </c>
      <c r="U106" s="14">
        <v>40725</v>
      </c>
      <c r="V106" s="14">
        <v>44633</v>
      </c>
      <c r="W106" s="15" t="s">
        <v>302</v>
      </c>
      <c r="X106" s="13" t="s">
        <v>167</v>
      </c>
      <c r="Y106" s="15" t="str">
        <f>VLOOKUP(X106,'Axe 2 Règles de gestion'!$D$2:$F$146,3, FALSE)</f>
        <v>L'agent doit demander à reprendre ses fonctions au moins 2 mois avant l'expiration du congé en cours.</v>
      </c>
      <c r="Z106" s="13" t="s">
        <v>169</v>
      </c>
      <c r="AA106" s="15" t="str">
        <f>VLOOKUP(Z106,'Axe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06" s="13"/>
      <c r="AC106" s="15"/>
      <c r="AD106" s="13"/>
      <c r="AE106" s="15"/>
      <c r="AF106" s="13" t="s">
        <v>118</v>
      </c>
      <c r="AG106" s="15" t="str">
        <f>VLOOKUP(AF106,'Axe 2 Règles de gestion'!$D$2:$F$146,3, FALSE)</f>
        <v>La durée prévisionnelle maximale de chaque période est de un an.</v>
      </c>
      <c r="AH106" s="13" t="s">
        <v>120</v>
      </c>
      <c r="AI106" s="15" t="str">
        <f>VLOOKUP(AH106,'Axe 2 Règles de gestion'!$D$2:$F$146,3, FALSE)</f>
        <v>La durée réelle maximale de chaque période est de un an.</v>
      </c>
      <c r="AJ106" s="13" t="s">
        <v>122</v>
      </c>
      <c r="AK106" s="15" t="str">
        <f>VLOOKUP(AJ106,'Axe 2 Règles de gestion'!$D$2:$F$146,3, FALSE)</f>
        <v>L'agent ne peut pas bénéficier de plus de 3 ans cumulés de congé sans traitement quels que soient les motifs de congés sans traitement : pour raisons personnelles ou familiales.</v>
      </c>
      <c r="AL106" s="13" t="s">
        <v>300</v>
      </c>
      <c r="AM106" s="15" t="str">
        <f>VLOOKUP(AL106,'Axe 2 Règles de gestion'!$D$2:$F$146,3, FALSE)</f>
        <v>Le type de situation de famille de l'agent doit être "marié(e)" ou "pacsé(e)".</v>
      </c>
      <c r="AN106" s="13"/>
      <c r="AO106" s="15"/>
      <c r="AP106" s="13" t="s">
        <v>134</v>
      </c>
      <c r="AQ106" s="15" t="str">
        <f>VLOOKUP(AP106,'Axe 2 Règles de gestion'!$D$2:$F$146,3, FALSE)</f>
        <v>La date de début de position doit être antérieure ou égale à la date de fin prévisionnelle de position.</v>
      </c>
      <c r="AR106" s="13" t="s">
        <v>136</v>
      </c>
      <c r="AS106" s="15" t="str">
        <f>VLOOKUP(AR106,'Axe 2 Règles de gestion'!$D$2:$F$146,3, FALSE)</f>
        <v>La date de début de position doit être antérieure ou égale à la date de fin réelle de position.</v>
      </c>
      <c r="AT106" s="13" t="s">
        <v>138</v>
      </c>
      <c r="AU106" s="15" t="str">
        <f>VLOOKUP(AT106,'Axe 2 Règles de gestion'!$D$2:$F$146,3, FALSE)</f>
        <v>La date de fin prévisionnelle de la position doit être antérieure à la date limite de départ à la retraite.</v>
      </c>
      <c r="AV106" s="13" t="s">
        <v>140</v>
      </c>
      <c r="AW106" s="15" t="str">
        <f>VLOOKUP(AV106,'Axe 2 Règles de gestion'!$D$2:$F$146,3, FALSE)</f>
        <v>La date de fin réelle de la position doit être antérieure à la date limite de départ à la retraite.</v>
      </c>
      <c r="AX106" s="13" t="s">
        <v>142</v>
      </c>
      <c r="AY106" s="15" t="str">
        <f>VLOOKUP(AX106,'Axe 2 Règles de gestion'!$D$2:$F$146,3, FALSE)</f>
        <v>La date de fin ou la date de fin prévisionnelle doit être saisie.</v>
      </c>
      <c r="AZ106" s="13" t="s">
        <v>152</v>
      </c>
      <c r="BA106" s="15" t="str">
        <f>VLOOKUP(AZ106,'Axe 2 Règles de gestion'!$D$2:$F$146,3, FALSE)</f>
        <v>La saisie d'une occurrence de congés/absences est interdite (date de fin réelle)</v>
      </c>
      <c r="BB106" s="13" t="s">
        <v>154</v>
      </c>
      <c r="BC106" s="15" t="str">
        <f>VLOOKUP(BB106,'Axe 2 Règles de gestion'!$D$2:$F$146,3, FALSE)</f>
        <v>La saisie d'une occurrence de congés/absences est interdite (date de fin prévisionnelle)</v>
      </c>
      <c r="BD106" s="13"/>
      <c r="BE106" s="15"/>
      <c r="BF106" s="13"/>
      <c r="BG106" s="15"/>
      <c r="BH106" s="13"/>
      <c r="BI106" s="15"/>
      <c r="BJ106" s="13"/>
      <c r="BK106" s="15"/>
      <c r="BL106" s="13"/>
      <c r="BM106" s="15"/>
      <c r="BN106" s="13"/>
      <c r="BO106" s="15"/>
      <c r="BP106" s="13"/>
      <c r="BQ106" s="15"/>
      <c r="BR106" s="13"/>
      <c r="BS106" s="15"/>
      <c r="BT106" s="13"/>
      <c r="BU106" s="15"/>
      <c r="BV106" s="13"/>
      <c r="BW106" s="15"/>
    </row>
    <row r="107" spans="1:75" ht="145" x14ac:dyDescent="0.35">
      <c r="A107" s="13" t="s">
        <v>165</v>
      </c>
      <c r="B107" s="13" t="s">
        <v>77</v>
      </c>
      <c r="C107" s="14">
        <v>44715.404166666667</v>
      </c>
      <c r="D107" s="13" t="s">
        <v>78</v>
      </c>
      <c r="E107" s="15" t="s">
        <v>79</v>
      </c>
      <c r="F107" s="13" t="s">
        <v>80</v>
      </c>
      <c r="G107" s="15" t="s">
        <v>81</v>
      </c>
      <c r="H107" s="13" t="s">
        <v>289</v>
      </c>
      <c r="I107" s="15" t="s">
        <v>290</v>
      </c>
      <c r="J107" s="15" t="s">
        <v>291</v>
      </c>
      <c r="K107" s="15" t="s">
        <v>292</v>
      </c>
      <c r="L107" s="13" t="s">
        <v>297</v>
      </c>
      <c r="M107" s="15" t="s">
        <v>298</v>
      </c>
      <c r="N107" s="13" t="s">
        <v>101</v>
      </c>
      <c r="O107" s="15" t="s">
        <v>102</v>
      </c>
      <c r="P107" s="15" t="s">
        <v>103</v>
      </c>
      <c r="Q107" s="15" t="s">
        <v>110</v>
      </c>
      <c r="R107" s="13" t="s">
        <v>111</v>
      </c>
      <c r="S107" s="13" t="s">
        <v>93</v>
      </c>
      <c r="T107" s="13" t="s">
        <v>112</v>
      </c>
      <c r="U107" s="14">
        <v>44634</v>
      </c>
      <c r="V107" s="14"/>
      <c r="W107" s="15" t="s">
        <v>303</v>
      </c>
      <c r="X107" s="13" t="s">
        <v>167</v>
      </c>
      <c r="Y107" s="15" t="str">
        <f>VLOOKUP(X107,'Axe 2 Règles de gestion'!$D$2:$F$146,3, FALSE)</f>
        <v>L'agent doit demander à reprendre ses fonctions au moins 2 mois avant l'expiration du congé en cours.</v>
      </c>
      <c r="Z107" s="13" t="s">
        <v>172</v>
      </c>
      <c r="AA107" s="15" t="str">
        <f>VLOOKUP(Z107,'Axe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07" s="13"/>
      <c r="AC107" s="15"/>
      <c r="AD107" s="13"/>
      <c r="AE107" s="15"/>
      <c r="AF107" s="13" t="s">
        <v>118</v>
      </c>
      <c r="AG107" s="15" t="str">
        <f>VLOOKUP(AF107,'Axe 2 Règles de gestion'!$D$2:$F$146,3, FALSE)</f>
        <v>La durée prévisionnelle maximale de chaque période est de un an.</v>
      </c>
      <c r="AH107" s="13" t="s">
        <v>120</v>
      </c>
      <c r="AI107" s="15" t="str">
        <f>VLOOKUP(AH107,'Axe 2 Règles de gestion'!$D$2:$F$146,3, FALSE)</f>
        <v>La durée réelle maximale de chaque période est de un an.</v>
      </c>
      <c r="AJ107" s="13" t="s">
        <v>122</v>
      </c>
      <c r="AK107" s="15" t="str">
        <f>VLOOKUP(AJ107,'Axe 2 Règles de gestion'!$D$2:$F$146,3, FALSE)</f>
        <v>L'agent ne peut pas bénéficier de plus de 3 ans cumulés de congé sans traitement quels que soient les motifs de congés sans traitement : pour raisons personnelles ou familiales.</v>
      </c>
      <c r="AL107" s="13" t="s">
        <v>300</v>
      </c>
      <c r="AM107" s="15" t="str">
        <f>VLOOKUP(AL107,'Axe 2 Règles de gestion'!$D$2:$F$146,3, FALSE)</f>
        <v>Le type de situation de famille de l'agent doit être "marié(e)" ou "pacsé(e)".</v>
      </c>
      <c r="AN107" s="13"/>
      <c r="AO107" s="15"/>
      <c r="AP107" s="13" t="s">
        <v>134</v>
      </c>
      <c r="AQ107" s="15" t="str">
        <f>VLOOKUP(AP107,'Axe 2 Règles de gestion'!$D$2:$F$146,3, FALSE)</f>
        <v>La date de début de position doit être antérieure ou égale à la date de fin prévisionnelle de position.</v>
      </c>
      <c r="AR107" s="13" t="s">
        <v>136</v>
      </c>
      <c r="AS107" s="15" t="str">
        <f>VLOOKUP(AR107,'Axe 2 Règles de gestion'!$D$2:$F$146,3, FALSE)</f>
        <v>La date de début de position doit être antérieure ou égale à la date de fin réelle de position.</v>
      </c>
      <c r="AT107" s="13" t="s">
        <v>138</v>
      </c>
      <c r="AU107" s="15" t="str">
        <f>VLOOKUP(AT107,'Axe 2 Règles de gestion'!$D$2:$F$146,3, FALSE)</f>
        <v>La date de fin prévisionnelle de la position doit être antérieure à la date limite de départ à la retraite.</v>
      </c>
      <c r="AV107" s="13" t="s">
        <v>140</v>
      </c>
      <c r="AW107" s="15" t="str">
        <f>VLOOKUP(AV107,'Axe 2 Règles de gestion'!$D$2:$F$146,3, FALSE)</f>
        <v>La date de fin réelle de la position doit être antérieure à la date limite de départ à la retraite.</v>
      </c>
      <c r="AX107" s="13" t="s">
        <v>142</v>
      </c>
      <c r="AY107" s="15" t="str">
        <f>VLOOKUP(AX107,'Axe 2 Règles de gestion'!$D$2:$F$146,3, FALSE)</f>
        <v>La date de fin ou la date de fin prévisionnelle doit être saisie.</v>
      </c>
      <c r="AZ107" s="13" t="s">
        <v>152</v>
      </c>
      <c r="BA107" s="15" t="str">
        <f>VLOOKUP(AZ107,'Axe 2 Règles de gestion'!$D$2:$F$146,3, FALSE)</f>
        <v>La saisie d'une occurrence de congés/absences est interdite (date de fin réelle)</v>
      </c>
      <c r="BB107" s="13" t="s">
        <v>154</v>
      </c>
      <c r="BC107" s="15" t="str">
        <f>VLOOKUP(BB107,'Axe 2 Règles de gestion'!$D$2:$F$146,3, FALSE)</f>
        <v>La saisie d'une occurrence de congés/absences est interdite (date de fin prévisionnelle)</v>
      </c>
      <c r="BD107" s="13"/>
      <c r="BE107" s="15"/>
      <c r="BF107" s="13"/>
      <c r="BG107" s="15"/>
      <c r="BH107" s="13"/>
      <c r="BI107" s="15"/>
      <c r="BJ107" s="13"/>
      <c r="BK107" s="15"/>
      <c r="BL107" s="13"/>
      <c r="BM107" s="15"/>
      <c r="BN107" s="13"/>
      <c r="BO107" s="15"/>
      <c r="BP107" s="13"/>
      <c r="BQ107" s="15"/>
      <c r="BR107" s="13"/>
      <c r="BS107" s="15"/>
      <c r="BT107" s="13"/>
      <c r="BU107" s="15"/>
      <c r="BV107" s="13"/>
      <c r="BW107" s="15"/>
    </row>
    <row r="108" spans="1:75" ht="87" x14ac:dyDescent="0.35">
      <c r="A108" s="13" t="s">
        <v>76</v>
      </c>
      <c r="B108" s="13" t="s">
        <v>77</v>
      </c>
      <c r="C108" s="14">
        <v>43152.5</v>
      </c>
      <c r="D108" s="13" t="s">
        <v>78</v>
      </c>
      <c r="E108" s="15" t="s">
        <v>79</v>
      </c>
      <c r="F108" s="13" t="s">
        <v>80</v>
      </c>
      <c r="G108" s="15" t="s">
        <v>81</v>
      </c>
      <c r="H108" s="13" t="s">
        <v>289</v>
      </c>
      <c r="I108" s="15" t="s">
        <v>290</v>
      </c>
      <c r="J108" s="15" t="s">
        <v>291</v>
      </c>
      <c r="K108" s="15" t="s">
        <v>292</v>
      </c>
      <c r="L108" s="13" t="s">
        <v>293</v>
      </c>
      <c r="M108" s="15" t="s">
        <v>294</v>
      </c>
      <c r="N108" s="13" t="s">
        <v>88</v>
      </c>
      <c r="O108" s="15" t="s">
        <v>89</v>
      </c>
      <c r="P108" s="15" t="s">
        <v>90</v>
      </c>
      <c r="Q108" s="15" t="s">
        <v>175</v>
      </c>
      <c r="R108" s="13" t="s">
        <v>176</v>
      </c>
      <c r="S108" s="13" t="s">
        <v>93</v>
      </c>
      <c r="T108" s="13" t="s">
        <v>94</v>
      </c>
      <c r="U108" s="14">
        <v>40725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5"/>
      <c r="AP108" s="13"/>
      <c r="AQ108" s="15"/>
      <c r="AR108" s="13"/>
      <c r="AS108" s="15"/>
      <c r="AT108" s="13"/>
      <c r="AU108" s="15"/>
      <c r="AV108" s="13"/>
      <c r="AW108" s="15"/>
      <c r="AX108" s="13"/>
      <c r="AY108" s="15"/>
      <c r="AZ108" s="13"/>
      <c r="BA108" s="15"/>
      <c r="BB108" s="13"/>
      <c r="BC108" s="15"/>
      <c r="BD108" s="13"/>
      <c r="BE108" s="15"/>
      <c r="BF108" s="13"/>
      <c r="BG108" s="15"/>
      <c r="BH108" s="13"/>
      <c r="BI108" s="15"/>
      <c r="BJ108" s="13"/>
      <c r="BK108" s="15"/>
      <c r="BL108" s="13"/>
      <c r="BM108" s="15"/>
      <c r="BN108" s="13"/>
      <c r="BO108" s="15"/>
      <c r="BP108" s="13"/>
      <c r="BQ108" s="15"/>
      <c r="BR108" s="13"/>
      <c r="BS108" s="15"/>
      <c r="BT108" s="13"/>
      <c r="BU108" s="15"/>
      <c r="BV108" s="13"/>
      <c r="BW108" s="15"/>
    </row>
    <row r="109" spans="1:75" ht="87" x14ac:dyDescent="0.35">
      <c r="A109" s="13" t="s">
        <v>76</v>
      </c>
      <c r="B109" s="13" t="s">
        <v>77</v>
      </c>
      <c r="C109" s="14">
        <v>43152.5</v>
      </c>
      <c r="D109" s="13" t="s">
        <v>78</v>
      </c>
      <c r="E109" s="15" t="s">
        <v>79</v>
      </c>
      <c r="F109" s="13" t="s">
        <v>80</v>
      </c>
      <c r="G109" s="15" t="s">
        <v>81</v>
      </c>
      <c r="H109" s="13" t="s">
        <v>289</v>
      </c>
      <c r="I109" s="15" t="s">
        <v>290</v>
      </c>
      <c r="J109" s="15" t="s">
        <v>291</v>
      </c>
      <c r="K109" s="15" t="s">
        <v>292</v>
      </c>
      <c r="L109" s="13" t="s">
        <v>295</v>
      </c>
      <c r="M109" s="15" t="s">
        <v>296</v>
      </c>
      <c r="N109" s="13" t="s">
        <v>88</v>
      </c>
      <c r="O109" s="15" t="s">
        <v>97</v>
      </c>
      <c r="P109" s="15" t="s">
        <v>98</v>
      </c>
      <c r="Q109" s="15" t="s">
        <v>175</v>
      </c>
      <c r="R109" s="13" t="s">
        <v>176</v>
      </c>
      <c r="S109" s="13" t="s">
        <v>93</v>
      </c>
      <c r="T109" s="13" t="s">
        <v>94</v>
      </c>
      <c r="U109" s="14">
        <v>40725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5"/>
      <c r="AP109" s="13"/>
      <c r="AQ109" s="15"/>
      <c r="AR109" s="13"/>
      <c r="AS109" s="15"/>
      <c r="AT109" s="13"/>
      <c r="AU109" s="15"/>
      <c r="AV109" s="13"/>
      <c r="AW109" s="15"/>
      <c r="AX109" s="13"/>
      <c r="AY109" s="15"/>
      <c r="AZ109" s="13"/>
      <c r="BA109" s="15"/>
      <c r="BB109" s="13"/>
      <c r="BC109" s="15"/>
      <c r="BD109" s="13"/>
      <c r="BE109" s="15"/>
      <c r="BF109" s="13"/>
      <c r="BG109" s="15"/>
      <c r="BH109" s="13"/>
      <c r="BI109" s="15"/>
      <c r="BJ109" s="13"/>
      <c r="BK109" s="15"/>
      <c r="BL109" s="13"/>
      <c r="BM109" s="15"/>
      <c r="BN109" s="13"/>
      <c r="BO109" s="15"/>
      <c r="BP109" s="13"/>
      <c r="BQ109" s="15"/>
      <c r="BR109" s="13"/>
      <c r="BS109" s="15"/>
      <c r="BT109" s="13"/>
      <c r="BU109" s="15"/>
      <c r="BV109" s="13"/>
      <c r="BW109" s="15"/>
    </row>
    <row r="110" spans="1:75" ht="87" x14ac:dyDescent="0.35">
      <c r="A110" s="13" t="s">
        <v>76</v>
      </c>
      <c r="B110" s="13" t="s">
        <v>77</v>
      </c>
      <c r="C110" s="14">
        <v>43152.5</v>
      </c>
      <c r="D110" s="13" t="s">
        <v>78</v>
      </c>
      <c r="E110" s="15" t="s">
        <v>79</v>
      </c>
      <c r="F110" s="13" t="s">
        <v>80</v>
      </c>
      <c r="G110" s="15" t="s">
        <v>81</v>
      </c>
      <c r="H110" s="13" t="s">
        <v>289</v>
      </c>
      <c r="I110" s="15" t="s">
        <v>290</v>
      </c>
      <c r="J110" s="15" t="s">
        <v>291</v>
      </c>
      <c r="K110" s="15" t="s">
        <v>292</v>
      </c>
      <c r="L110" s="13" t="s">
        <v>297</v>
      </c>
      <c r="M110" s="15" t="s">
        <v>298</v>
      </c>
      <c r="N110" s="13" t="s">
        <v>101</v>
      </c>
      <c r="O110" s="15" t="s">
        <v>102</v>
      </c>
      <c r="P110" s="15" t="s">
        <v>103</v>
      </c>
      <c r="Q110" s="15" t="s">
        <v>175</v>
      </c>
      <c r="R110" s="13" t="s">
        <v>176</v>
      </c>
      <c r="S110" s="13" t="s">
        <v>93</v>
      </c>
      <c r="T110" s="13" t="s">
        <v>94</v>
      </c>
      <c r="U110" s="14">
        <v>40725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  <c r="AF110" s="13"/>
      <c r="AG110" s="15"/>
      <c r="AH110" s="13"/>
      <c r="AI110" s="15"/>
      <c r="AJ110" s="13"/>
      <c r="AK110" s="15"/>
      <c r="AL110" s="13"/>
      <c r="AM110" s="15"/>
      <c r="AN110" s="13"/>
      <c r="AO110" s="15"/>
      <c r="AP110" s="13"/>
      <c r="AQ110" s="15"/>
      <c r="AR110" s="13"/>
      <c r="AS110" s="15"/>
      <c r="AT110" s="13"/>
      <c r="AU110" s="15"/>
      <c r="AV110" s="13"/>
      <c r="AW110" s="15"/>
      <c r="AX110" s="13"/>
      <c r="AY110" s="15"/>
      <c r="AZ110" s="13"/>
      <c r="BA110" s="15"/>
      <c r="BB110" s="13"/>
      <c r="BC110" s="15"/>
      <c r="BD110" s="13"/>
      <c r="BE110" s="15"/>
      <c r="BF110" s="13"/>
      <c r="BG110" s="15"/>
      <c r="BH110" s="13"/>
      <c r="BI110" s="15"/>
      <c r="BJ110" s="13"/>
      <c r="BK110" s="15"/>
      <c r="BL110" s="13"/>
      <c r="BM110" s="15"/>
      <c r="BN110" s="13"/>
      <c r="BO110" s="15"/>
      <c r="BP110" s="13"/>
      <c r="BQ110" s="15"/>
      <c r="BR110" s="13"/>
      <c r="BS110" s="15"/>
      <c r="BT110" s="13"/>
      <c r="BU110" s="15"/>
      <c r="BV110" s="13"/>
      <c r="BW110" s="15"/>
    </row>
    <row r="111" spans="1:75" ht="101.5" x14ac:dyDescent="0.35">
      <c r="A111" s="13" t="s">
        <v>238</v>
      </c>
      <c r="B111" s="13" t="s">
        <v>109</v>
      </c>
      <c r="C111" s="14">
        <v>44368.708333333336</v>
      </c>
      <c r="D111" s="13" t="s">
        <v>78</v>
      </c>
      <c r="E111" s="15" t="s">
        <v>79</v>
      </c>
      <c r="F111" s="13" t="s">
        <v>80</v>
      </c>
      <c r="G111" s="15" t="s">
        <v>81</v>
      </c>
      <c r="H111" s="13" t="s">
        <v>289</v>
      </c>
      <c r="I111" s="15" t="s">
        <v>290</v>
      </c>
      <c r="J111" s="15" t="s">
        <v>291</v>
      </c>
      <c r="K111" s="15" t="s">
        <v>292</v>
      </c>
      <c r="L111" s="13" t="s">
        <v>293</v>
      </c>
      <c r="M111" s="15" t="s">
        <v>294</v>
      </c>
      <c r="N111" s="13" t="s">
        <v>88</v>
      </c>
      <c r="O111" s="15" t="s">
        <v>89</v>
      </c>
      <c r="P111" s="15" t="s">
        <v>90</v>
      </c>
      <c r="Q111" s="15" t="s">
        <v>177</v>
      </c>
      <c r="R111" s="13" t="s">
        <v>178</v>
      </c>
      <c r="S111" s="13" t="s">
        <v>179</v>
      </c>
      <c r="T111" s="13" t="s">
        <v>112</v>
      </c>
      <c r="U111" s="14">
        <v>40725</v>
      </c>
      <c r="V111" s="14"/>
      <c r="W111" s="15" t="s">
        <v>304</v>
      </c>
      <c r="X111" s="13" t="s">
        <v>181</v>
      </c>
      <c r="Y111" s="15" t="str">
        <f>VLOOKUP(X111,'Axe 2 Règles de gestion'!$D$2:$F$146,3, FALSE)</f>
        <v>L'agent doit présenter une demande de congé sans traitement.</v>
      </c>
      <c r="Z111" s="13" t="s">
        <v>182</v>
      </c>
      <c r="AA111" s="15" t="str">
        <f>VLOOKUP(Z111,'Axe 2 Règles de gestion'!$D$2:$F$146,3, FALSE)</f>
        <v>La demande est accordée de droit par le supérieur hiérarchique.</v>
      </c>
      <c r="AB111" s="13"/>
      <c r="AC111" s="15"/>
      <c r="AD111" s="13"/>
      <c r="AE111" s="15"/>
      <c r="AF111" s="13" t="s">
        <v>183</v>
      </c>
      <c r="AG111" s="15" t="str">
        <f>VLOOKUP(AF111,'Axe 2 Règles de gestion'!$D$2:$F$146,3, FALSE)</f>
        <v>La durée prévisionnelle maximale de chaque période est de un an.</v>
      </c>
      <c r="AH111" s="13" t="s">
        <v>184</v>
      </c>
      <c r="AI111" s="15" t="str">
        <f>VLOOKUP(AH111,'Axe 2 Règles de gestion'!$D$2:$F$146,3, FALSE)</f>
        <v>La durée réelle maximale de chaque période est de un an.</v>
      </c>
      <c r="AJ111" s="13" t="s">
        <v>185</v>
      </c>
      <c r="AK111" s="15" t="str">
        <f>VLOOKUP(AJ111,'Axe 2 Règles de gestion'!$D$2:$F$146,3, FALSE)</f>
        <v>L'agent ne peut pas bénéficier de plus de 3 ans cumulés de congé sans traitement quels que soient les motifs de congés sans traitement : pour raisons personnelles ou familiales.</v>
      </c>
      <c r="AL111" s="13" t="s">
        <v>305</v>
      </c>
      <c r="AM111" s="15" t="str">
        <f>VLOOKUP(AL111,'Axe 2 Règles de gestion'!$D$2:$F$146,3, FALSE)</f>
        <v>Le type de situation de famille de l'agent doit être "marié(e)" ou "pacsé(e)".</v>
      </c>
      <c r="AN111" s="13"/>
      <c r="AO111" s="15"/>
      <c r="AP111" s="13" t="s">
        <v>128</v>
      </c>
      <c r="AQ111" s="15" t="str">
        <f>VLOOKUP(AP111,'Axe 2 Règles de gestion'!$D$2:$F$146,3, FALSE)</f>
        <v>Lors de la demande initiale, l'agent doit être en activité.</v>
      </c>
      <c r="AR111" s="13" t="s">
        <v>130</v>
      </c>
      <c r="AS111" s="15" t="str">
        <f>VLOOKUP(AR111,'Axe 2 Règles de gestion'!$D$2:$F$146,3, FALSE)</f>
        <v>La date de début de la position doit être postérieure ou égale à la date d'entrée dans la FPE ou dans la carrière militaire.</v>
      </c>
      <c r="AT111" s="13" t="s">
        <v>132</v>
      </c>
      <c r="AU111" s="15" t="str">
        <f>VLOOKUP(AT111,'Axe 2 Règles de gestion'!$D$2:$F$146,3, FALSE)</f>
        <v>La date de début de position est à J+1 de la date de fin de position de l'occurrence précédente.</v>
      </c>
      <c r="AV111" s="13" t="s">
        <v>134</v>
      </c>
      <c r="AW111" s="15" t="str">
        <f>VLOOKUP(AV111,'Axe 2 Règles de gestion'!$D$2:$F$146,3, FALSE)</f>
        <v>La date de début de position doit être antérieure ou égale à la date de fin prévisionnelle de position.</v>
      </c>
      <c r="AX111" s="13" t="s">
        <v>136</v>
      </c>
      <c r="AY111" s="15" t="str">
        <f>VLOOKUP(AX111,'Axe 2 Règles de gestion'!$D$2:$F$146,3, FALSE)</f>
        <v>La date de début de position doit être antérieure ou égale à la date de fin réelle de position.</v>
      </c>
      <c r="AZ111" s="13" t="s">
        <v>138</v>
      </c>
      <c r="BA111" s="15" t="str">
        <f>VLOOKUP(AZ111,'Axe 2 Règles de gestion'!$D$2:$F$146,3, FALSE)</f>
        <v>La date de fin prévisionnelle de la position doit être antérieure à la date limite de départ à la retraite.</v>
      </c>
      <c r="BB111" s="13" t="s">
        <v>140</v>
      </c>
      <c r="BC111" s="15" t="str">
        <f>VLOOKUP(BB111,'Axe 2 Règles de gestion'!$D$2:$F$146,3, FALSE)</f>
        <v>La date de fin réelle de la position doit être antérieure à la date limite de départ à la retraite.</v>
      </c>
      <c r="BD111" s="13" t="s">
        <v>142</v>
      </c>
      <c r="BE111" s="15" t="str">
        <f>VLOOKUP(BD111,'Axe 2 Règles de gestion'!$D$2:$F$146,3, FALSE)</f>
        <v>La date de fin ou la date de fin prévisionnelle doit être saisie.</v>
      </c>
      <c r="BF111" s="13" t="s">
        <v>152</v>
      </c>
      <c r="BG111" s="15" t="str">
        <f>VLOOKUP(BF111,'Axe 2 Règles de gestion'!$D$2:$F$146,3, FALSE)</f>
        <v>La saisie d'une occurrence de congés/absences est interdite (date de fin réelle)</v>
      </c>
      <c r="BH111" s="13" t="s">
        <v>154</v>
      </c>
      <c r="BI111" s="15" t="str">
        <f>VLOOKUP(BH111,'Axe 2 Règles de gestion'!$D$2:$F$146,3, FALSE)</f>
        <v>La saisie d'une occurrence de congés/absences est interdite (date de fin prévisionnelle)</v>
      </c>
      <c r="BJ111" s="13"/>
      <c r="BK111" s="15"/>
      <c r="BL111" s="13"/>
      <c r="BM111" s="15"/>
      <c r="BN111" s="13"/>
      <c r="BO111" s="15"/>
      <c r="BP111" s="13"/>
      <c r="BQ111" s="15"/>
      <c r="BR111" s="13"/>
      <c r="BS111" s="15"/>
      <c r="BT111" s="13"/>
      <c r="BU111" s="15"/>
      <c r="BV111" s="13"/>
      <c r="BW111" s="15"/>
    </row>
    <row r="112" spans="1:75" ht="101.5" x14ac:dyDescent="0.35">
      <c r="A112" s="13" t="s">
        <v>238</v>
      </c>
      <c r="B112" s="13" t="s">
        <v>109</v>
      </c>
      <c r="C112" s="14">
        <v>44368.708333333336</v>
      </c>
      <c r="D112" s="13" t="s">
        <v>78</v>
      </c>
      <c r="E112" s="15" t="s">
        <v>79</v>
      </c>
      <c r="F112" s="13" t="s">
        <v>80</v>
      </c>
      <c r="G112" s="15" t="s">
        <v>81</v>
      </c>
      <c r="H112" s="13" t="s">
        <v>289</v>
      </c>
      <c r="I112" s="15" t="s">
        <v>290</v>
      </c>
      <c r="J112" s="15" t="s">
        <v>291</v>
      </c>
      <c r="K112" s="15" t="s">
        <v>292</v>
      </c>
      <c r="L112" s="13" t="s">
        <v>295</v>
      </c>
      <c r="M112" s="15" t="s">
        <v>296</v>
      </c>
      <c r="N112" s="13" t="s">
        <v>88</v>
      </c>
      <c r="O112" s="15" t="s">
        <v>97</v>
      </c>
      <c r="P112" s="15" t="s">
        <v>98</v>
      </c>
      <c r="Q112" s="15" t="s">
        <v>177</v>
      </c>
      <c r="R112" s="13" t="s">
        <v>178</v>
      </c>
      <c r="S112" s="13" t="s">
        <v>179</v>
      </c>
      <c r="T112" s="13" t="s">
        <v>112</v>
      </c>
      <c r="U112" s="14">
        <v>40725</v>
      </c>
      <c r="V112" s="14"/>
      <c r="W112" s="15" t="s">
        <v>306</v>
      </c>
      <c r="X112" s="13" t="s">
        <v>192</v>
      </c>
      <c r="Y112" s="15" t="str">
        <f>VLOOKUP(X112,'Axe 2 Règles de gestion'!$D$2:$F$146,3, FALSE)</f>
        <v>L'agent peut renouveler le congé sans traitement 2 fois.</v>
      </c>
      <c r="Z112" s="13"/>
      <c r="AA112" s="15"/>
      <c r="AB112" s="13"/>
      <c r="AC112" s="15"/>
      <c r="AD112" s="13"/>
      <c r="AE112" s="15"/>
      <c r="AF112" s="13" t="s">
        <v>183</v>
      </c>
      <c r="AG112" s="15" t="str">
        <f>VLOOKUP(AF112,'Axe 2 Règles de gestion'!$D$2:$F$146,3, FALSE)</f>
        <v>La durée prévisionnelle maximale de chaque période est de un an.</v>
      </c>
      <c r="AH112" s="13" t="s">
        <v>184</v>
      </c>
      <c r="AI112" s="15" t="str">
        <f>VLOOKUP(AH112,'Axe 2 Règles de gestion'!$D$2:$F$146,3, FALSE)</f>
        <v>La durée réelle maximale de chaque période est de un an.</v>
      </c>
      <c r="AJ112" s="13" t="s">
        <v>185</v>
      </c>
      <c r="AK112" s="15" t="str">
        <f>VLOOKUP(AJ112,'Axe 2 Règles de gestion'!$D$2:$F$146,3, FALSE)</f>
        <v>L'agent ne peut pas bénéficier de plus de 3 ans cumulés de congé sans traitement quels que soient les motifs de congés sans traitement : pour raisons personnelles ou familiales.</v>
      </c>
      <c r="AL112" s="13" t="s">
        <v>305</v>
      </c>
      <c r="AM112" s="15" t="str">
        <f>VLOOKUP(AL112,'Axe 2 Règles de gestion'!$D$2:$F$146,3, FALSE)</f>
        <v>Le type de situation de famille de l'agent doit être "marié(e)" ou "pacsé(e)".</v>
      </c>
      <c r="AN112" s="13"/>
      <c r="AO112" s="15"/>
      <c r="AP112" s="13" t="s">
        <v>130</v>
      </c>
      <c r="AQ112" s="15" t="str">
        <f>VLOOKUP(AP112,'Axe 2 Règles de gestion'!$D$2:$F$146,3, FALSE)</f>
        <v>La date de début de la position doit être postérieure ou égale à la date d'entrée dans la FPE ou dans la carrière militaire.</v>
      </c>
      <c r="AR112" s="13" t="s">
        <v>132</v>
      </c>
      <c r="AS112" s="15" t="str">
        <f>VLOOKUP(AR112,'Axe 2 Règles de gestion'!$D$2:$F$146,3, FALSE)</f>
        <v>La date de début de position est à J+1 de la date de fin de position de l'occurrence précédente.</v>
      </c>
      <c r="AT112" s="13" t="s">
        <v>134</v>
      </c>
      <c r="AU112" s="15" t="str">
        <f>VLOOKUP(AT112,'Axe 2 Règles de gestion'!$D$2:$F$146,3, FALSE)</f>
        <v>La date de début de position doit être antérieure ou égale à la date de fin prévisionnelle de position.</v>
      </c>
      <c r="AV112" s="13" t="s">
        <v>136</v>
      </c>
      <c r="AW112" s="15" t="str">
        <f>VLOOKUP(AV112,'Axe 2 Règles de gestion'!$D$2:$F$146,3, FALSE)</f>
        <v>La date de début de position doit être antérieure ou égale à la date de fin réelle de position.</v>
      </c>
      <c r="AX112" s="13" t="s">
        <v>138</v>
      </c>
      <c r="AY112" s="15" t="str">
        <f>VLOOKUP(AX112,'Axe 2 Règles de gestion'!$D$2:$F$146,3, FALSE)</f>
        <v>La date de fin prévisionnelle de la position doit être antérieure à la date limite de départ à la retraite.</v>
      </c>
      <c r="AZ112" s="13" t="s">
        <v>140</v>
      </c>
      <c r="BA112" s="15" t="str">
        <f>VLOOKUP(AZ112,'Axe 2 Règles de gestion'!$D$2:$F$146,3, FALSE)</f>
        <v>La date de fin réelle de la position doit être antérieure à la date limite de départ à la retraite.</v>
      </c>
      <c r="BB112" s="13" t="s">
        <v>142</v>
      </c>
      <c r="BC112" s="15" t="str">
        <f>VLOOKUP(BB112,'Axe 2 Règles de gestion'!$D$2:$F$146,3, FALSE)</f>
        <v>La date de fin ou la date de fin prévisionnelle doit être saisie.</v>
      </c>
      <c r="BD112" s="13" t="s">
        <v>152</v>
      </c>
      <c r="BE112" s="15" t="str">
        <f>VLOOKUP(BD112,'Axe 2 Règles de gestion'!$D$2:$F$146,3, FALSE)</f>
        <v>La saisie d'une occurrence de congés/absences est interdite (date de fin réelle)</v>
      </c>
      <c r="BF112" s="13" t="s">
        <v>154</v>
      </c>
      <c r="BG112" s="15" t="str">
        <f>VLOOKUP(BF112,'Axe 2 Règles de gestion'!$D$2:$F$146,3, FALSE)</f>
        <v>La saisie d'une occurrence de congés/absences est interdite (date de fin prévisionnelle)</v>
      </c>
      <c r="BH112" s="13"/>
      <c r="BI112" s="15"/>
      <c r="BJ112" s="13"/>
      <c r="BK112" s="15"/>
      <c r="BL112" s="13"/>
      <c r="BM112" s="15"/>
      <c r="BN112" s="13"/>
      <c r="BO112" s="15"/>
      <c r="BP112" s="13"/>
      <c r="BQ112" s="15"/>
      <c r="BR112" s="13"/>
      <c r="BS112" s="15"/>
      <c r="BT112" s="13"/>
      <c r="BU112" s="15"/>
      <c r="BV112" s="13"/>
      <c r="BW112" s="15"/>
    </row>
    <row r="113" spans="1:75" ht="130.5" x14ac:dyDescent="0.35">
      <c r="A113" s="13" t="s">
        <v>165</v>
      </c>
      <c r="B113" s="13" t="s">
        <v>109</v>
      </c>
      <c r="C113" s="14">
        <v>44715.407638888886</v>
      </c>
      <c r="D113" s="13" t="s">
        <v>78</v>
      </c>
      <c r="E113" s="15" t="s">
        <v>79</v>
      </c>
      <c r="F113" s="13" t="s">
        <v>80</v>
      </c>
      <c r="G113" s="15" t="s">
        <v>81</v>
      </c>
      <c r="H113" s="13" t="s">
        <v>289</v>
      </c>
      <c r="I113" s="15" t="s">
        <v>290</v>
      </c>
      <c r="J113" s="15" t="s">
        <v>291</v>
      </c>
      <c r="K113" s="15" t="s">
        <v>292</v>
      </c>
      <c r="L113" s="13" t="s">
        <v>297</v>
      </c>
      <c r="M113" s="15" t="s">
        <v>298</v>
      </c>
      <c r="N113" s="13" t="s">
        <v>101</v>
      </c>
      <c r="O113" s="15" t="s">
        <v>102</v>
      </c>
      <c r="P113" s="15" t="s">
        <v>103</v>
      </c>
      <c r="Q113" s="15" t="s">
        <v>177</v>
      </c>
      <c r="R113" s="13" t="s">
        <v>178</v>
      </c>
      <c r="S113" s="13" t="s">
        <v>179</v>
      </c>
      <c r="T113" s="13" t="s">
        <v>112</v>
      </c>
      <c r="U113" s="14">
        <v>40725</v>
      </c>
      <c r="V113" s="14">
        <v>44633</v>
      </c>
      <c r="W113" s="15" t="s">
        <v>307</v>
      </c>
      <c r="X113" s="13" t="s">
        <v>195</v>
      </c>
      <c r="Y113" s="15" t="str">
        <f>VLOOKUP(X113,'Axe 2 Règles de gestion'!$D$2:$F$146,3, FALSE)</f>
        <v>L'agent doit demander à reprendre ses fonctions 2 mois au moins avant l'expiration du congé en cours.</v>
      </c>
      <c r="Z113" s="13" t="s">
        <v>197</v>
      </c>
      <c r="AA113" s="15" t="str">
        <f>VLOOKUP(Z113,'Axe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13" s="13"/>
      <c r="AC113" s="15"/>
      <c r="AD113" s="13"/>
      <c r="AE113" s="15"/>
      <c r="AF113" s="13" t="s">
        <v>183</v>
      </c>
      <c r="AG113" s="15" t="str">
        <f>VLOOKUP(AF113,'Axe 2 Règles de gestion'!$D$2:$F$146,3, FALSE)</f>
        <v>La durée prévisionnelle maximale de chaque période est de un an.</v>
      </c>
      <c r="AH113" s="13" t="s">
        <v>184</v>
      </c>
      <c r="AI113" s="15" t="str">
        <f>VLOOKUP(AH113,'Axe 2 Règles de gestion'!$D$2:$F$146,3, FALSE)</f>
        <v>La durée réelle maximale de chaque période est de un an.</v>
      </c>
      <c r="AJ113" s="13" t="s">
        <v>185</v>
      </c>
      <c r="AK113" s="15" t="str">
        <f>VLOOKUP(AJ113,'Axe 2 Règles de gestion'!$D$2:$F$146,3, FALSE)</f>
        <v>L'agent ne peut pas bénéficier de plus de 3 ans cumulés de congé sans traitement quels que soient les motifs de congés sans traitement : pour raisons personnelles ou familiales.</v>
      </c>
      <c r="AL113" s="13" t="s">
        <v>305</v>
      </c>
      <c r="AM113" s="15" t="str">
        <f>VLOOKUP(AL113,'Axe 2 Règles de gestion'!$D$2:$F$146,3, FALSE)</f>
        <v>Le type de situation de famille de l'agent doit être "marié(e)" ou "pacsé(e)".</v>
      </c>
      <c r="AN113" s="13"/>
      <c r="AO113" s="15"/>
      <c r="AP113" s="13" t="s">
        <v>134</v>
      </c>
      <c r="AQ113" s="15" t="str">
        <f>VLOOKUP(AP113,'Axe 2 Règles de gestion'!$D$2:$F$146,3, FALSE)</f>
        <v>La date de début de position doit être antérieure ou égale à la date de fin prévisionnelle de position.</v>
      </c>
      <c r="AR113" s="13" t="s">
        <v>136</v>
      </c>
      <c r="AS113" s="15" t="str">
        <f>VLOOKUP(AR113,'Axe 2 Règles de gestion'!$D$2:$F$146,3, FALSE)</f>
        <v>La date de début de position doit être antérieure ou égale à la date de fin réelle de position.</v>
      </c>
      <c r="AT113" s="13" t="s">
        <v>138</v>
      </c>
      <c r="AU113" s="15" t="str">
        <f>VLOOKUP(AT113,'Axe 2 Règles de gestion'!$D$2:$F$146,3, FALSE)</f>
        <v>La date de fin prévisionnelle de la position doit être antérieure à la date limite de départ à la retraite.</v>
      </c>
      <c r="AV113" s="13" t="s">
        <v>140</v>
      </c>
      <c r="AW113" s="15" t="str">
        <f>VLOOKUP(AV113,'Axe 2 Règles de gestion'!$D$2:$F$146,3, FALSE)</f>
        <v>La date de fin réelle de la position doit être antérieure à la date limite de départ à la retraite.</v>
      </c>
      <c r="AX113" s="13" t="s">
        <v>142</v>
      </c>
      <c r="AY113" s="15" t="str">
        <f>VLOOKUP(AX113,'Axe 2 Règles de gestion'!$D$2:$F$146,3, FALSE)</f>
        <v>La date de fin ou la date de fin prévisionnelle doit être saisie.</v>
      </c>
      <c r="AZ113" s="13" t="s">
        <v>152</v>
      </c>
      <c r="BA113" s="15" t="str">
        <f>VLOOKUP(AZ113,'Axe 2 Règles de gestion'!$D$2:$F$146,3, FALSE)</f>
        <v>La saisie d'une occurrence de congés/absences est interdite (date de fin réelle)</v>
      </c>
      <c r="BB113" s="13" t="s">
        <v>154</v>
      </c>
      <c r="BC113" s="15" t="str">
        <f>VLOOKUP(BB113,'Axe 2 Règles de gestion'!$D$2:$F$146,3, FALSE)</f>
        <v>La saisie d'une occurrence de congés/absences est interdite (date de fin prévisionnelle)</v>
      </c>
      <c r="BD113" s="13"/>
      <c r="BE113" s="15"/>
      <c r="BF113" s="13"/>
      <c r="BG113" s="15"/>
      <c r="BH113" s="13"/>
      <c r="BI113" s="15"/>
      <c r="BJ113" s="13"/>
      <c r="BK113" s="15"/>
      <c r="BL113" s="13"/>
      <c r="BM113" s="15"/>
      <c r="BN113" s="13"/>
      <c r="BO113" s="15"/>
      <c r="BP113" s="13"/>
      <c r="BQ113" s="15"/>
      <c r="BR113" s="13"/>
      <c r="BS113" s="15"/>
      <c r="BT113" s="13"/>
      <c r="BU113" s="15"/>
      <c r="BV113" s="13"/>
      <c r="BW113" s="15"/>
    </row>
    <row r="114" spans="1:75" ht="145" x14ac:dyDescent="0.35">
      <c r="A114" s="13" t="s">
        <v>165</v>
      </c>
      <c r="B114" s="13" t="s">
        <v>77</v>
      </c>
      <c r="C114" s="14">
        <v>44715.408333333333</v>
      </c>
      <c r="D114" s="13" t="s">
        <v>78</v>
      </c>
      <c r="E114" s="15" t="s">
        <v>79</v>
      </c>
      <c r="F114" s="13" t="s">
        <v>80</v>
      </c>
      <c r="G114" s="15" t="s">
        <v>81</v>
      </c>
      <c r="H114" s="13" t="s">
        <v>289</v>
      </c>
      <c r="I114" s="15" t="s">
        <v>290</v>
      </c>
      <c r="J114" s="15" t="s">
        <v>291</v>
      </c>
      <c r="K114" s="15" t="s">
        <v>292</v>
      </c>
      <c r="L114" s="13" t="s">
        <v>297</v>
      </c>
      <c r="M114" s="15" t="s">
        <v>298</v>
      </c>
      <c r="N114" s="13" t="s">
        <v>101</v>
      </c>
      <c r="O114" s="15" t="s">
        <v>102</v>
      </c>
      <c r="P114" s="15" t="s">
        <v>103</v>
      </c>
      <c r="Q114" s="15" t="s">
        <v>177</v>
      </c>
      <c r="R114" s="13" t="s">
        <v>178</v>
      </c>
      <c r="S114" s="13" t="s">
        <v>179</v>
      </c>
      <c r="T114" s="13" t="s">
        <v>112</v>
      </c>
      <c r="U114" s="14">
        <v>44634</v>
      </c>
      <c r="V114" s="14"/>
      <c r="W114" s="15" t="s">
        <v>308</v>
      </c>
      <c r="X114" s="13" t="s">
        <v>195</v>
      </c>
      <c r="Y114" s="15" t="str">
        <f>VLOOKUP(X114,'Axe 2 Règles de gestion'!$D$2:$F$146,3, FALSE)</f>
        <v>L'agent doit demander à reprendre ses fonctions 2 mois au moins avant l'expiration du congé en cours.</v>
      </c>
      <c r="Z114" s="13" t="s">
        <v>199</v>
      </c>
      <c r="AA114" s="15" t="str">
        <f>VLOOKUP(Z114,'Axe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14" s="13"/>
      <c r="AC114" s="15"/>
      <c r="AD114" s="13"/>
      <c r="AE114" s="15"/>
      <c r="AF114" s="13" t="s">
        <v>183</v>
      </c>
      <c r="AG114" s="15" t="str">
        <f>VLOOKUP(AF114,'Axe 2 Règles de gestion'!$D$2:$F$146,3, FALSE)</f>
        <v>La durée prévisionnelle maximale de chaque période est de un an.</v>
      </c>
      <c r="AH114" s="13" t="s">
        <v>184</v>
      </c>
      <c r="AI114" s="15" t="str">
        <f>VLOOKUP(AH114,'Axe 2 Règles de gestion'!$D$2:$F$146,3, FALSE)</f>
        <v>La durée réelle maximale de chaque période est de un an.</v>
      </c>
      <c r="AJ114" s="13" t="s">
        <v>185</v>
      </c>
      <c r="AK114" s="15" t="str">
        <f>VLOOKUP(AJ114,'Axe 2 Règles de gestion'!$D$2:$F$146,3, FALSE)</f>
        <v>L'agent ne peut pas bénéficier de plus de 3 ans cumulés de congé sans traitement quels que soient les motifs de congés sans traitement : pour raisons personnelles ou familiales.</v>
      </c>
      <c r="AL114" s="13" t="s">
        <v>305</v>
      </c>
      <c r="AM114" s="15" t="str">
        <f>VLOOKUP(AL114,'Axe 2 Règles de gestion'!$D$2:$F$146,3, FALSE)</f>
        <v>Le type de situation de famille de l'agent doit être "marié(e)" ou "pacsé(e)".</v>
      </c>
      <c r="AN114" s="13"/>
      <c r="AO114" s="15"/>
      <c r="AP114" s="13" t="s">
        <v>134</v>
      </c>
      <c r="AQ114" s="15" t="str">
        <f>VLOOKUP(AP114,'Axe 2 Règles de gestion'!$D$2:$F$146,3, FALSE)</f>
        <v>La date de début de position doit être antérieure ou égale à la date de fin prévisionnelle de position.</v>
      </c>
      <c r="AR114" s="13" t="s">
        <v>136</v>
      </c>
      <c r="AS114" s="15" t="str">
        <f>VLOOKUP(AR114,'Axe 2 Règles de gestion'!$D$2:$F$146,3, FALSE)</f>
        <v>La date de début de position doit être antérieure ou égale à la date de fin réelle de position.</v>
      </c>
      <c r="AT114" s="13" t="s">
        <v>138</v>
      </c>
      <c r="AU114" s="15" t="str">
        <f>VLOOKUP(AT114,'Axe 2 Règles de gestion'!$D$2:$F$146,3, FALSE)</f>
        <v>La date de fin prévisionnelle de la position doit être antérieure à la date limite de départ à la retraite.</v>
      </c>
      <c r="AV114" s="13" t="s">
        <v>140</v>
      </c>
      <c r="AW114" s="15" t="str">
        <f>VLOOKUP(AV114,'Axe 2 Règles de gestion'!$D$2:$F$146,3, FALSE)</f>
        <v>La date de fin réelle de la position doit être antérieure à la date limite de départ à la retraite.</v>
      </c>
      <c r="AX114" s="13" t="s">
        <v>142</v>
      </c>
      <c r="AY114" s="15" t="str">
        <f>VLOOKUP(AX114,'Axe 2 Règles de gestion'!$D$2:$F$146,3, FALSE)</f>
        <v>La date de fin ou la date de fin prévisionnelle doit être saisie.</v>
      </c>
      <c r="AZ114" s="13" t="s">
        <v>152</v>
      </c>
      <c r="BA114" s="15" t="str">
        <f>VLOOKUP(AZ114,'Axe 2 Règles de gestion'!$D$2:$F$146,3, FALSE)</f>
        <v>La saisie d'une occurrence de congés/absences est interdite (date de fin réelle)</v>
      </c>
      <c r="BB114" s="13" t="s">
        <v>154</v>
      </c>
      <c r="BC114" s="15" t="str">
        <f>VLOOKUP(BB114,'Axe 2 Règles de gestion'!$D$2:$F$146,3, FALSE)</f>
        <v>La saisie d'une occurrence de congés/absences est interdite (date de fin prévisionnelle)</v>
      </c>
      <c r="BD114" s="13"/>
      <c r="BE114" s="15"/>
      <c r="BF114" s="13"/>
      <c r="BG114" s="15"/>
      <c r="BH114" s="13"/>
      <c r="BI114" s="15"/>
      <c r="BJ114" s="13"/>
      <c r="BK114" s="15"/>
      <c r="BL114" s="13"/>
      <c r="BM114" s="15"/>
      <c r="BN114" s="13"/>
      <c r="BO114" s="15"/>
      <c r="BP114" s="13"/>
      <c r="BQ114" s="15"/>
      <c r="BR114" s="13"/>
      <c r="BS114" s="15"/>
      <c r="BT114" s="13"/>
      <c r="BU114" s="15"/>
      <c r="BV114" s="13"/>
      <c r="BW114" s="15"/>
    </row>
    <row r="115" spans="1:75" ht="101.5" x14ac:dyDescent="0.35">
      <c r="A115" s="13" t="s">
        <v>238</v>
      </c>
      <c r="B115" s="13" t="s">
        <v>109</v>
      </c>
      <c r="C115" s="14">
        <v>44368.708333333336</v>
      </c>
      <c r="D115" s="13" t="s">
        <v>78</v>
      </c>
      <c r="E115" s="15" t="s">
        <v>79</v>
      </c>
      <c r="F115" s="13" t="s">
        <v>80</v>
      </c>
      <c r="G115" s="15" t="s">
        <v>81</v>
      </c>
      <c r="H115" s="13" t="s">
        <v>289</v>
      </c>
      <c r="I115" s="15" t="s">
        <v>290</v>
      </c>
      <c r="J115" s="15" t="s">
        <v>291</v>
      </c>
      <c r="K115" s="15" t="s">
        <v>292</v>
      </c>
      <c r="L115" s="13" t="s">
        <v>293</v>
      </c>
      <c r="M115" s="15" t="s">
        <v>294</v>
      </c>
      <c r="N115" s="13" t="s">
        <v>88</v>
      </c>
      <c r="O115" s="15" t="s">
        <v>89</v>
      </c>
      <c r="P115" s="15" t="s">
        <v>90</v>
      </c>
      <c r="Q115" s="15" t="s">
        <v>201</v>
      </c>
      <c r="R115" s="13" t="s">
        <v>202</v>
      </c>
      <c r="S115" s="13" t="s">
        <v>179</v>
      </c>
      <c r="T115" s="13" t="s">
        <v>112</v>
      </c>
      <c r="U115" s="14">
        <v>40725</v>
      </c>
      <c r="V115" s="14"/>
      <c r="W115" s="15" t="s">
        <v>309</v>
      </c>
      <c r="X115" s="13" t="s">
        <v>204</v>
      </c>
      <c r="Y115" s="15" t="str">
        <f>VLOOKUP(X115,'Axe 2 Règles de gestion'!$D$2:$F$146,3, FALSE)</f>
        <v>L'agent doit présenter une demande de congé sans traitement.</v>
      </c>
      <c r="Z115" s="13" t="s">
        <v>205</v>
      </c>
      <c r="AA115" s="15" t="str">
        <f>VLOOKUP(Z115,'Axe 2 Règles de gestion'!$D$2:$F$146,3, FALSE)</f>
        <v>La demande est accordée de droit par le supérieur hiérarchique.</v>
      </c>
      <c r="AB115" s="13"/>
      <c r="AC115" s="15"/>
      <c r="AD115" s="13"/>
      <c r="AE115" s="15"/>
      <c r="AF115" s="13" t="s">
        <v>206</v>
      </c>
      <c r="AG115" s="15" t="str">
        <f>VLOOKUP(AF115,'Axe 2 Règles de gestion'!$D$2:$F$146,3, FALSE)</f>
        <v>La durée prévisionnelle maximale de chaque période est de un an.</v>
      </c>
      <c r="AH115" s="13" t="s">
        <v>207</v>
      </c>
      <c r="AI115" s="15" t="str">
        <f>VLOOKUP(AH115,'Axe 2 Règles de gestion'!$D$2:$F$146,3, FALSE)</f>
        <v>La durée réelle maximale de chaque période est de un an.</v>
      </c>
      <c r="AJ115" s="13" t="s">
        <v>208</v>
      </c>
      <c r="AK115" s="15" t="str">
        <f>VLOOKUP(AJ115,'Axe 2 Règles de gestion'!$D$2:$F$146,3, FALSE)</f>
        <v>L'agent ne peut pas bénéficier de plus de 3 ans cumulés de congé sans traitement quels que soient les motifs de congés sans traitement : pour raisons personnelles ou familiales.</v>
      </c>
      <c r="AL115" s="13" t="s">
        <v>310</v>
      </c>
      <c r="AM115" s="15" t="str">
        <f>VLOOKUP(AL115,'Axe 2 Règles de gestion'!$D$2:$F$146,3, FALSE)</f>
        <v>Le type de situation de famille de l'agent doit être "marié(e)" ou "pacsé(e)".</v>
      </c>
      <c r="AN115" s="13"/>
      <c r="AO115" s="15"/>
      <c r="AP115" s="13" t="s">
        <v>128</v>
      </c>
      <c r="AQ115" s="15" t="str">
        <f>VLOOKUP(AP115,'Axe 2 Règles de gestion'!$D$2:$F$146,3, FALSE)</f>
        <v>Lors de la demande initiale, l'agent doit être en activité.</v>
      </c>
      <c r="AR115" s="13" t="s">
        <v>132</v>
      </c>
      <c r="AS115" s="15" t="str">
        <f>VLOOKUP(AR115,'Axe 2 Règles de gestion'!$D$2:$F$146,3, FALSE)</f>
        <v>La date de début de position est à J+1 de la date de fin de position de l'occurrence précédente.</v>
      </c>
      <c r="AT115" s="13" t="s">
        <v>134</v>
      </c>
      <c r="AU115" s="15" t="str">
        <f>VLOOKUP(AT115,'Axe 2 Règles de gestion'!$D$2:$F$146,3, FALSE)</f>
        <v>La date de début de position doit être antérieure ou égale à la date de fin prévisionnelle de position.</v>
      </c>
      <c r="AV115" s="13" t="s">
        <v>136</v>
      </c>
      <c r="AW115" s="15" t="str">
        <f>VLOOKUP(AV115,'Axe 2 Règles de gestion'!$D$2:$F$146,3, FALSE)</f>
        <v>La date de début de position doit être antérieure ou égale à la date de fin réelle de position.</v>
      </c>
      <c r="AX115" s="13" t="s">
        <v>138</v>
      </c>
      <c r="AY115" s="15" t="str">
        <f>VLOOKUP(AX115,'Axe 2 Règles de gestion'!$D$2:$F$146,3, FALSE)</f>
        <v>La date de fin prévisionnelle de la position doit être antérieure à la date limite de départ à la retraite.</v>
      </c>
      <c r="AZ115" s="13" t="s">
        <v>140</v>
      </c>
      <c r="BA115" s="15" t="str">
        <f>VLOOKUP(AZ115,'Axe 2 Règles de gestion'!$D$2:$F$146,3, FALSE)</f>
        <v>La date de fin réelle de la position doit être antérieure à la date limite de départ à la retraite.</v>
      </c>
      <c r="BB115" s="13" t="s">
        <v>142</v>
      </c>
      <c r="BC115" s="15" t="str">
        <f>VLOOKUP(BB115,'Axe 2 Règles de gestion'!$D$2:$F$146,3, FALSE)</f>
        <v>La date de fin ou la date de fin prévisionnelle doit être saisie.</v>
      </c>
      <c r="BD115" s="13" t="s">
        <v>211</v>
      </c>
      <c r="BE115" s="15" t="str">
        <f>VLOOKUP(BD115,'Axe 2 Règles de gestion'!$D$2:$F$146,3, FALSE)</f>
        <v>La date de début de la position doit être postérieure ou égale à la date de début du lien juridique.</v>
      </c>
      <c r="BF115" s="13" t="s">
        <v>213</v>
      </c>
      <c r="BG115" s="15" t="str">
        <f>VLOOKUP(BF115,'Axe 2 Règles de gestion'!$D$2:$F$146,3, FALSE)</f>
        <v>La date de fin réelle de la position doit être antérieure ou égale à la date de fin réelle ou prévisionnelle du lien juridique.</v>
      </c>
      <c r="BH115" s="13" t="s">
        <v>215</v>
      </c>
      <c r="BI115" s="15" t="str">
        <f>VLOOKUP(BH115,'Axe 2 Règles de gestion'!$D$2:$F$146,3, FALSE)</f>
        <v>La date de fin prévisionnelle de la position doit être antérieure ou égale à la date de fin réelle ou prévisionnelle du lien juridique.</v>
      </c>
      <c r="BJ115" s="13" t="s">
        <v>152</v>
      </c>
      <c r="BK115" s="15" t="str">
        <f>VLOOKUP(BJ115,'Axe 2 Règles de gestion'!$D$2:$F$146,3, FALSE)</f>
        <v>La saisie d'une occurrence de congés/absences est interdite (date de fin réelle)</v>
      </c>
      <c r="BL115" s="13" t="s">
        <v>154</v>
      </c>
      <c r="BM115" s="15" t="str">
        <f>VLOOKUP(BL115,'Axe 2 Règles de gestion'!$D$2:$F$146,3, FALSE)</f>
        <v>La saisie d'une occurrence de congés/absences est interdite (date de fin prévisionnelle)</v>
      </c>
      <c r="BN115" s="13"/>
      <c r="BO115" s="15"/>
      <c r="BP115" s="13"/>
      <c r="BQ115" s="15"/>
      <c r="BR115" s="13"/>
      <c r="BS115" s="15"/>
      <c r="BT115" s="13"/>
      <c r="BU115" s="15"/>
      <c r="BV115" s="13"/>
      <c r="BW115" s="15"/>
    </row>
    <row r="116" spans="1:75" ht="101.5" x14ac:dyDescent="0.35">
      <c r="A116" s="13" t="s">
        <v>238</v>
      </c>
      <c r="B116" s="13" t="s">
        <v>109</v>
      </c>
      <c r="C116" s="14">
        <v>44368.708333333336</v>
      </c>
      <c r="D116" s="13" t="s">
        <v>78</v>
      </c>
      <c r="E116" s="15" t="s">
        <v>79</v>
      </c>
      <c r="F116" s="13" t="s">
        <v>80</v>
      </c>
      <c r="G116" s="15" t="s">
        <v>81</v>
      </c>
      <c r="H116" s="13" t="s">
        <v>289</v>
      </c>
      <c r="I116" s="15" t="s">
        <v>290</v>
      </c>
      <c r="J116" s="15" t="s">
        <v>291</v>
      </c>
      <c r="K116" s="15" t="s">
        <v>292</v>
      </c>
      <c r="L116" s="13" t="s">
        <v>295</v>
      </c>
      <c r="M116" s="15" t="s">
        <v>296</v>
      </c>
      <c r="N116" s="13" t="s">
        <v>88</v>
      </c>
      <c r="O116" s="15" t="s">
        <v>97</v>
      </c>
      <c r="P116" s="15" t="s">
        <v>98</v>
      </c>
      <c r="Q116" s="15" t="s">
        <v>201</v>
      </c>
      <c r="R116" s="13" t="s">
        <v>202</v>
      </c>
      <c r="S116" s="13" t="s">
        <v>179</v>
      </c>
      <c r="T116" s="13" t="s">
        <v>112</v>
      </c>
      <c r="U116" s="14">
        <v>40725</v>
      </c>
      <c r="V116" s="14"/>
      <c r="W116" s="15" t="s">
        <v>311</v>
      </c>
      <c r="X116" s="13" t="s">
        <v>220</v>
      </c>
      <c r="Y116" s="15" t="str">
        <f>VLOOKUP(X116,'Axe 2 Règles de gestion'!$D$2:$F$146,3, FALSE)</f>
        <v>L'agent peut renouveler le congé sans traitement 2 fois.</v>
      </c>
      <c r="Z116" s="13"/>
      <c r="AA116" s="15"/>
      <c r="AB116" s="13"/>
      <c r="AC116" s="15"/>
      <c r="AD116" s="13"/>
      <c r="AE116" s="15"/>
      <c r="AF116" s="13" t="s">
        <v>206</v>
      </c>
      <c r="AG116" s="15" t="str">
        <f>VLOOKUP(AF116,'Axe 2 Règles de gestion'!$D$2:$F$146,3, FALSE)</f>
        <v>La durée prévisionnelle maximale de chaque période est de un an.</v>
      </c>
      <c r="AH116" s="13" t="s">
        <v>207</v>
      </c>
      <c r="AI116" s="15" t="str">
        <f>VLOOKUP(AH116,'Axe 2 Règles de gestion'!$D$2:$F$146,3, FALSE)</f>
        <v>La durée réelle maximale de chaque période est de un an.</v>
      </c>
      <c r="AJ116" s="13" t="s">
        <v>208</v>
      </c>
      <c r="AK116" s="15" t="str">
        <f>VLOOKUP(AJ116,'Axe 2 Règles de gestion'!$D$2:$F$146,3, FALSE)</f>
        <v>L'agent ne peut pas bénéficier de plus de 3 ans cumulés de congé sans traitement quels que soient les motifs de congés sans traitement : pour raisons personnelles ou familiales.</v>
      </c>
      <c r="AL116" s="13" t="s">
        <v>310</v>
      </c>
      <c r="AM116" s="15" t="str">
        <f>VLOOKUP(AL116,'Axe 2 Règles de gestion'!$D$2:$F$146,3, FALSE)</f>
        <v>Le type de situation de famille de l'agent doit être "marié(e)" ou "pacsé(e)".</v>
      </c>
      <c r="AN116" s="13"/>
      <c r="AO116" s="15"/>
      <c r="AP116" s="13" t="s">
        <v>132</v>
      </c>
      <c r="AQ116" s="15" t="str">
        <f>VLOOKUP(AP116,'Axe 2 Règles de gestion'!$D$2:$F$146,3, FALSE)</f>
        <v>La date de début de position est à J+1 de la date de fin de position de l'occurrence précédente.</v>
      </c>
      <c r="AR116" s="13" t="s">
        <v>134</v>
      </c>
      <c r="AS116" s="15" t="str">
        <f>VLOOKUP(AR116,'Axe 2 Règles de gestion'!$D$2:$F$146,3, FALSE)</f>
        <v>La date de début de position doit être antérieure ou égale à la date de fin prévisionnelle de position.</v>
      </c>
      <c r="AT116" s="13" t="s">
        <v>136</v>
      </c>
      <c r="AU116" s="15" t="str">
        <f>VLOOKUP(AT116,'Axe 2 Règles de gestion'!$D$2:$F$146,3, FALSE)</f>
        <v>La date de début de position doit être antérieure ou égale à la date de fin réelle de position.</v>
      </c>
      <c r="AV116" s="13" t="s">
        <v>138</v>
      </c>
      <c r="AW116" s="15" t="str">
        <f>VLOOKUP(AV116,'Axe 2 Règles de gestion'!$D$2:$F$146,3, FALSE)</f>
        <v>La date de fin prévisionnelle de la position doit être antérieure à la date limite de départ à la retraite.</v>
      </c>
      <c r="AX116" s="13" t="s">
        <v>140</v>
      </c>
      <c r="AY116" s="15" t="str">
        <f>VLOOKUP(AX116,'Axe 2 Règles de gestion'!$D$2:$F$146,3, FALSE)</f>
        <v>La date de fin réelle de la position doit être antérieure à la date limite de départ à la retraite.</v>
      </c>
      <c r="AZ116" s="13" t="s">
        <v>142</v>
      </c>
      <c r="BA116" s="15" t="str">
        <f>VLOOKUP(AZ116,'Axe 2 Règles de gestion'!$D$2:$F$146,3, FALSE)</f>
        <v>La date de fin ou la date de fin prévisionnelle doit être saisie.</v>
      </c>
      <c r="BB116" s="13" t="s">
        <v>211</v>
      </c>
      <c r="BC116" s="15" t="str">
        <f>VLOOKUP(BB116,'Axe 2 Règles de gestion'!$D$2:$F$146,3, FALSE)</f>
        <v>La date de début de la position doit être postérieure ou égale à la date de début du lien juridique.</v>
      </c>
      <c r="BD116" s="13" t="s">
        <v>213</v>
      </c>
      <c r="BE116" s="15" t="str">
        <f>VLOOKUP(BD116,'Axe 2 Règles de gestion'!$D$2:$F$146,3, FALSE)</f>
        <v>La date de fin réelle de la position doit être antérieure ou égale à la date de fin réelle ou prévisionnelle du lien juridique.</v>
      </c>
      <c r="BF116" s="13" t="s">
        <v>215</v>
      </c>
      <c r="BG116" s="15" t="str">
        <f>VLOOKUP(BF116,'Axe 2 Règles de gestion'!$D$2:$F$146,3, FALSE)</f>
        <v>La date de fin prévisionnelle de la position doit être antérieure ou égale à la date de fin réelle ou prévisionnelle du lien juridique.</v>
      </c>
      <c r="BH116" s="13" t="s">
        <v>152</v>
      </c>
      <c r="BI116" s="15" t="str">
        <f>VLOOKUP(BH116,'Axe 2 Règles de gestion'!$D$2:$F$146,3, FALSE)</f>
        <v>La saisie d'une occurrence de congés/absences est interdite (date de fin réelle)</v>
      </c>
      <c r="BJ116" s="13" t="s">
        <v>154</v>
      </c>
      <c r="BK116" s="15" t="str">
        <f>VLOOKUP(BJ116,'Axe 2 Règles de gestion'!$D$2:$F$146,3, FALSE)</f>
        <v>La saisie d'une occurrence de congés/absences est interdite (date de fin prévisionnelle)</v>
      </c>
      <c r="BL116" s="13"/>
      <c r="BM116" s="15"/>
      <c r="BN116" s="13"/>
      <c r="BO116" s="15"/>
      <c r="BP116" s="13"/>
      <c r="BQ116" s="15"/>
      <c r="BR116" s="13"/>
      <c r="BS116" s="15"/>
      <c r="BT116" s="13"/>
      <c r="BU116" s="15"/>
      <c r="BV116" s="13"/>
      <c r="BW116" s="15"/>
    </row>
    <row r="117" spans="1:75" ht="130.5" x14ac:dyDescent="0.35">
      <c r="A117" s="13" t="s">
        <v>165</v>
      </c>
      <c r="B117" s="13" t="s">
        <v>109</v>
      </c>
      <c r="C117" s="14">
        <v>44715.404861111114</v>
      </c>
      <c r="D117" s="13" t="s">
        <v>78</v>
      </c>
      <c r="E117" s="15" t="s">
        <v>79</v>
      </c>
      <c r="F117" s="13" t="s">
        <v>80</v>
      </c>
      <c r="G117" s="15" t="s">
        <v>81</v>
      </c>
      <c r="H117" s="13" t="s">
        <v>289</v>
      </c>
      <c r="I117" s="15" t="s">
        <v>290</v>
      </c>
      <c r="J117" s="15" t="s">
        <v>291</v>
      </c>
      <c r="K117" s="15" t="s">
        <v>292</v>
      </c>
      <c r="L117" s="13" t="s">
        <v>297</v>
      </c>
      <c r="M117" s="15" t="s">
        <v>298</v>
      </c>
      <c r="N117" s="13" t="s">
        <v>101</v>
      </c>
      <c r="O117" s="15" t="s">
        <v>102</v>
      </c>
      <c r="P117" s="15" t="s">
        <v>103</v>
      </c>
      <c r="Q117" s="15" t="s">
        <v>201</v>
      </c>
      <c r="R117" s="13" t="s">
        <v>202</v>
      </c>
      <c r="S117" s="13" t="s">
        <v>179</v>
      </c>
      <c r="T117" s="13" t="s">
        <v>112</v>
      </c>
      <c r="U117" s="14">
        <v>40725</v>
      </c>
      <c r="V117" s="14">
        <v>44633</v>
      </c>
      <c r="W117" s="15" t="s">
        <v>312</v>
      </c>
      <c r="X117" s="13" t="s">
        <v>223</v>
      </c>
      <c r="Y117" s="15" t="str">
        <f>VLOOKUP(X117,'Axe 2 Règles de gestion'!$D$2:$F$146,3, FALSE)</f>
        <v>L'agent doit demander à reprendre ses fonctions 2 mois au moins avant l'expiration du congé en cours.</v>
      </c>
      <c r="Z117" s="13" t="s">
        <v>224</v>
      </c>
      <c r="AA117" s="15" t="str">
        <f>VLOOKUP(Z117,'Axe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17" s="13"/>
      <c r="AC117" s="15"/>
      <c r="AD117" s="13"/>
      <c r="AE117" s="15"/>
      <c r="AF117" s="13" t="s">
        <v>206</v>
      </c>
      <c r="AG117" s="15" t="str">
        <f>VLOOKUP(AF117,'Axe 2 Règles de gestion'!$D$2:$F$146,3, FALSE)</f>
        <v>La durée prévisionnelle maximale de chaque période est de un an.</v>
      </c>
      <c r="AH117" s="13" t="s">
        <v>207</v>
      </c>
      <c r="AI117" s="15" t="str">
        <f>VLOOKUP(AH117,'Axe 2 Règles de gestion'!$D$2:$F$146,3, FALSE)</f>
        <v>La durée réelle maximale de chaque période est de un an.</v>
      </c>
      <c r="AJ117" s="13" t="s">
        <v>208</v>
      </c>
      <c r="AK117" s="15" t="str">
        <f>VLOOKUP(AJ117,'Axe 2 Règles de gestion'!$D$2:$F$146,3, FALSE)</f>
        <v>L'agent ne peut pas bénéficier de plus de 3 ans cumulés de congé sans traitement quels que soient les motifs de congés sans traitement : pour raisons personnelles ou familiales.</v>
      </c>
      <c r="AL117" s="13" t="s">
        <v>310</v>
      </c>
      <c r="AM117" s="15" t="str">
        <f>VLOOKUP(AL117,'Axe 2 Règles de gestion'!$D$2:$F$146,3, FALSE)</f>
        <v>Le type de situation de famille de l'agent doit être "marié(e)" ou "pacsé(e)".</v>
      </c>
      <c r="AN117" s="13"/>
      <c r="AO117" s="15"/>
      <c r="AP117" s="13" t="s">
        <v>134</v>
      </c>
      <c r="AQ117" s="15" t="str">
        <f>VLOOKUP(AP117,'Axe 2 Règles de gestion'!$D$2:$F$146,3, FALSE)</f>
        <v>La date de début de position doit être antérieure ou égale à la date de fin prévisionnelle de position.</v>
      </c>
      <c r="AR117" s="13" t="s">
        <v>136</v>
      </c>
      <c r="AS117" s="15" t="str">
        <f>VLOOKUP(AR117,'Axe 2 Règles de gestion'!$D$2:$F$146,3, FALSE)</f>
        <v>La date de début de position doit être antérieure ou égale à la date de fin réelle de position.</v>
      </c>
      <c r="AT117" s="13" t="s">
        <v>138</v>
      </c>
      <c r="AU117" s="15" t="str">
        <f>VLOOKUP(AT117,'Axe 2 Règles de gestion'!$D$2:$F$146,3, FALSE)</f>
        <v>La date de fin prévisionnelle de la position doit être antérieure à la date limite de départ à la retraite.</v>
      </c>
      <c r="AV117" s="13" t="s">
        <v>140</v>
      </c>
      <c r="AW117" s="15" t="str">
        <f>VLOOKUP(AV117,'Axe 2 Règles de gestion'!$D$2:$F$146,3, FALSE)</f>
        <v>La date de fin réelle de la position doit être antérieure à la date limite de départ à la retraite.</v>
      </c>
      <c r="AX117" s="13" t="s">
        <v>142</v>
      </c>
      <c r="AY117" s="15" t="str">
        <f>VLOOKUP(AX117,'Axe 2 Règles de gestion'!$D$2:$F$146,3, FALSE)</f>
        <v>La date de fin ou la date de fin prévisionnelle doit être saisie.</v>
      </c>
      <c r="AZ117" s="13" t="s">
        <v>213</v>
      </c>
      <c r="BA117" s="15" t="str">
        <f>VLOOKUP(AZ117,'Axe 2 Règles de gestion'!$D$2:$F$146,3, FALSE)</f>
        <v>La date de fin réelle de la position doit être antérieure ou égale à la date de fin réelle ou prévisionnelle du lien juridique.</v>
      </c>
      <c r="BB117" s="13" t="s">
        <v>215</v>
      </c>
      <c r="BC117" s="15" t="str">
        <f>VLOOKUP(BB117,'Axe 2 Règles de gestion'!$D$2:$F$146,3, FALSE)</f>
        <v>La date de fin prévisionnelle de la position doit être antérieure ou égale à la date de fin réelle ou prévisionnelle du lien juridique.</v>
      </c>
      <c r="BD117" s="13" t="s">
        <v>152</v>
      </c>
      <c r="BE117" s="15" t="str">
        <f>VLOOKUP(BD117,'Axe 2 Règles de gestion'!$D$2:$F$146,3, FALSE)</f>
        <v>La saisie d'une occurrence de congés/absences est interdite (date de fin réelle)</v>
      </c>
      <c r="BF117" s="13" t="s">
        <v>154</v>
      </c>
      <c r="BG117" s="15" t="str">
        <f>VLOOKUP(BF117,'Axe 2 Règles de gestion'!$D$2:$F$146,3, FALSE)</f>
        <v>La saisie d'une occurrence de congés/absences est interdite (date de fin prévisionnelle)</v>
      </c>
      <c r="BH117" s="13"/>
      <c r="BI117" s="15"/>
      <c r="BJ117" s="13"/>
      <c r="BK117" s="15"/>
      <c r="BL117" s="13"/>
      <c r="BM117" s="15"/>
      <c r="BN117" s="13"/>
      <c r="BO117" s="15"/>
      <c r="BP117" s="13"/>
      <c r="BQ117" s="15"/>
      <c r="BR117" s="13"/>
      <c r="BS117" s="15"/>
      <c r="BT117" s="13"/>
      <c r="BU117" s="15"/>
      <c r="BV117" s="13"/>
      <c r="BW117" s="15"/>
    </row>
    <row r="118" spans="1:75" ht="145" x14ac:dyDescent="0.35">
      <c r="A118" s="13" t="s">
        <v>165</v>
      </c>
      <c r="B118" s="13" t="s">
        <v>77</v>
      </c>
      <c r="C118" s="14">
        <v>44715.406944444447</v>
      </c>
      <c r="D118" s="13" t="s">
        <v>78</v>
      </c>
      <c r="E118" s="15" t="s">
        <v>79</v>
      </c>
      <c r="F118" s="13" t="s">
        <v>80</v>
      </c>
      <c r="G118" s="15" t="s">
        <v>81</v>
      </c>
      <c r="H118" s="13" t="s">
        <v>289</v>
      </c>
      <c r="I118" s="15" t="s">
        <v>290</v>
      </c>
      <c r="J118" s="15" t="s">
        <v>291</v>
      </c>
      <c r="K118" s="15" t="s">
        <v>292</v>
      </c>
      <c r="L118" s="13" t="s">
        <v>297</v>
      </c>
      <c r="M118" s="15" t="s">
        <v>298</v>
      </c>
      <c r="N118" s="13" t="s">
        <v>101</v>
      </c>
      <c r="O118" s="15" t="s">
        <v>102</v>
      </c>
      <c r="P118" s="15" t="s">
        <v>103</v>
      </c>
      <c r="Q118" s="15" t="s">
        <v>201</v>
      </c>
      <c r="R118" s="13" t="s">
        <v>202</v>
      </c>
      <c r="S118" s="13" t="s">
        <v>179</v>
      </c>
      <c r="T118" s="13" t="s">
        <v>112</v>
      </c>
      <c r="U118" s="14">
        <v>44634</v>
      </c>
      <c r="V118" s="14"/>
      <c r="W118" s="15" t="s">
        <v>313</v>
      </c>
      <c r="X118" s="13" t="s">
        <v>223</v>
      </c>
      <c r="Y118" s="15" t="str">
        <f>VLOOKUP(X118,'Axe 2 Règles de gestion'!$D$2:$F$146,3, FALSE)</f>
        <v>L'agent doit demander à reprendre ses fonctions 2 mois au moins avant l'expiration du congé en cours.</v>
      </c>
      <c r="Z118" s="13" t="s">
        <v>226</v>
      </c>
      <c r="AA118" s="15" t="str">
        <f>VLOOKUP(Z118,'Axe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18" s="13"/>
      <c r="AC118" s="15"/>
      <c r="AD118" s="13"/>
      <c r="AE118" s="15"/>
      <c r="AF118" s="13" t="s">
        <v>206</v>
      </c>
      <c r="AG118" s="15" t="str">
        <f>VLOOKUP(AF118,'Axe 2 Règles de gestion'!$D$2:$F$146,3, FALSE)</f>
        <v>La durée prévisionnelle maximale de chaque période est de un an.</v>
      </c>
      <c r="AH118" s="13" t="s">
        <v>207</v>
      </c>
      <c r="AI118" s="15" t="str">
        <f>VLOOKUP(AH118,'Axe 2 Règles de gestion'!$D$2:$F$146,3, FALSE)</f>
        <v>La durée réelle maximale de chaque période est de un an.</v>
      </c>
      <c r="AJ118" s="13" t="s">
        <v>208</v>
      </c>
      <c r="AK118" s="15" t="str">
        <f>VLOOKUP(AJ118,'Axe 2 Règles de gestion'!$D$2:$F$146,3, FALSE)</f>
        <v>L'agent ne peut pas bénéficier de plus de 3 ans cumulés de congé sans traitement quels que soient les motifs de congés sans traitement : pour raisons personnelles ou familiales.</v>
      </c>
      <c r="AL118" s="13" t="s">
        <v>310</v>
      </c>
      <c r="AM118" s="15" t="str">
        <f>VLOOKUP(AL118,'Axe 2 Règles de gestion'!$D$2:$F$146,3, FALSE)</f>
        <v>Le type de situation de famille de l'agent doit être "marié(e)" ou "pacsé(e)".</v>
      </c>
      <c r="AN118" s="13"/>
      <c r="AO118" s="15"/>
      <c r="AP118" s="13" t="s">
        <v>134</v>
      </c>
      <c r="AQ118" s="15" t="str">
        <f>VLOOKUP(AP118,'Axe 2 Règles de gestion'!$D$2:$F$146,3, FALSE)</f>
        <v>La date de début de position doit être antérieure ou égale à la date de fin prévisionnelle de position.</v>
      </c>
      <c r="AR118" s="13" t="s">
        <v>136</v>
      </c>
      <c r="AS118" s="15" t="str">
        <f>VLOOKUP(AR118,'Axe 2 Règles de gestion'!$D$2:$F$146,3, FALSE)</f>
        <v>La date de début de position doit être antérieure ou égale à la date de fin réelle de position.</v>
      </c>
      <c r="AT118" s="13" t="s">
        <v>138</v>
      </c>
      <c r="AU118" s="15" t="str">
        <f>VLOOKUP(AT118,'Axe 2 Règles de gestion'!$D$2:$F$146,3, FALSE)</f>
        <v>La date de fin prévisionnelle de la position doit être antérieure à la date limite de départ à la retraite.</v>
      </c>
      <c r="AV118" s="13" t="s">
        <v>140</v>
      </c>
      <c r="AW118" s="15" t="str">
        <f>VLOOKUP(AV118,'Axe 2 Règles de gestion'!$D$2:$F$146,3, FALSE)</f>
        <v>La date de fin réelle de la position doit être antérieure à la date limite de départ à la retraite.</v>
      </c>
      <c r="AX118" s="13" t="s">
        <v>142</v>
      </c>
      <c r="AY118" s="15" t="str">
        <f>VLOOKUP(AX118,'Axe 2 Règles de gestion'!$D$2:$F$146,3, FALSE)</f>
        <v>La date de fin ou la date de fin prévisionnelle doit être saisie.</v>
      </c>
      <c r="AZ118" s="13" t="s">
        <v>213</v>
      </c>
      <c r="BA118" s="15" t="str">
        <f>VLOOKUP(AZ118,'Axe 2 Règles de gestion'!$D$2:$F$146,3, FALSE)</f>
        <v>La date de fin réelle de la position doit être antérieure ou égale à la date de fin réelle ou prévisionnelle du lien juridique.</v>
      </c>
      <c r="BB118" s="13" t="s">
        <v>215</v>
      </c>
      <c r="BC118" s="15" t="str">
        <f>VLOOKUP(BB118,'Axe 2 Règles de gestion'!$D$2:$F$146,3, FALSE)</f>
        <v>La date de fin prévisionnelle de la position doit être antérieure ou égale à la date de fin réelle ou prévisionnelle du lien juridique.</v>
      </c>
      <c r="BD118" s="13" t="s">
        <v>152</v>
      </c>
      <c r="BE118" s="15" t="str">
        <f>VLOOKUP(BD118,'Axe 2 Règles de gestion'!$D$2:$F$146,3, FALSE)</f>
        <v>La saisie d'une occurrence de congés/absences est interdite (date de fin réelle)</v>
      </c>
      <c r="BF118" s="13" t="s">
        <v>154</v>
      </c>
      <c r="BG118" s="15" t="str">
        <f>VLOOKUP(BF118,'Axe 2 Règles de gestion'!$D$2:$F$146,3, FALSE)</f>
        <v>La saisie d'une occurrence de congés/absences est interdite (date de fin prévisionnelle)</v>
      </c>
      <c r="BH118" s="13"/>
      <c r="BI118" s="15"/>
      <c r="BJ118" s="13"/>
      <c r="BK118" s="15"/>
      <c r="BL118" s="13"/>
      <c r="BM118" s="15"/>
      <c r="BN118" s="13"/>
      <c r="BO118" s="15"/>
      <c r="BP118" s="13"/>
      <c r="BQ118" s="15"/>
      <c r="BR118" s="13"/>
      <c r="BS118" s="15"/>
      <c r="BT118" s="13"/>
      <c r="BU118" s="15"/>
      <c r="BV118" s="13"/>
      <c r="BW118" s="15"/>
    </row>
    <row r="119" spans="1:75" ht="72.5" x14ac:dyDescent="0.35">
      <c r="A119" s="13" t="s">
        <v>76</v>
      </c>
      <c r="B119" s="13" t="s">
        <v>77</v>
      </c>
      <c r="C119" s="14">
        <v>43152.5</v>
      </c>
      <c r="D119" s="13" t="s">
        <v>78</v>
      </c>
      <c r="E119" s="15" t="s">
        <v>79</v>
      </c>
      <c r="F119" s="13" t="s">
        <v>80</v>
      </c>
      <c r="G119" s="15" t="s">
        <v>81</v>
      </c>
      <c r="H119" s="13" t="s">
        <v>314</v>
      </c>
      <c r="I119" s="15" t="s">
        <v>315</v>
      </c>
      <c r="J119" s="15" t="s">
        <v>316</v>
      </c>
      <c r="K119" s="15" t="s">
        <v>317</v>
      </c>
      <c r="L119" s="13" t="s">
        <v>318</v>
      </c>
      <c r="M119" s="15" t="s">
        <v>319</v>
      </c>
      <c r="N119" s="13" t="s">
        <v>88</v>
      </c>
      <c r="O119" s="15" t="s">
        <v>89</v>
      </c>
      <c r="P119" s="15" t="s">
        <v>90</v>
      </c>
      <c r="Q119" s="15" t="s">
        <v>91</v>
      </c>
      <c r="R119" s="13" t="s">
        <v>92</v>
      </c>
      <c r="S119" s="13" t="s">
        <v>93</v>
      </c>
      <c r="T119" s="13" t="s">
        <v>94</v>
      </c>
      <c r="U119" s="14">
        <v>40725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/>
      <c r="AK119" s="15"/>
      <c r="AL119" s="13"/>
      <c r="AM119" s="15"/>
      <c r="AN119" s="13"/>
      <c r="AO119" s="15"/>
      <c r="AP119" s="13"/>
      <c r="AQ119" s="15"/>
      <c r="AR119" s="13"/>
      <c r="AS119" s="15"/>
      <c r="AT119" s="13"/>
      <c r="AU119" s="15"/>
      <c r="AV119" s="13"/>
      <c r="AW119" s="15"/>
      <c r="AX119" s="13"/>
      <c r="AY119" s="15"/>
      <c r="AZ119" s="13"/>
      <c r="BA119" s="15"/>
      <c r="BB119" s="13"/>
      <c r="BC119" s="15"/>
      <c r="BD119" s="13"/>
      <c r="BE119" s="15"/>
      <c r="BF119" s="13"/>
      <c r="BG119" s="15"/>
      <c r="BH119" s="13"/>
      <c r="BI119" s="15"/>
      <c r="BJ119" s="13"/>
      <c r="BK119" s="15"/>
      <c r="BL119" s="13"/>
      <c r="BM119" s="15"/>
      <c r="BN119" s="13"/>
      <c r="BO119" s="15"/>
      <c r="BP119" s="13"/>
      <c r="BQ119" s="15"/>
      <c r="BR119" s="13"/>
      <c r="BS119" s="15"/>
      <c r="BT119" s="13"/>
      <c r="BU119" s="15"/>
      <c r="BV119" s="13"/>
      <c r="BW119" s="15"/>
    </row>
    <row r="120" spans="1:75" ht="72.5" x14ac:dyDescent="0.35">
      <c r="A120" s="13" t="s">
        <v>76</v>
      </c>
      <c r="B120" s="13" t="s">
        <v>77</v>
      </c>
      <c r="C120" s="14">
        <v>43152.5</v>
      </c>
      <c r="D120" s="13" t="s">
        <v>78</v>
      </c>
      <c r="E120" s="15" t="s">
        <v>79</v>
      </c>
      <c r="F120" s="13" t="s">
        <v>80</v>
      </c>
      <c r="G120" s="15" t="s">
        <v>81</v>
      </c>
      <c r="H120" s="13" t="s">
        <v>314</v>
      </c>
      <c r="I120" s="15" t="s">
        <v>315</v>
      </c>
      <c r="J120" s="15" t="s">
        <v>316</v>
      </c>
      <c r="K120" s="15" t="s">
        <v>317</v>
      </c>
      <c r="L120" s="13" t="s">
        <v>320</v>
      </c>
      <c r="M120" s="15" t="s">
        <v>321</v>
      </c>
      <c r="N120" s="13" t="s">
        <v>88</v>
      </c>
      <c r="O120" s="15" t="s">
        <v>97</v>
      </c>
      <c r="P120" s="15" t="s">
        <v>98</v>
      </c>
      <c r="Q120" s="15" t="s">
        <v>91</v>
      </c>
      <c r="R120" s="13" t="s">
        <v>92</v>
      </c>
      <c r="S120" s="13" t="s">
        <v>93</v>
      </c>
      <c r="T120" s="13" t="s">
        <v>94</v>
      </c>
      <c r="U120" s="14">
        <v>40725</v>
      </c>
      <c r="V120" s="14"/>
      <c r="W120" s="15"/>
      <c r="X120" s="13"/>
      <c r="Y120" s="15"/>
      <c r="Z120" s="13"/>
      <c r="AA120" s="15"/>
      <c r="AB120" s="13"/>
      <c r="AC120" s="15"/>
      <c r="AD120" s="13"/>
      <c r="AE120" s="15"/>
      <c r="AF120" s="13"/>
      <c r="AG120" s="15"/>
      <c r="AH120" s="13"/>
      <c r="AI120" s="15"/>
      <c r="AJ120" s="13"/>
      <c r="AK120" s="15"/>
      <c r="AL120" s="13"/>
      <c r="AM120" s="15"/>
      <c r="AN120" s="13"/>
      <c r="AO120" s="15"/>
      <c r="AP120" s="13"/>
      <c r="AQ120" s="15"/>
      <c r="AR120" s="13"/>
      <c r="AS120" s="15"/>
      <c r="AT120" s="13"/>
      <c r="AU120" s="15"/>
      <c r="AV120" s="13"/>
      <c r="AW120" s="15"/>
      <c r="AX120" s="13"/>
      <c r="AY120" s="15"/>
      <c r="AZ120" s="13"/>
      <c r="BA120" s="15"/>
      <c r="BB120" s="13"/>
      <c r="BC120" s="15"/>
      <c r="BD120" s="13"/>
      <c r="BE120" s="15"/>
      <c r="BF120" s="13"/>
      <c r="BG120" s="15"/>
      <c r="BH120" s="13"/>
      <c r="BI120" s="15"/>
      <c r="BJ120" s="13"/>
      <c r="BK120" s="15"/>
      <c r="BL120" s="13"/>
      <c r="BM120" s="15"/>
      <c r="BN120" s="13"/>
      <c r="BO120" s="15"/>
      <c r="BP120" s="13"/>
      <c r="BQ120" s="15"/>
      <c r="BR120" s="13"/>
      <c r="BS120" s="15"/>
      <c r="BT120" s="13"/>
      <c r="BU120" s="15"/>
      <c r="BV120" s="13"/>
      <c r="BW120" s="15"/>
    </row>
    <row r="121" spans="1:75" ht="72.5" x14ac:dyDescent="0.35">
      <c r="A121" s="13" t="s">
        <v>76</v>
      </c>
      <c r="B121" s="13" t="s">
        <v>77</v>
      </c>
      <c r="C121" s="14">
        <v>43152.5</v>
      </c>
      <c r="D121" s="13" t="s">
        <v>78</v>
      </c>
      <c r="E121" s="15" t="s">
        <v>79</v>
      </c>
      <c r="F121" s="13" t="s">
        <v>80</v>
      </c>
      <c r="G121" s="15" t="s">
        <v>81</v>
      </c>
      <c r="H121" s="13" t="s">
        <v>314</v>
      </c>
      <c r="I121" s="15" t="s">
        <v>315</v>
      </c>
      <c r="J121" s="15" t="s">
        <v>316</v>
      </c>
      <c r="K121" s="15" t="s">
        <v>317</v>
      </c>
      <c r="L121" s="13" t="s">
        <v>322</v>
      </c>
      <c r="M121" s="15" t="s">
        <v>323</v>
      </c>
      <c r="N121" s="13" t="s">
        <v>101</v>
      </c>
      <c r="O121" s="15" t="s">
        <v>102</v>
      </c>
      <c r="P121" s="15" t="s">
        <v>103</v>
      </c>
      <c r="Q121" s="15" t="s">
        <v>91</v>
      </c>
      <c r="R121" s="13" t="s">
        <v>92</v>
      </c>
      <c r="S121" s="13" t="s">
        <v>93</v>
      </c>
      <c r="T121" s="13" t="s">
        <v>94</v>
      </c>
      <c r="U121" s="14">
        <v>40725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5"/>
      <c r="AP121" s="13"/>
      <c r="AQ121" s="15"/>
      <c r="AR121" s="13"/>
      <c r="AS121" s="15"/>
      <c r="AT121" s="13"/>
      <c r="AU121" s="15"/>
      <c r="AV121" s="13"/>
      <c r="AW121" s="15"/>
      <c r="AX121" s="13"/>
      <c r="AY121" s="15"/>
      <c r="AZ121" s="13"/>
      <c r="BA121" s="15"/>
      <c r="BB121" s="13"/>
      <c r="BC121" s="15"/>
      <c r="BD121" s="13"/>
      <c r="BE121" s="15"/>
      <c r="BF121" s="13"/>
      <c r="BG121" s="15"/>
      <c r="BH121" s="13"/>
      <c r="BI121" s="15"/>
      <c r="BJ121" s="13"/>
      <c r="BK121" s="15"/>
      <c r="BL121" s="13"/>
      <c r="BM121" s="15"/>
      <c r="BN121" s="13"/>
      <c r="BO121" s="15"/>
      <c r="BP121" s="13"/>
      <c r="BQ121" s="15"/>
      <c r="BR121" s="13"/>
      <c r="BS121" s="15"/>
      <c r="BT121" s="13"/>
      <c r="BU121" s="15"/>
      <c r="BV121" s="13"/>
      <c r="BW121" s="15"/>
    </row>
    <row r="122" spans="1:75" ht="72.5" x14ac:dyDescent="0.35">
      <c r="A122" s="13" t="s">
        <v>76</v>
      </c>
      <c r="B122" s="13" t="s">
        <v>77</v>
      </c>
      <c r="C122" s="14">
        <v>43152.5</v>
      </c>
      <c r="D122" s="13" t="s">
        <v>78</v>
      </c>
      <c r="E122" s="15" t="s">
        <v>79</v>
      </c>
      <c r="F122" s="13" t="s">
        <v>80</v>
      </c>
      <c r="G122" s="15" t="s">
        <v>81</v>
      </c>
      <c r="H122" s="13" t="s">
        <v>314</v>
      </c>
      <c r="I122" s="15" t="s">
        <v>315</v>
      </c>
      <c r="J122" s="15" t="s">
        <v>316</v>
      </c>
      <c r="K122" s="15" t="s">
        <v>317</v>
      </c>
      <c r="L122" s="13" t="s">
        <v>318</v>
      </c>
      <c r="M122" s="15" t="s">
        <v>319</v>
      </c>
      <c r="N122" s="13" t="s">
        <v>88</v>
      </c>
      <c r="O122" s="15" t="s">
        <v>89</v>
      </c>
      <c r="P122" s="15" t="s">
        <v>90</v>
      </c>
      <c r="Q122" s="15" t="s">
        <v>104</v>
      </c>
      <c r="R122" s="13" t="s">
        <v>105</v>
      </c>
      <c r="S122" s="13" t="s">
        <v>93</v>
      </c>
      <c r="T122" s="13" t="s">
        <v>94</v>
      </c>
      <c r="U122" s="14">
        <v>40725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5"/>
      <c r="AP122" s="13"/>
      <c r="AQ122" s="15"/>
      <c r="AR122" s="13"/>
      <c r="AS122" s="15"/>
      <c r="AT122" s="13"/>
      <c r="AU122" s="15"/>
      <c r="AV122" s="13"/>
      <c r="AW122" s="15"/>
      <c r="AX122" s="13"/>
      <c r="AY122" s="15"/>
      <c r="AZ122" s="13"/>
      <c r="BA122" s="15"/>
      <c r="BB122" s="13"/>
      <c r="BC122" s="15"/>
      <c r="BD122" s="13"/>
      <c r="BE122" s="15"/>
      <c r="BF122" s="13"/>
      <c r="BG122" s="15"/>
      <c r="BH122" s="13"/>
      <c r="BI122" s="15"/>
      <c r="BJ122" s="13"/>
      <c r="BK122" s="15"/>
      <c r="BL122" s="13"/>
      <c r="BM122" s="15"/>
      <c r="BN122" s="13"/>
      <c r="BO122" s="15"/>
      <c r="BP122" s="13"/>
      <c r="BQ122" s="15"/>
      <c r="BR122" s="13"/>
      <c r="BS122" s="15"/>
      <c r="BT122" s="13"/>
      <c r="BU122" s="15"/>
      <c r="BV122" s="13"/>
      <c r="BW122" s="15"/>
    </row>
    <row r="123" spans="1:75" ht="72.5" x14ac:dyDescent="0.35">
      <c r="A123" s="13" t="s">
        <v>76</v>
      </c>
      <c r="B123" s="13" t="s">
        <v>77</v>
      </c>
      <c r="C123" s="14">
        <v>43152.5</v>
      </c>
      <c r="D123" s="13" t="s">
        <v>78</v>
      </c>
      <c r="E123" s="15" t="s">
        <v>79</v>
      </c>
      <c r="F123" s="13" t="s">
        <v>80</v>
      </c>
      <c r="G123" s="15" t="s">
        <v>81</v>
      </c>
      <c r="H123" s="13" t="s">
        <v>314</v>
      </c>
      <c r="I123" s="15" t="s">
        <v>315</v>
      </c>
      <c r="J123" s="15" t="s">
        <v>316</v>
      </c>
      <c r="K123" s="15" t="s">
        <v>317</v>
      </c>
      <c r="L123" s="13" t="s">
        <v>320</v>
      </c>
      <c r="M123" s="15" t="s">
        <v>321</v>
      </c>
      <c r="N123" s="13" t="s">
        <v>88</v>
      </c>
      <c r="O123" s="15" t="s">
        <v>97</v>
      </c>
      <c r="P123" s="15" t="s">
        <v>98</v>
      </c>
      <c r="Q123" s="15" t="s">
        <v>104</v>
      </c>
      <c r="R123" s="13" t="s">
        <v>105</v>
      </c>
      <c r="S123" s="13" t="s">
        <v>93</v>
      </c>
      <c r="T123" s="13" t="s">
        <v>94</v>
      </c>
      <c r="U123" s="14">
        <v>40725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5"/>
      <c r="AP123" s="13"/>
      <c r="AQ123" s="15"/>
      <c r="AR123" s="13"/>
      <c r="AS123" s="15"/>
      <c r="AT123" s="13"/>
      <c r="AU123" s="15"/>
      <c r="AV123" s="13"/>
      <c r="AW123" s="15"/>
      <c r="AX123" s="13"/>
      <c r="AY123" s="15"/>
      <c r="AZ123" s="13"/>
      <c r="BA123" s="15"/>
      <c r="BB123" s="13"/>
      <c r="BC123" s="15"/>
      <c r="BD123" s="13"/>
      <c r="BE123" s="15"/>
      <c r="BF123" s="13"/>
      <c r="BG123" s="15"/>
      <c r="BH123" s="13"/>
      <c r="BI123" s="15"/>
      <c r="BJ123" s="13"/>
      <c r="BK123" s="15"/>
      <c r="BL123" s="13"/>
      <c r="BM123" s="15"/>
      <c r="BN123" s="13"/>
      <c r="BO123" s="15"/>
      <c r="BP123" s="13"/>
      <c r="BQ123" s="15"/>
      <c r="BR123" s="13"/>
      <c r="BS123" s="15"/>
      <c r="BT123" s="13"/>
      <c r="BU123" s="15"/>
      <c r="BV123" s="13"/>
      <c r="BW123" s="15"/>
    </row>
    <row r="124" spans="1:75" ht="72.5" x14ac:dyDescent="0.35">
      <c r="A124" s="13" t="s">
        <v>76</v>
      </c>
      <c r="B124" s="13" t="s">
        <v>77</v>
      </c>
      <c r="C124" s="14">
        <v>43152.5</v>
      </c>
      <c r="D124" s="13" t="s">
        <v>78</v>
      </c>
      <c r="E124" s="15" t="s">
        <v>79</v>
      </c>
      <c r="F124" s="13" t="s">
        <v>80</v>
      </c>
      <c r="G124" s="15" t="s">
        <v>81</v>
      </c>
      <c r="H124" s="13" t="s">
        <v>314</v>
      </c>
      <c r="I124" s="15" t="s">
        <v>315</v>
      </c>
      <c r="J124" s="15" t="s">
        <v>316</v>
      </c>
      <c r="K124" s="15" t="s">
        <v>317</v>
      </c>
      <c r="L124" s="13" t="s">
        <v>322</v>
      </c>
      <c r="M124" s="15" t="s">
        <v>323</v>
      </c>
      <c r="N124" s="13" t="s">
        <v>101</v>
      </c>
      <c r="O124" s="15" t="s">
        <v>102</v>
      </c>
      <c r="P124" s="15" t="s">
        <v>103</v>
      </c>
      <c r="Q124" s="15" t="s">
        <v>104</v>
      </c>
      <c r="R124" s="13" t="s">
        <v>105</v>
      </c>
      <c r="S124" s="13" t="s">
        <v>93</v>
      </c>
      <c r="T124" s="13" t="s">
        <v>94</v>
      </c>
      <c r="U124" s="14">
        <v>40725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5"/>
      <c r="AH124" s="13"/>
      <c r="AI124" s="15"/>
      <c r="AJ124" s="13"/>
      <c r="AK124" s="15"/>
      <c r="AL124" s="13"/>
      <c r="AM124" s="15"/>
      <c r="AN124" s="13"/>
      <c r="AO124" s="15"/>
      <c r="AP124" s="13"/>
      <c r="AQ124" s="15"/>
      <c r="AR124" s="13"/>
      <c r="AS124" s="15"/>
      <c r="AT124" s="13"/>
      <c r="AU124" s="15"/>
      <c r="AV124" s="13"/>
      <c r="AW124" s="15"/>
      <c r="AX124" s="13"/>
      <c r="AY124" s="15"/>
      <c r="AZ124" s="13"/>
      <c r="BA124" s="15"/>
      <c r="BB124" s="13"/>
      <c r="BC124" s="15"/>
      <c r="BD124" s="13"/>
      <c r="BE124" s="15"/>
      <c r="BF124" s="13"/>
      <c r="BG124" s="15"/>
      <c r="BH124" s="13"/>
      <c r="BI124" s="15"/>
      <c r="BJ124" s="13"/>
      <c r="BK124" s="15"/>
      <c r="BL124" s="13"/>
      <c r="BM124" s="15"/>
      <c r="BN124" s="13"/>
      <c r="BO124" s="15"/>
      <c r="BP124" s="13"/>
      <c r="BQ124" s="15"/>
      <c r="BR124" s="13"/>
      <c r="BS124" s="15"/>
      <c r="BT124" s="13"/>
      <c r="BU124" s="15"/>
      <c r="BV124" s="13"/>
      <c r="BW124" s="15"/>
    </row>
    <row r="125" spans="1:75" ht="72.5" x14ac:dyDescent="0.35">
      <c r="A125" s="13" t="s">
        <v>76</v>
      </c>
      <c r="B125" s="13" t="s">
        <v>77</v>
      </c>
      <c r="C125" s="14">
        <v>43152.5</v>
      </c>
      <c r="D125" s="13" t="s">
        <v>78</v>
      </c>
      <c r="E125" s="15" t="s">
        <v>79</v>
      </c>
      <c r="F125" s="13" t="s">
        <v>80</v>
      </c>
      <c r="G125" s="15" t="s">
        <v>81</v>
      </c>
      <c r="H125" s="13" t="s">
        <v>314</v>
      </c>
      <c r="I125" s="15" t="s">
        <v>315</v>
      </c>
      <c r="J125" s="15" t="s">
        <v>316</v>
      </c>
      <c r="K125" s="15" t="s">
        <v>317</v>
      </c>
      <c r="L125" s="13" t="s">
        <v>318</v>
      </c>
      <c r="M125" s="15" t="s">
        <v>319</v>
      </c>
      <c r="N125" s="13" t="s">
        <v>88</v>
      </c>
      <c r="O125" s="15" t="s">
        <v>89</v>
      </c>
      <c r="P125" s="15" t="s">
        <v>90</v>
      </c>
      <c r="Q125" s="15" t="s">
        <v>106</v>
      </c>
      <c r="R125" s="13" t="s">
        <v>107</v>
      </c>
      <c r="S125" s="13" t="s">
        <v>93</v>
      </c>
      <c r="T125" s="13" t="s">
        <v>94</v>
      </c>
      <c r="U125" s="14">
        <v>40725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5"/>
      <c r="AH125" s="13"/>
      <c r="AI125" s="15"/>
      <c r="AJ125" s="13"/>
      <c r="AK125" s="15"/>
      <c r="AL125" s="13"/>
      <c r="AM125" s="15"/>
      <c r="AN125" s="13"/>
      <c r="AO125" s="15"/>
      <c r="AP125" s="13"/>
      <c r="AQ125" s="15"/>
      <c r="AR125" s="13"/>
      <c r="AS125" s="15"/>
      <c r="AT125" s="13"/>
      <c r="AU125" s="15"/>
      <c r="AV125" s="13"/>
      <c r="AW125" s="15"/>
      <c r="AX125" s="13"/>
      <c r="AY125" s="15"/>
      <c r="AZ125" s="13"/>
      <c r="BA125" s="15"/>
      <c r="BB125" s="13"/>
      <c r="BC125" s="15"/>
      <c r="BD125" s="13"/>
      <c r="BE125" s="15"/>
      <c r="BF125" s="13"/>
      <c r="BG125" s="15"/>
      <c r="BH125" s="13"/>
      <c r="BI125" s="15"/>
      <c r="BJ125" s="13"/>
      <c r="BK125" s="15"/>
      <c r="BL125" s="13"/>
      <c r="BM125" s="15"/>
      <c r="BN125" s="13"/>
      <c r="BO125" s="15"/>
      <c r="BP125" s="13"/>
      <c r="BQ125" s="15"/>
      <c r="BR125" s="13"/>
      <c r="BS125" s="15"/>
      <c r="BT125" s="13"/>
      <c r="BU125" s="15"/>
      <c r="BV125" s="13"/>
      <c r="BW125" s="15"/>
    </row>
    <row r="126" spans="1:75" ht="72.5" x14ac:dyDescent="0.35">
      <c r="A126" s="13" t="s">
        <v>76</v>
      </c>
      <c r="B126" s="13" t="s">
        <v>77</v>
      </c>
      <c r="C126" s="14">
        <v>43152.5</v>
      </c>
      <c r="D126" s="13" t="s">
        <v>78</v>
      </c>
      <c r="E126" s="15" t="s">
        <v>79</v>
      </c>
      <c r="F126" s="13" t="s">
        <v>80</v>
      </c>
      <c r="G126" s="15" t="s">
        <v>81</v>
      </c>
      <c r="H126" s="13" t="s">
        <v>314</v>
      </c>
      <c r="I126" s="15" t="s">
        <v>315</v>
      </c>
      <c r="J126" s="15" t="s">
        <v>316</v>
      </c>
      <c r="K126" s="15" t="s">
        <v>317</v>
      </c>
      <c r="L126" s="13" t="s">
        <v>320</v>
      </c>
      <c r="M126" s="15" t="s">
        <v>321</v>
      </c>
      <c r="N126" s="13" t="s">
        <v>88</v>
      </c>
      <c r="O126" s="15" t="s">
        <v>97</v>
      </c>
      <c r="P126" s="15" t="s">
        <v>98</v>
      </c>
      <c r="Q126" s="15" t="s">
        <v>106</v>
      </c>
      <c r="R126" s="13" t="s">
        <v>107</v>
      </c>
      <c r="S126" s="13" t="s">
        <v>93</v>
      </c>
      <c r="T126" s="13" t="s">
        <v>94</v>
      </c>
      <c r="U126" s="14">
        <v>40725</v>
      </c>
      <c r="V126" s="14"/>
      <c r="W126" s="15"/>
      <c r="X126" s="13"/>
      <c r="Y126" s="15"/>
      <c r="Z126" s="13"/>
      <c r="AA126" s="15"/>
      <c r="AB126" s="13"/>
      <c r="AC126" s="15"/>
      <c r="AD126" s="13"/>
      <c r="AE126" s="15"/>
      <c r="AF126" s="13"/>
      <c r="AG126" s="15"/>
      <c r="AH126" s="13"/>
      <c r="AI126" s="15"/>
      <c r="AJ126" s="13"/>
      <c r="AK126" s="15"/>
      <c r="AL126" s="13"/>
      <c r="AM126" s="15"/>
      <c r="AN126" s="13"/>
      <c r="AO126" s="15"/>
      <c r="AP126" s="13"/>
      <c r="AQ126" s="15"/>
      <c r="AR126" s="13"/>
      <c r="AS126" s="15"/>
      <c r="AT126" s="13"/>
      <c r="AU126" s="15"/>
      <c r="AV126" s="13"/>
      <c r="AW126" s="15"/>
      <c r="AX126" s="13"/>
      <c r="AY126" s="15"/>
      <c r="AZ126" s="13"/>
      <c r="BA126" s="15"/>
      <c r="BB126" s="13"/>
      <c r="BC126" s="15"/>
      <c r="BD126" s="13"/>
      <c r="BE126" s="15"/>
      <c r="BF126" s="13"/>
      <c r="BG126" s="15"/>
      <c r="BH126" s="13"/>
      <c r="BI126" s="15"/>
      <c r="BJ126" s="13"/>
      <c r="BK126" s="15"/>
      <c r="BL126" s="13"/>
      <c r="BM126" s="15"/>
      <c r="BN126" s="13"/>
      <c r="BO126" s="15"/>
      <c r="BP126" s="13"/>
      <c r="BQ126" s="15"/>
      <c r="BR126" s="13"/>
      <c r="BS126" s="15"/>
      <c r="BT126" s="13"/>
      <c r="BU126" s="15"/>
      <c r="BV126" s="13"/>
      <c r="BW126" s="15"/>
    </row>
    <row r="127" spans="1:75" ht="72.5" x14ac:dyDescent="0.35">
      <c r="A127" s="13" t="s">
        <v>76</v>
      </c>
      <c r="B127" s="13" t="s">
        <v>77</v>
      </c>
      <c r="C127" s="14">
        <v>43152.5</v>
      </c>
      <c r="D127" s="13" t="s">
        <v>78</v>
      </c>
      <c r="E127" s="15" t="s">
        <v>79</v>
      </c>
      <c r="F127" s="13" t="s">
        <v>80</v>
      </c>
      <c r="G127" s="15" t="s">
        <v>81</v>
      </c>
      <c r="H127" s="13" t="s">
        <v>314</v>
      </c>
      <c r="I127" s="15" t="s">
        <v>315</v>
      </c>
      <c r="J127" s="15" t="s">
        <v>316</v>
      </c>
      <c r="K127" s="15" t="s">
        <v>317</v>
      </c>
      <c r="L127" s="13" t="s">
        <v>322</v>
      </c>
      <c r="M127" s="15" t="s">
        <v>323</v>
      </c>
      <c r="N127" s="13" t="s">
        <v>101</v>
      </c>
      <c r="O127" s="15" t="s">
        <v>102</v>
      </c>
      <c r="P127" s="15" t="s">
        <v>103</v>
      </c>
      <c r="Q127" s="15" t="s">
        <v>106</v>
      </c>
      <c r="R127" s="13" t="s">
        <v>107</v>
      </c>
      <c r="S127" s="13" t="s">
        <v>93</v>
      </c>
      <c r="T127" s="13" t="s">
        <v>94</v>
      </c>
      <c r="U127" s="14">
        <v>40725</v>
      </c>
      <c r="V127" s="14"/>
      <c r="W127" s="15"/>
      <c r="X127" s="13"/>
      <c r="Y127" s="15"/>
      <c r="Z127" s="13"/>
      <c r="AA127" s="15"/>
      <c r="AB127" s="13"/>
      <c r="AC127" s="15"/>
      <c r="AD127" s="13"/>
      <c r="AE127" s="15"/>
      <c r="AF127" s="13"/>
      <c r="AG127" s="15"/>
      <c r="AH127" s="13"/>
      <c r="AI127" s="15"/>
      <c r="AJ127" s="13"/>
      <c r="AK127" s="15"/>
      <c r="AL127" s="13"/>
      <c r="AM127" s="15"/>
      <c r="AN127" s="13"/>
      <c r="AO127" s="15"/>
      <c r="AP127" s="13"/>
      <c r="AQ127" s="15"/>
      <c r="AR127" s="13"/>
      <c r="AS127" s="15"/>
      <c r="AT127" s="13"/>
      <c r="AU127" s="15"/>
      <c r="AV127" s="13"/>
      <c r="AW127" s="15"/>
      <c r="AX127" s="13"/>
      <c r="AY127" s="15"/>
      <c r="AZ127" s="13"/>
      <c r="BA127" s="15"/>
      <c r="BB127" s="13"/>
      <c r="BC127" s="15"/>
      <c r="BD127" s="13"/>
      <c r="BE127" s="15"/>
      <c r="BF127" s="13"/>
      <c r="BG127" s="15"/>
      <c r="BH127" s="13"/>
      <c r="BI127" s="15"/>
      <c r="BJ127" s="13"/>
      <c r="BK127" s="15"/>
      <c r="BL127" s="13"/>
      <c r="BM127" s="15"/>
      <c r="BN127" s="13"/>
      <c r="BO127" s="15"/>
      <c r="BP127" s="13"/>
      <c r="BQ127" s="15"/>
      <c r="BR127" s="13"/>
      <c r="BS127" s="15"/>
      <c r="BT127" s="13"/>
      <c r="BU127" s="15"/>
      <c r="BV127" s="13"/>
      <c r="BW127" s="15"/>
    </row>
    <row r="128" spans="1:75" ht="101.5" x14ac:dyDescent="0.35">
      <c r="A128" s="13" t="s">
        <v>238</v>
      </c>
      <c r="B128" s="13" t="s">
        <v>109</v>
      </c>
      <c r="C128" s="14">
        <v>44368.708333333336</v>
      </c>
      <c r="D128" s="13" t="s">
        <v>78</v>
      </c>
      <c r="E128" s="15" t="s">
        <v>79</v>
      </c>
      <c r="F128" s="13" t="s">
        <v>80</v>
      </c>
      <c r="G128" s="15" t="s">
        <v>81</v>
      </c>
      <c r="H128" s="13" t="s">
        <v>314</v>
      </c>
      <c r="I128" s="15" t="s">
        <v>315</v>
      </c>
      <c r="J128" s="15" t="s">
        <v>316</v>
      </c>
      <c r="K128" s="15" t="s">
        <v>317</v>
      </c>
      <c r="L128" s="13" t="s">
        <v>318</v>
      </c>
      <c r="M128" s="15" t="s">
        <v>319</v>
      </c>
      <c r="N128" s="13" t="s">
        <v>88</v>
      </c>
      <c r="O128" s="15" t="s">
        <v>89</v>
      </c>
      <c r="P128" s="15" t="s">
        <v>90</v>
      </c>
      <c r="Q128" s="15" t="s">
        <v>110</v>
      </c>
      <c r="R128" s="13" t="s">
        <v>111</v>
      </c>
      <c r="S128" s="13" t="s">
        <v>93</v>
      </c>
      <c r="T128" s="13" t="s">
        <v>112</v>
      </c>
      <c r="U128" s="14">
        <v>40725</v>
      </c>
      <c r="V128" s="14"/>
      <c r="W128" s="15" t="s">
        <v>324</v>
      </c>
      <c r="X128" s="13" t="s">
        <v>114</v>
      </c>
      <c r="Y128" s="15" t="str">
        <f>VLOOKUP(X128,'Axe 2 Règles de gestion'!$D$2:$F$146,3, FALSE)</f>
        <v>L'agent doit présenter une demande de congé sans traitement.</v>
      </c>
      <c r="Z128" s="13" t="s">
        <v>116</v>
      </c>
      <c r="AA128" s="15" t="str">
        <f>VLOOKUP(Z128,'Axe 2 Règles de gestion'!$D$2:$F$146,3, FALSE)</f>
        <v>La demande est accordée de droit par le supérieur hiérarchique.</v>
      </c>
      <c r="AB128" s="13"/>
      <c r="AC128" s="15"/>
      <c r="AD128" s="13"/>
      <c r="AE128" s="15"/>
      <c r="AF128" s="13" t="s">
        <v>118</v>
      </c>
      <c r="AG128" s="15" t="str">
        <f>VLOOKUP(AF128,'Axe 2 Règles de gestion'!$D$2:$F$146,3, FALSE)</f>
        <v>La durée prévisionnelle maximale de chaque période est de un an.</v>
      </c>
      <c r="AH128" s="13" t="s">
        <v>120</v>
      </c>
      <c r="AI128" s="15" t="str">
        <f>VLOOKUP(AH128,'Axe 2 Règles de gestion'!$D$2:$F$146,3, FALSE)</f>
        <v>La durée réelle maximale de chaque période est de un an.</v>
      </c>
      <c r="AJ128" s="13" t="s">
        <v>122</v>
      </c>
      <c r="AK128" s="15" t="str">
        <f>VLOOKUP(AJ128,'Axe 2 Règles de gestion'!$D$2:$F$146,3, FALSE)</f>
        <v>L'agent ne peut pas bénéficier de plus de 3 ans cumulés de congé sans traitement quels que soient les motifs de congés sans traitement : pour raisons personnelles ou familiales.</v>
      </c>
      <c r="AL128" s="13" t="s">
        <v>325</v>
      </c>
      <c r="AM128" s="15" t="str">
        <f>VLOOKUP(AL128,'Axe 2 Règles de gestion'!$D$2:$F$146,3, FALSE)</f>
        <v>L'agent doit avoir un enfant lié à cette position.</v>
      </c>
      <c r="AN128" s="13"/>
      <c r="AO128" s="15"/>
      <c r="AP128" s="13" t="s">
        <v>128</v>
      </c>
      <c r="AQ128" s="15" t="str">
        <f>VLOOKUP(AP128,'Axe 2 Règles de gestion'!$D$2:$F$146,3, FALSE)</f>
        <v>Lors de la demande initiale, l'agent doit être en activité.</v>
      </c>
      <c r="AR128" s="13" t="s">
        <v>130</v>
      </c>
      <c r="AS128" s="15" t="str">
        <f>VLOOKUP(AR128,'Axe 2 Règles de gestion'!$D$2:$F$146,3, FALSE)</f>
        <v>La date de début de la position doit être postérieure ou égale à la date d'entrée dans la FPE ou dans la carrière militaire.</v>
      </c>
      <c r="AT128" s="13" t="s">
        <v>132</v>
      </c>
      <c r="AU128" s="15" t="str">
        <f>VLOOKUP(AT128,'Axe 2 Règles de gestion'!$D$2:$F$146,3, FALSE)</f>
        <v>La date de début de position est à J+1 de la date de fin de position de l'occurrence précédente.</v>
      </c>
      <c r="AV128" s="13" t="s">
        <v>134</v>
      </c>
      <c r="AW128" s="15" t="str">
        <f>VLOOKUP(AV128,'Axe 2 Règles de gestion'!$D$2:$F$146,3, FALSE)</f>
        <v>La date de début de position doit être antérieure ou égale à la date de fin prévisionnelle de position.</v>
      </c>
      <c r="AX128" s="13" t="s">
        <v>136</v>
      </c>
      <c r="AY128" s="15" t="str">
        <f>VLOOKUP(AX128,'Axe 2 Règles de gestion'!$D$2:$F$146,3, FALSE)</f>
        <v>La date de début de position doit être antérieure ou égale à la date de fin réelle de position.</v>
      </c>
      <c r="AZ128" s="13" t="s">
        <v>138</v>
      </c>
      <c r="BA128" s="15" t="str">
        <f>VLOOKUP(AZ128,'Axe 2 Règles de gestion'!$D$2:$F$146,3, FALSE)</f>
        <v>La date de fin prévisionnelle de la position doit être antérieure à la date limite de départ à la retraite.</v>
      </c>
      <c r="BB128" s="13" t="s">
        <v>140</v>
      </c>
      <c r="BC128" s="15" t="str">
        <f>VLOOKUP(BB128,'Axe 2 Règles de gestion'!$D$2:$F$146,3, FALSE)</f>
        <v>La date de fin réelle de la position doit être antérieure à la date limite de départ à la retraite.</v>
      </c>
      <c r="BD128" s="13" t="s">
        <v>142</v>
      </c>
      <c r="BE128" s="15" t="str">
        <f>VLOOKUP(BD128,'Axe 2 Règles de gestion'!$D$2:$F$146,3, FALSE)</f>
        <v>La date de fin ou la date de fin prévisionnelle doit être saisie.</v>
      </c>
      <c r="BF128" s="13" t="s">
        <v>144</v>
      </c>
      <c r="BG128" s="15" t="str">
        <f>VLOOKUP(BF128,'Axe 2 Règles de gestion'!$D$2:$F$146,3, FALSE)</f>
        <v>Le lien vers l'enfant doit être renseigné.</v>
      </c>
      <c r="BH128" s="13" t="s">
        <v>148</v>
      </c>
      <c r="BI128" s="15" t="str">
        <f>VLOOKUP(BH128,'Axe 2 Règles de gestion'!$D$2:$F$146,3, FALSE)</f>
        <v>La date de fin réelle de la position doit être antérieure ou égale à la date de décès de l'enfant.</v>
      </c>
      <c r="BJ128" s="13" t="s">
        <v>150</v>
      </c>
      <c r="BK128" s="15" t="str">
        <f>VLOOKUP(BJ128,'Axe 2 Règles de gestion'!$D$2:$F$146,3, FALSE)</f>
        <v>La date de fin prévisionnelle de la position doit être antérieure ou égale à la date de décès de l'enfant.</v>
      </c>
      <c r="BL128" s="13" t="s">
        <v>152</v>
      </c>
      <c r="BM128" s="15" t="str">
        <f>VLOOKUP(BL128,'Axe 2 Règles de gestion'!$D$2:$F$146,3, FALSE)</f>
        <v>La saisie d'une occurrence de congés/absences est interdite (date de fin réelle)</v>
      </c>
      <c r="BN128" s="13" t="s">
        <v>154</v>
      </c>
      <c r="BO128" s="15" t="str">
        <f>VLOOKUP(BN128,'Axe 2 Règles de gestion'!$D$2:$F$146,3, FALSE)</f>
        <v>La saisie d'une occurrence de congés/absences est interdite (date de fin prévisionnelle)</v>
      </c>
      <c r="BP128" s="13"/>
      <c r="BQ128" s="15"/>
      <c r="BR128" s="13"/>
      <c r="BS128" s="15"/>
      <c r="BT128" s="13"/>
      <c r="BU128" s="15"/>
      <c r="BV128" s="13"/>
      <c r="BW128" s="15"/>
    </row>
    <row r="129" spans="1:75" ht="101.5" x14ac:dyDescent="0.35">
      <c r="A129" s="13" t="s">
        <v>238</v>
      </c>
      <c r="B129" s="13" t="s">
        <v>109</v>
      </c>
      <c r="C129" s="14">
        <v>44368.708333333336</v>
      </c>
      <c r="D129" s="13" t="s">
        <v>78</v>
      </c>
      <c r="E129" s="15" t="s">
        <v>79</v>
      </c>
      <c r="F129" s="13" t="s">
        <v>80</v>
      </c>
      <c r="G129" s="15" t="s">
        <v>81</v>
      </c>
      <c r="H129" s="13" t="s">
        <v>314</v>
      </c>
      <c r="I129" s="15" t="s">
        <v>315</v>
      </c>
      <c r="J129" s="15" t="s">
        <v>316</v>
      </c>
      <c r="K129" s="15" t="s">
        <v>317</v>
      </c>
      <c r="L129" s="13" t="s">
        <v>320</v>
      </c>
      <c r="M129" s="15" t="s">
        <v>321</v>
      </c>
      <c r="N129" s="13" t="s">
        <v>88</v>
      </c>
      <c r="O129" s="15" t="s">
        <v>97</v>
      </c>
      <c r="P129" s="15" t="s">
        <v>98</v>
      </c>
      <c r="Q129" s="15" t="s">
        <v>110</v>
      </c>
      <c r="R129" s="13" t="s">
        <v>111</v>
      </c>
      <c r="S129" s="13" t="s">
        <v>93</v>
      </c>
      <c r="T129" s="13" t="s">
        <v>112</v>
      </c>
      <c r="U129" s="14">
        <v>40725</v>
      </c>
      <c r="V129" s="14"/>
      <c r="W129" s="15" t="s">
        <v>326</v>
      </c>
      <c r="X129" s="13" t="s">
        <v>162</v>
      </c>
      <c r="Y129" s="15" t="str">
        <f>VLOOKUP(X129,'Axe 2 Règles de gestion'!$D$2:$F$146,3, FALSE)</f>
        <v>L'agent peut renouveler le congé sans traitement 2 fois.</v>
      </c>
      <c r="Z129" s="13"/>
      <c r="AA129" s="15"/>
      <c r="AB129" s="13"/>
      <c r="AC129" s="15"/>
      <c r="AD129" s="13"/>
      <c r="AE129" s="15"/>
      <c r="AF129" s="13" t="s">
        <v>118</v>
      </c>
      <c r="AG129" s="15" t="str">
        <f>VLOOKUP(AF129,'Axe 2 Règles de gestion'!$D$2:$F$146,3, FALSE)</f>
        <v>La durée prévisionnelle maximale de chaque période est de un an.</v>
      </c>
      <c r="AH129" s="13" t="s">
        <v>120</v>
      </c>
      <c r="AI129" s="15" t="str">
        <f>VLOOKUP(AH129,'Axe 2 Règles de gestion'!$D$2:$F$146,3, FALSE)</f>
        <v>La durée réelle maximale de chaque période est de un an.</v>
      </c>
      <c r="AJ129" s="13" t="s">
        <v>122</v>
      </c>
      <c r="AK129" s="15" t="str">
        <f>VLOOKUP(AJ129,'Axe 2 Règles de gestion'!$D$2:$F$146,3, FALSE)</f>
        <v>L'agent ne peut pas bénéficier de plus de 3 ans cumulés de congé sans traitement quels que soient les motifs de congés sans traitement : pour raisons personnelles ou familiales.</v>
      </c>
      <c r="AL129" s="13" t="s">
        <v>325</v>
      </c>
      <c r="AM129" s="15" t="str">
        <f>VLOOKUP(AL129,'Axe 2 Règles de gestion'!$D$2:$F$146,3, FALSE)</f>
        <v>L'agent doit avoir un enfant lié à cette position.</v>
      </c>
      <c r="AN129" s="13"/>
      <c r="AO129" s="15"/>
      <c r="AP129" s="13" t="s">
        <v>130</v>
      </c>
      <c r="AQ129" s="15" t="str">
        <f>VLOOKUP(AP129,'Axe 2 Règles de gestion'!$D$2:$F$146,3, FALSE)</f>
        <v>La date de début de la position doit être postérieure ou égale à la date d'entrée dans la FPE ou dans la carrière militaire.</v>
      </c>
      <c r="AR129" s="13" t="s">
        <v>132</v>
      </c>
      <c r="AS129" s="15" t="str">
        <f>VLOOKUP(AR129,'Axe 2 Règles de gestion'!$D$2:$F$146,3, FALSE)</f>
        <v>La date de début de position est à J+1 de la date de fin de position de l'occurrence précédente.</v>
      </c>
      <c r="AT129" s="13" t="s">
        <v>134</v>
      </c>
      <c r="AU129" s="15" t="str">
        <f>VLOOKUP(AT129,'Axe 2 Règles de gestion'!$D$2:$F$146,3, FALSE)</f>
        <v>La date de début de position doit être antérieure ou égale à la date de fin prévisionnelle de position.</v>
      </c>
      <c r="AV129" s="13" t="s">
        <v>136</v>
      </c>
      <c r="AW129" s="15" t="str">
        <f>VLOOKUP(AV129,'Axe 2 Règles de gestion'!$D$2:$F$146,3, FALSE)</f>
        <v>La date de début de position doit être antérieure ou égale à la date de fin réelle de position.</v>
      </c>
      <c r="AX129" s="13" t="s">
        <v>138</v>
      </c>
      <c r="AY129" s="15" t="str">
        <f>VLOOKUP(AX129,'Axe 2 Règles de gestion'!$D$2:$F$146,3, FALSE)</f>
        <v>La date de fin prévisionnelle de la position doit être antérieure à la date limite de départ à la retraite.</v>
      </c>
      <c r="AZ129" s="13" t="s">
        <v>140</v>
      </c>
      <c r="BA129" s="15" t="str">
        <f>VLOOKUP(AZ129,'Axe 2 Règles de gestion'!$D$2:$F$146,3, FALSE)</f>
        <v>La date de fin réelle de la position doit être antérieure à la date limite de départ à la retraite.</v>
      </c>
      <c r="BB129" s="13" t="s">
        <v>142</v>
      </c>
      <c r="BC129" s="15" t="str">
        <f>VLOOKUP(BB129,'Axe 2 Règles de gestion'!$D$2:$F$146,3, FALSE)</f>
        <v>La date de fin ou la date de fin prévisionnelle doit être saisie.</v>
      </c>
      <c r="BD129" s="13" t="s">
        <v>144</v>
      </c>
      <c r="BE129" s="15" t="str">
        <f>VLOOKUP(BD129,'Axe 2 Règles de gestion'!$D$2:$F$146,3, FALSE)</f>
        <v>Le lien vers l'enfant doit être renseigné.</v>
      </c>
      <c r="BF129" s="13" t="s">
        <v>148</v>
      </c>
      <c r="BG129" s="15" t="str">
        <f>VLOOKUP(BF129,'Axe 2 Règles de gestion'!$D$2:$F$146,3, FALSE)</f>
        <v>La date de fin réelle de la position doit être antérieure ou égale à la date de décès de l'enfant.</v>
      </c>
      <c r="BH129" s="13" t="s">
        <v>150</v>
      </c>
      <c r="BI129" s="15" t="str">
        <f>VLOOKUP(BH129,'Axe 2 Règles de gestion'!$D$2:$F$146,3, FALSE)</f>
        <v>La date de fin prévisionnelle de la position doit être antérieure ou égale à la date de décès de l'enfant.</v>
      </c>
      <c r="BJ129" s="13" t="s">
        <v>152</v>
      </c>
      <c r="BK129" s="15" t="str">
        <f>VLOOKUP(BJ129,'Axe 2 Règles de gestion'!$D$2:$F$146,3, FALSE)</f>
        <v>La saisie d'une occurrence de congés/absences est interdite (date de fin réelle)</v>
      </c>
      <c r="BL129" s="13" t="s">
        <v>154</v>
      </c>
      <c r="BM129" s="15" t="str">
        <f>VLOOKUP(BL129,'Axe 2 Règles de gestion'!$D$2:$F$146,3, FALSE)</f>
        <v>La saisie d'une occurrence de congés/absences est interdite (date de fin prévisionnelle)</v>
      </c>
      <c r="BN129" s="13"/>
      <c r="BO129" s="15"/>
      <c r="BP129" s="13"/>
      <c r="BQ129" s="15"/>
      <c r="BR129" s="13"/>
      <c r="BS129" s="15"/>
      <c r="BT129" s="13"/>
      <c r="BU129" s="15"/>
      <c r="BV129" s="13"/>
      <c r="BW129" s="15"/>
    </row>
    <row r="130" spans="1:75" ht="130.5" x14ac:dyDescent="0.35">
      <c r="A130" s="13" t="s">
        <v>165</v>
      </c>
      <c r="B130" s="13" t="s">
        <v>109</v>
      </c>
      <c r="C130" s="14">
        <v>44715.446527777778</v>
      </c>
      <c r="D130" s="13" t="s">
        <v>78</v>
      </c>
      <c r="E130" s="15" t="s">
        <v>79</v>
      </c>
      <c r="F130" s="13" t="s">
        <v>80</v>
      </c>
      <c r="G130" s="15" t="s">
        <v>81</v>
      </c>
      <c r="H130" s="13" t="s">
        <v>314</v>
      </c>
      <c r="I130" s="15" t="s">
        <v>315</v>
      </c>
      <c r="J130" s="15" t="s">
        <v>316</v>
      </c>
      <c r="K130" s="15" t="s">
        <v>317</v>
      </c>
      <c r="L130" s="13" t="s">
        <v>322</v>
      </c>
      <c r="M130" s="15" t="s">
        <v>323</v>
      </c>
      <c r="N130" s="13" t="s">
        <v>101</v>
      </c>
      <c r="O130" s="15" t="s">
        <v>102</v>
      </c>
      <c r="P130" s="15" t="s">
        <v>103</v>
      </c>
      <c r="Q130" s="15" t="s">
        <v>110</v>
      </c>
      <c r="R130" s="13" t="s">
        <v>111</v>
      </c>
      <c r="S130" s="13" t="s">
        <v>93</v>
      </c>
      <c r="T130" s="13" t="s">
        <v>112</v>
      </c>
      <c r="U130" s="14">
        <v>40725</v>
      </c>
      <c r="V130" s="14">
        <v>44633</v>
      </c>
      <c r="W130" s="15" t="s">
        <v>327</v>
      </c>
      <c r="X130" s="13" t="s">
        <v>167</v>
      </c>
      <c r="Y130" s="15" t="str">
        <f>VLOOKUP(X130,'Axe 2 Règles de gestion'!$D$2:$F$146,3, FALSE)</f>
        <v>L'agent doit demander à reprendre ses fonctions au moins 2 mois avant l'expiration du congé en cours.</v>
      </c>
      <c r="Z130" s="13" t="s">
        <v>169</v>
      </c>
      <c r="AA130" s="15" t="str">
        <f>VLOOKUP(Z130,'Axe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30" s="13"/>
      <c r="AC130" s="15"/>
      <c r="AD130" s="13"/>
      <c r="AE130" s="15"/>
      <c r="AF130" s="13" t="s">
        <v>118</v>
      </c>
      <c r="AG130" s="15" t="str">
        <f>VLOOKUP(AF130,'Axe 2 Règles de gestion'!$D$2:$F$146,3, FALSE)</f>
        <v>La durée prévisionnelle maximale de chaque période est de un an.</v>
      </c>
      <c r="AH130" s="13" t="s">
        <v>120</v>
      </c>
      <c r="AI130" s="15" t="str">
        <f>VLOOKUP(AH130,'Axe 2 Règles de gestion'!$D$2:$F$146,3, FALSE)</f>
        <v>La durée réelle maximale de chaque période est de un an.</v>
      </c>
      <c r="AJ130" s="13" t="s">
        <v>122</v>
      </c>
      <c r="AK130" s="15" t="str">
        <f>VLOOKUP(AJ130,'Axe 2 Règles de gestion'!$D$2:$F$146,3, FALSE)</f>
        <v>L'agent ne peut pas bénéficier de plus de 3 ans cumulés de congé sans traitement quels que soient les motifs de congés sans traitement : pour raisons personnelles ou familiales.</v>
      </c>
      <c r="AL130" s="13" t="s">
        <v>325</v>
      </c>
      <c r="AM130" s="15" t="str">
        <f>VLOOKUP(AL130,'Axe 2 Règles de gestion'!$D$2:$F$146,3, FALSE)</f>
        <v>L'agent doit avoir un enfant lié à cette position.</v>
      </c>
      <c r="AN130" s="13"/>
      <c r="AO130" s="15"/>
      <c r="AP130" s="13" t="s">
        <v>134</v>
      </c>
      <c r="AQ130" s="15" t="str">
        <f>VLOOKUP(AP130,'Axe 2 Règles de gestion'!$D$2:$F$146,3, FALSE)</f>
        <v>La date de début de position doit être antérieure ou égale à la date de fin prévisionnelle de position.</v>
      </c>
      <c r="AR130" s="13" t="s">
        <v>136</v>
      </c>
      <c r="AS130" s="15" t="str">
        <f>VLOOKUP(AR130,'Axe 2 Règles de gestion'!$D$2:$F$146,3, FALSE)</f>
        <v>La date de début de position doit être antérieure ou égale à la date de fin réelle de position.</v>
      </c>
      <c r="AT130" s="13" t="s">
        <v>138</v>
      </c>
      <c r="AU130" s="15" t="str">
        <f>VLOOKUP(AT130,'Axe 2 Règles de gestion'!$D$2:$F$146,3, FALSE)</f>
        <v>La date de fin prévisionnelle de la position doit être antérieure à la date limite de départ à la retraite.</v>
      </c>
      <c r="AV130" s="13" t="s">
        <v>140</v>
      </c>
      <c r="AW130" s="15" t="str">
        <f>VLOOKUP(AV130,'Axe 2 Règles de gestion'!$D$2:$F$146,3, FALSE)</f>
        <v>La date de fin réelle de la position doit être antérieure à la date limite de départ à la retraite.</v>
      </c>
      <c r="AX130" s="13" t="s">
        <v>142</v>
      </c>
      <c r="AY130" s="15" t="str">
        <f>VLOOKUP(AX130,'Axe 2 Règles de gestion'!$D$2:$F$146,3, FALSE)</f>
        <v>La date de fin ou la date de fin prévisionnelle doit être saisie.</v>
      </c>
      <c r="AZ130" s="13" t="s">
        <v>144</v>
      </c>
      <c r="BA130" s="15" t="str">
        <f>VLOOKUP(AZ130,'Axe 2 Règles de gestion'!$D$2:$F$146,3, FALSE)</f>
        <v>Le lien vers l'enfant doit être renseigné.</v>
      </c>
      <c r="BB130" s="13" t="s">
        <v>148</v>
      </c>
      <c r="BC130" s="15" t="str">
        <f>VLOOKUP(BB130,'Axe 2 Règles de gestion'!$D$2:$F$146,3, FALSE)</f>
        <v>La date de fin réelle de la position doit être antérieure ou égale à la date de décès de l'enfant.</v>
      </c>
      <c r="BD130" s="13" t="s">
        <v>150</v>
      </c>
      <c r="BE130" s="15" t="str">
        <f>VLOOKUP(BD130,'Axe 2 Règles de gestion'!$D$2:$F$146,3, FALSE)</f>
        <v>La date de fin prévisionnelle de la position doit être antérieure ou égale à la date de décès de l'enfant.</v>
      </c>
      <c r="BF130" s="13" t="s">
        <v>152</v>
      </c>
      <c r="BG130" s="15" t="str">
        <f>VLOOKUP(BF130,'Axe 2 Règles de gestion'!$D$2:$F$146,3, FALSE)</f>
        <v>La saisie d'une occurrence de congés/absences est interdite (date de fin réelle)</v>
      </c>
      <c r="BH130" s="13" t="s">
        <v>154</v>
      </c>
      <c r="BI130" s="15" t="str">
        <f>VLOOKUP(BH130,'Axe 2 Règles de gestion'!$D$2:$F$146,3, FALSE)</f>
        <v>La saisie d'une occurrence de congés/absences est interdite (date de fin prévisionnelle)</v>
      </c>
      <c r="BJ130" s="13"/>
      <c r="BK130" s="15"/>
      <c r="BL130" s="13"/>
      <c r="BM130" s="15"/>
      <c r="BN130" s="13"/>
      <c r="BO130" s="15"/>
      <c r="BP130" s="13"/>
      <c r="BQ130" s="15"/>
      <c r="BR130" s="13"/>
      <c r="BS130" s="15"/>
      <c r="BT130" s="13"/>
      <c r="BU130" s="15"/>
      <c r="BV130" s="13"/>
      <c r="BW130" s="15"/>
    </row>
    <row r="131" spans="1:75" ht="145" x14ac:dyDescent="0.35">
      <c r="A131" s="13" t="s">
        <v>165</v>
      </c>
      <c r="B131" s="13" t="s">
        <v>77</v>
      </c>
      <c r="C131" s="14">
        <v>44715.447222222225</v>
      </c>
      <c r="D131" s="13" t="s">
        <v>78</v>
      </c>
      <c r="E131" s="15" t="s">
        <v>79</v>
      </c>
      <c r="F131" s="13" t="s">
        <v>80</v>
      </c>
      <c r="G131" s="15" t="s">
        <v>81</v>
      </c>
      <c r="H131" s="13" t="s">
        <v>314</v>
      </c>
      <c r="I131" s="15" t="s">
        <v>315</v>
      </c>
      <c r="J131" s="15" t="s">
        <v>316</v>
      </c>
      <c r="K131" s="15" t="s">
        <v>317</v>
      </c>
      <c r="L131" s="13" t="s">
        <v>322</v>
      </c>
      <c r="M131" s="15" t="s">
        <v>323</v>
      </c>
      <c r="N131" s="13" t="s">
        <v>101</v>
      </c>
      <c r="O131" s="15" t="s">
        <v>102</v>
      </c>
      <c r="P131" s="15" t="s">
        <v>103</v>
      </c>
      <c r="Q131" s="15" t="s">
        <v>110</v>
      </c>
      <c r="R131" s="13" t="s">
        <v>111</v>
      </c>
      <c r="S131" s="13" t="s">
        <v>93</v>
      </c>
      <c r="T131" s="13" t="s">
        <v>112</v>
      </c>
      <c r="U131" s="14">
        <v>44634</v>
      </c>
      <c r="V131" s="14"/>
      <c r="W131" s="15" t="s">
        <v>328</v>
      </c>
      <c r="X131" s="13" t="s">
        <v>167</v>
      </c>
      <c r="Y131" s="15" t="str">
        <f>VLOOKUP(X131,'Axe 2 Règles de gestion'!$D$2:$F$146,3, FALSE)</f>
        <v>L'agent doit demander à reprendre ses fonctions au moins 2 mois avant l'expiration du congé en cours.</v>
      </c>
      <c r="Z131" s="13" t="s">
        <v>172</v>
      </c>
      <c r="AA131" s="15" t="str">
        <f>VLOOKUP(Z131,'Axe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31" s="13"/>
      <c r="AC131" s="15"/>
      <c r="AD131" s="13"/>
      <c r="AE131" s="15"/>
      <c r="AF131" s="13" t="s">
        <v>118</v>
      </c>
      <c r="AG131" s="15" t="str">
        <f>VLOOKUP(AF131,'Axe 2 Règles de gestion'!$D$2:$F$146,3, FALSE)</f>
        <v>La durée prévisionnelle maximale de chaque période est de un an.</v>
      </c>
      <c r="AH131" s="13" t="s">
        <v>120</v>
      </c>
      <c r="AI131" s="15" t="str">
        <f>VLOOKUP(AH131,'Axe 2 Règles de gestion'!$D$2:$F$146,3, FALSE)</f>
        <v>La durée réelle maximale de chaque période est de un an.</v>
      </c>
      <c r="AJ131" s="13" t="s">
        <v>122</v>
      </c>
      <c r="AK131" s="15" t="str">
        <f>VLOOKUP(AJ131,'Axe 2 Règles de gestion'!$D$2:$F$146,3, FALSE)</f>
        <v>L'agent ne peut pas bénéficier de plus de 3 ans cumulés de congé sans traitement quels que soient les motifs de congés sans traitement : pour raisons personnelles ou familiales.</v>
      </c>
      <c r="AL131" s="13" t="s">
        <v>325</v>
      </c>
      <c r="AM131" s="15" t="str">
        <f>VLOOKUP(AL131,'Axe 2 Règles de gestion'!$D$2:$F$146,3, FALSE)</f>
        <v>L'agent doit avoir un enfant lié à cette position.</v>
      </c>
      <c r="AN131" s="13"/>
      <c r="AO131" s="15"/>
      <c r="AP131" s="13" t="s">
        <v>134</v>
      </c>
      <c r="AQ131" s="15" t="str">
        <f>VLOOKUP(AP131,'Axe 2 Règles de gestion'!$D$2:$F$146,3, FALSE)</f>
        <v>La date de début de position doit être antérieure ou égale à la date de fin prévisionnelle de position.</v>
      </c>
      <c r="AR131" s="13" t="s">
        <v>136</v>
      </c>
      <c r="AS131" s="15" t="str">
        <f>VLOOKUP(AR131,'Axe 2 Règles de gestion'!$D$2:$F$146,3, FALSE)</f>
        <v>La date de début de position doit être antérieure ou égale à la date de fin réelle de position.</v>
      </c>
      <c r="AT131" s="13" t="s">
        <v>138</v>
      </c>
      <c r="AU131" s="15" t="str">
        <f>VLOOKUP(AT131,'Axe 2 Règles de gestion'!$D$2:$F$146,3, FALSE)</f>
        <v>La date de fin prévisionnelle de la position doit être antérieure à la date limite de départ à la retraite.</v>
      </c>
      <c r="AV131" s="13" t="s">
        <v>140</v>
      </c>
      <c r="AW131" s="15" t="str">
        <f>VLOOKUP(AV131,'Axe 2 Règles de gestion'!$D$2:$F$146,3, FALSE)</f>
        <v>La date de fin réelle de la position doit être antérieure à la date limite de départ à la retraite.</v>
      </c>
      <c r="AX131" s="13" t="s">
        <v>142</v>
      </c>
      <c r="AY131" s="15" t="str">
        <f>VLOOKUP(AX131,'Axe 2 Règles de gestion'!$D$2:$F$146,3, FALSE)</f>
        <v>La date de fin ou la date de fin prévisionnelle doit être saisie.</v>
      </c>
      <c r="AZ131" s="13" t="s">
        <v>144</v>
      </c>
      <c r="BA131" s="15" t="str">
        <f>VLOOKUP(AZ131,'Axe 2 Règles de gestion'!$D$2:$F$146,3, FALSE)</f>
        <v>Le lien vers l'enfant doit être renseigné.</v>
      </c>
      <c r="BB131" s="13" t="s">
        <v>148</v>
      </c>
      <c r="BC131" s="15" t="str">
        <f>VLOOKUP(BB131,'Axe 2 Règles de gestion'!$D$2:$F$146,3, FALSE)</f>
        <v>La date de fin réelle de la position doit être antérieure ou égale à la date de décès de l'enfant.</v>
      </c>
      <c r="BD131" s="13" t="s">
        <v>150</v>
      </c>
      <c r="BE131" s="15" t="str">
        <f>VLOOKUP(BD131,'Axe 2 Règles de gestion'!$D$2:$F$146,3, FALSE)</f>
        <v>La date de fin prévisionnelle de la position doit être antérieure ou égale à la date de décès de l'enfant.</v>
      </c>
      <c r="BF131" s="13" t="s">
        <v>152</v>
      </c>
      <c r="BG131" s="15" t="str">
        <f>VLOOKUP(BF131,'Axe 2 Règles de gestion'!$D$2:$F$146,3, FALSE)</f>
        <v>La saisie d'une occurrence de congés/absences est interdite (date de fin réelle)</v>
      </c>
      <c r="BH131" s="13" t="s">
        <v>154</v>
      </c>
      <c r="BI131" s="15" t="str">
        <f>VLOOKUP(BH131,'Axe 2 Règles de gestion'!$D$2:$F$146,3, FALSE)</f>
        <v>La saisie d'une occurrence de congés/absences est interdite (date de fin prévisionnelle)</v>
      </c>
      <c r="BJ131" s="13"/>
      <c r="BK131" s="15"/>
      <c r="BL131" s="13"/>
      <c r="BM131" s="15"/>
      <c r="BN131" s="13"/>
      <c r="BO131" s="15"/>
      <c r="BP131" s="13"/>
      <c r="BQ131" s="15"/>
      <c r="BR131" s="13"/>
      <c r="BS131" s="15"/>
      <c r="BT131" s="13"/>
      <c r="BU131" s="15"/>
      <c r="BV131" s="13"/>
      <c r="BW131" s="15"/>
    </row>
    <row r="132" spans="1:75" ht="72.5" x14ac:dyDescent="0.35">
      <c r="A132" s="13" t="s">
        <v>76</v>
      </c>
      <c r="B132" s="13" t="s">
        <v>77</v>
      </c>
      <c r="C132" s="14">
        <v>43152.5</v>
      </c>
      <c r="D132" s="13" t="s">
        <v>78</v>
      </c>
      <c r="E132" s="15" t="s">
        <v>79</v>
      </c>
      <c r="F132" s="13" t="s">
        <v>80</v>
      </c>
      <c r="G132" s="15" t="s">
        <v>81</v>
      </c>
      <c r="H132" s="13" t="s">
        <v>314</v>
      </c>
      <c r="I132" s="15" t="s">
        <v>315</v>
      </c>
      <c r="J132" s="15" t="s">
        <v>316</v>
      </c>
      <c r="K132" s="15" t="s">
        <v>317</v>
      </c>
      <c r="L132" s="13" t="s">
        <v>318</v>
      </c>
      <c r="M132" s="15" t="s">
        <v>319</v>
      </c>
      <c r="N132" s="13" t="s">
        <v>88</v>
      </c>
      <c r="O132" s="15" t="s">
        <v>89</v>
      </c>
      <c r="P132" s="15" t="s">
        <v>90</v>
      </c>
      <c r="Q132" s="15" t="s">
        <v>175</v>
      </c>
      <c r="R132" s="13" t="s">
        <v>176</v>
      </c>
      <c r="S132" s="13" t="s">
        <v>93</v>
      </c>
      <c r="T132" s="13" t="s">
        <v>94</v>
      </c>
      <c r="U132" s="14">
        <v>40725</v>
      </c>
      <c r="V132" s="14"/>
      <c r="W132" s="15"/>
      <c r="X132" s="13"/>
      <c r="Y132" s="15"/>
      <c r="Z132" s="13"/>
      <c r="AA132" s="15"/>
      <c r="AB132" s="13"/>
      <c r="AC132" s="15"/>
      <c r="AD132" s="13"/>
      <c r="AE132" s="15"/>
      <c r="AF132" s="13"/>
      <c r="AG132" s="15"/>
      <c r="AH132" s="13"/>
      <c r="AI132" s="15"/>
      <c r="AJ132" s="13"/>
      <c r="AK132" s="15"/>
      <c r="AL132" s="13"/>
      <c r="AM132" s="15"/>
      <c r="AN132" s="13"/>
      <c r="AO132" s="15"/>
      <c r="AP132" s="13"/>
      <c r="AQ132" s="15"/>
      <c r="AR132" s="13"/>
      <c r="AS132" s="15"/>
      <c r="AT132" s="13"/>
      <c r="AU132" s="15"/>
      <c r="AV132" s="13"/>
      <c r="AW132" s="15"/>
      <c r="AX132" s="13"/>
      <c r="AY132" s="15"/>
      <c r="AZ132" s="13"/>
      <c r="BA132" s="15"/>
      <c r="BB132" s="13"/>
      <c r="BC132" s="15"/>
      <c r="BD132" s="13"/>
      <c r="BE132" s="15"/>
      <c r="BF132" s="13"/>
      <c r="BG132" s="15"/>
      <c r="BH132" s="13"/>
      <c r="BI132" s="15"/>
      <c r="BJ132" s="13"/>
      <c r="BK132" s="15"/>
      <c r="BL132" s="13"/>
      <c r="BM132" s="15"/>
      <c r="BN132" s="13"/>
      <c r="BO132" s="15"/>
      <c r="BP132" s="13"/>
      <c r="BQ132" s="15"/>
      <c r="BR132" s="13"/>
      <c r="BS132" s="15"/>
      <c r="BT132" s="13"/>
      <c r="BU132" s="15"/>
      <c r="BV132" s="13"/>
      <c r="BW132" s="15"/>
    </row>
    <row r="133" spans="1:75" ht="72.5" x14ac:dyDescent="0.35">
      <c r="A133" s="13" t="s">
        <v>76</v>
      </c>
      <c r="B133" s="13" t="s">
        <v>77</v>
      </c>
      <c r="C133" s="14">
        <v>43152.5</v>
      </c>
      <c r="D133" s="13" t="s">
        <v>78</v>
      </c>
      <c r="E133" s="15" t="s">
        <v>79</v>
      </c>
      <c r="F133" s="13" t="s">
        <v>80</v>
      </c>
      <c r="G133" s="15" t="s">
        <v>81</v>
      </c>
      <c r="H133" s="13" t="s">
        <v>314</v>
      </c>
      <c r="I133" s="15" t="s">
        <v>315</v>
      </c>
      <c r="J133" s="15" t="s">
        <v>316</v>
      </c>
      <c r="K133" s="15" t="s">
        <v>317</v>
      </c>
      <c r="L133" s="13" t="s">
        <v>320</v>
      </c>
      <c r="M133" s="15" t="s">
        <v>321</v>
      </c>
      <c r="N133" s="13" t="s">
        <v>88</v>
      </c>
      <c r="O133" s="15" t="s">
        <v>97</v>
      </c>
      <c r="P133" s="15" t="s">
        <v>98</v>
      </c>
      <c r="Q133" s="15" t="s">
        <v>175</v>
      </c>
      <c r="R133" s="13" t="s">
        <v>176</v>
      </c>
      <c r="S133" s="13" t="s">
        <v>93</v>
      </c>
      <c r="T133" s="13" t="s">
        <v>94</v>
      </c>
      <c r="U133" s="14">
        <v>40725</v>
      </c>
      <c r="V133" s="14"/>
      <c r="W133" s="15"/>
      <c r="X133" s="13"/>
      <c r="Y133" s="15"/>
      <c r="Z133" s="13"/>
      <c r="AA133" s="15"/>
      <c r="AB133" s="13"/>
      <c r="AC133" s="15"/>
      <c r="AD133" s="13"/>
      <c r="AE133" s="15"/>
      <c r="AF133" s="13"/>
      <c r="AG133" s="15"/>
      <c r="AH133" s="13"/>
      <c r="AI133" s="15"/>
      <c r="AJ133" s="13"/>
      <c r="AK133" s="15"/>
      <c r="AL133" s="13"/>
      <c r="AM133" s="15"/>
      <c r="AN133" s="13"/>
      <c r="AO133" s="15"/>
      <c r="AP133" s="13"/>
      <c r="AQ133" s="15"/>
      <c r="AR133" s="13"/>
      <c r="AS133" s="15"/>
      <c r="AT133" s="13"/>
      <c r="AU133" s="15"/>
      <c r="AV133" s="13"/>
      <c r="AW133" s="15"/>
      <c r="AX133" s="13"/>
      <c r="AY133" s="15"/>
      <c r="AZ133" s="13"/>
      <c r="BA133" s="15"/>
      <c r="BB133" s="13"/>
      <c r="BC133" s="15"/>
      <c r="BD133" s="13"/>
      <c r="BE133" s="15"/>
      <c r="BF133" s="13"/>
      <c r="BG133" s="15"/>
      <c r="BH133" s="13"/>
      <c r="BI133" s="15"/>
      <c r="BJ133" s="13"/>
      <c r="BK133" s="15"/>
      <c r="BL133" s="13"/>
      <c r="BM133" s="15"/>
      <c r="BN133" s="13"/>
      <c r="BO133" s="15"/>
      <c r="BP133" s="13"/>
      <c r="BQ133" s="15"/>
      <c r="BR133" s="13"/>
      <c r="BS133" s="15"/>
      <c r="BT133" s="13"/>
      <c r="BU133" s="15"/>
      <c r="BV133" s="13"/>
      <c r="BW133" s="15"/>
    </row>
    <row r="134" spans="1:75" ht="72.5" x14ac:dyDescent="0.35">
      <c r="A134" s="13" t="s">
        <v>76</v>
      </c>
      <c r="B134" s="13" t="s">
        <v>77</v>
      </c>
      <c r="C134" s="14">
        <v>43152.5</v>
      </c>
      <c r="D134" s="13" t="s">
        <v>78</v>
      </c>
      <c r="E134" s="15" t="s">
        <v>79</v>
      </c>
      <c r="F134" s="13" t="s">
        <v>80</v>
      </c>
      <c r="G134" s="15" t="s">
        <v>81</v>
      </c>
      <c r="H134" s="13" t="s">
        <v>314</v>
      </c>
      <c r="I134" s="15" t="s">
        <v>315</v>
      </c>
      <c r="J134" s="15" t="s">
        <v>316</v>
      </c>
      <c r="K134" s="15" t="s">
        <v>317</v>
      </c>
      <c r="L134" s="13" t="s">
        <v>322</v>
      </c>
      <c r="M134" s="15" t="s">
        <v>323</v>
      </c>
      <c r="N134" s="13" t="s">
        <v>101</v>
      </c>
      <c r="O134" s="15" t="s">
        <v>102</v>
      </c>
      <c r="P134" s="15" t="s">
        <v>103</v>
      </c>
      <c r="Q134" s="15" t="s">
        <v>175</v>
      </c>
      <c r="R134" s="13" t="s">
        <v>176</v>
      </c>
      <c r="S134" s="13" t="s">
        <v>93</v>
      </c>
      <c r="T134" s="13" t="s">
        <v>94</v>
      </c>
      <c r="U134" s="14">
        <v>40725</v>
      </c>
      <c r="V134" s="14"/>
      <c r="W134" s="15"/>
      <c r="X134" s="13"/>
      <c r="Y134" s="15"/>
      <c r="Z134" s="13"/>
      <c r="AA134" s="15"/>
      <c r="AB134" s="13"/>
      <c r="AC134" s="15"/>
      <c r="AD134" s="13"/>
      <c r="AE134" s="15"/>
      <c r="AF134" s="13"/>
      <c r="AG134" s="15"/>
      <c r="AH134" s="13"/>
      <c r="AI134" s="15"/>
      <c r="AJ134" s="13"/>
      <c r="AK134" s="15"/>
      <c r="AL134" s="13"/>
      <c r="AM134" s="15"/>
      <c r="AN134" s="13"/>
      <c r="AO134" s="15"/>
      <c r="AP134" s="13"/>
      <c r="AQ134" s="15"/>
      <c r="AR134" s="13"/>
      <c r="AS134" s="15"/>
      <c r="AT134" s="13"/>
      <c r="AU134" s="15"/>
      <c r="AV134" s="13"/>
      <c r="AW134" s="15"/>
      <c r="AX134" s="13"/>
      <c r="AY134" s="15"/>
      <c r="AZ134" s="13"/>
      <c r="BA134" s="15"/>
      <c r="BB134" s="13"/>
      <c r="BC134" s="15"/>
      <c r="BD134" s="13"/>
      <c r="BE134" s="15"/>
      <c r="BF134" s="13"/>
      <c r="BG134" s="15"/>
      <c r="BH134" s="13"/>
      <c r="BI134" s="15"/>
      <c r="BJ134" s="13"/>
      <c r="BK134" s="15"/>
      <c r="BL134" s="13"/>
      <c r="BM134" s="15"/>
      <c r="BN134" s="13"/>
      <c r="BO134" s="15"/>
      <c r="BP134" s="13"/>
      <c r="BQ134" s="15"/>
      <c r="BR134" s="13"/>
      <c r="BS134" s="15"/>
      <c r="BT134" s="13"/>
      <c r="BU134" s="15"/>
      <c r="BV134" s="13"/>
      <c r="BW134" s="15"/>
    </row>
    <row r="135" spans="1:75" ht="101.5" x14ac:dyDescent="0.35">
      <c r="A135" s="13" t="s">
        <v>238</v>
      </c>
      <c r="B135" s="13" t="s">
        <v>109</v>
      </c>
      <c r="C135" s="14">
        <v>44368.708333333336</v>
      </c>
      <c r="D135" s="13" t="s">
        <v>78</v>
      </c>
      <c r="E135" s="15" t="s">
        <v>79</v>
      </c>
      <c r="F135" s="13" t="s">
        <v>80</v>
      </c>
      <c r="G135" s="15" t="s">
        <v>81</v>
      </c>
      <c r="H135" s="13" t="s">
        <v>314</v>
      </c>
      <c r="I135" s="15" t="s">
        <v>315</v>
      </c>
      <c r="J135" s="15" t="s">
        <v>316</v>
      </c>
      <c r="K135" s="15" t="s">
        <v>317</v>
      </c>
      <c r="L135" s="13" t="s">
        <v>318</v>
      </c>
      <c r="M135" s="15" t="s">
        <v>319</v>
      </c>
      <c r="N135" s="13" t="s">
        <v>88</v>
      </c>
      <c r="O135" s="15" t="s">
        <v>89</v>
      </c>
      <c r="P135" s="15" t="s">
        <v>90</v>
      </c>
      <c r="Q135" s="15" t="s">
        <v>177</v>
      </c>
      <c r="R135" s="13" t="s">
        <v>178</v>
      </c>
      <c r="S135" s="13" t="s">
        <v>179</v>
      </c>
      <c r="T135" s="13" t="s">
        <v>112</v>
      </c>
      <c r="U135" s="14">
        <v>40725</v>
      </c>
      <c r="V135" s="14"/>
      <c r="W135" s="15" t="s">
        <v>329</v>
      </c>
      <c r="X135" s="13" t="s">
        <v>181</v>
      </c>
      <c r="Y135" s="15" t="str">
        <f>VLOOKUP(X135,'Axe 2 Règles de gestion'!$D$2:$F$146,3, FALSE)</f>
        <v>L'agent doit présenter une demande de congé sans traitement.</v>
      </c>
      <c r="Z135" s="13" t="s">
        <v>182</v>
      </c>
      <c r="AA135" s="15" t="str">
        <f>VLOOKUP(Z135,'Axe 2 Règles de gestion'!$D$2:$F$146,3, FALSE)</f>
        <v>La demande est accordée de droit par le supérieur hiérarchique.</v>
      </c>
      <c r="AB135" s="13"/>
      <c r="AC135" s="15"/>
      <c r="AD135" s="13"/>
      <c r="AE135" s="15"/>
      <c r="AF135" s="13" t="s">
        <v>183</v>
      </c>
      <c r="AG135" s="15" t="str">
        <f>VLOOKUP(AF135,'Axe 2 Règles de gestion'!$D$2:$F$146,3, FALSE)</f>
        <v>La durée prévisionnelle maximale de chaque période est de un an.</v>
      </c>
      <c r="AH135" s="13" t="s">
        <v>184</v>
      </c>
      <c r="AI135" s="15" t="str">
        <f>VLOOKUP(AH135,'Axe 2 Règles de gestion'!$D$2:$F$146,3, FALSE)</f>
        <v>La durée réelle maximale de chaque période est de un an.</v>
      </c>
      <c r="AJ135" s="13" t="s">
        <v>185</v>
      </c>
      <c r="AK135" s="15" t="str">
        <f>VLOOKUP(AJ135,'Axe 2 Règles de gestion'!$D$2:$F$146,3, FALSE)</f>
        <v>L'agent ne peut pas bénéficier de plus de 3 ans cumulés de congé sans traitement quels que soient les motifs de congés sans traitement : pour raisons personnelles ou familiales.</v>
      </c>
      <c r="AL135" s="13" t="s">
        <v>330</v>
      </c>
      <c r="AM135" s="15" t="str">
        <f>VLOOKUP(AL135,'Axe 2 Règles de gestion'!$D$2:$F$146,3, FALSE)</f>
        <v>L'agent doit avoir un enfant lié à cette position.</v>
      </c>
      <c r="AN135" s="13"/>
      <c r="AO135" s="15"/>
      <c r="AP135" s="13" t="s">
        <v>128</v>
      </c>
      <c r="AQ135" s="15" t="str">
        <f>VLOOKUP(AP135,'Axe 2 Règles de gestion'!$D$2:$F$146,3, FALSE)</f>
        <v>Lors de la demande initiale, l'agent doit être en activité.</v>
      </c>
      <c r="AR135" s="13" t="s">
        <v>130</v>
      </c>
      <c r="AS135" s="15" t="str">
        <f>VLOOKUP(AR135,'Axe 2 Règles de gestion'!$D$2:$F$146,3, FALSE)</f>
        <v>La date de début de la position doit être postérieure ou égale à la date d'entrée dans la FPE ou dans la carrière militaire.</v>
      </c>
      <c r="AT135" s="13" t="s">
        <v>132</v>
      </c>
      <c r="AU135" s="15" t="str">
        <f>VLOOKUP(AT135,'Axe 2 Règles de gestion'!$D$2:$F$146,3, FALSE)</f>
        <v>La date de début de position est à J+1 de la date de fin de position de l'occurrence précédente.</v>
      </c>
      <c r="AV135" s="13" t="s">
        <v>134</v>
      </c>
      <c r="AW135" s="15" t="str">
        <f>VLOOKUP(AV135,'Axe 2 Règles de gestion'!$D$2:$F$146,3, FALSE)</f>
        <v>La date de début de position doit être antérieure ou égale à la date de fin prévisionnelle de position.</v>
      </c>
      <c r="AX135" s="13" t="s">
        <v>136</v>
      </c>
      <c r="AY135" s="15" t="str">
        <f>VLOOKUP(AX135,'Axe 2 Règles de gestion'!$D$2:$F$146,3, FALSE)</f>
        <v>La date de début de position doit être antérieure ou égale à la date de fin réelle de position.</v>
      </c>
      <c r="AZ135" s="13" t="s">
        <v>138</v>
      </c>
      <c r="BA135" s="15" t="str">
        <f>VLOOKUP(AZ135,'Axe 2 Règles de gestion'!$D$2:$F$146,3, FALSE)</f>
        <v>La date de fin prévisionnelle de la position doit être antérieure à la date limite de départ à la retraite.</v>
      </c>
      <c r="BB135" s="13" t="s">
        <v>140</v>
      </c>
      <c r="BC135" s="15" t="str">
        <f>VLOOKUP(BB135,'Axe 2 Règles de gestion'!$D$2:$F$146,3, FALSE)</f>
        <v>La date de fin réelle de la position doit être antérieure à la date limite de départ à la retraite.</v>
      </c>
      <c r="BD135" s="13" t="s">
        <v>142</v>
      </c>
      <c r="BE135" s="15" t="str">
        <f>VLOOKUP(BD135,'Axe 2 Règles de gestion'!$D$2:$F$146,3, FALSE)</f>
        <v>La date de fin ou la date de fin prévisionnelle doit être saisie.</v>
      </c>
      <c r="BF135" s="13" t="s">
        <v>144</v>
      </c>
      <c r="BG135" s="15" t="str">
        <f>VLOOKUP(BF135,'Axe 2 Règles de gestion'!$D$2:$F$146,3, FALSE)</f>
        <v>Le lien vers l'enfant doit être renseigné.</v>
      </c>
      <c r="BH135" s="13" t="s">
        <v>148</v>
      </c>
      <c r="BI135" s="15" t="str">
        <f>VLOOKUP(BH135,'Axe 2 Règles de gestion'!$D$2:$F$146,3, FALSE)</f>
        <v>La date de fin réelle de la position doit être antérieure ou égale à la date de décès de l'enfant.</v>
      </c>
      <c r="BJ135" s="13" t="s">
        <v>150</v>
      </c>
      <c r="BK135" s="15" t="str">
        <f>VLOOKUP(BJ135,'Axe 2 Règles de gestion'!$D$2:$F$146,3, FALSE)</f>
        <v>La date de fin prévisionnelle de la position doit être antérieure ou égale à la date de décès de l'enfant.</v>
      </c>
      <c r="BL135" s="13" t="s">
        <v>152</v>
      </c>
      <c r="BM135" s="15" t="str">
        <f>VLOOKUP(BL135,'Axe 2 Règles de gestion'!$D$2:$F$146,3, FALSE)</f>
        <v>La saisie d'une occurrence de congés/absences est interdite (date de fin réelle)</v>
      </c>
      <c r="BN135" s="13" t="s">
        <v>154</v>
      </c>
      <c r="BO135" s="15" t="str">
        <f>VLOOKUP(BN135,'Axe 2 Règles de gestion'!$D$2:$F$146,3, FALSE)</f>
        <v>La saisie d'une occurrence de congés/absences est interdite (date de fin prévisionnelle)</v>
      </c>
      <c r="BP135" s="13"/>
      <c r="BQ135" s="15"/>
      <c r="BR135" s="13"/>
      <c r="BS135" s="15"/>
      <c r="BT135" s="13"/>
      <c r="BU135" s="15"/>
      <c r="BV135" s="13"/>
      <c r="BW135" s="15"/>
    </row>
    <row r="136" spans="1:75" ht="101.5" x14ac:dyDescent="0.35">
      <c r="A136" s="13" t="s">
        <v>238</v>
      </c>
      <c r="B136" s="13" t="s">
        <v>109</v>
      </c>
      <c r="C136" s="14">
        <v>44368.708333333336</v>
      </c>
      <c r="D136" s="13" t="s">
        <v>78</v>
      </c>
      <c r="E136" s="15" t="s">
        <v>79</v>
      </c>
      <c r="F136" s="13" t="s">
        <v>80</v>
      </c>
      <c r="G136" s="15" t="s">
        <v>81</v>
      </c>
      <c r="H136" s="13" t="s">
        <v>314</v>
      </c>
      <c r="I136" s="15" t="s">
        <v>315</v>
      </c>
      <c r="J136" s="15" t="s">
        <v>316</v>
      </c>
      <c r="K136" s="15" t="s">
        <v>317</v>
      </c>
      <c r="L136" s="13" t="s">
        <v>320</v>
      </c>
      <c r="M136" s="15" t="s">
        <v>321</v>
      </c>
      <c r="N136" s="13" t="s">
        <v>88</v>
      </c>
      <c r="O136" s="15" t="s">
        <v>97</v>
      </c>
      <c r="P136" s="15" t="s">
        <v>98</v>
      </c>
      <c r="Q136" s="15" t="s">
        <v>177</v>
      </c>
      <c r="R136" s="13" t="s">
        <v>178</v>
      </c>
      <c r="S136" s="13" t="s">
        <v>179</v>
      </c>
      <c r="T136" s="13" t="s">
        <v>112</v>
      </c>
      <c r="U136" s="14">
        <v>40725</v>
      </c>
      <c r="V136" s="14"/>
      <c r="W136" s="15" t="s">
        <v>331</v>
      </c>
      <c r="X136" s="13" t="s">
        <v>192</v>
      </c>
      <c r="Y136" s="15" t="str">
        <f>VLOOKUP(X136,'Axe 2 Règles de gestion'!$D$2:$F$146,3, FALSE)</f>
        <v>L'agent peut renouveler le congé sans traitement 2 fois.</v>
      </c>
      <c r="Z136" s="13"/>
      <c r="AA136" s="15"/>
      <c r="AB136" s="13"/>
      <c r="AC136" s="15"/>
      <c r="AD136" s="13"/>
      <c r="AE136" s="15"/>
      <c r="AF136" s="13" t="s">
        <v>183</v>
      </c>
      <c r="AG136" s="15" t="str">
        <f>VLOOKUP(AF136,'Axe 2 Règles de gestion'!$D$2:$F$146,3, FALSE)</f>
        <v>La durée prévisionnelle maximale de chaque période est de un an.</v>
      </c>
      <c r="AH136" s="13" t="s">
        <v>184</v>
      </c>
      <c r="AI136" s="15" t="str">
        <f>VLOOKUP(AH136,'Axe 2 Règles de gestion'!$D$2:$F$146,3, FALSE)</f>
        <v>La durée réelle maximale de chaque période est de un an.</v>
      </c>
      <c r="AJ136" s="13" t="s">
        <v>185</v>
      </c>
      <c r="AK136" s="15" t="str">
        <f>VLOOKUP(AJ136,'Axe 2 Règles de gestion'!$D$2:$F$146,3, FALSE)</f>
        <v>L'agent ne peut pas bénéficier de plus de 3 ans cumulés de congé sans traitement quels que soient les motifs de congés sans traitement : pour raisons personnelles ou familiales.</v>
      </c>
      <c r="AL136" s="13" t="s">
        <v>330</v>
      </c>
      <c r="AM136" s="15" t="str">
        <f>VLOOKUP(AL136,'Axe 2 Règles de gestion'!$D$2:$F$146,3, FALSE)</f>
        <v>L'agent doit avoir un enfant lié à cette position.</v>
      </c>
      <c r="AN136" s="13"/>
      <c r="AO136" s="15"/>
      <c r="AP136" s="13" t="s">
        <v>130</v>
      </c>
      <c r="AQ136" s="15" t="str">
        <f>VLOOKUP(AP136,'Axe 2 Règles de gestion'!$D$2:$F$146,3, FALSE)</f>
        <v>La date de début de la position doit être postérieure ou égale à la date d'entrée dans la FPE ou dans la carrière militaire.</v>
      </c>
      <c r="AR136" s="13" t="s">
        <v>132</v>
      </c>
      <c r="AS136" s="15" t="str">
        <f>VLOOKUP(AR136,'Axe 2 Règles de gestion'!$D$2:$F$146,3, FALSE)</f>
        <v>La date de début de position est à J+1 de la date de fin de position de l'occurrence précédente.</v>
      </c>
      <c r="AT136" s="13" t="s">
        <v>134</v>
      </c>
      <c r="AU136" s="15" t="str">
        <f>VLOOKUP(AT136,'Axe 2 Règles de gestion'!$D$2:$F$146,3, FALSE)</f>
        <v>La date de début de position doit être antérieure ou égale à la date de fin prévisionnelle de position.</v>
      </c>
      <c r="AV136" s="13" t="s">
        <v>136</v>
      </c>
      <c r="AW136" s="15" t="str">
        <f>VLOOKUP(AV136,'Axe 2 Règles de gestion'!$D$2:$F$146,3, FALSE)</f>
        <v>La date de début de position doit être antérieure ou égale à la date de fin réelle de position.</v>
      </c>
      <c r="AX136" s="13" t="s">
        <v>138</v>
      </c>
      <c r="AY136" s="15" t="str">
        <f>VLOOKUP(AX136,'Axe 2 Règles de gestion'!$D$2:$F$146,3, FALSE)</f>
        <v>La date de fin prévisionnelle de la position doit être antérieure à la date limite de départ à la retraite.</v>
      </c>
      <c r="AZ136" s="13" t="s">
        <v>140</v>
      </c>
      <c r="BA136" s="15" t="str">
        <f>VLOOKUP(AZ136,'Axe 2 Règles de gestion'!$D$2:$F$146,3, FALSE)</f>
        <v>La date de fin réelle de la position doit être antérieure à la date limite de départ à la retraite.</v>
      </c>
      <c r="BB136" s="13" t="s">
        <v>142</v>
      </c>
      <c r="BC136" s="15" t="str">
        <f>VLOOKUP(BB136,'Axe 2 Règles de gestion'!$D$2:$F$146,3, FALSE)</f>
        <v>La date de fin ou la date de fin prévisionnelle doit être saisie.</v>
      </c>
      <c r="BD136" s="13" t="s">
        <v>144</v>
      </c>
      <c r="BE136" s="15" t="str">
        <f>VLOOKUP(BD136,'Axe 2 Règles de gestion'!$D$2:$F$146,3, FALSE)</f>
        <v>Le lien vers l'enfant doit être renseigné.</v>
      </c>
      <c r="BF136" s="13" t="s">
        <v>148</v>
      </c>
      <c r="BG136" s="15" t="str">
        <f>VLOOKUP(BF136,'Axe 2 Règles de gestion'!$D$2:$F$146,3, FALSE)</f>
        <v>La date de fin réelle de la position doit être antérieure ou égale à la date de décès de l'enfant.</v>
      </c>
      <c r="BH136" s="13" t="s">
        <v>150</v>
      </c>
      <c r="BI136" s="15" t="str">
        <f>VLOOKUP(BH136,'Axe 2 Règles de gestion'!$D$2:$F$146,3, FALSE)</f>
        <v>La date de fin prévisionnelle de la position doit être antérieure ou égale à la date de décès de l'enfant.</v>
      </c>
      <c r="BJ136" s="13" t="s">
        <v>152</v>
      </c>
      <c r="BK136" s="15" t="str">
        <f>VLOOKUP(BJ136,'Axe 2 Règles de gestion'!$D$2:$F$146,3, FALSE)</f>
        <v>La saisie d'une occurrence de congés/absences est interdite (date de fin réelle)</v>
      </c>
      <c r="BL136" s="13" t="s">
        <v>154</v>
      </c>
      <c r="BM136" s="15" t="str">
        <f>VLOOKUP(BL136,'Axe 2 Règles de gestion'!$D$2:$F$146,3, FALSE)</f>
        <v>La saisie d'une occurrence de congés/absences est interdite (date de fin prévisionnelle)</v>
      </c>
      <c r="BN136" s="13"/>
      <c r="BO136" s="15"/>
      <c r="BP136" s="13"/>
      <c r="BQ136" s="15"/>
      <c r="BR136" s="13"/>
      <c r="BS136" s="15"/>
      <c r="BT136" s="13"/>
      <c r="BU136" s="15"/>
      <c r="BV136" s="13"/>
      <c r="BW136" s="15"/>
    </row>
    <row r="137" spans="1:75" ht="130.5" x14ac:dyDescent="0.35">
      <c r="A137" s="13" t="s">
        <v>165</v>
      </c>
      <c r="B137" s="13" t="s">
        <v>109</v>
      </c>
      <c r="C137" s="14">
        <v>44715.447916666664</v>
      </c>
      <c r="D137" s="13" t="s">
        <v>78</v>
      </c>
      <c r="E137" s="15" t="s">
        <v>79</v>
      </c>
      <c r="F137" s="13" t="s">
        <v>80</v>
      </c>
      <c r="G137" s="15" t="s">
        <v>81</v>
      </c>
      <c r="H137" s="13" t="s">
        <v>314</v>
      </c>
      <c r="I137" s="15" t="s">
        <v>315</v>
      </c>
      <c r="J137" s="15" t="s">
        <v>316</v>
      </c>
      <c r="K137" s="15" t="s">
        <v>317</v>
      </c>
      <c r="L137" s="13" t="s">
        <v>322</v>
      </c>
      <c r="M137" s="15" t="s">
        <v>323</v>
      </c>
      <c r="N137" s="13" t="s">
        <v>101</v>
      </c>
      <c r="O137" s="15" t="s">
        <v>102</v>
      </c>
      <c r="P137" s="15" t="s">
        <v>103</v>
      </c>
      <c r="Q137" s="15" t="s">
        <v>177</v>
      </c>
      <c r="R137" s="13" t="s">
        <v>178</v>
      </c>
      <c r="S137" s="13" t="s">
        <v>179</v>
      </c>
      <c r="T137" s="13" t="s">
        <v>112</v>
      </c>
      <c r="U137" s="14">
        <v>40725</v>
      </c>
      <c r="V137" s="14">
        <v>44633</v>
      </c>
      <c r="W137" s="15" t="s">
        <v>332</v>
      </c>
      <c r="X137" s="13" t="s">
        <v>195</v>
      </c>
      <c r="Y137" s="15" t="str">
        <f>VLOOKUP(X137,'Axe 2 Règles de gestion'!$D$2:$F$146,3, FALSE)</f>
        <v>L'agent doit demander à reprendre ses fonctions 2 mois au moins avant l'expiration du congé en cours.</v>
      </c>
      <c r="Z137" s="13" t="s">
        <v>197</v>
      </c>
      <c r="AA137" s="15" t="str">
        <f>VLOOKUP(Z137,'Axe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37" s="13"/>
      <c r="AC137" s="15"/>
      <c r="AD137" s="13"/>
      <c r="AE137" s="15"/>
      <c r="AF137" s="13" t="s">
        <v>183</v>
      </c>
      <c r="AG137" s="15" t="str">
        <f>VLOOKUP(AF137,'Axe 2 Règles de gestion'!$D$2:$F$146,3, FALSE)</f>
        <v>La durée prévisionnelle maximale de chaque période est de un an.</v>
      </c>
      <c r="AH137" s="13" t="s">
        <v>184</v>
      </c>
      <c r="AI137" s="15" t="str">
        <f>VLOOKUP(AH137,'Axe 2 Règles de gestion'!$D$2:$F$146,3, FALSE)</f>
        <v>La durée réelle maximale de chaque période est de un an.</v>
      </c>
      <c r="AJ137" s="13" t="s">
        <v>185</v>
      </c>
      <c r="AK137" s="15" t="str">
        <f>VLOOKUP(AJ137,'Axe 2 Règles de gestion'!$D$2:$F$146,3, FALSE)</f>
        <v>L'agent ne peut pas bénéficier de plus de 3 ans cumulés de congé sans traitement quels que soient les motifs de congés sans traitement : pour raisons personnelles ou familiales.</v>
      </c>
      <c r="AL137" s="13" t="s">
        <v>330</v>
      </c>
      <c r="AM137" s="15" t="str">
        <f>VLOOKUP(AL137,'Axe 2 Règles de gestion'!$D$2:$F$146,3, FALSE)</f>
        <v>L'agent doit avoir un enfant lié à cette position.</v>
      </c>
      <c r="AN137" s="13"/>
      <c r="AO137" s="15"/>
      <c r="AP137" s="13" t="s">
        <v>134</v>
      </c>
      <c r="AQ137" s="15" t="str">
        <f>VLOOKUP(AP137,'Axe 2 Règles de gestion'!$D$2:$F$146,3, FALSE)</f>
        <v>La date de début de position doit être antérieure ou égale à la date de fin prévisionnelle de position.</v>
      </c>
      <c r="AR137" s="13" t="s">
        <v>136</v>
      </c>
      <c r="AS137" s="15" t="str">
        <f>VLOOKUP(AR137,'Axe 2 Règles de gestion'!$D$2:$F$146,3, FALSE)</f>
        <v>La date de début de position doit être antérieure ou égale à la date de fin réelle de position.</v>
      </c>
      <c r="AT137" s="13" t="s">
        <v>138</v>
      </c>
      <c r="AU137" s="15" t="str">
        <f>VLOOKUP(AT137,'Axe 2 Règles de gestion'!$D$2:$F$146,3, FALSE)</f>
        <v>La date de fin prévisionnelle de la position doit être antérieure à la date limite de départ à la retraite.</v>
      </c>
      <c r="AV137" s="13" t="s">
        <v>140</v>
      </c>
      <c r="AW137" s="15" t="str">
        <f>VLOOKUP(AV137,'Axe 2 Règles de gestion'!$D$2:$F$146,3, FALSE)</f>
        <v>La date de fin réelle de la position doit être antérieure à la date limite de départ à la retraite.</v>
      </c>
      <c r="AX137" s="13" t="s">
        <v>142</v>
      </c>
      <c r="AY137" s="15" t="str">
        <f>VLOOKUP(AX137,'Axe 2 Règles de gestion'!$D$2:$F$146,3, FALSE)</f>
        <v>La date de fin ou la date de fin prévisionnelle doit être saisie.</v>
      </c>
      <c r="AZ137" s="13" t="s">
        <v>144</v>
      </c>
      <c r="BA137" s="15" t="str">
        <f>VLOOKUP(AZ137,'Axe 2 Règles de gestion'!$D$2:$F$146,3, FALSE)</f>
        <v>Le lien vers l'enfant doit être renseigné.</v>
      </c>
      <c r="BB137" s="13" t="s">
        <v>148</v>
      </c>
      <c r="BC137" s="15" t="str">
        <f>VLOOKUP(BB137,'Axe 2 Règles de gestion'!$D$2:$F$146,3, FALSE)</f>
        <v>La date de fin réelle de la position doit être antérieure ou égale à la date de décès de l'enfant.</v>
      </c>
      <c r="BD137" s="13" t="s">
        <v>150</v>
      </c>
      <c r="BE137" s="15" t="str">
        <f>VLOOKUP(BD137,'Axe 2 Règles de gestion'!$D$2:$F$146,3, FALSE)</f>
        <v>La date de fin prévisionnelle de la position doit être antérieure ou égale à la date de décès de l'enfant.</v>
      </c>
      <c r="BF137" s="13" t="s">
        <v>152</v>
      </c>
      <c r="BG137" s="15" t="str">
        <f>VLOOKUP(BF137,'Axe 2 Règles de gestion'!$D$2:$F$146,3, FALSE)</f>
        <v>La saisie d'une occurrence de congés/absences est interdite (date de fin réelle)</v>
      </c>
      <c r="BH137" s="13" t="s">
        <v>154</v>
      </c>
      <c r="BI137" s="15" t="str">
        <f>VLOOKUP(BH137,'Axe 2 Règles de gestion'!$D$2:$F$146,3, FALSE)</f>
        <v>La saisie d'une occurrence de congés/absences est interdite (date de fin prévisionnelle)</v>
      </c>
      <c r="BJ137" s="13"/>
      <c r="BK137" s="15"/>
      <c r="BL137" s="13"/>
      <c r="BM137" s="15"/>
      <c r="BN137" s="13"/>
      <c r="BO137" s="15"/>
      <c r="BP137" s="13"/>
      <c r="BQ137" s="15"/>
      <c r="BR137" s="13"/>
      <c r="BS137" s="15"/>
      <c r="BT137" s="13"/>
      <c r="BU137" s="15"/>
      <c r="BV137" s="13"/>
      <c r="BW137" s="15"/>
    </row>
    <row r="138" spans="1:75" ht="145" x14ac:dyDescent="0.35">
      <c r="A138" s="13" t="s">
        <v>165</v>
      </c>
      <c r="B138" s="13" t="s">
        <v>77</v>
      </c>
      <c r="C138" s="14">
        <v>44715.448611111111</v>
      </c>
      <c r="D138" s="13" t="s">
        <v>78</v>
      </c>
      <c r="E138" s="15" t="s">
        <v>79</v>
      </c>
      <c r="F138" s="13" t="s">
        <v>80</v>
      </c>
      <c r="G138" s="15" t="s">
        <v>81</v>
      </c>
      <c r="H138" s="13" t="s">
        <v>314</v>
      </c>
      <c r="I138" s="15" t="s">
        <v>315</v>
      </c>
      <c r="J138" s="15" t="s">
        <v>316</v>
      </c>
      <c r="K138" s="15" t="s">
        <v>317</v>
      </c>
      <c r="L138" s="13" t="s">
        <v>322</v>
      </c>
      <c r="M138" s="15" t="s">
        <v>323</v>
      </c>
      <c r="N138" s="13" t="s">
        <v>101</v>
      </c>
      <c r="O138" s="15" t="s">
        <v>102</v>
      </c>
      <c r="P138" s="15" t="s">
        <v>103</v>
      </c>
      <c r="Q138" s="15" t="s">
        <v>177</v>
      </c>
      <c r="R138" s="13" t="s">
        <v>178</v>
      </c>
      <c r="S138" s="13" t="s">
        <v>179</v>
      </c>
      <c r="T138" s="13" t="s">
        <v>112</v>
      </c>
      <c r="U138" s="14">
        <v>44634</v>
      </c>
      <c r="V138" s="14"/>
      <c r="W138" s="15" t="s">
        <v>333</v>
      </c>
      <c r="X138" s="13" t="s">
        <v>195</v>
      </c>
      <c r="Y138" s="15" t="str">
        <f>VLOOKUP(X138,'Axe 2 Règles de gestion'!$D$2:$F$146,3, FALSE)</f>
        <v>L'agent doit demander à reprendre ses fonctions 2 mois au moins avant l'expiration du congé en cours.</v>
      </c>
      <c r="Z138" s="13" t="s">
        <v>199</v>
      </c>
      <c r="AA138" s="15" t="str">
        <f>VLOOKUP(Z138,'Axe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38" s="13"/>
      <c r="AC138" s="15"/>
      <c r="AD138" s="13"/>
      <c r="AE138" s="15"/>
      <c r="AF138" s="13" t="s">
        <v>183</v>
      </c>
      <c r="AG138" s="15" t="str">
        <f>VLOOKUP(AF138,'Axe 2 Règles de gestion'!$D$2:$F$146,3, FALSE)</f>
        <v>La durée prévisionnelle maximale de chaque période est de un an.</v>
      </c>
      <c r="AH138" s="13" t="s">
        <v>184</v>
      </c>
      <c r="AI138" s="15" t="str">
        <f>VLOOKUP(AH138,'Axe 2 Règles de gestion'!$D$2:$F$146,3, FALSE)</f>
        <v>La durée réelle maximale de chaque période est de un an.</v>
      </c>
      <c r="AJ138" s="13" t="s">
        <v>185</v>
      </c>
      <c r="AK138" s="15" t="str">
        <f>VLOOKUP(AJ138,'Axe 2 Règles de gestion'!$D$2:$F$146,3, FALSE)</f>
        <v>L'agent ne peut pas bénéficier de plus de 3 ans cumulés de congé sans traitement quels que soient les motifs de congés sans traitement : pour raisons personnelles ou familiales.</v>
      </c>
      <c r="AL138" s="13" t="s">
        <v>330</v>
      </c>
      <c r="AM138" s="15" t="str">
        <f>VLOOKUP(AL138,'Axe 2 Règles de gestion'!$D$2:$F$146,3, FALSE)</f>
        <v>L'agent doit avoir un enfant lié à cette position.</v>
      </c>
      <c r="AN138" s="13"/>
      <c r="AO138" s="15"/>
      <c r="AP138" s="13" t="s">
        <v>134</v>
      </c>
      <c r="AQ138" s="15" t="str">
        <f>VLOOKUP(AP138,'Axe 2 Règles de gestion'!$D$2:$F$146,3, FALSE)</f>
        <v>La date de début de position doit être antérieure ou égale à la date de fin prévisionnelle de position.</v>
      </c>
      <c r="AR138" s="13" t="s">
        <v>136</v>
      </c>
      <c r="AS138" s="15" t="str">
        <f>VLOOKUP(AR138,'Axe 2 Règles de gestion'!$D$2:$F$146,3, FALSE)</f>
        <v>La date de début de position doit être antérieure ou égale à la date de fin réelle de position.</v>
      </c>
      <c r="AT138" s="13" t="s">
        <v>138</v>
      </c>
      <c r="AU138" s="15" t="str">
        <f>VLOOKUP(AT138,'Axe 2 Règles de gestion'!$D$2:$F$146,3, FALSE)</f>
        <v>La date de fin prévisionnelle de la position doit être antérieure à la date limite de départ à la retraite.</v>
      </c>
      <c r="AV138" s="13" t="s">
        <v>140</v>
      </c>
      <c r="AW138" s="15" t="str">
        <f>VLOOKUP(AV138,'Axe 2 Règles de gestion'!$D$2:$F$146,3, FALSE)</f>
        <v>La date de fin réelle de la position doit être antérieure à la date limite de départ à la retraite.</v>
      </c>
      <c r="AX138" s="13" t="s">
        <v>142</v>
      </c>
      <c r="AY138" s="15" t="str">
        <f>VLOOKUP(AX138,'Axe 2 Règles de gestion'!$D$2:$F$146,3, FALSE)</f>
        <v>La date de fin ou la date de fin prévisionnelle doit être saisie.</v>
      </c>
      <c r="AZ138" s="13" t="s">
        <v>144</v>
      </c>
      <c r="BA138" s="15" t="str">
        <f>VLOOKUP(AZ138,'Axe 2 Règles de gestion'!$D$2:$F$146,3, FALSE)</f>
        <v>Le lien vers l'enfant doit être renseigné.</v>
      </c>
      <c r="BB138" s="13" t="s">
        <v>148</v>
      </c>
      <c r="BC138" s="15" t="str">
        <f>VLOOKUP(BB138,'Axe 2 Règles de gestion'!$D$2:$F$146,3, FALSE)</f>
        <v>La date de fin réelle de la position doit être antérieure ou égale à la date de décès de l'enfant.</v>
      </c>
      <c r="BD138" s="13" t="s">
        <v>150</v>
      </c>
      <c r="BE138" s="15" t="str">
        <f>VLOOKUP(BD138,'Axe 2 Règles de gestion'!$D$2:$F$146,3, FALSE)</f>
        <v>La date de fin prévisionnelle de la position doit être antérieure ou égale à la date de décès de l'enfant.</v>
      </c>
      <c r="BF138" s="13" t="s">
        <v>152</v>
      </c>
      <c r="BG138" s="15" t="str">
        <f>VLOOKUP(BF138,'Axe 2 Règles de gestion'!$D$2:$F$146,3, FALSE)</f>
        <v>La saisie d'une occurrence de congés/absences est interdite (date de fin réelle)</v>
      </c>
      <c r="BH138" s="13" t="s">
        <v>154</v>
      </c>
      <c r="BI138" s="15" t="str">
        <f>VLOOKUP(BH138,'Axe 2 Règles de gestion'!$D$2:$F$146,3, FALSE)</f>
        <v>La saisie d'une occurrence de congés/absences est interdite (date de fin prévisionnelle)</v>
      </c>
      <c r="BJ138" s="13"/>
      <c r="BK138" s="15"/>
      <c r="BL138" s="13"/>
      <c r="BM138" s="15"/>
      <c r="BN138" s="13"/>
      <c r="BO138" s="15"/>
      <c r="BP138" s="13"/>
      <c r="BQ138" s="15"/>
      <c r="BR138" s="13"/>
      <c r="BS138" s="15"/>
      <c r="BT138" s="13"/>
      <c r="BU138" s="15"/>
      <c r="BV138" s="13"/>
      <c r="BW138" s="15"/>
    </row>
    <row r="139" spans="1:75" ht="101.5" x14ac:dyDescent="0.35">
      <c r="A139" s="13" t="s">
        <v>238</v>
      </c>
      <c r="B139" s="13" t="s">
        <v>109</v>
      </c>
      <c r="C139" s="14">
        <v>44368.708333333336</v>
      </c>
      <c r="D139" s="13" t="s">
        <v>78</v>
      </c>
      <c r="E139" s="15" t="s">
        <v>79</v>
      </c>
      <c r="F139" s="13" t="s">
        <v>80</v>
      </c>
      <c r="G139" s="15" t="s">
        <v>81</v>
      </c>
      <c r="H139" s="13" t="s">
        <v>314</v>
      </c>
      <c r="I139" s="15" t="s">
        <v>315</v>
      </c>
      <c r="J139" s="15" t="s">
        <v>316</v>
      </c>
      <c r="K139" s="15" t="s">
        <v>317</v>
      </c>
      <c r="L139" s="13" t="s">
        <v>318</v>
      </c>
      <c r="M139" s="15" t="s">
        <v>319</v>
      </c>
      <c r="N139" s="13" t="s">
        <v>88</v>
      </c>
      <c r="O139" s="15" t="s">
        <v>89</v>
      </c>
      <c r="P139" s="15" t="s">
        <v>90</v>
      </c>
      <c r="Q139" s="15" t="s">
        <v>201</v>
      </c>
      <c r="R139" s="13" t="s">
        <v>202</v>
      </c>
      <c r="S139" s="13" t="s">
        <v>179</v>
      </c>
      <c r="T139" s="13" t="s">
        <v>112</v>
      </c>
      <c r="U139" s="14">
        <v>40725</v>
      </c>
      <c r="V139" s="14"/>
      <c r="W139" s="15" t="s">
        <v>334</v>
      </c>
      <c r="X139" s="13" t="s">
        <v>204</v>
      </c>
      <c r="Y139" s="15" t="str">
        <f>VLOOKUP(X139,'Axe 2 Règles de gestion'!$D$2:$F$146,3, FALSE)</f>
        <v>L'agent doit présenter une demande de congé sans traitement.</v>
      </c>
      <c r="Z139" s="13" t="s">
        <v>205</v>
      </c>
      <c r="AA139" s="15" t="str">
        <f>VLOOKUP(Z139,'Axe 2 Règles de gestion'!$D$2:$F$146,3, FALSE)</f>
        <v>La demande est accordée de droit par le supérieur hiérarchique.</v>
      </c>
      <c r="AB139" s="13"/>
      <c r="AC139" s="15"/>
      <c r="AD139" s="13"/>
      <c r="AE139" s="15"/>
      <c r="AF139" s="13" t="s">
        <v>206</v>
      </c>
      <c r="AG139" s="15" t="str">
        <f>VLOOKUP(AF139,'Axe 2 Règles de gestion'!$D$2:$F$146,3, FALSE)</f>
        <v>La durée prévisionnelle maximale de chaque période est de un an.</v>
      </c>
      <c r="AH139" s="13" t="s">
        <v>207</v>
      </c>
      <c r="AI139" s="15" t="str">
        <f>VLOOKUP(AH139,'Axe 2 Règles de gestion'!$D$2:$F$146,3, FALSE)</f>
        <v>La durée réelle maximale de chaque période est de un an.</v>
      </c>
      <c r="AJ139" s="13" t="s">
        <v>208</v>
      </c>
      <c r="AK139" s="15" t="str">
        <f>VLOOKUP(AJ139,'Axe 2 Règles de gestion'!$D$2:$F$146,3, FALSE)</f>
        <v>L'agent ne peut pas bénéficier de plus de 3 ans cumulés de congé sans traitement quels que soient les motifs de congés sans traitement : pour raisons personnelles ou familiales.</v>
      </c>
      <c r="AL139" s="13" t="s">
        <v>335</v>
      </c>
      <c r="AM139" s="15" t="str">
        <f>VLOOKUP(AL139,'Axe 2 Règles de gestion'!$D$2:$F$146,3, FALSE)</f>
        <v>L'agent doit avoir un enfant lié à cette position.</v>
      </c>
      <c r="AN139" s="13"/>
      <c r="AO139" s="15"/>
      <c r="AP139" s="13" t="s">
        <v>128</v>
      </c>
      <c r="AQ139" s="15" t="str">
        <f>VLOOKUP(AP139,'Axe 2 Règles de gestion'!$D$2:$F$146,3, FALSE)</f>
        <v>Lors de la demande initiale, l'agent doit être en activité.</v>
      </c>
      <c r="AR139" s="13" t="s">
        <v>132</v>
      </c>
      <c r="AS139" s="15" t="str">
        <f>VLOOKUP(AR139,'Axe 2 Règles de gestion'!$D$2:$F$146,3, FALSE)</f>
        <v>La date de début de position est à J+1 de la date de fin de position de l'occurrence précédente.</v>
      </c>
      <c r="AT139" s="13" t="s">
        <v>134</v>
      </c>
      <c r="AU139" s="15" t="str">
        <f>VLOOKUP(AT139,'Axe 2 Règles de gestion'!$D$2:$F$146,3, FALSE)</f>
        <v>La date de début de position doit être antérieure ou égale à la date de fin prévisionnelle de position.</v>
      </c>
      <c r="AV139" s="13" t="s">
        <v>136</v>
      </c>
      <c r="AW139" s="15" t="str">
        <f>VLOOKUP(AV139,'Axe 2 Règles de gestion'!$D$2:$F$146,3, FALSE)</f>
        <v>La date de début de position doit être antérieure ou égale à la date de fin réelle de position.</v>
      </c>
      <c r="AX139" s="13" t="s">
        <v>138</v>
      </c>
      <c r="AY139" s="15" t="str">
        <f>VLOOKUP(AX139,'Axe 2 Règles de gestion'!$D$2:$F$146,3, FALSE)</f>
        <v>La date de fin prévisionnelle de la position doit être antérieure à la date limite de départ à la retraite.</v>
      </c>
      <c r="AZ139" s="13" t="s">
        <v>140</v>
      </c>
      <c r="BA139" s="15" t="str">
        <f>VLOOKUP(AZ139,'Axe 2 Règles de gestion'!$D$2:$F$146,3, FALSE)</f>
        <v>La date de fin réelle de la position doit être antérieure à la date limite de départ à la retraite.</v>
      </c>
      <c r="BB139" s="13" t="s">
        <v>142</v>
      </c>
      <c r="BC139" s="15" t="str">
        <f>VLOOKUP(BB139,'Axe 2 Règles de gestion'!$D$2:$F$146,3, FALSE)</f>
        <v>La date de fin ou la date de fin prévisionnelle doit être saisie.</v>
      </c>
      <c r="BD139" s="13" t="s">
        <v>144</v>
      </c>
      <c r="BE139" s="15" t="str">
        <f>VLOOKUP(BD139,'Axe 2 Règles de gestion'!$D$2:$F$146,3, FALSE)</f>
        <v>Le lien vers l'enfant doit être renseigné.</v>
      </c>
      <c r="BF139" s="13" t="s">
        <v>211</v>
      </c>
      <c r="BG139" s="15" t="str">
        <f>VLOOKUP(BF139,'Axe 2 Règles de gestion'!$D$2:$F$146,3, FALSE)</f>
        <v>La date de début de la position doit être postérieure ou égale à la date de début du lien juridique.</v>
      </c>
      <c r="BH139" s="13" t="s">
        <v>213</v>
      </c>
      <c r="BI139" s="15" t="str">
        <f>VLOOKUP(BH139,'Axe 2 Règles de gestion'!$D$2:$F$146,3, FALSE)</f>
        <v>La date de fin réelle de la position doit être antérieure ou égale à la date de fin réelle ou prévisionnelle du lien juridique.</v>
      </c>
      <c r="BJ139" s="13" t="s">
        <v>215</v>
      </c>
      <c r="BK139" s="15" t="str">
        <f>VLOOKUP(BJ139,'Axe 2 Règles de gestion'!$D$2:$F$146,3, FALSE)</f>
        <v>La date de fin prévisionnelle de la position doit être antérieure ou égale à la date de fin réelle ou prévisionnelle du lien juridique.</v>
      </c>
      <c r="BL139" s="13" t="s">
        <v>148</v>
      </c>
      <c r="BM139" s="15" t="str">
        <f>VLOOKUP(BL139,'Axe 2 Règles de gestion'!$D$2:$F$146,3, FALSE)</f>
        <v>La date de fin réelle de la position doit être antérieure ou égale à la date de décès de l'enfant.</v>
      </c>
      <c r="BN139" s="13" t="s">
        <v>150</v>
      </c>
      <c r="BO139" s="15" t="str">
        <f>VLOOKUP(BN139,'Axe 2 Règles de gestion'!$D$2:$F$146,3, FALSE)</f>
        <v>La date de fin prévisionnelle de la position doit être antérieure ou égale à la date de décès de l'enfant.</v>
      </c>
      <c r="BP139" s="13" t="s">
        <v>152</v>
      </c>
      <c r="BQ139" s="15" t="str">
        <f>VLOOKUP(BP139,'Axe 2 Règles de gestion'!$D$2:$F$146,3, FALSE)</f>
        <v>La saisie d'une occurrence de congés/absences est interdite (date de fin réelle)</v>
      </c>
      <c r="BR139" s="13" t="s">
        <v>154</v>
      </c>
      <c r="BS139" s="15" t="str">
        <f>VLOOKUP(BR139,'Axe 2 Règles de gestion'!$D$2:$F$146,3, FALSE)</f>
        <v>La saisie d'une occurrence de congés/absences est interdite (date de fin prévisionnelle)</v>
      </c>
      <c r="BT139" s="13"/>
      <c r="BU139" s="15"/>
      <c r="BV139" s="13"/>
      <c r="BW139" s="15"/>
    </row>
    <row r="140" spans="1:75" ht="101.5" x14ac:dyDescent="0.35">
      <c r="A140" s="13" t="s">
        <v>238</v>
      </c>
      <c r="B140" s="13" t="s">
        <v>109</v>
      </c>
      <c r="C140" s="14">
        <v>44368.708333333336</v>
      </c>
      <c r="D140" s="13" t="s">
        <v>78</v>
      </c>
      <c r="E140" s="15" t="s">
        <v>79</v>
      </c>
      <c r="F140" s="13" t="s">
        <v>80</v>
      </c>
      <c r="G140" s="15" t="s">
        <v>81</v>
      </c>
      <c r="H140" s="13" t="s">
        <v>314</v>
      </c>
      <c r="I140" s="15" t="s">
        <v>315</v>
      </c>
      <c r="J140" s="15" t="s">
        <v>316</v>
      </c>
      <c r="K140" s="15" t="s">
        <v>317</v>
      </c>
      <c r="L140" s="13" t="s">
        <v>320</v>
      </c>
      <c r="M140" s="15" t="s">
        <v>321</v>
      </c>
      <c r="N140" s="13" t="s">
        <v>88</v>
      </c>
      <c r="O140" s="15" t="s">
        <v>97</v>
      </c>
      <c r="P140" s="15" t="s">
        <v>98</v>
      </c>
      <c r="Q140" s="15" t="s">
        <v>201</v>
      </c>
      <c r="R140" s="13" t="s">
        <v>202</v>
      </c>
      <c r="S140" s="13" t="s">
        <v>179</v>
      </c>
      <c r="T140" s="13" t="s">
        <v>112</v>
      </c>
      <c r="U140" s="14">
        <v>40725</v>
      </c>
      <c r="V140" s="14"/>
      <c r="W140" s="15" t="s">
        <v>336</v>
      </c>
      <c r="X140" s="13" t="s">
        <v>220</v>
      </c>
      <c r="Y140" s="15" t="str">
        <f>VLOOKUP(X140,'Axe 2 Règles de gestion'!$D$2:$F$146,3, FALSE)</f>
        <v>L'agent peut renouveler le congé sans traitement 2 fois.</v>
      </c>
      <c r="Z140" s="13"/>
      <c r="AA140" s="15"/>
      <c r="AB140" s="13"/>
      <c r="AC140" s="15"/>
      <c r="AD140" s="13"/>
      <c r="AE140" s="15"/>
      <c r="AF140" s="13" t="s">
        <v>206</v>
      </c>
      <c r="AG140" s="15" t="str">
        <f>VLOOKUP(AF140,'Axe 2 Règles de gestion'!$D$2:$F$146,3, FALSE)</f>
        <v>La durée prévisionnelle maximale de chaque période est de un an.</v>
      </c>
      <c r="AH140" s="13" t="s">
        <v>207</v>
      </c>
      <c r="AI140" s="15" t="str">
        <f>VLOOKUP(AH140,'Axe 2 Règles de gestion'!$D$2:$F$146,3, FALSE)</f>
        <v>La durée réelle maximale de chaque période est de un an.</v>
      </c>
      <c r="AJ140" s="13" t="s">
        <v>208</v>
      </c>
      <c r="AK140" s="15" t="str">
        <f>VLOOKUP(AJ140,'Axe 2 Règles de gestion'!$D$2:$F$146,3, FALSE)</f>
        <v>L'agent ne peut pas bénéficier de plus de 3 ans cumulés de congé sans traitement quels que soient les motifs de congés sans traitement : pour raisons personnelles ou familiales.</v>
      </c>
      <c r="AL140" s="13" t="s">
        <v>335</v>
      </c>
      <c r="AM140" s="15" t="str">
        <f>VLOOKUP(AL140,'Axe 2 Règles de gestion'!$D$2:$F$146,3, FALSE)</f>
        <v>L'agent doit avoir un enfant lié à cette position.</v>
      </c>
      <c r="AN140" s="13"/>
      <c r="AO140" s="15"/>
      <c r="AP140" s="13" t="s">
        <v>132</v>
      </c>
      <c r="AQ140" s="15" t="str">
        <f>VLOOKUP(AP140,'Axe 2 Règles de gestion'!$D$2:$F$146,3, FALSE)</f>
        <v>La date de début de position est à J+1 de la date de fin de position de l'occurrence précédente.</v>
      </c>
      <c r="AR140" s="13" t="s">
        <v>134</v>
      </c>
      <c r="AS140" s="15" t="str">
        <f>VLOOKUP(AR140,'Axe 2 Règles de gestion'!$D$2:$F$146,3, FALSE)</f>
        <v>La date de début de position doit être antérieure ou égale à la date de fin prévisionnelle de position.</v>
      </c>
      <c r="AT140" s="13" t="s">
        <v>136</v>
      </c>
      <c r="AU140" s="15" t="str">
        <f>VLOOKUP(AT140,'Axe 2 Règles de gestion'!$D$2:$F$146,3, FALSE)</f>
        <v>La date de début de position doit être antérieure ou égale à la date de fin réelle de position.</v>
      </c>
      <c r="AV140" s="13" t="s">
        <v>138</v>
      </c>
      <c r="AW140" s="15" t="str">
        <f>VLOOKUP(AV140,'Axe 2 Règles de gestion'!$D$2:$F$146,3, FALSE)</f>
        <v>La date de fin prévisionnelle de la position doit être antérieure à la date limite de départ à la retraite.</v>
      </c>
      <c r="AX140" s="13" t="s">
        <v>140</v>
      </c>
      <c r="AY140" s="15" t="str">
        <f>VLOOKUP(AX140,'Axe 2 Règles de gestion'!$D$2:$F$146,3, FALSE)</f>
        <v>La date de fin réelle de la position doit être antérieure à la date limite de départ à la retraite.</v>
      </c>
      <c r="AZ140" s="13" t="s">
        <v>142</v>
      </c>
      <c r="BA140" s="15" t="str">
        <f>VLOOKUP(AZ140,'Axe 2 Règles de gestion'!$D$2:$F$146,3, FALSE)</f>
        <v>La date de fin ou la date de fin prévisionnelle doit être saisie.</v>
      </c>
      <c r="BB140" s="13" t="s">
        <v>144</v>
      </c>
      <c r="BC140" s="15" t="str">
        <f>VLOOKUP(BB140,'Axe 2 Règles de gestion'!$D$2:$F$146,3, FALSE)</f>
        <v>Le lien vers l'enfant doit être renseigné.</v>
      </c>
      <c r="BD140" s="13" t="s">
        <v>211</v>
      </c>
      <c r="BE140" s="15" t="str">
        <f>VLOOKUP(BD140,'Axe 2 Règles de gestion'!$D$2:$F$146,3, FALSE)</f>
        <v>La date de début de la position doit être postérieure ou égale à la date de début du lien juridique.</v>
      </c>
      <c r="BF140" s="13" t="s">
        <v>213</v>
      </c>
      <c r="BG140" s="15" t="str">
        <f>VLOOKUP(BF140,'Axe 2 Règles de gestion'!$D$2:$F$146,3, FALSE)</f>
        <v>La date de fin réelle de la position doit être antérieure ou égale à la date de fin réelle ou prévisionnelle du lien juridique.</v>
      </c>
      <c r="BH140" s="13" t="s">
        <v>215</v>
      </c>
      <c r="BI140" s="15" t="str">
        <f>VLOOKUP(BH140,'Axe 2 Règles de gestion'!$D$2:$F$146,3, FALSE)</f>
        <v>La date de fin prévisionnelle de la position doit être antérieure ou égale à la date de fin réelle ou prévisionnelle du lien juridique.</v>
      </c>
      <c r="BJ140" s="13" t="s">
        <v>148</v>
      </c>
      <c r="BK140" s="15" t="str">
        <f>VLOOKUP(BJ140,'Axe 2 Règles de gestion'!$D$2:$F$146,3, FALSE)</f>
        <v>La date de fin réelle de la position doit être antérieure ou égale à la date de décès de l'enfant.</v>
      </c>
      <c r="BL140" s="13" t="s">
        <v>150</v>
      </c>
      <c r="BM140" s="15" t="str">
        <f>VLOOKUP(BL140,'Axe 2 Règles de gestion'!$D$2:$F$146,3, FALSE)</f>
        <v>La date de fin prévisionnelle de la position doit être antérieure ou égale à la date de décès de l'enfant.</v>
      </c>
      <c r="BN140" s="13" t="s">
        <v>152</v>
      </c>
      <c r="BO140" s="15" t="str">
        <f>VLOOKUP(BN140,'Axe 2 Règles de gestion'!$D$2:$F$146,3, FALSE)</f>
        <v>La saisie d'une occurrence de congés/absences est interdite (date de fin réelle)</v>
      </c>
      <c r="BP140" s="13" t="s">
        <v>154</v>
      </c>
      <c r="BQ140" s="15" t="str">
        <f>VLOOKUP(BP140,'Axe 2 Règles de gestion'!$D$2:$F$146,3, FALSE)</f>
        <v>La saisie d'une occurrence de congés/absences est interdite (date de fin prévisionnelle)</v>
      </c>
      <c r="BR140" s="13"/>
      <c r="BS140" s="15"/>
      <c r="BT140" s="13"/>
      <c r="BU140" s="15"/>
      <c r="BV140" s="13"/>
      <c r="BW140" s="15"/>
    </row>
    <row r="141" spans="1:75" ht="130.5" x14ac:dyDescent="0.35">
      <c r="A141" s="13" t="s">
        <v>165</v>
      </c>
      <c r="B141" s="13" t="s">
        <v>109</v>
      </c>
      <c r="C141" s="14">
        <v>44715.447222222225</v>
      </c>
      <c r="D141" s="13" t="s">
        <v>78</v>
      </c>
      <c r="E141" s="15" t="s">
        <v>79</v>
      </c>
      <c r="F141" s="13" t="s">
        <v>80</v>
      </c>
      <c r="G141" s="15" t="s">
        <v>81</v>
      </c>
      <c r="H141" s="13" t="s">
        <v>314</v>
      </c>
      <c r="I141" s="15" t="s">
        <v>315</v>
      </c>
      <c r="J141" s="15" t="s">
        <v>316</v>
      </c>
      <c r="K141" s="15" t="s">
        <v>317</v>
      </c>
      <c r="L141" s="13" t="s">
        <v>322</v>
      </c>
      <c r="M141" s="15" t="s">
        <v>323</v>
      </c>
      <c r="N141" s="13" t="s">
        <v>101</v>
      </c>
      <c r="O141" s="15" t="s">
        <v>102</v>
      </c>
      <c r="P141" s="15" t="s">
        <v>103</v>
      </c>
      <c r="Q141" s="15" t="s">
        <v>201</v>
      </c>
      <c r="R141" s="13" t="s">
        <v>202</v>
      </c>
      <c r="S141" s="13" t="s">
        <v>179</v>
      </c>
      <c r="T141" s="13" t="s">
        <v>112</v>
      </c>
      <c r="U141" s="14">
        <v>40725</v>
      </c>
      <c r="V141" s="14">
        <v>44633</v>
      </c>
      <c r="W141" s="15" t="s">
        <v>337</v>
      </c>
      <c r="X141" s="13" t="s">
        <v>223</v>
      </c>
      <c r="Y141" s="15" t="str">
        <f>VLOOKUP(X141,'Axe 2 Règles de gestion'!$D$2:$F$146,3, FALSE)</f>
        <v>L'agent doit demander à reprendre ses fonctions 2 mois au moins avant l'expiration du congé en cours.</v>
      </c>
      <c r="Z141" s="13" t="s">
        <v>224</v>
      </c>
      <c r="AA141" s="15" t="str">
        <f>VLOOKUP(Z141,'Axe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41" s="13"/>
      <c r="AC141" s="15"/>
      <c r="AD141" s="13"/>
      <c r="AE141" s="15"/>
      <c r="AF141" s="13" t="s">
        <v>206</v>
      </c>
      <c r="AG141" s="15" t="str">
        <f>VLOOKUP(AF141,'Axe 2 Règles de gestion'!$D$2:$F$146,3, FALSE)</f>
        <v>La durée prévisionnelle maximale de chaque période est de un an.</v>
      </c>
      <c r="AH141" s="13" t="s">
        <v>207</v>
      </c>
      <c r="AI141" s="15" t="str">
        <f>VLOOKUP(AH141,'Axe 2 Règles de gestion'!$D$2:$F$146,3, FALSE)</f>
        <v>La durée réelle maximale de chaque période est de un an.</v>
      </c>
      <c r="AJ141" s="13" t="s">
        <v>208</v>
      </c>
      <c r="AK141" s="15" t="str">
        <f>VLOOKUP(AJ141,'Axe 2 Règles de gestion'!$D$2:$F$146,3, FALSE)</f>
        <v>L'agent ne peut pas bénéficier de plus de 3 ans cumulés de congé sans traitement quels que soient les motifs de congés sans traitement : pour raisons personnelles ou familiales.</v>
      </c>
      <c r="AL141" s="13" t="s">
        <v>335</v>
      </c>
      <c r="AM141" s="15" t="str">
        <f>VLOOKUP(AL141,'Axe 2 Règles de gestion'!$D$2:$F$146,3, FALSE)</f>
        <v>L'agent doit avoir un enfant lié à cette position.</v>
      </c>
      <c r="AN141" s="13"/>
      <c r="AO141" s="15"/>
      <c r="AP141" s="13" t="s">
        <v>134</v>
      </c>
      <c r="AQ141" s="15" t="str">
        <f>VLOOKUP(AP141,'Axe 2 Règles de gestion'!$D$2:$F$146,3, FALSE)</f>
        <v>La date de début de position doit être antérieure ou égale à la date de fin prévisionnelle de position.</v>
      </c>
      <c r="AR141" s="13" t="s">
        <v>136</v>
      </c>
      <c r="AS141" s="15" t="str">
        <f>VLOOKUP(AR141,'Axe 2 Règles de gestion'!$D$2:$F$146,3, FALSE)</f>
        <v>La date de début de position doit être antérieure ou égale à la date de fin réelle de position.</v>
      </c>
      <c r="AT141" s="13" t="s">
        <v>138</v>
      </c>
      <c r="AU141" s="15" t="str">
        <f>VLOOKUP(AT141,'Axe 2 Règles de gestion'!$D$2:$F$146,3, FALSE)</f>
        <v>La date de fin prévisionnelle de la position doit être antérieure à la date limite de départ à la retraite.</v>
      </c>
      <c r="AV141" s="13" t="s">
        <v>140</v>
      </c>
      <c r="AW141" s="15" t="str">
        <f>VLOOKUP(AV141,'Axe 2 Règles de gestion'!$D$2:$F$146,3, FALSE)</f>
        <v>La date de fin réelle de la position doit être antérieure à la date limite de départ à la retraite.</v>
      </c>
      <c r="AX141" s="13" t="s">
        <v>142</v>
      </c>
      <c r="AY141" s="15" t="str">
        <f>VLOOKUP(AX141,'Axe 2 Règles de gestion'!$D$2:$F$146,3, FALSE)</f>
        <v>La date de fin ou la date de fin prévisionnelle doit être saisie.</v>
      </c>
      <c r="AZ141" s="13" t="s">
        <v>144</v>
      </c>
      <c r="BA141" s="15" t="str">
        <f>VLOOKUP(AZ141,'Axe 2 Règles de gestion'!$D$2:$F$146,3, FALSE)</f>
        <v>Le lien vers l'enfant doit être renseigné.</v>
      </c>
      <c r="BB141" s="13" t="s">
        <v>213</v>
      </c>
      <c r="BC141" s="15" t="str">
        <f>VLOOKUP(BB141,'Axe 2 Règles de gestion'!$D$2:$F$146,3, FALSE)</f>
        <v>La date de fin réelle de la position doit être antérieure ou égale à la date de fin réelle ou prévisionnelle du lien juridique.</v>
      </c>
      <c r="BD141" s="13" t="s">
        <v>215</v>
      </c>
      <c r="BE141" s="15" t="str">
        <f>VLOOKUP(BD141,'Axe 2 Règles de gestion'!$D$2:$F$146,3, FALSE)</f>
        <v>La date de fin prévisionnelle de la position doit être antérieure ou égale à la date de fin réelle ou prévisionnelle du lien juridique.</v>
      </c>
      <c r="BF141" s="13" t="s">
        <v>148</v>
      </c>
      <c r="BG141" s="15" t="str">
        <f>VLOOKUP(BF141,'Axe 2 Règles de gestion'!$D$2:$F$146,3, FALSE)</f>
        <v>La date de fin réelle de la position doit être antérieure ou égale à la date de décès de l'enfant.</v>
      </c>
      <c r="BH141" s="13" t="s">
        <v>150</v>
      </c>
      <c r="BI141" s="15" t="str">
        <f>VLOOKUP(BH141,'Axe 2 Règles de gestion'!$D$2:$F$146,3, FALSE)</f>
        <v>La date de fin prévisionnelle de la position doit être antérieure ou égale à la date de décès de l'enfant.</v>
      </c>
      <c r="BJ141" s="13" t="s">
        <v>152</v>
      </c>
      <c r="BK141" s="15" t="str">
        <f>VLOOKUP(BJ141,'Axe 2 Règles de gestion'!$D$2:$F$146,3, FALSE)</f>
        <v>La saisie d'une occurrence de congés/absences est interdite (date de fin réelle)</v>
      </c>
      <c r="BL141" s="13" t="s">
        <v>154</v>
      </c>
      <c r="BM141" s="15" t="str">
        <f>VLOOKUP(BL141,'Axe 2 Règles de gestion'!$D$2:$F$146,3, FALSE)</f>
        <v>La saisie d'une occurrence de congés/absences est interdite (date de fin prévisionnelle)</v>
      </c>
      <c r="BN141" s="13"/>
      <c r="BO141" s="15"/>
      <c r="BP141" s="13"/>
      <c r="BQ141" s="15"/>
      <c r="BR141" s="13"/>
      <c r="BS141" s="15"/>
      <c r="BT141" s="13"/>
      <c r="BU141" s="15"/>
      <c r="BV141" s="13"/>
      <c r="BW141" s="15"/>
    </row>
    <row r="142" spans="1:75" ht="145" x14ac:dyDescent="0.35">
      <c r="A142" s="13" t="s">
        <v>165</v>
      </c>
      <c r="B142" s="13" t="s">
        <v>77</v>
      </c>
      <c r="C142" s="14">
        <v>44715.447916666664</v>
      </c>
      <c r="D142" s="13" t="s">
        <v>78</v>
      </c>
      <c r="E142" s="15" t="s">
        <v>79</v>
      </c>
      <c r="F142" s="13" t="s">
        <v>80</v>
      </c>
      <c r="G142" s="15" t="s">
        <v>81</v>
      </c>
      <c r="H142" s="13" t="s">
        <v>314</v>
      </c>
      <c r="I142" s="15" t="s">
        <v>315</v>
      </c>
      <c r="J142" s="15" t="s">
        <v>316</v>
      </c>
      <c r="K142" s="15" t="s">
        <v>317</v>
      </c>
      <c r="L142" s="13" t="s">
        <v>322</v>
      </c>
      <c r="M142" s="15" t="s">
        <v>323</v>
      </c>
      <c r="N142" s="13" t="s">
        <v>101</v>
      </c>
      <c r="O142" s="15" t="s">
        <v>102</v>
      </c>
      <c r="P142" s="15" t="s">
        <v>103</v>
      </c>
      <c r="Q142" s="15" t="s">
        <v>201</v>
      </c>
      <c r="R142" s="13" t="s">
        <v>202</v>
      </c>
      <c r="S142" s="13" t="s">
        <v>179</v>
      </c>
      <c r="T142" s="13" t="s">
        <v>112</v>
      </c>
      <c r="U142" s="14">
        <v>44634</v>
      </c>
      <c r="V142" s="14"/>
      <c r="W142" s="15" t="s">
        <v>338</v>
      </c>
      <c r="X142" s="13" t="s">
        <v>223</v>
      </c>
      <c r="Y142" s="15" t="str">
        <f>VLOOKUP(X142,'Axe 2 Règles de gestion'!$D$2:$F$146,3, FALSE)</f>
        <v>L'agent doit demander à reprendre ses fonctions 2 mois au moins avant l'expiration du congé en cours.</v>
      </c>
      <c r="Z142" s="13" t="s">
        <v>226</v>
      </c>
      <c r="AA142" s="15" t="str">
        <f>VLOOKUP(Z142,'Axe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42" s="13"/>
      <c r="AC142" s="15"/>
      <c r="AD142" s="13"/>
      <c r="AE142" s="15"/>
      <c r="AF142" s="13" t="s">
        <v>206</v>
      </c>
      <c r="AG142" s="15" t="str">
        <f>VLOOKUP(AF142,'Axe 2 Règles de gestion'!$D$2:$F$146,3, FALSE)</f>
        <v>La durée prévisionnelle maximale de chaque période est de un an.</v>
      </c>
      <c r="AH142" s="13" t="s">
        <v>207</v>
      </c>
      <c r="AI142" s="15" t="str">
        <f>VLOOKUP(AH142,'Axe 2 Règles de gestion'!$D$2:$F$146,3, FALSE)</f>
        <v>La durée réelle maximale de chaque période est de un an.</v>
      </c>
      <c r="AJ142" s="13" t="s">
        <v>208</v>
      </c>
      <c r="AK142" s="15" t="str">
        <f>VLOOKUP(AJ142,'Axe 2 Règles de gestion'!$D$2:$F$146,3, FALSE)</f>
        <v>L'agent ne peut pas bénéficier de plus de 3 ans cumulés de congé sans traitement quels que soient les motifs de congés sans traitement : pour raisons personnelles ou familiales.</v>
      </c>
      <c r="AL142" s="13" t="s">
        <v>335</v>
      </c>
      <c r="AM142" s="15" t="str">
        <f>VLOOKUP(AL142,'Axe 2 Règles de gestion'!$D$2:$F$146,3, FALSE)</f>
        <v>L'agent doit avoir un enfant lié à cette position.</v>
      </c>
      <c r="AN142" s="13"/>
      <c r="AO142" s="15"/>
      <c r="AP142" s="13" t="s">
        <v>134</v>
      </c>
      <c r="AQ142" s="15" t="str">
        <f>VLOOKUP(AP142,'Axe 2 Règles de gestion'!$D$2:$F$146,3, FALSE)</f>
        <v>La date de début de position doit être antérieure ou égale à la date de fin prévisionnelle de position.</v>
      </c>
      <c r="AR142" s="13" t="s">
        <v>136</v>
      </c>
      <c r="AS142" s="15" t="str">
        <f>VLOOKUP(AR142,'Axe 2 Règles de gestion'!$D$2:$F$146,3, FALSE)</f>
        <v>La date de début de position doit être antérieure ou égale à la date de fin réelle de position.</v>
      </c>
      <c r="AT142" s="13" t="s">
        <v>138</v>
      </c>
      <c r="AU142" s="15" t="str">
        <f>VLOOKUP(AT142,'Axe 2 Règles de gestion'!$D$2:$F$146,3, FALSE)</f>
        <v>La date de fin prévisionnelle de la position doit être antérieure à la date limite de départ à la retraite.</v>
      </c>
      <c r="AV142" s="13" t="s">
        <v>140</v>
      </c>
      <c r="AW142" s="15" t="str">
        <f>VLOOKUP(AV142,'Axe 2 Règles de gestion'!$D$2:$F$146,3, FALSE)</f>
        <v>La date de fin réelle de la position doit être antérieure à la date limite de départ à la retraite.</v>
      </c>
      <c r="AX142" s="13" t="s">
        <v>142</v>
      </c>
      <c r="AY142" s="15" t="str">
        <f>VLOOKUP(AX142,'Axe 2 Règles de gestion'!$D$2:$F$146,3, FALSE)</f>
        <v>La date de fin ou la date de fin prévisionnelle doit être saisie.</v>
      </c>
      <c r="AZ142" s="13" t="s">
        <v>144</v>
      </c>
      <c r="BA142" s="15" t="str">
        <f>VLOOKUP(AZ142,'Axe 2 Règles de gestion'!$D$2:$F$146,3, FALSE)</f>
        <v>Le lien vers l'enfant doit être renseigné.</v>
      </c>
      <c r="BB142" s="13" t="s">
        <v>213</v>
      </c>
      <c r="BC142" s="15" t="str">
        <f>VLOOKUP(BB142,'Axe 2 Règles de gestion'!$D$2:$F$146,3, FALSE)</f>
        <v>La date de fin réelle de la position doit être antérieure ou égale à la date de fin réelle ou prévisionnelle du lien juridique.</v>
      </c>
      <c r="BD142" s="13" t="s">
        <v>215</v>
      </c>
      <c r="BE142" s="15" t="str">
        <f>VLOOKUP(BD142,'Axe 2 Règles de gestion'!$D$2:$F$146,3, FALSE)</f>
        <v>La date de fin prévisionnelle de la position doit être antérieure ou égale à la date de fin réelle ou prévisionnelle du lien juridique.</v>
      </c>
      <c r="BF142" s="13" t="s">
        <v>148</v>
      </c>
      <c r="BG142" s="15" t="str">
        <f>VLOOKUP(BF142,'Axe 2 Règles de gestion'!$D$2:$F$146,3, FALSE)</f>
        <v>La date de fin réelle de la position doit être antérieure ou égale à la date de décès de l'enfant.</v>
      </c>
      <c r="BH142" s="13" t="s">
        <v>150</v>
      </c>
      <c r="BI142" s="15" t="str">
        <f>VLOOKUP(BH142,'Axe 2 Règles de gestion'!$D$2:$F$146,3, FALSE)</f>
        <v>La date de fin prévisionnelle de la position doit être antérieure ou égale à la date de décès de l'enfant.</v>
      </c>
      <c r="BJ142" s="13" t="s">
        <v>152</v>
      </c>
      <c r="BK142" s="15" t="str">
        <f>VLOOKUP(BJ142,'Axe 2 Règles de gestion'!$D$2:$F$146,3, FALSE)</f>
        <v>La saisie d'une occurrence de congés/absences est interdite (date de fin réelle)</v>
      </c>
      <c r="BL142" s="13" t="s">
        <v>154</v>
      </c>
      <c r="BM142" s="15" t="str">
        <f>VLOOKUP(BL142,'Axe 2 Règles de gestion'!$D$2:$F$146,3, FALSE)</f>
        <v>La saisie d'une occurrence de congés/absences est interdite (date de fin prévisionnelle)</v>
      </c>
      <c r="BN142" s="13"/>
      <c r="BO142" s="15"/>
      <c r="BP142" s="13"/>
      <c r="BQ142" s="15"/>
      <c r="BR142" s="13"/>
      <c r="BS142" s="15"/>
      <c r="BT142" s="13"/>
      <c r="BU142" s="15"/>
      <c r="BV142" s="13"/>
      <c r="BW142" s="15"/>
    </row>
    <row r="143" spans="1:75" ht="72.5" x14ac:dyDescent="0.35">
      <c r="A143" s="13" t="s">
        <v>76</v>
      </c>
      <c r="B143" s="13" t="s">
        <v>77</v>
      </c>
      <c r="C143" s="14">
        <v>43152.5</v>
      </c>
      <c r="D143" s="13" t="s">
        <v>78</v>
      </c>
      <c r="E143" s="15" t="s">
        <v>79</v>
      </c>
      <c r="F143" s="13" t="s">
        <v>80</v>
      </c>
      <c r="G143" s="15" t="s">
        <v>81</v>
      </c>
      <c r="H143" s="13" t="s">
        <v>339</v>
      </c>
      <c r="I143" s="15" t="s">
        <v>340</v>
      </c>
      <c r="J143" s="15" t="s">
        <v>341</v>
      </c>
      <c r="K143" s="15" t="s">
        <v>342</v>
      </c>
      <c r="L143" s="13" t="s">
        <v>343</v>
      </c>
      <c r="M143" s="15" t="s">
        <v>344</v>
      </c>
      <c r="N143" s="13" t="s">
        <v>88</v>
      </c>
      <c r="O143" s="15" t="s">
        <v>89</v>
      </c>
      <c r="P143" s="15" t="s">
        <v>90</v>
      </c>
      <c r="Q143" s="15" t="s">
        <v>91</v>
      </c>
      <c r="R143" s="13" t="s">
        <v>92</v>
      </c>
      <c r="S143" s="13" t="s">
        <v>93</v>
      </c>
      <c r="T143" s="13" t="s">
        <v>94</v>
      </c>
      <c r="U143" s="14">
        <v>40725</v>
      </c>
      <c r="V143" s="14"/>
      <c r="W143" s="15"/>
      <c r="X143" s="13"/>
      <c r="Y143" s="15"/>
      <c r="Z143" s="13"/>
      <c r="AA143" s="15"/>
      <c r="AB143" s="13"/>
      <c r="AC143" s="15"/>
      <c r="AD143" s="13"/>
      <c r="AE143" s="15"/>
      <c r="AF143" s="13"/>
      <c r="AG143" s="15"/>
      <c r="AH143" s="13"/>
      <c r="AI143" s="15"/>
      <c r="AJ143" s="13"/>
      <c r="AK143" s="15"/>
      <c r="AL143" s="13"/>
      <c r="AM143" s="15"/>
      <c r="AN143" s="13"/>
      <c r="AO143" s="15"/>
      <c r="AP143" s="13"/>
      <c r="AQ143" s="15"/>
      <c r="AR143" s="13"/>
      <c r="AS143" s="15"/>
      <c r="AT143" s="13"/>
      <c r="AU143" s="15"/>
      <c r="AV143" s="13"/>
      <c r="AW143" s="15"/>
      <c r="AX143" s="13"/>
      <c r="AY143" s="15"/>
      <c r="AZ143" s="13"/>
      <c r="BA143" s="15"/>
      <c r="BB143" s="13"/>
      <c r="BC143" s="15"/>
      <c r="BD143" s="13"/>
      <c r="BE143" s="15"/>
      <c r="BF143" s="13"/>
      <c r="BG143" s="15"/>
      <c r="BH143" s="13"/>
      <c r="BI143" s="15"/>
      <c r="BJ143" s="13"/>
      <c r="BK143" s="15"/>
      <c r="BL143" s="13"/>
      <c r="BM143" s="15"/>
      <c r="BN143" s="13"/>
      <c r="BO143" s="15"/>
      <c r="BP143" s="13"/>
      <c r="BQ143" s="15"/>
      <c r="BR143" s="13"/>
      <c r="BS143" s="15"/>
      <c r="BT143" s="13"/>
      <c r="BU143" s="15"/>
      <c r="BV143" s="13"/>
      <c r="BW143" s="15"/>
    </row>
    <row r="144" spans="1:75" ht="72.5" x14ac:dyDescent="0.35">
      <c r="A144" s="13" t="s">
        <v>76</v>
      </c>
      <c r="B144" s="13" t="s">
        <v>77</v>
      </c>
      <c r="C144" s="14">
        <v>43152.5</v>
      </c>
      <c r="D144" s="13" t="s">
        <v>78</v>
      </c>
      <c r="E144" s="15" t="s">
        <v>79</v>
      </c>
      <c r="F144" s="13" t="s">
        <v>80</v>
      </c>
      <c r="G144" s="15" t="s">
        <v>81</v>
      </c>
      <c r="H144" s="13" t="s">
        <v>339</v>
      </c>
      <c r="I144" s="15" t="s">
        <v>340</v>
      </c>
      <c r="J144" s="15" t="s">
        <v>341</v>
      </c>
      <c r="K144" s="15" t="s">
        <v>342</v>
      </c>
      <c r="L144" s="13" t="s">
        <v>345</v>
      </c>
      <c r="M144" s="15" t="s">
        <v>346</v>
      </c>
      <c r="N144" s="13" t="s">
        <v>88</v>
      </c>
      <c r="O144" s="15" t="s">
        <v>97</v>
      </c>
      <c r="P144" s="15" t="s">
        <v>98</v>
      </c>
      <c r="Q144" s="15" t="s">
        <v>91</v>
      </c>
      <c r="R144" s="13" t="s">
        <v>92</v>
      </c>
      <c r="S144" s="13" t="s">
        <v>93</v>
      </c>
      <c r="T144" s="13" t="s">
        <v>94</v>
      </c>
      <c r="U144" s="14">
        <v>40725</v>
      </c>
      <c r="V144" s="14"/>
      <c r="W144" s="15"/>
      <c r="X144" s="13"/>
      <c r="Y144" s="15"/>
      <c r="Z144" s="13"/>
      <c r="AA144" s="15"/>
      <c r="AB144" s="13"/>
      <c r="AC144" s="15"/>
      <c r="AD144" s="13"/>
      <c r="AE144" s="15"/>
      <c r="AF144" s="13"/>
      <c r="AG144" s="15"/>
      <c r="AH144" s="13"/>
      <c r="AI144" s="15"/>
      <c r="AJ144" s="13"/>
      <c r="AK144" s="15"/>
      <c r="AL144" s="13"/>
      <c r="AM144" s="15"/>
      <c r="AN144" s="13"/>
      <c r="AO144" s="15"/>
      <c r="AP144" s="13"/>
      <c r="AQ144" s="15"/>
      <c r="AR144" s="13"/>
      <c r="AS144" s="15"/>
      <c r="AT144" s="13"/>
      <c r="AU144" s="15"/>
      <c r="AV144" s="13"/>
      <c r="AW144" s="15"/>
      <c r="AX144" s="13"/>
      <c r="AY144" s="15"/>
      <c r="AZ144" s="13"/>
      <c r="BA144" s="15"/>
      <c r="BB144" s="13"/>
      <c r="BC144" s="15"/>
      <c r="BD144" s="13"/>
      <c r="BE144" s="15"/>
      <c r="BF144" s="13"/>
      <c r="BG144" s="15"/>
      <c r="BH144" s="13"/>
      <c r="BI144" s="15"/>
      <c r="BJ144" s="13"/>
      <c r="BK144" s="15"/>
      <c r="BL144" s="13"/>
      <c r="BM144" s="15"/>
      <c r="BN144" s="13"/>
      <c r="BO144" s="15"/>
      <c r="BP144" s="13"/>
      <c r="BQ144" s="15"/>
      <c r="BR144" s="13"/>
      <c r="BS144" s="15"/>
      <c r="BT144" s="13"/>
      <c r="BU144" s="15"/>
      <c r="BV144" s="13"/>
      <c r="BW144" s="15"/>
    </row>
    <row r="145" spans="1:75" ht="72.5" x14ac:dyDescent="0.35">
      <c r="A145" s="13" t="s">
        <v>76</v>
      </c>
      <c r="B145" s="13" t="s">
        <v>77</v>
      </c>
      <c r="C145" s="14">
        <v>43152.5</v>
      </c>
      <c r="D145" s="13" t="s">
        <v>78</v>
      </c>
      <c r="E145" s="15" t="s">
        <v>79</v>
      </c>
      <c r="F145" s="13" t="s">
        <v>80</v>
      </c>
      <c r="G145" s="15" t="s">
        <v>81</v>
      </c>
      <c r="H145" s="13" t="s">
        <v>339</v>
      </c>
      <c r="I145" s="15" t="s">
        <v>340</v>
      </c>
      <c r="J145" s="15" t="s">
        <v>341</v>
      </c>
      <c r="K145" s="15" t="s">
        <v>342</v>
      </c>
      <c r="L145" s="13" t="s">
        <v>347</v>
      </c>
      <c r="M145" s="15" t="s">
        <v>348</v>
      </c>
      <c r="N145" s="13" t="s">
        <v>101</v>
      </c>
      <c r="O145" s="15" t="s">
        <v>102</v>
      </c>
      <c r="P145" s="15" t="s">
        <v>103</v>
      </c>
      <c r="Q145" s="15" t="s">
        <v>91</v>
      </c>
      <c r="R145" s="13" t="s">
        <v>92</v>
      </c>
      <c r="S145" s="13" t="s">
        <v>93</v>
      </c>
      <c r="T145" s="13" t="s">
        <v>94</v>
      </c>
      <c r="U145" s="14">
        <v>40725</v>
      </c>
      <c r="V145" s="14"/>
      <c r="W145" s="15"/>
      <c r="X145" s="13"/>
      <c r="Y145" s="15"/>
      <c r="Z145" s="13"/>
      <c r="AA145" s="15"/>
      <c r="AB145" s="13"/>
      <c r="AC145" s="15"/>
      <c r="AD145" s="13"/>
      <c r="AE145" s="15"/>
      <c r="AF145" s="13"/>
      <c r="AG145" s="15"/>
      <c r="AH145" s="13"/>
      <c r="AI145" s="15"/>
      <c r="AJ145" s="13"/>
      <c r="AK145" s="15"/>
      <c r="AL145" s="13"/>
      <c r="AM145" s="15"/>
      <c r="AN145" s="13"/>
      <c r="AO145" s="15"/>
      <c r="AP145" s="13"/>
      <c r="AQ145" s="15"/>
      <c r="AR145" s="13"/>
      <c r="AS145" s="15"/>
      <c r="AT145" s="13"/>
      <c r="AU145" s="15"/>
      <c r="AV145" s="13"/>
      <c r="AW145" s="15"/>
      <c r="AX145" s="13"/>
      <c r="AY145" s="15"/>
      <c r="AZ145" s="13"/>
      <c r="BA145" s="15"/>
      <c r="BB145" s="13"/>
      <c r="BC145" s="15"/>
      <c r="BD145" s="13"/>
      <c r="BE145" s="15"/>
      <c r="BF145" s="13"/>
      <c r="BG145" s="15"/>
      <c r="BH145" s="13"/>
      <c r="BI145" s="15"/>
      <c r="BJ145" s="13"/>
      <c r="BK145" s="15"/>
      <c r="BL145" s="13"/>
      <c r="BM145" s="15"/>
      <c r="BN145" s="13"/>
      <c r="BO145" s="15"/>
      <c r="BP145" s="13"/>
      <c r="BQ145" s="15"/>
      <c r="BR145" s="13"/>
      <c r="BS145" s="15"/>
      <c r="BT145" s="13"/>
      <c r="BU145" s="15"/>
      <c r="BV145" s="13"/>
      <c r="BW145" s="15"/>
    </row>
    <row r="146" spans="1:75" ht="72.5" x14ac:dyDescent="0.35">
      <c r="A146" s="13" t="s">
        <v>76</v>
      </c>
      <c r="B146" s="13" t="s">
        <v>77</v>
      </c>
      <c r="C146" s="14">
        <v>43152.5</v>
      </c>
      <c r="D146" s="13" t="s">
        <v>78</v>
      </c>
      <c r="E146" s="15" t="s">
        <v>79</v>
      </c>
      <c r="F146" s="13" t="s">
        <v>80</v>
      </c>
      <c r="G146" s="15" t="s">
        <v>81</v>
      </c>
      <c r="H146" s="13" t="s">
        <v>339</v>
      </c>
      <c r="I146" s="15" t="s">
        <v>340</v>
      </c>
      <c r="J146" s="15" t="s">
        <v>341</v>
      </c>
      <c r="K146" s="15" t="s">
        <v>342</v>
      </c>
      <c r="L146" s="13" t="s">
        <v>343</v>
      </c>
      <c r="M146" s="15" t="s">
        <v>344</v>
      </c>
      <c r="N146" s="13" t="s">
        <v>88</v>
      </c>
      <c r="O146" s="15" t="s">
        <v>89</v>
      </c>
      <c r="P146" s="15" t="s">
        <v>90</v>
      </c>
      <c r="Q146" s="15" t="s">
        <v>104</v>
      </c>
      <c r="R146" s="13" t="s">
        <v>105</v>
      </c>
      <c r="S146" s="13" t="s">
        <v>93</v>
      </c>
      <c r="T146" s="13" t="s">
        <v>94</v>
      </c>
      <c r="U146" s="14">
        <v>40725</v>
      </c>
      <c r="V146" s="14"/>
      <c r="W146" s="15"/>
      <c r="X146" s="13"/>
      <c r="Y146" s="15"/>
      <c r="Z146" s="13"/>
      <c r="AA146" s="15"/>
      <c r="AB146" s="13"/>
      <c r="AC146" s="15"/>
      <c r="AD146" s="13"/>
      <c r="AE146" s="15"/>
      <c r="AF146" s="13"/>
      <c r="AG146" s="15"/>
      <c r="AH146" s="13"/>
      <c r="AI146" s="15"/>
      <c r="AJ146" s="13"/>
      <c r="AK146" s="15"/>
      <c r="AL146" s="13"/>
      <c r="AM146" s="15"/>
      <c r="AN146" s="13"/>
      <c r="AO146" s="15"/>
      <c r="AP146" s="13"/>
      <c r="AQ146" s="15"/>
      <c r="AR146" s="13"/>
      <c r="AS146" s="15"/>
      <c r="AT146" s="13"/>
      <c r="AU146" s="15"/>
      <c r="AV146" s="13"/>
      <c r="AW146" s="15"/>
      <c r="AX146" s="13"/>
      <c r="AY146" s="15"/>
      <c r="AZ146" s="13"/>
      <c r="BA146" s="15"/>
      <c r="BB146" s="13"/>
      <c r="BC146" s="15"/>
      <c r="BD146" s="13"/>
      <c r="BE146" s="15"/>
      <c r="BF146" s="13"/>
      <c r="BG146" s="15"/>
      <c r="BH146" s="13"/>
      <c r="BI146" s="15"/>
      <c r="BJ146" s="13"/>
      <c r="BK146" s="15"/>
      <c r="BL146" s="13"/>
      <c r="BM146" s="15"/>
      <c r="BN146" s="13"/>
      <c r="BO146" s="15"/>
      <c r="BP146" s="13"/>
      <c r="BQ146" s="15"/>
      <c r="BR146" s="13"/>
      <c r="BS146" s="15"/>
      <c r="BT146" s="13"/>
      <c r="BU146" s="15"/>
      <c r="BV146" s="13"/>
      <c r="BW146" s="15"/>
    </row>
    <row r="147" spans="1:75" ht="72.5" x14ac:dyDescent="0.35">
      <c r="A147" s="13" t="s">
        <v>76</v>
      </c>
      <c r="B147" s="13" t="s">
        <v>77</v>
      </c>
      <c r="C147" s="14">
        <v>43152.5</v>
      </c>
      <c r="D147" s="13" t="s">
        <v>78</v>
      </c>
      <c r="E147" s="15" t="s">
        <v>79</v>
      </c>
      <c r="F147" s="13" t="s">
        <v>80</v>
      </c>
      <c r="G147" s="15" t="s">
        <v>81</v>
      </c>
      <c r="H147" s="13" t="s">
        <v>339</v>
      </c>
      <c r="I147" s="15" t="s">
        <v>340</v>
      </c>
      <c r="J147" s="15" t="s">
        <v>341</v>
      </c>
      <c r="K147" s="15" t="s">
        <v>342</v>
      </c>
      <c r="L147" s="13" t="s">
        <v>345</v>
      </c>
      <c r="M147" s="15" t="s">
        <v>346</v>
      </c>
      <c r="N147" s="13" t="s">
        <v>88</v>
      </c>
      <c r="O147" s="15" t="s">
        <v>97</v>
      </c>
      <c r="P147" s="15" t="s">
        <v>98</v>
      </c>
      <c r="Q147" s="15" t="s">
        <v>104</v>
      </c>
      <c r="R147" s="13" t="s">
        <v>105</v>
      </c>
      <c r="S147" s="13" t="s">
        <v>93</v>
      </c>
      <c r="T147" s="13" t="s">
        <v>94</v>
      </c>
      <c r="U147" s="14">
        <v>40725</v>
      </c>
      <c r="V147" s="14"/>
      <c r="W147" s="15"/>
      <c r="X147" s="13"/>
      <c r="Y147" s="15"/>
      <c r="Z147" s="13"/>
      <c r="AA147" s="15"/>
      <c r="AB147" s="13"/>
      <c r="AC147" s="15"/>
      <c r="AD147" s="13"/>
      <c r="AE147" s="15"/>
      <c r="AF147" s="13"/>
      <c r="AG147" s="15"/>
      <c r="AH147" s="13"/>
      <c r="AI147" s="15"/>
      <c r="AJ147" s="13"/>
      <c r="AK147" s="15"/>
      <c r="AL147" s="13"/>
      <c r="AM147" s="15"/>
      <c r="AN147" s="13"/>
      <c r="AO147" s="15"/>
      <c r="AP147" s="13"/>
      <c r="AQ147" s="15"/>
      <c r="AR147" s="13"/>
      <c r="AS147" s="15"/>
      <c r="AT147" s="13"/>
      <c r="AU147" s="15"/>
      <c r="AV147" s="13"/>
      <c r="AW147" s="15"/>
      <c r="AX147" s="13"/>
      <c r="AY147" s="15"/>
      <c r="AZ147" s="13"/>
      <c r="BA147" s="15"/>
      <c r="BB147" s="13"/>
      <c r="BC147" s="15"/>
      <c r="BD147" s="13"/>
      <c r="BE147" s="15"/>
      <c r="BF147" s="13"/>
      <c r="BG147" s="15"/>
      <c r="BH147" s="13"/>
      <c r="BI147" s="15"/>
      <c r="BJ147" s="13"/>
      <c r="BK147" s="15"/>
      <c r="BL147" s="13"/>
      <c r="BM147" s="15"/>
      <c r="BN147" s="13"/>
      <c r="BO147" s="15"/>
      <c r="BP147" s="13"/>
      <c r="BQ147" s="15"/>
      <c r="BR147" s="13"/>
      <c r="BS147" s="15"/>
      <c r="BT147" s="13"/>
      <c r="BU147" s="15"/>
      <c r="BV147" s="13"/>
      <c r="BW147" s="15"/>
    </row>
    <row r="148" spans="1:75" ht="72.5" x14ac:dyDescent="0.35">
      <c r="A148" s="13" t="s">
        <v>76</v>
      </c>
      <c r="B148" s="13" t="s">
        <v>77</v>
      </c>
      <c r="C148" s="14">
        <v>43152.5</v>
      </c>
      <c r="D148" s="13" t="s">
        <v>78</v>
      </c>
      <c r="E148" s="15" t="s">
        <v>79</v>
      </c>
      <c r="F148" s="13" t="s">
        <v>80</v>
      </c>
      <c r="G148" s="15" t="s">
        <v>81</v>
      </c>
      <c r="H148" s="13" t="s">
        <v>339</v>
      </c>
      <c r="I148" s="15" t="s">
        <v>340</v>
      </c>
      <c r="J148" s="15" t="s">
        <v>341</v>
      </c>
      <c r="K148" s="15" t="s">
        <v>342</v>
      </c>
      <c r="L148" s="13" t="s">
        <v>347</v>
      </c>
      <c r="M148" s="15" t="s">
        <v>348</v>
      </c>
      <c r="N148" s="13" t="s">
        <v>101</v>
      </c>
      <c r="O148" s="15" t="s">
        <v>102</v>
      </c>
      <c r="P148" s="15" t="s">
        <v>103</v>
      </c>
      <c r="Q148" s="15" t="s">
        <v>104</v>
      </c>
      <c r="R148" s="13" t="s">
        <v>105</v>
      </c>
      <c r="S148" s="13" t="s">
        <v>93</v>
      </c>
      <c r="T148" s="13" t="s">
        <v>94</v>
      </c>
      <c r="U148" s="14">
        <v>40725</v>
      </c>
      <c r="V148" s="14"/>
      <c r="W148" s="15"/>
      <c r="X148" s="13"/>
      <c r="Y148" s="15"/>
      <c r="Z148" s="13"/>
      <c r="AA148" s="15"/>
      <c r="AB148" s="13"/>
      <c r="AC148" s="15"/>
      <c r="AD148" s="13"/>
      <c r="AE148" s="15"/>
      <c r="AF148" s="13"/>
      <c r="AG148" s="15"/>
      <c r="AH148" s="13"/>
      <c r="AI148" s="15"/>
      <c r="AJ148" s="13"/>
      <c r="AK148" s="15"/>
      <c r="AL148" s="13"/>
      <c r="AM148" s="15"/>
      <c r="AN148" s="13"/>
      <c r="AO148" s="15"/>
      <c r="AP148" s="13"/>
      <c r="AQ148" s="15"/>
      <c r="AR148" s="13"/>
      <c r="AS148" s="15"/>
      <c r="AT148" s="13"/>
      <c r="AU148" s="15"/>
      <c r="AV148" s="13"/>
      <c r="AW148" s="15"/>
      <c r="AX148" s="13"/>
      <c r="AY148" s="15"/>
      <c r="AZ148" s="13"/>
      <c r="BA148" s="15"/>
      <c r="BB148" s="13"/>
      <c r="BC148" s="15"/>
      <c r="BD148" s="13"/>
      <c r="BE148" s="15"/>
      <c r="BF148" s="13"/>
      <c r="BG148" s="15"/>
      <c r="BH148" s="13"/>
      <c r="BI148" s="15"/>
      <c r="BJ148" s="13"/>
      <c r="BK148" s="15"/>
      <c r="BL148" s="13"/>
      <c r="BM148" s="15"/>
      <c r="BN148" s="13"/>
      <c r="BO148" s="15"/>
      <c r="BP148" s="13"/>
      <c r="BQ148" s="15"/>
      <c r="BR148" s="13"/>
      <c r="BS148" s="15"/>
      <c r="BT148" s="13"/>
      <c r="BU148" s="15"/>
      <c r="BV148" s="13"/>
      <c r="BW148" s="15"/>
    </row>
    <row r="149" spans="1:75" ht="72.5" x14ac:dyDescent="0.35">
      <c r="A149" s="13" t="s">
        <v>76</v>
      </c>
      <c r="B149" s="13" t="s">
        <v>77</v>
      </c>
      <c r="C149" s="14">
        <v>43152.5</v>
      </c>
      <c r="D149" s="13" t="s">
        <v>78</v>
      </c>
      <c r="E149" s="15" t="s">
        <v>79</v>
      </c>
      <c r="F149" s="13" t="s">
        <v>80</v>
      </c>
      <c r="G149" s="15" t="s">
        <v>81</v>
      </c>
      <c r="H149" s="13" t="s">
        <v>339</v>
      </c>
      <c r="I149" s="15" t="s">
        <v>340</v>
      </c>
      <c r="J149" s="15" t="s">
        <v>341</v>
      </c>
      <c r="K149" s="15" t="s">
        <v>342</v>
      </c>
      <c r="L149" s="13" t="s">
        <v>343</v>
      </c>
      <c r="M149" s="15" t="s">
        <v>344</v>
      </c>
      <c r="N149" s="13" t="s">
        <v>88</v>
      </c>
      <c r="O149" s="15" t="s">
        <v>89</v>
      </c>
      <c r="P149" s="15" t="s">
        <v>90</v>
      </c>
      <c r="Q149" s="15" t="s">
        <v>106</v>
      </c>
      <c r="R149" s="13" t="s">
        <v>107</v>
      </c>
      <c r="S149" s="13" t="s">
        <v>93</v>
      </c>
      <c r="T149" s="13" t="s">
        <v>94</v>
      </c>
      <c r="U149" s="14">
        <v>40725</v>
      </c>
      <c r="V149" s="14"/>
      <c r="W149" s="15"/>
      <c r="X149" s="13"/>
      <c r="Y149" s="15"/>
      <c r="Z149" s="13"/>
      <c r="AA149" s="15"/>
      <c r="AB149" s="13"/>
      <c r="AC149" s="15"/>
      <c r="AD149" s="13"/>
      <c r="AE149" s="15"/>
      <c r="AF149" s="13"/>
      <c r="AG149" s="15"/>
      <c r="AH149" s="13"/>
      <c r="AI149" s="15"/>
      <c r="AJ149" s="13"/>
      <c r="AK149" s="15"/>
      <c r="AL149" s="13"/>
      <c r="AM149" s="15"/>
      <c r="AN149" s="13"/>
      <c r="AO149" s="15"/>
      <c r="AP149" s="13"/>
      <c r="AQ149" s="15"/>
      <c r="AR149" s="13"/>
      <c r="AS149" s="15"/>
      <c r="AT149" s="13"/>
      <c r="AU149" s="15"/>
      <c r="AV149" s="13"/>
      <c r="AW149" s="15"/>
      <c r="AX149" s="13"/>
      <c r="AY149" s="15"/>
      <c r="AZ149" s="13"/>
      <c r="BA149" s="15"/>
      <c r="BB149" s="13"/>
      <c r="BC149" s="15"/>
      <c r="BD149" s="13"/>
      <c r="BE149" s="15"/>
      <c r="BF149" s="13"/>
      <c r="BG149" s="15"/>
      <c r="BH149" s="13"/>
      <c r="BI149" s="15"/>
      <c r="BJ149" s="13"/>
      <c r="BK149" s="15"/>
      <c r="BL149" s="13"/>
      <c r="BM149" s="15"/>
      <c r="BN149" s="13"/>
      <c r="BO149" s="15"/>
      <c r="BP149" s="13"/>
      <c r="BQ149" s="15"/>
      <c r="BR149" s="13"/>
      <c r="BS149" s="15"/>
      <c r="BT149" s="13"/>
      <c r="BU149" s="15"/>
      <c r="BV149" s="13"/>
      <c r="BW149" s="15"/>
    </row>
    <row r="150" spans="1:75" ht="72.5" x14ac:dyDescent="0.35">
      <c r="A150" s="13" t="s">
        <v>76</v>
      </c>
      <c r="B150" s="13" t="s">
        <v>77</v>
      </c>
      <c r="C150" s="14">
        <v>43152.5</v>
      </c>
      <c r="D150" s="13" t="s">
        <v>78</v>
      </c>
      <c r="E150" s="15" t="s">
        <v>79</v>
      </c>
      <c r="F150" s="13" t="s">
        <v>80</v>
      </c>
      <c r="G150" s="15" t="s">
        <v>81</v>
      </c>
      <c r="H150" s="13" t="s">
        <v>339</v>
      </c>
      <c r="I150" s="15" t="s">
        <v>340</v>
      </c>
      <c r="J150" s="15" t="s">
        <v>341</v>
      </c>
      <c r="K150" s="15" t="s">
        <v>342</v>
      </c>
      <c r="L150" s="13" t="s">
        <v>345</v>
      </c>
      <c r="M150" s="15" t="s">
        <v>346</v>
      </c>
      <c r="N150" s="13" t="s">
        <v>88</v>
      </c>
      <c r="O150" s="15" t="s">
        <v>97</v>
      </c>
      <c r="P150" s="15" t="s">
        <v>98</v>
      </c>
      <c r="Q150" s="15" t="s">
        <v>106</v>
      </c>
      <c r="R150" s="13" t="s">
        <v>107</v>
      </c>
      <c r="S150" s="13" t="s">
        <v>93</v>
      </c>
      <c r="T150" s="13" t="s">
        <v>94</v>
      </c>
      <c r="U150" s="14">
        <v>40725</v>
      </c>
      <c r="V150" s="14"/>
      <c r="W150" s="15"/>
      <c r="X150" s="13"/>
      <c r="Y150" s="15"/>
      <c r="Z150" s="13"/>
      <c r="AA150" s="15"/>
      <c r="AB150" s="13"/>
      <c r="AC150" s="15"/>
      <c r="AD150" s="13"/>
      <c r="AE150" s="15"/>
      <c r="AF150" s="13"/>
      <c r="AG150" s="15"/>
      <c r="AH150" s="13"/>
      <c r="AI150" s="15"/>
      <c r="AJ150" s="13"/>
      <c r="AK150" s="15"/>
      <c r="AL150" s="13"/>
      <c r="AM150" s="15"/>
      <c r="AN150" s="13"/>
      <c r="AO150" s="15"/>
      <c r="AP150" s="13"/>
      <c r="AQ150" s="15"/>
      <c r="AR150" s="13"/>
      <c r="AS150" s="15"/>
      <c r="AT150" s="13"/>
      <c r="AU150" s="15"/>
      <c r="AV150" s="13"/>
      <c r="AW150" s="15"/>
      <c r="AX150" s="13"/>
      <c r="AY150" s="15"/>
      <c r="AZ150" s="13"/>
      <c r="BA150" s="15"/>
      <c r="BB150" s="13"/>
      <c r="BC150" s="15"/>
      <c r="BD150" s="13"/>
      <c r="BE150" s="15"/>
      <c r="BF150" s="13"/>
      <c r="BG150" s="15"/>
      <c r="BH150" s="13"/>
      <c r="BI150" s="15"/>
      <c r="BJ150" s="13"/>
      <c r="BK150" s="15"/>
      <c r="BL150" s="13"/>
      <c r="BM150" s="15"/>
      <c r="BN150" s="13"/>
      <c r="BO150" s="15"/>
      <c r="BP150" s="13"/>
      <c r="BQ150" s="15"/>
      <c r="BR150" s="13"/>
      <c r="BS150" s="15"/>
      <c r="BT150" s="13"/>
      <c r="BU150" s="15"/>
      <c r="BV150" s="13"/>
      <c r="BW150" s="15"/>
    </row>
    <row r="151" spans="1:75" ht="72.5" x14ac:dyDescent="0.35">
      <c r="A151" s="13" t="s">
        <v>76</v>
      </c>
      <c r="B151" s="13" t="s">
        <v>77</v>
      </c>
      <c r="C151" s="14">
        <v>43152.5</v>
      </c>
      <c r="D151" s="13" t="s">
        <v>78</v>
      </c>
      <c r="E151" s="15" t="s">
        <v>79</v>
      </c>
      <c r="F151" s="13" t="s">
        <v>80</v>
      </c>
      <c r="G151" s="15" t="s">
        <v>81</v>
      </c>
      <c r="H151" s="13" t="s">
        <v>339</v>
      </c>
      <c r="I151" s="15" t="s">
        <v>340</v>
      </c>
      <c r="J151" s="15" t="s">
        <v>341</v>
      </c>
      <c r="K151" s="15" t="s">
        <v>342</v>
      </c>
      <c r="L151" s="13" t="s">
        <v>347</v>
      </c>
      <c r="M151" s="15" t="s">
        <v>348</v>
      </c>
      <c r="N151" s="13" t="s">
        <v>101</v>
      </c>
      <c r="O151" s="15" t="s">
        <v>102</v>
      </c>
      <c r="P151" s="15" t="s">
        <v>103</v>
      </c>
      <c r="Q151" s="15" t="s">
        <v>106</v>
      </c>
      <c r="R151" s="13" t="s">
        <v>107</v>
      </c>
      <c r="S151" s="13" t="s">
        <v>93</v>
      </c>
      <c r="T151" s="13" t="s">
        <v>94</v>
      </c>
      <c r="U151" s="14">
        <v>40725</v>
      </c>
      <c r="V151" s="14"/>
      <c r="W151" s="15"/>
      <c r="X151" s="13"/>
      <c r="Y151" s="15"/>
      <c r="Z151" s="13"/>
      <c r="AA151" s="15"/>
      <c r="AB151" s="13"/>
      <c r="AC151" s="15"/>
      <c r="AD151" s="13"/>
      <c r="AE151" s="15"/>
      <c r="AF151" s="13"/>
      <c r="AG151" s="15"/>
      <c r="AH151" s="13"/>
      <c r="AI151" s="15"/>
      <c r="AJ151" s="13"/>
      <c r="AK151" s="15"/>
      <c r="AL151" s="13"/>
      <c r="AM151" s="15"/>
      <c r="AN151" s="13"/>
      <c r="AO151" s="15"/>
      <c r="AP151" s="13"/>
      <c r="AQ151" s="15"/>
      <c r="AR151" s="13"/>
      <c r="AS151" s="15"/>
      <c r="AT151" s="13"/>
      <c r="AU151" s="15"/>
      <c r="AV151" s="13"/>
      <c r="AW151" s="15"/>
      <c r="AX151" s="13"/>
      <c r="AY151" s="15"/>
      <c r="AZ151" s="13"/>
      <c r="BA151" s="15"/>
      <c r="BB151" s="13"/>
      <c r="BC151" s="15"/>
      <c r="BD151" s="13"/>
      <c r="BE151" s="15"/>
      <c r="BF151" s="13"/>
      <c r="BG151" s="15"/>
      <c r="BH151" s="13"/>
      <c r="BI151" s="15"/>
      <c r="BJ151" s="13"/>
      <c r="BK151" s="15"/>
      <c r="BL151" s="13"/>
      <c r="BM151" s="15"/>
      <c r="BN151" s="13"/>
      <c r="BO151" s="15"/>
      <c r="BP151" s="13"/>
      <c r="BQ151" s="15"/>
      <c r="BR151" s="13"/>
      <c r="BS151" s="15"/>
      <c r="BT151" s="13"/>
      <c r="BU151" s="15"/>
      <c r="BV151" s="13"/>
      <c r="BW151" s="15"/>
    </row>
    <row r="152" spans="1:75" ht="101.5" x14ac:dyDescent="0.35">
      <c r="A152" s="13" t="s">
        <v>238</v>
      </c>
      <c r="B152" s="13" t="s">
        <v>109</v>
      </c>
      <c r="C152" s="14">
        <v>44368.708333333336</v>
      </c>
      <c r="D152" s="13" t="s">
        <v>78</v>
      </c>
      <c r="E152" s="15" t="s">
        <v>79</v>
      </c>
      <c r="F152" s="13" t="s">
        <v>80</v>
      </c>
      <c r="G152" s="15" t="s">
        <v>81</v>
      </c>
      <c r="H152" s="13" t="s">
        <v>339</v>
      </c>
      <c r="I152" s="15" t="s">
        <v>340</v>
      </c>
      <c r="J152" s="15" t="s">
        <v>341</v>
      </c>
      <c r="K152" s="15" t="s">
        <v>342</v>
      </c>
      <c r="L152" s="13" t="s">
        <v>343</v>
      </c>
      <c r="M152" s="15" t="s">
        <v>344</v>
      </c>
      <c r="N152" s="13" t="s">
        <v>88</v>
      </c>
      <c r="O152" s="15" t="s">
        <v>89</v>
      </c>
      <c r="P152" s="15" t="s">
        <v>90</v>
      </c>
      <c r="Q152" s="15" t="s">
        <v>110</v>
      </c>
      <c r="R152" s="13" t="s">
        <v>111</v>
      </c>
      <c r="S152" s="13" t="s">
        <v>93</v>
      </c>
      <c r="T152" s="13" t="s">
        <v>112</v>
      </c>
      <c r="U152" s="14">
        <v>40725</v>
      </c>
      <c r="V152" s="14"/>
      <c r="W152" s="15" t="s">
        <v>260</v>
      </c>
      <c r="X152" s="13" t="s">
        <v>114</v>
      </c>
      <c r="Y152" s="15" t="str">
        <f>VLOOKUP(X152,'Axe 2 Règles de gestion'!$D$2:$F$146,3, FALSE)</f>
        <v>L'agent doit présenter une demande de congé sans traitement.</v>
      </c>
      <c r="Z152" s="13" t="s">
        <v>116</v>
      </c>
      <c r="AA152" s="15" t="str">
        <f>VLOOKUP(Z152,'Axe 2 Règles de gestion'!$D$2:$F$146,3, FALSE)</f>
        <v>La demande est accordée de droit par le supérieur hiérarchique.</v>
      </c>
      <c r="AB152" s="13"/>
      <c r="AC152" s="15"/>
      <c r="AD152" s="13"/>
      <c r="AE152" s="15"/>
      <c r="AF152" s="13" t="s">
        <v>118</v>
      </c>
      <c r="AG152" s="15" t="str">
        <f>VLOOKUP(AF152,'Axe 2 Règles de gestion'!$D$2:$F$146,3, FALSE)</f>
        <v>La durée prévisionnelle maximale de chaque période est de un an.</v>
      </c>
      <c r="AH152" s="13" t="s">
        <v>120</v>
      </c>
      <c r="AI152" s="15" t="str">
        <f>VLOOKUP(AH152,'Axe 2 Règles de gestion'!$D$2:$F$146,3, FALSE)</f>
        <v>La durée réelle maximale de chaque période est de un an.</v>
      </c>
      <c r="AJ152" s="13" t="s">
        <v>122</v>
      </c>
      <c r="AK152" s="15" t="str">
        <f>VLOOKUP(AJ152,'Axe 2 Règles de gestion'!$D$2:$F$146,3, FALSE)</f>
        <v>L'agent ne peut pas bénéficier de plus de 3 ans cumulés de congé sans traitement quels que soient les motifs de congés sans traitement : pour raisons personnelles ou familiales.</v>
      </c>
      <c r="AL152" s="13"/>
      <c r="AM152" s="15"/>
      <c r="AN152" s="13"/>
      <c r="AO152" s="15"/>
      <c r="AP152" s="13" t="s">
        <v>128</v>
      </c>
      <c r="AQ152" s="15" t="str">
        <f>VLOOKUP(AP152,'Axe 2 Règles de gestion'!$D$2:$F$146,3, FALSE)</f>
        <v>Lors de la demande initiale, l'agent doit être en activité.</v>
      </c>
      <c r="AR152" s="13" t="s">
        <v>130</v>
      </c>
      <c r="AS152" s="15" t="str">
        <f>VLOOKUP(AR152,'Axe 2 Règles de gestion'!$D$2:$F$146,3, FALSE)</f>
        <v>La date de début de la position doit être postérieure ou égale à la date d'entrée dans la FPE ou dans la carrière militaire.</v>
      </c>
      <c r="AT152" s="13" t="s">
        <v>132</v>
      </c>
      <c r="AU152" s="15" t="str">
        <f>VLOOKUP(AT152,'Axe 2 Règles de gestion'!$D$2:$F$146,3, FALSE)</f>
        <v>La date de début de position est à J+1 de la date de fin de position de l'occurrence précédente.</v>
      </c>
      <c r="AV152" s="13" t="s">
        <v>134</v>
      </c>
      <c r="AW152" s="15" t="str">
        <f>VLOOKUP(AV152,'Axe 2 Règles de gestion'!$D$2:$F$146,3, FALSE)</f>
        <v>La date de début de position doit être antérieure ou égale à la date de fin prévisionnelle de position.</v>
      </c>
      <c r="AX152" s="13" t="s">
        <v>136</v>
      </c>
      <c r="AY152" s="15" t="str">
        <f>VLOOKUP(AX152,'Axe 2 Règles de gestion'!$D$2:$F$146,3, FALSE)</f>
        <v>La date de début de position doit être antérieure ou égale à la date de fin réelle de position.</v>
      </c>
      <c r="AZ152" s="13" t="s">
        <v>138</v>
      </c>
      <c r="BA152" s="15" t="str">
        <f>VLOOKUP(AZ152,'Axe 2 Règles de gestion'!$D$2:$F$146,3, FALSE)</f>
        <v>La date de fin prévisionnelle de la position doit être antérieure à la date limite de départ à la retraite.</v>
      </c>
      <c r="BB152" s="13" t="s">
        <v>140</v>
      </c>
      <c r="BC152" s="15" t="str">
        <f>VLOOKUP(BB152,'Axe 2 Règles de gestion'!$D$2:$F$146,3, FALSE)</f>
        <v>La date de fin réelle de la position doit être antérieure à la date limite de départ à la retraite.</v>
      </c>
      <c r="BD152" s="13" t="s">
        <v>142</v>
      </c>
      <c r="BE152" s="15" t="str">
        <f>VLOOKUP(BD152,'Axe 2 Règles de gestion'!$D$2:$F$146,3, FALSE)</f>
        <v>La date de fin ou la date de fin prévisionnelle doit être saisie.</v>
      </c>
      <c r="BF152" s="13" t="s">
        <v>152</v>
      </c>
      <c r="BG152" s="15" t="str">
        <f>VLOOKUP(BF152,'Axe 2 Règles de gestion'!$D$2:$F$146,3, FALSE)</f>
        <v>La saisie d'une occurrence de congés/absences est interdite (date de fin réelle)</v>
      </c>
      <c r="BH152" s="13" t="s">
        <v>154</v>
      </c>
      <c r="BI152" s="15" t="str">
        <f>VLOOKUP(BH152,'Axe 2 Règles de gestion'!$D$2:$F$146,3, FALSE)</f>
        <v>La saisie d'une occurrence de congés/absences est interdite (date de fin prévisionnelle)</v>
      </c>
      <c r="BJ152" s="13"/>
      <c r="BK152" s="15"/>
      <c r="BL152" s="13"/>
      <c r="BM152" s="15"/>
      <c r="BN152" s="13"/>
      <c r="BO152" s="15"/>
      <c r="BP152" s="13"/>
      <c r="BQ152" s="15"/>
      <c r="BR152" s="13"/>
      <c r="BS152" s="15"/>
      <c r="BT152" s="13"/>
      <c r="BU152" s="15"/>
      <c r="BV152" s="13"/>
      <c r="BW152" s="15"/>
    </row>
    <row r="153" spans="1:75" ht="101.5" x14ac:dyDescent="0.35">
      <c r="A153" s="13" t="s">
        <v>238</v>
      </c>
      <c r="B153" s="13" t="s">
        <v>109</v>
      </c>
      <c r="C153" s="14">
        <v>44368.708333333336</v>
      </c>
      <c r="D153" s="13" t="s">
        <v>78</v>
      </c>
      <c r="E153" s="15" t="s">
        <v>79</v>
      </c>
      <c r="F153" s="13" t="s">
        <v>80</v>
      </c>
      <c r="G153" s="15" t="s">
        <v>81</v>
      </c>
      <c r="H153" s="13" t="s">
        <v>339</v>
      </c>
      <c r="I153" s="15" t="s">
        <v>340</v>
      </c>
      <c r="J153" s="15" t="s">
        <v>341</v>
      </c>
      <c r="K153" s="15" t="s">
        <v>342</v>
      </c>
      <c r="L153" s="13" t="s">
        <v>345</v>
      </c>
      <c r="M153" s="15" t="s">
        <v>346</v>
      </c>
      <c r="N153" s="13" t="s">
        <v>88</v>
      </c>
      <c r="O153" s="15" t="s">
        <v>97</v>
      </c>
      <c r="P153" s="15" t="s">
        <v>98</v>
      </c>
      <c r="Q153" s="15" t="s">
        <v>110</v>
      </c>
      <c r="R153" s="13" t="s">
        <v>111</v>
      </c>
      <c r="S153" s="13" t="s">
        <v>93</v>
      </c>
      <c r="T153" s="13" t="s">
        <v>112</v>
      </c>
      <c r="U153" s="14">
        <v>40725</v>
      </c>
      <c r="V153" s="14"/>
      <c r="W153" s="15" t="s">
        <v>261</v>
      </c>
      <c r="X153" s="13" t="s">
        <v>162</v>
      </c>
      <c r="Y153" s="15" t="str">
        <f>VLOOKUP(X153,'Axe 2 Règles de gestion'!$D$2:$F$146,3, FALSE)</f>
        <v>L'agent peut renouveler le congé sans traitement 2 fois.</v>
      </c>
      <c r="Z153" s="13"/>
      <c r="AA153" s="15"/>
      <c r="AB153" s="13"/>
      <c r="AC153" s="15"/>
      <c r="AD153" s="13"/>
      <c r="AE153" s="15"/>
      <c r="AF153" s="13" t="s">
        <v>118</v>
      </c>
      <c r="AG153" s="15" t="str">
        <f>VLOOKUP(AF153,'Axe 2 Règles de gestion'!$D$2:$F$146,3, FALSE)</f>
        <v>La durée prévisionnelle maximale de chaque période est de un an.</v>
      </c>
      <c r="AH153" s="13" t="s">
        <v>120</v>
      </c>
      <c r="AI153" s="15" t="str">
        <f>VLOOKUP(AH153,'Axe 2 Règles de gestion'!$D$2:$F$146,3, FALSE)</f>
        <v>La durée réelle maximale de chaque période est de un an.</v>
      </c>
      <c r="AJ153" s="13" t="s">
        <v>122</v>
      </c>
      <c r="AK153" s="15" t="str">
        <f>VLOOKUP(AJ153,'Axe 2 Règles de gestion'!$D$2:$F$146,3, FALSE)</f>
        <v>L'agent ne peut pas bénéficier de plus de 3 ans cumulés de congé sans traitement quels que soient les motifs de congés sans traitement : pour raisons personnelles ou familiales.</v>
      </c>
      <c r="AL153" s="13"/>
      <c r="AM153" s="15"/>
      <c r="AN153" s="13"/>
      <c r="AO153" s="15"/>
      <c r="AP153" s="13" t="s">
        <v>130</v>
      </c>
      <c r="AQ153" s="15" t="str">
        <f>VLOOKUP(AP153,'Axe 2 Règles de gestion'!$D$2:$F$146,3, FALSE)</f>
        <v>La date de début de la position doit être postérieure ou égale à la date d'entrée dans la FPE ou dans la carrière militaire.</v>
      </c>
      <c r="AR153" s="13" t="s">
        <v>132</v>
      </c>
      <c r="AS153" s="15" t="str">
        <f>VLOOKUP(AR153,'Axe 2 Règles de gestion'!$D$2:$F$146,3, FALSE)</f>
        <v>La date de début de position est à J+1 de la date de fin de position de l'occurrence précédente.</v>
      </c>
      <c r="AT153" s="13" t="s">
        <v>134</v>
      </c>
      <c r="AU153" s="15" t="str">
        <f>VLOOKUP(AT153,'Axe 2 Règles de gestion'!$D$2:$F$146,3, FALSE)</f>
        <v>La date de début de position doit être antérieure ou égale à la date de fin prévisionnelle de position.</v>
      </c>
      <c r="AV153" s="13" t="s">
        <v>136</v>
      </c>
      <c r="AW153" s="15" t="str">
        <f>VLOOKUP(AV153,'Axe 2 Règles de gestion'!$D$2:$F$146,3, FALSE)</f>
        <v>La date de début de position doit être antérieure ou égale à la date de fin réelle de position.</v>
      </c>
      <c r="AX153" s="13" t="s">
        <v>138</v>
      </c>
      <c r="AY153" s="15" t="str">
        <f>VLOOKUP(AX153,'Axe 2 Règles de gestion'!$D$2:$F$146,3, FALSE)</f>
        <v>La date de fin prévisionnelle de la position doit être antérieure à la date limite de départ à la retraite.</v>
      </c>
      <c r="AZ153" s="13" t="s">
        <v>140</v>
      </c>
      <c r="BA153" s="15" t="str">
        <f>VLOOKUP(AZ153,'Axe 2 Règles de gestion'!$D$2:$F$146,3, FALSE)</f>
        <v>La date de fin réelle de la position doit être antérieure à la date limite de départ à la retraite.</v>
      </c>
      <c r="BB153" s="13" t="s">
        <v>142</v>
      </c>
      <c r="BC153" s="15" t="str">
        <f>VLOOKUP(BB153,'Axe 2 Règles de gestion'!$D$2:$F$146,3, FALSE)</f>
        <v>La date de fin ou la date de fin prévisionnelle doit être saisie.</v>
      </c>
      <c r="BD153" s="13" t="s">
        <v>152</v>
      </c>
      <c r="BE153" s="15" t="str">
        <f>VLOOKUP(BD153,'Axe 2 Règles de gestion'!$D$2:$F$146,3, FALSE)</f>
        <v>La saisie d'une occurrence de congés/absences est interdite (date de fin réelle)</v>
      </c>
      <c r="BF153" s="13" t="s">
        <v>154</v>
      </c>
      <c r="BG153" s="15" t="str">
        <f>VLOOKUP(BF153,'Axe 2 Règles de gestion'!$D$2:$F$146,3, FALSE)</f>
        <v>La saisie d'une occurrence de congés/absences est interdite (date de fin prévisionnelle)</v>
      </c>
      <c r="BH153" s="13"/>
      <c r="BI153" s="15"/>
      <c r="BJ153" s="13"/>
      <c r="BK153" s="15"/>
      <c r="BL153" s="13"/>
      <c r="BM153" s="15"/>
      <c r="BN153" s="13"/>
      <c r="BO153" s="15"/>
      <c r="BP153" s="13"/>
      <c r="BQ153" s="15"/>
      <c r="BR153" s="13"/>
      <c r="BS153" s="15"/>
      <c r="BT153" s="13"/>
      <c r="BU153" s="15"/>
      <c r="BV153" s="13"/>
      <c r="BW153" s="15"/>
    </row>
    <row r="154" spans="1:75" ht="130.5" x14ac:dyDescent="0.35">
      <c r="A154" s="13" t="s">
        <v>165</v>
      </c>
      <c r="B154" s="13" t="s">
        <v>109</v>
      </c>
      <c r="C154" s="14">
        <v>44715.449305555558</v>
      </c>
      <c r="D154" s="13" t="s">
        <v>78</v>
      </c>
      <c r="E154" s="15" t="s">
        <v>79</v>
      </c>
      <c r="F154" s="13" t="s">
        <v>80</v>
      </c>
      <c r="G154" s="15" t="s">
        <v>81</v>
      </c>
      <c r="H154" s="13" t="s">
        <v>339</v>
      </c>
      <c r="I154" s="15" t="s">
        <v>340</v>
      </c>
      <c r="J154" s="15" t="s">
        <v>341</v>
      </c>
      <c r="K154" s="15" t="s">
        <v>342</v>
      </c>
      <c r="L154" s="13" t="s">
        <v>347</v>
      </c>
      <c r="M154" s="15" t="s">
        <v>348</v>
      </c>
      <c r="N154" s="13" t="s">
        <v>101</v>
      </c>
      <c r="O154" s="15" t="s">
        <v>102</v>
      </c>
      <c r="P154" s="15" t="s">
        <v>103</v>
      </c>
      <c r="Q154" s="15" t="s">
        <v>110</v>
      </c>
      <c r="R154" s="13" t="s">
        <v>111</v>
      </c>
      <c r="S154" s="13" t="s">
        <v>93</v>
      </c>
      <c r="T154" s="13" t="s">
        <v>112</v>
      </c>
      <c r="U154" s="14">
        <v>40725</v>
      </c>
      <c r="V154" s="14">
        <v>44633</v>
      </c>
      <c r="W154" s="15" t="s">
        <v>262</v>
      </c>
      <c r="X154" s="13" t="s">
        <v>167</v>
      </c>
      <c r="Y154" s="15" t="str">
        <f>VLOOKUP(X154,'Axe 2 Règles de gestion'!$D$2:$F$146,3, FALSE)</f>
        <v>L'agent doit demander à reprendre ses fonctions au moins 2 mois avant l'expiration du congé en cours.</v>
      </c>
      <c r="Z154" s="13" t="s">
        <v>169</v>
      </c>
      <c r="AA154" s="15" t="str">
        <f>VLOOKUP(Z154,'Axe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54" s="13"/>
      <c r="AC154" s="15"/>
      <c r="AD154" s="13"/>
      <c r="AE154" s="15"/>
      <c r="AF154" s="13" t="s">
        <v>118</v>
      </c>
      <c r="AG154" s="15" t="str">
        <f>VLOOKUP(AF154,'Axe 2 Règles de gestion'!$D$2:$F$146,3, FALSE)</f>
        <v>La durée prévisionnelle maximale de chaque période est de un an.</v>
      </c>
      <c r="AH154" s="13" t="s">
        <v>120</v>
      </c>
      <c r="AI154" s="15" t="str">
        <f>VLOOKUP(AH154,'Axe 2 Règles de gestion'!$D$2:$F$146,3, FALSE)</f>
        <v>La durée réelle maximale de chaque période est de un an.</v>
      </c>
      <c r="AJ154" s="13" t="s">
        <v>122</v>
      </c>
      <c r="AK154" s="15" t="str">
        <f>VLOOKUP(AJ154,'Axe 2 Règles de gestion'!$D$2:$F$146,3, FALSE)</f>
        <v>L'agent ne peut pas bénéficier de plus de 3 ans cumulés de congé sans traitement quels que soient les motifs de congés sans traitement : pour raisons personnelles ou familiales.</v>
      </c>
      <c r="AL154" s="13"/>
      <c r="AM154" s="15"/>
      <c r="AN154" s="13"/>
      <c r="AO154" s="15"/>
      <c r="AP154" s="13" t="s">
        <v>134</v>
      </c>
      <c r="AQ154" s="15" t="str">
        <f>VLOOKUP(AP154,'Axe 2 Règles de gestion'!$D$2:$F$146,3, FALSE)</f>
        <v>La date de début de position doit être antérieure ou égale à la date de fin prévisionnelle de position.</v>
      </c>
      <c r="AR154" s="13" t="s">
        <v>136</v>
      </c>
      <c r="AS154" s="15" t="str">
        <f>VLOOKUP(AR154,'Axe 2 Règles de gestion'!$D$2:$F$146,3, FALSE)</f>
        <v>La date de début de position doit être antérieure ou égale à la date de fin réelle de position.</v>
      </c>
      <c r="AT154" s="13" t="s">
        <v>138</v>
      </c>
      <c r="AU154" s="15" t="str">
        <f>VLOOKUP(AT154,'Axe 2 Règles de gestion'!$D$2:$F$146,3, FALSE)</f>
        <v>La date de fin prévisionnelle de la position doit être antérieure à la date limite de départ à la retraite.</v>
      </c>
      <c r="AV154" s="13" t="s">
        <v>140</v>
      </c>
      <c r="AW154" s="15" t="str">
        <f>VLOOKUP(AV154,'Axe 2 Règles de gestion'!$D$2:$F$146,3, FALSE)</f>
        <v>La date de fin réelle de la position doit être antérieure à la date limite de départ à la retraite.</v>
      </c>
      <c r="AX154" s="13" t="s">
        <v>142</v>
      </c>
      <c r="AY154" s="15" t="str">
        <f>VLOOKUP(AX154,'Axe 2 Règles de gestion'!$D$2:$F$146,3, FALSE)</f>
        <v>La date de fin ou la date de fin prévisionnelle doit être saisie.</v>
      </c>
      <c r="AZ154" s="13" t="s">
        <v>152</v>
      </c>
      <c r="BA154" s="15" t="str">
        <f>VLOOKUP(AZ154,'Axe 2 Règles de gestion'!$D$2:$F$146,3, FALSE)</f>
        <v>La saisie d'une occurrence de congés/absences est interdite (date de fin réelle)</v>
      </c>
      <c r="BB154" s="13" t="s">
        <v>154</v>
      </c>
      <c r="BC154" s="15" t="str">
        <f>VLOOKUP(BB154,'Axe 2 Règles de gestion'!$D$2:$F$146,3, FALSE)</f>
        <v>La saisie d'une occurrence de congés/absences est interdite (date de fin prévisionnelle)</v>
      </c>
      <c r="BD154" s="13"/>
      <c r="BE154" s="15"/>
      <c r="BF154" s="13"/>
      <c r="BG154" s="15"/>
      <c r="BH154" s="13"/>
      <c r="BI154" s="15"/>
      <c r="BJ154" s="13"/>
      <c r="BK154" s="15"/>
      <c r="BL154" s="13"/>
      <c r="BM154" s="15"/>
      <c r="BN154" s="13"/>
      <c r="BO154" s="15"/>
      <c r="BP154" s="13"/>
      <c r="BQ154" s="15"/>
      <c r="BR154" s="13"/>
      <c r="BS154" s="15"/>
      <c r="BT154" s="13"/>
      <c r="BU154" s="15"/>
      <c r="BV154" s="13"/>
      <c r="BW154" s="15"/>
    </row>
    <row r="155" spans="1:75" ht="145" x14ac:dyDescent="0.35">
      <c r="A155" s="13" t="s">
        <v>165</v>
      </c>
      <c r="B155" s="13" t="s">
        <v>77</v>
      </c>
      <c r="C155" s="14">
        <v>44715.45</v>
      </c>
      <c r="D155" s="13" t="s">
        <v>78</v>
      </c>
      <c r="E155" s="15" t="s">
        <v>79</v>
      </c>
      <c r="F155" s="13" t="s">
        <v>80</v>
      </c>
      <c r="G155" s="15" t="s">
        <v>81</v>
      </c>
      <c r="H155" s="13" t="s">
        <v>339</v>
      </c>
      <c r="I155" s="15" t="s">
        <v>340</v>
      </c>
      <c r="J155" s="15" t="s">
        <v>341</v>
      </c>
      <c r="K155" s="15" t="s">
        <v>342</v>
      </c>
      <c r="L155" s="13" t="s">
        <v>347</v>
      </c>
      <c r="M155" s="15" t="s">
        <v>348</v>
      </c>
      <c r="N155" s="13" t="s">
        <v>101</v>
      </c>
      <c r="O155" s="15" t="s">
        <v>102</v>
      </c>
      <c r="P155" s="15" t="s">
        <v>103</v>
      </c>
      <c r="Q155" s="15" t="s">
        <v>110</v>
      </c>
      <c r="R155" s="13" t="s">
        <v>111</v>
      </c>
      <c r="S155" s="13" t="s">
        <v>93</v>
      </c>
      <c r="T155" s="13" t="s">
        <v>112</v>
      </c>
      <c r="U155" s="14">
        <v>44634</v>
      </c>
      <c r="V155" s="14"/>
      <c r="W155" s="15" t="s">
        <v>263</v>
      </c>
      <c r="X155" s="13" t="s">
        <v>167</v>
      </c>
      <c r="Y155" s="15" t="str">
        <f>VLOOKUP(X155,'Axe 2 Règles de gestion'!$D$2:$F$146,3, FALSE)</f>
        <v>L'agent doit demander à reprendre ses fonctions au moins 2 mois avant l'expiration du congé en cours.</v>
      </c>
      <c r="Z155" s="13" t="s">
        <v>172</v>
      </c>
      <c r="AA155" s="15" t="str">
        <f>VLOOKUP(Z155,'Axe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55" s="13"/>
      <c r="AC155" s="15"/>
      <c r="AD155" s="13"/>
      <c r="AE155" s="15"/>
      <c r="AF155" s="13" t="s">
        <v>118</v>
      </c>
      <c r="AG155" s="15" t="str">
        <f>VLOOKUP(AF155,'Axe 2 Règles de gestion'!$D$2:$F$146,3, FALSE)</f>
        <v>La durée prévisionnelle maximale de chaque période est de un an.</v>
      </c>
      <c r="AH155" s="13" t="s">
        <v>120</v>
      </c>
      <c r="AI155" s="15" t="str">
        <f>VLOOKUP(AH155,'Axe 2 Règles de gestion'!$D$2:$F$146,3, FALSE)</f>
        <v>La durée réelle maximale de chaque période est de un an.</v>
      </c>
      <c r="AJ155" s="13" t="s">
        <v>122</v>
      </c>
      <c r="AK155" s="15" t="str">
        <f>VLOOKUP(AJ155,'Axe 2 Règles de gestion'!$D$2:$F$146,3, FALSE)</f>
        <v>L'agent ne peut pas bénéficier de plus de 3 ans cumulés de congé sans traitement quels que soient les motifs de congés sans traitement : pour raisons personnelles ou familiales.</v>
      </c>
      <c r="AL155" s="13"/>
      <c r="AM155" s="15"/>
      <c r="AN155" s="13"/>
      <c r="AO155" s="15"/>
      <c r="AP155" s="13" t="s">
        <v>134</v>
      </c>
      <c r="AQ155" s="15" t="str">
        <f>VLOOKUP(AP155,'Axe 2 Règles de gestion'!$D$2:$F$146,3, FALSE)</f>
        <v>La date de début de position doit être antérieure ou égale à la date de fin prévisionnelle de position.</v>
      </c>
      <c r="AR155" s="13" t="s">
        <v>136</v>
      </c>
      <c r="AS155" s="15" t="str">
        <f>VLOOKUP(AR155,'Axe 2 Règles de gestion'!$D$2:$F$146,3, FALSE)</f>
        <v>La date de début de position doit être antérieure ou égale à la date de fin réelle de position.</v>
      </c>
      <c r="AT155" s="13" t="s">
        <v>138</v>
      </c>
      <c r="AU155" s="15" t="str">
        <f>VLOOKUP(AT155,'Axe 2 Règles de gestion'!$D$2:$F$146,3, FALSE)</f>
        <v>La date de fin prévisionnelle de la position doit être antérieure à la date limite de départ à la retraite.</v>
      </c>
      <c r="AV155" s="13" t="s">
        <v>140</v>
      </c>
      <c r="AW155" s="15" t="str">
        <f>VLOOKUP(AV155,'Axe 2 Règles de gestion'!$D$2:$F$146,3, FALSE)</f>
        <v>La date de fin réelle de la position doit être antérieure à la date limite de départ à la retraite.</v>
      </c>
      <c r="AX155" s="13" t="s">
        <v>142</v>
      </c>
      <c r="AY155" s="15" t="str">
        <f>VLOOKUP(AX155,'Axe 2 Règles de gestion'!$D$2:$F$146,3, FALSE)</f>
        <v>La date de fin ou la date de fin prévisionnelle doit être saisie.</v>
      </c>
      <c r="AZ155" s="13" t="s">
        <v>152</v>
      </c>
      <c r="BA155" s="15" t="str">
        <f>VLOOKUP(AZ155,'Axe 2 Règles de gestion'!$D$2:$F$146,3, FALSE)</f>
        <v>La saisie d'une occurrence de congés/absences est interdite (date de fin réelle)</v>
      </c>
      <c r="BB155" s="13" t="s">
        <v>154</v>
      </c>
      <c r="BC155" s="15" t="str">
        <f>VLOOKUP(BB155,'Axe 2 Règles de gestion'!$D$2:$F$146,3, FALSE)</f>
        <v>La saisie d'une occurrence de congés/absences est interdite (date de fin prévisionnelle)</v>
      </c>
      <c r="BD155" s="13"/>
      <c r="BE155" s="15"/>
      <c r="BF155" s="13"/>
      <c r="BG155" s="15"/>
      <c r="BH155" s="13"/>
      <c r="BI155" s="15"/>
      <c r="BJ155" s="13"/>
      <c r="BK155" s="15"/>
      <c r="BL155" s="13"/>
      <c r="BM155" s="15"/>
      <c r="BN155" s="13"/>
      <c r="BO155" s="15"/>
      <c r="BP155" s="13"/>
      <c r="BQ155" s="15"/>
      <c r="BR155" s="13"/>
      <c r="BS155" s="15"/>
      <c r="BT155" s="13"/>
      <c r="BU155" s="15"/>
      <c r="BV155" s="13"/>
      <c r="BW155" s="15"/>
    </row>
    <row r="156" spans="1:75" ht="72.5" x14ac:dyDescent="0.35">
      <c r="A156" s="13" t="s">
        <v>76</v>
      </c>
      <c r="B156" s="13" t="s">
        <v>77</v>
      </c>
      <c r="C156" s="14">
        <v>43152.5</v>
      </c>
      <c r="D156" s="13" t="s">
        <v>78</v>
      </c>
      <c r="E156" s="15" t="s">
        <v>79</v>
      </c>
      <c r="F156" s="13" t="s">
        <v>80</v>
      </c>
      <c r="G156" s="15" t="s">
        <v>81</v>
      </c>
      <c r="H156" s="13" t="s">
        <v>339</v>
      </c>
      <c r="I156" s="15" t="s">
        <v>340</v>
      </c>
      <c r="J156" s="15" t="s">
        <v>341</v>
      </c>
      <c r="K156" s="15" t="s">
        <v>342</v>
      </c>
      <c r="L156" s="13" t="s">
        <v>343</v>
      </c>
      <c r="M156" s="15" t="s">
        <v>344</v>
      </c>
      <c r="N156" s="13" t="s">
        <v>88</v>
      </c>
      <c r="O156" s="15" t="s">
        <v>89</v>
      </c>
      <c r="P156" s="15" t="s">
        <v>90</v>
      </c>
      <c r="Q156" s="15" t="s">
        <v>175</v>
      </c>
      <c r="R156" s="13" t="s">
        <v>176</v>
      </c>
      <c r="S156" s="13" t="s">
        <v>93</v>
      </c>
      <c r="T156" s="13" t="s">
        <v>94</v>
      </c>
      <c r="U156" s="14">
        <v>40725</v>
      </c>
      <c r="V156" s="14"/>
      <c r="W156" s="15"/>
      <c r="X156" s="13"/>
      <c r="Y156" s="15"/>
      <c r="Z156" s="13"/>
      <c r="AA156" s="15"/>
      <c r="AB156" s="13"/>
      <c r="AC156" s="15"/>
      <c r="AD156" s="13"/>
      <c r="AE156" s="15"/>
      <c r="AF156" s="13"/>
      <c r="AG156" s="15"/>
      <c r="AH156" s="13"/>
      <c r="AI156" s="15"/>
      <c r="AJ156" s="13"/>
      <c r="AK156" s="15"/>
      <c r="AL156" s="13"/>
      <c r="AM156" s="15"/>
      <c r="AN156" s="13"/>
      <c r="AO156" s="15"/>
      <c r="AP156" s="13"/>
      <c r="AQ156" s="15"/>
      <c r="AR156" s="13"/>
      <c r="AS156" s="15"/>
      <c r="AT156" s="13"/>
      <c r="AU156" s="15"/>
      <c r="AV156" s="13"/>
      <c r="AW156" s="15"/>
      <c r="AX156" s="13"/>
      <c r="AY156" s="15"/>
      <c r="AZ156" s="13"/>
      <c r="BA156" s="15"/>
      <c r="BB156" s="13"/>
      <c r="BC156" s="15"/>
      <c r="BD156" s="13"/>
      <c r="BE156" s="15"/>
      <c r="BF156" s="13"/>
      <c r="BG156" s="15"/>
      <c r="BH156" s="13"/>
      <c r="BI156" s="15"/>
      <c r="BJ156" s="13"/>
      <c r="BK156" s="15"/>
      <c r="BL156" s="13"/>
      <c r="BM156" s="15"/>
      <c r="BN156" s="13"/>
      <c r="BO156" s="15"/>
      <c r="BP156" s="13"/>
      <c r="BQ156" s="15"/>
      <c r="BR156" s="13"/>
      <c r="BS156" s="15"/>
      <c r="BT156" s="13"/>
      <c r="BU156" s="15"/>
      <c r="BV156" s="13"/>
      <c r="BW156" s="15"/>
    </row>
    <row r="157" spans="1:75" ht="72.5" x14ac:dyDescent="0.35">
      <c r="A157" s="13" t="s">
        <v>76</v>
      </c>
      <c r="B157" s="13" t="s">
        <v>77</v>
      </c>
      <c r="C157" s="14">
        <v>43152.5</v>
      </c>
      <c r="D157" s="13" t="s">
        <v>78</v>
      </c>
      <c r="E157" s="15" t="s">
        <v>79</v>
      </c>
      <c r="F157" s="13" t="s">
        <v>80</v>
      </c>
      <c r="G157" s="15" t="s">
        <v>81</v>
      </c>
      <c r="H157" s="13" t="s">
        <v>339</v>
      </c>
      <c r="I157" s="15" t="s">
        <v>340</v>
      </c>
      <c r="J157" s="15" t="s">
        <v>341</v>
      </c>
      <c r="K157" s="15" t="s">
        <v>342</v>
      </c>
      <c r="L157" s="13" t="s">
        <v>345</v>
      </c>
      <c r="M157" s="15" t="s">
        <v>346</v>
      </c>
      <c r="N157" s="13" t="s">
        <v>88</v>
      </c>
      <c r="O157" s="15" t="s">
        <v>97</v>
      </c>
      <c r="P157" s="15" t="s">
        <v>98</v>
      </c>
      <c r="Q157" s="15" t="s">
        <v>175</v>
      </c>
      <c r="R157" s="13" t="s">
        <v>176</v>
      </c>
      <c r="S157" s="13" t="s">
        <v>93</v>
      </c>
      <c r="T157" s="13" t="s">
        <v>94</v>
      </c>
      <c r="U157" s="14">
        <v>40725</v>
      </c>
      <c r="V157" s="14"/>
      <c r="W157" s="15"/>
      <c r="X157" s="13"/>
      <c r="Y157" s="15"/>
      <c r="Z157" s="13"/>
      <c r="AA157" s="15"/>
      <c r="AB157" s="13"/>
      <c r="AC157" s="15"/>
      <c r="AD157" s="13"/>
      <c r="AE157" s="15"/>
      <c r="AF157" s="13"/>
      <c r="AG157" s="15"/>
      <c r="AH157" s="13"/>
      <c r="AI157" s="15"/>
      <c r="AJ157" s="13"/>
      <c r="AK157" s="15"/>
      <c r="AL157" s="13"/>
      <c r="AM157" s="15"/>
      <c r="AN157" s="13"/>
      <c r="AO157" s="15"/>
      <c r="AP157" s="13"/>
      <c r="AQ157" s="15"/>
      <c r="AR157" s="13"/>
      <c r="AS157" s="15"/>
      <c r="AT157" s="13"/>
      <c r="AU157" s="15"/>
      <c r="AV157" s="13"/>
      <c r="AW157" s="15"/>
      <c r="AX157" s="13"/>
      <c r="AY157" s="15"/>
      <c r="AZ157" s="13"/>
      <c r="BA157" s="15"/>
      <c r="BB157" s="13"/>
      <c r="BC157" s="15"/>
      <c r="BD157" s="13"/>
      <c r="BE157" s="15"/>
      <c r="BF157" s="13"/>
      <c r="BG157" s="15"/>
      <c r="BH157" s="13"/>
      <c r="BI157" s="15"/>
      <c r="BJ157" s="13"/>
      <c r="BK157" s="15"/>
      <c r="BL157" s="13"/>
      <c r="BM157" s="15"/>
      <c r="BN157" s="13"/>
      <c r="BO157" s="15"/>
      <c r="BP157" s="13"/>
      <c r="BQ157" s="15"/>
      <c r="BR157" s="13"/>
      <c r="BS157" s="15"/>
      <c r="BT157" s="13"/>
      <c r="BU157" s="15"/>
      <c r="BV157" s="13"/>
      <c r="BW157" s="15"/>
    </row>
    <row r="158" spans="1:75" ht="72.5" x14ac:dyDescent="0.35">
      <c r="A158" s="13" t="s">
        <v>76</v>
      </c>
      <c r="B158" s="13" t="s">
        <v>77</v>
      </c>
      <c r="C158" s="14">
        <v>43152.5</v>
      </c>
      <c r="D158" s="13" t="s">
        <v>78</v>
      </c>
      <c r="E158" s="15" t="s">
        <v>79</v>
      </c>
      <c r="F158" s="13" t="s">
        <v>80</v>
      </c>
      <c r="G158" s="15" t="s">
        <v>81</v>
      </c>
      <c r="H158" s="13" t="s">
        <v>339</v>
      </c>
      <c r="I158" s="15" t="s">
        <v>340</v>
      </c>
      <c r="J158" s="15" t="s">
        <v>341</v>
      </c>
      <c r="K158" s="15" t="s">
        <v>342</v>
      </c>
      <c r="L158" s="13" t="s">
        <v>347</v>
      </c>
      <c r="M158" s="15" t="s">
        <v>348</v>
      </c>
      <c r="N158" s="13" t="s">
        <v>101</v>
      </c>
      <c r="O158" s="15" t="s">
        <v>102</v>
      </c>
      <c r="P158" s="15" t="s">
        <v>103</v>
      </c>
      <c r="Q158" s="15" t="s">
        <v>175</v>
      </c>
      <c r="R158" s="13" t="s">
        <v>176</v>
      </c>
      <c r="S158" s="13" t="s">
        <v>93</v>
      </c>
      <c r="T158" s="13" t="s">
        <v>94</v>
      </c>
      <c r="U158" s="14">
        <v>40725</v>
      </c>
      <c r="V158" s="14"/>
      <c r="W158" s="15"/>
      <c r="X158" s="13"/>
      <c r="Y158" s="15"/>
      <c r="Z158" s="13"/>
      <c r="AA158" s="15"/>
      <c r="AB158" s="13"/>
      <c r="AC158" s="15"/>
      <c r="AD158" s="13"/>
      <c r="AE158" s="15"/>
      <c r="AF158" s="13"/>
      <c r="AG158" s="15"/>
      <c r="AH158" s="13"/>
      <c r="AI158" s="15"/>
      <c r="AJ158" s="13"/>
      <c r="AK158" s="15"/>
      <c r="AL158" s="13"/>
      <c r="AM158" s="15"/>
      <c r="AN158" s="13"/>
      <c r="AO158" s="15"/>
      <c r="AP158" s="13"/>
      <c r="AQ158" s="15"/>
      <c r="AR158" s="13"/>
      <c r="AS158" s="15"/>
      <c r="AT158" s="13"/>
      <c r="AU158" s="15"/>
      <c r="AV158" s="13"/>
      <c r="AW158" s="15"/>
      <c r="AX158" s="13"/>
      <c r="AY158" s="15"/>
      <c r="AZ158" s="13"/>
      <c r="BA158" s="15"/>
      <c r="BB158" s="13"/>
      <c r="BC158" s="15"/>
      <c r="BD158" s="13"/>
      <c r="BE158" s="15"/>
      <c r="BF158" s="13"/>
      <c r="BG158" s="15"/>
      <c r="BH158" s="13"/>
      <c r="BI158" s="15"/>
      <c r="BJ158" s="13"/>
      <c r="BK158" s="15"/>
      <c r="BL158" s="13"/>
      <c r="BM158" s="15"/>
      <c r="BN158" s="13"/>
      <c r="BO158" s="15"/>
      <c r="BP158" s="13"/>
      <c r="BQ158" s="15"/>
      <c r="BR158" s="13"/>
      <c r="BS158" s="15"/>
      <c r="BT158" s="13"/>
      <c r="BU158" s="15"/>
      <c r="BV158" s="13"/>
      <c r="BW158" s="15"/>
    </row>
    <row r="159" spans="1:75" ht="101.5" x14ac:dyDescent="0.35">
      <c r="A159" s="13" t="s">
        <v>238</v>
      </c>
      <c r="B159" s="13" t="s">
        <v>109</v>
      </c>
      <c r="C159" s="14">
        <v>44368.708333333336</v>
      </c>
      <c r="D159" s="13" t="s">
        <v>78</v>
      </c>
      <c r="E159" s="15" t="s">
        <v>79</v>
      </c>
      <c r="F159" s="13" t="s">
        <v>80</v>
      </c>
      <c r="G159" s="15" t="s">
        <v>81</v>
      </c>
      <c r="H159" s="13" t="s">
        <v>339</v>
      </c>
      <c r="I159" s="15" t="s">
        <v>340</v>
      </c>
      <c r="J159" s="15" t="s">
        <v>341</v>
      </c>
      <c r="K159" s="15" t="s">
        <v>342</v>
      </c>
      <c r="L159" s="13" t="s">
        <v>343</v>
      </c>
      <c r="M159" s="15" t="s">
        <v>344</v>
      </c>
      <c r="N159" s="13" t="s">
        <v>88</v>
      </c>
      <c r="O159" s="15" t="s">
        <v>89</v>
      </c>
      <c r="P159" s="15" t="s">
        <v>90</v>
      </c>
      <c r="Q159" s="15" t="s">
        <v>177</v>
      </c>
      <c r="R159" s="13" t="s">
        <v>178</v>
      </c>
      <c r="S159" s="13" t="s">
        <v>179</v>
      </c>
      <c r="T159" s="13" t="s">
        <v>112</v>
      </c>
      <c r="U159" s="14">
        <v>40725</v>
      </c>
      <c r="V159" s="14"/>
      <c r="W159" s="15" t="s">
        <v>264</v>
      </c>
      <c r="X159" s="13" t="s">
        <v>181</v>
      </c>
      <c r="Y159" s="15" t="str">
        <f>VLOOKUP(X159,'Axe 2 Règles de gestion'!$D$2:$F$146,3, FALSE)</f>
        <v>L'agent doit présenter une demande de congé sans traitement.</v>
      </c>
      <c r="Z159" s="13" t="s">
        <v>182</v>
      </c>
      <c r="AA159" s="15" t="str">
        <f>VLOOKUP(Z159,'Axe 2 Règles de gestion'!$D$2:$F$146,3, FALSE)</f>
        <v>La demande est accordée de droit par le supérieur hiérarchique.</v>
      </c>
      <c r="AB159" s="13"/>
      <c r="AC159" s="15"/>
      <c r="AD159" s="13"/>
      <c r="AE159" s="15"/>
      <c r="AF159" s="13" t="s">
        <v>183</v>
      </c>
      <c r="AG159" s="15" t="str">
        <f>VLOOKUP(AF159,'Axe 2 Règles de gestion'!$D$2:$F$146,3, FALSE)</f>
        <v>La durée prévisionnelle maximale de chaque période est de un an.</v>
      </c>
      <c r="AH159" s="13" t="s">
        <v>184</v>
      </c>
      <c r="AI159" s="15" t="str">
        <f>VLOOKUP(AH159,'Axe 2 Règles de gestion'!$D$2:$F$146,3, FALSE)</f>
        <v>La durée réelle maximale de chaque période est de un an.</v>
      </c>
      <c r="AJ159" s="13" t="s">
        <v>185</v>
      </c>
      <c r="AK159" s="15" t="str">
        <f>VLOOKUP(AJ159,'Axe 2 Règles de gestion'!$D$2:$F$146,3, FALSE)</f>
        <v>L'agent ne peut pas bénéficier de plus de 3 ans cumulés de congé sans traitement quels que soient les motifs de congés sans traitement : pour raisons personnelles ou familiales.</v>
      </c>
      <c r="AL159" s="13"/>
      <c r="AM159" s="15"/>
      <c r="AN159" s="13"/>
      <c r="AO159" s="15"/>
      <c r="AP159" s="13" t="s">
        <v>128</v>
      </c>
      <c r="AQ159" s="15" t="str">
        <f>VLOOKUP(AP159,'Axe 2 Règles de gestion'!$D$2:$F$146,3, FALSE)</f>
        <v>Lors de la demande initiale, l'agent doit être en activité.</v>
      </c>
      <c r="AR159" s="13" t="s">
        <v>130</v>
      </c>
      <c r="AS159" s="15" t="str">
        <f>VLOOKUP(AR159,'Axe 2 Règles de gestion'!$D$2:$F$146,3, FALSE)</f>
        <v>La date de début de la position doit être postérieure ou égale à la date d'entrée dans la FPE ou dans la carrière militaire.</v>
      </c>
      <c r="AT159" s="13" t="s">
        <v>132</v>
      </c>
      <c r="AU159" s="15" t="str">
        <f>VLOOKUP(AT159,'Axe 2 Règles de gestion'!$D$2:$F$146,3, FALSE)</f>
        <v>La date de début de position est à J+1 de la date de fin de position de l'occurrence précédente.</v>
      </c>
      <c r="AV159" s="13" t="s">
        <v>134</v>
      </c>
      <c r="AW159" s="15" t="str">
        <f>VLOOKUP(AV159,'Axe 2 Règles de gestion'!$D$2:$F$146,3, FALSE)</f>
        <v>La date de début de position doit être antérieure ou égale à la date de fin prévisionnelle de position.</v>
      </c>
      <c r="AX159" s="13" t="s">
        <v>136</v>
      </c>
      <c r="AY159" s="15" t="str">
        <f>VLOOKUP(AX159,'Axe 2 Règles de gestion'!$D$2:$F$146,3, FALSE)</f>
        <v>La date de début de position doit être antérieure ou égale à la date de fin réelle de position.</v>
      </c>
      <c r="AZ159" s="13" t="s">
        <v>138</v>
      </c>
      <c r="BA159" s="15" t="str">
        <f>VLOOKUP(AZ159,'Axe 2 Règles de gestion'!$D$2:$F$146,3, FALSE)</f>
        <v>La date de fin prévisionnelle de la position doit être antérieure à la date limite de départ à la retraite.</v>
      </c>
      <c r="BB159" s="13" t="s">
        <v>140</v>
      </c>
      <c r="BC159" s="15" t="str">
        <f>VLOOKUP(BB159,'Axe 2 Règles de gestion'!$D$2:$F$146,3, FALSE)</f>
        <v>La date de fin réelle de la position doit être antérieure à la date limite de départ à la retraite.</v>
      </c>
      <c r="BD159" s="13" t="s">
        <v>142</v>
      </c>
      <c r="BE159" s="15" t="str">
        <f>VLOOKUP(BD159,'Axe 2 Règles de gestion'!$D$2:$F$146,3, FALSE)</f>
        <v>La date de fin ou la date de fin prévisionnelle doit être saisie.</v>
      </c>
      <c r="BF159" s="13" t="s">
        <v>152</v>
      </c>
      <c r="BG159" s="15" t="str">
        <f>VLOOKUP(BF159,'Axe 2 Règles de gestion'!$D$2:$F$146,3, FALSE)</f>
        <v>La saisie d'une occurrence de congés/absences est interdite (date de fin réelle)</v>
      </c>
      <c r="BH159" s="13" t="s">
        <v>154</v>
      </c>
      <c r="BI159" s="15" t="str">
        <f>VLOOKUP(BH159,'Axe 2 Règles de gestion'!$D$2:$F$146,3, FALSE)</f>
        <v>La saisie d'une occurrence de congés/absences est interdite (date de fin prévisionnelle)</v>
      </c>
      <c r="BJ159" s="13"/>
      <c r="BK159" s="15"/>
      <c r="BL159" s="13"/>
      <c r="BM159" s="15"/>
      <c r="BN159" s="13"/>
      <c r="BO159" s="15"/>
      <c r="BP159" s="13"/>
      <c r="BQ159" s="15"/>
      <c r="BR159" s="13"/>
      <c r="BS159" s="15"/>
      <c r="BT159" s="13"/>
      <c r="BU159" s="15"/>
      <c r="BV159" s="13"/>
      <c r="BW159" s="15"/>
    </row>
    <row r="160" spans="1:75" ht="101.5" x14ac:dyDescent="0.35">
      <c r="A160" s="13" t="s">
        <v>238</v>
      </c>
      <c r="B160" s="13" t="s">
        <v>109</v>
      </c>
      <c r="C160" s="14">
        <v>44368.708333333336</v>
      </c>
      <c r="D160" s="13" t="s">
        <v>78</v>
      </c>
      <c r="E160" s="15" t="s">
        <v>79</v>
      </c>
      <c r="F160" s="13" t="s">
        <v>80</v>
      </c>
      <c r="G160" s="15" t="s">
        <v>81</v>
      </c>
      <c r="H160" s="13" t="s">
        <v>339</v>
      </c>
      <c r="I160" s="15" t="s">
        <v>340</v>
      </c>
      <c r="J160" s="15" t="s">
        <v>341</v>
      </c>
      <c r="K160" s="15" t="s">
        <v>342</v>
      </c>
      <c r="L160" s="13" t="s">
        <v>345</v>
      </c>
      <c r="M160" s="15" t="s">
        <v>346</v>
      </c>
      <c r="N160" s="13" t="s">
        <v>88</v>
      </c>
      <c r="O160" s="15" t="s">
        <v>97</v>
      </c>
      <c r="P160" s="15" t="s">
        <v>98</v>
      </c>
      <c r="Q160" s="15" t="s">
        <v>177</v>
      </c>
      <c r="R160" s="13" t="s">
        <v>178</v>
      </c>
      <c r="S160" s="13" t="s">
        <v>179</v>
      </c>
      <c r="T160" s="13" t="s">
        <v>112</v>
      </c>
      <c r="U160" s="14">
        <v>40725</v>
      </c>
      <c r="V160" s="14"/>
      <c r="W160" s="15" t="s">
        <v>265</v>
      </c>
      <c r="X160" s="13" t="s">
        <v>192</v>
      </c>
      <c r="Y160" s="15" t="str">
        <f>VLOOKUP(X160,'Axe 2 Règles de gestion'!$D$2:$F$146,3, FALSE)</f>
        <v>L'agent peut renouveler le congé sans traitement 2 fois.</v>
      </c>
      <c r="Z160" s="13"/>
      <c r="AA160" s="15"/>
      <c r="AB160" s="13"/>
      <c r="AC160" s="15"/>
      <c r="AD160" s="13"/>
      <c r="AE160" s="15"/>
      <c r="AF160" s="13" t="s">
        <v>183</v>
      </c>
      <c r="AG160" s="15" t="str">
        <f>VLOOKUP(AF160,'Axe 2 Règles de gestion'!$D$2:$F$146,3, FALSE)</f>
        <v>La durée prévisionnelle maximale de chaque période est de un an.</v>
      </c>
      <c r="AH160" s="13" t="s">
        <v>184</v>
      </c>
      <c r="AI160" s="15" t="str">
        <f>VLOOKUP(AH160,'Axe 2 Règles de gestion'!$D$2:$F$146,3, FALSE)</f>
        <v>La durée réelle maximale de chaque période est de un an.</v>
      </c>
      <c r="AJ160" s="13" t="s">
        <v>185</v>
      </c>
      <c r="AK160" s="15" t="str">
        <f>VLOOKUP(AJ160,'Axe 2 Règles de gestion'!$D$2:$F$146,3, FALSE)</f>
        <v>L'agent ne peut pas bénéficier de plus de 3 ans cumulés de congé sans traitement quels que soient les motifs de congés sans traitement : pour raisons personnelles ou familiales.</v>
      </c>
      <c r="AL160" s="13"/>
      <c r="AM160" s="15"/>
      <c r="AN160" s="13"/>
      <c r="AO160" s="15"/>
      <c r="AP160" s="13" t="s">
        <v>130</v>
      </c>
      <c r="AQ160" s="15" t="str">
        <f>VLOOKUP(AP160,'Axe 2 Règles de gestion'!$D$2:$F$146,3, FALSE)</f>
        <v>La date de début de la position doit être postérieure ou égale à la date d'entrée dans la FPE ou dans la carrière militaire.</v>
      </c>
      <c r="AR160" s="13" t="s">
        <v>132</v>
      </c>
      <c r="AS160" s="15" t="str">
        <f>VLOOKUP(AR160,'Axe 2 Règles de gestion'!$D$2:$F$146,3, FALSE)</f>
        <v>La date de début de position est à J+1 de la date de fin de position de l'occurrence précédente.</v>
      </c>
      <c r="AT160" s="13" t="s">
        <v>134</v>
      </c>
      <c r="AU160" s="15" t="str">
        <f>VLOOKUP(AT160,'Axe 2 Règles de gestion'!$D$2:$F$146,3, FALSE)</f>
        <v>La date de début de position doit être antérieure ou égale à la date de fin prévisionnelle de position.</v>
      </c>
      <c r="AV160" s="13" t="s">
        <v>136</v>
      </c>
      <c r="AW160" s="15" t="str">
        <f>VLOOKUP(AV160,'Axe 2 Règles de gestion'!$D$2:$F$146,3, FALSE)</f>
        <v>La date de début de position doit être antérieure ou égale à la date de fin réelle de position.</v>
      </c>
      <c r="AX160" s="13" t="s">
        <v>138</v>
      </c>
      <c r="AY160" s="15" t="str">
        <f>VLOOKUP(AX160,'Axe 2 Règles de gestion'!$D$2:$F$146,3, FALSE)</f>
        <v>La date de fin prévisionnelle de la position doit être antérieure à la date limite de départ à la retraite.</v>
      </c>
      <c r="AZ160" s="13" t="s">
        <v>140</v>
      </c>
      <c r="BA160" s="15" t="str">
        <f>VLOOKUP(AZ160,'Axe 2 Règles de gestion'!$D$2:$F$146,3, FALSE)</f>
        <v>La date de fin réelle de la position doit être antérieure à la date limite de départ à la retraite.</v>
      </c>
      <c r="BB160" s="13" t="s">
        <v>142</v>
      </c>
      <c r="BC160" s="15" t="str">
        <f>VLOOKUP(BB160,'Axe 2 Règles de gestion'!$D$2:$F$146,3, FALSE)</f>
        <v>La date de fin ou la date de fin prévisionnelle doit être saisie.</v>
      </c>
      <c r="BD160" s="13" t="s">
        <v>152</v>
      </c>
      <c r="BE160" s="15" t="str">
        <f>VLOOKUP(BD160,'Axe 2 Règles de gestion'!$D$2:$F$146,3, FALSE)</f>
        <v>La saisie d'une occurrence de congés/absences est interdite (date de fin réelle)</v>
      </c>
      <c r="BF160" s="13" t="s">
        <v>154</v>
      </c>
      <c r="BG160" s="15" t="str">
        <f>VLOOKUP(BF160,'Axe 2 Règles de gestion'!$D$2:$F$146,3, FALSE)</f>
        <v>La saisie d'une occurrence de congés/absences est interdite (date de fin prévisionnelle)</v>
      </c>
      <c r="BH160" s="13"/>
      <c r="BI160" s="15"/>
      <c r="BJ160" s="13"/>
      <c r="BK160" s="15"/>
      <c r="BL160" s="13"/>
      <c r="BM160" s="15"/>
      <c r="BN160" s="13"/>
      <c r="BO160" s="15"/>
      <c r="BP160" s="13"/>
      <c r="BQ160" s="15"/>
      <c r="BR160" s="13"/>
      <c r="BS160" s="15"/>
      <c r="BT160" s="13"/>
      <c r="BU160" s="15"/>
      <c r="BV160" s="13"/>
      <c r="BW160" s="15"/>
    </row>
    <row r="161" spans="1:75" ht="130.5" x14ac:dyDescent="0.35">
      <c r="A161" s="13" t="s">
        <v>165</v>
      </c>
      <c r="B161" s="13" t="s">
        <v>109</v>
      </c>
      <c r="C161" s="14">
        <v>44715.450694444444</v>
      </c>
      <c r="D161" s="13" t="s">
        <v>78</v>
      </c>
      <c r="E161" s="15" t="s">
        <v>79</v>
      </c>
      <c r="F161" s="13" t="s">
        <v>80</v>
      </c>
      <c r="G161" s="15" t="s">
        <v>81</v>
      </c>
      <c r="H161" s="13" t="s">
        <v>339</v>
      </c>
      <c r="I161" s="15" t="s">
        <v>340</v>
      </c>
      <c r="J161" s="15" t="s">
        <v>341</v>
      </c>
      <c r="K161" s="15" t="s">
        <v>342</v>
      </c>
      <c r="L161" s="13" t="s">
        <v>347</v>
      </c>
      <c r="M161" s="15" t="s">
        <v>348</v>
      </c>
      <c r="N161" s="13" t="s">
        <v>101</v>
      </c>
      <c r="O161" s="15" t="s">
        <v>102</v>
      </c>
      <c r="P161" s="15" t="s">
        <v>103</v>
      </c>
      <c r="Q161" s="15" t="s">
        <v>177</v>
      </c>
      <c r="R161" s="13" t="s">
        <v>178</v>
      </c>
      <c r="S161" s="13" t="s">
        <v>179</v>
      </c>
      <c r="T161" s="13" t="s">
        <v>112</v>
      </c>
      <c r="U161" s="14">
        <v>40725</v>
      </c>
      <c r="V161" s="14">
        <v>44633</v>
      </c>
      <c r="W161" s="15" t="s">
        <v>266</v>
      </c>
      <c r="X161" s="13" t="s">
        <v>195</v>
      </c>
      <c r="Y161" s="15" t="str">
        <f>VLOOKUP(X161,'Axe 2 Règles de gestion'!$D$2:$F$146,3, FALSE)</f>
        <v>L'agent doit demander à reprendre ses fonctions 2 mois au moins avant l'expiration du congé en cours.</v>
      </c>
      <c r="Z161" s="13" t="s">
        <v>197</v>
      </c>
      <c r="AA161" s="15" t="str">
        <f>VLOOKUP(Z161,'Axe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61" s="13"/>
      <c r="AC161" s="15"/>
      <c r="AD161" s="13"/>
      <c r="AE161" s="15"/>
      <c r="AF161" s="13" t="s">
        <v>183</v>
      </c>
      <c r="AG161" s="15" t="str">
        <f>VLOOKUP(AF161,'Axe 2 Règles de gestion'!$D$2:$F$146,3, FALSE)</f>
        <v>La durée prévisionnelle maximale de chaque période est de un an.</v>
      </c>
      <c r="AH161" s="13" t="s">
        <v>184</v>
      </c>
      <c r="AI161" s="15" t="str">
        <f>VLOOKUP(AH161,'Axe 2 Règles de gestion'!$D$2:$F$146,3, FALSE)</f>
        <v>La durée réelle maximale de chaque période est de un an.</v>
      </c>
      <c r="AJ161" s="13" t="s">
        <v>185</v>
      </c>
      <c r="AK161" s="15" t="str">
        <f>VLOOKUP(AJ161,'Axe 2 Règles de gestion'!$D$2:$F$146,3, FALSE)</f>
        <v>L'agent ne peut pas bénéficier de plus de 3 ans cumulés de congé sans traitement quels que soient les motifs de congés sans traitement : pour raisons personnelles ou familiales.</v>
      </c>
      <c r="AL161" s="13"/>
      <c r="AM161" s="15"/>
      <c r="AN161" s="13"/>
      <c r="AO161" s="15"/>
      <c r="AP161" s="13" t="s">
        <v>134</v>
      </c>
      <c r="AQ161" s="15" t="str">
        <f>VLOOKUP(AP161,'Axe 2 Règles de gestion'!$D$2:$F$146,3, FALSE)</f>
        <v>La date de début de position doit être antérieure ou égale à la date de fin prévisionnelle de position.</v>
      </c>
      <c r="AR161" s="13" t="s">
        <v>136</v>
      </c>
      <c r="AS161" s="15" t="str">
        <f>VLOOKUP(AR161,'Axe 2 Règles de gestion'!$D$2:$F$146,3, FALSE)</f>
        <v>La date de début de position doit être antérieure ou égale à la date de fin réelle de position.</v>
      </c>
      <c r="AT161" s="13" t="s">
        <v>138</v>
      </c>
      <c r="AU161" s="15" t="str">
        <f>VLOOKUP(AT161,'Axe 2 Règles de gestion'!$D$2:$F$146,3, FALSE)</f>
        <v>La date de fin prévisionnelle de la position doit être antérieure à la date limite de départ à la retraite.</v>
      </c>
      <c r="AV161" s="13" t="s">
        <v>140</v>
      </c>
      <c r="AW161" s="15" t="str">
        <f>VLOOKUP(AV161,'Axe 2 Règles de gestion'!$D$2:$F$146,3, FALSE)</f>
        <v>La date de fin réelle de la position doit être antérieure à la date limite de départ à la retraite.</v>
      </c>
      <c r="AX161" s="13" t="s">
        <v>142</v>
      </c>
      <c r="AY161" s="15" t="str">
        <f>VLOOKUP(AX161,'Axe 2 Règles de gestion'!$D$2:$F$146,3, FALSE)</f>
        <v>La date de fin ou la date de fin prévisionnelle doit être saisie.</v>
      </c>
      <c r="AZ161" s="13" t="s">
        <v>152</v>
      </c>
      <c r="BA161" s="15" t="str">
        <f>VLOOKUP(AZ161,'Axe 2 Règles de gestion'!$D$2:$F$146,3, FALSE)</f>
        <v>La saisie d'une occurrence de congés/absences est interdite (date de fin réelle)</v>
      </c>
      <c r="BB161" s="13" t="s">
        <v>154</v>
      </c>
      <c r="BC161" s="15" t="str">
        <f>VLOOKUP(BB161,'Axe 2 Règles de gestion'!$D$2:$F$146,3, FALSE)</f>
        <v>La saisie d'une occurrence de congés/absences est interdite (date de fin prévisionnelle)</v>
      </c>
      <c r="BD161" s="13"/>
      <c r="BE161" s="15"/>
      <c r="BF161" s="13"/>
      <c r="BG161" s="15"/>
      <c r="BH161" s="13"/>
      <c r="BI161" s="15"/>
      <c r="BJ161" s="13"/>
      <c r="BK161" s="15"/>
      <c r="BL161" s="13"/>
      <c r="BM161" s="15"/>
      <c r="BN161" s="13"/>
      <c r="BO161" s="15"/>
      <c r="BP161" s="13"/>
      <c r="BQ161" s="15"/>
      <c r="BR161" s="13"/>
      <c r="BS161" s="15"/>
      <c r="BT161" s="13"/>
      <c r="BU161" s="15"/>
      <c r="BV161" s="13"/>
      <c r="BW161" s="15"/>
    </row>
    <row r="162" spans="1:75" ht="145" x14ac:dyDescent="0.35">
      <c r="A162" s="13" t="s">
        <v>165</v>
      </c>
      <c r="B162" s="13" t="s">
        <v>77</v>
      </c>
      <c r="C162" s="14">
        <v>44715.451388888891</v>
      </c>
      <c r="D162" s="13" t="s">
        <v>78</v>
      </c>
      <c r="E162" s="15" t="s">
        <v>79</v>
      </c>
      <c r="F162" s="13" t="s">
        <v>80</v>
      </c>
      <c r="G162" s="15" t="s">
        <v>81</v>
      </c>
      <c r="H162" s="13" t="s">
        <v>339</v>
      </c>
      <c r="I162" s="15" t="s">
        <v>340</v>
      </c>
      <c r="J162" s="15" t="s">
        <v>341</v>
      </c>
      <c r="K162" s="15" t="s">
        <v>342</v>
      </c>
      <c r="L162" s="13" t="s">
        <v>347</v>
      </c>
      <c r="M162" s="15" t="s">
        <v>348</v>
      </c>
      <c r="N162" s="13" t="s">
        <v>101</v>
      </c>
      <c r="O162" s="15" t="s">
        <v>102</v>
      </c>
      <c r="P162" s="15" t="s">
        <v>103</v>
      </c>
      <c r="Q162" s="15" t="s">
        <v>177</v>
      </c>
      <c r="R162" s="13" t="s">
        <v>178</v>
      </c>
      <c r="S162" s="13" t="s">
        <v>179</v>
      </c>
      <c r="T162" s="13" t="s">
        <v>112</v>
      </c>
      <c r="U162" s="14">
        <v>44634</v>
      </c>
      <c r="V162" s="14"/>
      <c r="W162" s="15" t="s">
        <v>267</v>
      </c>
      <c r="X162" s="13" t="s">
        <v>195</v>
      </c>
      <c r="Y162" s="15" t="str">
        <f>VLOOKUP(X162,'Axe 2 Règles de gestion'!$D$2:$F$146,3, FALSE)</f>
        <v>L'agent doit demander à reprendre ses fonctions 2 mois au moins avant l'expiration du congé en cours.</v>
      </c>
      <c r="Z162" s="13" t="s">
        <v>199</v>
      </c>
      <c r="AA162" s="15" t="str">
        <f>VLOOKUP(Z162,'Axe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62" s="13"/>
      <c r="AC162" s="15"/>
      <c r="AD162" s="13"/>
      <c r="AE162" s="15"/>
      <c r="AF162" s="13" t="s">
        <v>183</v>
      </c>
      <c r="AG162" s="15" t="str">
        <f>VLOOKUP(AF162,'Axe 2 Règles de gestion'!$D$2:$F$146,3, FALSE)</f>
        <v>La durée prévisionnelle maximale de chaque période est de un an.</v>
      </c>
      <c r="AH162" s="13" t="s">
        <v>184</v>
      </c>
      <c r="AI162" s="15" t="str">
        <f>VLOOKUP(AH162,'Axe 2 Règles de gestion'!$D$2:$F$146,3, FALSE)</f>
        <v>La durée réelle maximale de chaque période est de un an.</v>
      </c>
      <c r="AJ162" s="13" t="s">
        <v>185</v>
      </c>
      <c r="AK162" s="15" t="str">
        <f>VLOOKUP(AJ162,'Axe 2 Règles de gestion'!$D$2:$F$146,3, FALSE)</f>
        <v>L'agent ne peut pas bénéficier de plus de 3 ans cumulés de congé sans traitement quels que soient les motifs de congés sans traitement : pour raisons personnelles ou familiales.</v>
      </c>
      <c r="AL162" s="13"/>
      <c r="AM162" s="15"/>
      <c r="AN162" s="13"/>
      <c r="AO162" s="15"/>
      <c r="AP162" s="13" t="s">
        <v>134</v>
      </c>
      <c r="AQ162" s="15" t="str">
        <f>VLOOKUP(AP162,'Axe 2 Règles de gestion'!$D$2:$F$146,3, FALSE)</f>
        <v>La date de début de position doit être antérieure ou égale à la date de fin prévisionnelle de position.</v>
      </c>
      <c r="AR162" s="13" t="s">
        <v>136</v>
      </c>
      <c r="AS162" s="15" t="str">
        <f>VLOOKUP(AR162,'Axe 2 Règles de gestion'!$D$2:$F$146,3, FALSE)</f>
        <v>La date de début de position doit être antérieure ou égale à la date de fin réelle de position.</v>
      </c>
      <c r="AT162" s="13" t="s">
        <v>138</v>
      </c>
      <c r="AU162" s="15" t="str">
        <f>VLOOKUP(AT162,'Axe 2 Règles de gestion'!$D$2:$F$146,3, FALSE)</f>
        <v>La date de fin prévisionnelle de la position doit être antérieure à la date limite de départ à la retraite.</v>
      </c>
      <c r="AV162" s="13" t="s">
        <v>140</v>
      </c>
      <c r="AW162" s="15" t="str">
        <f>VLOOKUP(AV162,'Axe 2 Règles de gestion'!$D$2:$F$146,3, FALSE)</f>
        <v>La date de fin réelle de la position doit être antérieure à la date limite de départ à la retraite.</v>
      </c>
      <c r="AX162" s="13" t="s">
        <v>142</v>
      </c>
      <c r="AY162" s="15" t="str">
        <f>VLOOKUP(AX162,'Axe 2 Règles de gestion'!$D$2:$F$146,3, FALSE)</f>
        <v>La date de fin ou la date de fin prévisionnelle doit être saisie.</v>
      </c>
      <c r="AZ162" s="13" t="s">
        <v>152</v>
      </c>
      <c r="BA162" s="15" t="str">
        <f>VLOOKUP(AZ162,'Axe 2 Règles de gestion'!$D$2:$F$146,3, FALSE)</f>
        <v>La saisie d'une occurrence de congés/absences est interdite (date de fin réelle)</v>
      </c>
      <c r="BB162" s="13" t="s">
        <v>154</v>
      </c>
      <c r="BC162" s="15" t="str">
        <f>VLOOKUP(BB162,'Axe 2 Règles de gestion'!$D$2:$F$146,3, FALSE)</f>
        <v>La saisie d'une occurrence de congés/absences est interdite (date de fin prévisionnelle)</v>
      </c>
      <c r="BD162" s="13"/>
      <c r="BE162" s="15"/>
      <c r="BF162" s="13"/>
      <c r="BG162" s="15"/>
      <c r="BH162" s="13"/>
      <c r="BI162" s="15"/>
      <c r="BJ162" s="13"/>
      <c r="BK162" s="15"/>
      <c r="BL162" s="13"/>
      <c r="BM162" s="15"/>
      <c r="BN162" s="13"/>
      <c r="BO162" s="15"/>
      <c r="BP162" s="13"/>
      <c r="BQ162" s="15"/>
      <c r="BR162" s="13"/>
      <c r="BS162" s="15"/>
      <c r="BT162" s="13"/>
      <c r="BU162" s="15"/>
      <c r="BV162" s="13"/>
      <c r="BW162" s="15"/>
    </row>
    <row r="163" spans="1:75" ht="101.5" x14ac:dyDescent="0.35">
      <c r="A163" s="13" t="s">
        <v>238</v>
      </c>
      <c r="B163" s="13" t="s">
        <v>109</v>
      </c>
      <c r="C163" s="14">
        <v>44368.708333333336</v>
      </c>
      <c r="D163" s="13" t="s">
        <v>78</v>
      </c>
      <c r="E163" s="15" t="s">
        <v>79</v>
      </c>
      <c r="F163" s="13" t="s">
        <v>80</v>
      </c>
      <c r="G163" s="15" t="s">
        <v>81</v>
      </c>
      <c r="H163" s="13" t="s">
        <v>339</v>
      </c>
      <c r="I163" s="15" t="s">
        <v>340</v>
      </c>
      <c r="J163" s="15" t="s">
        <v>341</v>
      </c>
      <c r="K163" s="15" t="s">
        <v>342</v>
      </c>
      <c r="L163" s="13" t="s">
        <v>343</v>
      </c>
      <c r="M163" s="15" t="s">
        <v>344</v>
      </c>
      <c r="N163" s="13" t="s">
        <v>88</v>
      </c>
      <c r="O163" s="15" t="s">
        <v>89</v>
      </c>
      <c r="P163" s="15" t="s">
        <v>90</v>
      </c>
      <c r="Q163" s="15" t="s">
        <v>201</v>
      </c>
      <c r="R163" s="13" t="s">
        <v>202</v>
      </c>
      <c r="S163" s="13" t="s">
        <v>179</v>
      </c>
      <c r="T163" s="13" t="s">
        <v>112</v>
      </c>
      <c r="U163" s="14">
        <v>40725</v>
      </c>
      <c r="V163" s="14"/>
      <c r="W163" s="15" t="s">
        <v>349</v>
      </c>
      <c r="X163" s="13" t="s">
        <v>204</v>
      </c>
      <c r="Y163" s="15" t="str">
        <f>VLOOKUP(X163,'Axe 2 Règles de gestion'!$D$2:$F$146,3, FALSE)</f>
        <v>L'agent doit présenter une demande de congé sans traitement.</v>
      </c>
      <c r="Z163" s="13" t="s">
        <v>205</v>
      </c>
      <c r="AA163" s="15" t="str">
        <f>VLOOKUP(Z163,'Axe 2 Règles de gestion'!$D$2:$F$146,3, FALSE)</f>
        <v>La demande est accordée de droit par le supérieur hiérarchique.</v>
      </c>
      <c r="AB163" s="13"/>
      <c r="AC163" s="15"/>
      <c r="AD163" s="13"/>
      <c r="AE163" s="15"/>
      <c r="AF163" s="13" t="s">
        <v>206</v>
      </c>
      <c r="AG163" s="15" t="str">
        <f>VLOOKUP(AF163,'Axe 2 Règles de gestion'!$D$2:$F$146,3, FALSE)</f>
        <v>La durée prévisionnelle maximale de chaque période est de un an.</v>
      </c>
      <c r="AH163" s="13" t="s">
        <v>207</v>
      </c>
      <c r="AI163" s="15" t="str">
        <f>VLOOKUP(AH163,'Axe 2 Règles de gestion'!$D$2:$F$146,3, FALSE)</f>
        <v>La durée réelle maximale de chaque période est de un an.</v>
      </c>
      <c r="AJ163" s="13" t="s">
        <v>208</v>
      </c>
      <c r="AK163" s="15" t="str">
        <f>VLOOKUP(AJ163,'Axe 2 Règles de gestion'!$D$2:$F$146,3, FALSE)</f>
        <v>L'agent ne peut pas bénéficier de plus de 3 ans cumulés de congé sans traitement quels que soient les motifs de congés sans traitement : pour raisons personnelles ou familiales.</v>
      </c>
      <c r="AL163" s="13"/>
      <c r="AM163" s="15"/>
      <c r="AN163" s="13"/>
      <c r="AO163" s="15"/>
      <c r="AP163" s="13" t="s">
        <v>128</v>
      </c>
      <c r="AQ163" s="15" t="str">
        <f>VLOOKUP(AP163,'Axe 2 Règles de gestion'!$D$2:$F$146,3, FALSE)</f>
        <v>Lors de la demande initiale, l'agent doit être en activité.</v>
      </c>
      <c r="AR163" s="13" t="s">
        <v>132</v>
      </c>
      <c r="AS163" s="15" t="str">
        <f>VLOOKUP(AR163,'Axe 2 Règles de gestion'!$D$2:$F$146,3, FALSE)</f>
        <v>La date de début de position est à J+1 de la date de fin de position de l'occurrence précédente.</v>
      </c>
      <c r="AT163" s="13" t="s">
        <v>134</v>
      </c>
      <c r="AU163" s="15" t="str">
        <f>VLOOKUP(AT163,'Axe 2 Règles de gestion'!$D$2:$F$146,3, FALSE)</f>
        <v>La date de début de position doit être antérieure ou égale à la date de fin prévisionnelle de position.</v>
      </c>
      <c r="AV163" s="13" t="s">
        <v>136</v>
      </c>
      <c r="AW163" s="15" t="str">
        <f>VLOOKUP(AV163,'Axe 2 Règles de gestion'!$D$2:$F$146,3, FALSE)</f>
        <v>La date de début de position doit être antérieure ou égale à la date de fin réelle de position.</v>
      </c>
      <c r="AX163" s="13" t="s">
        <v>138</v>
      </c>
      <c r="AY163" s="15" t="str">
        <f>VLOOKUP(AX163,'Axe 2 Règles de gestion'!$D$2:$F$146,3, FALSE)</f>
        <v>La date de fin prévisionnelle de la position doit être antérieure à la date limite de départ à la retraite.</v>
      </c>
      <c r="AZ163" s="13" t="s">
        <v>140</v>
      </c>
      <c r="BA163" s="15" t="str">
        <f>VLOOKUP(AZ163,'Axe 2 Règles de gestion'!$D$2:$F$146,3, FALSE)</f>
        <v>La date de fin réelle de la position doit être antérieure à la date limite de départ à la retraite.</v>
      </c>
      <c r="BB163" s="13" t="s">
        <v>142</v>
      </c>
      <c r="BC163" s="15" t="str">
        <f>VLOOKUP(BB163,'Axe 2 Règles de gestion'!$D$2:$F$146,3, FALSE)</f>
        <v>La date de fin ou la date de fin prévisionnelle doit être saisie.</v>
      </c>
      <c r="BD163" s="13" t="s">
        <v>211</v>
      </c>
      <c r="BE163" s="15" t="str">
        <f>VLOOKUP(BD163,'Axe 2 Règles de gestion'!$D$2:$F$146,3, FALSE)</f>
        <v>La date de début de la position doit être postérieure ou égale à la date de début du lien juridique.</v>
      </c>
      <c r="BF163" s="13" t="s">
        <v>213</v>
      </c>
      <c r="BG163" s="15" t="str">
        <f>VLOOKUP(BF163,'Axe 2 Règles de gestion'!$D$2:$F$146,3, FALSE)</f>
        <v>La date de fin réelle de la position doit être antérieure ou égale à la date de fin réelle ou prévisionnelle du lien juridique.</v>
      </c>
      <c r="BH163" s="13" t="s">
        <v>215</v>
      </c>
      <c r="BI163" s="15" t="str">
        <f>VLOOKUP(BH163,'Axe 2 Règles de gestion'!$D$2:$F$146,3, FALSE)</f>
        <v>La date de fin prévisionnelle de la position doit être antérieure ou égale à la date de fin réelle ou prévisionnelle du lien juridique.</v>
      </c>
      <c r="BJ163" s="13" t="s">
        <v>152</v>
      </c>
      <c r="BK163" s="15" t="str">
        <f>VLOOKUP(BJ163,'Axe 2 Règles de gestion'!$D$2:$F$146,3, FALSE)</f>
        <v>La saisie d'une occurrence de congés/absences est interdite (date de fin réelle)</v>
      </c>
      <c r="BL163" s="13" t="s">
        <v>154</v>
      </c>
      <c r="BM163" s="15" t="str">
        <f>VLOOKUP(BL163,'Axe 2 Règles de gestion'!$D$2:$F$146,3, FALSE)</f>
        <v>La saisie d'une occurrence de congés/absences est interdite (date de fin prévisionnelle)</v>
      </c>
      <c r="BN163" s="13"/>
      <c r="BO163" s="15"/>
      <c r="BP163" s="13"/>
      <c r="BQ163" s="15"/>
      <c r="BR163" s="13"/>
      <c r="BS163" s="15"/>
      <c r="BT163" s="13"/>
      <c r="BU163" s="15"/>
      <c r="BV163" s="13"/>
      <c r="BW163" s="15"/>
    </row>
    <row r="164" spans="1:75" ht="101.5" x14ac:dyDescent="0.35">
      <c r="A164" s="13" t="s">
        <v>238</v>
      </c>
      <c r="B164" s="13" t="s">
        <v>109</v>
      </c>
      <c r="C164" s="14">
        <v>44368.708333333336</v>
      </c>
      <c r="D164" s="13" t="s">
        <v>78</v>
      </c>
      <c r="E164" s="15" t="s">
        <v>79</v>
      </c>
      <c r="F164" s="13" t="s">
        <v>80</v>
      </c>
      <c r="G164" s="15" t="s">
        <v>81</v>
      </c>
      <c r="H164" s="13" t="s">
        <v>339</v>
      </c>
      <c r="I164" s="15" t="s">
        <v>340</v>
      </c>
      <c r="J164" s="15" t="s">
        <v>341</v>
      </c>
      <c r="K164" s="15" t="s">
        <v>342</v>
      </c>
      <c r="L164" s="13" t="s">
        <v>345</v>
      </c>
      <c r="M164" s="15" t="s">
        <v>346</v>
      </c>
      <c r="N164" s="13" t="s">
        <v>88</v>
      </c>
      <c r="O164" s="15" t="s">
        <v>97</v>
      </c>
      <c r="P164" s="15" t="s">
        <v>98</v>
      </c>
      <c r="Q164" s="15" t="s">
        <v>201</v>
      </c>
      <c r="R164" s="13" t="s">
        <v>202</v>
      </c>
      <c r="S164" s="13" t="s">
        <v>179</v>
      </c>
      <c r="T164" s="13" t="s">
        <v>112</v>
      </c>
      <c r="U164" s="14">
        <v>40725</v>
      </c>
      <c r="V164" s="14"/>
      <c r="W164" s="15" t="s">
        <v>350</v>
      </c>
      <c r="X164" s="13" t="s">
        <v>220</v>
      </c>
      <c r="Y164" s="15" t="str">
        <f>VLOOKUP(X164,'Axe 2 Règles de gestion'!$D$2:$F$146,3, FALSE)</f>
        <v>L'agent peut renouveler le congé sans traitement 2 fois.</v>
      </c>
      <c r="Z164" s="13"/>
      <c r="AA164" s="15"/>
      <c r="AB164" s="13"/>
      <c r="AC164" s="15"/>
      <c r="AD164" s="13"/>
      <c r="AE164" s="15"/>
      <c r="AF164" s="13" t="s">
        <v>206</v>
      </c>
      <c r="AG164" s="15" t="str">
        <f>VLOOKUP(AF164,'Axe 2 Règles de gestion'!$D$2:$F$146,3, FALSE)</f>
        <v>La durée prévisionnelle maximale de chaque période est de un an.</v>
      </c>
      <c r="AH164" s="13" t="s">
        <v>207</v>
      </c>
      <c r="AI164" s="15" t="str">
        <f>VLOOKUP(AH164,'Axe 2 Règles de gestion'!$D$2:$F$146,3, FALSE)</f>
        <v>La durée réelle maximale de chaque période est de un an.</v>
      </c>
      <c r="AJ164" s="13" t="s">
        <v>208</v>
      </c>
      <c r="AK164" s="15" t="str">
        <f>VLOOKUP(AJ164,'Axe 2 Règles de gestion'!$D$2:$F$146,3, FALSE)</f>
        <v>L'agent ne peut pas bénéficier de plus de 3 ans cumulés de congé sans traitement quels que soient les motifs de congés sans traitement : pour raisons personnelles ou familiales.</v>
      </c>
      <c r="AL164" s="13"/>
      <c r="AM164" s="15"/>
      <c r="AN164" s="13"/>
      <c r="AO164" s="15"/>
      <c r="AP164" s="13" t="s">
        <v>132</v>
      </c>
      <c r="AQ164" s="15" t="str">
        <f>VLOOKUP(AP164,'Axe 2 Règles de gestion'!$D$2:$F$146,3, FALSE)</f>
        <v>La date de début de position est à J+1 de la date de fin de position de l'occurrence précédente.</v>
      </c>
      <c r="AR164" s="13" t="s">
        <v>134</v>
      </c>
      <c r="AS164" s="15" t="str">
        <f>VLOOKUP(AR164,'Axe 2 Règles de gestion'!$D$2:$F$146,3, FALSE)</f>
        <v>La date de début de position doit être antérieure ou égale à la date de fin prévisionnelle de position.</v>
      </c>
      <c r="AT164" s="13" t="s">
        <v>136</v>
      </c>
      <c r="AU164" s="15" t="str">
        <f>VLOOKUP(AT164,'Axe 2 Règles de gestion'!$D$2:$F$146,3, FALSE)</f>
        <v>La date de début de position doit être antérieure ou égale à la date de fin réelle de position.</v>
      </c>
      <c r="AV164" s="13" t="s">
        <v>138</v>
      </c>
      <c r="AW164" s="15" t="str">
        <f>VLOOKUP(AV164,'Axe 2 Règles de gestion'!$D$2:$F$146,3, FALSE)</f>
        <v>La date de fin prévisionnelle de la position doit être antérieure à la date limite de départ à la retraite.</v>
      </c>
      <c r="AX164" s="13" t="s">
        <v>140</v>
      </c>
      <c r="AY164" s="15" t="str">
        <f>VLOOKUP(AX164,'Axe 2 Règles de gestion'!$D$2:$F$146,3, FALSE)</f>
        <v>La date de fin réelle de la position doit être antérieure à la date limite de départ à la retraite.</v>
      </c>
      <c r="AZ164" s="13" t="s">
        <v>142</v>
      </c>
      <c r="BA164" s="15" t="str">
        <f>VLOOKUP(AZ164,'Axe 2 Règles de gestion'!$D$2:$F$146,3, FALSE)</f>
        <v>La date de fin ou la date de fin prévisionnelle doit être saisie.</v>
      </c>
      <c r="BB164" s="13" t="s">
        <v>211</v>
      </c>
      <c r="BC164" s="15" t="str">
        <f>VLOOKUP(BB164,'Axe 2 Règles de gestion'!$D$2:$F$146,3, FALSE)</f>
        <v>La date de début de la position doit être postérieure ou égale à la date de début du lien juridique.</v>
      </c>
      <c r="BD164" s="13" t="s">
        <v>213</v>
      </c>
      <c r="BE164" s="15" t="str">
        <f>VLOOKUP(BD164,'Axe 2 Règles de gestion'!$D$2:$F$146,3, FALSE)</f>
        <v>La date de fin réelle de la position doit être antérieure ou égale à la date de fin réelle ou prévisionnelle du lien juridique.</v>
      </c>
      <c r="BF164" s="13" t="s">
        <v>215</v>
      </c>
      <c r="BG164" s="15" t="str">
        <f>VLOOKUP(BF164,'Axe 2 Règles de gestion'!$D$2:$F$146,3, FALSE)</f>
        <v>La date de fin prévisionnelle de la position doit être antérieure ou égale à la date de fin réelle ou prévisionnelle du lien juridique.</v>
      </c>
      <c r="BH164" s="13" t="s">
        <v>152</v>
      </c>
      <c r="BI164" s="15" t="str">
        <f>VLOOKUP(BH164,'Axe 2 Règles de gestion'!$D$2:$F$146,3, FALSE)</f>
        <v>La saisie d'une occurrence de congés/absences est interdite (date de fin réelle)</v>
      </c>
      <c r="BJ164" s="13" t="s">
        <v>154</v>
      </c>
      <c r="BK164" s="15" t="str">
        <f>VLOOKUP(BJ164,'Axe 2 Règles de gestion'!$D$2:$F$146,3, FALSE)</f>
        <v>La saisie d'une occurrence de congés/absences est interdite (date de fin prévisionnelle)</v>
      </c>
      <c r="BL164" s="13"/>
      <c r="BM164" s="15"/>
      <c r="BN164" s="13"/>
      <c r="BO164" s="15"/>
      <c r="BP164" s="13"/>
      <c r="BQ164" s="15"/>
      <c r="BR164" s="13"/>
      <c r="BS164" s="15"/>
      <c r="BT164" s="13"/>
      <c r="BU164" s="15"/>
      <c r="BV164" s="13"/>
      <c r="BW164" s="15"/>
    </row>
    <row r="165" spans="1:75" ht="130.5" x14ac:dyDescent="0.35">
      <c r="A165" s="13" t="s">
        <v>165</v>
      </c>
      <c r="B165" s="13" t="s">
        <v>109</v>
      </c>
      <c r="C165" s="14">
        <v>44715.45</v>
      </c>
      <c r="D165" s="13" t="s">
        <v>78</v>
      </c>
      <c r="E165" s="15" t="s">
        <v>79</v>
      </c>
      <c r="F165" s="13" t="s">
        <v>80</v>
      </c>
      <c r="G165" s="15" t="s">
        <v>81</v>
      </c>
      <c r="H165" s="13" t="s">
        <v>339</v>
      </c>
      <c r="I165" s="15" t="s">
        <v>340</v>
      </c>
      <c r="J165" s="15" t="s">
        <v>341</v>
      </c>
      <c r="K165" s="15" t="s">
        <v>342</v>
      </c>
      <c r="L165" s="13" t="s">
        <v>347</v>
      </c>
      <c r="M165" s="15" t="s">
        <v>348</v>
      </c>
      <c r="N165" s="13" t="s">
        <v>101</v>
      </c>
      <c r="O165" s="15" t="s">
        <v>102</v>
      </c>
      <c r="P165" s="15" t="s">
        <v>103</v>
      </c>
      <c r="Q165" s="15" t="s">
        <v>201</v>
      </c>
      <c r="R165" s="13" t="s">
        <v>202</v>
      </c>
      <c r="S165" s="13" t="s">
        <v>179</v>
      </c>
      <c r="T165" s="13" t="s">
        <v>112</v>
      </c>
      <c r="U165" s="14">
        <v>40725</v>
      </c>
      <c r="V165" s="14">
        <v>44633</v>
      </c>
      <c r="W165" s="15" t="s">
        <v>351</v>
      </c>
      <c r="X165" s="13" t="s">
        <v>223</v>
      </c>
      <c r="Y165" s="15" t="str">
        <f>VLOOKUP(X165,'Axe 2 Règles de gestion'!$D$2:$F$146,3, FALSE)</f>
        <v>L'agent doit demander à reprendre ses fonctions 2 mois au moins avant l'expiration du congé en cours.</v>
      </c>
      <c r="Z165" s="13" t="s">
        <v>224</v>
      </c>
      <c r="AA165" s="15" t="str">
        <f>VLOOKUP(Z165,'Axe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65" s="13"/>
      <c r="AC165" s="15"/>
      <c r="AD165" s="13"/>
      <c r="AE165" s="15"/>
      <c r="AF165" s="13" t="s">
        <v>206</v>
      </c>
      <c r="AG165" s="15" t="str">
        <f>VLOOKUP(AF165,'Axe 2 Règles de gestion'!$D$2:$F$146,3, FALSE)</f>
        <v>La durée prévisionnelle maximale de chaque période est de un an.</v>
      </c>
      <c r="AH165" s="13" t="s">
        <v>207</v>
      </c>
      <c r="AI165" s="15" t="str">
        <f>VLOOKUP(AH165,'Axe 2 Règles de gestion'!$D$2:$F$146,3, FALSE)</f>
        <v>La durée réelle maximale de chaque période est de un an.</v>
      </c>
      <c r="AJ165" s="13" t="s">
        <v>208</v>
      </c>
      <c r="AK165" s="15" t="str">
        <f>VLOOKUP(AJ165,'Axe 2 Règles de gestion'!$D$2:$F$146,3, FALSE)</f>
        <v>L'agent ne peut pas bénéficier de plus de 3 ans cumulés de congé sans traitement quels que soient les motifs de congés sans traitement : pour raisons personnelles ou familiales.</v>
      </c>
      <c r="AL165" s="13"/>
      <c r="AM165" s="15"/>
      <c r="AN165" s="13"/>
      <c r="AO165" s="15"/>
      <c r="AP165" s="13" t="s">
        <v>134</v>
      </c>
      <c r="AQ165" s="15" t="str">
        <f>VLOOKUP(AP165,'Axe 2 Règles de gestion'!$D$2:$F$146,3, FALSE)</f>
        <v>La date de début de position doit être antérieure ou égale à la date de fin prévisionnelle de position.</v>
      </c>
      <c r="AR165" s="13" t="s">
        <v>136</v>
      </c>
      <c r="AS165" s="15" t="str">
        <f>VLOOKUP(AR165,'Axe 2 Règles de gestion'!$D$2:$F$146,3, FALSE)</f>
        <v>La date de début de position doit être antérieure ou égale à la date de fin réelle de position.</v>
      </c>
      <c r="AT165" s="13" t="s">
        <v>138</v>
      </c>
      <c r="AU165" s="15" t="str">
        <f>VLOOKUP(AT165,'Axe 2 Règles de gestion'!$D$2:$F$146,3, FALSE)</f>
        <v>La date de fin prévisionnelle de la position doit être antérieure à la date limite de départ à la retraite.</v>
      </c>
      <c r="AV165" s="13" t="s">
        <v>140</v>
      </c>
      <c r="AW165" s="15" t="str">
        <f>VLOOKUP(AV165,'Axe 2 Règles de gestion'!$D$2:$F$146,3, FALSE)</f>
        <v>La date de fin réelle de la position doit être antérieure à la date limite de départ à la retraite.</v>
      </c>
      <c r="AX165" s="13" t="s">
        <v>142</v>
      </c>
      <c r="AY165" s="15" t="str">
        <f>VLOOKUP(AX165,'Axe 2 Règles de gestion'!$D$2:$F$146,3, FALSE)</f>
        <v>La date de fin ou la date de fin prévisionnelle doit être saisie.</v>
      </c>
      <c r="AZ165" s="13" t="s">
        <v>213</v>
      </c>
      <c r="BA165" s="15" t="str">
        <f>VLOOKUP(AZ165,'Axe 2 Règles de gestion'!$D$2:$F$146,3, FALSE)</f>
        <v>La date de fin réelle de la position doit être antérieure ou égale à la date de fin réelle ou prévisionnelle du lien juridique.</v>
      </c>
      <c r="BB165" s="13" t="s">
        <v>215</v>
      </c>
      <c r="BC165" s="15" t="str">
        <f>VLOOKUP(BB165,'Axe 2 Règles de gestion'!$D$2:$F$146,3, FALSE)</f>
        <v>La date de fin prévisionnelle de la position doit être antérieure ou égale à la date de fin réelle ou prévisionnelle du lien juridique.</v>
      </c>
      <c r="BD165" s="13" t="s">
        <v>152</v>
      </c>
      <c r="BE165" s="15" t="str">
        <f>VLOOKUP(BD165,'Axe 2 Règles de gestion'!$D$2:$F$146,3, FALSE)</f>
        <v>La saisie d'une occurrence de congés/absences est interdite (date de fin réelle)</v>
      </c>
      <c r="BF165" s="13" t="s">
        <v>154</v>
      </c>
      <c r="BG165" s="15" t="str">
        <f>VLOOKUP(BF165,'Axe 2 Règles de gestion'!$D$2:$F$146,3, FALSE)</f>
        <v>La saisie d'une occurrence de congés/absences est interdite (date de fin prévisionnelle)</v>
      </c>
      <c r="BH165" s="13"/>
      <c r="BI165" s="15"/>
      <c r="BJ165" s="13"/>
      <c r="BK165" s="15"/>
      <c r="BL165" s="13"/>
      <c r="BM165" s="15"/>
      <c r="BN165" s="13"/>
      <c r="BO165" s="15"/>
      <c r="BP165" s="13"/>
      <c r="BQ165" s="15"/>
      <c r="BR165" s="13"/>
      <c r="BS165" s="15"/>
      <c r="BT165" s="13"/>
      <c r="BU165" s="15"/>
      <c r="BV165" s="13"/>
      <c r="BW165" s="15"/>
    </row>
    <row r="166" spans="1:75" ht="145" x14ac:dyDescent="0.35">
      <c r="A166" s="13" t="s">
        <v>165</v>
      </c>
      <c r="B166" s="13" t="s">
        <v>77</v>
      </c>
      <c r="C166" s="14">
        <v>44715.450694444444</v>
      </c>
      <c r="D166" s="13" t="s">
        <v>78</v>
      </c>
      <c r="E166" s="15" t="s">
        <v>79</v>
      </c>
      <c r="F166" s="13" t="s">
        <v>80</v>
      </c>
      <c r="G166" s="15" t="s">
        <v>81</v>
      </c>
      <c r="H166" s="13" t="s">
        <v>339</v>
      </c>
      <c r="I166" s="15" t="s">
        <v>340</v>
      </c>
      <c r="J166" s="15" t="s">
        <v>341</v>
      </c>
      <c r="K166" s="15" t="s">
        <v>342</v>
      </c>
      <c r="L166" s="13" t="s">
        <v>347</v>
      </c>
      <c r="M166" s="15" t="s">
        <v>348</v>
      </c>
      <c r="N166" s="13" t="s">
        <v>101</v>
      </c>
      <c r="O166" s="15" t="s">
        <v>102</v>
      </c>
      <c r="P166" s="15" t="s">
        <v>103</v>
      </c>
      <c r="Q166" s="15" t="s">
        <v>201</v>
      </c>
      <c r="R166" s="13" t="s">
        <v>202</v>
      </c>
      <c r="S166" s="13" t="s">
        <v>179</v>
      </c>
      <c r="T166" s="13" t="s">
        <v>112</v>
      </c>
      <c r="U166" s="14">
        <v>44634</v>
      </c>
      <c r="V166" s="14"/>
      <c r="W166" s="15" t="s">
        <v>352</v>
      </c>
      <c r="X166" s="13" t="s">
        <v>223</v>
      </c>
      <c r="Y166" s="15" t="str">
        <f>VLOOKUP(X166,'Axe 2 Règles de gestion'!$D$2:$F$146,3, FALSE)</f>
        <v>L'agent doit demander à reprendre ses fonctions 2 mois au moins avant l'expiration du congé en cours.</v>
      </c>
      <c r="Z166" s="13" t="s">
        <v>226</v>
      </c>
      <c r="AA166" s="15" t="str">
        <f>VLOOKUP(Z166,'Axe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66" s="13"/>
      <c r="AC166" s="15"/>
      <c r="AD166" s="13"/>
      <c r="AE166" s="15"/>
      <c r="AF166" s="13" t="s">
        <v>206</v>
      </c>
      <c r="AG166" s="15" t="str">
        <f>VLOOKUP(AF166,'Axe 2 Règles de gestion'!$D$2:$F$146,3, FALSE)</f>
        <v>La durée prévisionnelle maximale de chaque période est de un an.</v>
      </c>
      <c r="AH166" s="13" t="s">
        <v>207</v>
      </c>
      <c r="AI166" s="15" t="str">
        <f>VLOOKUP(AH166,'Axe 2 Règles de gestion'!$D$2:$F$146,3, FALSE)</f>
        <v>La durée réelle maximale de chaque période est de un an.</v>
      </c>
      <c r="AJ166" s="13" t="s">
        <v>208</v>
      </c>
      <c r="AK166" s="15" t="str">
        <f>VLOOKUP(AJ166,'Axe 2 Règles de gestion'!$D$2:$F$146,3, FALSE)</f>
        <v>L'agent ne peut pas bénéficier de plus de 3 ans cumulés de congé sans traitement quels que soient les motifs de congés sans traitement : pour raisons personnelles ou familiales.</v>
      </c>
      <c r="AL166" s="13"/>
      <c r="AM166" s="15"/>
      <c r="AN166" s="13"/>
      <c r="AO166" s="15"/>
      <c r="AP166" s="13" t="s">
        <v>134</v>
      </c>
      <c r="AQ166" s="15" t="str">
        <f>VLOOKUP(AP166,'Axe 2 Règles de gestion'!$D$2:$F$146,3, FALSE)</f>
        <v>La date de début de position doit être antérieure ou égale à la date de fin prévisionnelle de position.</v>
      </c>
      <c r="AR166" s="13" t="s">
        <v>136</v>
      </c>
      <c r="AS166" s="15" t="str">
        <f>VLOOKUP(AR166,'Axe 2 Règles de gestion'!$D$2:$F$146,3, FALSE)</f>
        <v>La date de début de position doit être antérieure ou égale à la date de fin réelle de position.</v>
      </c>
      <c r="AT166" s="13" t="s">
        <v>138</v>
      </c>
      <c r="AU166" s="15" t="str">
        <f>VLOOKUP(AT166,'Axe 2 Règles de gestion'!$D$2:$F$146,3, FALSE)</f>
        <v>La date de fin prévisionnelle de la position doit être antérieure à la date limite de départ à la retraite.</v>
      </c>
      <c r="AV166" s="13" t="s">
        <v>140</v>
      </c>
      <c r="AW166" s="15" t="str">
        <f>VLOOKUP(AV166,'Axe 2 Règles de gestion'!$D$2:$F$146,3, FALSE)</f>
        <v>La date de fin réelle de la position doit être antérieure à la date limite de départ à la retraite.</v>
      </c>
      <c r="AX166" s="13" t="s">
        <v>142</v>
      </c>
      <c r="AY166" s="15" t="str">
        <f>VLOOKUP(AX166,'Axe 2 Règles de gestion'!$D$2:$F$146,3, FALSE)</f>
        <v>La date de fin ou la date de fin prévisionnelle doit être saisie.</v>
      </c>
      <c r="AZ166" s="13" t="s">
        <v>213</v>
      </c>
      <c r="BA166" s="15" t="str">
        <f>VLOOKUP(AZ166,'Axe 2 Règles de gestion'!$D$2:$F$146,3, FALSE)</f>
        <v>La date de fin réelle de la position doit être antérieure ou égale à la date de fin réelle ou prévisionnelle du lien juridique.</v>
      </c>
      <c r="BB166" s="13" t="s">
        <v>215</v>
      </c>
      <c r="BC166" s="15" t="str">
        <f>VLOOKUP(BB166,'Axe 2 Règles de gestion'!$D$2:$F$146,3, FALSE)</f>
        <v>La date de fin prévisionnelle de la position doit être antérieure ou égale à la date de fin réelle ou prévisionnelle du lien juridique.</v>
      </c>
      <c r="BD166" s="13" t="s">
        <v>152</v>
      </c>
      <c r="BE166" s="15" t="str">
        <f>VLOOKUP(BD166,'Axe 2 Règles de gestion'!$D$2:$F$146,3, FALSE)</f>
        <v>La saisie d'une occurrence de congés/absences est interdite (date de fin réelle)</v>
      </c>
      <c r="BF166" s="13" t="s">
        <v>154</v>
      </c>
      <c r="BG166" s="15" t="str">
        <f>VLOOKUP(BF166,'Axe 2 Règles de gestion'!$D$2:$F$146,3, FALSE)</f>
        <v>La saisie d'une occurrence de congés/absences est interdite (date de fin prévisionnelle)</v>
      </c>
      <c r="BH166" s="13"/>
      <c r="BI166" s="15"/>
      <c r="BJ166" s="13"/>
      <c r="BK166" s="15"/>
      <c r="BL166" s="13"/>
      <c r="BM166" s="15"/>
      <c r="BN166" s="13"/>
      <c r="BO166" s="15"/>
      <c r="BP166" s="13"/>
      <c r="BQ166" s="15"/>
      <c r="BR166" s="13"/>
      <c r="BS166" s="15"/>
      <c r="BT166" s="13"/>
      <c r="BU166" s="15"/>
      <c r="BV166" s="13"/>
      <c r="BW166" s="15"/>
    </row>
    <row r="167" spans="1:75" ht="72.5" x14ac:dyDescent="0.35">
      <c r="A167" s="13" t="s">
        <v>76</v>
      </c>
      <c r="B167" s="13" t="s">
        <v>77</v>
      </c>
      <c r="C167" s="14">
        <v>43152.5</v>
      </c>
      <c r="D167" s="13" t="s">
        <v>78</v>
      </c>
      <c r="E167" s="15" t="s">
        <v>79</v>
      </c>
      <c r="F167" s="13" t="s">
        <v>80</v>
      </c>
      <c r="G167" s="15" t="s">
        <v>81</v>
      </c>
      <c r="H167" s="13" t="s">
        <v>353</v>
      </c>
      <c r="I167" s="15" t="s">
        <v>354</v>
      </c>
      <c r="J167" s="15" t="s">
        <v>355</v>
      </c>
      <c r="K167" s="15" t="s">
        <v>356</v>
      </c>
      <c r="L167" s="13" t="s">
        <v>357</v>
      </c>
      <c r="M167" s="15" t="s">
        <v>358</v>
      </c>
      <c r="N167" s="13" t="s">
        <v>88</v>
      </c>
      <c r="O167" s="15" t="s">
        <v>89</v>
      </c>
      <c r="P167" s="15" t="s">
        <v>90</v>
      </c>
      <c r="Q167" s="15" t="s">
        <v>91</v>
      </c>
      <c r="R167" s="13" t="s">
        <v>92</v>
      </c>
      <c r="S167" s="13" t="s">
        <v>93</v>
      </c>
      <c r="T167" s="13" t="s">
        <v>94</v>
      </c>
      <c r="U167" s="14">
        <v>40725</v>
      </c>
      <c r="V167" s="14"/>
      <c r="W167" s="15"/>
      <c r="X167" s="13"/>
      <c r="Y167" s="15"/>
      <c r="Z167" s="13"/>
      <c r="AA167" s="15"/>
      <c r="AB167" s="13"/>
      <c r="AC167" s="15"/>
      <c r="AD167" s="13"/>
      <c r="AE167" s="15"/>
      <c r="AF167" s="13"/>
      <c r="AG167" s="15"/>
      <c r="AH167" s="13"/>
      <c r="AI167" s="15"/>
      <c r="AJ167" s="13"/>
      <c r="AK167" s="15"/>
      <c r="AL167" s="13"/>
      <c r="AM167" s="15"/>
      <c r="AN167" s="13"/>
      <c r="AO167" s="15"/>
      <c r="AP167" s="13"/>
      <c r="AQ167" s="15"/>
      <c r="AR167" s="13"/>
      <c r="AS167" s="15"/>
      <c r="AT167" s="13"/>
      <c r="AU167" s="15"/>
      <c r="AV167" s="13"/>
      <c r="AW167" s="15"/>
      <c r="AX167" s="13"/>
      <c r="AY167" s="15"/>
      <c r="AZ167" s="13"/>
      <c r="BA167" s="15"/>
      <c r="BB167" s="13"/>
      <c r="BC167" s="15"/>
      <c r="BD167" s="13"/>
      <c r="BE167" s="15"/>
      <c r="BF167" s="13"/>
      <c r="BG167" s="15"/>
      <c r="BH167" s="13"/>
      <c r="BI167" s="15"/>
      <c r="BJ167" s="13"/>
      <c r="BK167" s="15"/>
      <c r="BL167" s="13"/>
      <c r="BM167" s="15"/>
      <c r="BN167" s="13"/>
      <c r="BO167" s="15"/>
      <c r="BP167" s="13"/>
      <c r="BQ167" s="15"/>
      <c r="BR167" s="13"/>
      <c r="BS167" s="15"/>
      <c r="BT167" s="13"/>
      <c r="BU167" s="15"/>
      <c r="BV167" s="13"/>
      <c r="BW167" s="15"/>
    </row>
    <row r="168" spans="1:75" ht="72.5" x14ac:dyDescent="0.35">
      <c r="A168" s="13" t="s">
        <v>76</v>
      </c>
      <c r="B168" s="13" t="s">
        <v>77</v>
      </c>
      <c r="C168" s="14">
        <v>43152.5</v>
      </c>
      <c r="D168" s="13" t="s">
        <v>78</v>
      </c>
      <c r="E168" s="15" t="s">
        <v>79</v>
      </c>
      <c r="F168" s="13" t="s">
        <v>80</v>
      </c>
      <c r="G168" s="15" t="s">
        <v>81</v>
      </c>
      <c r="H168" s="13" t="s">
        <v>353</v>
      </c>
      <c r="I168" s="15" t="s">
        <v>354</v>
      </c>
      <c r="J168" s="15" t="s">
        <v>355</v>
      </c>
      <c r="K168" s="15" t="s">
        <v>356</v>
      </c>
      <c r="L168" s="13" t="s">
        <v>359</v>
      </c>
      <c r="M168" s="15" t="s">
        <v>360</v>
      </c>
      <c r="N168" s="13" t="s">
        <v>88</v>
      </c>
      <c r="O168" s="15" t="s">
        <v>97</v>
      </c>
      <c r="P168" s="15" t="s">
        <v>98</v>
      </c>
      <c r="Q168" s="15" t="s">
        <v>91</v>
      </c>
      <c r="R168" s="13" t="s">
        <v>92</v>
      </c>
      <c r="S168" s="13" t="s">
        <v>93</v>
      </c>
      <c r="T168" s="13" t="s">
        <v>94</v>
      </c>
      <c r="U168" s="14">
        <v>40725</v>
      </c>
      <c r="V168" s="14"/>
      <c r="W168" s="15"/>
      <c r="X168" s="13"/>
      <c r="Y168" s="15"/>
      <c r="Z168" s="13"/>
      <c r="AA168" s="15"/>
      <c r="AB168" s="13"/>
      <c r="AC168" s="15"/>
      <c r="AD168" s="13"/>
      <c r="AE168" s="15"/>
      <c r="AF168" s="13"/>
      <c r="AG168" s="15"/>
      <c r="AH168" s="13"/>
      <c r="AI168" s="15"/>
      <c r="AJ168" s="13"/>
      <c r="AK168" s="15"/>
      <c r="AL168" s="13"/>
      <c r="AM168" s="15"/>
      <c r="AN168" s="13"/>
      <c r="AO168" s="15"/>
      <c r="AP168" s="13"/>
      <c r="AQ168" s="15"/>
      <c r="AR168" s="13"/>
      <c r="AS168" s="15"/>
      <c r="AT168" s="13"/>
      <c r="AU168" s="15"/>
      <c r="AV168" s="13"/>
      <c r="AW168" s="15"/>
      <c r="AX168" s="13"/>
      <c r="AY168" s="15"/>
      <c r="AZ168" s="13"/>
      <c r="BA168" s="15"/>
      <c r="BB168" s="13"/>
      <c r="BC168" s="15"/>
      <c r="BD168" s="13"/>
      <c r="BE168" s="15"/>
      <c r="BF168" s="13"/>
      <c r="BG168" s="15"/>
      <c r="BH168" s="13"/>
      <c r="BI168" s="15"/>
      <c r="BJ168" s="13"/>
      <c r="BK168" s="15"/>
      <c r="BL168" s="13"/>
      <c r="BM168" s="15"/>
      <c r="BN168" s="13"/>
      <c r="BO168" s="15"/>
      <c r="BP168" s="13"/>
      <c r="BQ168" s="15"/>
      <c r="BR168" s="13"/>
      <c r="BS168" s="15"/>
      <c r="BT168" s="13"/>
      <c r="BU168" s="15"/>
      <c r="BV168" s="13"/>
      <c r="BW168" s="15"/>
    </row>
    <row r="169" spans="1:75" ht="58" x14ac:dyDescent="0.35">
      <c r="A169" s="13" t="s">
        <v>76</v>
      </c>
      <c r="B169" s="13" t="s">
        <v>77</v>
      </c>
      <c r="C169" s="14">
        <v>43152.5</v>
      </c>
      <c r="D169" s="13" t="s">
        <v>78</v>
      </c>
      <c r="E169" s="15" t="s">
        <v>79</v>
      </c>
      <c r="F169" s="13" t="s">
        <v>80</v>
      </c>
      <c r="G169" s="15" t="s">
        <v>81</v>
      </c>
      <c r="H169" s="13" t="s">
        <v>353</v>
      </c>
      <c r="I169" s="15" t="s">
        <v>354</v>
      </c>
      <c r="J169" s="15" t="s">
        <v>355</v>
      </c>
      <c r="K169" s="15" t="s">
        <v>356</v>
      </c>
      <c r="L169" s="13" t="s">
        <v>361</v>
      </c>
      <c r="M169" s="15" t="s">
        <v>362</v>
      </c>
      <c r="N169" s="13" t="s">
        <v>101</v>
      </c>
      <c r="O169" s="15" t="s">
        <v>102</v>
      </c>
      <c r="P169" s="15" t="s">
        <v>103</v>
      </c>
      <c r="Q169" s="15" t="s">
        <v>91</v>
      </c>
      <c r="R169" s="13" t="s">
        <v>92</v>
      </c>
      <c r="S169" s="13" t="s">
        <v>93</v>
      </c>
      <c r="T169" s="13" t="s">
        <v>94</v>
      </c>
      <c r="U169" s="14">
        <v>40725</v>
      </c>
      <c r="V169" s="14"/>
      <c r="W169" s="15"/>
      <c r="X169" s="13"/>
      <c r="Y169" s="15"/>
      <c r="Z169" s="13"/>
      <c r="AA169" s="15"/>
      <c r="AB169" s="13"/>
      <c r="AC169" s="15"/>
      <c r="AD169" s="13"/>
      <c r="AE169" s="15"/>
      <c r="AF169" s="13"/>
      <c r="AG169" s="15"/>
      <c r="AH169" s="13"/>
      <c r="AI169" s="15"/>
      <c r="AJ169" s="13"/>
      <c r="AK169" s="15"/>
      <c r="AL169" s="13"/>
      <c r="AM169" s="15"/>
      <c r="AN169" s="13"/>
      <c r="AO169" s="15"/>
      <c r="AP169" s="13"/>
      <c r="AQ169" s="15"/>
      <c r="AR169" s="13"/>
      <c r="AS169" s="15"/>
      <c r="AT169" s="13"/>
      <c r="AU169" s="15"/>
      <c r="AV169" s="13"/>
      <c r="AW169" s="15"/>
      <c r="AX169" s="13"/>
      <c r="AY169" s="15"/>
      <c r="AZ169" s="13"/>
      <c r="BA169" s="15"/>
      <c r="BB169" s="13"/>
      <c r="BC169" s="15"/>
      <c r="BD169" s="13"/>
      <c r="BE169" s="15"/>
      <c r="BF169" s="13"/>
      <c r="BG169" s="15"/>
      <c r="BH169" s="13"/>
      <c r="BI169" s="15"/>
      <c r="BJ169" s="13"/>
      <c r="BK169" s="15"/>
      <c r="BL169" s="13"/>
      <c r="BM169" s="15"/>
      <c r="BN169" s="13"/>
      <c r="BO169" s="15"/>
      <c r="BP169" s="13"/>
      <c r="BQ169" s="15"/>
      <c r="BR169" s="13"/>
      <c r="BS169" s="15"/>
      <c r="BT169" s="13"/>
      <c r="BU169" s="15"/>
      <c r="BV169" s="13"/>
      <c r="BW169" s="15"/>
    </row>
    <row r="170" spans="1:75" ht="72.5" x14ac:dyDescent="0.35">
      <c r="A170" s="13" t="s">
        <v>76</v>
      </c>
      <c r="B170" s="13" t="s">
        <v>77</v>
      </c>
      <c r="C170" s="14">
        <v>43152.5</v>
      </c>
      <c r="D170" s="13" t="s">
        <v>78</v>
      </c>
      <c r="E170" s="15" t="s">
        <v>79</v>
      </c>
      <c r="F170" s="13" t="s">
        <v>80</v>
      </c>
      <c r="G170" s="15" t="s">
        <v>81</v>
      </c>
      <c r="H170" s="13" t="s">
        <v>353</v>
      </c>
      <c r="I170" s="15" t="s">
        <v>354</v>
      </c>
      <c r="J170" s="15" t="s">
        <v>355</v>
      </c>
      <c r="K170" s="15" t="s">
        <v>356</v>
      </c>
      <c r="L170" s="13" t="s">
        <v>357</v>
      </c>
      <c r="M170" s="15" t="s">
        <v>358</v>
      </c>
      <c r="N170" s="13" t="s">
        <v>88</v>
      </c>
      <c r="O170" s="15" t="s">
        <v>89</v>
      </c>
      <c r="P170" s="15" t="s">
        <v>90</v>
      </c>
      <c r="Q170" s="15" t="s">
        <v>104</v>
      </c>
      <c r="R170" s="13" t="s">
        <v>105</v>
      </c>
      <c r="S170" s="13" t="s">
        <v>93</v>
      </c>
      <c r="T170" s="13" t="s">
        <v>94</v>
      </c>
      <c r="U170" s="14">
        <v>40725</v>
      </c>
      <c r="V170" s="14"/>
      <c r="W170" s="15"/>
      <c r="X170" s="13"/>
      <c r="Y170" s="15"/>
      <c r="Z170" s="13"/>
      <c r="AA170" s="15"/>
      <c r="AB170" s="13"/>
      <c r="AC170" s="15"/>
      <c r="AD170" s="13"/>
      <c r="AE170" s="15"/>
      <c r="AF170" s="13"/>
      <c r="AG170" s="15"/>
      <c r="AH170" s="13"/>
      <c r="AI170" s="15"/>
      <c r="AJ170" s="13"/>
      <c r="AK170" s="15"/>
      <c r="AL170" s="13"/>
      <c r="AM170" s="15"/>
      <c r="AN170" s="13"/>
      <c r="AO170" s="15"/>
      <c r="AP170" s="13"/>
      <c r="AQ170" s="15"/>
      <c r="AR170" s="13"/>
      <c r="AS170" s="15"/>
      <c r="AT170" s="13"/>
      <c r="AU170" s="15"/>
      <c r="AV170" s="13"/>
      <c r="AW170" s="15"/>
      <c r="AX170" s="13"/>
      <c r="AY170" s="15"/>
      <c r="AZ170" s="13"/>
      <c r="BA170" s="15"/>
      <c r="BB170" s="13"/>
      <c r="BC170" s="15"/>
      <c r="BD170" s="13"/>
      <c r="BE170" s="15"/>
      <c r="BF170" s="13"/>
      <c r="BG170" s="15"/>
      <c r="BH170" s="13"/>
      <c r="BI170" s="15"/>
      <c r="BJ170" s="13"/>
      <c r="BK170" s="15"/>
      <c r="BL170" s="13"/>
      <c r="BM170" s="15"/>
      <c r="BN170" s="13"/>
      <c r="BO170" s="15"/>
      <c r="BP170" s="13"/>
      <c r="BQ170" s="15"/>
      <c r="BR170" s="13"/>
      <c r="BS170" s="15"/>
      <c r="BT170" s="13"/>
      <c r="BU170" s="15"/>
      <c r="BV170" s="13"/>
      <c r="BW170" s="15"/>
    </row>
    <row r="171" spans="1:75" ht="72.5" x14ac:dyDescent="0.35">
      <c r="A171" s="13" t="s">
        <v>76</v>
      </c>
      <c r="B171" s="13" t="s">
        <v>77</v>
      </c>
      <c r="C171" s="14">
        <v>43152.5</v>
      </c>
      <c r="D171" s="13" t="s">
        <v>78</v>
      </c>
      <c r="E171" s="15" t="s">
        <v>79</v>
      </c>
      <c r="F171" s="13" t="s">
        <v>80</v>
      </c>
      <c r="G171" s="15" t="s">
        <v>81</v>
      </c>
      <c r="H171" s="13" t="s">
        <v>353</v>
      </c>
      <c r="I171" s="15" t="s">
        <v>354</v>
      </c>
      <c r="J171" s="15" t="s">
        <v>355</v>
      </c>
      <c r="K171" s="15" t="s">
        <v>356</v>
      </c>
      <c r="L171" s="13" t="s">
        <v>359</v>
      </c>
      <c r="M171" s="15" t="s">
        <v>360</v>
      </c>
      <c r="N171" s="13" t="s">
        <v>88</v>
      </c>
      <c r="O171" s="15" t="s">
        <v>97</v>
      </c>
      <c r="P171" s="15" t="s">
        <v>98</v>
      </c>
      <c r="Q171" s="15" t="s">
        <v>104</v>
      </c>
      <c r="R171" s="13" t="s">
        <v>105</v>
      </c>
      <c r="S171" s="13" t="s">
        <v>93</v>
      </c>
      <c r="T171" s="13" t="s">
        <v>94</v>
      </c>
      <c r="U171" s="14">
        <v>40725</v>
      </c>
      <c r="V171" s="14"/>
      <c r="W171" s="15"/>
      <c r="X171" s="13"/>
      <c r="Y171" s="15"/>
      <c r="Z171" s="13"/>
      <c r="AA171" s="15"/>
      <c r="AB171" s="13"/>
      <c r="AC171" s="15"/>
      <c r="AD171" s="13"/>
      <c r="AE171" s="15"/>
      <c r="AF171" s="13"/>
      <c r="AG171" s="15"/>
      <c r="AH171" s="13"/>
      <c r="AI171" s="15"/>
      <c r="AJ171" s="13"/>
      <c r="AK171" s="15"/>
      <c r="AL171" s="13"/>
      <c r="AM171" s="15"/>
      <c r="AN171" s="13"/>
      <c r="AO171" s="15"/>
      <c r="AP171" s="13"/>
      <c r="AQ171" s="15"/>
      <c r="AR171" s="13"/>
      <c r="AS171" s="15"/>
      <c r="AT171" s="13"/>
      <c r="AU171" s="15"/>
      <c r="AV171" s="13"/>
      <c r="AW171" s="15"/>
      <c r="AX171" s="13"/>
      <c r="AY171" s="15"/>
      <c r="AZ171" s="13"/>
      <c r="BA171" s="15"/>
      <c r="BB171" s="13"/>
      <c r="BC171" s="15"/>
      <c r="BD171" s="13"/>
      <c r="BE171" s="15"/>
      <c r="BF171" s="13"/>
      <c r="BG171" s="15"/>
      <c r="BH171" s="13"/>
      <c r="BI171" s="15"/>
      <c r="BJ171" s="13"/>
      <c r="BK171" s="15"/>
      <c r="BL171" s="13"/>
      <c r="BM171" s="15"/>
      <c r="BN171" s="13"/>
      <c r="BO171" s="15"/>
      <c r="BP171" s="13"/>
      <c r="BQ171" s="15"/>
      <c r="BR171" s="13"/>
      <c r="BS171" s="15"/>
      <c r="BT171" s="13"/>
      <c r="BU171" s="15"/>
      <c r="BV171" s="13"/>
      <c r="BW171" s="15"/>
    </row>
    <row r="172" spans="1:75" ht="58" x14ac:dyDescent="0.35">
      <c r="A172" s="13" t="s">
        <v>76</v>
      </c>
      <c r="B172" s="13" t="s">
        <v>77</v>
      </c>
      <c r="C172" s="14">
        <v>43152.5</v>
      </c>
      <c r="D172" s="13" t="s">
        <v>78</v>
      </c>
      <c r="E172" s="15" t="s">
        <v>79</v>
      </c>
      <c r="F172" s="13" t="s">
        <v>80</v>
      </c>
      <c r="G172" s="15" t="s">
        <v>81</v>
      </c>
      <c r="H172" s="13" t="s">
        <v>353</v>
      </c>
      <c r="I172" s="15" t="s">
        <v>354</v>
      </c>
      <c r="J172" s="15" t="s">
        <v>355</v>
      </c>
      <c r="K172" s="15" t="s">
        <v>356</v>
      </c>
      <c r="L172" s="13" t="s">
        <v>361</v>
      </c>
      <c r="M172" s="15" t="s">
        <v>362</v>
      </c>
      <c r="N172" s="13" t="s">
        <v>101</v>
      </c>
      <c r="O172" s="15" t="s">
        <v>102</v>
      </c>
      <c r="P172" s="15" t="s">
        <v>103</v>
      </c>
      <c r="Q172" s="15" t="s">
        <v>104</v>
      </c>
      <c r="R172" s="13" t="s">
        <v>105</v>
      </c>
      <c r="S172" s="13" t="s">
        <v>93</v>
      </c>
      <c r="T172" s="13" t="s">
        <v>94</v>
      </c>
      <c r="U172" s="14">
        <v>40725</v>
      </c>
      <c r="V172" s="14"/>
      <c r="W172" s="15"/>
      <c r="X172" s="13"/>
      <c r="Y172" s="15"/>
      <c r="Z172" s="13"/>
      <c r="AA172" s="15"/>
      <c r="AB172" s="13"/>
      <c r="AC172" s="15"/>
      <c r="AD172" s="13"/>
      <c r="AE172" s="15"/>
      <c r="AF172" s="13"/>
      <c r="AG172" s="15"/>
      <c r="AH172" s="13"/>
      <c r="AI172" s="15"/>
      <c r="AJ172" s="13"/>
      <c r="AK172" s="15"/>
      <c r="AL172" s="13"/>
      <c r="AM172" s="15"/>
      <c r="AN172" s="13"/>
      <c r="AO172" s="15"/>
      <c r="AP172" s="13"/>
      <c r="AQ172" s="15"/>
      <c r="AR172" s="13"/>
      <c r="AS172" s="15"/>
      <c r="AT172" s="13"/>
      <c r="AU172" s="15"/>
      <c r="AV172" s="13"/>
      <c r="AW172" s="15"/>
      <c r="AX172" s="13"/>
      <c r="AY172" s="15"/>
      <c r="AZ172" s="13"/>
      <c r="BA172" s="15"/>
      <c r="BB172" s="13"/>
      <c r="BC172" s="15"/>
      <c r="BD172" s="13"/>
      <c r="BE172" s="15"/>
      <c r="BF172" s="13"/>
      <c r="BG172" s="15"/>
      <c r="BH172" s="13"/>
      <c r="BI172" s="15"/>
      <c r="BJ172" s="13"/>
      <c r="BK172" s="15"/>
      <c r="BL172" s="13"/>
      <c r="BM172" s="15"/>
      <c r="BN172" s="13"/>
      <c r="BO172" s="15"/>
      <c r="BP172" s="13"/>
      <c r="BQ172" s="15"/>
      <c r="BR172" s="13"/>
      <c r="BS172" s="15"/>
      <c r="BT172" s="13"/>
      <c r="BU172" s="15"/>
      <c r="BV172" s="13"/>
      <c r="BW172" s="15"/>
    </row>
    <row r="173" spans="1:75" ht="72.5" x14ac:dyDescent="0.35">
      <c r="A173" s="13" t="s">
        <v>76</v>
      </c>
      <c r="B173" s="13" t="s">
        <v>77</v>
      </c>
      <c r="C173" s="14">
        <v>43152.5</v>
      </c>
      <c r="D173" s="13" t="s">
        <v>78</v>
      </c>
      <c r="E173" s="15" t="s">
        <v>79</v>
      </c>
      <c r="F173" s="13" t="s">
        <v>80</v>
      </c>
      <c r="G173" s="15" t="s">
        <v>81</v>
      </c>
      <c r="H173" s="13" t="s">
        <v>353</v>
      </c>
      <c r="I173" s="15" t="s">
        <v>354</v>
      </c>
      <c r="J173" s="15" t="s">
        <v>355</v>
      </c>
      <c r="K173" s="15" t="s">
        <v>356</v>
      </c>
      <c r="L173" s="13" t="s">
        <v>357</v>
      </c>
      <c r="M173" s="15" t="s">
        <v>358</v>
      </c>
      <c r="N173" s="13" t="s">
        <v>88</v>
      </c>
      <c r="O173" s="15" t="s">
        <v>89</v>
      </c>
      <c r="P173" s="15" t="s">
        <v>90</v>
      </c>
      <c r="Q173" s="15" t="s">
        <v>106</v>
      </c>
      <c r="R173" s="13" t="s">
        <v>107</v>
      </c>
      <c r="S173" s="13" t="s">
        <v>93</v>
      </c>
      <c r="T173" s="13" t="s">
        <v>94</v>
      </c>
      <c r="U173" s="14">
        <v>40725</v>
      </c>
      <c r="V173" s="14"/>
      <c r="W173" s="15"/>
      <c r="X173" s="13"/>
      <c r="Y173" s="15"/>
      <c r="Z173" s="13"/>
      <c r="AA173" s="15"/>
      <c r="AB173" s="13"/>
      <c r="AC173" s="15"/>
      <c r="AD173" s="13"/>
      <c r="AE173" s="15"/>
      <c r="AF173" s="13"/>
      <c r="AG173" s="15"/>
      <c r="AH173" s="13"/>
      <c r="AI173" s="15"/>
      <c r="AJ173" s="13"/>
      <c r="AK173" s="15"/>
      <c r="AL173" s="13"/>
      <c r="AM173" s="15"/>
      <c r="AN173" s="13"/>
      <c r="AO173" s="15"/>
      <c r="AP173" s="13"/>
      <c r="AQ173" s="15"/>
      <c r="AR173" s="13"/>
      <c r="AS173" s="15"/>
      <c r="AT173" s="13"/>
      <c r="AU173" s="15"/>
      <c r="AV173" s="13"/>
      <c r="AW173" s="15"/>
      <c r="AX173" s="13"/>
      <c r="AY173" s="15"/>
      <c r="AZ173" s="13"/>
      <c r="BA173" s="15"/>
      <c r="BB173" s="13"/>
      <c r="BC173" s="15"/>
      <c r="BD173" s="13"/>
      <c r="BE173" s="15"/>
      <c r="BF173" s="13"/>
      <c r="BG173" s="15"/>
      <c r="BH173" s="13"/>
      <c r="BI173" s="15"/>
      <c r="BJ173" s="13"/>
      <c r="BK173" s="15"/>
      <c r="BL173" s="13"/>
      <c r="BM173" s="15"/>
      <c r="BN173" s="13"/>
      <c r="BO173" s="15"/>
      <c r="BP173" s="13"/>
      <c r="BQ173" s="15"/>
      <c r="BR173" s="13"/>
      <c r="BS173" s="15"/>
      <c r="BT173" s="13"/>
      <c r="BU173" s="15"/>
      <c r="BV173" s="13"/>
      <c r="BW173" s="15"/>
    </row>
    <row r="174" spans="1:75" ht="72.5" x14ac:dyDescent="0.35">
      <c r="A174" s="13" t="s">
        <v>76</v>
      </c>
      <c r="B174" s="13" t="s">
        <v>77</v>
      </c>
      <c r="C174" s="14">
        <v>43152.5</v>
      </c>
      <c r="D174" s="13" t="s">
        <v>78</v>
      </c>
      <c r="E174" s="15" t="s">
        <v>79</v>
      </c>
      <c r="F174" s="13" t="s">
        <v>80</v>
      </c>
      <c r="G174" s="15" t="s">
        <v>81</v>
      </c>
      <c r="H174" s="13" t="s">
        <v>353</v>
      </c>
      <c r="I174" s="15" t="s">
        <v>354</v>
      </c>
      <c r="J174" s="15" t="s">
        <v>355</v>
      </c>
      <c r="K174" s="15" t="s">
        <v>356</v>
      </c>
      <c r="L174" s="13" t="s">
        <v>359</v>
      </c>
      <c r="M174" s="15" t="s">
        <v>360</v>
      </c>
      <c r="N174" s="13" t="s">
        <v>88</v>
      </c>
      <c r="O174" s="15" t="s">
        <v>97</v>
      </c>
      <c r="P174" s="15" t="s">
        <v>98</v>
      </c>
      <c r="Q174" s="15" t="s">
        <v>106</v>
      </c>
      <c r="R174" s="13" t="s">
        <v>107</v>
      </c>
      <c r="S174" s="13" t="s">
        <v>93</v>
      </c>
      <c r="T174" s="13" t="s">
        <v>94</v>
      </c>
      <c r="U174" s="14">
        <v>40725</v>
      </c>
      <c r="V174" s="14"/>
      <c r="W174" s="15"/>
      <c r="X174" s="13"/>
      <c r="Y174" s="15"/>
      <c r="Z174" s="13"/>
      <c r="AA174" s="15"/>
      <c r="AB174" s="13"/>
      <c r="AC174" s="15"/>
      <c r="AD174" s="13"/>
      <c r="AE174" s="15"/>
      <c r="AF174" s="13"/>
      <c r="AG174" s="15"/>
      <c r="AH174" s="13"/>
      <c r="AI174" s="15"/>
      <c r="AJ174" s="13"/>
      <c r="AK174" s="15"/>
      <c r="AL174" s="13"/>
      <c r="AM174" s="15"/>
      <c r="AN174" s="13"/>
      <c r="AO174" s="15"/>
      <c r="AP174" s="13"/>
      <c r="AQ174" s="15"/>
      <c r="AR174" s="13"/>
      <c r="AS174" s="15"/>
      <c r="AT174" s="13"/>
      <c r="AU174" s="15"/>
      <c r="AV174" s="13"/>
      <c r="AW174" s="15"/>
      <c r="AX174" s="13"/>
      <c r="AY174" s="15"/>
      <c r="AZ174" s="13"/>
      <c r="BA174" s="15"/>
      <c r="BB174" s="13"/>
      <c r="BC174" s="15"/>
      <c r="BD174" s="13"/>
      <c r="BE174" s="15"/>
      <c r="BF174" s="13"/>
      <c r="BG174" s="15"/>
      <c r="BH174" s="13"/>
      <c r="BI174" s="15"/>
      <c r="BJ174" s="13"/>
      <c r="BK174" s="15"/>
      <c r="BL174" s="13"/>
      <c r="BM174" s="15"/>
      <c r="BN174" s="13"/>
      <c r="BO174" s="15"/>
      <c r="BP174" s="13"/>
      <c r="BQ174" s="15"/>
      <c r="BR174" s="13"/>
      <c r="BS174" s="15"/>
      <c r="BT174" s="13"/>
      <c r="BU174" s="15"/>
      <c r="BV174" s="13"/>
      <c r="BW174" s="15"/>
    </row>
    <row r="175" spans="1:75" ht="58" x14ac:dyDescent="0.35">
      <c r="A175" s="13" t="s">
        <v>76</v>
      </c>
      <c r="B175" s="13" t="s">
        <v>77</v>
      </c>
      <c r="C175" s="14">
        <v>43152.5</v>
      </c>
      <c r="D175" s="13" t="s">
        <v>78</v>
      </c>
      <c r="E175" s="15" t="s">
        <v>79</v>
      </c>
      <c r="F175" s="13" t="s">
        <v>80</v>
      </c>
      <c r="G175" s="15" t="s">
        <v>81</v>
      </c>
      <c r="H175" s="13" t="s">
        <v>353</v>
      </c>
      <c r="I175" s="15" t="s">
        <v>354</v>
      </c>
      <c r="J175" s="15" t="s">
        <v>355</v>
      </c>
      <c r="K175" s="15" t="s">
        <v>356</v>
      </c>
      <c r="L175" s="13" t="s">
        <v>361</v>
      </c>
      <c r="M175" s="15" t="s">
        <v>362</v>
      </c>
      <c r="N175" s="13" t="s">
        <v>101</v>
      </c>
      <c r="O175" s="15" t="s">
        <v>102</v>
      </c>
      <c r="P175" s="15" t="s">
        <v>103</v>
      </c>
      <c r="Q175" s="15" t="s">
        <v>106</v>
      </c>
      <c r="R175" s="13" t="s">
        <v>107</v>
      </c>
      <c r="S175" s="13" t="s">
        <v>93</v>
      </c>
      <c r="T175" s="13" t="s">
        <v>94</v>
      </c>
      <c r="U175" s="14">
        <v>40725</v>
      </c>
      <c r="V175" s="14"/>
      <c r="W175" s="15"/>
      <c r="X175" s="13"/>
      <c r="Y175" s="15"/>
      <c r="Z175" s="13"/>
      <c r="AA175" s="15"/>
      <c r="AB175" s="13"/>
      <c r="AC175" s="15"/>
      <c r="AD175" s="13"/>
      <c r="AE175" s="15"/>
      <c r="AF175" s="13"/>
      <c r="AG175" s="15"/>
      <c r="AH175" s="13"/>
      <c r="AI175" s="15"/>
      <c r="AJ175" s="13"/>
      <c r="AK175" s="15"/>
      <c r="AL175" s="13"/>
      <c r="AM175" s="15"/>
      <c r="AN175" s="13"/>
      <c r="AO175" s="15"/>
      <c r="AP175" s="13"/>
      <c r="AQ175" s="15"/>
      <c r="AR175" s="13"/>
      <c r="AS175" s="15"/>
      <c r="AT175" s="13"/>
      <c r="AU175" s="15"/>
      <c r="AV175" s="13"/>
      <c r="AW175" s="15"/>
      <c r="AX175" s="13"/>
      <c r="AY175" s="15"/>
      <c r="AZ175" s="13"/>
      <c r="BA175" s="15"/>
      <c r="BB175" s="13"/>
      <c r="BC175" s="15"/>
      <c r="BD175" s="13"/>
      <c r="BE175" s="15"/>
      <c r="BF175" s="13"/>
      <c r="BG175" s="15"/>
      <c r="BH175" s="13"/>
      <c r="BI175" s="15"/>
      <c r="BJ175" s="13"/>
      <c r="BK175" s="15"/>
      <c r="BL175" s="13"/>
      <c r="BM175" s="15"/>
      <c r="BN175" s="13"/>
      <c r="BO175" s="15"/>
      <c r="BP175" s="13"/>
      <c r="BQ175" s="15"/>
      <c r="BR175" s="13"/>
      <c r="BS175" s="15"/>
      <c r="BT175" s="13"/>
      <c r="BU175" s="15"/>
      <c r="BV175" s="13"/>
      <c r="BW175" s="15"/>
    </row>
    <row r="176" spans="1:75" ht="101.5" x14ac:dyDescent="0.35">
      <c r="A176" s="13" t="s">
        <v>238</v>
      </c>
      <c r="B176" s="13" t="s">
        <v>109</v>
      </c>
      <c r="C176" s="14">
        <v>44368.708333333336</v>
      </c>
      <c r="D176" s="13" t="s">
        <v>78</v>
      </c>
      <c r="E176" s="15" t="s">
        <v>79</v>
      </c>
      <c r="F176" s="13" t="s">
        <v>80</v>
      </c>
      <c r="G176" s="15" t="s">
        <v>81</v>
      </c>
      <c r="H176" s="13" t="s">
        <v>353</v>
      </c>
      <c r="I176" s="15" t="s">
        <v>354</v>
      </c>
      <c r="J176" s="15" t="s">
        <v>355</v>
      </c>
      <c r="K176" s="15" t="s">
        <v>356</v>
      </c>
      <c r="L176" s="13" t="s">
        <v>357</v>
      </c>
      <c r="M176" s="15" t="s">
        <v>358</v>
      </c>
      <c r="N176" s="13" t="s">
        <v>88</v>
      </c>
      <c r="O176" s="15" t="s">
        <v>89</v>
      </c>
      <c r="P176" s="15" t="s">
        <v>90</v>
      </c>
      <c r="Q176" s="15" t="s">
        <v>110</v>
      </c>
      <c r="R176" s="13" t="s">
        <v>111</v>
      </c>
      <c r="S176" s="13" t="s">
        <v>93</v>
      </c>
      <c r="T176" s="13" t="s">
        <v>112</v>
      </c>
      <c r="U176" s="14">
        <v>40725</v>
      </c>
      <c r="V176" s="14"/>
      <c r="W176" s="15" t="s">
        <v>363</v>
      </c>
      <c r="X176" s="13" t="s">
        <v>114</v>
      </c>
      <c r="Y176" s="15" t="str">
        <f>VLOOKUP(X176,'Axe 2 Règles de gestion'!$D$2:$F$146,3, FALSE)</f>
        <v>L'agent doit présenter une demande de congé sans traitement.</v>
      </c>
      <c r="Z176" s="13" t="s">
        <v>116</v>
      </c>
      <c r="AA176" s="15" t="str">
        <f>VLOOKUP(Z176,'Axe 2 Règles de gestion'!$D$2:$F$146,3, FALSE)</f>
        <v>La demande est accordée de droit par le supérieur hiérarchique.</v>
      </c>
      <c r="AB176" s="13"/>
      <c r="AC176" s="15"/>
      <c r="AD176" s="13"/>
      <c r="AE176" s="15"/>
      <c r="AF176" s="13" t="s">
        <v>118</v>
      </c>
      <c r="AG176" s="15" t="str">
        <f>VLOOKUP(AF176,'Axe 2 Règles de gestion'!$D$2:$F$146,3, FALSE)</f>
        <v>La durée prévisionnelle maximale de chaque période est de un an.</v>
      </c>
      <c r="AH176" s="13" t="s">
        <v>120</v>
      </c>
      <c r="AI176" s="15" t="str">
        <f>VLOOKUP(AH176,'Axe 2 Règles de gestion'!$D$2:$F$146,3, FALSE)</f>
        <v>La durée réelle maximale de chaque période est de un an.</v>
      </c>
      <c r="AJ176" s="13" t="s">
        <v>122</v>
      </c>
      <c r="AK176" s="15" t="str">
        <f>VLOOKUP(AJ176,'Axe 2 Règles de gestion'!$D$2:$F$146,3, FALSE)</f>
        <v>L'agent ne peut pas bénéficier de plus de 3 ans cumulés de congé sans traitement quels que soient les motifs de congés sans traitement : pour raisons personnelles ou familiales.</v>
      </c>
      <c r="AL176" s="13" t="s">
        <v>364</v>
      </c>
      <c r="AM176" s="15" t="str">
        <f>VLOOKUP(AL176,'Axe 2 Règles de gestion'!$D$2:$F$146,3, FALSE)</f>
        <v>Le type de situation de famille de l'agent doit être "marié(e)" ou "pacsé(e)".</v>
      </c>
      <c r="AN176" s="13"/>
      <c r="AO176" s="15"/>
      <c r="AP176" s="13" t="s">
        <v>128</v>
      </c>
      <c r="AQ176" s="15" t="str">
        <f>VLOOKUP(AP176,'Axe 2 Règles de gestion'!$D$2:$F$146,3, FALSE)</f>
        <v>Lors de la demande initiale, l'agent doit être en activité.</v>
      </c>
      <c r="AR176" s="13" t="s">
        <v>130</v>
      </c>
      <c r="AS176" s="15" t="str">
        <f>VLOOKUP(AR176,'Axe 2 Règles de gestion'!$D$2:$F$146,3, FALSE)</f>
        <v>La date de début de la position doit être postérieure ou égale à la date d'entrée dans la FPE ou dans la carrière militaire.</v>
      </c>
      <c r="AT176" s="13" t="s">
        <v>132</v>
      </c>
      <c r="AU176" s="15" t="str">
        <f>VLOOKUP(AT176,'Axe 2 Règles de gestion'!$D$2:$F$146,3, FALSE)</f>
        <v>La date de début de position est à J+1 de la date de fin de position de l'occurrence précédente.</v>
      </c>
      <c r="AV176" s="13" t="s">
        <v>134</v>
      </c>
      <c r="AW176" s="15" t="str">
        <f>VLOOKUP(AV176,'Axe 2 Règles de gestion'!$D$2:$F$146,3, FALSE)</f>
        <v>La date de début de position doit être antérieure ou égale à la date de fin prévisionnelle de position.</v>
      </c>
      <c r="AX176" s="13" t="s">
        <v>136</v>
      </c>
      <c r="AY176" s="15" t="str">
        <f>VLOOKUP(AX176,'Axe 2 Règles de gestion'!$D$2:$F$146,3, FALSE)</f>
        <v>La date de début de position doit être antérieure ou égale à la date de fin réelle de position.</v>
      </c>
      <c r="AZ176" s="13" t="s">
        <v>138</v>
      </c>
      <c r="BA176" s="15" t="str">
        <f>VLOOKUP(AZ176,'Axe 2 Règles de gestion'!$D$2:$F$146,3, FALSE)</f>
        <v>La date de fin prévisionnelle de la position doit être antérieure à la date limite de départ à la retraite.</v>
      </c>
      <c r="BB176" s="13" t="s">
        <v>140</v>
      </c>
      <c r="BC176" s="15" t="str">
        <f>VLOOKUP(BB176,'Axe 2 Règles de gestion'!$D$2:$F$146,3, FALSE)</f>
        <v>La date de fin réelle de la position doit être antérieure à la date limite de départ à la retraite.</v>
      </c>
      <c r="BD176" s="13" t="s">
        <v>142</v>
      </c>
      <c r="BE176" s="15" t="str">
        <f>VLOOKUP(BD176,'Axe 2 Règles de gestion'!$D$2:$F$146,3, FALSE)</f>
        <v>La date de fin ou la date de fin prévisionnelle doit être saisie.</v>
      </c>
      <c r="BF176" s="13" t="s">
        <v>152</v>
      </c>
      <c r="BG176" s="15" t="str">
        <f>VLOOKUP(BF176,'Axe 2 Règles de gestion'!$D$2:$F$146,3, FALSE)</f>
        <v>La saisie d'une occurrence de congés/absences est interdite (date de fin réelle)</v>
      </c>
      <c r="BH176" s="13" t="s">
        <v>154</v>
      </c>
      <c r="BI176" s="15" t="str">
        <f>VLOOKUP(BH176,'Axe 2 Règles de gestion'!$D$2:$F$146,3, FALSE)</f>
        <v>La saisie d'une occurrence de congés/absences est interdite (date de fin prévisionnelle)</v>
      </c>
      <c r="BJ176" s="13"/>
      <c r="BK176" s="15"/>
      <c r="BL176" s="13"/>
      <c r="BM176" s="15"/>
      <c r="BN176" s="13"/>
      <c r="BO176" s="15"/>
      <c r="BP176" s="13"/>
      <c r="BQ176" s="15"/>
      <c r="BR176" s="13"/>
      <c r="BS176" s="15"/>
      <c r="BT176" s="13"/>
      <c r="BU176" s="15"/>
      <c r="BV176" s="13"/>
      <c r="BW176" s="15"/>
    </row>
    <row r="177" spans="1:75" ht="101.5" x14ac:dyDescent="0.35">
      <c r="A177" s="13" t="s">
        <v>238</v>
      </c>
      <c r="B177" s="13" t="s">
        <v>109</v>
      </c>
      <c r="C177" s="14">
        <v>44368.708333333336</v>
      </c>
      <c r="D177" s="13" t="s">
        <v>78</v>
      </c>
      <c r="E177" s="15" t="s">
        <v>79</v>
      </c>
      <c r="F177" s="13" t="s">
        <v>80</v>
      </c>
      <c r="G177" s="15" t="s">
        <v>81</v>
      </c>
      <c r="H177" s="13" t="s">
        <v>353</v>
      </c>
      <c r="I177" s="15" t="s">
        <v>354</v>
      </c>
      <c r="J177" s="15" t="s">
        <v>355</v>
      </c>
      <c r="K177" s="15" t="s">
        <v>356</v>
      </c>
      <c r="L177" s="13" t="s">
        <v>359</v>
      </c>
      <c r="M177" s="15" t="s">
        <v>360</v>
      </c>
      <c r="N177" s="13" t="s">
        <v>88</v>
      </c>
      <c r="O177" s="15" t="s">
        <v>97</v>
      </c>
      <c r="P177" s="15" t="s">
        <v>98</v>
      </c>
      <c r="Q177" s="15" t="s">
        <v>110</v>
      </c>
      <c r="R177" s="13" t="s">
        <v>111</v>
      </c>
      <c r="S177" s="13" t="s">
        <v>93</v>
      </c>
      <c r="T177" s="13" t="s">
        <v>112</v>
      </c>
      <c r="U177" s="14">
        <v>40725</v>
      </c>
      <c r="V177" s="14"/>
      <c r="W177" s="15" t="s">
        <v>365</v>
      </c>
      <c r="X177" s="13" t="s">
        <v>162</v>
      </c>
      <c r="Y177" s="15" t="str">
        <f>VLOOKUP(X177,'Axe 2 Règles de gestion'!$D$2:$F$146,3, FALSE)</f>
        <v>L'agent peut renouveler le congé sans traitement 2 fois.</v>
      </c>
      <c r="Z177" s="13"/>
      <c r="AA177" s="15"/>
      <c r="AB177" s="13"/>
      <c r="AC177" s="15"/>
      <c r="AD177" s="13"/>
      <c r="AE177" s="15"/>
      <c r="AF177" s="13" t="s">
        <v>118</v>
      </c>
      <c r="AG177" s="15" t="str">
        <f>VLOOKUP(AF177,'Axe 2 Règles de gestion'!$D$2:$F$146,3, FALSE)</f>
        <v>La durée prévisionnelle maximale de chaque période est de un an.</v>
      </c>
      <c r="AH177" s="13" t="s">
        <v>120</v>
      </c>
      <c r="AI177" s="15" t="str">
        <f>VLOOKUP(AH177,'Axe 2 Règles de gestion'!$D$2:$F$146,3, FALSE)</f>
        <v>La durée réelle maximale de chaque période est de un an.</v>
      </c>
      <c r="AJ177" s="13" t="s">
        <v>122</v>
      </c>
      <c r="AK177" s="15" t="str">
        <f>VLOOKUP(AJ177,'Axe 2 Règles de gestion'!$D$2:$F$146,3, FALSE)</f>
        <v>L'agent ne peut pas bénéficier de plus de 3 ans cumulés de congé sans traitement quels que soient les motifs de congés sans traitement : pour raisons personnelles ou familiales.</v>
      </c>
      <c r="AL177" s="13" t="s">
        <v>364</v>
      </c>
      <c r="AM177" s="15" t="str">
        <f>VLOOKUP(AL177,'Axe 2 Règles de gestion'!$D$2:$F$146,3, FALSE)</f>
        <v>Le type de situation de famille de l'agent doit être "marié(e)" ou "pacsé(e)".</v>
      </c>
      <c r="AN177" s="13"/>
      <c r="AO177" s="15"/>
      <c r="AP177" s="13" t="s">
        <v>130</v>
      </c>
      <c r="AQ177" s="15" t="str">
        <f>VLOOKUP(AP177,'Axe 2 Règles de gestion'!$D$2:$F$146,3, FALSE)</f>
        <v>La date de début de la position doit être postérieure ou égale à la date d'entrée dans la FPE ou dans la carrière militaire.</v>
      </c>
      <c r="AR177" s="13" t="s">
        <v>132</v>
      </c>
      <c r="AS177" s="15" t="str">
        <f>VLOOKUP(AR177,'Axe 2 Règles de gestion'!$D$2:$F$146,3, FALSE)</f>
        <v>La date de début de position est à J+1 de la date de fin de position de l'occurrence précédente.</v>
      </c>
      <c r="AT177" s="13" t="s">
        <v>134</v>
      </c>
      <c r="AU177" s="15" t="str">
        <f>VLOOKUP(AT177,'Axe 2 Règles de gestion'!$D$2:$F$146,3, FALSE)</f>
        <v>La date de début de position doit être antérieure ou égale à la date de fin prévisionnelle de position.</v>
      </c>
      <c r="AV177" s="13" t="s">
        <v>136</v>
      </c>
      <c r="AW177" s="15" t="str">
        <f>VLOOKUP(AV177,'Axe 2 Règles de gestion'!$D$2:$F$146,3, FALSE)</f>
        <v>La date de début de position doit être antérieure ou égale à la date de fin réelle de position.</v>
      </c>
      <c r="AX177" s="13" t="s">
        <v>138</v>
      </c>
      <c r="AY177" s="15" t="str">
        <f>VLOOKUP(AX177,'Axe 2 Règles de gestion'!$D$2:$F$146,3, FALSE)</f>
        <v>La date de fin prévisionnelle de la position doit être antérieure à la date limite de départ à la retraite.</v>
      </c>
      <c r="AZ177" s="13" t="s">
        <v>140</v>
      </c>
      <c r="BA177" s="15" t="str">
        <f>VLOOKUP(AZ177,'Axe 2 Règles de gestion'!$D$2:$F$146,3, FALSE)</f>
        <v>La date de fin réelle de la position doit être antérieure à la date limite de départ à la retraite.</v>
      </c>
      <c r="BB177" s="13" t="s">
        <v>142</v>
      </c>
      <c r="BC177" s="15" t="str">
        <f>VLOOKUP(BB177,'Axe 2 Règles de gestion'!$D$2:$F$146,3, FALSE)</f>
        <v>La date de fin ou la date de fin prévisionnelle doit être saisie.</v>
      </c>
      <c r="BD177" s="13" t="s">
        <v>152</v>
      </c>
      <c r="BE177" s="15" t="str">
        <f>VLOOKUP(BD177,'Axe 2 Règles de gestion'!$D$2:$F$146,3, FALSE)</f>
        <v>La saisie d'une occurrence de congés/absences est interdite (date de fin réelle)</v>
      </c>
      <c r="BF177" s="13" t="s">
        <v>154</v>
      </c>
      <c r="BG177" s="15" t="str">
        <f>VLOOKUP(BF177,'Axe 2 Règles de gestion'!$D$2:$F$146,3, FALSE)</f>
        <v>La saisie d'une occurrence de congés/absences est interdite (date de fin prévisionnelle)</v>
      </c>
      <c r="BH177" s="13"/>
      <c r="BI177" s="15"/>
      <c r="BJ177" s="13"/>
      <c r="BK177" s="15"/>
      <c r="BL177" s="13"/>
      <c r="BM177" s="15"/>
      <c r="BN177" s="13"/>
      <c r="BO177" s="15"/>
      <c r="BP177" s="13"/>
      <c r="BQ177" s="15"/>
      <c r="BR177" s="13"/>
      <c r="BS177" s="15"/>
      <c r="BT177" s="13"/>
      <c r="BU177" s="15"/>
      <c r="BV177" s="13"/>
      <c r="BW177" s="15"/>
    </row>
    <row r="178" spans="1:75" ht="130.5" x14ac:dyDescent="0.35">
      <c r="A178" s="13" t="s">
        <v>165</v>
      </c>
      <c r="B178" s="13" t="s">
        <v>109</v>
      </c>
      <c r="C178" s="14">
        <v>44715.452777777777</v>
      </c>
      <c r="D178" s="13" t="s">
        <v>78</v>
      </c>
      <c r="E178" s="15" t="s">
        <v>79</v>
      </c>
      <c r="F178" s="13" t="s">
        <v>80</v>
      </c>
      <c r="G178" s="15" t="s">
        <v>81</v>
      </c>
      <c r="H178" s="13" t="s">
        <v>353</v>
      </c>
      <c r="I178" s="15" t="s">
        <v>354</v>
      </c>
      <c r="J178" s="15" t="s">
        <v>355</v>
      </c>
      <c r="K178" s="15" t="s">
        <v>356</v>
      </c>
      <c r="L178" s="13" t="s">
        <v>361</v>
      </c>
      <c r="M178" s="15" t="s">
        <v>362</v>
      </c>
      <c r="N178" s="13" t="s">
        <v>101</v>
      </c>
      <c r="O178" s="15" t="s">
        <v>102</v>
      </c>
      <c r="P178" s="15" t="s">
        <v>103</v>
      </c>
      <c r="Q178" s="15" t="s">
        <v>110</v>
      </c>
      <c r="R178" s="13" t="s">
        <v>111</v>
      </c>
      <c r="S178" s="13" t="s">
        <v>93</v>
      </c>
      <c r="T178" s="13" t="s">
        <v>112</v>
      </c>
      <c r="U178" s="14">
        <v>40725</v>
      </c>
      <c r="V178" s="14">
        <v>44633</v>
      </c>
      <c r="W178" s="15" t="s">
        <v>366</v>
      </c>
      <c r="X178" s="13" t="s">
        <v>167</v>
      </c>
      <c r="Y178" s="15" t="str">
        <f>VLOOKUP(X178,'Axe 2 Règles de gestion'!$D$2:$F$146,3, FALSE)</f>
        <v>L'agent doit demander à reprendre ses fonctions au moins 2 mois avant l'expiration du congé en cours.</v>
      </c>
      <c r="Z178" s="13" t="s">
        <v>169</v>
      </c>
      <c r="AA178" s="15" t="str">
        <f>VLOOKUP(Z178,'Axe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78" s="13"/>
      <c r="AC178" s="15"/>
      <c r="AD178" s="13"/>
      <c r="AE178" s="15"/>
      <c r="AF178" s="13" t="s">
        <v>118</v>
      </c>
      <c r="AG178" s="15" t="str">
        <f>VLOOKUP(AF178,'Axe 2 Règles de gestion'!$D$2:$F$146,3, FALSE)</f>
        <v>La durée prévisionnelle maximale de chaque période est de un an.</v>
      </c>
      <c r="AH178" s="13" t="s">
        <v>120</v>
      </c>
      <c r="AI178" s="15" t="str">
        <f>VLOOKUP(AH178,'Axe 2 Règles de gestion'!$D$2:$F$146,3, FALSE)</f>
        <v>La durée réelle maximale de chaque période est de un an.</v>
      </c>
      <c r="AJ178" s="13" t="s">
        <v>122</v>
      </c>
      <c r="AK178" s="15" t="str">
        <f>VLOOKUP(AJ178,'Axe 2 Règles de gestion'!$D$2:$F$146,3, FALSE)</f>
        <v>L'agent ne peut pas bénéficier de plus de 3 ans cumulés de congé sans traitement quels que soient les motifs de congés sans traitement : pour raisons personnelles ou familiales.</v>
      </c>
      <c r="AL178" s="13" t="s">
        <v>364</v>
      </c>
      <c r="AM178" s="15" t="str">
        <f>VLOOKUP(AL178,'Axe 2 Règles de gestion'!$D$2:$F$146,3, FALSE)</f>
        <v>Le type de situation de famille de l'agent doit être "marié(e)" ou "pacsé(e)".</v>
      </c>
      <c r="AN178" s="13"/>
      <c r="AO178" s="15"/>
      <c r="AP178" s="13" t="s">
        <v>134</v>
      </c>
      <c r="AQ178" s="15" t="str">
        <f>VLOOKUP(AP178,'Axe 2 Règles de gestion'!$D$2:$F$146,3, FALSE)</f>
        <v>La date de début de position doit être antérieure ou égale à la date de fin prévisionnelle de position.</v>
      </c>
      <c r="AR178" s="13" t="s">
        <v>136</v>
      </c>
      <c r="AS178" s="15" t="str">
        <f>VLOOKUP(AR178,'Axe 2 Règles de gestion'!$D$2:$F$146,3, FALSE)</f>
        <v>La date de début de position doit être antérieure ou égale à la date de fin réelle de position.</v>
      </c>
      <c r="AT178" s="13" t="s">
        <v>138</v>
      </c>
      <c r="AU178" s="15" t="str">
        <f>VLOOKUP(AT178,'Axe 2 Règles de gestion'!$D$2:$F$146,3, FALSE)</f>
        <v>La date de fin prévisionnelle de la position doit être antérieure à la date limite de départ à la retraite.</v>
      </c>
      <c r="AV178" s="13" t="s">
        <v>140</v>
      </c>
      <c r="AW178" s="15" t="str">
        <f>VLOOKUP(AV178,'Axe 2 Règles de gestion'!$D$2:$F$146,3, FALSE)</f>
        <v>La date de fin réelle de la position doit être antérieure à la date limite de départ à la retraite.</v>
      </c>
      <c r="AX178" s="13" t="s">
        <v>142</v>
      </c>
      <c r="AY178" s="15" t="str">
        <f>VLOOKUP(AX178,'Axe 2 Règles de gestion'!$D$2:$F$146,3, FALSE)</f>
        <v>La date de fin ou la date de fin prévisionnelle doit être saisie.</v>
      </c>
      <c r="AZ178" s="13" t="s">
        <v>152</v>
      </c>
      <c r="BA178" s="15" t="str">
        <f>VLOOKUP(AZ178,'Axe 2 Règles de gestion'!$D$2:$F$146,3, FALSE)</f>
        <v>La saisie d'une occurrence de congés/absences est interdite (date de fin réelle)</v>
      </c>
      <c r="BB178" s="13" t="s">
        <v>154</v>
      </c>
      <c r="BC178" s="15" t="str">
        <f>VLOOKUP(BB178,'Axe 2 Règles de gestion'!$D$2:$F$146,3, FALSE)</f>
        <v>La saisie d'une occurrence de congés/absences est interdite (date de fin prévisionnelle)</v>
      </c>
      <c r="BD178" s="13"/>
      <c r="BE178" s="15"/>
      <c r="BF178" s="13"/>
      <c r="BG178" s="15"/>
      <c r="BH178" s="13"/>
      <c r="BI178" s="15"/>
      <c r="BJ178" s="13"/>
      <c r="BK178" s="15"/>
      <c r="BL178" s="13"/>
      <c r="BM178" s="15"/>
      <c r="BN178" s="13"/>
      <c r="BO178" s="15"/>
      <c r="BP178" s="13"/>
      <c r="BQ178" s="15"/>
      <c r="BR178" s="13"/>
      <c r="BS178" s="15"/>
      <c r="BT178" s="13"/>
      <c r="BU178" s="15"/>
      <c r="BV178" s="13"/>
      <c r="BW178" s="15"/>
    </row>
    <row r="179" spans="1:75" ht="145" x14ac:dyDescent="0.35">
      <c r="A179" s="13" t="s">
        <v>165</v>
      </c>
      <c r="B179" s="13" t="s">
        <v>77</v>
      </c>
      <c r="C179" s="14">
        <v>44715.453472222223</v>
      </c>
      <c r="D179" s="13" t="s">
        <v>78</v>
      </c>
      <c r="E179" s="15" t="s">
        <v>79</v>
      </c>
      <c r="F179" s="13" t="s">
        <v>80</v>
      </c>
      <c r="G179" s="15" t="s">
        <v>81</v>
      </c>
      <c r="H179" s="13" t="s">
        <v>353</v>
      </c>
      <c r="I179" s="15" t="s">
        <v>354</v>
      </c>
      <c r="J179" s="15" t="s">
        <v>355</v>
      </c>
      <c r="K179" s="15" t="s">
        <v>356</v>
      </c>
      <c r="L179" s="13" t="s">
        <v>361</v>
      </c>
      <c r="M179" s="15" t="s">
        <v>362</v>
      </c>
      <c r="N179" s="13" t="s">
        <v>101</v>
      </c>
      <c r="O179" s="15" t="s">
        <v>102</v>
      </c>
      <c r="P179" s="15" t="s">
        <v>103</v>
      </c>
      <c r="Q179" s="15" t="s">
        <v>110</v>
      </c>
      <c r="R179" s="13" t="s">
        <v>111</v>
      </c>
      <c r="S179" s="13" t="s">
        <v>93</v>
      </c>
      <c r="T179" s="13" t="s">
        <v>112</v>
      </c>
      <c r="U179" s="14">
        <v>44634</v>
      </c>
      <c r="V179" s="14"/>
      <c r="W179" s="15" t="s">
        <v>367</v>
      </c>
      <c r="X179" s="13" t="s">
        <v>167</v>
      </c>
      <c r="Y179" s="15" t="str">
        <f>VLOOKUP(X179,'Axe 2 Règles de gestion'!$D$2:$F$146,3, FALSE)</f>
        <v>L'agent doit demander à reprendre ses fonctions au moins 2 mois avant l'expiration du congé en cours.</v>
      </c>
      <c r="Z179" s="13" t="s">
        <v>172</v>
      </c>
      <c r="AA179" s="15" t="str">
        <f>VLOOKUP(Z179,'Axe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79" s="13"/>
      <c r="AC179" s="15"/>
      <c r="AD179" s="13"/>
      <c r="AE179" s="15"/>
      <c r="AF179" s="13" t="s">
        <v>118</v>
      </c>
      <c r="AG179" s="15" t="str">
        <f>VLOOKUP(AF179,'Axe 2 Règles de gestion'!$D$2:$F$146,3, FALSE)</f>
        <v>La durée prévisionnelle maximale de chaque période est de un an.</v>
      </c>
      <c r="AH179" s="13" t="s">
        <v>120</v>
      </c>
      <c r="AI179" s="15" t="str">
        <f>VLOOKUP(AH179,'Axe 2 Règles de gestion'!$D$2:$F$146,3, FALSE)</f>
        <v>La durée réelle maximale de chaque période est de un an.</v>
      </c>
      <c r="AJ179" s="13" t="s">
        <v>122</v>
      </c>
      <c r="AK179" s="15" t="str">
        <f>VLOOKUP(AJ179,'Axe 2 Règles de gestion'!$D$2:$F$146,3, FALSE)</f>
        <v>L'agent ne peut pas bénéficier de plus de 3 ans cumulés de congé sans traitement quels que soient les motifs de congés sans traitement : pour raisons personnelles ou familiales.</v>
      </c>
      <c r="AL179" s="13" t="s">
        <v>364</v>
      </c>
      <c r="AM179" s="15" t="str">
        <f>VLOOKUP(AL179,'Axe 2 Règles de gestion'!$D$2:$F$146,3, FALSE)</f>
        <v>Le type de situation de famille de l'agent doit être "marié(e)" ou "pacsé(e)".</v>
      </c>
      <c r="AN179" s="13"/>
      <c r="AO179" s="15"/>
      <c r="AP179" s="13" t="s">
        <v>134</v>
      </c>
      <c r="AQ179" s="15" t="str">
        <f>VLOOKUP(AP179,'Axe 2 Règles de gestion'!$D$2:$F$146,3, FALSE)</f>
        <v>La date de début de position doit être antérieure ou égale à la date de fin prévisionnelle de position.</v>
      </c>
      <c r="AR179" s="13" t="s">
        <v>136</v>
      </c>
      <c r="AS179" s="15" t="str">
        <f>VLOOKUP(AR179,'Axe 2 Règles de gestion'!$D$2:$F$146,3, FALSE)</f>
        <v>La date de début de position doit être antérieure ou égale à la date de fin réelle de position.</v>
      </c>
      <c r="AT179" s="13" t="s">
        <v>138</v>
      </c>
      <c r="AU179" s="15" t="str">
        <f>VLOOKUP(AT179,'Axe 2 Règles de gestion'!$D$2:$F$146,3, FALSE)</f>
        <v>La date de fin prévisionnelle de la position doit être antérieure à la date limite de départ à la retraite.</v>
      </c>
      <c r="AV179" s="13" t="s">
        <v>140</v>
      </c>
      <c r="AW179" s="15" t="str">
        <f>VLOOKUP(AV179,'Axe 2 Règles de gestion'!$D$2:$F$146,3, FALSE)</f>
        <v>La date de fin réelle de la position doit être antérieure à la date limite de départ à la retraite.</v>
      </c>
      <c r="AX179" s="13" t="s">
        <v>142</v>
      </c>
      <c r="AY179" s="15" t="str">
        <f>VLOOKUP(AX179,'Axe 2 Règles de gestion'!$D$2:$F$146,3, FALSE)</f>
        <v>La date de fin ou la date de fin prévisionnelle doit être saisie.</v>
      </c>
      <c r="AZ179" s="13" t="s">
        <v>152</v>
      </c>
      <c r="BA179" s="15" t="str">
        <f>VLOOKUP(AZ179,'Axe 2 Règles de gestion'!$D$2:$F$146,3, FALSE)</f>
        <v>La saisie d'une occurrence de congés/absences est interdite (date de fin réelle)</v>
      </c>
      <c r="BB179" s="13" t="s">
        <v>154</v>
      </c>
      <c r="BC179" s="15" t="str">
        <f>VLOOKUP(BB179,'Axe 2 Règles de gestion'!$D$2:$F$146,3, FALSE)</f>
        <v>La saisie d'une occurrence de congés/absences est interdite (date de fin prévisionnelle)</v>
      </c>
      <c r="BD179" s="13"/>
      <c r="BE179" s="15"/>
      <c r="BF179" s="13"/>
      <c r="BG179" s="15"/>
      <c r="BH179" s="13"/>
      <c r="BI179" s="15"/>
      <c r="BJ179" s="13"/>
      <c r="BK179" s="15"/>
      <c r="BL179" s="13"/>
      <c r="BM179" s="15"/>
      <c r="BN179" s="13"/>
      <c r="BO179" s="15"/>
      <c r="BP179" s="13"/>
      <c r="BQ179" s="15"/>
      <c r="BR179" s="13"/>
      <c r="BS179" s="15"/>
      <c r="BT179" s="13"/>
      <c r="BU179" s="15"/>
      <c r="BV179" s="13"/>
      <c r="BW179" s="15"/>
    </row>
    <row r="180" spans="1:75" ht="72.5" x14ac:dyDescent="0.35">
      <c r="A180" s="13" t="s">
        <v>76</v>
      </c>
      <c r="B180" s="13" t="s">
        <v>77</v>
      </c>
      <c r="C180" s="14">
        <v>43152.5</v>
      </c>
      <c r="D180" s="13" t="s">
        <v>78</v>
      </c>
      <c r="E180" s="15" t="s">
        <v>79</v>
      </c>
      <c r="F180" s="13" t="s">
        <v>80</v>
      </c>
      <c r="G180" s="15" t="s">
        <v>81</v>
      </c>
      <c r="H180" s="13" t="s">
        <v>353</v>
      </c>
      <c r="I180" s="15" t="s">
        <v>354</v>
      </c>
      <c r="J180" s="15" t="s">
        <v>355</v>
      </c>
      <c r="K180" s="15" t="s">
        <v>356</v>
      </c>
      <c r="L180" s="13" t="s">
        <v>357</v>
      </c>
      <c r="M180" s="15" t="s">
        <v>358</v>
      </c>
      <c r="N180" s="13" t="s">
        <v>88</v>
      </c>
      <c r="O180" s="15" t="s">
        <v>89</v>
      </c>
      <c r="P180" s="15" t="s">
        <v>90</v>
      </c>
      <c r="Q180" s="15" t="s">
        <v>175</v>
      </c>
      <c r="R180" s="13" t="s">
        <v>176</v>
      </c>
      <c r="S180" s="13" t="s">
        <v>93</v>
      </c>
      <c r="T180" s="13" t="s">
        <v>94</v>
      </c>
      <c r="U180" s="14">
        <v>40725</v>
      </c>
      <c r="V180" s="14"/>
      <c r="W180" s="15"/>
      <c r="X180" s="13"/>
      <c r="Y180" s="15"/>
      <c r="Z180" s="13"/>
      <c r="AA180" s="15"/>
      <c r="AB180" s="13"/>
      <c r="AC180" s="15"/>
      <c r="AD180" s="13"/>
      <c r="AE180" s="15"/>
      <c r="AF180" s="13"/>
      <c r="AG180" s="15"/>
      <c r="AH180" s="13"/>
      <c r="AI180" s="15"/>
      <c r="AJ180" s="13"/>
      <c r="AK180" s="15"/>
      <c r="AL180" s="13"/>
      <c r="AM180" s="15"/>
      <c r="AN180" s="13"/>
      <c r="AO180" s="15"/>
      <c r="AP180" s="13"/>
      <c r="AQ180" s="15"/>
      <c r="AR180" s="13"/>
      <c r="AS180" s="15"/>
      <c r="AT180" s="13"/>
      <c r="AU180" s="15"/>
      <c r="AV180" s="13"/>
      <c r="AW180" s="15"/>
      <c r="AX180" s="13"/>
      <c r="AY180" s="15"/>
      <c r="AZ180" s="13"/>
      <c r="BA180" s="15"/>
      <c r="BB180" s="13"/>
      <c r="BC180" s="15"/>
      <c r="BD180" s="13"/>
      <c r="BE180" s="15"/>
      <c r="BF180" s="13"/>
      <c r="BG180" s="15"/>
      <c r="BH180" s="13"/>
      <c r="BI180" s="15"/>
      <c r="BJ180" s="13"/>
      <c r="BK180" s="15"/>
      <c r="BL180" s="13"/>
      <c r="BM180" s="15"/>
      <c r="BN180" s="13"/>
      <c r="BO180" s="15"/>
      <c r="BP180" s="13"/>
      <c r="BQ180" s="15"/>
      <c r="BR180" s="13"/>
      <c r="BS180" s="15"/>
      <c r="BT180" s="13"/>
      <c r="BU180" s="15"/>
      <c r="BV180" s="13"/>
      <c r="BW180" s="15"/>
    </row>
    <row r="181" spans="1:75" ht="72.5" x14ac:dyDescent="0.35">
      <c r="A181" s="13" t="s">
        <v>76</v>
      </c>
      <c r="B181" s="13" t="s">
        <v>77</v>
      </c>
      <c r="C181" s="14">
        <v>43152.5</v>
      </c>
      <c r="D181" s="13" t="s">
        <v>78</v>
      </c>
      <c r="E181" s="15" t="s">
        <v>79</v>
      </c>
      <c r="F181" s="13" t="s">
        <v>80</v>
      </c>
      <c r="G181" s="15" t="s">
        <v>81</v>
      </c>
      <c r="H181" s="13" t="s">
        <v>353</v>
      </c>
      <c r="I181" s="15" t="s">
        <v>354</v>
      </c>
      <c r="J181" s="15" t="s">
        <v>355</v>
      </c>
      <c r="K181" s="15" t="s">
        <v>356</v>
      </c>
      <c r="L181" s="13" t="s">
        <v>359</v>
      </c>
      <c r="M181" s="15" t="s">
        <v>360</v>
      </c>
      <c r="N181" s="13" t="s">
        <v>88</v>
      </c>
      <c r="O181" s="15" t="s">
        <v>97</v>
      </c>
      <c r="P181" s="15" t="s">
        <v>98</v>
      </c>
      <c r="Q181" s="15" t="s">
        <v>175</v>
      </c>
      <c r="R181" s="13" t="s">
        <v>176</v>
      </c>
      <c r="S181" s="13" t="s">
        <v>93</v>
      </c>
      <c r="T181" s="13" t="s">
        <v>94</v>
      </c>
      <c r="U181" s="14">
        <v>40725</v>
      </c>
      <c r="V181" s="14"/>
      <c r="W181" s="15"/>
      <c r="X181" s="13"/>
      <c r="Y181" s="15"/>
      <c r="Z181" s="13"/>
      <c r="AA181" s="15"/>
      <c r="AB181" s="13"/>
      <c r="AC181" s="15"/>
      <c r="AD181" s="13"/>
      <c r="AE181" s="15"/>
      <c r="AF181" s="13"/>
      <c r="AG181" s="15"/>
      <c r="AH181" s="13"/>
      <c r="AI181" s="15"/>
      <c r="AJ181" s="13"/>
      <c r="AK181" s="15"/>
      <c r="AL181" s="13"/>
      <c r="AM181" s="15"/>
      <c r="AN181" s="13"/>
      <c r="AO181" s="15"/>
      <c r="AP181" s="13"/>
      <c r="AQ181" s="15"/>
      <c r="AR181" s="13"/>
      <c r="AS181" s="15"/>
      <c r="AT181" s="13"/>
      <c r="AU181" s="15"/>
      <c r="AV181" s="13"/>
      <c r="AW181" s="15"/>
      <c r="AX181" s="13"/>
      <c r="AY181" s="15"/>
      <c r="AZ181" s="13"/>
      <c r="BA181" s="15"/>
      <c r="BB181" s="13"/>
      <c r="BC181" s="15"/>
      <c r="BD181" s="13"/>
      <c r="BE181" s="15"/>
      <c r="BF181" s="13"/>
      <c r="BG181" s="15"/>
      <c r="BH181" s="13"/>
      <c r="BI181" s="15"/>
      <c r="BJ181" s="13"/>
      <c r="BK181" s="15"/>
      <c r="BL181" s="13"/>
      <c r="BM181" s="15"/>
      <c r="BN181" s="13"/>
      <c r="BO181" s="15"/>
      <c r="BP181" s="13"/>
      <c r="BQ181" s="15"/>
      <c r="BR181" s="13"/>
      <c r="BS181" s="15"/>
      <c r="BT181" s="13"/>
      <c r="BU181" s="15"/>
      <c r="BV181" s="13"/>
      <c r="BW181" s="15"/>
    </row>
    <row r="182" spans="1:75" ht="58" x14ac:dyDescent="0.35">
      <c r="A182" s="13" t="s">
        <v>76</v>
      </c>
      <c r="B182" s="13" t="s">
        <v>77</v>
      </c>
      <c r="C182" s="14">
        <v>43152.5</v>
      </c>
      <c r="D182" s="13" t="s">
        <v>78</v>
      </c>
      <c r="E182" s="15" t="s">
        <v>79</v>
      </c>
      <c r="F182" s="13" t="s">
        <v>80</v>
      </c>
      <c r="G182" s="15" t="s">
        <v>81</v>
      </c>
      <c r="H182" s="13" t="s">
        <v>353</v>
      </c>
      <c r="I182" s="15" t="s">
        <v>354</v>
      </c>
      <c r="J182" s="15" t="s">
        <v>355</v>
      </c>
      <c r="K182" s="15" t="s">
        <v>356</v>
      </c>
      <c r="L182" s="13" t="s">
        <v>361</v>
      </c>
      <c r="M182" s="15" t="s">
        <v>362</v>
      </c>
      <c r="N182" s="13" t="s">
        <v>101</v>
      </c>
      <c r="O182" s="15" t="s">
        <v>102</v>
      </c>
      <c r="P182" s="15" t="s">
        <v>103</v>
      </c>
      <c r="Q182" s="15" t="s">
        <v>175</v>
      </c>
      <c r="R182" s="13" t="s">
        <v>176</v>
      </c>
      <c r="S182" s="13" t="s">
        <v>93</v>
      </c>
      <c r="T182" s="13" t="s">
        <v>94</v>
      </c>
      <c r="U182" s="14">
        <v>40725</v>
      </c>
      <c r="V182" s="14"/>
      <c r="W182" s="15"/>
      <c r="X182" s="13"/>
      <c r="Y182" s="15"/>
      <c r="Z182" s="13"/>
      <c r="AA182" s="15"/>
      <c r="AB182" s="13"/>
      <c r="AC182" s="15"/>
      <c r="AD182" s="13"/>
      <c r="AE182" s="15"/>
      <c r="AF182" s="13"/>
      <c r="AG182" s="15"/>
      <c r="AH182" s="13"/>
      <c r="AI182" s="15"/>
      <c r="AJ182" s="13"/>
      <c r="AK182" s="15"/>
      <c r="AL182" s="13"/>
      <c r="AM182" s="15"/>
      <c r="AN182" s="13"/>
      <c r="AO182" s="15"/>
      <c r="AP182" s="13"/>
      <c r="AQ182" s="15"/>
      <c r="AR182" s="13"/>
      <c r="AS182" s="15"/>
      <c r="AT182" s="13"/>
      <c r="AU182" s="15"/>
      <c r="AV182" s="13"/>
      <c r="AW182" s="15"/>
      <c r="AX182" s="13"/>
      <c r="AY182" s="15"/>
      <c r="AZ182" s="13"/>
      <c r="BA182" s="15"/>
      <c r="BB182" s="13"/>
      <c r="BC182" s="15"/>
      <c r="BD182" s="13"/>
      <c r="BE182" s="15"/>
      <c r="BF182" s="13"/>
      <c r="BG182" s="15"/>
      <c r="BH182" s="13"/>
      <c r="BI182" s="15"/>
      <c r="BJ182" s="13"/>
      <c r="BK182" s="15"/>
      <c r="BL182" s="13"/>
      <c r="BM182" s="15"/>
      <c r="BN182" s="13"/>
      <c r="BO182" s="15"/>
      <c r="BP182" s="13"/>
      <c r="BQ182" s="15"/>
      <c r="BR182" s="13"/>
      <c r="BS182" s="15"/>
      <c r="BT182" s="13"/>
      <c r="BU182" s="15"/>
      <c r="BV182" s="13"/>
      <c r="BW182" s="15"/>
    </row>
    <row r="183" spans="1:75" ht="101.5" x14ac:dyDescent="0.35">
      <c r="A183" s="13" t="s">
        <v>238</v>
      </c>
      <c r="B183" s="13" t="s">
        <v>109</v>
      </c>
      <c r="C183" s="14">
        <v>44368.708333333336</v>
      </c>
      <c r="D183" s="13" t="s">
        <v>78</v>
      </c>
      <c r="E183" s="15" t="s">
        <v>79</v>
      </c>
      <c r="F183" s="13" t="s">
        <v>80</v>
      </c>
      <c r="G183" s="15" t="s">
        <v>81</v>
      </c>
      <c r="H183" s="13" t="s">
        <v>353</v>
      </c>
      <c r="I183" s="15" t="s">
        <v>354</v>
      </c>
      <c r="J183" s="15" t="s">
        <v>355</v>
      </c>
      <c r="K183" s="15" t="s">
        <v>356</v>
      </c>
      <c r="L183" s="13" t="s">
        <v>357</v>
      </c>
      <c r="M183" s="15" t="s">
        <v>358</v>
      </c>
      <c r="N183" s="13" t="s">
        <v>88</v>
      </c>
      <c r="O183" s="15" t="s">
        <v>89</v>
      </c>
      <c r="P183" s="15" t="s">
        <v>90</v>
      </c>
      <c r="Q183" s="15" t="s">
        <v>177</v>
      </c>
      <c r="R183" s="13" t="s">
        <v>178</v>
      </c>
      <c r="S183" s="13" t="s">
        <v>179</v>
      </c>
      <c r="T183" s="13" t="s">
        <v>112</v>
      </c>
      <c r="U183" s="14">
        <v>40725</v>
      </c>
      <c r="V183" s="14"/>
      <c r="W183" s="15" t="s">
        <v>368</v>
      </c>
      <c r="X183" s="13" t="s">
        <v>181</v>
      </c>
      <c r="Y183" s="15" t="str">
        <f>VLOOKUP(X183,'Axe 2 Règles de gestion'!$D$2:$F$146,3, FALSE)</f>
        <v>L'agent doit présenter une demande de congé sans traitement.</v>
      </c>
      <c r="Z183" s="13" t="s">
        <v>182</v>
      </c>
      <c r="AA183" s="15" t="str">
        <f>VLOOKUP(Z183,'Axe 2 Règles de gestion'!$D$2:$F$146,3, FALSE)</f>
        <v>La demande est accordée de droit par le supérieur hiérarchique.</v>
      </c>
      <c r="AB183" s="13"/>
      <c r="AC183" s="15"/>
      <c r="AD183" s="13"/>
      <c r="AE183" s="15"/>
      <c r="AF183" s="13" t="s">
        <v>183</v>
      </c>
      <c r="AG183" s="15" t="str">
        <f>VLOOKUP(AF183,'Axe 2 Règles de gestion'!$D$2:$F$146,3, FALSE)</f>
        <v>La durée prévisionnelle maximale de chaque période est de un an.</v>
      </c>
      <c r="AH183" s="13" t="s">
        <v>184</v>
      </c>
      <c r="AI183" s="15" t="str">
        <f>VLOOKUP(AH183,'Axe 2 Règles de gestion'!$D$2:$F$146,3, FALSE)</f>
        <v>La durée réelle maximale de chaque période est de un an.</v>
      </c>
      <c r="AJ183" s="13" t="s">
        <v>185</v>
      </c>
      <c r="AK183" s="15" t="str">
        <f>VLOOKUP(AJ183,'Axe 2 Règles de gestion'!$D$2:$F$146,3, FALSE)</f>
        <v>L'agent ne peut pas bénéficier de plus de 3 ans cumulés de congé sans traitement quels que soient les motifs de congés sans traitement : pour raisons personnelles ou familiales.</v>
      </c>
      <c r="AL183" s="13" t="s">
        <v>369</v>
      </c>
      <c r="AM183" s="15" t="str">
        <f>VLOOKUP(AL183,'Axe 2 Règles de gestion'!$D$2:$F$146,3, FALSE)</f>
        <v>Le type de situation de famille de l'agent doit être "marié(e)" ou "pacsé(e)".</v>
      </c>
      <c r="AN183" s="13"/>
      <c r="AO183" s="15"/>
      <c r="AP183" s="13" t="s">
        <v>128</v>
      </c>
      <c r="AQ183" s="15" t="str">
        <f>VLOOKUP(AP183,'Axe 2 Règles de gestion'!$D$2:$F$146,3, FALSE)</f>
        <v>Lors de la demande initiale, l'agent doit être en activité.</v>
      </c>
      <c r="AR183" s="13" t="s">
        <v>130</v>
      </c>
      <c r="AS183" s="15" t="str">
        <f>VLOOKUP(AR183,'Axe 2 Règles de gestion'!$D$2:$F$146,3, FALSE)</f>
        <v>La date de début de la position doit être postérieure ou égale à la date d'entrée dans la FPE ou dans la carrière militaire.</v>
      </c>
      <c r="AT183" s="13" t="s">
        <v>132</v>
      </c>
      <c r="AU183" s="15" t="str">
        <f>VLOOKUP(AT183,'Axe 2 Règles de gestion'!$D$2:$F$146,3, FALSE)</f>
        <v>La date de début de position est à J+1 de la date de fin de position de l'occurrence précédente.</v>
      </c>
      <c r="AV183" s="13" t="s">
        <v>134</v>
      </c>
      <c r="AW183" s="15" t="str">
        <f>VLOOKUP(AV183,'Axe 2 Règles de gestion'!$D$2:$F$146,3, FALSE)</f>
        <v>La date de début de position doit être antérieure ou égale à la date de fin prévisionnelle de position.</v>
      </c>
      <c r="AX183" s="13" t="s">
        <v>136</v>
      </c>
      <c r="AY183" s="15" t="str">
        <f>VLOOKUP(AX183,'Axe 2 Règles de gestion'!$D$2:$F$146,3, FALSE)</f>
        <v>La date de début de position doit être antérieure ou égale à la date de fin réelle de position.</v>
      </c>
      <c r="AZ183" s="13" t="s">
        <v>138</v>
      </c>
      <c r="BA183" s="15" t="str">
        <f>VLOOKUP(AZ183,'Axe 2 Règles de gestion'!$D$2:$F$146,3, FALSE)</f>
        <v>La date de fin prévisionnelle de la position doit être antérieure à la date limite de départ à la retraite.</v>
      </c>
      <c r="BB183" s="13" t="s">
        <v>140</v>
      </c>
      <c r="BC183" s="15" t="str">
        <f>VLOOKUP(BB183,'Axe 2 Règles de gestion'!$D$2:$F$146,3, FALSE)</f>
        <v>La date de fin réelle de la position doit être antérieure à la date limite de départ à la retraite.</v>
      </c>
      <c r="BD183" s="13" t="s">
        <v>142</v>
      </c>
      <c r="BE183" s="15" t="str">
        <f>VLOOKUP(BD183,'Axe 2 Règles de gestion'!$D$2:$F$146,3, FALSE)</f>
        <v>La date de fin ou la date de fin prévisionnelle doit être saisie.</v>
      </c>
      <c r="BF183" s="13" t="s">
        <v>152</v>
      </c>
      <c r="BG183" s="15" t="str">
        <f>VLOOKUP(BF183,'Axe 2 Règles de gestion'!$D$2:$F$146,3, FALSE)</f>
        <v>La saisie d'une occurrence de congés/absences est interdite (date de fin réelle)</v>
      </c>
      <c r="BH183" s="13" t="s">
        <v>154</v>
      </c>
      <c r="BI183" s="15" t="str">
        <f>VLOOKUP(BH183,'Axe 2 Règles de gestion'!$D$2:$F$146,3, FALSE)</f>
        <v>La saisie d'une occurrence de congés/absences est interdite (date de fin prévisionnelle)</v>
      </c>
      <c r="BJ183" s="13"/>
      <c r="BK183" s="15"/>
      <c r="BL183" s="13"/>
      <c r="BM183" s="15"/>
      <c r="BN183" s="13"/>
      <c r="BO183" s="15"/>
      <c r="BP183" s="13"/>
      <c r="BQ183" s="15"/>
      <c r="BR183" s="13"/>
      <c r="BS183" s="15"/>
      <c r="BT183" s="13"/>
      <c r="BU183" s="15"/>
      <c r="BV183" s="13"/>
      <c r="BW183" s="15"/>
    </row>
    <row r="184" spans="1:75" ht="101.5" x14ac:dyDescent="0.35">
      <c r="A184" s="13" t="s">
        <v>238</v>
      </c>
      <c r="B184" s="13" t="s">
        <v>109</v>
      </c>
      <c r="C184" s="14">
        <v>44368.708333333336</v>
      </c>
      <c r="D184" s="13" t="s">
        <v>78</v>
      </c>
      <c r="E184" s="15" t="s">
        <v>79</v>
      </c>
      <c r="F184" s="13" t="s">
        <v>80</v>
      </c>
      <c r="G184" s="15" t="s">
        <v>81</v>
      </c>
      <c r="H184" s="13" t="s">
        <v>353</v>
      </c>
      <c r="I184" s="15" t="s">
        <v>354</v>
      </c>
      <c r="J184" s="15" t="s">
        <v>355</v>
      </c>
      <c r="K184" s="15" t="s">
        <v>356</v>
      </c>
      <c r="L184" s="13" t="s">
        <v>359</v>
      </c>
      <c r="M184" s="15" t="s">
        <v>360</v>
      </c>
      <c r="N184" s="13" t="s">
        <v>88</v>
      </c>
      <c r="O184" s="15" t="s">
        <v>97</v>
      </c>
      <c r="P184" s="15" t="s">
        <v>98</v>
      </c>
      <c r="Q184" s="15" t="s">
        <v>177</v>
      </c>
      <c r="R184" s="13" t="s">
        <v>178</v>
      </c>
      <c r="S184" s="13" t="s">
        <v>179</v>
      </c>
      <c r="T184" s="13" t="s">
        <v>112</v>
      </c>
      <c r="U184" s="14">
        <v>40725</v>
      </c>
      <c r="V184" s="14"/>
      <c r="W184" s="15" t="s">
        <v>370</v>
      </c>
      <c r="X184" s="13" t="s">
        <v>192</v>
      </c>
      <c r="Y184" s="15" t="str">
        <f>VLOOKUP(X184,'Axe 2 Règles de gestion'!$D$2:$F$146,3, FALSE)</f>
        <v>L'agent peut renouveler le congé sans traitement 2 fois.</v>
      </c>
      <c r="Z184" s="13"/>
      <c r="AA184" s="15"/>
      <c r="AB184" s="13"/>
      <c r="AC184" s="15"/>
      <c r="AD184" s="13"/>
      <c r="AE184" s="15"/>
      <c r="AF184" s="13" t="s">
        <v>183</v>
      </c>
      <c r="AG184" s="15" t="str">
        <f>VLOOKUP(AF184,'Axe 2 Règles de gestion'!$D$2:$F$146,3, FALSE)</f>
        <v>La durée prévisionnelle maximale de chaque période est de un an.</v>
      </c>
      <c r="AH184" s="13" t="s">
        <v>184</v>
      </c>
      <c r="AI184" s="15" t="str">
        <f>VLOOKUP(AH184,'Axe 2 Règles de gestion'!$D$2:$F$146,3, FALSE)</f>
        <v>La durée réelle maximale de chaque période est de un an.</v>
      </c>
      <c r="AJ184" s="13" t="s">
        <v>185</v>
      </c>
      <c r="AK184" s="15" t="str">
        <f>VLOOKUP(AJ184,'Axe 2 Règles de gestion'!$D$2:$F$146,3, FALSE)</f>
        <v>L'agent ne peut pas bénéficier de plus de 3 ans cumulés de congé sans traitement quels que soient les motifs de congés sans traitement : pour raisons personnelles ou familiales.</v>
      </c>
      <c r="AL184" s="13" t="s">
        <v>369</v>
      </c>
      <c r="AM184" s="15" t="str">
        <f>VLOOKUP(AL184,'Axe 2 Règles de gestion'!$D$2:$F$146,3, FALSE)</f>
        <v>Le type de situation de famille de l'agent doit être "marié(e)" ou "pacsé(e)".</v>
      </c>
      <c r="AN184" s="13"/>
      <c r="AO184" s="15"/>
      <c r="AP184" s="13" t="s">
        <v>130</v>
      </c>
      <c r="AQ184" s="15" t="str">
        <f>VLOOKUP(AP184,'Axe 2 Règles de gestion'!$D$2:$F$146,3, FALSE)</f>
        <v>La date de début de la position doit être postérieure ou égale à la date d'entrée dans la FPE ou dans la carrière militaire.</v>
      </c>
      <c r="AR184" s="13" t="s">
        <v>132</v>
      </c>
      <c r="AS184" s="15" t="str">
        <f>VLOOKUP(AR184,'Axe 2 Règles de gestion'!$D$2:$F$146,3, FALSE)</f>
        <v>La date de début de position est à J+1 de la date de fin de position de l'occurrence précédente.</v>
      </c>
      <c r="AT184" s="13" t="s">
        <v>134</v>
      </c>
      <c r="AU184" s="15" t="str">
        <f>VLOOKUP(AT184,'Axe 2 Règles de gestion'!$D$2:$F$146,3, FALSE)</f>
        <v>La date de début de position doit être antérieure ou égale à la date de fin prévisionnelle de position.</v>
      </c>
      <c r="AV184" s="13" t="s">
        <v>136</v>
      </c>
      <c r="AW184" s="15" t="str">
        <f>VLOOKUP(AV184,'Axe 2 Règles de gestion'!$D$2:$F$146,3, FALSE)</f>
        <v>La date de début de position doit être antérieure ou égale à la date de fin réelle de position.</v>
      </c>
      <c r="AX184" s="13" t="s">
        <v>138</v>
      </c>
      <c r="AY184" s="15" t="str">
        <f>VLOOKUP(AX184,'Axe 2 Règles de gestion'!$D$2:$F$146,3, FALSE)</f>
        <v>La date de fin prévisionnelle de la position doit être antérieure à la date limite de départ à la retraite.</v>
      </c>
      <c r="AZ184" s="13" t="s">
        <v>140</v>
      </c>
      <c r="BA184" s="15" t="str">
        <f>VLOOKUP(AZ184,'Axe 2 Règles de gestion'!$D$2:$F$146,3, FALSE)</f>
        <v>La date de fin réelle de la position doit être antérieure à la date limite de départ à la retraite.</v>
      </c>
      <c r="BB184" s="13" t="s">
        <v>142</v>
      </c>
      <c r="BC184" s="15" t="str">
        <f>VLOOKUP(BB184,'Axe 2 Règles de gestion'!$D$2:$F$146,3, FALSE)</f>
        <v>La date de fin ou la date de fin prévisionnelle doit être saisie.</v>
      </c>
      <c r="BD184" s="13" t="s">
        <v>152</v>
      </c>
      <c r="BE184" s="15" t="str">
        <f>VLOOKUP(BD184,'Axe 2 Règles de gestion'!$D$2:$F$146,3, FALSE)</f>
        <v>La saisie d'une occurrence de congés/absences est interdite (date de fin réelle)</v>
      </c>
      <c r="BF184" s="13" t="s">
        <v>154</v>
      </c>
      <c r="BG184" s="15" t="str">
        <f>VLOOKUP(BF184,'Axe 2 Règles de gestion'!$D$2:$F$146,3, FALSE)</f>
        <v>La saisie d'une occurrence de congés/absences est interdite (date de fin prévisionnelle)</v>
      </c>
      <c r="BH184" s="13"/>
      <c r="BI184" s="15"/>
      <c r="BJ184" s="13"/>
      <c r="BK184" s="15"/>
      <c r="BL184" s="13"/>
      <c r="BM184" s="15"/>
      <c r="BN184" s="13"/>
      <c r="BO184" s="15"/>
      <c r="BP184" s="13"/>
      <c r="BQ184" s="15"/>
      <c r="BR184" s="13"/>
      <c r="BS184" s="15"/>
      <c r="BT184" s="13"/>
      <c r="BU184" s="15"/>
      <c r="BV184" s="13"/>
      <c r="BW184" s="15"/>
    </row>
    <row r="185" spans="1:75" ht="130.5" x14ac:dyDescent="0.35">
      <c r="A185" s="13" t="s">
        <v>165</v>
      </c>
      <c r="B185" s="13" t="s">
        <v>109</v>
      </c>
      <c r="C185" s="14">
        <v>44715.45416666667</v>
      </c>
      <c r="D185" s="13" t="s">
        <v>78</v>
      </c>
      <c r="E185" s="15" t="s">
        <v>79</v>
      </c>
      <c r="F185" s="13" t="s">
        <v>80</v>
      </c>
      <c r="G185" s="15" t="s">
        <v>81</v>
      </c>
      <c r="H185" s="13" t="s">
        <v>353</v>
      </c>
      <c r="I185" s="15" t="s">
        <v>354</v>
      </c>
      <c r="J185" s="15" t="s">
        <v>355</v>
      </c>
      <c r="K185" s="15" t="s">
        <v>356</v>
      </c>
      <c r="L185" s="13" t="s">
        <v>361</v>
      </c>
      <c r="M185" s="15" t="s">
        <v>362</v>
      </c>
      <c r="N185" s="13" t="s">
        <v>101</v>
      </c>
      <c r="O185" s="15" t="s">
        <v>102</v>
      </c>
      <c r="P185" s="15" t="s">
        <v>103</v>
      </c>
      <c r="Q185" s="15" t="s">
        <v>177</v>
      </c>
      <c r="R185" s="13" t="s">
        <v>178</v>
      </c>
      <c r="S185" s="13" t="s">
        <v>179</v>
      </c>
      <c r="T185" s="13" t="s">
        <v>112</v>
      </c>
      <c r="U185" s="14">
        <v>40725</v>
      </c>
      <c r="V185" s="14">
        <v>44633</v>
      </c>
      <c r="W185" s="15" t="s">
        <v>371</v>
      </c>
      <c r="X185" s="13" t="s">
        <v>195</v>
      </c>
      <c r="Y185" s="15" t="str">
        <f>VLOOKUP(X185,'Axe 2 Règles de gestion'!$D$2:$F$146,3, FALSE)</f>
        <v>L'agent doit demander à reprendre ses fonctions 2 mois au moins avant l'expiration du congé en cours.</v>
      </c>
      <c r="Z185" s="13" t="s">
        <v>197</v>
      </c>
      <c r="AA185" s="15" t="str">
        <f>VLOOKUP(Z185,'Axe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B185" s="13"/>
      <c r="AC185" s="15"/>
      <c r="AD185" s="13"/>
      <c r="AE185" s="15"/>
      <c r="AF185" s="13" t="s">
        <v>183</v>
      </c>
      <c r="AG185" s="15" t="str">
        <f>VLOOKUP(AF185,'Axe 2 Règles de gestion'!$D$2:$F$146,3, FALSE)</f>
        <v>La durée prévisionnelle maximale de chaque période est de un an.</v>
      </c>
      <c r="AH185" s="13" t="s">
        <v>184</v>
      </c>
      <c r="AI185" s="15" t="str">
        <f>VLOOKUP(AH185,'Axe 2 Règles de gestion'!$D$2:$F$146,3, FALSE)</f>
        <v>La durée réelle maximale de chaque période est de un an.</v>
      </c>
      <c r="AJ185" s="13" t="s">
        <v>185</v>
      </c>
      <c r="AK185" s="15" t="str">
        <f>VLOOKUP(AJ185,'Axe 2 Règles de gestion'!$D$2:$F$146,3, FALSE)</f>
        <v>L'agent ne peut pas bénéficier de plus de 3 ans cumulés de congé sans traitement quels que soient les motifs de congés sans traitement : pour raisons personnelles ou familiales.</v>
      </c>
      <c r="AL185" s="13" t="s">
        <v>369</v>
      </c>
      <c r="AM185" s="15" t="str">
        <f>VLOOKUP(AL185,'Axe 2 Règles de gestion'!$D$2:$F$146,3, FALSE)</f>
        <v>Le type de situation de famille de l'agent doit être "marié(e)" ou "pacsé(e)".</v>
      </c>
      <c r="AN185" s="13"/>
      <c r="AO185" s="15"/>
      <c r="AP185" s="13" t="s">
        <v>134</v>
      </c>
      <c r="AQ185" s="15" t="str">
        <f>VLOOKUP(AP185,'Axe 2 Règles de gestion'!$D$2:$F$146,3, FALSE)</f>
        <v>La date de début de position doit être antérieure ou égale à la date de fin prévisionnelle de position.</v>
      </c>
      <c r="AR185" s="13" t="s">
        <v>136</v>
      </c>
      <c r="AS185" s="15" t="str">
        <f>VLOOKUP(AR185,'Axe 2 Règles de gestion'!$D$2:$F$146,3, FALSE)</f>
        <v>La date de début de position doit être antérieure ou égale à la date de fin réelle de position.</v>
      </c>
      <c r="AT185" s="13" t="s">
        <v>138</v>
      </c>
      <c r="AU185" s="15" t="str">
        <f>VLOOKUP(AT185,'Axe 2 Règles de gestion'!$D$2:$F$146,3, FALSE)</f>
        <v>La date de fin prévisionnelle de la position doit être antérieure à la date limite de départ à la retraite.</v>
      </c>
      <c r="AV185" s="13" t="s">
        <v>140</v>
      </c>
      <c r="AW185" s="15" t="str">
        <f>VLOOKUP(AV185,'Axe 2 Règles de gestion'!$D$2:$F$146,3, FALSE)</f>
        <v>La date de fin réelle de la position doit être antérieure à la date limite de départ à la retraite.</v>
      </c>
      <c r="AX185" s="13" t="s">
        <v>142</v>
      </c>
      <c r="AY185" s="15" t="str">
        <f>VLOOKUP(AX185,'Axe 2 Règles de gestion'!$D$2:$F$146,3, FALSE)</f>
        <v>La date de fin ou la date de fin prévisionnelle doit être saisie.</v>
      </c>
      <c r="AZ185" s="13" t="s">
        <v>152</v>
      </c>
      <c r="BA185" s="15" t="str">
        <f>VLOOKUP(AZ185,'Axe 2 Règles de gestion'!$D$2:$F$146,3, FALSE)</f>
        <v>La saisie d'une occurrence de congés/absences est interdite (date de fin réelle)</v>
      </c>
      <c r="BB185" s="13" t="s">
        <v>154</v>
      </c>
      <c r="BC185" s="15" t="str">
        <f>VLOOKUP(BB185,'Axe 2 Règles de gestion'!$D$2:$F$146,3, FALSE)</f>
        <v>La saisie d'une occurrence de congés/absences est interdite (date de fin prévisionnelle)</v>
      </c>
      <c r="BD185" s="13"/>
      <c r="BE185" s="15"/>
      <c r="BF185" s="13"/>
      <c r="BG185" s="15"/>
      <c r="BH185" s="13"/>
      <c r="BI185" s="15"/>
      <c r="BJ185" s="13"/>
      <c r="BK185" s="15"/>
      <c r="BL185" s="13"/>
      <c r="BM185" s="15"/>
      <c r="BN185" s="13"/>
      <c r="BO185" s="15"/>
      <c r="BP185" s="13"/>
      <c r="BQ185" s="15"/>
      <c r="BR185" s="13"/>
      <c r="BS185" s="15"/>
      <c r="BT185" s="13"/>
      <c r="BU185" s="15"/>
      <c r="BV185" s="13"/>
      <c r="BW185" s="15"/>
    </row>
    <row r="186" spans="1:75" ht="145" x14ac:dyDescent="0.35">
      <c r="A186" s="13" t="s">
        <v>165</v>
      </c>
      <c r="B186" s="13" t="s">
        <v>77</v>
      </c>
      <c r="C186" s="14">
        <v>44715.456944444442</v>
      </c>
      <c r="D186" s="13" t="s">
        <v>78</v>
      </c>
      <c r="E186" s="15" t="s">
        <v>79</v>
      </c>
      <c r="F186" s="13" t="s">
        <v>80</v>
      </c>
      <c r="G186" s="15" t="s">
        <v>81</v>
      </c>
      <c r="H186" s="13" t="s">
        <v>353</v>
      </c>
      <c r="I186" s="15" t="s">
        <v>354</v>
      </c>
      <c r="J186" s="15" t="s">
        <v>355</v>
      </c>
      <c r="K186" s="15" t="s">
        <v>356</v>
      </c>
      <c r="L186" s="13" t="s">
        <v>361</v>
      </c>
      <c r="M186" s="15" t="s">
        <v>362</v>
      </c>
      <c r="N186" s="13" t="s">
        <v>101</v>
      </c>
      <c r="O186" s="15" t="s">
        <v>102</v>
      </c>
      <c r="P186" s="15" t="s">
        <v>103</v>
      </c>
      <c r="Q186" s="15" t="s">
        <v>177</v>
      </c>
      <c r="R186" s="13" t="s">
        <v>178</v>
      </c>
      <c r="S186" s="13" t="s">
        <v>179</v>
      </c>
      <c r="T186" s="13" t="s">
        <v>112</v>
      </c>
      <c r="U186" s="14">
        <v>44634</v>
      </c>
      <c r="V186" s="14"/>
      <c r="W186" s="15" t="s">
        <v>372</v>
      </c>
      <c r="X186" s="13" t="s">
        <v>195</v>
      </c>
      <c r="Y186" s="15" t="str">
        <f>VLOOKUP(X186,'Axe 2 Règles de gestion'!$D$2:$F$146,3, FALSE)</f>
        <v>L'agent doit demander à reprendre ses fonctions 2 mois au moins avant l'expiration du congé en cours.</v>
      </c>
      <c r="Z186" s="13" t="s">
        <v>199</v>
      </c>
      <c r="AA186" s="15" t="str">
        <f>VLOOKUP(Z186,'Axe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B186" s="13"/>
      <c r="AC186" s="15"/>
      <c r="AD186" s="13"/>
      <c r="AE186" s="15"/>
      <c r="AF186" s="13" t="s">
        <v>183</v>
      </c>
      <c r="AG186" s="15" t="str">
        <f>VLOOKUP(AF186,'Axe 2 Règles de gestion'!$D$2:$F$146,3, FALSE)</f>
        <v>La durée prévisionnelle maximale de chaque période est de un an.</v>
      </c>
      <c r="AH186" s="13" t="s">
        <v>184</v>
      </c>
      <c r="AI186" s="15" t="str">
        <f>VLOOKUP(AH186,'Axe 2 Règles de gestion'!$D$2:$F$146,3, FALSE)</f>
        <v>La durée réelle maximale de chaque période est de un an.</v>
      </c>
      <c r="AJ186" s="13" t="s">
        <v>185</v>
      </c>
      <c r="AK186" s="15" t="str">
        <f>VLOOKUP(AJ186,'Axe 2 Règles de gestion'!$D$2:$F$146,3, FALSE)</f>
        <v>L'agent ne peut pas bénéficier de plus de 3 ans cumulés de congé sans traitement quels que soient les motifs de congés sans traitement : pour raisons personnelles ou familiales.</v>
      </c>
      <c r="AL186" s="13" t="s">
        <v>369</v>
      </c>
      <c r="AM186" s="15" t="str">
        <f>VLOOKUP(AL186,'Axe 2 Règles de gestion'!$D$2:$F$146,3, FALSE)</f>
        <v>Le type de situation de famille de l'agent doit être "marié(e)" ou "pacsé(e)".</v>
      </c>
      <c r="AN186" s="13"/>
      <c r="AO186" s="15"/>
      <c r="AP186" s="13" t="s">
        <v>134</v>
      </c>
      <c r="AQ186" s="15" t="str">
        <f>VLOOKUP(AP186,'Axe 2 Règles de gestion'!$D$2:$F$146,3, FALSE)</f>
        <v>La date de début de position doit être antérieure ou égale à la date de fin prévisionnelle de position.</v>
      </c>
      <c r="AR186" s="13" t="s">
        <v>136</v>
      </c>
      <c r="AS186" s="15" t="str">
        <f>VLOOKUP(AR186,'Axe 2 Règles de gestion'!$D$2:$F$146,3, FALSE)</f>
        <v>La date de début de position doit être antérieure ou égale à la date de fin réelle de position.</v>
      </c>
      <c r="AT186" s="13" t="s">
        <v>138</v>
      </c>
      <c r="AU186" s="15" t="str">
        <f>VLOOKUP(AT186,'Axe 2 Règles de gestion'!$D$2:$F$146,3, FALSE)</f>
        <v>La date de fin prévisionnelle de la position doit être antérieure à la date limite de départ à la retraite.</v>
      </c>
      <c r="AV186" s="13" t="s">
        <v>140</v>
      </c>
      <c r="AW186" s="15" t="str">
        <f>VLOOKUP(AV186,'Axe 2 Règles de gestion'!$D$2:$F$146,3, FALSE)</f>
        <v>La date de fin réelle de la position doit être antérieure à la date limite de départ à la retraite.</v>
      </c>
      <c r="AX186" s="13" t="s">
        <v>142</v>
      </c>
      <c r="AY186" s="15" t="str">
        <f>VLOOKUP(AX186,'Axe 2 Règles de gestion'!$D$2:$F$146,3, FALSE)</f>
        <v>La date de fin ou la date de fin prévisionnelle doit être saisie.</v>
      </c>
      <c r="AZ186" s="13" t="s">
        <v>152</v>
      </c>
      <c r="BA186" s="15" t="str">
        <f>VLOOKUP(AZ186,'Axe 2 Règles de gestion'!$D$2:$F$146,3, FALSE)</f>
        <v>La saisie d'une occurrence de congés/absences est interdite (date de fin réelle)</v>
      </c>
      <c r="BB186" s="13" t="s">
        <v>154</v>
      </c>
      <c r="BC186" s="15" t="str">
        <f>VLOOKUP(BB186,'Axe 2 Règles de gestion'!$D$2:$F$146,3, FALSE)</f>
        <v>La saisie d'une occurrence de congés/absences est interdite (date de fin prévisionnelle)</v>
      </c>
      <c r="BD186" s="13"/>
      <c r="BE186" s="15"/>
      <c r="BF186" s="13"/>
      <c r="BG186" s="15"/>
      <c r="BH186" s="13"/>
      <c r="BI186" s="15"/>
      <c r="BJ186" s="13"/>
      <c r="BK186" s="15"/>
      <c r="BL186" s="13"/>
      <c r="BM186" s="15"/>
      <c r="BN186" s="13"/>
      <c r="BO186" s="15"/>
      <c r="BP186" s="13"/>
      <c r="BQ186" s="15"/>
      <c r="BR186" s="13"/>
      <c r="BS186" s="15"/>
      <c r="BT186" s="13"/>
      <c r="BU186" s="15"/>
      <c r="BV186" s="13"/>
      <c r="BW186" s="15"/>
    </row>
    <row r="187" spans="1:75" ht="58" x14ac:dyDescent="0.35">
      <c r="A187" s="13" t="s">
        <v>76</v>
      </c>
      <c r="B187" s="13" t="s">
        <v>77</v>
      </c>
      <c r="C187" s="14">
        <v>43152.5</v>
      </c>
      <c r="D187" s="13" t="s">
        <v>78</v>
      </c>
      <c r="E187" s="15" t="s">
        <v>79</v>
      </c>
      <c r="F187" s="13" t="s">
        <v>80</v>
      </c>
      <c r="G187" s="15" t="s">
        <v>81</v>
      </c>
      <c r="H187" s="13" t="s">
        <v>373</v>
      </c>
      <c r="I187" s="15" t="s">
        <v>374</v>
      </c>
      <c r="J187" s="15" t="s">
        <v>375</v>
      </c>
      <c r="K187" s="15" t="s">
        <v>376</v>
      </c>
      <c r="L187" s="13" t="s">
        <v>377</v>
      </c>
      <c r="M187" s="15" t="s">
        <v>378</v>
      </c>
      <c r="N187" s="13" t="s">
        <v>379</v>
      </c>
      <c r="O187" s="15"/>
      <c r="P187" s="15"/>
      <c r="Q187" s="15" t="s">
        <v>91</v>
      </c>
      <c r="R187" s="13" t="s">
        <v>92</v>
      </c>
      <c r="S187" s="13" t="s">
        <v>93</v>
      </c>
      <c r="T187" s="13" t="s">
        <v>94</v>
      </c>
      <c r="U187" s="14">
        <v>40725</v>
      </c>
      <c r="V187" s="14">
        <v>41517</v>
      </c>
      <c r="W187" s="15"/>
      <c r="X187" s="13"/>
      <c r="Y187" s="15"/>
      <c r="Z187" s="13"/>
      <c r="AA187" s="15"/>
      <c r="AB187" s="13"/>
      <c r="AC187" s="15"/>
      <c r="AD187" s="13"/>
      <c r="AE187" s="15"/>
      <c r="AF187" s="13"/>
      <c r="AG187" s="15"/>
      <c r="AH187" s="13"/>
      <c r="AI187" s="15"/>
      <c r="AJ187" s="13"/>
      <c r="AK187" s="15"/>
      <c r="AL187" s="13"/>
      <c r="AM187" s="15"/>
      <c r="AN187" s="13"/>
      <c r="AO187" s="15"/>
      <c r="AP187" s="13"/>
      <c r="AQ187" s="15"/>
      <c r="AR187" s="13"/>
      <c r="AS187" s="15"/>
      <c r="AT187" s="13"/>
      <c r="AU187" s="15"/>
      <c r="AV187" s="13"/>
      <c r="AW187" s="15"/>
      <c r="AX187" s="13"/>
      <c r="AY187" s="15"/>
      <c r="AZ187" s="13"/>
      <c r="BA187" s="15"/>
      <c r="BB187" s="13"/>
      <c r="BC187" s="15"/>
      <c r="BD187" s="13"/>
      <c r="BE187" s="15"/>
      <c r="BF187" s="13"/>
      <c r="BG187" s="15"/>
      <c r="BH187" s="13"/>
      <c r="BI187" s="15"/>
      <c r="BJ187" s="13"/>
      <c r="BK187" s="15"/>
      <c r="BL187" s="13"/>
      <c r="BM187" s="15"/>
      <c r="BN187" s="13"/>
      <c r="BO187" s="15"/>
      <c r="BP187" s="13"/>
      <c r="BQ187" s="15"/>
      <c r="BR187" s="13"/>
      <c r="BS187" s="15"/>
      <c r="BT187" s="13"/>
      <c r="BU187" s="15"/>
      <c r="BV187" s="13"/>
      <c r="BW187" s="15"/>
    </row>
    <row r="188" spans="1:75" ht="58" x14ac:dyDescent="0.35">
      <c r="A188" s="13" t="s">
        <v>76</v>
      </c>
      <c r="B188" s="13" t="s">
        <v>77</v>
      </c>
      <c r="C188" s="14">
        <v>43152.5</v>
      </c>
      <c r="D188" s="13" t="s">
        <v>78</v>
      </c>
      <c r="E188" s="15" t="s">
        <v>79</v>
      </c>
      <c r="F188" s="13" t="s">
        <v>80</v>
      </c>
      <c r="G188" s="15" t="s">
        <v>81</v>
      </c>
      <c r="H188" s="13" t="s">
        <v>373</v>
      </c>
      <c r="I188" s="15" t="s">
        <v>374</v>
      </c>
      <c r="J188" s="15" t="s">
        <v>375</v>
      </c>
      <c r="K188" s="15" t="s">
        <v>376</v>
      </c>
      <c r="L188" s="13" t="s">
        <v>380</v>
      </c>
      <c r="M188" s="15" t="s">
        <v>381</v>
      </c>
      <c r="N188" s="13" t="s">
        <v>101</v>
      </c>
      <c r="O188" s="15"/>
      <c r="P188" s="15"/>
      <c r="Q188" s="15" t="s">
        <v>91</v>
      </c>
      <c r="R188" s="13" t="s">
        <v>92</v>
      </c>
      <c r="S188" s="13" t="s">
        <v>93</v>
      </c>
      <c r="T188" s="13" t="s">
        <v>94</v>
      </c>
      <c r="U188" s="14">
        <v>40725</v>
      </c>
      <c r="V188" s="14"/>
      <c r="W188" s="15"/>
      <c r="X188" s="13"/>
      <c r="Y188" s="15"/>
      <c r="Z188" s="13"/>
      <c r="AA188" s="15"/>
      <c r="AB188" s="13"/>
      <c r="AC188" s="15"/>
      <c r="AD188" s="13"/>
      <c r="AE188" s="15"/>
      <c r="AF188" s="13"/>
      <c r="AG188" s="15"/>
      <c r="AH188" s="13"/>
      <c r="AI188" s="15"/>
      <c r="AJ188" s="13"/>
      <c r="AK188" s="15"/>
      <c r="AL188" s="13"/>
      <c r="AM188" s="15"/>
      <c r="AN188" s="13"/>
      <c r="AO188" s="15"/>
      <c r="AP188" s="13"/>
      <c r="AQ188" s="15"/>
      <c r="AR188" s="13"/>
      <c r="AS188" s="15"/>
      <c r="AT188" s="13"/>
      <c r="AU188" s="15"/>
      <c r="AV188" s="13"/>
      <c r="AW188" s="15"/>
      <c r="AX188" s="13"/>
      <c r="AY188" s="15"/>
      <c r="AZ188" s="13"/>
      <c r="BA188" s="15"/>
      <c r="BB188" s="13"/>
      <c r="BC188" s="15"/>
      <c r="BD188" s="13"/>
      <c r="BE188" s="15"/>
      <c r="BF188" s="13"/>
      <c r="BG188" s="15"/>
      <c r="BH188" s="13"/>
      <c r="BI188" s="15"/>
      <c r="BJ188" s="13"/>
      <c r="BK188" s="15"/>
      <c r="BL188" s="13"/>
      <c r="BM188" s="15"/>
      <c r="BN188" s="13"/>
      <c r="BO188" s="15"/>
      <c r="BP188" s="13"/>
      <c r="BQ188" s="15"/>
      <c r="BR188" s="13"/>
      <c r="BS188" s="15"/>
      <c r="BT188" s="13"/>
      <c r="BU188" s="15"/>
      <c r="BV188" s="13"/>
      <c r="BW188" s="15"/>
    </row>
    <row r="189" spans="1:75" ht="58" x14ac:dyDescent="0.35">
      <c r="A189" s="13" t="s">
        <v>76</v>
      </c>
      <c r="B189" s="13" t="s">
        <v>77</v>
      </c>
      <c r="C189" s="14">
        <v>43152.5</v>
      </c>
      <c r="D189" s="13" t="s">
        <v>78</v>
      </c>
      <c r="E189" s="15" t="s">
        <v>79</v>
      </c>
      <c r="F189" s="13" t="s">
        <v>80</v>
      </c>
      <c r="G189" s="15" t="s">
        <v>81</v>
      </c>
      <c r="H189" s="13" t="s">
        <v>373</v>
      </c>
      <c r="I189" s="15" t="s">
        <v>374</v>
      </c>
      <c r="J189" s="15" t="s">
        <v>375</v>
      </c>
      <c r="K189" s="15" t="s">
        <v>376</v>
      </c>
      <c r="L189" s="13" t="s">
        <v>377</v>
      </c>
      <c r="M189" s="15" t="s">
        <v>378</v>
      </c>
      <c r="N189" s="13" t="s">
        <v>379</v>
      </c>
      <c r="O189" s="15"/>
      <c r="P189" s="15"/>
      <c r="Q189" s="15" t="s">
        <v>104</v>
      </c>
      <c r="R189" s="13" t="s">
        <v>105</v>
      </c>
      <c r="S189" s="13" t="s">
        <v>93</v>
      </c>
      <c r="T189" s="13" t="s">
        <v>94</v>
      </c>
      <c r="U189" s="14">
        <v>40725</v>
      </c>
      <c r="V189" s="14">
        <v>41517</v>
      </c>
      <c r="W189" s="15"/>
      <c r="X189" s="13"/>
      <c r="Y189" s="15"/>
      <c r="Z189" s="13"/>
      <c r="AA189" s="15"/>
      <c r="AB189" s="13"/>
      <c r="AC189" s="15"/>
      <c r="AD189" s="13"/>
      <c r="AE189" s="15"/>
      <c r="AF189" s="13"/>
      <c r="AG189" s="15"/>
      <c r="AH189" s="13"/>
      <c r="AI189" s="15"/>
      <c r="AJ189" s="13"/>
      <c r="AK189" s="15"/>
      <c r="AL189" s="13"/>
      <c r="AM189" s="15"/>
      <c r="AN189" s="13"/>
      <c r="AO189" s="15"/>
      <c r="AP189" s="13"/>
      <c r="AQ189" s="15"/>
      <c r="AR189" s="13"/>
      <c r="AS189" s="15"/>
      <c r="AT189" s="13"/>
      <c r="AU189" s="15"/>
      <c r="AV189" s="13"/>
      <c r="AW189" s="15"/>
      <c r="AX189" s="13"/>
      <c r="AY189" s="15"/>
      <c r="AZ189" s="13"/>
      <c r="BA189" s="15"/>
      <c r="BB189" s="13"/>
      <c r="BC189" s="15"/>
      <c r="BD189" s="13"/>
      <c r="BE189" s="15"/>
      <c r="BF189" s="13"/>
      <c r="BG189" s="15"/>
      <c r="BH189" s="13"/>
      <c r="BI189" s="15"/>
      <c r="BJ189" s="13"/>
      <c r="BK189" s="15"/>
      <c r="BL189" s="13"/>
      <c r="BM189" s="15"/>
      <c r="BN189" s="13"/>
      <c r="BO189" s="15"/>
      <c r="BP189" s="13"/>
      <c r="BQ189" s="15"/>
      <c r="BR189" s="13"/>
      <c r="BS189" s="15"/>
      <c r="BT189" s="13"/>
      <c r="BU189" s="15"/>
      <c r="BV189" s="13"/>
      <c r="BW189" s="15"/>
    </row>
    <row r="190" spans="1:75" ht="58" x14ac:dyDescent="0.35">
      <c r="A190" s="13" t="s">
        <v>76</v>
      </c>
      <c r="B190" s="13" t="s">
        <v>77</v>
      </c>
      <c r="C190" s="14">
        <v>43152.5</v>
      </c>
      <c r="D190" s="13" t="s">
        <v>78</v>
      </c>
      <c r="E190" s="15" t="s">
        <v>79</v>
      </c>
      <c r="F190" s="13" t="s">
        <v>80</v>
      </c>
      <c r="G190" s="15" t="s">
        <v>81</v>
      </c>
      <c r="H190" s="13" t="s">
        <v>373</v>
      </c>
      <c r="I190" s="15" t="s">
        <v>374</v>
      </c>
      <c r="J190" s="15" t="s">
        <v>375</v>
      </c>
      <c r="K190" s="15" t="s">
        <v>376</v>
      </c>
      <c r="L190" s="13" t="s">
        <v>380</v>
      </c>
      <c r="M190" s="15" t="s">
        <v>381</v>
      </c>
      <c r="N190" s="13" t="s">
        <v>101</v>
      </c>
      <c r="O190" s="15"/>
      <c r="P190" s="15"/>
      <c r="Q190" s="15" t="s">
        <v>104</v>
      </c>
      <c r="R190" s="13" t="s">
        <v>105</v>
      </c>
      <c r="S190" s="13" t="s">
        <v>93</v>
      </c>
      <c r="T190" s="13" t="s">
        <v>94</v>
      </c>
      <c r="U190" s="14">
        <v>40725</v>
      </c>
      <c r="V190" s="14"/>
      <c r="W190" s="15"/>
      <c r="X190" s="13"/>
      <c r="Y190" s="15"/>
      <c r="Z190" s="13"/>
      <c r="AA190" s="15"/>
      <c r="AB190" s="13"/>
      <c r="AC190" s="15"/>
      <c r="AD190" s="13"/>
      <c r="AE190" s="15"/>
      <c r="AF190" s="13"/>
      <c r="AG190" s="15"/>
      <c r="AH190" s="13"/>
      <c r="AI190" s="15"/>
      <c r="AJ190" s="13"/>
      <c r="AK190" s="15"/>
      <c r="AL190" s="13"/>
      <c r="AM190" s="15"/>
      <c r="AN190" s="13"/>
      <c r="AO190" s="15"/>
      <c r="AP190" s="13"/>
      <c r="AQ190" s="15"/>
      <c r="AR190" s="13"/>
      <c r="AS190" s="15"/>
      <c r="AT190" s="13"/>
      <c r="AU190" s="15"/>
      <c r="AV190" s="13"/>
      <c r="AW190" s="15"/>
      <c r="AX190" s="13"/>
      <c r="AY190" s="15"/>
      <c r="AZ190" s="13"/>
      <c r="BA190" s="15"/>
      <c r="BB190" s="13"/>
      <c r="BC190" s="15"/>
      <c r="BD190" s="13"/>
      <c r="BE190" s="15"/>
      <c r="BF190" s="13"/>
      <c r="BG190" s="15"/>
      <c r="BH190" s="13"/>
      <c r="BI190" s="15"/>
      <c r="BJ190" s="13"/>
      <c r="BK190" s="15"/>
      <c r="BL190" s="13"/>
      <c r="BM190" s="15"/>
      <c r="BN190" s="13"/>
      <c r="BO190" s="15"/>
      <c r="BP190" s="13"/>
      <c r="BQ190" s="15"/>
      <c r="BR190" s="13"/>
      <c r="BS190" s="15"/>
      <c r="BT190" s="13"/>
      <c r="BU190" s="15"/>
      <c r="BV190" s="13"/>
      <c r="BW190" s="15"/>
    </row>
    <row r="191" spans="1:75" ht="58" x14ac:dyDescent="0.35">
      <c r="A191" s="13" t="s">
        <v>76</v>
      </c>
      <c r="B191" s="13" t="s">
        <v>77</v>
      </c>
      <c r="C191" s="14">
        <v>43152.5</v>
      </c>
      <c r="D191" s="13" t="s">
        <v>78</v>
      </c>
      <c r="E191" s="15" t="s">
        <v>79</v>
      </c>
      <c r="F191" s="13" t="s">
        <v>80</v>
      </c>
      <c r="G191" s="15" t="s">
        <v>81</v>
      </c>
      <c r="H191" s="13" t="s">
        <v>373</v>
      </c>
      <c r="I191" s="15" t="s">
        <v>374</v>
      </c>
      <c r="J191" s="15" t="s">
        <v>375</v>
      </c>
      <c r="K191" s="15" t="s">
        <v>376</v>
      </c>
      <c r="L191" s="13" t="s">
        <v>377</v>
      </c>
      <c r="M191" s="15" t="s">
        <v>378</v>
      </c>
      <c r="N191" s="13" t="s">
        <v>379</v>
      </c>
      <c r="O191" s="15"/>
      <c r="P191" s="15"/>
      <c r="Q191" s="15" t="s">
        <v>106</v>
      </c>
      <c r="R191" s="13" t="s">
        <v>107</v>
      </c>
      <c r="S191" s="13" t="s">
        <v>93</v>
      </c>
      <c r="T191" s="13" t="s">
        <v>94</v>
      </c>
      <c r="U191" s="14">
        <v>40725</v>
      </c>
      <c r="V191" s="14">
        <v>41517</v>
      </c>
      <c r="W191" s="15"/>
      <c r="X191" s="13"/>
      <c r="Y191" s="15"/>
      <c r="Z191" s="13"/>
      <c r="AA191" s="15"/>
      <c r="AB191" s="13"/>
      <c r="AC191" s="15"/>
      <c r="AD191" s="13"/>
      <c r="AE191" s="15"/>
      <c r="AF191" s="13"/>
      <c r="AG191" s="15"/>
      <c r="AH191" s="13"/>
      <c r="AI191" s="15"/>
      <c r="AJ191" s="13"/>
      <c r="AK191" s="15"/>
      <c r="AL191" s="13"/>
      <c r="AM191" s="15"/>
      <c r="AN191" s="13"/>
      <c r="AO191" s="15"/>
      <c r="AP191" s="13"/>
      <c r="AQ191" s="15"/>
      <c r="AR191" s="13"/>
      <c r="AS191" s="15"/>
      <c r="AT191" s="13"/>
      <c r="AU191" s="15"/>
      <c r="AV191" s="13"/>
      <c r="AW191" s="15"/>
      <c r="AX191" s="13"/>
      <c r="AY191" s="15"/>
      <c r="AZ191" s="13"/>
      <c r="BA191" s="15"/>
      <c r="BB191" s="13"/>
      <c r="BC191" s="15"/>
      <c r="BD191" s="13"/>
      <c r="BE191" s="15"/>
      <c r="BF191" s="13"/>
      <c r="BG191" s="15"/>
      <c r="BH191" s="13"/>
      <c r="BI191" s="15"/>
      <c r="BJ191" s="13"/>
      <c r="BK191" s="15"/>
      <c r="BL191" s="13"/>
      <c r="BM191" s="15"/>
      <c r="BN191" s="13"/>
      <c r="BO191" s="15"/>
      <c r="BP191" s="13"/>
      <c r="BQ191" s="15"/>
      <c r="BR191" s="13"/>
      <c r="BS191" s="15"/>
      <c r="BT191" s="13"/>
      <c r="BU191" s="15"/>
      <c r="BV191" s="13"/>
      <c r="BW191" s="15"/>
    </row>
    <row r="192" spans="1:75" ht="58" x14ac:dyDescent="0.35">
      <c r="A192" s="13" t="s">
        <v>76</v>
      </c>
      <c r="B192" s="13" t="s">
        <v>77</v>
      </c>
      <c r="C192" s="14">
        <v>43152.5</v>
      </c>
      <c r="D192" s="13" t="s">
        <v>78</v>
      </c>
      <c r="E192" s="15" t="s">
        <v>79</v>
      </c>
      <c r="F192" s="13" t="s">
        <v>80</v>
      </c>
      <c r="G192" s="15" t="s">
        <v>81</v>
      </c>
      <c r="H192" s="13" t="s">
        <v>373</v>
      </c>
      <c r="I192" s="15" t="s">
        <v>374</v>
      </c>
      <c r="J192" s="15" t="s">
        <v>375</v>
      </c>
      <c r="K192" s="15" t="s">
        <v>376</v>
      </c>
      <c r="L192" s="13" t="s">
        <v>380</v>
      </c>
      <c r="M192" s="15" t="s">
        <v>381</v>
      </c>
      <c r="N192" s="13" t="s">
        <v>101</v>
      </c>
      <c r="O192" s="15"/>
      <c r="P192" s="15"/>
      <c r="Q192" s="15" t="s">
        <v>106</v>
      </c>
      <c r="R192" s="13" t="s">
        <v>107</v>
      </c>
      <c r="S192" s="13" t="s">
        <v>93</v>
      </c>
      <c r="T192" s="13" t="s">
        <v>94</v>
      </c>
      <c r="U192" s="14">
        <v>40725</v>
      </c>
      <c r="V192" s="14"/>
      <c r="W192" s="15"/>
      <c r="X192" s="13"/>
      <c r="Y192" s="15"/>
      <c r="Z192" s="13"/>
      <c r="AA192" s="15"/>
      <c r="AB192" s="13"/>
      <c r="AC192" s="15"/>
      <c r="AD192" s="13"/>
      <c r="AE192" s="15"/>
      <c r="AF192" s="13"/>
      <c r="AG192" s="15"/>
      <c r="AH192" s="13"/>
      <c r="AI192" s="15"/>
      <c r="AJ192" s="13"/>
      <c r="AK192" s="15"/>
      <c r="AL192" s="13"/>
      <c r="AM192" s="15"/>
      <c r="AN192" s="13"/>
      <c r="AO192" s="15"/>
      <c r="AP192" s="13"/>
      <c r="AQ192" s="15"/>
      <c r="AR192" s="13"/>
      <c r="AS192" s="15"/>
      <c r="AT192" s="13"/>
      <c r="AU192" s="15"/>
      <c r="AV192" s="13"/>
      <c r="AW192" s="15"/>
      <c r="AX192" s="13"/>
      <c r="AY192" s="15"/>
      <c r="AZ192" s="13"/>
      <c r="BA192" s="15"/>
      <c r="BB192" s="13"/>
      <c r="BC192" s="15"/>
      <c r="BD192" s="13"/>
      <c r="BE192" s="15"/>
      <c r="BF192" s="13"/>
      <c r="BG192" s="15"/>
      <c r="BH192" s="13"/>
      <c r="BI192" s="15"/>
      <c r="BJ192" s="13"/>
      <c r="BK192" s="15"/>
      <c r="BL192" s="13"/>
      <c r="BM192" s="15"/>
      <c r="BN192" s="13"/>
      <c r="BO192" s="15"/>
      <c r="BP192" s="13"/>
      <c r="BQ192" s="15"/>
      <c r="BR192" s="13"/>
      <c r="BS192" s="15"/>
      <c r="BT192" s="13"/>
      <c r="BU192" s="15"/>
      <c r="BV192" s="13"/>
      <c r="BW192" s="15"/>
    </row>
    <row r="193" spans="1:75" ht="58" x14ac:dyDescent="0.35">
      <c r="A193" s="13" t="s">
        <v>76</v>
      </c>
      <c r="B193" s="13" t="s">
        <v>77</v>
      </c>
      <c r="C193" s="14">
        <v>43152.5</v>
      </c>
      <c r="D193" s="13" t="s">
        <v>78</v>
      </c>
      <c r="E193" s="15" t="s">
        <v>79</v>
      </c>
      <c r="F193" s="13" t="s">
        <v>80</v>
      </c>
      <c r="G193" s="15" t="s">
        <v>81</v>
      </c>
      <c r="H193" s="13" t="s">
        <v>373</v>
      </c>
      <c r="I193" s="15" t="s">
        <v>374</v>
      </c>
      <c r="J193" s="15" t="s">
        <v>375</v>
      </c>
      <c r="K193" s="15" t="s">
        <v>376</v>
      </c>
      <c r="L193" s="13" t="s">
        <v>377</v>
      </c>
      <c r="M193" s="15" t="s">
        <v>378</v>
      </c>
      <c r="N193" s="13" t="s">
        <v>379</v>
      </c>
      <c r="O193" s="15"/>
      <c r="P193" s="15"/>
      <c r="Q193" s="15" t="s">
        <v>110</v>
      </c>
      <c r="R193" s="13" t="s">
        <v>111</v>
      </c>
      <c r="S193" s="13" t="s">
        <v>93</v>
      </c>
      <c r="T193" s="13" t="s">
        <v>94</v>
      </c>
      <c r="U193" s="14">
        <v>40725</v>
      </c>
      <c r="V193" s="14">
        <v>41517</v>
      </c>
      <c r="W193" s="15"/>
      <c r="X193" s="13"/>
      <c r="Y193" s="15"/>
      <c r="Z193" s="13"/>
      <c r="AA193" s="15"/>
      <c r="AB193" s="13"/>
      <c r="AC193" s="15"/>
      <c r="AD193" s="13"/>
      <c r="AE193" s="15"/>
      <c r="AF193" s="13"/>
      <c r="AG193" s="15"/>
      <c r="AH193" s="13"/>
      <c r="AI193" s="15"/>
      <c r="AJ193" s="13"/>
      <c r="AK193" s="15"/>
      <c r="AL193" s="13"/>
      <c r="AM193" s="15"/>
      <c r="AN193" s="13"/>
      <c r="AO193" s="15"/>
      <c r="AP193" s="13"/>
      <c r="AQ193" s="15"/>
      <c r="AR193" s="13"/>
      <c r="AS193" s="15"/>
      <c r="AT193" s="13"/>
      <c r="AU193" s="15"/>
      <c r="AV193" s="13"/>
      <c r="AW193" s="15"/>
      <c r="AX193" s="13"/>
      <c r="AY193" s="15"/>
      <c r="AZ193" s="13"/>
      <c r="BA193" s="15"/>
      <c r="BB193" s="13"/>
      <c r="BC193" s="15"/>
      <c r="BD193" s="13"/>
      <c r="BE193" s="15"/>
      <c r="BF193" s="13"/>
      <c r="BG193" s="15"/>
      <c r="BH193" s="13"/>
      <c r="BI193" s="15"/>
      <c r="BJ193" s="13"/>
      <c r="BK193" s="15"/>
      <c r="BL193" s="13"/>
      <c r="BM193" s="15"/>
      <c r="BN193" s="13"/>
      <c r="BO193" s="15"/>
      <c r="BP193" s="13"/>
      <c r="BQ193" s="15"/>
      <c r="BR193" s="13"/>
      <c r="BS193" s="15"/>
      <c r="BT193" s="13"/>
      <c r="BU193" s="15"/>
      <c r="BV193" s="13"/>
      <c r="BW193" s="15"/>
    </row>
    <row r="194" spans="1:75" ht="58" x14ac:dyDescent="0.35">
      <c r="A194" s="13" t="s">
        <v>76</v>
      </c>
      <c r="B194" s="13" t="s">
        <v>77</v>
      </c>
      <c r="C194" s="14">
        <v>43152.5</v>
      </c>
      <c r="D194" s="13" t="s">
        <v>78</v>
      </c>
      <c r="E194" s="15" t="s">
        <v>79</v>
      </c>
      <c r="F194" s="13" t="s">
        <v>80</v>
      </c>
      <c r="G194" s="15" t="s">
        <v>81</v>
      </c>
      <c r="H194" s="13" t="s">
        <v>373</v>
      </c>
      <c r="I194" s="15" t="s">
        <v>374</v>
      </c>
      <c r="J194" s="15" t="s">
        <v>375</v>
      </c>
      <c r="K194" s="15" t="s">
        <v>376</v>
      </c>
      <c r="L194" s="13" t="s">
        <v>380</v>
      </c>
      <c r="M194" s="15" t="s">
        <v>381</v>
      </c>
      <c r="N194" s="13" t="s">
        <v>101</v>
      </c>
      <c r="O194" s="15"/>
      <c r="P194" s="15"/>
      <c r="Q194" s="15" t="s">
        <v>110</v>
      </c>
      <c r="R194" s="13" t="s">
        <v>111</v>
      </c>
      <c r="S194" s="13" t="s">
        <v>93</v>
      </c>
      <c r="T194" s="13" t="s">
        <v>94</v>
      </c>
      <c r="U194" s="14">
        <v>40725</v>
      </c>
      <c r="V194" s="14"/>
      <c r="W194" s="15"/>
      <c r="X194" s="13"/>
      <c r="Y194" s="15"/>
      <c r="Z194" s="13"/>
      <c r="AA194" s="15"/>
      <c r="AB194" s="13"/>
      <c r="AC194" s="15"/>
      <c r="AD194" s="13"/>
      <c r="AE194" s="15"/>
      <c r="AF194" s="13"/>
      <c r="AG194" s="15"/>
      <c r="AH194" s="13"/>
      <c r="AI194" s="15"/>
      <c r="AJ194" s="13"/>
      <c r="AK194" s="15"/>
      <c r="AL194" s="13"/>
      <c r="AM194" s="15"/>
      <c r="AN194" s="13"/>
      <c r="AO194" s="15"/>
      <c r="AP194" s="13"/>
      <c r="AQ194" s="15"/>
      <c r="AR194" s="13"/>
      <c r="AS194" s="15"/>
      <c r="AT194" s="13"/>
      <c r="AU194" s="15"/>
      <c r="AV194" s="13"/>
      <c r="AW194" s="15"/>
      <c r="AX194" s="13"/>
      <c r="AY194" s="15"/>
      <c r="AZ194" s="13"/>
      <c r="BA194" s="15"/>
      <c r="BB194" s="13"/>
      <c r="BC194" s="15"/>
      <c r="BD194" s="13"/>
      <c r="BE194" s="15"/>
      <c r="BF194" s="13"/>
      <c r="BG194" s="15"/>
      <c r="BH194" s="13"/>
      <c r="BI194" s="15"/>
      <c r="BJ194" s="13"/>
      <c r="BK194" s="15"/>
      <c r="BL194" s="13"/>
      <c r="BM194" s="15"/>
      <c r="BN194" s="13"/>
      <c r="BO194" s="15"/>
      <c r="BP194" s="13"/>
      <c r="BQ194" s="15"/>
      <c r="BR194" s="13"/>
      <c r="BS194" s="15"/>
      <c r="BT194" s="13"/>
      <c r="BU194" s="15"/>
      <c r="BV194" s="13"/>
      <c r="BW194" s="15"/>
    </row>
    <row r="195" spans="1:75" ht="58" x14ac:dyDescent="0.35">
      <c r="A195" s="13" t="s">
        <v>76</v>
      </c>
      <c r="B195" s="13" t="s">
        <v>77</v>
      </c>
      <c r="C195" s="14">
        <v>43152.5</v>
      </c>
      <c r="D195" s="13" t="s">
        <v>78</v>
      </c>
      <c r="E195" s="15" t="s">
        <v>79</v>
      </c>
      <c r="F195" s="13" t="s">
        <v>80</v>
      </c>
      <c r="G195" s="15" t="s">
        <v>81</v>
      </c>
      <c r="H195" s="13" t="s">
        <v>373</v>
      </c>
      <c r="I195" s="15" t="s">
        <v>374</v>
      </c>
      <c r="J195" s="15" t="s">
        <v>375</v>
      </c>
      <c r="K195" s="15" t="s">
        <v>376</v>
      </c>
      <c r="L195" s="13" t="s">
        <v>377</v>
      </c>
      <c r="M195" s="15" t="s">
        <v>378</v>
      </c>
      <c r="N195" s="13" t="s">
        <v>379</v>
      </c>
      <c r="O195" s="15"/>
      <c r="P195" s="15"/>
      <c r="Q195" s="15" t="s">
        <v>175</v>
      </c>
      <c r="R195" s="13" t="s">
        <v>176</v>
      </c>
      <c r="S195" s="13" t="s">
        <v>93</v>
      </c>
      <c r="T195" s="13" t="s">
        <v>94</v>
      </c>
      <c r="U195" s="14">
        <v>40725</v>
      </c>
      <c r="V195" s="14">
        <v>41517</v>
      </c>
      <c r="W195" s="15"/>
      <c r="X195" s="13"/>
      <c r="Y195" s="15"/>
      <c r="Z195" s="13"/>
      <c r="AA195" s="15"/>
      <c r="AB195" s="13"/>
      <c r="AC195" s="15"/>
      <c r="AD195" s="13"/>
      <c r="AE195" s="15"/>
      <c r="AF195" s="13"/>
      <c r="AG195" s="15"/>
      <c r="AH195" s="13"/>
      <c r="AI195" s="15"/>
      <c r="AJ195" s="13"/>
      <c r="AK195" s="15"/>
      <c r="AL195" s="13"/>
      <c r="AM195" s="15"/>
      <c r="AN195" s="13"/>
      <c r="AO195" s="15"/>
      <c r="AP195" s="13"/>
      <c r="AQ195" s="15"/>
      <c r="AR195" s="13"/>
      <c r="AS195" s="15"/>
      <c r="AT195" s="13"/>
      <c r="AU195" s="15"/>
      <c r="AV195" s="13"/>
      <c r="AW195" s="15"/>
      <c r="AX195" s="13"/>
      <c r="AY195" s="15"/>
      <c r="AZ195" s="13"/>
      <c r="BA195" s="15"/>
      <c r="BB195" s="13"/>
      <c r="BC195" s="15"/>
      <c r="BD195" s="13"/>
      <c r="BE195" s="15"/>
      <c r="BF195" s="13"/>
      <c r="BG195" s="15"/>
      <c r="BH195" s="13"/>
      <c r="BI195" s="15"/>
      <c r="BJ195" s="13"/>
      <c r="BK195" s="15"/>
      <c r="BL195" s="13"/>
      <c r="BM195" s="15"/>
      <c r="BN195" s="13"/>
      <c r="BO195" s="15"/>
      <c r="BP195" s="13"/>
      <c r="BQ195" s="15"/>
      <c r="BR195" s="13"/>
      <c r="BS195" s="15"/>
      <c r="BT195" s="13"/>
      <c r="BU195" s="15"/>
      <c r="BV195" s="13"/>
      <c r="BW195" s="15"/>
    </row>
    <row r="196" spans="1:75" ht="58" x14ac:dyDescent="0.35">
      <c r="A196" s="13" t="s">
        <v>76</v>
      </c>
      <c r="B196" s="13" t="s">
        <v>77</v>
      </c>
      <c r="C196" s="14">
        <v>43152.5</v>
      </c>
      <c r="D196" s="13" t="s">
        <v>78</v>
      </c>
      <c r="E196" s="15" t="s">
        <v>79</v>
      </c>
      <c r="F196" s="13" t="s">
        <v>80</v>
      </c>
      <c r="G196" s="15" t="s">
        <v>81</v>
      </c>
      <c r="H196" s="13" t="s">
        <v>373</v>
      </c>
      <c r="I196" s="15" t="s">
        <v>374</v>
      </c>
      <c r="J196" s="15" t="s">
        <v>375</v>
      </c>
      <c r="K196" s="15" t="s">
        <v>376</v>
      </c>
      <c r="L196" s="13" t="s">
        <v>380</v>
      </c>
      <c r="M196" s="15" t="s">
        <v>381</v>
      </c>
      <c r="N196" s="13" t="s">
        <v>101</v>
      </c>
      <c r="O196" s="15"/>
      <c r="P196" s="15"/>
      <c r="Q196" s="15" t="s">
        <v>175</v>
      </c>
      <c r="R196" s="13" t="s">
        <v>176</v>
      </c>
      <c r="S196" s="13" t="s">
        <v>93</v>
      </c>
      <c r="T196" s="13" t="s">
        <v>94</v>
      </c>
      <c r="U196" s="14">
        <v>40725</v>
      </c>
      <c r="V196" s="14"/>
      <c r="W196" s="15"/>
      <c r="X196" s="13"/>
      <c r="Y196" s="15"/>
      <c r="Z196" s="13"/>
      <c r="AA196" s="15"/>
      <c r="AB196" s="13"/>
      <c r="AC196" s="15"/>
      <c r="AD196" s="13"/>
      <c r="AE196" s="15"/>
      <c r="AF196" s="13"/>
      <c r="AG196" s="15"/>
      <c r="AH196" s="13"/>
      <c r="AI196" s="15"/>
      <c r="AJ196" s="13"/>
      <c r="AK196" s="15"/>
      <c r="AL196" s="13"/>
      <c r="AM196" s="15"/>
      <c r="AN196" s="13"/>
      <c r="AO196" s="15"/>
      <c r="AP196" s="13"/>
      <c r="AQ196" s="15"/>
      <c r="AR196" s="13"/>
      <c r="AS196" s="15"/>
      <c r="AT196" s="13"/>
      <c r="AU196" s="15"/>
      <c r="AV196" s="13"/>
      <c r="AW196" s="15"/>
      <c r="AX196" s="13"/>
      <c r="AY196" s="15"/>
      <c r="AZ196" s="13"/>
      <c r="BA196" s="15"/>
      <c r="BB196" s="13"/>
      <c r="BC196" s="15"/>
      <c r="BD196" s="13"/>
      <c r="BE196" s="15"/>
      <c r="BF196" s="13"/>
      <c r="BG196" s="15"/>
      <c r="BH196" s="13"/>
      <c r="BI196" s="15"/>
      <c r="BJ196" s="13"/>
      <c r="BK196" s="15"/>
      <c r="BL196" s="13"/>
      <c r="BM196" s="15"/>
      <c r="BN196" s="13"/>
      <c r="BO196" s="15"/>
      <c r="BP196" s="13"/>
      <c r="BQ196" s="15"/>
      <c r="BR196" s="13"/>
      <c r="BS196" s="15"/>
      <c r="BT196" s="13"/>
      <c r="BU196" s="15"/>
      <c r="BV196" s="13"/>
      <c r="BW196" s="15"/>
    </row>
    <row r="197" spans="1:75" ht="72.5" x14ac:dyDescent="0.35">
      <c r="A197" s="13" t="s">
        <v>76</v>
      </c>
      <c r="B197" s="13" t="s">
        <v>77</v>
      </c>
      <c r="C197" s="14">
        <v>43152.5</v>
      </c>
      <c r="D197" s="13" t="s">
        <v>78</v>
      </c>
      <c r="E197" s="15" t="s">
        <v>79</v>
      </c>
      <c r="F197" s="13" t="s">
        <v>80</v>
      </c>
      <c r="G197" s="15" t="s">
        <v>81</v>
      </c>
      <c r="H197" s="13" t="s">
        <v>373</v>
      </c>
      <c r="I197" s="15" t="s">
        <v>374</v>
      </c>
      <c r="J197" s="15" t="s">
        <v>375</v>
      </c>
      <c r="K197" s="15" t="s">
        <v>376</v>
      </c>
      <c r="L197" s="13" t="s">
        <v>377</v>
      </c>
      <c r="M197" s="15" t="s">
        <v>378</v>
      </c>
      <c r="N197" s="13" t="s">
        <v>379</v>
      </c>
      <c r="O197" s="15"/>
      <c r="P197" s="15"/>
      <c r="Q197" s="15" t="s">
        <v>382</v>
      </c>
      <c r="R197" s="13" t="s">
        <v>383</v>
      </c>
      <c r="S197" s="13" t="s">
        <v>179</v>
      </c>
      <c r="T197" s="13" t="s">
        <v>112</v>
      </c>
      <c r="U197" s="14">
        <v>40725</v>
      </c>
      <c r="V197" s="14">
        <v>41517</v>
      </c>
      <c r="W197" s="15" t="s">
        <v>384</v>
      </c>
      <c r="X197" s="13"/>
      <c r="Y197" s="15"/>
      <c r="Z197" s="13"/>
      <c r="AA197" s="15"/>
      <c r="AB197" s="13"/>
      <c r="AC197" s="15"/>
      <c r="AD197" s="13"/>
      <c r="AE197" s="15"/>
      <c r="AF197" s="13" t="s">
        <v>385</v>
      </c>
      <c r="AG197" s="15" t="str">
        <f>VLOOKUP(AF197,'Axe 2 Règles de gestion'!$D$2:$F$146,3, FALSE)</f>
        <v>La durée du congé est d'une durée prévisionnelle maximale de deux ans.</v>
      </c>
      <c r="AH197" s="13" t="s">
        <v>387</v>
      </c>
      <c r="AI197" s="15" t="str">
        <f>VLOOKUP(AH197,'Axe 2 Règles de gestion'!$D$2:$F$146,3, FALSE)</f>
        <v>La durée du congé est d'une durée réelle maximale de deux ans.</v>
      </c>
      <c r="AJ197" s="13"/>
      <c r="AK197" s="15"/>
      <c r="AL197" s="13"/>
      <c r="AM197" s="15"/>
      <c r="AN197" s="13"/>
      <c r="AO197" s="15"/>
      <c r="AP197" s="13" t="s">
        <v>128</v>
      </c>
      <c r="AQ197" s="15" t="str">
        <f>VLOOKUP(AP197,'Axe 2 Règles de gestion'!$D$2:$F$146,3, FALSE)</f>
        <v>Lors de la demande initiale, l'agent doit être en activité.</v>
      </c>
      <c r="AR197" s="13" t="s">
        <v>130</v>
      </c>
      <c r="AS197" s="15" t="str">
        <f>VLOOKUP(AR197,'Axe 2 Règles de gestion'!$D$2:$F$146,3, FALSE)</f>
        <v>La date de début de la position doit être postérieure ou égale à la date d'entrée dans la FPE ou dans la carrière militaire.</v>
      </c>
      <c r="AT197" s="13" t="s">
        <v>132</v>
      </c>
      <c r="AU197" s="15" t="str">
        <f>VLOOKUP(AT197,'Axe 2 Règles de gestion'!$D$2:$F$146,3, FALSE)</f>
        <v>La date de début de position est à J+1 de la date de fin de position de l'occurrence précédente.</v>
      </c>
      <c r="AV197" s="13" t="s">
        <v>134</v>
      </c>
      <c r="AW197" s="15" t="str">
        <f>VLOOKUP(AV197,'Axe 2 Règles de gestion'!$D$2:$F$146,3, FALSE)</f>
        <v>La date de début de position doit être antérieure ou égale à la date de fin prévisionnelle de position.</v>
      </c>
      <c r="AX197" s="13" t="s">
        <v>136</v>
      </c>
      <c r="AY197" s="15" t="str">
        <f>VLOOKUP(AX197,'Axe 2 Règles de gestion'!$D$2:$F$146,3, FALSE)</f>
        <v>La date de début de position doit être antérieure ou égale à la date de fin réelle de position.</v>
      </c>
      <c r="AZ197" s="13" t="s">
        <v>138</v>
      </c>
      <c r="BA197" s="15" t="str">
        <f>VLOOKUP(AZ197,'Axe 2 Règles de gestion'!$D$2:$F$146,3, FALSE)</f>
        <v>La date de fin prévisionnelle de la position doit être antérieure à la date limite de départ à la retraite.</v>
      </c>
      <c r="BB197" s="13" t="s">
        <v>140</v>
      </c>
      <c r="BC197" s="15" t="str">
        <f>VLOOKUP(BB197,'Axe 2 Règles de gestion'!$D$2:$F$146,3, FALSE)</f>
        <v>La date de fin réelle de la position doit être antérieure à la date limite de départ à la retraite.</v>
      </c>
      <c r="BD197" s="13" t="s">
        <v>142</v>
      </c>
      <c r="BE197" s="15" t="str">
        <f>VLOOKUP(BD197,'Axe 2 Règles de gestion'!$D$2:$F$146,3, FALSE)</f>
        <v>La date de fin ou la date de fin prévisionnelle doit être saisie.</v>
      </c>
      <c r="BF197" s="13" t="s">
        <v>389</v>
      </c>
      <c r="BG197" s="15" t="str">
        <f>VLOOKUP(BF197,'Axe 2 Règles de gestion'!$D$2:$F$146,3, FALSE)</f>
        <v>L'indicateur de renouvellement ne doit pas être positionné à Oui.</v>
      </c>
      <c r="BH197" s="13"/>
      <c r="BI197" s="15"/>
      <c r="BJ197" s="13"/>
      <c r="BK197" s="15"/>
      <c r="BL197" s="13"/>
      <c r="BM197" s="15"/>
      <c r="BN197" s="13"/>
      <c r="BO197" s="15"/>
      <c r="BP197" s="13"/>
      <c r="BQ197" s="15"/>
      <c r="BR197" s="13"/>
      <c r="BS197" s="15"/>
      <c r="BT197" s="13"/>
      <c r="BU197" s="15"/>
      <c r="BV197" s="13"/>
      <c r="BW197" s="15"/>
    </row>
    <row r="198" spans="1:75" ht="58" x14ac:dyDescent="0.35">
      <c r="A198" s="13" t="s">
        <v>76</v>
      </c>
      <c r="B198" s="13" t="s">
        <v>109</v>
      </c>
      <c r="C198" s="14">
        <v>43644.438888888886</v>
      </c>
      <c r="D198" s="13" t="s">
        <v>78</v>
      </c>
      <c r="E198" s="15" t="s">
        <v>79</v>
      </c>
      <c r="F198" s="13" t="s">
        <v>80</v>
      </c>
      <c r="G198" s="15" t="s">
        <v>81</v>
      </c>
      <c r="H198" s="13" t="s">
        <v>373</v>
      </c>
      <c r="I198" s="15" t="s">
        <v>374</v>
      </c>
      <c r="J198" s="15" t="s">
        <v>375</v>
      </c>
      <c r="K198" s="15" t="s">
        <v>376</v>
      </c>
      <c r="L198" s="13" t="s">
        <v>380</v>
      </c>
      <c r="M198" s="15" t="s">
        <v>381</v>
      </c>
      <c r="N198" s="13" t="s">
        <v>101</v>
      </c>
      <c r="O198" s="15"/>
      <c r="P198" s="15"/>
      <c r="Q198" s="15" t="s">
        <v>382</v>
      </c>
      <c r="R198" s="13" t="s">
        <v>383</v>
      </c>
      <c r="S198" s="13" t="s">
        <v>179</v>
      </c>
      <c r="T198" s="13" t="s">
        <v>112</v>
      </c>
      <c r="U198" s="14">
        <v>40725</v>
      </c>
      <c r="V198" s="14">
        <v>41517</v>
      </c>
      <c r="W198" s="15" t="s">
        <v>391</v>
      </c>
      <c r="X198" s="13"/>
      <c r="Y198" s="15"/>
      <c r="Z198" s="13"/>
      <c r="AA198" s="15"/>
      <c r="AB198" s="13"/>
      <c r="AC198" s="15"/>
      <c r="AD198" s="13"/>
      <c r="AE198" s="15"/>
      <c r="AF198" s="13" t="s">
        <v>385</v>
      </c>
      <c r="AG198" s="15" t="str">
        <f>VLOOKUP(AF198,'Axe 2 Règles de gestion'!$D$2:$F$146,3, FALSE)</f>
        <v>La durée du congé est d'une durée prévisionnelle maximale de deux ans.</v>
      </c>
      <c r="AH198" s="13" t="s">
        <v>387</v>
      </c>
      <c r="AI198" s="15" t="str">
        <f>VLOOKUP(AH198,'Axe 2 Règles de gestion'!$D$2:$F$146,3, FALSE)</f>
        <v>La durée du congé est d'une durée réelle maximale de deux ans.</v>
      </c>
      <c r="AJ198" s="13"/>
      <c r="AK198" s="15"/>
      <c r="AL198" s="13"/>
      <c r="AM198" s="15"/>
      <c r="AN198" s="13"/>
      <c r="AO198" s="15"/>
      <c r="AP198" s="13" t="s">
        <v>134</v>
      </c>
      <c r="AQ198" s="15" t="str">
        <f>VLOOKUP(AP198,'Axe 2 Règles de gestion'!$D$2:$F$146,3, FALSE)</f>
        <v>La date de début de position doit être antérieure ou égale à la date de fin prévisionnelle de position.</v>
      </c>
      <c r="AR198" s="13" t="s">
        <v>136</v>
      </c>
      <c r="AS198" s="15" t="str">
        <f>VLOOKUP(AR198,'Axe 2 Règles de gestion'!$D$2:$F$146,3, FALSE)</f>
        <v>La date de début de position doit être antérieure ou égale à la date de fin réelle de position.</v>
      </c>
      <c r="AT198" s="13" t="s">
        <v>138</v>
      </c>
      <c r="AU198" s="15" t="str">
        <f>VLOOKUP(AT198,'Axe 2 Règles de gestion'!$D$2:$F$146,3, FALSE)</f>
        <v>La date de fin prévisionnelle de la position doit être antérieure à la date limite de départ à la retraite.</v>
      </c>
      <c r="AV198" s="13" t="s">
        <v>140</v>
      </c>
      <c r="AW198" s="15" t="str">
        <f>VLOOKUP(AV198,'Axe 2 Règles de gestion'!$D$2:$F$146,3, FALSE)</f>
        <v>La date de fin réelle de la position doit être antérieure à la date limite de départ à la retraite.</v>
      </c>
      <c r="AX198" s="13" t="s">
        <v>142</v>
      </c>
      <c r="AY198" s="15" t="str">
        <f>VLOOKUP(AX198,'Axe 2 Règles de gestion'!$D$2:$F$146,3, FALSE)</f>
        <v>La date de fin ou la date de fin prévisionnelle doit être saisie.</v>
      </c>
      <c r="AZ198" s="13" t="s">
        <v>389</v>
      </c>
      <c r="BA198" s="15" t="str">
        <f>VLOOKUP(AZ198,'Axe 2 Règles de gestion'!$D$2:$F$146,3, FALSE)</f>
        <v>L'indicateur de renouvellement ne doit pas être positionné à Oui.</v>
      </c>
      <c r="BB198" s="13"/>
      <c r="BC198" s="15"/>
      <c r="BD198" s="13"/>
      <c r="BE198" s="15"/>
      <c r="BF198" s="13"/>
      <c r="BG198" s="15"/>
      <c r="BH198" s="13"/>
      <c r="BI198" s="15"/>
      <c r="BJ198" s="13"/>
      <c r="BK198" s="15"/>
      <c r="BL198" s="13"/>
      <c r="BM198" s="15"/>
      <c r="BN198" s="13"/>
      <c r="BO198" s="15"/>
      <c r="BP198" s="13"/>
      <c r="BQ198" s="15"/>
      <c r="BR198" s="13"/>
      <c r="BS198" s="15"/>
      <c r="BT198" s="13"/>
      <c r="BU198" s="15"/>
      <c r="BV198" s="13"/>
      <c r="BW198" s="15"/>
    </row>
    <row r="199" spans="1:75" ht="72.5" x14ac:dyDescent="0.35">
      <c r="A199" s="13" t="s">
        <v>76</v>
      </c>
      <c r="B199" s="13" t="s">
        <v>77</v>
      </c>
      <c r="C199" s="14">
        <v>43152.5</v>
      </c>
      <c r="D199" s="13" t="s">
        <v>78</v>
      </c>
      <c r="E199" s="15" t="s">
        <v>79</v>
      </c>
      <c r="F199" s="13" t="s">
        <v>80</v>
      </c>
      <c r="G199" s="15" t="s">
        <v>81</v>
      </c>
      <c r="H199" s="13" t="s">
        <v>392</v>
      </c>
      <c r="I199" s="15" t="s">
        <v>393</v>
      </c>
      <c r="J199" s="15" t="s">
        <v>394</v>
      </c>
      <c r="K199" s="15" t="s">
        <v>395</v>
      </c>
      <c r="L199" s="13" t="s">
        <v>396</v>
      </c>
      <c r="M199" s="15" t="s">
        <v>397</v>
      </c>
      <c r="N199" s="13" t="s">
        <v>379</v>
      </c>
      <c r="O199" s="15"/>
      <c r="P199" s="15"/>
      <c r="Q199" s="15" t="s">
        <v>91</v>
      </c>
      <c r="R199" s="13" t="s">
        <v>92</v>
      </c>
      <c r="S199" s="13" t="s">
        <v>93</v>
      </c>
      <c r="T199" s="13" t="s">
        <v>94</v>
      </c>
      <c r="U199" s="14">
        <v>40725</v>
      </c>
      <c r="V199" s="14"/>
      <c r="W199" s="15"/>
      <c r="X199" s="13"/>
      <c r="Y199" s="15"/>
      <c r="Z199" s="13"/>
      <c r="AA199" s="15"/>
      <c r="AB199" s="13"/>
      <c r="AC199" s="15"/>
      <c r="AD199" s="13"/>
      <c r="AE199" s="15"/>
      <c r="AF199" s="13"/>
      <c r="AG199" s="15"/>
      <c r="AH199" s="13"/>
      <c r="AI199" s="15"/>
      <c r="AJ199" s="13"/>
      <c r="AK199" s="15"/>
      <c r="AL199" s="13"/>
      <c r="AM199" s="15"/>
      <c r="AN199" s="13"/>
      <c r="AO199" s="15"/>
      <c r="AP199" s="13"/>
      <c r="AQ199" s="15"/>
      <c r="AR199" s="13"/>
      <c r="AS199" s="15"/>
      <c r="AT199" s="13"/>
      <c r="AU199" s="15"/>
      <c r="AV199" s="13"/>
      <c r="AW199" s="15"/>
      <c r="AX199" s="13"/>
      <c r="AY199" s="15"/>
      <c r="AZ199" s="13"/>
      <c r="BA199" s="15"/>
      <c r="BB199" s="13"/>
      <c r="BC199" s="15"/>
      <c r="BD199" s="13"/>
      <c r="BE199" s="15"/>
      <c r="BF199" s="13"/>
      <c r="BG199" s="15"/>
      <c r="BH199" s="13"/>
      <c r="BI199" s="15"/>
      <c r="BJ199" s="13"/>
      <c r="BK199" s="15"/>
      <c r="BL199" s="13"/>
      <c r="BM199" s="15"/>
      <c r="BN199" s="13"/>
      <c r="BO199" s="15"/>
      <c r="BP199" s="13"/>
      <c r="BQ199" s="15"/>
      <c r="BR199" s="13"/>
      <c r="BS199" s="15"/>
      <c r="BT199" s="13"/>
      <c r="BU199" s="15"/>
      <c r="BV199" s="13"/>
      <c r="BW199" s="15"/>
    </row>
    <row r="200" spans="1:75" ht="72.5" x14ac:dyDescent="0.35">
      <c r="A200" s="13" t="s">
        <v>76</v>
      </c>
      <c r="B200" s="13" t="s">
        <v>77</v>
      </c>
      <c r="C200" s="14">
        <v>43152.5</v>
      </c>
      <c r="D200" s="13" t="s">
        <v>78</v>
      </c>
      <c r="E200" s="15" t="s">
        <v>79</v>
      </c>
      <c r="F200" s="13" t="s">
        <v>80</v>
      </c>
      <c r="G200" s="15" t="s">
        <v>81</v>
      </c>
      <c r="H200" s="13" t="s">
        <v>392</v>
      </c>
      <c r="I200" s="15" t="s">
        <v>393</v>
      </c>
      <c r="J200" s="15" t="s">
        <v>394</v>
      </c>
      <c r="K200" s="15" t="s">
        <v>395</v>
      </c>
      <c r="L200" s="13" t="s">
        <v>398</v>
      </c>
      <c r="M200" s="15" t="s">
        <v>399</v>
      </c>
      <c r="N200" s="13" t="s">
        <v>101</v>
      </c>
      <c r="O200" s="15"/>
      <c r="P200" s="15"/>
      <c r="Q200" s="15" t="s">
        <v>91</v>
      </c>
      <c r="R200" s="13" t="s">
        <v>92</v>
      </c>
      <c r="S200" s="13" t="s">
        <v>93</v>
      </c>
      <c r="T200" s="13" t="s">
        <v>94</v>
      </c>
      <c r="U200" s="14">
        <v>40725</v>
      </c>
      <c r="V200" s="14"/>
      <c r="W200" s="15"/>
      <c r="X200" s="13"/>
      <c r="Y200" s="15"/>
      <c r="Z200" s="13"/>
      <c r="AA200" s="15"/>
      <c r="AB200" s="13"/>
      <c r="AC200" s="15"/>
      <c r="AD200" s="13"/>
      <c r="AE200" s="15"/>
      <c r="AF200" s="13"/>
      <c r="AG200" s="15"/>
      <c r="AH200" s="13"/>
      <c r="AI200" s="15"/>
      <c r="AJ200" s="13"/>
      <c r="AK200" s="15"/>
      <c r="AL200" s="13"/>
      <c r="AM200" s="15"/>
      <c r="AN200" s="13"/>
      <c r="AO200" s="15"/>
      <c r="AP200" s="13"/>
      <c r="AQ200" s="15"/>
      <c r="AR200" s="13"/>
      <c r="AS200" s="15"/>
      <c r="AT200" s="13"/>
      <c r="AU200" s="15"/>
      <c r="AV200" s="13"/>
      <c r="AW200" s="15"/>
      <c r="AX200" s="13"/>
      <c r="AY200" s="15"/>
      <c r="AZ200" s="13"/>
      <c r="BA200" s="15"/>
      <c r="BB200" s="13"/>
      <c r="BC200" s="15"/>
      <c r="BD200" s="13"/>
      <c r="BE200" s="15"/>
      <c r="BF200" s="13"/>
      <c r="BG200" s="15"/>
      <c r="BH200" s="13"/>
      <c r="BI200" s="15"/>
      <c r="BJ200" s="13"/>
      <c r="BK200" s="15"/>
      <c r="BL200" s="13"/>
      <c r="BM200" s="15"/>
      <c r="BN200" s="13"/>
      <c r="BO200" s="15"/>
      <c r="BP200" s="13"/>
      <c r="BQ200" s="15"/>
      <c r="BR200" s="13"/>
      <c r="BS200" s="15"/>
      <c r="BT200" s="13"/>
      <c r="BU200" s="15"/>
      <c r="BV200" s="13"/>
      <c r="BW200" s="15"/>
    </row>
    <row r="201" spans="1:75" ht="72.5" x14ac:dyDescent="0.35">
      <c r="A201" s="13" t="s">
        <v>76</v>
      </c>
      <c r="B201" s="13" t="s">
        <v>77</v>
      </c>
      <c r="C201" s="14">
        <v>43152.5</v>
      </c>
      <c r="D201" s="13" t="s">
        <v>78</v>
      </c>
      <c r="E201" s="15" t="s">
        <v>79</v>
      </c>
      <c r="F201" s="13" t="s">
        <v>80</v>
      </c>
      <c r="G201" s="15" t="s">
        <v>81</v>
      </c>
      <c r="H201" s="13" t="s">
        <v>392</v>
      </c>
      <c r="I201" s="15" t="s">
        <v>393</v>
      </c>
      <c r="J201" s="15" t="s">
        <v>394</v>
      </c>
      <c r="K201" s="15" t="s">
        <v>395</v>
      </c>
      <c r="L201" s="13" t="s">
        <v>396</v>
      </c>
      <c r="M201" s="15" t="s">
        <v>397</v>
      </c>
      <c r="N201" s="13" t="s">
        <v>379</v>
      </c>
      <c r="O201" s="15"/>
      <c r="P201" s="15"/>
      <c r="Q201" s="15" t="s">
        <v>104</v>
      </c>
      <c r="R201" s="13" t="s">
        <v>105</v>
      </c>
      <c r="S201" s="13" t="s">
        <v>93</v>
      </c>
      <c r="T201" s="13" t="s">
        <v>94</v>
      </c>
      <c r="U201" s="14">
        <v>40725</v>
      </c>
      <c r="V201" s="14"/>
      <c r="W201" s="15"/>
      <c r="X201" s="13"/>
      <c r="Y201" s="15"/>
      <c r="Z201" s="13"/>
      <c r="AA201" s="15"/>
      <c r="AB201" s="13"/>
      <c r="AC201" s="15"/>
      <c r="AD201" s="13"/>
      <c r="AE201" s="15"/>
      <c r="AF201" s="13"/>
      <c r="AG201" s="15"/>
      <c r="AH201" s="13"/>
      <c r="AI201" s="15"/>
      <c r="AJ201" s="13"/>
      <c r="AK201" s="15"/>
      <c r="AL201" s="13"/>
      <c r="AM201" s="15"/>
      <c r="AN201" s="13"/>
      <c r="AO201" s="15"/>
      <c r="AP201" s="13"/>
      <c r="AQ201" s="15"/>
      <c r="AR201" s="13"/>
      <c r="AS201" s="15"/>
      <c r="AT201" s="13"/>
      <c r="AU201" s="15"/>
      <c r="AV201" s="13"/>
      <c r="AW201" s="15"/>
      <c r="AX201" s="13"/>
      <c r="AY201" s="15"/>
      <c r="AZ201" s="13"/>
      <c r="BA201" s="15"/>
      <c r="BB201" s="13"/>
      <c r="BC201" s="15"/>
      <c r="BD201" s="13"/>
      <c r="BE201" s="15"/>
      <c r="BF201" s="13"/>
      <c r="BG201" s="15"/>
      <c r="BH201" s="13"/>
      <c r="BI201" s="15"/>
      <c r="BJ201" s="13"/>
      <c r="BK201" s="15"/>
      <c r="BL201" s="13"/>
      <c r="BM201" s="15"/>
      <c r="BN201" s="13"/>
      <c r="BO201" s="15"/>
      <c r="BP201" s="13"/>
      <c r="BQ201" s="15"/>
      <c r="BR201" s="13"/>
      <c r="BS201" s="15"/>
      <c r="BT201" s="13"/>
      <c r="BU201" s="15"/>
      <c r="BV201" s="13"/>
      <c r="BW201" s="15"/>
    </row>
    <row r="202" spans="1:75" ht="72.5" x14ac:dyDescent="0.35">
      <c r="A202" s="13" t="s">
        <v>76</v>
      </c>
      <c r="B202" s="13" t="s">
        <v>77</v>
      </c>
      <c r="C202" s="14">
        <v>43152.5</v>
      </c>
      <c r="D202" s="13" t="s">
        <v>78</v>
      </c>
      <c r="E202" s="15" t="s">
        <v>79</v>
      </c>
      <c r="F202" s="13" t="s">
        <v>80</v>
      </c>
      <c r="G202" s="15" t="s">
        <v>81</v>
      </c>
      <c r="H202" s="13" t="s">
        <v>392</v>
      </c>
      <c r="I202" s="15" t="s">
        <v>393</v>
      </c>
      <c r="J202" s="15" t="s">
        <v>394</v>
      </c>
      <c r="K202" s="15" t="s">
        <v>395</v>
      </c>
      <c r="L202" s="13" t="s">
        <v>398</v>
      </c>
      <c r="M202" s="15" t="s">
        <v>399</v>
      </c>
      <c r="N202" s="13" t="s">
        <v>101</v>
      </c>
      <c r="O202" s="15"/>
      <c r="P202" s="15"/>
      <c r="Q202" s="15" t="s">
        <v>104</v>
      </c>
      <c r="R202" s="13" t="s">
        <v>105</v>
      </c>
      <c r="S202" s="13" t="s">
        <v>93</v>
      </c>
      <c r="T202" s="13" t="s">
        <v>94</v>
      </c>
      <c r="U202" s="14">
        <v>40725</v>
      </c>
      <c r="V202" s="14"/>
      <c r="W202" s="15"/>
      <c r="X202" s="13"/>
      <c r="Y202" s="15"/>
      <c r="Z202" s="13"/>
      <c r="AA202" s="15"/>
      <c r="AB202" s="13"/>
      <c r="AC202" s="15"/>
      <c r="AD202" s="13"/>
      <c r="AE202" s="15"/>
      <c r="AF202" s="13"/>
      <c r="AG202" s="15"/>
      <c r="AH202" s="13"/>
      <c r="AI202" s="15"/>
      <c r="AJ202" s="13"/>
      <c r="AK202" s="15"/>
      <c r="AL202" s="13"/>
      <c r="AM202" s="15"/>
      <c r="AN202" s="13"/>
      <c r="AO202" s="15"/>
      <c r="AP202" s="13"/>
      <c r="AQ202" s="15"/>
      <c r="AR202" s="13"/>
      <c r="AS202" s="15"/>
      <c r="AT202" s="13"/>
      <c r="AU202" s="15"/>
      <c r="AV202" s="13"/>
      <c r="AW202" s="15"/>
      <c r="AX202" s="13"/>
      <c r="AY202" s="15"/>
      <c r="AZ202" s="13"/>
      <c r="BA202" s="15"/>
      <c r="BB202" s="13"/>
      <c r="BC202" s="15"/>
      <c r="BD202" s="13"/>
      <c r="BE202" s="15"/>
      <c r="BF202" s="13"/>
      <c r="BG202" s="15"/>
      <c r="BH202" s="13"/>
      <c r="BI202" s="15"/>
      <c r="BJ202" s="13"/>
      <c r="BK202" s="15"/>
      <c r="BL202" s="13"/>
      <c r="BM202" s="15"/>
      <c r="BN202" s="13"/>
      <c r="BO202" s="15"/>
      <c r="BP202" s="13"/>
      <c r="BQ202" s="15"/>
      <c r="BR202" s="13"/>
      <c r="BS202" s="15"/>
      <c r="BT202" s="13"/>
      <c r="BU202" s="15"/>
      <c r="BV202" s="13"/>
      <c r="BW202" s="15"/>
    </row>
    <row r="203" spans="1:75" ht="72.5" x14ac:dyDescent="0.35">
      <c r="A203" s="13" t="s">
        <v>76</v>
      </c>
      <c r="B203" s="13" t="s">
        <v>77</v>
      </c>
      <c r="C203" s="14">
        <v>43152.5</v>
      </c>
      <c r="D203" s="13" t="s">
        <v>78</v>
      </c>
      <c r="E203" s="15" t="s">
        <v>79</v>
      </c>
      <c r="F203" s="13" t="s">
        <v>80</v>
      </c>
      <c r="G203" s="15" t="s">
        <v>81</v>
      </c>
      <c r="H203" s="13" t="s">
        <v>392</v>
      </c>
      <c r="I203" s="15" t="s">
        <v>393</v>
      </c>
      <c r="J203" s="15" t="s">
        <v>394</v>
      </c>
      <c r="K203" s="15" t="s">
        <v>395</v>
      </c>
      <c r="L203" s="13" t="s">
        <v>396</v>
      </c>
      <c r="M203" s="15" t="s">
        <v>397</v>
      </c>
      <c r="N203" s="13" t="s">
        <v>379</v>
      </c>
      <c r="O203" s="15"/>
      <c r="P203" s="15"/>
      <c r="Q203" s="15" t="s">
        <v>106</v>
      </c>
      <c r="R203" s="13" t="s">
        <v>107</v>
      </c>
      <c r="S203" s="13" t="s">
        <v>93</v>
      </c>
      <c r="T203" s="13" t="s">
        <v>94</v>
      </c>
      <c r="U203" s="14">
        <v>40725</v>
      </c>
      <c r="V203" s="14"/>
      <c r="W203" s="15"/>
      <c r="X203" s="13"/>
      <c r="Y203" s="15"/>
      <c r="Z203" s="13"/>
      <c r="AA203" s="15"/>
      <c r="AB203" s="13"/>
      <c r="AC203" s="15"/>
      <c r="AD203" s="13"/>
      <c r="AE203" s="15"/>
      <c r="AF203" s="13"/>
      <c r="AG203" s="15"/>
      <c r="AH203" s="13"/>
      <c r="AI203" s="15"/>
      <c r="AJ203" s="13"/>
      <c r="AK203" s="15"/>
      <c r="AL203" s="13"/>
      <c r="AM203" s="15"/>
      <c r="AN203" s="13"/>
      <c r="AO203" s="15"/>
      <c r="AP203" s="13"/>
      <c r="AQ203" s="15"/>
      <c r="AR203" s="13"/>
      <c r="AS203" s="15"/>
      <c r="AT203" s="13"/>
      <c r="AU203" s="15"/>
      <c r="AV203" s="13"/>
      <c r="AW203" s="15"/>
      <c r="AX203" s="13"/>
      <c r="AY203" s="15"/>
      <c r="AZ203" s="13"/>
      <c r="BA203" s="15"/>
      <c r="BB203" s="13"/>
      <c r="BC203" s="15"/>
      <c r="BD203" s="13"/>
      <c r="BE203" s="15"/>
      <c r="BF203" s="13"/>
      <c r="BG203" s="15"/>
      <c r="BH203" s="13"/>
      <c r="BI203" s="15"/>
      <c r="BJ203" s="13"/>
      <c r="BK203" s="15"/>
      <c r="BL203" s="13"/>
      <c r="BM203" s="15"/>
      <c r="BN203" s="13"/>
      <c r="BO203" s="15"/>
      <c r="BP203" s="13"/>
      <c r="BQ203" s="15"/>
      <c r="BR203" s="13"/>
      <c r="BS203" s="15"/>
      <c r="BT203" s="13"/>
      <c r="BU203" s="15"/>
      <c r="BV203" s="13"/>
      <c r="BW203" s="15"/>
    </row>
    <row r="204" spans="1:75" ht="72.5" x14ac:dyDescent="0.35">
      <c r="A204" s="13" t="s">
        <v>76</v>
      </c>
      <c r="B204" s="13" t="s">
        <v>77</v>
      </c>
      <c r="C204" s="14">
        <v>43152.5</v>
      </c>
      <c r="D204" s="13" t="s">
        <v>78</v>
      </c>
      <c r="E204" s="15" t="s">
        <v>79</v>
      </c>
      <c r="F204" s="13" t="s">
        <v>80</v>
      </c>
      <c r="G204" s="15" t="s">
        <v>81</v>
      </c>
      <c r="H204" s="13" t="s">
        <v>392</v>
      </c>
      <c r="I204" s="15" t="s">
        <v>393</v>
      </c>
      <c r="J204" s="15" t="s">
        <v>394</v>
      </c>
      <c r="K204" s="15" t="s">
        <v>395</v>
      </c>
      <c r="L204" s="13" t="s">
        <v>398</v>
      </c>
      <c r="M204" s="15" t="s">
        <v>399</v>
      </c>
      <c r="N204" s="13" t="s">
        <v>101</v>
      </c>
      <c r="O204" s="15"/>
      <c r="P204" s="15"/>
      <c r="Q204" s="15" t="s">
        <v>106</v>
      </c>
      <c r="R204" s="13" t="s">
        <v>107</v>
      </c>
      <c r="S204" s="13" t="s">
        <v>93</v>
      </c>
      <c r="T204" s="13" t="s">
        <v>94</v>
      </c>
      <c r="U204" s="14">
        <v>40725</v>
      </c>
      <c r="V204" s="14"/>
      <c r="W204" s="15"/>
      <c r="X204" s="13"/>
      <c r="Y204" s="15"/>
      <c r="Z204" s="13"/>
      <c r="AA204" s="15"/>
      <c r="AB204" s="13"/>
      <c r="AC204" s="15"/>
      <c r="AD204" s="13"/>
      <c r="AE204" s="15"/>
      <c r="AF204" s="13"/>
      <c r="AG204" s="15"/>
      <c r="AH204" s="13"/>
      <c r="AI204" s="15"/>
      <c r="AJ204" s="13"/>
      <c r="AK204" s="15"/>
      <c r="AL204" s="13"/>
      <c r="AM204" s="15"/>
      <c r="AN204" s="13"/>
      <c r="AO204" s="15"/>
      <c r="AP204" s="13"/>
      <c r="AQ204" s="15"/>
      <c r="AR204" s="13"/>
      <c r="AS204" s="15"/>
      <c r="AT204" s="13"/>
      <c r="AU204" s="15"/>
      <c r="AV204" s="13"/>
      <c r="AW204" s="15"/>
      <c r="AX204" s="13"/>
      <c r="AY204" s="15"/>
      <c r="AZ204" s="13"/>
      <c r="BA204" s="15"/>
      <c r="BB204" s="13"/>
      <c r="BC204" s="15"/>
      <c r="BD204" s="13"/>
      <c r="BE204" s="15"/>
      <c r="BF204" s="13"/>
      <c r="BG204" s="15"/>
      <c r="BH204" s="13"/>
      <c r="BI204" s="15"/>
      <c r="BJ204" s="13"/>
      <c r="BK204" s="15"/>
      <c r="BL204" s="13"/>
      <c r="BM204" s="15"/>
      <c r="BN204" s="13"/>
      <c r="BO204" s="15"/>
      <c r="BP204" s="13"/>
      <c r="BQ204" s="15"/>
      <c r="BR204" s="13"/>
      <c r="BS204" s="15"/>
      <c r="BT204" s="13"/>
      <c r="BU204" s="15"/>
      <c r="BV204" s="13"/>
      <c r="BW204" s="15"/>
    </row>
    <row r="205" spans="1:75" ht="72.5" x14ac:dyDescent="0.35">
      <c r="A205" s="13" t="s">
        <v>238</v>
      </c>
      <c r="B205" s="13" t="s">
        <v>109</v>
      </c>
      <c r="C205" s="14">
        <v>44368.708333333336</v>
      </c>
      <c r="D205" s="13" t="s">
        <v>78</v>
      </c>
      <c r="E205" s="15" t="s">
        <v>79</v>
      </c>
      <c r="F205" s="13" t="s">
        <v>80</v>
      </c>
      <c r="G205" s="15" t="s">
        <v>81</v>
      </c>
      <c r="H205" s="13" t="s">
        <v>392</v>
      </c>
      <c r="I205" s="15" t="s">
        <v>393</v>
      </c>
      <c r="J205" s="15" t="s">
        <v>394</v>
      </c>
      <c r="K205" s="15" t="s">
        <v>395</v>
      </c>
      <c r="L205" s="13" t="s">
        <v>396</v>
      </c>
      <c r="M205" s="15" t="s">
        <v>397</v>
      </c>
      <c r="N205" s="13" t="s">
        <v>379</v>
      </c>
      <c r="O205" s="15"/>
      <c r="P205" s="15"/>
      <c r="Q205" s="15" t="s">
        <v>110</v>
      </c>
      <c r="R205" s="13" t="s">
        <v>111</v>
      </c>
      <c r="S205" s="13" t="s">
        <v>93</v>
      </c>
      <c r="T205" s="13" t="s">
        <v>112</v>
      </c>
      <c r="U205" s="14">
        <v>40725</v>
      </c>
      <c r="V205" s="14"/>
      <c r="W205" s="15" t="s">
        <v>400</v>
      </c>
      <c r="X205" s="13" t="s">
        <v>401</v>
      </c>
      <c r="Y205" s="15" t="str">
        <f>VLOOKUP(X205,'Axe 2 Règles de gestion'!$D$2:$F$146,3, FALSE)</f>
        <v>L'agent doit présenter une demande de congé sans traitement.</v>
      </c>
      <c r="Z205" s="13" t="s">
        <v>402</v>
      </c>
      <c r="AA205" s="15" t="str">
        <f>VLOOKUP(Z205,'Axe 2 Règles de gestion'!$D$2:$F$146,3, FALSE)</f>
        <v>La demande est accordée de droit par le supérieur hiérarchique.</v>
      </c>
      <c r="AB205" s="13" t="s">
        <v>403</v>
      </c>
      <c r="AC205" s="15" t="str">
        <f>VLOOKUP(AB205,'Axe 2 Règles de gestion'!$D$2:$F$146,3, FALSE)</f>
        <v>Le congé sans traitement est accordé pour la durée du cycle préparatoire ou de la scolarité.</v>
      </c>
      <c r="AD205" s="13" t="s">
        <v>405</v>
      </c>
      <c r="AE205" s="15" t="str">
        <f>VLOOKUP(AD205,'Axe 2 Règles de gestion'!$D$2:$F$146,3, FALSE)</f>
        <v>L'agent ne peut pas bénéficier simultanément de plusieurs congés de ce type.</v>
      </c>
      <c r="AF205" s="13"/>
      <c r="AG205" s="15"/>
      <c r="AH205" s="13"/>
      <c r="AI205" s="15"/>
      <c r="AJ205" s="13"/>
      <c r="AK205" s="15"/>
      <c r="AL205" s="13"/>
      <c r="AM205" s="15"/>
      <c r="AN205" s="13"/>
      <c r="AO205" s="15"/>
      <c r="AP205" s="13" t="s">
        <v>128</v>
      </c>
      <c r="AQ205" s="15" t="str">
        <f>VLOOKUP(AP205,'Axe 2 Règles de gestion'!$D$2:$F$146,3, FALSE)</f>
        <v>Lors de la demande initiale, l'agent doit être en activité.</v>
      </c>
      <c r="AR205" s="13" t="s">
        <v>130</v>
      </c>
      <c r="AS205" s="15" t="str">
        <f>VLOOKUP(AR205,'Axe 2 Règles de gestion'!$D$2:$F$146,3, FALSE)</f>
        <v>La date de début de la position doit être postérieure ou égale à la date d'entrée dans la FPE ou dans la carrière militaire.</v>
      </c>
      <c r="AT205" s="13" t="s">
        <v>132</v>
      </c>
      <c r="AU205" s="15" t="str">
        <f>VLOOKUP(AT205,'Axe 2 Règles de gestion'!$D$2:$F$146,3, FALSE)</f>
        <v>La date de début de position est à J+1 de la date de fin de position de l'occurrence précédente.</v>
      </c>
      <c r="AV205" s="13" t="s">
        <v>134</v>
      </c>
      <c r="AW205" s="15" t="str">
        <f>VLOOKUP(AV205,'Axe 2 Règles de gestion'!$D$2:$F$146,3, FALSE)</f>
        <v>La date de début de position doit être antérieure ou égale à la date de fin prévisionnelle de position.</v>
      </c>
      <c r="AX205" s="13" t="s">
        <v>136</v>
      </c>
      <c r="AY205" s="15" t="str">
        <f>VLOOKUP(AX205,'Axe 2 Règles de gestion'!$D$2:$F$146,3, FALSE)</f>
        <v>La date de début de position doit être antérieure ou égale à la date de fin réelle de position.</v>
      </c>
      <c r="AZ205" s="13" t="s">
        <v>138</v>
      </c>
      <c r="BA205" s="15" t="str">
        <f>VLOOKUP(AZ205,'Axe 2 Règles de gestion'!$D$2:$F$146,3, FALSE)</f>
        <v>La date de fin prévisionnelle de la position doit être antérieure à la date limite de départ à la retraite.</v>
      </c>
      <c r="BB205" s="13" t="s">
        <v>140</v>
      </c>
      <c r="BC205" s="15" t="str">
        <f>VLOOKUP(BB205,'Axe 2 Règles de gestion'!$D$2:$F$146,3, FALSE)</f>
        <v>La date de fin réelle de la position doit être antérieure à la date limite de départ à la retraite.</v>
      </c>
      <c r="BD205" s="13" t="s">
        <v>389</v>
      </c>
      <c r="BE205" s="15" t="str">
        <f>VLOOKUP(BD205,'Axe 2 Règles de gestion'!$D$2:$F$146,3, FALSE)</f>
        <v>L'indicateur de renouvellement ne doit pas être positionné à Oui.</v>
      </c>
      <c r="BF205" s="13" t="s">
        <v>152</v>
      </c>
      <c r="BG205" s="15" t="str">
        <f>VLOOKUP(BF205,'Axe 2 Règles de gestion'!$D$2:$F$146,3, FALSE)</f>
        <v>La saisie d'une occurrence de congés/absences est interdite (date de fin réelle)</v>
      </c>
      <c r="BH205" s="13" t="s">
        <v>154</v>
      </c>
      <c r="BI205" s="15" t="str">
        <f>VLOOKUP(BH205,'Axe 2 Règles de gestion'!$D$2:$F$146,3, FALSE)</f>
        <v>La saisie d'une occurrence de congés/absences est interdite (date de fin prévisionnelle)</v>
      </c>
      <c r="BJ205" s="13"/>
      <c r="BK205" s="15"/>
      <c r="BL205" s="13"/>
      <c r="BM205" s="15"/>
      <c r="BN205" s="13"/>
      <c r="BO205" s="15"/>
      <c r="BP205" s="13"/>
      <c r="BQ205" s="15"/>
      <c r="BR205" s="13"/>
      <c r="BS205" s="15"/>
      <c r="BT205" s="13"/>
      <c r="BU205" s="15"/>
      <c r="BV205" s="13"/>
      <c r="BW205" s="15"/>
    </row>
    <row r="206" spans="1:75" ht="72.5" x14ac:dyDescent="0.35">
      <c r="A206" s="13" t="s">
        <v>238</v>
      </c>
      <c r="B206" s="13" t="s">
        <v>109</v>
      </c>
      <c r="C206" s="14">
        <v>44368.708333333336</v>
      </c>
      <c r="D206" s="13" t="s">
        <v>78</v>
      </c>
      <c r="E206" s="15" t="s">
        <v>79</v>
      </c>
      <c r="F206" s="13" t="s">
        <v>80</v>
      </c>
      <c r="G206" s="15" t="s">
        <v>81</v>
      </c>
      <c r="H206" s="13" t="s">
        <v>392</v>
      </c>
      <c r="I206" s="15" t="s">
        <v>393</v>
      </c>
      <c r="J206" s="15" t="s">
        <v>394</v>
      </c>
      <c r="K206" s="15" t="s">
        <v>395</v>
      </c>
      <c r="L206" s="13" t="s">
        <v>398</v>
      </c>
      <c r="M206" s="15" t="s">
        <v>399</v>
      </c>
      <c r="N206" s="13" t="s">
        <v>101</v>
      </c>
      <c r="O206" s="15"/>
      <c r="P206" s="15"/>
      <c r="Q206" s="15" t="s">
        <v>110</v>
      </c>
      <c r="R206" s="13" t="s">
        <v>111</v>
      </c>
      <c r="S206" s="13" t="s">
        <v>93</v>
      </c>
      <c r="T206" s="13" t="s">
        <v>112</v>
      </c>
      <c r="U206" s="14">
        <v>40725</v>
      </c>
      <c r="V206" s="14"/>
      <c r="W206" s="15" t="s">
        <v>407</v>
      </c>
      <c r="X206" s="13" t="s">
        <v>403</v>
      </c>
      <c r="Y206" s="15" t="str">
        <f>VLOOKUP(X206,'Axe 2 Règles de gestion'!$D$2:$F$146,3, FALSE)</f>
        <v>Le congé sans traitement est accordé pour la durée du cycle préparatoire ou de la scolarité.</v>
      </c>
      <c r="Z206" s="13"/>
      <c r="AA206" s="15"/>
      <c r="AB206" s="13"/>
      <c r="AC206" s="15"/>
      <c r="AD206" s="13"/>
      <c r="AE206" s="15"/>
      <c r="AF206" s="13"/>
      <c r="AG206" s="15"/>
      <c r="AH206" s="13"/>
      <c r="AI206" s="15"/>
      <c r="AJ206" s="13"/>
      <c r="AK206" s="15"/>
      <c r="AL206" s="13"/>
      <c r="AM206" s="15"/>
      <c r="AN206" s="13"/>
      <c r="AO206" s="15"/>
      <c r="AP206" s="13" t="s">
        <v>134</v>
      </c>
      <c r="AQ206" s="15" t="str">
        <f>VLOOKUP(AP206,'Axe 2 Règles de gestion'!$D$2:$F$146,3, FALSE)</f>
        <v>La date de début de position doit être antérieure ou égale à la date de fin prévisionnelle de position.</v>
      </c>
      <c r="AR206" s="13" t="s">
        <v>136</v>
      </c>
      <c r="AS206" s="15" t="str">
        <f>VLOOKUP(AR206,'Axe 2 Règles de gestion'!$D$2:$F$146,3, FALSE)</f>
        <v>La date de début de position doit être antérieure ou égale à la date de fin réelle de position.</v>
      </c>
      <c r="AT206" s="13" t="s">
        <v>138</v>
      </c>
      <c r="AU206" s="15" t="str">
        <f>VLOOKUP(AT206,'Axe 2 Règles de gestion'!$D$2:$F$146,3, FALSE)</f>
        <v>La date de fin prévisionnelle de la position doit être antérieure à la date limite de départ à la retraite.</v>
      </c>
      <c r="AV206" s="13" t="s">
        <v>140</v>
      </c>
      <c r="AW206" s="15" t="str">
        <f>VLOOKUP(AV206,'Axe 2 Règles de gestion'!$D$2:$F$146,3, FALSE)</f>
        <v>La date de fin réelle de la position doit être antérieure à la date limite de départ à la retraite.</v>
      </c>
      <c r="AX206" s="13" t="s">
        <v>389</v>
      </c>
      <c r="AY206" s="15" t="str">
        <f>VLOOKUP(AX206,'Axe 2 Règles de gestion'!$D$2:$F$146,3, FALSE)</f>
        <v>L'indicateur de renouvellement ne doit pas être positionné à Oui.</v>
      </c>
      <c r="AZ206" s="13" t="s">
        <v>152</v>
      </c>
      <c r="BA206" s="15" t="str">
        <f>VLOOKUP(AZ206,'Axe 2 Règles de gestion'!$D$2:$F$146,3, FALSE)</f>
        <v>La saisie d'une occurrence de congés/absences est interdite (date de fin réelle)</v>
      </c>
      <c r="BB206" s="13" t="s">
        <v>154</v>
      </c>
      <c r="BC206" s="15" t="str">
        <f>VLOOKUP(BB206,'Axe 2 Règles de gestion'!$D$2:$F$146,3, FALSE)</f>
        <v>La saisie d'une occurrence de congés/absences est interdite (date de fin prévisionnelle)</v>
      </c>
      <c r="BD206" s="13"/>
      <c r="BE206" s="15"/>
      <c r="BF206" s="13"/>
      <c r="BG206" s="15"/>
      <c r="BH206" s="13"/>
      <c r="BI206" s="15"/>
      <c r="BJ206" s="13"/>
      <c r="BK206" s="15"/>
      <c r="BL206" s="13"/>
      <c r="BM206" s="15"/>
      <c r="BN206" s="13"/>
      <c r="BO206" s="15"/>
      <c r="BP206" s="13"/>
      <c r="BQ206" s="15"/>
      <c r="BR206" s="13"/>
      <c r="BS206" s="15"/>
      <c r="BT206" s="13"/>
      <c r="BU206" s="15"/>
      <c r="BV206" s="13"/>
      <c r="BW206" s="15"/>
    </row>
    <row r="207" spans="1:75" ht="72.5" x14ac:dyDescent="0.35">
      <c r="A207" s="13" t="s">
        <v>76</v>
      </c>
      <c r="B207" s="13" t="s">
        <v>77</v>
      </c>
      <c r="C207" s="14">
        <v>43152.5</v>
      </c>
      <c r="D207" s="13" t="s">
        <v>78</v>
      </c>
      <c r="E207" s="15" t="s">
        <v>79</v>
      </c>
      <c r="F207" s="13" t="s">
        <v>80</v>
      </c>
      <c r="G207" s="15" t="s">
        <v>81</v>
      </c>
      <c r="H207" s="13" t="s">
        <v>392</v>
      </c>
      <c r="I207" s="15" t="s">
        <v>393</v>
      </c>
      <c r="J207" s="15" t="s">
        <v>394</v>
      </c>
      <c r="K207" s="15" t="s">
        <v>395</v>
      </c>
      <c r="L207" s="13" t="s">
        <v>396</v>
      </c>
      <c r="M207" s="15" t="s">
        <v>397</v>
      </c>
      <c r="N207" s="13" t="s">
        <v>379</v>
      </c>
      <c r="O207" s="15"/>
      <c r="P207" s="15"/>
      <c r="Q207" s="15" t="s">
        <v>175</v>
      </c>
      <c r="R207" s="13" t="s">
        <v>176</v>
      </c>
      <c r="S207" s="13" t="s">
        <v>93</v>
      </c>
      <c r="T207" s="13" t="s">
        <v>94</v>
      </c>
      <c r="U207" s="14">
        <v>40725</v>
      </c>
      <c r="V207" s="14"/>
      <c r="W207" s="15"/>
      <c r="X207" s="13"/>
      <c r="Y207" s="15"/>
      <c r="Z207" s="13"/>
      <c r="AA207" s="15"/>
      <c r="AB207" s="13"/>
      <c r="AC207" s="15"/>
      <c r="AD207" s="13"/>
      <c r="AE207" s="15"/>
      <c r="AF207" s="13"/>
      <c r="AG207" s="15"/>
      <c r="AH207" s="13"/>
      <c r="AI207" s="15"/>
      <c r="AJ207" s="13"/>
      <c r="AK207" s="15"/>
      <c r="AL207" s="13"/>
      <c r="AM207" s="15"/>
      <c r="AN207" s="13"/>
      <c r="AO207" s="15"/>
      <c r="AP207" s="13"/>
      <c r="AQ207" s="15"/>
      <c r="AR207" s="13"/>
      <c r="AS207" s="15"/>
      <c r="AT207" s="13"/>
      <c r="AU207" s="15"/>
      <c r="AV207" s="13"/>
      <c r="AW207" s="15"/>
      <c r="AX207" s="13"/>
      <c r="AY207" s="15"/>
      <c r="AZ207" s="13"/>
      <c r="BA207" s="15"/>
      <c r="BB207" s="13"/>
      <c r="BC207" s="15"/>
      <c r="BD207" s="13"/>
      <c r="BE207" s="15"/>
      <c r="BF207" s="13"/>
      <c r="BG207" s="15"/>
      <c r="BH207" s="13"/>
      <c r="BI207" s="15"/>
      <c r="BJ207" s="13"/>
      <c r="BK207" s="15"/>
      <c r="BL207" s="13"/>
      <c r="BM207" s="15"/>
      <c r="BN207" s="13"/>
      <c r="BO207" s="15"/>
      <c r="BP207" s="13"/>
      <c r="BQ207" s="15"/>
      <c r="BR207" s="13"/>
      <c r="BS207" s="15"/>
      <c r="BT207" s="13"/>
      <c r="BU207" s="15"/>
      <c r="BV207" s="13"/>
      <c r="BW207" s="15"/>
    </row>
    <row r="208" spans="1:75" ht="72.5" x14ac:dyDescent="0.35">
      <c r="A208" s="13" t="s">
        <v>76</v>
      </c>
      <c r="B208" s="13" t="s">
        <v>77</v>
      </c>
      <c r="C208" s="14">
        <v>43152.5</v>
      </c>
      <c r="D208" s="13" t="s">
        <v>78</v>
      </c>
      <c r="E208" s="15" t="s">
        <v>79</v>
      </c>
      <c r="F208" s="13" t="s">
        <v>80</v>
      </c>
      <c r="G208" s="15" t="s">
        <v>81</v>
      </c>
      <c r="H208" s="13" t="s">
        <v>392</v>
      </c>
      <c r="I208" s="15" t="s">
        <v>393</v>
      </c>
      <c r="J208" s="15" t="s">
        <v>394</v>
      </c>
      <c r="K208" s="15" t="s">
        <v>395</v>
      </c>
      <c r="L208" s="13" t="s">
        <v>398</v>
      </c>
      <c r="M208" s="15" t="s">
        <v>399</v>
      </c>
      <c r="N208" s="13" t="s">
        <v>101</v>
      </c>
      <c r="O208" s="15"/>
      <c r="P208" s="15"/>
      <c r="Q208" s="15" t="s">
        <v>175</v>
      </c>
      <c r="R208" s="13" t="s">
        <v>176</v>
      </c>
      <c r="S208" s="13" t="s">
        <v>93</v>
      </c>
      <c r="T208" s="13" t="s">
        <v>94</v>
      </c>
      <c r="U208" s="14">
        <v>40725</v>
      </c>
      <c r="V208" s="14"/>
      <c r="W208" s="15"/>
      <c r="X208" s="13"/>
      <c r="Y208" s="15"/>
      <c r="Z208" s="13"/>
      <c r="AA208" s="15"/>
      <c r="AB208" s="13"/>
      <c r="AC208" s="15"/>
      <c r="AD208" s="13"/>
      <c r="AE208" s="15"/>
      <c r="AF208" s="13"/>
      <c r="AG208" s="15"/>
      <c r="AH208" s="13"/>
      <c r="AI208" s="15"/>
      <c r="AJ208" s="13"/>
      <c r="AK208" s="15"/>
      <c r="AL208" s="13"/>
      <c r="AM208" s="15"/>
      <c r="AN208" s="13"/>
      <c r="AO208" s="15"/>
      <c r="AP208" s="13"/>
      <c r="AQ208" s="15"/>
      <c r="AR208" s="13"/>
      <c r="AS208" s="15"/>
      <c r="AT208" s="13"/>
      <c r="AU208" s="15"/>
      <c r="AV208" s="13"/>
      <c r="AW208" s="15"/>
      <c r="AX208" s="13"/>
      <c r="AY208" s="15"/>
      <c r="AZ208" s="13"/>
      <c r="BA208" s="15"/>
      <c r="BB208" s="13"/>
      <c r="BC208" s="15"/>
      <c r="BD208" s="13"/>
      <c r="BE208" s="15"/>
      <c r="BF208" s="13"/>
      <c r="BG208" s="15"/>
      <c r="BH208" s="13"/>
      <c r="BI208" s="15"/>
      <c r="BJ208" s="13"/>
      <c r="BK208" s="15"/>
      <c r="BL208" s="13"/>
      <c r="BM208" s="15"/>
      <c r="BN208" s="13"/>
      <c r="BO208" s="15"/>
      <c r="BP208" s="13"/>
      <c r="BQ208" s="15"/>
      <c r="BR208" s="13"/>
      <c r="BS208" s="15"/>
      <c r="BT208" s="13"/>
      <c r="BU208" s="15"/>
      <c r="BV208" s="13"/>
      <c r="BW208" s="15"/>
    </row>
    <row r="209" spans="1:75" ht="72.5" x14ac:dyDescent="0.35">
      <c r="A209" s="13" t="s">
        <v>76</v>
      </c>
      <c r="B209" s="13" t="s">
        <v>77</v>
      </c>
      <c r="C209" s="14">
        <v>43152.5</v>
      </c>
      <c r="D209" s="13" t="s">
        <v>78</v>
      </c>
      <c r="E209" s="15" t="s">
        <v>79</v>
      </c>
      <c r="F209" s="13" t="s">
        <v>80</v>
      </c>
      <c r="G209" s="15" t="s">
        <v>81</v>
      </c>
      <c r="H209" s="13" t="s">
        <v>392</v>
      </c>
      <c r="I209" s="15" t="s">
        <v>393</v>
      </c>
      <c r="J209" s="15" t="s">
        <v>394</v>
      </c>
      <c r="K209" s="15" t="s">
        <v>395</v>
      </c>
      <c r="L209" s="13" t="s">
        <v>396</v>
      </c>
      <c r="M209" s="15" t="s">
        <v>397</v>
      </c>
      <c r="N209" s="13" t="s">
        <v>379</v>
      </c>
      <c r="O209" s="15"/>
      <c r="P209" s="15"/>
      <c r="Q209" s="15" t="s">
        <v>177</v>
      </c>
      <c r="R209" s="13" t="s">
        <v>178</v>
      </c>
      <c r="S209" s="13" t="s">
        <v>179</v>
      </c>
      <c r="T209" s="13" t="s">
        <v>94</v>
      </c>
      <c r="U209" s="14">
        <v>40725</v>
      </c>
      <c r="V209" s="14"/>
      <c r="W209" s="15"/>
      <c r="X209" s="13"/>
      <c r="Y209" s="15"/>
      <c r="Z209" s="13"/>
      <c r="AA209" s="15"/>
      <c r="AB209" s="13"/>
      <c r="AC209" s="15"/>
      <c r="AD209" s="13"/>
      <c r="AE209" s="15"/>
      <c r="AF209" s="13"/>
      <c r="AG209" s="15"/>
      <c r="AH209" s="13"/>
      <c r="AI209" s="15"/>
      <c r="AJ209" s="13"/>
      <c r="AK209" s="15"/>
      <c r="AL209" s="13"/>
      <c r="AM209" s="15"/>
      <c r="AN209" s="13"/>
      <c r="AO209" s="15"/>
      <c r="AP209" s="13"/>
      <c r="AQ209" s="15"/>
      <c r="AR209" s="13"/>
      <c r="AS209" s="15"/>
      <c r="AT209" s="13"/>
      <c r="AU209" s="15"/>
      <c r="AV209" s="13"/>
      <c r="AW209" s="15"/>
      <c r="AX209" s="13"/>
      <c r="AY209" s="15"/>
      <c r="AZ209" s="13"/>
      <c r="BA209" s="15"/>
      <c r="BB209" s="13"/>
      <c r="BC209" s="15"/>
      <c r="BD209" s="13"/>
      <c r="BE209" s="15"/>
      <c r="BF209" s="13"/>
      <c r="BG209" s="15"/>
      <c r="BH209" s="13"/>
      <c r="BI209" s="15"/>
      <c r="BJ209" s="13"/>
      <c r="BK209" s="15"/>
      <c r="BL209" s="13"/>
      <c r="BM209" s="15"/>
      <c r="BN209" s="13"/>
      <c r="BO209" s="15"/>
      <c r="BP209" s="13"/>
      <c r="BQ209" s="15"/>
      <c r="BR209" s="13"/>
      <c r="BS209" s="15"/>
      <c r="BT209" s="13"/>
      <c r="BU209" s="15"/>
      <c r="BV209" s="13"/>
      <c r="BW209" s="15"/>
    </row>
    <row r="210" spans="1:75" ht="72.5" x14ac:dyDescent="0.35">
      <c r="A210" s="13" t="s">
        <v>76</v>
      </c>
      <c r="B210" s="13" t="s">
        <v>77</v>
      </c>
      <c r="C210" s="14">
        <v>43152.5</v>
      </c>
      <c r="D210" s="13" t="s">
        <v>78</v>
      </c>
      <c r="E210" s="15" t="s">
        <v>79</v>
      </c>
      <c r="F210" s="13" t="s">
        <v>80</v>
      </c>
      <c r="G210" s="15" t="s">
        <v>81</v>
      </c>
      <c r="H210" s="13" t="s">
        <v>392</v>
      </c>
      <c r="I210" s="15" t="s">
        <v>393</v>
      </c>
      <c r="J210" s="15" t="s">
        <v>394</v>
      </c>
      <c r="K210" s="15" t="s">
        <v>395</v>
      </c>
      <c r="L210" s="13" t="s">
        <v>398</v>
      </c>
      <c r="M210" s="15" t="s">
        <v>399</v>
      </c>
      <c r="N210" s="13" t="s">
        <v>101</v>
      </c>
      <c r="O210" s="15"/>
      <c r="P210" s="15"/>
      <c r="Q210" s="15" t="s">
        <v>177</v>
      </c>
      <c r="R210" s="13" t="s">
        <v>178</v>
      </c>
      <c r="S210" s="13" t="s">
        <v>179</v>
      </c>
      <c r="T210" s="13" t="s">
        <v>94</v>
      </c>
      <c r="U210" s="14">
        <v>40725</v>
      </c>
      <c r="V210" s="14"/>
      <c r="W210" s="15"/>
      <c r="X210" s="13"/>
      <c r="Y210" s="15"/>
      <c r="Z210" s="13"/>
      <c r="AA210" s="15"/>
      <c r="AB210" s="13"/>
      <c r="AC210" s="15"/>
      <c r="AD210" s="13"/>
      <c r="AE210" s="15"/>
      <c r="AF210" s="13"/>
      <c r="AG210" s="15"/>
      <c r="AH210" s="13"/>
      <c r="AI210" s="15"/>
      <c r="AJ210" s="13"/>
      <c r="AK210" s="15"/>
      <c r="AL210" s="13"/>
      <c r="AM210" s="15"/>
      <c r="AN210" s="13"/>
      <c r="AO210" s="15"/>
      <c r="AP210" s="13"/>
      <c r="AQ210" s="15"/>
      <c r="AR210" s="13"/>
      <c r="AS210" s="15"/>
      <c r="AT210" s="13"/>
      <c r="AU210" s="15"/>
      <c r="AV210" s="13"/>
      <c r="AW210" s="15"/>
      <c r="AX210" s="13"/>
      <c r="AY210" s="15"/>
      <c r="AZ210" s="13"/>
      <c r="BA210" s="15"/>
      <c r="BB210" s="13"/>
      <c r="BC210" s="15"/>
      <c r="BD210" s="13"/>
      <c r="BE210" s="15"/>
      <c r="BF210" s="13"/>
      <c r="BG210" s="15"/>
      <c r="BH210" s="13"/>
      <c r="BI210" s="15"/>
      <c r="BJ210" s="13"/>
      <c r="BK210" s="15"/>
      <c r="BL210" s="13"/>
      <c r="BM210" s="15"/>
      <c r="BN210" s="13"/>
      <c r="BO210" s="15"/>
      <c r="BP210" s="13"/>
      <c r="BQ210" s="15"/>
      <c r="BR210" s="13"/>
      <c r="BS210" s="15"/>
      <c r="BT210" s="13"/>
      <c r="BU210" s="15"/>
      <c r="BV210" s="13"/>
      <c r="BW210" s="15"/>
    </row>
    <row r="211" spans="1:75" ht="72.5" x14ac:dyDescent="0.35">
      <c r="A211" s="13" t="s">
        <v>238</v>
      </c>
      <c r="B211" s="13" t="s">
        <v>109</v>
      </c>
      <c r="C211" s="14">
        <v>44368.708333333336</v>
      </c>
      <c r="D211" s="13" t="s">
        <v>78</v>
      </c>
      <c r="E211" s="15" t="s">
        <v>79</v>
      </c>
      <c r="F211" s="13" t="s">
        <v>80</v>
      </c>
      <c r="G211" s="15" t="s">
        <v>81</v>
      </c>
      <c r="H211" s="13" t="s">
        <v>392</v>
      </c>
      <c r="I211" s="15" t="s">
        <v>393</v>
      </c>
      <c r="J211" s="15" t="s">
        <v>394</v>
      </c>
      <c r="K211" s="15" t="s">
        <v>395</v>
      </c>
      <c r="L211" s="13" t="s">
        <v>396</v>
      </c>
      <c r="M211" s="15" t="s">
        <v>397</v>
      </c>
      <c r="N211" s="13" t="s">
        <v>379</v>
      </c>
      <c r="O211" s="15"/>
      <c r="P211" s="15"/>
      <c r="Q211" s="15" t="s">
        <v>201</v>
      </c>
      <c r="R211" s="13" t="s">
        <v>202</v>
      </c>
      <c r="S211" s="13" t="s">
        <v>179</v>
      </c>
      <c r="T211" s="13" t="s">
        <v>112</v>
      </c>
      <c r="U211" s="14">
        <v>40725</v>
      </c>
      <c r="V211" s="14"/>
      <c r="W211" s="15" t="s">
        <v>408</v>
      </c>
      <c r="X211" s="13" t="s">
        <v>409</v>
      </c>
      <c r="Y211" s="15" t="str">
        <f>VLOOKUP(X211,'Axe 2 Règles de gestion'!$D$2:$F$146,3, FALSE)</f>
        <v>L'agent doit présenter une demande de congé sans traitement.</v>
      </c>
      <c r="Z211" s="13" t="s">
        <v>410</v>
      </c>
      <c r="AA211" s="15" t="str">
        <f>VLOOKUP(Z211,'Axe 2 Règles de gestion'!$D$2:$F$146,3, FALSE)</f>
        <v>L'agent ne peut pas bénéficier simultanément de plusieurs congés de ce type.</v>
      </c>
      <c r="AB211" s="13" t="s">
        <v>411</v>
      </c>
      <c r="AC211" s="15" t="str">
        <f>VLOOKUP(AB211,'Axe 2 Règles de gestion'!$D$2:$F$146,3, FALSE)</f>
        <v>Le congé sans traitement est accordé pour la durée du cycle préparatoire ou de la scolarité.</v>
      </c>
      <c r="AD211" s="13"/>
      <c r="AE211" s="15"/>
      <c r="AF211" s="13"/>
      <c r="AG211" s="15"/>
      <c r="AH211" s="13"/>
      <c r="AI211" s="15"/>
      <c r="AJ211" s="13"/>
      <c r="AK211" s="15"/>
      <c r="AL211" s="13"/>
      <c r="AM211" s="15"/>
      <c r="AN211" s="13"/>
      <c r="AO211" s="15"/>
      <c r="AP211" s="13" t="s">
        <v>128</v>
      </c>
      <c r="AQ211" s="15" t="str">
        <f>VLOOKUP(AP211,'Axe 2 Règles de gestion'!$D$2:$F$146,3, FALSE)</f>
        <v>Lors de la demande initiale, l'agent doit être en activité.</v>
      </c>
      <c r="AR211" s="13" t="s">
        <v>132</v>
      </c>
      <c r="AS211" s="15" t="str">
        <f>VLOOKUP(AR211,'Axe 2 Règles de gestion'!$D$2:$F$146,3, FALSE)</f>
        <v>La date de début de position est à J+1 de la date de fin de position de l'occurrence précédente.</v>
      </c>
      <c r="AT211" s="13" t="s">
        <v>134</v>
      </c>
      <c r="AU211" s="15" t="str">
        <f>VLOOKUP(AT211,'Axe 2 Règles de gestion'!$D$2:$F$146,3, FALSE)</f>
        <v>La date de début de position doit être antérieure ou égale à la date de fin prévisionnelle de position.</v>
      </c>
      <c r="AV211" s="13" t="s">
        <v>136</v>
      </c>
      <c r="AW211" s="15" t="str">
        <f>VLOOKUP(AV211,'Axe 2 Règles de gestion'!$D$2:$F$146,3, FALSE)</f>
        <v>La date de début de position doit être antérieure ou égale à la date de fin réelle de position.</v>
      </c>
      <c r="AX211" s="13" t="s">
        <v>138</v>
      </c>
      <c r="AY211" s="15" t="str">
        <f>VLOOKUP(AX211,'Axe 2 Règles de gestion'!$D$2:$F$146,3, FALSE)</f>
        <v>La date de fin prévisionnelle de la position doit être antérieure à la date limite de départ à la retraite.</v>
      </c>
      <c r="AZ211" s="13" t="s">
        <v>140</v>
      </c>
      <c r="BA211" s="15" t="str">
        <f>VLOOKUP(AZ211,'Axe 2 Règles de gestion'!$D$2:$F$146,3, FALSE)</f>
        <v>La date de fin réelle de la position doit être antérieure à la date limite de départ à la retraite.</v>
      </c>
      <c r="BB211" s="13" t="s">
        <v>389</v>
      </c>
      <c r="BC211" s="15" t="str">
        <f>VLOOKUP(BB211,'Axe 2 Règles de gestion'!$D$2:$F$146,3, FALSE)</f>
        <v>L'indicateur de renouvellement ne doit pas être positionné à Oui.</v>
      </c>
      <c r="BD211" s="13" t="s">
        <v>211</v>
      </c>
      <c r="BE211" s="15" t="str">
        <f>VLOOKUP(BD211,'Axe 2 Règles de gestion'!$D$2:$F$146,3, FALSE)</f>
        <v>La date de début de la position doit être postérieure ou égale à la date de début du lien juridique.</v>
      </c>
      <c r="BF211" s="13" t="s">
        <v>213</v>
      </c>
      <c r="BG211" s="15" t="str">
        <f>VLOOKUP(BF211,'Axe 2 Règles de gestion'!$D$2:$F$146,3, FALSE)</f>
        <v>La date de fin réelle de la position doit être antérieure ou égale à la date de fin réelle ou prévisionnelle du lien juridique.</v>
      </c>
      <c r="BH211" s="13" t="s">
        <v>215</v>
      </c>
      <c r="BI211" s="15" t="str">
        <f>VLOOKUP(BH211,'Axe 2 Règles de gestion'!$D$2:$F$146,3, FALSE)</f>
        <v>La date de fin prévisionnelle de la position doit être antérieure ou égale à la date de fin réelle ou prévisionnelle du lien juridique.</v>
      </c>
      <c r="BJ211" s="13" t="s">
        <v>152</v>
      </c>
      <c r="BK211" s="15" t="str">
        <f>VLOOKUP(BJ211,'Axe 2 Règles de gestion'!$D$2:$F$146,3, FALSE)</f>
        <v>La saisie d'une occurrence de congés/absences est interdite (date de fin réelle)</v>
      </c>
      <c r="BL211" s="13" t="s">
        <v>154</v>
      </c>
      <c r="BM211" s="15" t="str">
        <f>VLOOKUP(BL211,'Axe 2 Règles de gestion'!$D$2:$F$146,3, FALSE)</f>
        <v>La saisie d'une occurrence de congés/absences est interdite (date de fin prévisionnelle)</v>
      </c>
      <c r="BN211" s="13"/>
      <c r="BO211" s="15"/>
      <c r="BP211" s="13"/>
      <c r="BQ211" s="15"/>
      <c r="BR211" s="13"/>
      <c r="BS211" s="15"/>
      <c r="BT211" s="13"/>
      <c r="BU211" s="15"/>
      <c r="BV211" s="13"/>
      <c r="BW211" s="15"/>
    </row>
    <row r="212" spans="1:75" ht="72.5" x14ac:dyDescent="0.35">
      <c r="A212" s="13" t="s">
        <v>238</v>
      </c>
      <c r="B212" s="13" t="s">
        <v>109</v>
      </c>
      <c r="C212" s="14">
        <v>44368.708333333336</v>
      </c>
      <c r="D212" s="13" t="s">
        <v>78</v>
      </c>
      <c r="E212" s="15" t="s">
        <v>79</v>
      </c>
      <c r="F212" s="13" t="s">
        <v>80</v>
      </c>
      <c r="G212" s="15" t="s">
        <v>81</v>
      </c>
      <c r="H212" s="13" t="s">
        <v>392</v>
      </c>
      <c r="I212" s="15" t="s">
        <v>393</v>
      </c>
      <c r="J212" s="15" t="s">
        <v>394</v>
      </c>
      <c r="K212" s="15" t="s">
        <v>395</v>
      </c>
      <c r="L212" s="13" t="s">
        <v>398</v>
      </c>
      <c r="M212" s="15" t="s">
        <v>399</v>
      </c>
      <c r="N212" s="13" t="s">
        <v>101</v>
      </c>
      <c r="O212" s="15"/>
      <c r="P212" s="15"/>
      <c r="Q212" s="15" t="s">
        <v>201</v>
      </c>
      <c r="R212" s="13" t="s">
        <v>202</v>
      </c>
      <c r="S212" s="13" t="s">
        <v>179</v>
      </c>
      <c r="T212" s="13" t="s">
        <v>112</v>
      </c>
      <c r="U212" s="14">
        <v>40725</v>
      </c>
      <c r="V212" s="14"/>
      <c r="W212" s="15" t="s">
        <v>412</v>
      </c>
      <c r="X212" s="13"/>
      <c r="Y212" s="15"/>
      <c r="Z212" s="13"/>
      <c r="AA212" s="15"/>
      <c r="AB212" s="13"/>
      <c r="AC212" s="15"/>
      <c r="AD212" s="13"/>
      <c r="AE212" s="15"/>
      <c r="AF212" s="13"/>
      <c r="AG212" s="15"/>
      <c r="AH212" s="13"/>
      <c r="AI212" s="15"/>
      <c r="AJ212" s="13"/>
      <c r="AK212" s="15"/>
      <c r="AL212" s="13"/>
      <c r="AM212" s="15"/>
      <c r="AN212" s="13"/>
      <c r="AO212" s="15"/>
      <c r="AP212" s="13" t="s">
        <v>134</v>
      </c>
      <c r="AQ212" s="15" t="str">
        <f>VLOOKUP(AP212,'Axe 2 Règles de gestion'!$D$2:$F$146,3, FALSE)</f>
        <v>La date de début de position doit être antérieure ou égale à la date de fin prévisionnelle de position.</v>
      </c>
      <c r="AR212" s="13" t="s">
        <v>136</v>
      </c>
      <c r="AS212" s="15" t="str">
        <f>VLOOKUP(AR212,'Axe 2 Règles de gestion'!$D$2:$F$146,3, FALSE)</f>
        <v>La date de début de position doit être antérieure ou égale à la date de fin réelle de position.</v>
      </c>
      <c r="AT212" s="13" t="s">
        <v>138</v>
      </c>
      <c r="AU212" s="15" t="str">
        <f>VLOOKUP(AT212,'Axe 2 Règles de gestion'!$D$2:$F$146,3, FALSE)</f>
        <v>La date de fin prévisionnelle de la position doit être antérieure à la date limite de départ à la retraite.</v>
      </c>
      <c r="AV212" s="13" t="s">
        <v>140</v>
      </c>
      <c r="AW212" s="15" t="str">
        <f>VLOOKUP(AV212,'Axe 2 Règles de gestion'!$D$2:$F$146,3, FALSE)</f>
        <v>La date de fin réelle de la position doit être antérieure à la date limite de départ à la retraite.</v>
      </c>
      <c r="AX212" s="13" t="s">
        <v>389</v>
      </c>
      <c r="AY212" s="15" t="str">
        <f>VLOOKUP(AX212,'Axe 2 Règles de gestion'!$D$2:$F$146,3, FALSE)</f>
        <v>L'indicateur de renouvellement ne doit pas être positionné à Oui.</v>
      </c>
      <c r="AZ212" s="13" t="s">
        <v>213</v>
      </c>
      <c r="BA212" s="15" t="str">
        <f>VLOOKUP(AZ212,'Axe 2 Règles de gestion'!$D$2:$F$146,3, FALSE)</f>
        <v>La date de fin réelle de la position doit être antérieure ou égale à la date de fin réelle ou prévisionnelle du lien juridique.</v>
      </c>
      <c r="BB212" s="13" t="s">
        <v>215</v>
      </c>
      <c r="BC212" s="15" t="str">
        <f>VLOOKUP(BB212,'Axe 2 Règles de gestion'!$D$2:$F$146,3, FALSE)</f>
        <v>La date de fin prévisionnelle de la position doit être antérieure ou égale à la date de fin réelle ou prévisionnelle du lien juridique.</v>
      </c>
      <c r="BD212" s="13" t="s">
        <v>152</v>
      </c>
      <c r="BE212" s="15" t="str">
        <f>VLOOKUP(BD212,'Axe 2 Règles de gestion'!$D$2:$F$146,3, FALSE)</f>
        <v>La saisie d'une occurrence de congés/absences est interdite (date de fin réelle)</v>
      </c>
      <c r="BF212" s="13" t="s">
        <v>154</v>
      </c>
      <c r="BG212" s="15" t="str">
        <f>VLOOKUP(BF212,'Axe 2 Règles de gestion'!$D$2:$F$146,3, FALSE)</f>
        <v>La saisie d'une occurrence de congés/absences est interdite (date de fin prévisionnelle)</v>
      </c>
      <c r="BH212" s="13"/>
      <c r="BI212" s="15"/>
      <c r="BJ212" s="13"/>
      <c r="BK212" s="15"/>
      <c r="BL212" s="13"/>
      <c r="BM212" s="15"/>
      <c r="BN212" s="13"/>
      <c r="BO212" s="15"/>
      <c r="BP212" s="13"/>
      <c r="BQ212" s="15"/>
      <c r="BR212" s="13"/>
      <c r="BS212" s="15"/>
      <c r="BT212" s="13"/>
      <c r="BU212" s="15"/>
      <c r="BV212" s="13"/>
      <c r="BW212" s="15"/>
    </row>
    <row r="213" spans="1:75" ht="43.5" x14ac:dyDescent="0.35">
      <c r="A213" s="13" t="s">
        <v>76</v>
      </c>
      <c r="B213" s="13" t="s">
        <v>77</v>
      </c>
      <c r="C213" s="14">
        <v>43152.5</v>
      </c>
      <c r="D213" s="13" t="s">
        <v>78</v>
      </c>
      <c r="E213" s="15" t="s">
        <v>79</v>
      </c>
      <c r="F213" s="13" t="s">
        <v>80</v>
      </c>
      <c r="G213" s="15" t="s">
        <v>81</v>
      </c>
      <c r="H213" s="13" t="s">
        <v>413</v>
      </c>
      <c r="I213" s="15" t="s">
        <v>414</v>
      </c>
      <c r="J213" s="15" t="s">
        <v>415</v>
      </c>
      <c r="K213" s="15" t="s">
        <v>416</v>
      </c>
      <c r="L213" s="13" t="s">
        <v>417</v>
      </c>
      <c r="M213" s="15" t="s">
        <v>418</v>
      </c>
      <c r="N213" s="13" t="s">
        <v>379</v>
      </c>
      <c r="O213" s="15"/>
      <c r="P213" s="15"/>
      <c r="Q213" s="15" t="s">
        <v>91</v>
      </c>
      <c r="R213" s="13" t="s">
        <v>92</v>
      </c>
      <c r="S213" s="13" t="s">
        <v>93</v>
      </c>
      <c r="T213" s="13" t="s">
        <v>94</v>
      </c>
      <c r="U213" s="14">
        <v>40725</v>
      </c>
      <c r="V213" s="14"/>
      <c r="W213" s="15"/>
      <c r="X213" s="13"/>
      <c r="Y213" s="15"/>
      <c r="Z213" s="13"/>
      <c r="AA213" s="15"/>
      <c r="AB213" s="13"/>
      <c r="AC213" s="15"/>
      <c r="AD213" s="13"/>
      <c r="AE213" s="15"/>
      <c r="AF213" s="13"/>
      <c r="AG213" s="15"/>
      <c r="AH213" s="13"/>
      <c r="AI213" s="15"/>
      <c r="AJ213" s="13"/>
      <c r="AK213" s="15"/>
      <c r="AL213" s="13"/>
      <c r="AM213" s="15"/>
      <c r="AN213" s="13"/>
      <c r="AO213" s="15"/>
      <c r="AP213" s="13"/>
      <c r="AQ213" s="15"/>
      <c r="AR213" s="13"/>
      <c r="AS213" s="15"/>
      <c r="AT213" s="13"/>
      <c r="AU213" s="15"/>
      <c r="AV213" s="13"/>
      <c r="AW213" s="15"/>
      <c r="AX213" s="13"/>
      <c r="AY213" s="15"/>
      <c r="AZ213" s="13"/>
      <c r="BA213" s="15"/>
      <c r="BB213" s="13"/>
      <c r="BC213" s="15"/>
      <c r="BD213" s="13"/>
      <c r="BE213" s="15"/>
      <c r="BF213" s="13"/>
      <c r="BG213" s="15"/>
      <c r="BH213" s="13"/>
      <c r="BI213" s="15"/>
      <c r="BJ213" s="13"/>
      <c r="BK213" s="15"/>
      <c r="BL213" s="13"/>
      <c r="BM213" s="15"/>
      <c r="BN213" s="13"/>
      <c r="BO213" s="15"/>
      <c r="BP213" s="13"/>
      <c r="BQ213" s="15"/>
      <c r="BR213" s="13"/>
      <c r="BS213" s="15"/>
      <c r="BT213" s="13"/>
      <c r="BU213" s="15"/>
      <c r="BV213" s="13"/>
      <c r="BW213" s="15"/>
    </row>
    <row r="214" spans="1:75" ht="43.5" x14ac:dyDescent="0.35">
      <c r="A214" s="13" t="s">
        <v>76</v>
      </c>
      <c r="B214" s="13" t="s">
        <v>77</v>
      </c>
      <c r="C214" s="14">
        <v>43152.5</v>
      </c>
      <c r="D214" s="13" t="s">
        <v>78</v>
      </c>
      <c r="E214" s="15" t="s">
        <v>79</v>
      </c>
      <c r="F214" s="13" t="s">
        <v>80</v>
      </c>
      <c r="G214" s="15" t="s">
        <v>81</v>
      </c>
      <c r="H214" s="13" t="s">
        <v>413</v>
      </c>
      <c r="I214" s="15" t="s">
        <v>414</v>
      </c>
      <c r="J214" s="15" t="s">
        <v>415</v>
      </c>
      <c r="K214" s="15" t="s">
        <v>416</v>
      </c>
      <c r="L214" s="13" t="s">
        <v>419</v>
      </c>
      <c r="M214" s="15" t="s">
        <v>420</v>
      </c>
      <c r="N214" s="13" t="s">
        <v>101</v>
      </c>
      <c r="O214" s="15"/>
      <c r="P214" s="15"/>
      <c r="Q214" s="15" t="s">
        <v>91</v>
      </c>
      <c r="R214" s="13" t="s">
        <v>92</v>
      </c>
      <c r="S214" s="13" t="s">
        <v>93</v>
      </c>
      <c r="T214" s="13" t="s">
        <v>94</v>
      </c>
      <c r="U214" s="14">
        <v>40725</v>
      </c>
      <c r="V214" s="14"/>
      <c r="W214" s="15"/>
      <c r="X214" s="13"/>
      <c r="Y214" s="15"/>
      <c r="Z214" s="13"/>
      <c r="AA214" s="15"/>
      <c r="AB214" s="13"/>
      <c r="AC214" s="15"/>
      <c r="AD214" s="13"/>
      <c r="AE214" s="15"/>
      <c r="AF214" s="13"/>
      <c r="AG214" s="15"/>
      <c r="AH214" s="13"/>
      <c r="AI214" s="15"/>
      <c r="AJ214" s="13"/>
      <c r="AK214" s="15"/>
      <c r="AL214" s="13"/>
      <c r="AM214" s="15"/>
      <c r="AN214" s="13"/>
      <c r="AO214" s="15"/>
      <c r="AP214" s="13"/>
      <c r="AQ214" s="15"/>
      <c r="AR214" s="13"/>
      <c r="AS214" s="15"/>
      <c r="AT214" s="13"/>
      <c r="AU214" s="15"/>
      <c r="AV214" s="13"/>
      <c r="AW214" s="15"/>
      <c r="AX214" s="13"/>
      <c r="AY214" s="15"/>
      <c r="AZ214" s="13"/>
      <c r="BA214" s="15"/>
      <c r="BB214" s="13"/>
      <c r="BC214" s="15"/>
      <c r="BD214" s="13"/>
      <c r="BE214" s="15"/>
      <c r="BF214" s="13"/>
      <c r="BG214" s="15"/>
      <c r="BH214" s="13"/>
      <c r="BI214" s="15"/>
      <c r="BJ214" s="13"/>
      <c r="BK214" s="15"/>
      <c r="BL214" s="13"/>
      <c r="BM214" s="15"/>
      <c r="BN214" s="13"/>
      <c r="BO214" s="15"/>
      <c r="BP214" s="13"/>
      <c r="BQ214" s="15"/>
      <c r="BR214" s="13"/>
      <c r="BS214" s="15"/>
      <c r="BT214" s="13"/>
      <c r="BU214" s="15"/>
      <c r="BV214" s="13"/>
      <c r="BW214" s="15"/>
    </row>
    <row r="215" spans="1:75" ht="43.5" x14ac:dyDescent="0.35">
      <c r="A215" s="13" t="s">
        <v>76</v>
      </c>
      <c r="B215" s="13" t="s">
        <v>77</v>
      </c>
      <c r="C215" s="14">
        <v>43152.5</v>
      </c>
      <c r="D215" s="13" t="s">
        <v>78</v>
      </c>
      <c r="E215" s="15" t="s">
        <v>79</v>
      </c>
      <c r="F215" s="13" t="s">
        <v>80</v>
      </c>
      <c r="G215" s="15" t="s">
        <v>81</v>
      </c>
      <c r="H215" s="13" t="s">
        <v>413</v>
      </c>
      <c r="I215" s="15" t="s">
        <v>414</v>
      </c>
      <c r="J215" s="15" t="s">
        <v>415</v>
      </c>
      <c r="K215" s="15" t="s">
        <v>416</v>
      </c>
      <c r="L215" s="13" t="s">
        <v>417</v>
      </c>
      <c r="M215" s="15" t="s">
        <v>418</v>
      </c>
      <c r="N215" s="13" t="s">
        <v>379</v>
      </c>
      <c r="O215" s="15"/>
      <c r="P215" s="15"/>
      <c r="Q215" s="15" t="s">
        <v>104</v>
      </c>
      <c r="R215" s="13" t="s">
        <v>105</v>
      </c>
      <c r="S215" s="13" t="s">
        <v>93</v>
      </c>
      <c r="T215" s="13" t="s">
        <v>94</v>
      </c>
      <c r="U215" s="14">
        <v>40725</v>
      </c>
      <c r="V215" s="14"/>
      <c r="W215" s="15"/>
      <c r="X215" s="13"/>
      <c r="Y215" s="15"/>
      <c r="Z215" s="13"/>
      <c r="AA215" s="15"/>
      <c r="AB215" s="13"/>
      <c r="AC215" s="15"/>
      <c r="AD215" s="13"/>
      <c r="AE215" s="15"/>
      <c r="AF215" s="13"/>
      <c r="AG215" s="15"/>
      <c r="AH215" s="13"/>
      <c r="AI215" s="15"/>
      <c r="AJ215" s="13"/>
      <c r="AK215" s="15"/>
      <c r="AL215" s="13"/>
      <c r="AM215" s="15"/>
      <c r="AN215" s="13"/>
      <c r="AO215" s="15"/>
      <c r="AP215" s="13"/>
      <c r="AQ215" s="15"/>
      <c r="AR215" s="13"/>
      <c r="AS215" s="15"/>
      <c r="AT215" s="13"/>
      <c r="AU215" s="15"/>
      <c r="AV215" s="13"/>
      <c r="AW215" s="15"/>
      <c r="AX215" s="13"/>
      <c r="AY215" s="15"/>
      <c r="AZ215" s="13"/>
      <c r="BA215" s="15"/>
      <c r="BB215" s="13"/>
      <c r="BC215" s="15"/>
      <c r="BD215" s="13"/>
      <c r="BE215" s="15"/>
      <c r="BF215" s="13"/>
      <c r="BG215" s="15"/>
      <c r="BH215" s="13"/>
      <c r="BI215" s="15"/>
      <c r="BJ215" s="13"/>
      <c r="BK215" s="15"/>
      <c r="BL215" s="13"/>
      <c r="BM215" s="15"/>
      <c r="BN215" s="13"/>
      <c r="BO215" s="15"/>
      <c r="BP215" s="13"/>
      <c r="BQ215" s="15"/>
      <c r="BR215" s="13"/>
      <c r="BS215" s="15"/>
      <c r="BT215" s="13"/>
      <c r="BU215" s="15"/>
      <c r="BV215" s="13"/>
      <c r="BW215" s="15"/>
    </row>
    <row r="216" spans="1:75" ht="43.5" x14ac:dyDescent="0.35">
      <c r="A216" s="13" t="s">
        <v>76</v>
      </c>
      <c r="B216" s="13" t="s">
        <v>77</v>
      </c>
      <c r="C216" s="14">
        <v>43152.5</v>
      </c>
      <c r="D216" s="13" t="s">
        <v>78</v>
      </c>
      <c r="E216" s="15" t="s">
        <v>79</v>
      </c>
      <c r="F216" s="13" t="s">
        <v>80</v>
      </c>
      <c r="G216" s="15" t="s">
        <v>81</v>
      </c>
      <c r="H216" s="13" t="s">
        <v>413</v>
      </c>
      <c r="I216" s="15" t="s">
        <v>414</v>
      </c>
      <c r="J216" s="15" t="s">
        <v>415</v>
      </c>
      <c r="K216" s="15" t="s">
        <v>416</v>
      </c>
      <c r="L216" s="13" t="s">
        <v>419</v>
      </c>
      <c r="M216" s="15" t="s">
        <v>420</v>
      </c>
      <c r="N216" s="13" t="s">
        <v>101</v>
      </c>
      <c r="O216" s="15"/>
      <c r="P216" s="15"/>
      <c r="Q216" s="15" t="s">
        <v>104</v>
      </c>
      <c r="R216" s="13" t="s">
        <v>105</v>
      </c>
      <c r="S216" s="13" t="s">
        <v>93</v>
      </c>
      <c r="T216" s="13" t="s">
        <v>94</v>
      </c>
      <c r="U216" s="14">
        <v>40725</v>
      </c>
      <c r="V216" s="14"/>
      <c r="W216" s="15"/>
      <c r="X216" s="13"/>
      <c r="Y216" s="15"/>
      <c r="Z216" s="13"/>
      <c r="AA216" s="15"/>
      <c r="AB216" s="13"/>
      <c r="AC216" s="15"/>
      <c r="AD216" s="13"/>
      <c r="AE216" s="15"/>
      <c r="AF216" s="13"/>
      <c r="AG216" s="15"/>
      <c r="AH216" s="13"/>
      <c r="AI216" s="15"/>
      <c r="AJ216" s="13"/>
      <c r="AK216" s="15"/>
      <c r="AL216" s="13"/>
      <c r="AM216" s="15"/>
      <c r="AN216" s="13"/>
      <c r="AO216" s="15"/>
      <c r="AP216" s="13"/>
      <c r="AQ216" s="15"/>
      <c r="AR216" s="13"/>
      <c r="AS216" s="15"/>
      <c r="AT216" s="13"/>
      <c r="AU216" s="15"/>
      <c r="AV216" s="13"/>
      <c r="AW216" s="15"/>
      <c r="AX216" s="13"/>
      <c r="AY216" s="15"/>
      <c r="AZ216" s="13"/>
      <c r="BA216" s="15"/>
      <c r="BB216" s="13"/>
      <c r="BC216" s="15"/>
      <c r="BD216" s="13"/>
      <c r="BE216" s="15"/>
      <c r="BF216" s="13"/>
      <c r="BG216" s="15"/>
      <c r="BH216" s="13"/>
      <c r="BI216" s="15"/>
      <c r="BJ216" s="13"/>
      <c r="BK216" s="15"/>
      <c r="BL216" s="13"/>
      <c r="BM216" s="15"/>
      <c r="BN216" s="13"/>
      <c r="BO216" s="15"/>
      <c r="BP216" s="13"/>
      <c r="BQ216" s="15"/>
      <c r="BR216" s="13"/>
      <c r="BS216" s="15"/>
      <c r="BT216" s="13"/>
      <c r="BU216" s="15"/>
      <c r="BV216" s="13"/>
      <c r="BW216" s="15"/>
    </row>
    <row r="217" spans="1:75" ht="43.5" x14ac:dyDescent="0.35">
      <c r="A217" s="13" t="s">
        <v>76</v>
      </c>
      <c r="B217" s="13" t="s">
        <v>77</v>
      </c>
      <c r="C217" s="14">
        <v>43152.5</v>
      </c>
      <c r="D217" s="13" t="s">
        <v>78</v>
      </c>
      <c r="E217" s="15" t="s">
        <v>79</v>
      </c>
      <c r="F217" s="13" t="s">
        <v>80</v>
      </c>
      <c r="G217" s="15" t="s">
        <v>81</v>
      </c>
      <c r="H217" s="13" t="s">
        <v>413</v>
      </c>
      <c r="I217" s="15" t="s">
        <v>414</v>
      </c>
      <c r="J217" s="15" t="s">
        <v>415</v>
      </c>
      <c r="K217" s="15" t="s">
        <v>416</v>
      </c>
      <c r="L217" s="13" t="s">
        <v>417</v>
      </c>
      <c r="M217" s="15" t="s">
        <v>418</v>
      </c>
      <c r="N217" s="13" t="s">
        <v>379</v>
      </c>
      <c r="O217" s="15"/>
      <c r="P217" s="15"/>
      <c r="Q217" s="15" t="s">
        <v>106</v>
      </c>
      <c r="R217" s="13" t="s">
        <v>107</v>
      </c>
      <c r="S217" s="13" t="s">
        <v>93</v>
      </c>
      <c r="T217" s="13" t="s">
        <v>94</v>
      </c>
      <c r="U217" s="14">
        <v>40725</v>
      </c>
      <c r="V217" s="14"/>
      <c r="W217" s="15"/>
      <c r="X217" s="13"/>
      <c r="Y217" s="15"/>
      <c r="Z217" s="13"/>
      <c r="AA217" s="15"/>
      <c r="AB217" s="13"/>
      <c r="AC217" s="15"/>
      <c r="AD217" s="13"/>
      <c r="AE217" s="15"/>
      <c r="AF217" s="13"/>
      <c r="AG217" s="15"/>
      <c r="AH217" s="13"/>
      <c r="AI217" s="15"/>
      <c r="AJ217" s="13"/>
      <c r="AK217" s="15"/>
      <c r="AL217" s="13"/>
      <c r="AM217" s="15"/>
      <c r="AN217" s="13"/>
      <c r="AO217" s="15"/>
      <c r="AP217" s="13"/>
      <c r="AQ217" s="15"/>
      <c r="AR217" s="13"/>
      <c r="AS217" s="15"/>
      <c r="AT217" s="13"/>
      <c r="AU217" s="15"/>
      <c r="AV217" s="13"/>
      <c r="AW217" s="15"/>
      <c r="AX217" s="13"/>
      <c r="AY217" s="15"/>
      <c r="AZ217" s="13"/>
      <c r="BA217" s="15"/>
      <c r="BB217" s="13"/>
      <c r="BC217" s="15"/>
      <c r="BD217" s="13"/>
      <c r="BE217" s="15"/>
      <c r="BF217" s="13"/>
      <c r="BG217" s="15"/>
      <c r="BH217" s="13"/>
      <c r="BI217" s="15"/>
      <c r="BJ217" s="13"/>
      <c r="BK217" s="15"/>
      <c r="BL217" s="13"/>
      <c r="BM217" s="15"/>
      <c r="BN217" s="13"/>
      <c r="BO217" s="15"/>
      <c r="BP217" s="13"/>
      <c r="BQ217" s="15"/>
      <c r="BR217" s="13"/>
      <c r="BS217" s="15"/>
      <c r="BT217" s="13"/>
      <c r="BU217" s="15"/>
      <c r="BV217" s="13"/>
      <c r="BW217" s="15"/>
    </row>
    <row r="218" spans="1:75" ht="43.5" x14ac:dyDescent="0.35">
      <c r="A218" s="13" t="s">
        <v>76</v>
      </c>
      <c r="B218" s="13" t="s">
        <v>77</v>
      </c>
      <c r="C218" s="14">
        <v>43152.5</v>
      </c>
      <c r="D218" s="13" t="s">
        <v>78</v>
      </c>
      <c r="E218" s="15" t="s">
        <v>79</v>
      </c>
      <c r="F218" s="13" t="s">
        <v>80</v>
      </c>
      <c r="G218" s="15" t="s">
        <v>81</v>
      </c>
      <c r="H218" s="13" t="s">
        <v>413</v>
      </c>
      <c r="I218" s="15" t="s">
        <v>414</v>
      </c>
      <c r="J218" s="15" t="s">
        <v>415</v>
      </c>
      <c r="K218" s="15" t="s">
        <v>416</v>
      </c>
      <c r="L218" s="13" t="s">
        <v>419</v>
      </c>
      <c r="M218" s="15" t="s">
        <v>420</v>
      </c>
      <c r="N218" s="13" t="s">
        <v>101</v>
      </c>
      <c r="O218" s="15"/>
      <c r="P218" s="15"/>
      <c r="Q218" s="15" t="s">
        <v>106</v>
      </c>
      <c r="R218" s="13" t="s">
        <v>107</v>
      </c>
      <c r="S218" s="13" t="s">
        <v>93</v>
      </c>
      <c r="T218" s="13" t="s">
        <v>94</v>
      </c>
      <c r="U218" s="14">
        <v>40725</v>
      </c>
      <c r="V218" s="14"/>
      <c r="W218" s="15"/>
      <c r="X218" s="13"/>
      <c r="Y218" s="15"/>
      <c r="Z218" s="13"/>
      <c r="AA218" s="15"/>
      <c r="AB218" s="13"/>
      <c r="AC218" s="15"/>
      <c r="AD218" s="13"/>
      <c r="AE218" s="15"/>
      <c r="AF218" s="13"/>
      <c r="AG218" s="15"/>
      <c r="AH218" s="13"/>
      <c r="AI218" s="15"/>
      <c r="AJ218" s="13"/>
      <c r="AK218" s="15"/>
      <c r="AL218" s="13"/>
      <c r="AM218" s="15"/>
      <c r="AN218" s="13"/>
      <c r="AO218" s="15"/>
      <c r="AP218" s="13"/>
      <c r="AQ218" s="15"/>
      <c r="AR218" s="13"/>
      <c r="AS218" s="15"/>
      <c r="AT218" s="13"/>
      <c r="AU218" s="15"/>
      <c r="AV218" s="13"/>
      <c r="AW218" s="15"/>
      <c r="AX218" s="13"/>
      <c r="AY218" s="15"/>
      <c r="AZ218" s="13"/>
      <c r="BA218" s="15"/>
      <c r="BB218" s="13"/>
      <c r="BC218" s="15"/>
      <c r="BD218" s="13"/>
      <c r="BE218" s="15"/>
      <c r="BF218" s="13"/>
      <c r="BG218" s="15"/>
      <c r="BH218" s="13"/>
      <c r="BI218" s="15"/>
      <c r="BJ218" s="13"/>
      <c r="BK218" s="15"/>
      <c r="BL218" s="13"/>
      <c r="BM218" s="15"/>
      <c r="BN218" s="13"/>
      <c r="BO218" s="15"/>
      <c r="BP218" s="13"/>
      <c r="BQ218" s="15"/>
      <c r="BR218" s="13"/>
      <c r="BS218" s="15"/>
      <c r="BT218" s="13"/>
      <c r="BU218" s="15"/>
      <c r="BV218" s="13"/>
      <c r="BW218" s="15"/>
    </row>
    <row r="219" spans="1:75" ht="116" x14ac:dyDescent="0.35">
      <c r="A219" s="13" t="s">
        <v>421</v>
      </c>
      <c r="B219" s="13" t="s">
        <v>109</v>
      </c>
      <c r="C219" s="14">
        <v>44889.48333333333</v>
      </c>
      <c r="D219" s="13" t="s">
        <v>78</v>
      </c>
      <c r="E219" s="15" t="s">
        <v>79</v>
      </c>
      <c r="F219" s="13" t="s">
        <v>80</v>
      </c>
      <c r="G219" s="15" t="s">
        <v>81</v>
      </c>
      <c r="H219" s="13" t="s">
        <v>413</v>
      </c>
      <c r="I219" s="15" t="s">
        <v>414</v>
      </c>
      <c r="J219" s="15" t="s">
        <v>415</v>
      </c>
      <c r="K219" s="15" t="s">
        <v>416</v>
      </c>
      <c r="L219" s="13" t="s">
        <v>417</v>
      </c>
      <c r="M219" s="15" t="s">
        <v>418</v>
      </c>
      <c r="N219" s="13" t="s">
        <v>379</v>
      </c>
      <c r="O219" s="15"/>
      <c r="P219" s="15"/>
      <c r="Q219" s="15" t="s">
        <v>110</v>
      </c>
      <c r="R219" s="13" t="s">
        <v>111</v>
      </c>
      <c r="S219" s="13" t="s">
        <v>93</v>
      </c>
      <c r="T219" s="13" t="s">
        <v>112</v>
      </c>
      <c r="U219" s="14">
        <v>40725</v>
      </c>
      <c r="V219" s="14"/>
      <c r="W219" s="15" t="s">
        <v>422</v>
      </c>
      <c r="X219" s="13" t="s">
        <v>423</v>
      </c>
      <c r="Y219" s="15" t="str">
        <f>VLOOKUP(X219,'Axe 2 Règles de gestion'!$D$2:$F$146,3, FALSE)</f>
        <v>L'agent doit présenter une demande de congé sans traitement.</v>
      </c>
      <c r="Z219" s="13" t="s">
        <v>424</v>
      </c>
      <c r="AA219" s="15" t="str">
        <f>VLOOKUP(Z219,'Axe 2 Règles de gestion'!$D$2:$F$146,3, FALSE)</f>
        <v>Le refus est possible uniquement pour des motifs liés aux nécessités de service.</v>
      </c>
      <c r="AB219" s="13"/>
      <c r="AC219" s="15"/>
      <c r="AD219" s="13"/>
      <c r="AE219" s="15"/>
      <c r="AF219" s="13" t="s">
        <v>426</v>
      </c>
      <c r="AG219" s="15" t="str">
        <f>VLOOKUP(AF219,'Axe 2 Règles de gestion'!$D$2:$F$146,3, FALSE)</f>
        <v>L' agent peut bénéficier d'un congé sans traitement pour convenance personnelle d'une durée prévisionnelle maximale de 3 mois.</v>
      </c>
      <c r="AH219" s="13" t="s">
        <v>428</v>
      </c>
      <c r="AI219" s="15" t="str">
        <f>VLOOKUP(AH219,'Axe 2 Règles de gestion'!$D$2:$F$146,3, FALSE)</f>
        <v>L'agent peut bénéficier d'un congé sans traitement pour convenance personnelle d'une durée réelle maximale de 3 mois.</v>
      </c>
      <c r="AJ219" s="13" t="s">
        <v>430</v>
      </c>
      <c r="AK219" s="15" t="str">
        <f>VLOOKUP(AJ219,'Axe 2 Règles de gestion'!$D$2:$F$146,3, FALSE)</f>
        <v>Les élèves des écoles normales supérieures peuvent par dérogation bénéficier d'un congé sans traitement pour convenance personnelle d'une durée prévisionnelle maximale de 2 ans.</v>
      </c>
      <c r="AL219" s="13" t="s">
        <v>432</v>
      </c>
      <c r="AM219" s="15" t="str">
        <f>VLOOKUP(AL219,'Axe 2 Règles de gestion'!$D$2:$F$146,3, FALSE)</f>
        <v>Les élèves des écoles normales supérieures peuvent par dérogation bénéficier d'un congé sans traitement pour convenance personnelle d'une durée réelle maximale de 2 ans.</v>
      </c>
      <c r="AN219" s="13"/>
      <c r="AO219" s="15"/>
      <c r="AP219" s="13" t="s">
        <v>128</v>
      </c>
      <c r="AQ219" s="15" t="str">
        <f>VLOOKUP(AP219,'Axe 2 Règles de gestion'!$D$2:$F$146,3, FALSE)</f>
        <v>Lors de la demande initiale, l'agent doit être en activité.</v>
      </c>
      <c r="AR219" s="13" t="s">
        <v>130</v>
      </c>
      <c r="AS219" s="15" t="str">
        <f>VLOOKUP(AR219,'Axe 2 Règles de gestion'!$D$2:$F$146,3, FALSE)</f>
        <v>La date de début de la position doit être postérieure ou égale à la date d'entrée dans la FPE ou dans la carrière militaire.</v>
      </c>
      <c r="AT219" s="13" t="s">
        <v>132</v>
      </c>
      <c r="AU219" s="15" t="str">
        <f>VLOOKUP(AT219,'Axe 2 Règles de gestion'!$D$2:$F$146,3, FALSE)</f>
        <v>La date de début de position est à J+1 de la date de fin de position de l'occurrence précédente.</v>
      </c>
      <c r="AV219" s="13" t="s">
        <v>134</v>
      </c>
      <c r="AW219" s="15" t="str">
        <f>VLOOKUP(AV219,'Axe 2 Règles de gestion'!$D$2:$F$146,3, FALSE)</f>
        <v>La date de début de position doit être antérieure ou égale à la date de fin prévisionnelle de position.</v>
      </c>
      <c r="AX219" s="13" t="s">
        <v>136</v>
      </c>
      <c r="AY219" s="15" t="str">
        <f>VLOOKUP(AX219,'Axe 2 Règles de gestion'!$D$2:$F$146,3, FALSE)</f>
        <v>La date de début de position doit être antérieure ou égale à la date de fin réelle de position.</v>
      </c>
      <c r="AZ219" s="13" t="s">
        <v>138</v>
      </c>
      <c r="BA219" s="15" t="str">
        <f>VLOOKUP(AZ219,'Axe 2 Règles de gestion'!$D$2:$F$146,3, FALSE)</f>
        <v>La date de fin prévisionnelle de la position doit être antérieure à la date limite de départ à la retraite.</v>
      </c>
      <c r="BB219" s="13" t="s">
        <v>140</v>
      </c>
      <c r="BC219" s="15" t="str">
        <f>VLOOKUP(BB219,'Axe 2 Règles de gestion'!$D$2:$F$146,3, FALSE)</f>
        <v>La date de fin réelle de la position doit être antérieure à la date limite de départ à la retraite.</v>
      </c>
      <c r="BD219" s="13" t="s">
        <v>142</v>
      </c>
      <c r="BE219" s="15" t="str">
        <f>VLOOKUP(BD219,'Axe 2 Règles de gestion'!$D$2:$F$146,3, FALSE)</f>
        <v>La date de fin ou la date de fin prévisionnelle doit être saisie.</v>
      </c>
      <c r="BF219" s="13" t="s">
        <v>389</v>
      </c>
      <c r="BG219" s="15" t="str">
        <f>VLOOKUP(BF219,'Axe 2 Règles de gestion'!$D$2:$F$146,3, FALSE)</f>
        <v>L'indicateur de renouvellement ne doit pas être positionné à Oui.</v>
      </c>
      <c r="BH219" s="13" t="s">
        <v>152</v>
      </c>
      <c r="BI219" s="15" t="str">
        <f>VLOOKUP(BH219,'Axe 2 Règles de gestion'!$D$2:$F$146,3, FALSE)</f>
        <v>La saisie d'une occurrence de congés/absences est interdite (date de fin réelle)</v>
      </c>
      <c r="BJ219" s="13" t="s">
        <v>154</v>
      </c>
      <c r="BK219" s="15" t="str">
        <f>VLOOKUP(BJ219,'Axe 2 Règles de gestion'!$D$2:$F$146,3, FALSE)</f>
        <v>La saisie d'une occurrence de congés/absences est interdite (date de fin prévisionnelle)</v>
      </c>
      <c r="BL219" s="13"/>
      <c r="BM219" s="15"/>
      <c r="BN219" s="13"/>
      <c r="BO219" s="15"/>
      <c r="BP219" s="13"/>
      <c r="BQ219" s="15"/>
      <c r="BR219" s="13"/>
      <c r="BS219" s="15"/>
      <c r="BT219" s="13"/>
      <c r="BU219" s="15"/>
      <c r="BV219" s="13"/>
      <c r="BW219" s="15"/>
    </row>
    <row r="220" spans="1:75" ht="116" x14ac:dyDescent="0.35">
      <c r="A220" s="13" t="s">
        <v>421</v>
      </c>
      <c r="B220" s="13" t="s">
        <v>109</v>
      </c>
      <c r="C220" s="14">
        <v>44889.484722222223</v>
      </c>
      <c r="D220" s="13" t="s">
        <v>78</v>
      </c>
      <c r="E220" s="15" t="s">
        <v>79</v>
      </c>
      <c r="F220" s="13" t="s">
        <v>80</v>
      </c>
      <c r="G220" s="15" t="s">
        <v>81</v>
      </c>
      <c r="H220" s="13" t="s">
        <v>413</v>
      </c>
      <c r="I220" s="15" t="s">
        <v>414</v>
      </c>
      <c r="J220" s="15" t="s">
        <v>415</v>
      </c>
      <c r="K220" s="15" t="s">
        <v>416</v>
      </c>
      <c r="L220" s="13" t="s">
        <v>419</v>
      </c>
      <c r="M220" s="15" t="s">
        <v>420</v>
      </c>
      <c r="N220" s="13" t="s">
        <v>101</v>
      </c>
      <c r="O220" s="15"/>
      <c r="P220" s="15"/>
      <c r="Q220" s="15" t="s">
        <v>110</v>
      </c>
      <c r="R220" s="13" t="s">
        <v>111</v>
      </c>
      <c r="S220" s="13" t="s">
        <v>93</v>
      </c>
      <c r="T220" s="13" t="s">
        <v>112</v>
      </c>
      <c r="U220" s="14">
        <v>40725</v>
      </c>
      <c r="V220" s="14"/>
      <c r="W220" s="15" t="s">
        <v>434</v>
      </c>
      <c r="X220" s="13"/>
      <c r="Y220" s="15"/>
      <c r="Z220" s="13"/>
      <c r="AA220" s="15"/>
      <c r="AB220" s="13"/>
      <c r="AC220" s="15"/>
      <c r="AD220" s="13"/>
      <c r="AE220" s="15"/>
      <c r="AF220" s="13" t="s">
        <v>426</v>
      </c>
      <c r="AG220" s="15" t="str">
        <f>VLOOKUP(AF220,'Axe 2 Règles de gestion'!$D$2:$F$146,3, FALSE)</f>
        <v>L' agent peut bénéficier d'un congé sans traitement pour convenance personnelle d'une durée prévisionnelle maximale de 3 mois.</v>
      </c>
      <c r="AH220" s="13" t="s">
        <v>428</v>
      </c>
      <c r="AI220" s="15" t="str">
        <f>VLOOKUP(AH220,'Axe 2 Règles de gestion'!$D$2:$F$146,3, FALSE)</f>
        <v>L'agent peut bénéficier d'un congé sans traitement pour convenance personnelle d'une durée réelle maximale de 3 mois.</v>
      </c>
      <c r="AJ220" s="13" t="s">
        <v>430</v>
      </c>
      <c r="AK220" s="15" t="str">
        <f>VLOOKUP(AJ220,'Axe 2 Règles de gestion'!$D$2:$F$146,3, FALSE)</f>
        <v>Les élèves des écoles normales supérieures peuvent par dérogation bénéficier d'un congé sans traitement pour convenance personnelle d'une durée prévisionnelle maximale de 2 ans.</v>
      </c>
      <c r="AL220" s="13" t="s">
        <v>432</v>
      </c>
      <c r="AM220" s="15" t="str">
        <f>VLOOKUP(AL220,'Axe 2 Règles de gestion'!$D$2:$F$146,3, FALSE)</f>
        <v>Les élèves des écoles normales supérieures peuvent par dérogation bénéficier d'un congé sans traitement pour convenance personnelle d'une durée réelle maximale de 2 ans.</v>
      </c>
      <c r="AN220" s="13"/>
      <c r="AO220" s="15"/>
      <c r="AP220" s="13" t="s">
        <v>134</v>
      </c>
      <c r="AQ220" s="15" t="str">
        <f>VLOOKUP(AP220,'Axe 2 Règles de gestion'!$D$2:$F$146,3, FALSE)</f>
        <v>La date de début de position doit être antérieure ou égale à la date de fin prévisionnelle de position.</v>
      </c>
      <c r="AR220" s="13" t="s">
        <v>136</v>
      </c>
      <c r="AS220" s="15" t="str">
        <f>VLOOKUP(AR220,'Axe 2 Règles de gestion'!$D$2:$F$146,3, FALSE)</f>
        <v>La date de début de position doit être antérieure ou égale à la date de fin réelle de position.</v>
      </c>
      <c r="AT220" s="13" t="s">
        <v>138</v>
      </c>
      <c r="AU220" s="15" t="str">
        <f>VLOOKUP(AT220,'Axe 2 Règles de gestion'!$D$2:$F$146,3, FALSE)</f>
        <v>La date de fin prévisionnelle de la position doit être antérieure à la date limite de départ à la retraite.</v>
      </c>
      <c r="AV220" s="13" t="s">
        <v>140</v>
      </c>
      <c r="AW220" s="15" t="str">
        <f>VLOOKUP(AV220,'Axe 2 Règles de gestion'!$D$2:$F$146,3, FALSE)</f>
        <v>La date de fin réelle de la position doit être antérieure à la date limite de départ à la retraite.</v>
      </c>
      <c r="AX220" s="13" t="s">
        <v>142</v>
      </c>
      <c r="AY220" s="15" t="str">
        <f>VLOOKUP(AX220,'Axe 2 Règles de gestion'!$D$2:$F$146,3, FALSE)</f>
        <v>La date de fin ou la date de fin prévisionnelle doit être saisie.</v>
      </c>
      <c r="AZ220" s="13" t="s">
        <v>389</v>
      </c>
      <c r="BA220" s="15" t="str">
        <f>VLOOKUP(AZ220,'Axe 2 Règles de gestion'!$D$2:$F$146,3, FALSE)</f>
        <v>L'indicateur de renouvellement ne doit pas être positionné à Oui.</v>
      </c>
      <c r="BB220" s="13" t="s">
        <v>152</v>
      </c>
      <c r="BC220" s="15" t="str">
        <f>VLOOKUP(BB220,'Axe 2 Règles de gestion'!$D$2:$F$146,3, FALSE)</f>
        <v>La saisie d'une occurrence de congés/absences est interdite (date de fin réelle)</v>
      </c>
      <c r="BD220" s="13" t="s">
        <v>154</v>
      </c>
      <c r="BE220" s="15" t="str">
        <f>VLOOKUP(BD220,'Axe 2 Règles de gestion'!$D$2:$F$146,3, FALSE)</f>
        <v>La saisie d'une occurrence de congés/absences est interdite (date de fin prévisionnelle)</v>
      </c>
      <c r="BF220" s="13"/>
      <c r="BG220" s="15"/>
      <c r="BH220" s="13"/>
      <c r="BI220" s="15"/>
      <c r="BJ220" s="13"/>
      <c r="BK220" s="15"/>
      <c r="BL220" s="13"/>
      <c r="BM220" s="15"/>
      <c r="BN220" s="13"/>
      <c r="BO220" s="15"/>
      <c r="BP220" s="13"/>
      <c r="BQ220" s="15"/>
      <c r="BR220" s="13"/>
      <c r="BS220" s="15"/>
      <c r="BT220" s="13"/>
      <c r="BU220" s="15"/>
      <c r="BV220" s="13"/>
      <c r="BW220" s="15"/>
    </row>
    <row r="221" spans="1:75" ht="43.5" x14ac:dyDescent="0.35">
      <c r="A221" s="13" t="s">
        <v>76</v>
      </c>
      <c r="B221" s="13" t="s">
        <v>77</v>
      </c>
      <c r="C221" s="14">
        <v>43152.5</v>
      </c>
      <c r="D221" s="13" t="s">
        <v>78</v>
      </c>
      <c r="E221" s="15" t="s">
        <v>79</v>
      </c>
      <c r="F221" s="13" t="s">
        <v>80</v>
      </c>
      <c r="G221" s="15" t="s">
        <v>81</v>
      </c>
      <c r="H221" s="13" t="s">
        <v>413</v>
      </c>
      <c r="I221" s="15" t="s">
        <v>414</v>
      </c>
      <c r="J221" s="15" t="s">
        <v>415</v>
      </c>
      <c r="K221" s="15" t="s">
        <v>416</v>
      </c>
      <c r="L221" s="13" t="s">
        <v>417</v>
      </c>
      <c r="M221" s="15" t="s">
        <v>418</v>
      </c>
      <c r="N221" s="13" t="s">
        <v>379</v>
      </c>
      <c r="O221" s="15"/>
      <c r="P221" s="15"/>
      <c r="Q221" s="15" t="s">
        <v>175</v>
      </c>
      <c r="R221" s="13" t="s">
        <v>176</v>
      </c>
      <c r="S221" s="13" t="s">
        <v>93</v>
      </c>
      <c r="T221" s="13" t="s">
        <v>94</v>
      </c>
      <c r="U221" s="14">
        <v>40725</v>
      </c>
      <c r="V221" s="14"/>
      <c r="W221" s="15"/>
      <c r="X221" s="13"/>
      <c r="Y221" s="15"/>
      <c r="Z221" s="13"/>
      <c r="AA221" s="15"/>
      <c r="AB221" s="13"/>
      <c r="AC221" s="15"/>
      <c r="AD221" s="13"/>
      <c r="AE221" s="15"/>
      <c r="AF221" s="13"/>
      <c r="AG221" s="15"/>
      <c r="AH221" s="13"/>
      <c r="AI221" s="15"/>
      <c r="AJ221" s="13"/>
      <c r="AK221" s="15"/>
      <c r="AL221" s="13"/>
      <c r="AM221" s="15"/>
      <c r="AN221" s="13"/>
      <c r="AO221" s="15"/>
      <c r="AP221" s="13"/>
      <c r="AQ221" s="15"/>
      <c r="AR221" s="13"/>
      <c r="AS221" s="15"/>
      <c r="AT221" s="13"/>
      <c r="AU221" s="15"/>
      <c r="AV221" s="13"/>
      <c r="AW221" s="15"/>
      <c r="AX221" s="13"/>
      <c r="AY221" s="15"/>
      <c r="AZ221" s="13"/>
      <c r="BA221" s="15"/>
      <c r="BB221" s="13"/>
      <c r="BC221" s="15"/>
      <c r="BD221" s="13"/>
      <c r="BE221" s="15"/>
      <c r="BF221" s="13"/>
      <c r="BG221" s="15"/>
      <c r="BH221" s="13"/>
      <c r="BI221" s="15"/>
      <c r="BJ221" s="13"/>
      <c r="BK221" s="15"/>
      <c r="BL221" s="13"/>
      <c r="BM221" s="15"/>
      <c r="BN221" s="13"/>
      <c r="BO221" s="15"/>
      <c r="BP221" s="13"/>
      <c r="BQ221" s="15"/>
      <c r="BR221" s="13"/>
      <c r="BS221" s="15"/>
      <c r="BT221" s="13"/>
      <c r="BU221" s="15"/>
      <c r="BV221" s="13"/>
      <c r="BW221" s="15"/>
    </row>
    <row r="222" spans="1:75" ht="43.5" x14ac:dyDescent="0.35">
      <c r="A222" s="13" t="s">
        <v>76</v>
      </c>
      <c r="B222" s="13" t="s">
        <v>77</v>
      </c>
      <c r="C222" s="14">
        <v>43152.5</v>
      </c>
      <c r="D222" s="13" t="s">
        <v>78</v>
      </c>
      <c r="E222" s="15" t="s">
        <v>79</v>
      </c>
      <c r="F222" s="13" t="s">
        <v>80</v>
      </c>
      <c r="G222" s="15" t="s">
        <v>81</v>
      </c>
      <c r="H222" s="13" t="s">
        <v>413</v>
      </c>
      <c r="I222" s="15" t="s">
        <v>414</v>
      </c>
      <c r="J222" s="15" t="s">
        <v>415</v>
      </c>
      <c r="K222" s="15" t="s">
        <v>416</v>
      </c>
      <c r="L222" s="13" t="s">
        <v>419</v>
      </c>
      <c r="M222" s="15" t="s">
        <v>420</v>
      </c>
      <c r="N222" s="13" t="s">
        <v>101</v>
      </c>
      <c r="O222" s="15"/>
      <c r="P222" s="15"/>
      <c r="Q222" s="15" t="s">
        <v>175</v>
      </c>
      <c r="R222" s="13" t="s">
        <v>176</v>
      </c>
      <c r="S222" s="13" t="s">
        <v>93</v>
      </c>
      <c r="T222" s="13" t="s">
        <v>94</v>
      </c>
      <c r="U222" s="14">
        <v>40725</v>
      </c>
      <c r="V222" s="14"/>
      <c r="W222" s="15"/>
      <c r="X222" s="13"/>
      <c r="Y222" s="15"/>
      <c r="Z222" s="13"/>
      <c r="AA222" s="15"/>
      <c r="AB222" s="13"/>
      <c r="AC222" s="15"/>
      <c r="AD222" s="13"/>
      <c r="AE222" s="15"/>
      <c r="AF222" s="13"/>
      <c r="AG222" s="15"/>
      <c r="AH222" s="13"/>
      <c r="AI222" s="15"/>
      <c r="AJ222" s="13"/>
      <c r="AK222" s="15"/>
      <c r="AL222" s="13"/>
      <c r="AM222" s="15"/>
      <c r="AN222" s="13"/>
      <c r="AO222" s="15"/>
      <c r="AP222" s="13"/>
      <c r="AQ222" s="15"/>
      <c r="AR222" s="13"/>
      <c r="AS222" s="15"/>
      <c r="AT222" s="13"/>
      <c r="AU222" s="15"/>
      <c r="AV222" s="13"/>
      <c r="AW222" s="15"/>
      <c r="AX222" s="13"/>
      <c r="AY222" s="15"/>
      <c r="AZ222" s="13"/>
      <c r="BA222" s="15"/>
      <c r="BB222" s="13"/>
      <c r="BC222" s="15"/>
      <c r="BD222" s="13"/>
      <c r="BE222" s="15"/>
      <c r="BF222" s="13"/>
      <c r="BG222" s="15"/>
      <c r="BH222" s="13"/>
      <c r="BI222" s="15"/>
      <c r="BJ222" s="13"/>
      <c r="BK222" s="15"/>
      <c r="BL222" s="13"/>
      <c r="BM222" s="15"/>
      <c r="BN222" s="13"/>
      <c r="BO222" s="15"/>
      <c r="BP222" s="13"/>
      <c r="BQ222" s="15"/>
      <c r="BR222" s="13"/>
      <c r="BS222" s="15"/>
      <c r="BT222" s="13"/>
      <c r="BU222" s="15"/>
      <c r="BV222" s="13"/>
      <c r="BW222" s="15"/>
    </row>
    <row r="223" spans="1:75" ht="72.5" x14ac:dyDescent="0.35">
      <c r="A223" s="13" t="s">
        <v>238</v>
      </c>
      <c r="B223" s="13" t="s">
        <v>109</v>
      </c>
      <c r="C223" s="14">
        <v>44368.708333333336</v>
      </c>
      <c r="D223" s="13" t="s">
        <v>78</v>
      </c>
      <c r="E223" s="15" t="s">
        <v>79</v>
      </c>
      <c r="F223" s="13" t="s">
        <v>80</v>
      </c>
      <c r="G223" s="15" t="s">
        <v>81</v>
      </c>
      <c r="H223" s="13" t="s">
        <v>413</v>
      </c>
      <c r="I223" s="15" t="s">
        <v>414</v>
      </c>
      <c r="J223" s="15" t="s">
        <v>415</v>
      </c>
      <c r="K223" s="15" t="s">
        <v>416</v>
      </c>
      <c r="L223" s="13" t="s">
        <v>417</v>
      </c>
      <c r="M223" s="15" t="s">
        <v>418</v>
      </c>
      <c r="N223" s="13" t="s">
        <v>379</v>
      </c>
      <c r="O223" s="15"/>
      <c r="P223" s="15"/>
      <c r="Q223" s="15" t="s">
        <v>177</v>
      </c>
      <c r="R223" s="13" t="s">
        <v>178</v>
      </c>
      <c r="S223" s="13" t="s">
        <v>179</v>
      </c>
      <c r="T223" s="13" t="s">
        <v>112</v>
      </c>
      <c r="U223" s="14">
        <v>40725</v>
      </c>
      <c r="V223" s="14"/>
      <c r="W223" s="15" t="s">
        <v>435</v>
      </c>
      <c r="X223" s="13" t="s">
        <v>436</v>
      </c>
      <c r="Y223" s="15" t="str">
        <f>VLOOKUP(X223,'Axe 2 Règles de gestion'!$D$2:$F$146,3, FALSE)</f>
        <v>L'agent doit présenter une demande de congé sans traitement.</v>
      </c>
      <c r="Z223" s="13" t="s">
        <v>437</v>
      </c>
      <c r="AA223" s="15" t="str">
        <f>VLOOKUP(Z223,'Axe 2 Règles de gestion'!$D$2:$F$146,3, FALSE)</f>
        <v>Le refus est possible pour des motifs liés uniquement aux nécessités de service.</v>
      </c>
      <c r="AB223" s="13"/>
      <c r="AC223" s="15"/>
      <c r="AD223" s="13"/>
      <c r="AE223" s="15"/>
      <c r="AF223" s="13" t="s">
        <v>439</v>
      </c>
      <c r="AG223" s="15" t="str">
        <f>VLOOKUP(AF223,'Axe 2 Règles de gestion'!$D$2:$F$146,3, FALSE)</f>
        <v>L'agent peut bénéficier d'un congé sans traitement pour convenance personnelle d'une durée prévisionnelle maximale de 3 mois.</v>
      </c>
      <c r="AH223" s="13" t="s">
        <v>441</v>
      </c>
      <c r="AI223" s="15" t="str">
        <f>VLOOKUP(AH223,'Axe 2 Règles de gestion'!$D$2:$F$146,3, FALSE)</f>
        <v>L'agent peut bénéficier d'un congé sans traitement pour convenance personnelle d'une durée réelle maximale de 3 mois.</v>
      </c>
      <c r="AJ223" s="13"/>
      <c r="AK223" s="15"/>
      <c r="AL223" s="13"/>
      <c r="AM223" s="15"/>
      <c r="AN223" s="13"/>
      <c r="AO223" s="15"/>
      <c r="AP223" s="13" t="s">
        <v>128</v>
      </c>
      <c r="AQ223" s="15" t="str">
        <f>VLOOKUP(AP223,'Axe 2 Règles de gestion'!$D$2:$F$146,3, FALSE)</f>
        <v>Lors de la demande initiale, l'agent doit être en activité.</v>
      </c>
      <c r="AR223" s="13" t="s">
        <v>130</v>
      </c>
      <c r="AS223" s="15" t="str">
        <f>VLOOKUP(AR223,'Axe 2 Règles de gestion'!$D$2:$F$146,3, FALSE)</f>
        <v>La date de début de la position doit être postérieure ou égale à la date d'entrée dans la FPE ou dans la carrière militaire.</v>
      </c>
      <c r="AT223" s="13" t="s">
        <v>132</v>
      </c>
      <c r="AU223" s="15" t="str">
        <f>VLOOKUP(AT223,'Axe 2 Règles de gestion'!$D$2:$F$146,3, FALSE)</f>
        <v>La date de début de position est à J+1 de la date de fin de position de l'occurrence précédente.</v>
      </c>
      <c r="AV223" s="13" t="s">
        <v>134</v>
      </c>
      <c r="AW223" s="15" t="str">
        <f>VLOOKUP(AV223,'Axe 2 Règles de gestion'!$D$2:$F$146,3, FALSE)</f>
        <v>La date de début de position doit être antérieure ou égale à la date de fin prévisionnelle de position.</v>
      </c>
      <c r="AX223" s="13" t="s">
        <v>136</v>
      </c>
      <c r="AY223" s="15" t="str">
        <f>VLOOKUP(AX223,'Axe 2 Règles de gestion'!$D$2:$F$146,3, FALSE)</f>
        <v>La date de début de position doit être antérieure ou égale à la date de fin réelle de position.</v>
      </c>
      <c r="AZ223" s="13" t="s">
        <v>138</v>
      </c>
      <c r="BA223" s="15" t="str">
        <f>VLOOKUP(AZ223,'Axe 2 Règles de gestion'!$D$2:$F$146,3, FALSE)</f>
        <v>La date de fin prévisionnelle de la position doit être antérieure à la date limite de départ à la retraite.</v>
      </c>
      <c r="BB223" s="13" t="s">
        <v>140</v>
      </c>
      <c r="BC223" s="15" t="str">
        <f>VLOOKUP(BB223,'Axe 2 Règles de gestion'!$D$2:$F$146,3, FALSE)</f>
        <v>La date de fin réelle de la position doit être antérieure à la date limite de départ à la retraite.</v>
      </c>
      <c r="BD223" s="13" t="s">
        <v>142</v>
      </c>
      <c r="BE223" s="15" t="str">
        <f>VLOOKUP(BD223,'Axe 2 Règles de gestion'!$D$2:$F$146,3, FALSE)</f>
        <v>La date de fin ou la date de fin prévisionnelle doit être saisie.</v>
      </c>
      <c r="BF223" s="13" t="s">
        <v>389</v>
      </c>
      <c r="BG223" s="15" t="str">
        <f>VLOOKUP(BF223,'Axe 2 Règles de gestion'!$D$2:$F$146,3, FALSE)</f>
        <v>L'indicateur de renouvellement ne doit pas être positionné à Oui.</v>
      </c>
      <c r="BH223" s="13" t="s">
        <v>152</v>
      </c>
      <c r="BI223" s="15" t="str">
        <f>VLOOKUP(BH223,'Axe 2 Règles de gestion'!$D$2:$F$146,3, FALSE)</f>
        <v>La saisie d'une occurrence de congés/absences est interdite (date de fin réelle)</v>
      </c>
      <c r="BJ223" s="13" t="s">
        <v>154</v>
      </c>
      <c r="BK223" s="15" t="str">
        <f>VLOOKUP(BJ223,'Axe 2 Règles de gestion'!$D$2:$F$146,3, FALSE)</f>
        <v>La saisie d'une occurrence de congés/absences est interdite (date de fin prévisionnelle)</v>
      </c>
      <c r="BL223" s="13"/>
      <c r="BM223" s="15"/>
      <c r="BN223" s="13"/>
      <c r="BO223" s="15"/>
      <c r="BP223" s="13"/>
      <c r="BQ223" s="15"/>
      <c r="BR223" s="13"/>
      <c r="BS223" s="15"/>
      <c r="BT223" s="13"/>
      <c r="BU223" s="15"/>
      <c r="BV223" s="13"/>
      <c r="BW223" s="15"/>
    </row>
    <row r="224" spans="1:75" ht="72.5" x14ac:dyDescent="0.35">
      <c r="A224" s="13" t="s">
        <v>238</v>
      </c>
      <c r="B224" s="13" t="s">
        <v>109</v>
      </c>
      <c r="C224" s="14">
        <v>44368.708333333336</v>
      </c>
      <c r="D224" s="13" t="s">
        <v>78</v>
      </c>
      <c r="E224" s="15" t="s">
        <v>79</v>
      </c>
      <c r="F224" s="13" t="s">
        <v>80</v>
      </c>
      <c r="G224" s="15" t="s">
        <v>81</v>
      </c>
      <c r="H224" s="13" t="s">
        <v>413</v>
      </c>
      <c r="I224" s="15" t="s">
        <v>414</v>
      </c>
      <c r="J224" s="15" t="s">
        <v>415</v>
      </c>
      <c r="K224" s="15" t="s">
        <v>416</v>
      </c>
      <c r="L224" s="13" t="s">
        <v>419</v>
      </c>
      <c r="M224" s="15" t="s">
        <v>420</v>
      </c>
      <c r="N224" s="13" t="s">
        <v>101</v>
      </c>
      <c r="O224" s="15"/>
      <c r="P224" s="15"/>
      <c r="Q224" s="15" t="s">
        <v>177</v>
      </c>
      <c r="R224" s="13" t="s">
        <v>178</v>
      </c>
      <c r="S224" s="13" t="s">
        <v>179</v>
      </c>
      <c r="T224" s="13" t="s">
        <v>112</v>
      </c>
      <c r="U224" s="14">
        <v>40725</v>
      </c>
      <c r="V224" s="14"/>
      <c r="W224" s="15" t="s">
        <v>442</v>
      </c>
      <c r="X224" s="13"/>
      <c r="Y224" s="15"/>
      <c r="Z224" s="13"/>
      <c r="AA224" s="15"/>
      <c r="AB224" s="13"/>
      <c r="AC224" s="15"/>
      <c r="AD224" s="13"/>
      <c r="AE224" s="15"/>
      <c r="AF224" s="13" t="s">
        <v>439</v>
      </c>
      <c r="AG224" s="15" t="str">
        <f>VLOOKUP(AF224,'Axe 2 Règles de gestion'!$D$2:$F$146,3, FALSE)</f>
        <v>L'agent peut bénéficier d'un congé sans traitement pour convenance personnelle d'une durée prévisionnelle maximale de 3 mois.</v>
      </c>
      <c r="AH224" s="13" t="s">
        <v>441</v>
      </c>
      <c r="AI224" s="15" t="str">
        <f>VLOOKUP(AH224,'Axe 2 Règles de gestion'!$D$2:$F$146,3, FALSE)</f>
        <v>L'agent peut bénéficier d'un congé sans traitement pour convenance personnelle d'une durée réelle maximale de 3 mois.</v>
      </c>
      <c r="AJ224" s="13"/>
      <c r="AK224" s="15"/>
      <c r="AL224" s="13"/>
      <c r="AM224" s="15"/>
      <c r="AN224" s="13"/>
      <c r="AO224" s="15"/>
      <c r="AP224" s="13" t="s">
        <v>134</v>
      </c>
      <c r="AQ224" s="15" t="str">
        <f>VLOOKUP(AP224,'Axe 2 Règles de gestion'!$D$2:$F$146,3, FALSE)</f>
        <v>La date de début de position doit être antérieure ou égale à la date de fin prévisionnelle de position.</v>
      </c>
      <c r="AR224" s="13" t="s">
        <v>136</v>
      </c>
      <c r="AS224" s="15" t="str">
        <f>VLOOKUP(AR224,'Axe 2 Règles de gestion'!$D$2:$F$146,3, FALSE)</f>
        <v>La date de début de position doit être antérieure ou égale à la date de fin réelle de position.</v>
      </c>
      <c r="AT224" s="13" t="s">
        <v>138</v>
      </c>
      <c r="AU224" s="15" t="str">
        <f>VLOOKUP(AT224,'Axe 2 Règles de gestion'!$D$2:$F$146,3, FALSE)</f>
        <v>La date de fin prévisionnelle de la position doit être antérieure à la date limite de départ à la retraite.</v>
      </c>
      <c r="AV224" s="13" t="s">
        <v>140</v>
      </c>
      <c r="AW224" s="15" t="str">
        <f>VLOOKUP(AV224,'Axe 2 Règles de gestion'!$D$2:$F$146,3, FALSE)</f>
        <v>La date de fin réelle de la position doit être antérieure à la date limite de départ à la retraite.</v>
      </c>
      <c r="AX224" s="13" t="s">
        <v>142</v>
      </c>
      <c r="AY224" s="15" t="str">
        <f>VLOOKUP(AX224,'Axe 2 Règles de gestion'!$D$2:$F$146,3, FALSE)</f>
        <v>La date de fin ou la date de fin prévisionnelle doit être saisie.</v>
      </c>
      <c r="AZ224" s="13" t="s">
        <v>389</v>
      </c>
      <c r="BA224" s="15" t="str">
        <f>VLOOKUP(AZ224,'Axe 2 Règles de gestion'!$D$2:$F$146,3, FALSE)</f>
        <v>L'indicateur de renouvellement ne doit pas être positionné à Oui.</v>
      </c>
      <c r="BB224" s="13" t="s">
        <v>152</v>
      </c>
      <c r="BC224" s="15" t="str">
        <f>VLOOKUP(BB224,'Axe 2 Règles de gestion'!$D$2:$F$146,3, FALSE)</f>
        <v>La saisie d'une occurrence de congés/absences est interdite (date de fin réelle)</v>
      </c>
      <c r="BD224" s="13" t="s">
        <v>154</v>
      </c>
      <c r="BE224" s="15" t="str">
        <f>VLOOKUP(BD224,'Axe 2 Règles de gestion'!$D$2:$F$146,3, FALSE)</f>
        <v>La saisie d'une occurrence de congés/absences est interdite (date de fin prévisionnelle)</v>
      </c>
      <c r="BF224" s="13"/>
      <c r="BG224" s="15"/>
      <c r="BH224" s="13"/>
      <c r="BI224" s="15"/>
      <c r="BJ224" s="13"/>
      <c r="BK224" s="15"/>
      <c r="BL224" s="13"/>
      <c r="BM224" s="15"/>
      <c r="BN224" s="13"/>
      <c r="BO224" s="15"/>
      <c r="BP224" s="13"/>
      <c r="BQ224" s="15"/>
      <c r="BR224" s="13"/>
      <c r="BS224" s="15"/>
      <c r="BT224" s="13"/>
      <c r="BU224" s="15"/>
      <c r="BV224" s="13"/>
      <c r="BW224" s="15"/>
    </row>
    <row r="225" spans="1:75" ht="87" x14ac:dyDescent="0.35">
      <c r="A225" s="13" t="s">
        <v>238</v>
      </c>
      <c r="B225" s="13" t="s">
        <v>109</v>
      </c>
      <c r="C225" s="14">
        <v>44368.708333333336</v>
      </c>
      <c r="D225" s="13" t="s">
        <v>78</v>
      </c>
      <c r="E225" s="15" t="s">
        <v>79</v>
      </c>
      <c r="F225" s="13" t="s">
        <v>80</v>
      </c>
      <c r="G225" s="15" t="s">
        <v>81</v>
      </c>
      <c r="H225" s="13" t="s">
        <v>413</v>
      </c>
      <c r="I225" s="15" t="s">
        <v>414</v>
      </c>
      <c r="J225" s="15" t="s">
        <v>415</v>
      </c>
      <c r="K225" s="15" t="s">
        <v>416</v>
      </c>
      <c r="L225" s="13" t="s">
        <v>417</v>
      </c>
      <c r="M225" s="15" t="s">
        <v>418</v>
      </c>
      <c r="N225" s="13" t="s">
        <v>379</v>
      </c>
      <c r="O225" s="15"/>
      <c r="P225" s="15"/>
      <c r="Q225" s="15" t="s">
        <v>201</v>
      </c>
      <c r="R225" s="13" t="s">
        <v>202</v>
      </c>
      <c r="S225" s="13" t="s">
        <v>179</v>
      </c>
      <c r="T225" s="13" t="s">
        <v>112</v>
      </c>
      <c r="U225" s="14">
        <v>40725</v>
      </c>
      <c r="V225" s="14"/>
      <c r="W225" s="15" t="s">
        <v>443</v>
      </c>
      <c r="X225" s="13" t="s">
        <v>444</v>
      </c>
      <c r="Y225" s="15" t="str">
        <f>VLOOKUP(X225,'Axe 2 Règles de gestion'!$D$2:$F$146,3, FALSE)</f>
        <v>L'agent doit présenter une demande de congé sans traitement.</v>
      </c>
      <c r="Z225" s="13"/>
      <c r="AA225" s="15"/>
      <c r="AB225" s="13"/>
      <c r="AC225" s="15"/>
      <c r="AD225" s="13"/>
      <c r="AE225" s="15"/>
      <c r="AF225" s="13" t="s">
        <v>445</v>
      </c>
      <c r="AG225" s="15" t="str">
        <f>VLOOKUP(AF225,'Axe 2 Règles de gestion'!$D$2:$F$146,3, FALSE)</f>
        <v>L'agent peut bénéficier d'un congé sans traitement pour convenance personnelle d'une durée prévisionnelle maximale de 3 mois.</v>
      </c>
      <c r="AH225" s="13" t="s">
        <v>446</v>
      </c>
      <c r="AI225" s="15" t="str">
        <f>VLOOKUP(AH225,'Axe 2 Règles de gestion'!$D$2:$F$146,3, FALSE)</f>
        <v>L'agent peut bénéficier d'un congé sans traitement pour convenance personnelle d'une durée réelle maximale de 3 mois.</v>
      </c>
      <c r="AJ225" s="13"/>
      <c r="AK225" s="15"/>
      <c r="AL225" s="13"/>
      <c r="AM225" s="15"/>
      <c r="AN225" s="13"/>
      <c r="AO225" s="15"/>
      <c r="AP225" s="13" t="s">
        <v>128</v>
      </c>
      <c r="AQ225" s="15" t="str">
        <f>VLOOKUP(AP225,'Axe 2 Règles de gestion'!$D$2:$F$146,3, FALSE)</f>
        <v>Lors de la demande initiale, l'agent doit être en activité.</v>
      </c>
      <c r="AR225" s="13" t="s">
        <v>132</v>
      </c>
      <c r="AS225" s="15" t="str">
        <f>VLOOKUP(AR225,'Axe 2 Règles de gestion'!$D$2:$F$146,3, FALSE)</f>
        <v>La date de début de position est à J+1 de la date de fin de position de l'occurrence précédente.</v>
      </c>
      <c r="AT225" s="13" t="s">
        <v>134</v>
      </c>
      <c r="AU225" s="15" t="str">
        <f>VLOOKUP(AT225,'Axe 2 Règles de gestion'!$D$2:$F$146,3, FALSE)</f>
        <v>La date de début de position doit être antérieure ou égale à la date de fin prévisionnelle de position.</v>
      </c>
      <c r="AV225" s="13" t="s">
        <v>136</v>
      </c>
      <c r="AW225" s="15" t="str">
        <f>VLOOKUP(AV225,'Axe 2 Règles de gestion'!$D$2:$F$146,3, FALSE)</f>
        <v>La date de début de position doit être antérieure ou égale à la date de fin réelle de position.</v>
      </c>
      <c r="AX225" s="13" t="s">
        <v>138</v>
      </c>
      <c r="AY225" s="15" t="str">
        <f>VLOOKUP(AX225,'Axe 2 Règles de gestion'!$D$2:$F$146,3, FALSE)</f>
        <v>La date de fin prévisionnelle de la position doit être antérieure à la date limite de départ à la retraite.</v>
      </c>
      <c r="AZ225" s="13" t="s">
        <v>140</v>
      </c>
      <c r="BA225" s="15" t="str">
        <f>VLOOKUP(AZ225,'Axe 2 Règles de gestion'!$D$2:$F$146,3, FALSE)</f>
        <v>La date de fin réelle de la position doit être antérieure à la date limite de départ à la retraite.</v>
      </c>
      <c r="BB225" s="13" t="s">
        <v>142</v>
      </c>
      <c r="BC225" s="15" t="str">
        <f>VLOOKUP(BB225,'Axe 2 Règles de gestion'!$D$2:$F$146,3, FALSE)</f>
        <v>La date de fin ou la date de fin prévisionnelle doit être saisie.</v>
      </c>
      <c r="BD225" s="13" t="s">
        <v>389</v>
      </c>
      <c r="BE225" s="15" t="str">
        <f>VLOOKUP(BD225,'Axe 2 Règles de gestion'!$D$2:$F$146,3, FALSE)</f>
        <v>L'indicateur de renouvellement ne doit pas être positionné à Oui.</v>
      </c>
      <c r="BF225" s="13" t="s">
        <v>211</v>
      </c>
      <c r="BG225" s="15" t="str">
        <f>VLOOKUP(BF225,'Axe 2 Règles de gestion'!$D$2:$F$146,3, FALSE)</f>
        <v>La date de début de la position doit être postérieure ou égale à la date de début du lien juridique.</v>
      </c>
      <c r="BH225" s="13" t="s">
        <v>213</v>
      </c>
      <c r="BI225" s="15" t="str">
        <f>VLOOKUP(BH225,'Axe 2 Règles de gestion'!$D$2:$F$146,3, FALSE)</f>
        <v>La date de fin réelle de la position doit être antérieure ou égale à la date de fin réelle ou prévisionnelle du lien juridique.</v>
      </c>
      <c r="BJ225" s="13" t="s">
        <v>215</v>
      </c>
      <c r="BK225" s="15" t="str">
        <f>VLOOKUP(BJ225,'Axe 2 Règles de gestion'!$D$2:$F$146,3, FALSE)</f>
        <v>La date de fin prévisionnelle de la position doit être antérieure ou égale à la date de fin réelle ou prévisionnelle du lien juridique.</v>
      </c>
      <c r="BL225" s="13" t="s">
        <v>152</v>
      </c>
      <c r="BM225" s="15" t="str">
        <f>VLOOKUP(BL225,'Axe 2 Règles de gestion'!$D$2:$F$146,3, FALSE)</f>
        <v>La saisie d'une occurrence de congés/absences est interdite (date de fin réelle)</v>
      </c>
      <c r="BN225" s="13" t="s">
        <v>154</v>
      </c>
      <c r="BO225" s="15" t="str">
        <f>VLOOKUP(BN225,'Axe 2 Règles de gestion'!$D$2:$F$146,3, FALSE)</f>
        <v>La saisie d'une occurrence de congés/absences est interdite (date de fin prévisionnelle)</v>
      </c>
      <c r="BP225" s="13"/>
      <c r="BQ225" s="15"/>
      <c r="BR225" s="13"/>
      <c r="BS225" s="15"/>
      <c r="BT225" s="13"/>
      <c r="BU225" s="15"/>
      <c r="BV225" s="13"/>
      <c r="BW225" s="15"/>
    </row>
    <row r="226" spans="1:75" ht="72.5" x14ac:dyDescent="0.35">
      <c r="A226" s="13" t="s">
        <v>238</v>
      </c>
      <c r="B226" s="13" t="s">
        <v>109</v>
      </c>
      <c r="C226" s="14">
        <v>44368.708333333336</v>
      </c>
      <c r="D226" s="13" t="s">
        <v>78</v>
      </c>
      <c r="E226" s="15" t="s">
        <v>79</v>
      </c>
      <c r="F226" s="13" t="s">
        <v>80</v>
      </c>
      <c r="G226" s="15" t="s">
        <v>81</v>
      </c>
      <c r="H226" s="13" t="s">
        <v>413</v>
      </c>
      <c r="I226" s="15" t="s">
        <v>414</v>
      </c>
      <c r="J226" s="15" t="s">
        <v>415</v>
      </c>
      <c r="K226" s="15" t="s">
        <v>416</v>
      </c>
      <c r="L226" s="13" t="s">
        <v>419</v>
      </c>
      <c r="M226" s="15" t="s">
        <v>420</v>
      </c>
      <c r="N226" s="13" t="s">
        <v>101</v>
      </c>
      <c r="O226" s="15"/>
      <c r="P226" s="15"/>
      <c r="Q226" s="15" t="s">
        <v>201</v>
      </c>
      <c r="R226" s="13" t="s">
        <v>202</v>
      </c>
      <c r="S226" s="13" t="s">
        <v>179</v>
      </c>
      <c r="T226" s="13" t="s">
        <v>112</v>
      </c>
      <c r="U226" s="14">
        <v>40725</v>
      </c>
      <c r="V226" s="14"/>
      <c r="W226" s="15" t="s">
        <v>447</v>
      </c>
      <c r="X226" s="13"/>
      <c r="Y226" s="15"/>
      <c r="Z226" s="13"/>
      <c r="AA226" s="15"/>
      <c r="AB226" s="13"/>
      <c r="AC226" s="15"/>
      <c r="AD226" s="13"/>
      <c r="AE226" s="15"/>
      <c r="AF226" s="13" t="s">
        <v>445</v>
      </c>
      <c r="AG226" s="15" t="str">
        <f>VLOOKUP(AF226,'Axe 2 Règles de gestion'!$D$2:$F$146,3, FALSE)</f>
        <v>L'agent peut bénéficier d'un congé sans traitement pour convenance personnelle d'une durée prévisionnelle maximale de 3 mois.</v>
      </c>
      <c r="AH226" s="13" t="s">
        <v>446</v>
      </c>
      <c r="AI226" s="15" t="str">
        <f>VLOOKUP(AH226,'Axe 2 Règles de gestion'!$D$2:$F$146,3, FALSE)</f>
        <v>L'agent peut bénéficier d'un congé sans traitement pour convenance personnelle d'une durée réelle maximale de 3 mois.</v>
      </c>
      <c r="AJ226" s="13"/>
      <c r="AK226" s="15"/>
      <c r="AL226" s="13"/>
      <c r="AM226" s="15"/>
      <c r="AN226" s="13"/>
      <c r="AO226" s="15"/>
      <c r="AP226" s="13" t="s">
        <v>134</v>
      </c>
      <c r="AQ226" s="15" t="str">
        <f>VLOOKUP(AP226,'Axe 2 Règles de gestion'!$D$2:$F$146,3, FALSE)</f>
        <v>La date de début de position doit être antérieure ou égale à la date de fin prévisionnelle de position.</v>
      </c>
      <c r="AR226" s="13" t="s">
        <v>136</v>
      </c>
      <c r="AS226" s="15" t="str">
        <f>VLOOKUP(AR226,'Axe 2 Règles de gestion'!$D$2:$F$146,3, FALSE)</f>
        <v>La date de début de position doit être antérieure ou égale à la date de fin réelle de position.</v>
      </c>
      <c r="AT226" s="13" t="s">
        <v>138</v>
      </c>
      <c r="AU226" s="15" t="str">
        <f>VLOOKUP(AT226,'Axe 2 Règles de gestion'!$D$2:$F$146,3, FALSE)</f>
        <v>La date de fin prévisionnelle de la position doit être antérieure à la date limite de départ à la retraite.</v>
      </c>
      <c r="AV226" s="13" t="s">
        <v>140</v>
      </c>
      <c r="AW226" s="15" t="str">
        <f>VLOOKUP(AV226,'Axe 2 Règles de gestion'!$D$2:$F$146,3, FALSE)</f>
        <v>La date de fin réelle de la position doit être antérieure à la date limite de départ à la retraite.</v>
      </c>
      <c r="AX226" s="13" t="s">
        <v>142</v>
      </c>
      <c r="AY226" s="15" t="str">
        <f>VLOOKUP(AX226,'Axe 2 Règles de gestion'!$D$2:$F$146,3, FALSE)</f>
        <v>La date de fin ou la date de fin prévisionnelle doit être saisie.</v>
      </c>
      <c r="AZ226" s="13" t="s">
        <v>389</v>
      </c>
      <c r="BA226" s="15" t="str">
        <f>VLOOKUP(AZ226,'Axe 2 Règles de gestion'!$D$2:$F$146,3, FALSE)</f>
        <v>L'indicateur de renouvellement ne doit pas être positionné à Oui.</v>
      </c>
      <c r="BB226" s="13" t="s">
        <v>213</v>
      </c>
      <c r="BC226" s="15" t="str">
        <f>VLOOKUP(BB226,'Axe 2 Règles de gestion'!$D$2:$F$146,3, FALSE)</f>
        <v>La date de fin réelle de la position doit être antérieure ou égale à la date de fin réelle ou prévisionnelle du lien juridique.</v>
      </c>
      <c r="BD226" s="13" t="s">
        <v>215</v>
      </c>
      <c r="BE226" s="15" t="str">
        <f>VLOOKUP(BD226,'Axe 2 Règles de gestion'!$D$2:$F$146,3, FALSE)</f>
        <v>La date de fin prévisionnelle de la position doit être antérieure ou égale à la date de fin réelle ou prévisionnelle du lien juridique.</v>
      </c>
      <c r="BF226" s="13" t="s">
        <v>152</v>
      </c>
      <c r="BG226" s="15" t="str">
        <f>VLOOKUP(BF226,'Axe 2 Règles de gestion'!$D$2:$F$146,3, FALSE)</f>
        <v>La saisie d'une occurrence de congés/absences est interdite (date de fin réelle)</v>
      </c>
      <c r="BH226" s="13" t="s">
        <v>154</v>
      </c>
      <c r="BI226" s="15" t="str">
        <f>VLOOKUP(BH226,'Axe 2 Règles de gestion'!$D$2:$F$146,3, FALSE)</f>
        <v>La saisie d'une occurrence de congés/absences est interdite (date de fin prévisionnelle)</v>
      </c>
      <c r="BJ226" s="13"/>
      <c r="BK226" s="15"/>
      <c r="BL226" s="13"/>
      <c r="BM226" s="15"/>
      <c r="BN226" s="13"/>
      <c r="BO226" s="15"/>
      <c r="BP226" s="13"/>
      <c r="BQ226" s="15"/>
      <c r="BR226" s="13"/>
      <c r="BS226" s="15"/>
      <c r="BT226" s="13"/>
      <c r="BU226" s="15"/>
      <c r="BV226" s="13"/>
      <c r="BW226" s="15"/>
    </row>
    <row r="227" spans="1:75" ht="87" x14ac:dyDescent="0.35">
      <c r="A227" s="13" t="s">
        <v>76</v>
      </c>
      <c r="B227" s="13" t="s">
        <v>77</v>
      </c>
      <c r="C227" s="14">
        <v>43152.5</v>
      </c>
      <c r="D227" s="13" t="s">
        <v>78</v>
      </c>
      <c r="E227" s="15" t="s">
        <v>79</v>
      </c>
      <c r="F227" s="13" t="s">
        <v>80</v>
      </c>
      <c r="G227" s="15" t="s">
        <v>81</v>
      </c>
      <c r="H227" s="13" t="s">
        <v>448</v>
      </c>
      <c r="I227" s="15" t="s">
        <v>449</v>
      </c>
      <c r="J227" s="15" t="s">
        <v>450</v>
      </c>
      <c r="K227" s="15" t="s">
        <v>451</v>
      </c>
      <c r="L227" s="13" t="s">
        <v>452</v>
      </c>
      <c r="M227" s="15" t="s">
        <v>453</v>
      </c>
      <c r="N227" s="13" t="s">
        <v>379</v>
      </c>
      <c r="O227" s="15"/>
      <c r="P227" s="15"/>
      <c r="Q227" s="15" t="s">
        <v>91</v>
      </c>
      <c r="R227" s="13" t="s">
        <v>92</v>
      </c>
      <c r="S227" s="13" t="s">
        <v>93</v>
      </c>
      <c r="T227" s="13" t="s">
        <v>94</v>
      </c>
      <c r="U227" s="14">
        <v>40725</v>
      </c>
      <c r="V227" s="14"/>
      <c r="W227" s="15"/>
      <c r="X227" s="13"/>
      <c r="Y227" s="15"/>
      <c r="Z227" s="13"/>
      <c r="AA227" s="15"/>
      <c r="AB227" s="13"/>
      <c r="AC227" s="15"/>
      <c r="AD227" s="13"/>
      <c r="AE227" s="15"/>
      <c r="AF227" s="13"/>
      <c r="AG227" s="15"/>
      <c r="AH227" s="13"/>
      <c r="AI227" s="15"/>
      <c r="AJ227" s="13"/>
      <c r="AK227" s="15"/>
      <c r="AL227" s="13"/>
      <c r="AM227" s="15"/>
      <c r="AN227" s="13"/>
      <c r="AO227" s="15"/>
      <c r="AP227" s="13"/>
      <c r="AQ227" s="15"/>
      <c r="AR227" s="13"/>
      <c r="AS227" s="15"/>
      <c r="AT227" s="13"/>
      <c r="AU227" s="15"/>
      <c r="AV227" s="13"/>
      <c r="AW227" s="15"/>
      <c r="AX227" s="13"/>
      <c r="AY227" s="15"/>
      <c r="AZ227" s="13"/>
      <c r="BA227" s="15"/>
      <c r="BB227" s="13"/>
      <c r="BC227" s="15"/>
      <c r="BD227" s="13"/>
      <c r="BE227" s="15"/>
      <c r="BF227" s="13"/>
      <c r="BG227" s="15"/>
      <c r="BH227" s="13"/>
      <c r="BI227" s="15"/>
      <c r="BJ227" s="13"/>
      <c r="BK227" s="15"/>
      <c r="BL227" s="13"/>
      <c r="BM227" s="15"/>
      <c r="BN227" s="13"/>
      <c r="BO227" s="15"/>
      <c r="BP227" s="13"/>
      <c r="BQ227" s="15"/>
      <c r="BR227" s="13"/>
      <c r="BS227" s="15"/>
      <c r="BT227" s="13"/>
      <c r="BU227" s="15"/>
      <c r="BV227" s="13"/>
      <c r="BW227" s="15"/>
    </row>
    <row r="228" spans="1:75" ht="101.5" x14ac:dyDescent="0.35">
      <c r="A228" s="13" t="s">
        <v>76</v>
      </c>
      <c r="B228" s="13" t="s">
        <v>77</v>
      </c>
      <c r="C228" s="14">
        <v>43152.5</v>
      </c>
      <c r="D228" s="13" t="s">
        <v>78</v>
      </c>
      <c r="E228" s="15" t="s">
        <v>79</v>
      </c>
      <c r="F228" s="13" t="s">
        <v>80</v>
      </c>
      <c r="G228" s="15" t="s">
        <v>81</v>
      </c>
      <c r="H228" s="13" t="s">
        <v>448</v>
      </c>
      <c r="I228" s="15" t="s">
        <v>449</v>
      </c>
      <c r="J228" s="15" t="s">
        <v>450</v>
      </c>
      <c r="K228" s="15" t="s">
        <v>451</v>
      </c>
      <c r="L228" s="13" t="s">
        <v>454</v>
      </c>
      <c r="M228" s="15" t="s">
        <v>455</v>
      </c>
      <c r="N228" s="13" t="s">
        <v>101</v>
      </c>
      <c r="O228" s="15"/>
      <c r="P228" s="15"/>
      <c r="Q228" s="15" t="s">
        <v>91</v>
      </c>
      <c r="R228" s="13" t="s">
        <v>92</v>
      </c>
      <c r="S228" s="13" t="s">
        <v>93</v>
      </c>
      <c r="T228" s="13" t="s">
        <v>94</v>
      </c>
      <c r="U228" s="14">
        <v>40725</v>
      </c>
      <c r="V228" s="14"/>
      <c r="W228" s="15"/>
      <c r="X228" s="13"/>
      <c r="Y228" s="15"/>
      <c r="Z228" s="13"/>
      <c r="AA228" s="15"/>
      <c r="AB228" s="13"/>
      <c r="AC228" s="15"/>
      <c r="AD228" s="13"/>
      <c r="AE228" s="15"/>
      <c r="AF228" s="13"/>
      <c r="AG228" s="15"/>
      <c r="AH228" s="13"/>
      <c r="AI228" s="15"/>
      <c r="AJ228" s="13"/>
      <c r="AK228" s="15"/>
      <c r="AL228" s="13"/>
      <c r="AM228" s="15"/>
      <c r="AN228" s="13"/>
      <c r="AO228" s="15"/>
      <c r="AP228" s="13"/>
      <c r="AQ228" s="15"/>
      <c r="AR228" s="13"/>
      <c r="AS228" s="15"/>
      <c r="AT228" s="13"/>
      <c r="AU228" s="15"/>
      <c r="AV228" s="13"/>
      <c r="AW228" s="15"/>
      <c r="AX228" s="13"/>
      <c r="AY228" s="15"/>
      <c r="AZ228" s="13"/>
      <c r="BA228" s="15"/>
      <c r="BB228" s="13"/>
      <c r="BC228" s="15"/>
      <c r="BD228" s="13"/>
      <c r="BE228" s="15"/>
      <c r="BF228" s="13"/>
      <c r="BG228" s="15"/>
      <c r="BH228" s="13"/>
      <c r="BI228" s="15"/>
      <c r="BJ228" s="13"/>
      <c r="BK228" s="15"/>
      <c r="BL228" s="13"/>
      <c r="BM228" s="15"/>
      <c r="BN228" s="13"/>
      <c r="BO228" s="15"/>
      <c r="BP228" s="13"/>
      <c r="BQ228" s="15"/>
      <c r="BR228" s="13"/>
      <c r="BS228" s="15"/>
      <c r="BT228" s="13"/>
      <c r="BU228" s="15"/>
      <c r="BV228" s="13"/>
      <c r="BW228" s="15"/>
    </row>
    <row r="229" spans="1:75" ht="87" x14ac:dyDescent="0.35">
      <c r="A229" s="13" t="s">
        <v>76</v>
      </c>
      <c r="B229" s="13" t="s">
        <v>77</v>
      </c>
      <c r="C229" s="14">
        <v>43152.5</v>
      </c>
      <c r="D229" s="13" t="s">
        <v>78</v>
      </c>
      <c r="E229" s="15" t="s">
        <v>79</v>
      </c>
      <c r="F229" s="13" t="s">
        <v>80</v>
      </c>
      <c r="G229" s="15" t="s">
        <v>81</v>
      </c>
      <c r="H229" s="13" t="s">
        <v>448</v>
      </c>
      <c r="I229" s="15" t="s">
        <v>449</v>
      </c>
      <c r="J229" s="15" t="s">
        <v>450</v>
      </c>
      <c r="K229" s="15" t="s">
        <v>451</v>
      </c>
      <c r="L229" s="13" t="s">
        <v>452</v>
      </c>
      <c r="M229" s="15" t="s">
        <v>453</v>
      </c>
      <c r="N229" s="13" t="s">
        <v>379</v>
      </c>
      <c r="O229" s="15"/>
      <c r="P229" s="15"/>
      <c r="Q229" s="15" t="s">
        <v>104</v>
      </c>
      <c r="R229" s="13" t="s">
        <v>105</v>
      </c>
      <c r="S229" s="13" t="s">
        <v>93</v>
      </c>
      <c r="T229" s="13" t="s">
        <v>94</v>
      </c>
      <c r="U229" s="14">
        <v>40725</v>
      </c>
      <c r="V229" s="14"/>
      <c r="W229" s="15"/>
      <c r="X229" s="13"/>
      <c r="Y229" s="15"/>
      <c r="Z229" s="13"/>
      <c r="AA229" s="15"/>
      <c r="AB229" s="13"/>
      <c r="AC229" s="15"/>
      <c r="AD229" s="13"/>
      <c r="AE229" s="15"/>
      <c r="AF229" s="13"/>
      <c r="AG229" s="15"/>
      <c r="AH229" s="13"/>
      <c r="AI229" s="15"/>
      <c r="AJ229" s="13"/>
      <c r="AK229" s="15"/>
      <c r="AL229" s="13"/>
      <c r="AM229" s="15"/>
      <c r="AN229" s="13"/>
      <c r="AO229" s="15"/>
      <c r="AP229" s="13"/>
      <c r="AQ229" s="15"/>
      <c r="AR229" s="13"/>
      <c r="AS229" s="15"/>
      <c r="AT229" s="13"/>
      <c r="AU229" s="15"/>
      <c r="AV229" s="13"/>
      <c r="AW229" s="15"/>
      <c r="AX229" s="13"/>
      <c r="AY229" s="15"/>
      <c r="AZ229" s="13"/>
      <c r="BA229" s="15"/>
      <c r="BB229" s="13"/>
      <c r="BC229" s="15"/>
      <c r="BD229" s="13"/>
      <c r="BE229" s="15"/>
      <c r="BF229" s="13"/>
      <c r="BG229" s="15"/>
      <c r="BH229" s="13"/>
      <c r="BI229" s="15"/>
      <c r="BJ229" s="13"/>
      <c r="BK229" s="15"/>
      <c r="BL229" s="13"/>
      <c r="BM229" s="15"/>
      <c r="BN229" s="13"/>
      <c r="BO229" s="15"/>
      <c r="BP229" s="13"/>
      <c r="BQ229" s="15"/>
      <c r="BR229" s="13"/>
      <c r="BS229" s="15"/>
      <c r="BT229" s="13"/>
      <c r="BU229" s="15"/>
      <c r="BV229" s="13"/>
      <c r="BW229" s="15"/>
    </row>
    <row r="230" spans="1:75" ht="101.5" x14ac:dyDescent="0.35">
      <c r="A230" s="13" t="s">
        <v>76</v>
      </c>
      <c r="B230" s="13" t="s">
        <v>77</v>
      </c>
      <c r="C230" s="14">
        <v>43152.5</v>
      </c>
      <c r="D230" s="13" t="s">
        <v>78</v>
      </c>
      <c r="E230" s="15" t="s">
        <v>79</v>
      </c>
      <c r="F230" s="13" t="s">
        <v>80</v>
      </c>
      <c r="G230" s="15" t="s">
        <v>81</v>
      </c>
      <c r="H230" s="13" t="s">
        <v>448</v>
      </c>
      <c r="I230" s="15" t="s">
        <v>449</v>
      </c>
      <c r="J230" s="15" t="s">
        <v>450</v>
      </c>
      <c r="K230" s="15" t="s">
        <v>451</v>
      </c>
      <c r="L230" s="13" t="s">
        <v>454</v>
      </c>
      <c r="M230" s="15" t="s">
        <v>455</v>
      </c>
      <c r="N230" s="13" t="s">
        <v>101</v>
      </c>
      <c r="O230" s="15"/>
      <c r="P230" s="15"/>
      <c r="Q230" s="15" t="s">
        <v>104</v>
      </c>
      <c r="R230" s="13" t="s">
        <v>105</v>
      </c>
      <c r="S230" s="13" t="s">
        <v>93</v>
      </c>
      <c r="T230" s="13" t="s">
        <v>94</v>
      </c>
      <c r="U230" s="14">
        <v>40725</v>
      </c>
      <c r="V230" s="14"/>
      <c r="W230" s="15"/>
      <c r="X230" s="13"/>
      <c r="Y230" s="15"/>
      <c r="Z230" s="13"/>
      <c r="AA230" s="15"/>
      <c r="AB230" s="13"/>
      <c r="AC230" s="15"/>
      <c r="AD230" s="13"/>
      <c r="AE230" s="15"/>
      <c r="AF230" s="13"/>
      <c r="AG230" s="15"/>
      <c r="AH230" s="13"/>
      <c r="AI230" s="15"/>
      <c r="AJ230" s="13"/>
      <c r="AK230" s="15"/>
      <c r="AL230" s="13"/>
      <c r="AM230" s="15"/>
      <c r="AN230" s="13"/>
      <c r="AO230" s="15"/>
      <c r="AP230" s="13"/>
      <c r="AQ230" s="15"/>
      <c r="AR230" s="13"/>
      <c r="AS230" s="15"/>
      <c r="AT230" s="13"/>
      <c r="AU230" s="15"/>
      <c r="AV230" s="13"/>
      <c r="AW230" s="15"/>
      <c r="AX230" s="13"/>
      <c r="AY230" s="15"/>
      <c r="AZ230" s="13"/>
      <c r="BA230" s="15"/>
      <c r="BB230" s="13"/>
      <c r="BC230" s="15"/>
      <c r="BD230" s="13"/>
      <c r="BE230" s="15"/>
      <c r="BF230" s="13"/>
      <c r="BG230" s="15"/>
      <c r="BH230" s="13"/>
      <c r="BI230" s="15"/>
      <c r="BJ230" s="13"/>
      <c r="BK230" s="15"/>
      <c r="BL230" s="13"/>
      <c r="BM230" s="15"/>
      <c r="BN230" s="13"/>
      <c r="BO230" s="15"/>
      <c r="BP230" s="13"/>
      <c r="BQ230" s="15"/>
      <c r="BR230" s="13"/>
      <c r="BS230" s="15"/>
      <c r="BT230" s="13"/>
      <c r="BU230" s="15"/>
      <c r="BV230" s="13"/>
      <c r="BW230" s="15"/>
    </row>
    <row r="231" spans="1:75" ht="87" x14ac:dyDescent="0.35">
      <c r="A231" s="13" t="s">
        <v>76</v>
      </c>
      <c r="B231" s="13" t="s">
        <v>77</v>
      </c>
      <c r="C231" s="14">
        <v>43152.5</v>
      </c>
      <c r="D231" s="13" t="s">
        <v>78</v>
      </c>
      <c r="E231" s="15" t="s">
        <v>79</v>
      </c>
      <c r="F231" s="13" t="s">
        <v>80</v>
      </c>
      <c r="G231" s="15" t="s">
        <v>81</v>
      </c>
      <c r="H231" s="13" t="s">
        <v>448</v>
      </c>
      <c r="I231" s="15" t="s">
        <v>449</v>
      </c>
      <c r="J231" s="15" t="s">
        <v>450</v>
      </c>
      <c r="K231" s="15" t="s">
        <v>451</v>
      </c>
      <c r="L231" s="13" t="s">
        <v>452</v>
      </c>
      <c r="M231" s="15" t="s">
        <v>453</v>
      </c>
      <c r="N231" s="13" t="s">
        <v>379</v>
      </c>
      <c r="O231" s="15"/>
      <c r="P231" s="15"/>
      <c r="Q231" s="15" t="s">
        <v>106</v>
      </c>
      <c r="R231" s="13" t="s">
        <v>107</v>
      </c>
      <c r="S231" s="13" t="s">
        <v>93</v>
      </c>
      <c r="T231" s="13" t="s">
        <v>94</v>
      </c>
      <c r="U231" s="14">
        <v>40725</v>
      </c>
      <c r="V231" s="14"/>
      <c r="W231" s="15"/>
      <c r="X231" s="13"/>
      <c r="Y231" s="15"/>
      <c r="Z231" s="13"/>
      <c r="AA231" s="15"/>
      <c r="AB231" s="13"/>
      <c r="AC231" s="15"/>
      <c r="AD231" s="13"/>
      <c r="AE231" s="15"/>
      <c r="AF231" s="13"/>
      <c r="AG231" s="15"/>
      <c r="AH231" s="13"/>
      <c r="AI231" s="15"/>
      <c r="AJ231" s="13"/>
      <c r="AK231" s="15"/>
      <c r="AL231" s="13"/>
      <c r="AM231" s="15"/>
      <c r="AN231" s="13"/>
      <c r="AO231" s="15"/>
      <c r="AP231" s="13"/>
      <c r="AQ231" s="15"/>
      <c r="AR231" s="13"/>
      <c r="AS231" s="15"/>
      <c r="AT231" s="13"/>
      <c r="AU231" s="15"/>
      <c r="AV231" s="13"/>
      <c r="AW231" s="15"/>
      <c r="AX231" s="13"/>
      <c r="AY231" s="15"/>
      <c r="AZ231" s="13"/>
      <c r="BA231" s="15"/>
      <c r="BB231" s="13"/>
      <c r="BC231" s="15"/>
      <c r="BD231" s="13"/>
      <c r="BE231" s="15"/>
      <c r="BF231" s="13"/>
      <c r="BG231" s="15"/>
      <c r="BH231" s="13"/>
      <c r="BI231" s="15"/>
      <c r="BJ231" s="13"/>
      <c r="BK231" s="15"/>
      <c r="BL231" s="13"/>
      <c r="BM231" s="15"/>
      <c r="BN231" s="13"/>
      <c r="BO231" s="15"/>
      <c r="BP231" s="13"/>
      <c r="BQ231" s="15"/>
      <c r="BR231" s="13"/>
      <c r="BS231" s="15"/>
      <c r="BT231" s="13"/>
      <c r="BU231" s="15"/>
      <c r="BV231" s="13"/>
      <c r="BW231" s="15"/>
    </row>
    <row r="232" spans="1:75" ht="101.5" x14ac:dyDescent="0.35">
      <c r="A232" s="13" t="s">
        <v>76</v>
      </c>
      <c r="B232" s="13" t="s">
        <v>77</v>
      </c>
      <c r="C232" s="14">
        <v>43152.5</v>
      </c>
      <c r="D232" s="13" t="s">
        <v>78</v>
      </c>
      <c r="E232" s="15" t="s">
        <v>79</v>
      </c>
      <c r="F232" s="13" t="s">
        <v>80</v>
      </c>
      <c r="G232" s="15" t="s">
        <v>81</v>
      </c>
      <c r="H232" s="13" t="s">
        <v>448</v>
      </c>
      <c r="I232" s="15" t="s">
        <v>449</v>
      </c>
      <c r="J232" s="15" t="s">
        <v>450</v>
      </c>
      <c r="K232" s="15" t="s">
        <v>451</v>
      </c>
      <c r="L232" s="13" t="s">
        <v>454</v>
      </c>
      <c r="M232" s="15" t="s">
        <v>455</v>
      </c>
      <c r="N232" s="13" t="s">
        <v>101</v>
      </c>
      <c r="O232" s="15"/>
      <c r="P232" s="15"/>
      <c r="Q232" s="15" t="s">
        <v>106</v>
      </c>
      <c r="R232" s="13" t="s">
        <v>107</v>
      </c>
      <c r="S232" s="13" t="s">
        <v>93</v>
      </c>
      <c r="T232" s="13" t="s">
        <v>94</v>
      </c>
      <c r="U232" s="14">
        <v>40725</v>
      </c>
      <c r="V232" s="14"/>
      <c r="W232" s="15"/>
      <c r="X232" s="13"/>
      <c r="Y232" s="15"/>
      <c r="Z232" s="13"/>
      <c r="AA232" s="15"/>
      <c r="AB232" s="13"/>
      <c r="AC232" s="15"/>
      <c r="AD232" s="13"/>
      <c r="AE232" s="15"/>
      <c r="AF232" s="13"/>
      <c r="AG232" s="15"/>
      <c r="AH232" s="13"/>
      <c r="AI232" s="15"/>
      <c r="AJ232" s="13"/>
      <c r="AK232" s="15"/>
      <c r="AL232" s="13"/>
      <c r="AM232" s="15"/>
      <c r="AN232" s="13"/>
      <c r="AO232" s="15"/>
      <c r="AP232" s="13"/>
      <c r="AQ232" s="15"/>
      <c r="AR232" s="13"/>
      <c r="AS232" s="15"/>
      <c r="AT232" s="13"/>
      <c r="AU232" s="15"/>
      <c r="AV232" s="13"/>
      <c r="AW232" s="15"/>
      <c r="AX232" s="13"/>
      <c r="AY232" s="15"/>
      <c r="AZ232" s="13"/>
      <c r="BA232" s="15"/>
      <c r="BB232" s="13"/>
      <c r="BC232" s="15"/>
      <c r="BD232" s="13"/>
      <c r="BE232" s="15"/>
      <c r="BF232" s="13"/>
      <c r="BG232" s="15"/>
      <c r="BH232" s="13"/>
      <c r="BI232" s="15"/>
      <c r="BJ232" s="13"/>
      <c r="BK232" s="15"/>
      <c r="BL232" s="13"/>
      <c r="BM232" s="15"/>
      <c r="BN232" s="13"/>
      <c r="BO232" s="15"/>
      <c r="BP232" s="13"/>
      <c r="BQ232" s="15"/>
      <c r="BR232" s="13"/>
      <c r="BS232" s="15"/>
      <c r="BT232" s="13"/>
      <c r="BU232" s="15"/>
      <c r="BV232" s="13"/>
      <c r="BW232" s="15"/>
    </row>
    <row r="233" spans="1:75" ht="87" x14ac:dyDescent="0.35">
      <c r="A233" s="13" t="s">
        <v>76</v>
      </c>
      <c r="B233" s="13" t="s">
        <v>77</v>
      </c>
      <c r="C233" s="14">
        <v>43152.5</v>
      </c>
      <c r="D233" s="13" t="s">
        <v>78</v>
      </c>
      <c r="E233" s="15" t="s">
        <v>79</v>
      </c>
      <c r="F233" s="13" t="s">
        <v>80</v>
      </c>
      <c r="G233" s="15" t="s">
        <v>81</v>
      </c>
      <c r="H233" s="13" t="s">
        <v>448</v>
      </c>
      <c r="I233" s="15" t="s">
        <v>449</v>
      </c>
      <c r="J233" s="15" t="s">
        <v>450</v>
      </c>
      <c r="K233" s="15" t="s">
        <v>451</v>
      </c>
      <c r="L233" s="13" t="s">
        <v>452</v>
      </c>
      <c r="M233" s="15" t="s">
        <v>453</v>
      </c>
      <c r="N233" s="13" t="s">
        <v>379</v>
      </c>
      <c r="O233" s="15"/>
      <c r="P233" s="15"/>
      <c r="Q233" s="15" t="s">
        <v>110</v>
      </c>
      <c r="R233" s="13" t="s">
        <v>111</v>
      </c>
      <c r="S233" s="13" t="s">
        <v>93</v>
      </c>
      <c r="T233" s="13" t="s">
        <v>94</v>
      </c>
      <c r="U233" s="14">
        <v>40725</v>
      </c>
      <c r="V233" s="14"/>
      <c r="W233" s="15"/>
      <c r="X233" s="13"/>
      <c r="Y233" s="15"/>
      <c r="Z233" s="13"/>
      <c r="AA233" s="15"/>
      <c r="AB233" s="13"/>
      <c r="AC233" s="15"/>
      <c r="AD233" s="13"/>
      <c r="AE233" s="15"/>
      <c r="AF233" s="13"/>
      <c r="AG233" s="15"/>
      <c r="AH233" s="13"/>
      <c r="AI233" s="15"/>
      <c r="AJ233" s="13"/>
      <c r="AK233" s="15"/>
      <c r="AL233" s="13"/>
      <c r="AM233" s="15"/>
      <c r="AN233" s="13"/>
      <c r="AO233" s="15"/>
      <c r="AP233" s="13"/>
      <c r="AQ233" s="15"/>
      <c r="AR233" s="13"/>
      <c r="AS233" s="15"/>
      <c r="AT233" s="13"/>
      <c r="AU233" s="15"/>
      <c r="AV233" s="13"/>
      <c r="AW233" s="15"/>
      <c r="AX233" s="13"/>
      <c r="AY233" s="15"/>
      <c r="AZ233" s="13"/>
      <c r="BA233" s="15"/>
      <c r="BB233" s="13"/>
      <c r="BC233" s="15"/>
      <c r="BD233" s="13"/>
      <c r="BE233" s="15"/>
      <c r="BF233" s="13"/>
      <c r="BG233" s="15"/>
      <c r="BH233" s="13"/>
      <c r="BI233" s="15"/>
      <c r="BJ233" s="13"/>
      <c r="BK233" s="15"/>
      <c r="BL233" s="13"/>
      <c r="BM233" s="15"/>
      <c r="BN233" s="13"/>
      <c r="BO233" s="15"/>
      <c r="BP233" s="13"/>
      <c r="BQ233" s="15"/>
      <c r="BR233" s="13"/>
      <c r="BS233" s="15"/>
      <c r="BT233" s="13"/>
      <c r="BU233" s="15"/>
      <c r="BV233" s="13"/>
      <c r="BW233" s="15"/>
    </row>
    <row r="234" spans="1:75" ht="101.5" x14ac:dyDescent="0.35">
      <c r="A234" s="13" t="s">
        <v>76</v>
      </c>
      <c r="B234" s="13" t="s">
        <v>77</v>
      </c>
      <c r="C234" s="14">
        <v>43152.5</v>
      </c>
      <c r="D234" s="13" t="s">
        <v>78</v>
      </c>
      <c r="E234" s="15" t="s">
        <v>79</v>
      </c>
      <c r="F234" s="13" t="s">
        <v>80</v>
      </c>
      <c r="G234" s="15" t="s">
        <v>81</v>
      </c>
      <c r="H234" s="13" t="s">
        <v>448</v>
      </c>
      <c r="I234" s="15" t="s">
        <v>449</v>
      </c>
      <c r="J234" s="15" t="s">
        <v>450</v>
      </c>
      <c r="K234" s="15" t="s">
        <v>451</v>
      </c>
      <c r="L234" s="13" t="s">
        <v>454</v>
      </c>
      <c r="M234" s="15" t="s">
        <v>455</v>
      </c>
      <c r="N234" s="13" t="s">
        <v>101</v>
      </c>
      <c r="O234" s="15"/>
      <c r="P234" s="15"/>
      <c r="Q234" s="15" t="s">
        <v>110</v>
      </c>
      <c r="R234" s="13" t="s">
        <v>111</v>
      </c>
      <c r="S234" s="13" t="s">
        <v>93</v>
      </c>
      <c r="T234" s="13" t="s">
        <v>94</v>
      </c>
      <c r="U234" s="14">
        <v>40725</v>
      </c>
      <c r="V234" s="14"/>
      <c r="W234" s="15"/>
      <c r="X234" s="13"/>
      <c r="Y234" s="15"/>
      <c r="Z234" s="13"/>
      <c r="AA234" s="15"/>
      <c r="AB234" s="13"/>
      <c r="AC234" s="15"/>
      <c r="AD234" s="13"/>
      <c r="AE234" s="15"/>
      <c r="AF234" s="13"/>
      <c r="AG234" s="15"/>
      <c r="AH234" s="13"/>
      <c r="AI234" s="15"/>
      <c r="AJ234" s="13"/>
      <c r="AK234" s="15"/>
      <c r="AL234" s="13"/>
      <c r="AM234" s="15"/>
      <c r="AN234" s="13"/>
      <c r="AO234" s="15"/>
      <c r="AP234" s="13"/>
      <c r="AQ234" s="15"/>
      <c r="AR234" s="13"/>
      <c r="AS234" s="15"/>
      <c r="AT234" s="13"/>
      <c r="AU234" s="15"/>
      <c r="AV234" s="13"/>
      <c r="AW234" s="15"/>
      <c r="AX234" s="13"/>
      <c r="AY234" s="15"/>
      <c r="AZ234" s="13"/>
      <c r="BA234" s="15"/>
      <c r="BB234" s="13"/>
      <c r="BC234" s="15"/>
      <c r="BD234" s="13"/>
      <c r="BE234" s="15"/>
      <c r="BF234" s="13"/>
      <c r="BG234" s="15"/>
      <c r="BH234" s="13"/>
      <c r="BI234" s="15"/>
      <c r="BJ234" s="13"/>
      <c r="BK234" s="15"/>
      <c r="BL234" s="13"/>
      <c r="BM234" s="15"/>
      <c r="BN234" s="13"/>
      <c r="BO234" s="15"/>
      <c r="BP234" s="13"/>
      <c r="BQ234" s="15"/>
      <c r="BR234" s="13"/>
      <c r="BS234" s="15"/>
      <c r="BT234" s="13"/>
      <c r="BU234" s="15"/>
      <c r="BV234" s="13"/>
      <c r="BW234" s="15"/>
    </row>
    <row r="235" spans="1:75" ht="87" x14ac:dyDescent="0.35">
      <c r="A235" s="13" t="s">
        <v>76</v>
      </c>
      <c r="B235" s="13" t="s">
        <v>77</v>
      </c>
      <c r="C235" s="14">
        <v>43152.5</v>
      </c>
      <c r="D235" s="13" t="s">
        <v>78</v>
      </c>
      <c r="E235" s="15" t="s">
        <v>79</v>
      </c>
      <c r="F235" s="13" t="s">
        <v>80</v>
      </c>
      <c r="G235" s="15" t="s">
        <v>81</v>
      </c>
      <c r="H235" s="13" t="s">
        <v>448</v>
      </c>
      <c r="I235" s="15" t="s">
        <v>449</v>
      </c>
      <c r="J235" s="15" t="s">
        <v>450</v>
      </c>
      <c r="K235" s="15" t="s">
        <v>451</v>
      </c>
      <c r="L235" s="13" t="s">
        <v>452</v>
      </c>
      <c r="M235" s="15" t="s">
        <v>453</v>
      </c>
      <c r="N235" s="13" t="s">
        <v>379</v>
      </c>
      <c r="O235" s="15"/>
      <c r="P235" s="15"/>
      <c r="Q235" s="15" t="s">
        <v>175</v>
      </c>
      <c r="R235" s="13" t="s">
        <v>176</v>
      </c>
      <c r="S235" s="13" t="s">
        <v>93</v>
      </c>
      <c r="T235" s="13" t="s">
        <v>94</v>
      </c>
      <c r="U235" s="14">
        <v>40725</v>
      </c>
      <c r="V235" s="14"/>
      <c r="W235" s="15"/>
      <c r="X235" s="13"/>
      <c r="Y235" s="15"/>
      <c r="Z235" s="13"/>
      <c r="AA235" s="15"/>
      <c r="AB235" s="13"/>
      <c r="AC235" s="15"/>
      <c r="AD235" s="13"/>
      <c r="AE235" s="15"/>
      <c r="AF235" s="13"/>
      <c r="AG235" s="15"/>
      <c r="AH235" s="13"/>
      <c r="AI235" s="15"/>
      <c r="AJ235" s="13"/>
      <c r="AK235" s="15"/>
      <c r="AL235" s="13"/>
      <c r="AM235" s="15"/>
      <c r="AN235" s="13"/>
      <c r="AO235" s="15"/>
      <c r="AP235" s="13"/>
      <c r="AQ235" s="15"/>
      <c r="AR235" s="13"/>
      <c r="AS235" s="15"/>
      <c r="AT235" s="13"/>
      <c r="AU235" s="15"/>
      <c r="AV235" s="13"/>
      <c r="AW235" s="15"/>
      <c r="AX235" s="13"/>
      <c r="AY235" s="15"/>
      <c r="AZ235" s="13"/>
      <c r="BA235" s="15"/>
      <c r="BB235" s="13"/>
      <c r="BC235" s="15"/>
      <c r="BD235" s="13"/>
      <c r="BE235" s="15"/>
      <c r="BF235" s="13"/>
      <c r="BG235" s="15"/>
      <c r="BH235" s="13"/>
      <c r="BI235" s="15"/>
      <c r="BJ235" s="13"/>
      <c r="BK235" s="15"/>
      <c r="BL235" s="13"/>
      <c r="BM235" s="15"/>
      <c r="BN235" s="13"/>
      <c r="BO235" s="15"/>
      <c r="BP235" s="13"/>
      <c r="BQ235" s="15"/>
      <c r="BR235" s="13"/>
      <c r="BS235" s="15"/>
      <c r="BT235" s="13"/>
      <c r="BU235" s="15"/>
      <c r="BV235" s="13"/>
      <c r="BW235" s="15"/>
    </row>
    <row r="236" spans="1:75" ht="101.5" x14ac:dyDescent="0.35">
      <c r="A236" s="13" t="s">
        <v>76</v>
      </c>
      <c r="B236" s="13" t="s">
        <v>77</v>
      </c>
      <c r="C236" s="14">
        <v>43152.5</v>
      </c>
      <c r="D236" s="13" t="s">
        <v>78</v>
      </c>
      <c r="E236" s="15" t="s">
        <v>79</v>
      </c>
      <c r="F236" s="13" t="s">
        <v>80</v>
      </c>
      <c r="G236" s="15" t="s">
        <v>81</v>
      </c>
      <c r="H236" s="13" t="s">
        <v>448</v>
      </c>
      <c r="I236" s="15" t="s">
        <v>449</v>
      </c>
      <c r="J236" s="15" t="s">
        <v>450</v>
      </c>
      <c r="K236" s="15" t="s">
        <v>451</v>
      </c>
      <c r="L236" s="13" t="s">
        <v>454</v>
      </c>
      <c r="M236" s="15" t="s">
        <v>455</v>
      </c>
      <c r="N236" s="13" t="s">
        <v>101</v>
      </c>
      <c r="O236" s="15"/>
      <c r="P236" s="15"/>
      <c r="Q236" s="15" t="s">
        <v>175</v>
      </c>
      <c r="R236" s="13" t="s">
        <v>176</v>
      </c>
      <c r="S236" s="13" t="s">
        <v>93</v>
      </c>
      <c r="T236" s="13" t="s">
        <v>94</v>
      </c>
      <c r="U236" s="14">
        <v>40725</v>
      </c>
      <c r="V236" s="14"/>
      <c r="W236" s="15"/>
      <c r="X236" s="13"/>
      <c r="Y236" s="15"/>
      <c r="Z236" s="13"/>
      <c r="AA236" s="15"/>
      <c r="AB236" s="13"/>
      <c r="AC236" s="15"/>
      <c r="AD236" s="13"/>
      <c r="AE236" s="15"/>
      <c r="AF236" s="13"/>
      <c r="AG236" s="15"/>
      <c r="AH236" s="13"/>
      <c r="AI236" s="15"/>
      <c r="AJ236" s="13"/>
      <c r="AK236" s="15"/>
      <c r="AL236" s="13"/>
      <c r="AM236" s="15"/>
      <c r="AN236" s="13"/>
      <c r="AO236" s="15"/>
      <c r="AP236" s="13"/>
      <c r="AQ236" s="15"/>
      <c r="AR236" s="13"/>
      <c r="AS236" s="15"/>
      <c r="AT236" s="13"/>
      <c r="AU236" s="15"/>
      <c r="AV236" s="13"/>
      <c r="AW236" s="15"/>
      <c r="AX236" s="13"/>
      <c r="AY236" s="15"/>
      <c r="AZ236" s="13"/>
      <c r="BA236" s="15"/>
      <c r="BB236" s="13"/>
      <c r="BC236" s="15"/>
      <c r="BD236" s="13"/>
      <c r="BE236" s="15"/>
      <c r="BF236" s="13"/>
      <c r="BG236" s="15"/>
      <c r="BH236" s="13"/>
      <c r="BI236" s="15"/>
      <c r="BJ236" s="13"/>
      <c r="BK236" s="15"/>
      <c r="BL236" s="13"/>
      <c r="BM236" s="15"/>
      <c r="BN236" s="13"/>
      <c r="BO236" s="15"/>
      <c r="BP236" s="13"/>
      <c r="BQ236" s="15"/>
      <c r="BR236" s="13"/>
      <c r="BS236" s="15"/>
      <c r="BT236" s="13"/>
      <c r="BU236" s="15"/>
      <c r="BV236" s="13"/>
      <c r="BW236" s="15"/>
    </row>
    <row r="237" spans="1:75" ht="101.5" x14ac:dyDescent="0.35">
      <c r="A237" s="13" t="s">
        <v>238</v>
      </c>
      <c r="B237" s="13" t="s">
        <v>109</v>
      </c>
      <c r="C237" s="14">
        <v>44368.708333333336</v>
      </c>
      <c r="D237" s="13" t="s">
        <v>78</v>
      </c>
      <c r="E237" s="15" t="s">
        <v>79</v>
      </c>
      <c r="F237" s="13" t="s">
        <v>80</v>
      </c>
      <c r="G237" s="15" t="s">
        <v>81</v>
      </c>
      <c r="H237" s="13" t="s">
        <v>448</v>
      </c>
      <c r="I237" s="15" t="s">
        <v>449</v>
      </c>
      <c r="J237" s="15" t="s">
        <v>450</v>
      </c>
      <c r="K237" s="15" t="s">
        <v>451</v>
      </c>
      <c r="L237" s="13" t="s">
        <v>452</v>
      </c>
      <c r="M237" s="15" t="s">
        <v>453</v>
      </c>
      <c r="N237" s="13" t="s">
        <v>379</v>
      </c>
      <c r="O237" s="15"/>
      <c r="P237" s="15"/>
      <c r="Q237" s="15" t="s">
        <v>456</v>
      </c>
      <c r="R237" s="13" t="s">
        <v>457</v>
      </c>
      <c r="S237" s="13" t="s">
        <v>179</v>
      </c>
      <c r="T237" s="13" t="s">
        <v>112</v>
      </c>
      <c r="U237" s="14">
        <v>40725</v>
      </c>
      <c r="V237" s="14"/>
      <c r="W237" s="15" t="s">
        <v>458</v>
      </c>
      <c r="X237" s="13" t="s">
        <v>459</v>
      </c>
      <c r="Y237" s="15" t="str">
        <f>VLOOKUP(X237,'Axe 2 Règles de gestion'!$D$2:$F$146,3, FALSE)</f>
        <v>L'agent doit présenter une demande de congé sans traitement.</v>
      </c>
      <c r="Z237" s="13" t="s">
        <v>460</v>
      </c>
      <c r="AA237" s="15" t="str">
        <f>VLOOKUP(Z237,'Axe 2 Règles de gestion'!$D$2:$F$146,3, FALSE)</f>
        <v>L'accord préalable du supérieur hiérarchique est requis.</v>
      </c>
      <c r="AB237" s="13" t="s">
        <v>462</v>
      </c>
      <c r="AC237" s="15" t="str">
        <f>VLOOKUP(AB237,'Axe 2 Règles de gestion'!$D$2:$F$146,3, FALSE)</f>
        <v>Si, dans le cadre de ce congé sans traitement, l'agent exerce des fonctions de doctorant contractuel, il doit alors nécessairement exercer un service d'enseignement.</v>
      </c>
      <c r="AD237" s="13" t="s">
        <v>464</v>
      </c>
      <c r="AE237" s="15" t="str">
        <f>VLOOKUP(AD237,'Axe 2 Règles de gestion'!$D$2:$F$146,3, FALSE)</f>
        <v>La durée du congé sans traitement est limitée à celle de l'exercice des fonctions d'attaché temporaire d'enseignement ou de recherche ou de doctorant contractuel.</v>
      </c>
      <c r="AF237" s="13" t="s">
        <v>466</v>
      </c>
      <c r="AG237" s="15" t="str">
        <f>VLOOKUP(AF237,'Axe 2 Règles de gestion'!$D$2:$F$146,3, FALSE)</f>
        <v>La durée prévisionnelle du congé est limitée à celle de l'exercice des fonctions; elle ne peut excéder 4 ans.</v>
      </c>
      <c r="AH237" s="13" t="s">
        <v>468</v>
      </c>
      <c r="AI237" s="15" t="str">
        <f>VLOOKUP(AH237,'Axe 2 Règles de gestion'!$D$2:$F$146,3, FALSE)</f>
        <v>La durée réelle du congé est limitée à celle de l'exercice des fonctions; elle ne peut excéder 4 ans.</v>
      </c>
      <c r="AJ237" s="13"/>
      <c r="AK237" s="15"/>
      <c r="AL237" s="13"/>
      <c r="AM237" s="15"/>
      <c r="AN237" s="13"/>
      <c r="AO237" s="15"/>
      <c r="AP237" s="13" t="s">
        <v>128</v>
      </c>
      <c r="AQ237" s="15" t="str">
        <f>VLOOKUP(AP237,'Axe 2 Règles de gestion'!$D$2:$F$146,3, FALSE)</f>
        <v>Lors de la demande initiale, l'agent doit être en activité.</v>
      </c>
      <c r="AR237" s="13" t="s">
        <v>130</v>
      </c>
      <c r="AS237" s="15" t="str">
        <f>VLOOKUP(AR237,'Axe 2 Règles de gestion'!$D$2:$F$146,3, FALSE)</f>
        <v>La date de début de la position doit être postérieure ou égale à la date d'entrée dans la FPE ou dans la carrière militaire.</v>
      </c>
      <c r="AT237" s="13" t="s">
        <v>132</v>
      </c>
      <c r="AU237" s="15" t="str">
        <f>VLOOKUP(AT237,'Axe 2 Règles de gestion'!$D$2:$F$146,3, FALSE)</f>
        <v>La date de début de position est à J+1 de la date de fin de position de l'occurrence précédente.</v>
      </c>
      <c r="AV237" s="13" t="s">
        <v>134</v>
      </c>
      <c r="AW237" s="15" t="str">
        <f>VLOOKUP(AV237,'Axe 2 Règles de gestion'!$D$2:$F$146,3, FALSE)</f>
        <v>La date de début de position doit être antérieure ou égale à la date de fin prévisionnelle de position.</v>
      </c>
      <c r="AX237" s="13" t="s">
        <v>136</v>
      </c>
      <c r="AY237" s="15" t="str">
        <f>VLOOKUP(AX237,'Axe 2 Règles de gestion'!$D$2:$F$146,3, FALSE)</f>
        <v>La date de début de position doit être antérieure ou égale à la date de fin réelle de position.</v>
      </c>
      <c r="AZ237" s="13" t="s">
        <v>138</v>
      </c>
      <c r="BA237" s="15" t="str">
        <f>VLOOKUP(AZ237,'Axe 2 Règles de gestion'!$D$2:$F$146,3, FALSE)</f>
        <v>La date de fin prévisionnelle de la position doit être antérieure à la date limite de départ à la retraite.</v>
      </c>
      <c r="BB237" s="13" t="s">
        <v>140</v>
      </c>
      <c r="BC237" s="15" t="str">
        <f>VLOOKUP(BB237,'Axe 2 Règles de gestion'!$D$2:$F$146,3, FALSE)</f>
        <v>La date de fin réelle de la position doit être antérieure à la date limite de départ à la retraite.</v>
      </c>
      <c r="BD237" s="13" t="s">
        <v>142</v>
      </c>
      <c r="BE237" s="15" t="str">
        <f>VLOOKUP(BD237,'Axe 2 Règles de gestion'!$D$2:$F$146,3, FALSE)</f>
        <v>La date de fin ou la date de fin prévisionnelle doit être saisie.</v>
      </c>
      <c r="BF237" s="13" t="s">
        <v>389</v>
      </c>
      <c r="BG237" s="15" t="str">
        <f>VLOOKUP(BF237,'Axe 2 Règles de gestion'!$D$2:$F$146,3, FALSE)</f>
        <v>L'indicateur de renouvellement ne doit pas être positionné à Oui.</v>
      </c>
      <c r="BH237" s="13" t="s">
        <v>152</v>
      </c>
      <c r="BI237" s="15" t="str">
        <f>VLOOKUP(BH237,'Axe 2 Règles de gestion'!$D$2:$F$146,3, FALSE)</f>
        <v>La saisie d'une occurrence de congés/absences est interdite (date de fin réelle)</v>
      </c>
      <c r="BJ237" s="13" t="s">
        <v>154</v>
      </c>
      <c r="BK237" s="15" t="str">
        <f>VLOOKUP(BJ237,'Axe 2 Règles de gestion'!$D$2:$F$146,3, FALSE)</f>
        <v>La saisie d'une occurrence de congés/absences est interdite (date de fin prévisionnelle)</v>
      </c>
      <c r="BL237" s="13"/>
      <c r="BM237" s="15"/>
      <c r="BN237" s="13"/>
      <c r="BO237" s="15"/>
      <c r="BP237" s="13"/>
      <c r="BQ237" s="15"/>
      <c r="BR237" s="13"/>
      <c r="BS237" s="15"/>
      <c r="BT237" s="13"/>
      <c r="BU237" s="15"/>
      <c r="BV237" s="13"/>
      <c r="BW237" s="15"/>
    </row>
    <row r="238" spans="1:75" ht="101.5" x14ac:dyDescent="0.35">
      <c r="A238" s="13" t="s">
        <v>238</v>
      </c>
      <c r="B238" s="13" t="s">
        <v>109</v>
      </c>
      <c r="C238" s="14">
        <v>44368.708333333336</v>
      </c>
      <c r="D238" s="13" t="s">
        <v>78</v>
      </c>
      <c r="E238" s="15" t="s">
        <v>79</v>
      </c>
      <c r="F238" s="13" t="s">
        <v>80</v>
      </c>
      <c r="G238" s="15" t="s">
        <v>81</v>
      </c>
      <c r="H238" s="13" t="s">
        <v>448</v>
      </c>
      <c r="I238" s="15" t="s">
        <v>449</v>
      </c>
      <c r="J238" s="15" t="s">
        <v>450</v>
      </c>
      <c r="K238" s="15" t="s">
        <v>451</v>
      </c>
      <c r="L238" s="13" t="s">
        <v>454</v>
      </c>
      <c r="M238" s="15" t="s">
        <v>455</v>
      </c>
      <c r="N238" s="13" t="s">
        <v>101</v>
      </c>
      <c r="O238" s="15"/>
      <c r="P238" s="15"/>
      <c r="Q238" s="15" t="s">
        <v>456</v>
      </c>
      <c r="R238" s="13" t="s">
        <v>457</v>
      </c>
      <c r="S238" s="13" t="s">
        <v>179</v>
      </c>
      <c r="T238" s="13" t="s">
        <v>112</v>
      </c>
      <c r="U238" s="14">
        <v>40725</v>
      </c>
      <c r="V238" s="14"/>
      <c r="W238" s="15" t="s">
        <v>470</v>
      </c>
      <c r="X238" s="13"/>
      <c r="Y238" s="15"/>
      <c r="Z238" s="13"/>
      <c r="AA238" s="15"/>
      <c r="AB238" s="13"/>
      <c r="AC238" s="15"/>
      <c r="AD238" s="13"/>
      <c r="AE238" s="15"/>
      <c r="AF238" s="13" t="s">
        <v>466</v>
      </c>
      <c r="AG238" s="15" t="str">
        <f>VLOOKUP(AF238,'Axe 2 Règles de gestion'!$D$2:$F$146,3, FALSE)</f>
        <v>La durée prévisionnelle du congé est limitée à celle de l'exercice des fonctions; elle ne peut excéder 4 ans.</v>
      </c>
      <c r="AH238" s="13" t="s">
        <v>468</v>
      </c>
      <c r="AI238" s="15" t="str">
        <f>VLOOKUP(AH238,'Axe 2 Règles de gestion'!$D$2:$F$146,3, FALSE)</f>
        <v>La durée réelle du congé est limitée à celle de l'exercice des fonctions; elle ne peut excéder 4 ans.</v>
      </c>
      <c r="AJ238" s="13"/>
      <c r="AK238" s="15"/>
      <c r="AL238" s="13"/>
      <c r="AM238" s="15"/>
      <c r="AN238" s="13"/>
      <c r="AO238" s="15"/>
      <c r="AP238" s="13" t="s">
        <v>134</v>
      </c>
      <c r="AQ238" s="15" t="str">
        <f>VLOOKUP(AP238,'Axe 2 Règles de gestion'!$D$2:$F$146,3, FALSE)</f>
        <v>La date de début de position doit être antérieure ou égale à la date de fin prévisionnelle de position.</v>
      </c>
      <c r="AR238" s="13" t="s">
        <v>136</v>
      </c>
      <c r="AS238" s="15" t="str">
        <f>VLOOKUP(AR238,'Axe 2 Règles de gestion'!$D$2:$F$146,3, FALSE)</f>
        <v>La date de début de position doit être antérieure ou égale à la date de fin réelle de position.</v>
      </c>
      <c r="AT238" s="13" t="s">
        <v>138</v>
      </c>
      <c r="AU238" s="15" t="str">
        <f>VLOOKUP(AT238,'Axe 2 Règles de gestion'!$D$2:$F$146,3, FALSE)</f>
        <v>La date de fin prévisionnelle de la position doit être antérieure à la date limite de départ à la retraite.</v>
      </c>
      <c r="AV238" s="13" t="s">
        <v>140</v>
      </c>
      <c r="AW238" s="15" t="str">
        <f>VLOOKUP(AV238,'Axe 2 Règles de gestion'!$D$2:$F$146,3, FALSE)</f>
        <v>La date de fin réelle de la position doit être antérieure à la date limite de départ à la retraite.</v>
      </c>
      <c r="AX238" s="13" t="s">
        <v>142</v>
      </c>
      <c r="AY238" s="15" t="str">
        <f>VLOOKUP(AX238,'Axe 2 Règles de gestion'!$D$2:$F$146,3, FALSE)</f>
        <v>La date de fin ou la date de fin prévisionnelle doit être saisie.</v>
      </c>
      <c r="AZ238" s="13" t="s">
        <v>389</v>
      </c>
      <c r="BA238" s="15" t="str">
        <f>VLOOKUP(AZ238,'Axe 2 Règles de gestion'!$D$2:$F$146,3, FALSE)</f>
        <v>L'indicateur de renouvellement ne doit pas être positionné à Oui.</v>
      </c>
      <c r="BB238" s="13" t="s">
        <v>152</v>
      </c>
      <c r="BC238" s="15" t="str">
        <f>VLOOKUP(BB238,'Axe 2 Règles de gestion'!$D$2:$F$146,3, FALSE)</f>
        <v>La saisie d'une occurrence de congés/absences est interdite (date de fin réelle)</v>
      </c>
      <c r="BD238" s="13" t="s">
        <v>154</v>
      </c>
      <c r="BE238" s="15" t="str">
        <f>VLOOKUP(BD238,'Axe 2 Règles de gestion'!$D$2:$F$146,3, FALSE)</f>
        <v>La saisie d'une occurrence de congés/absences est interdite (date de fin prévisionnelle)</v>
      </c>
      <c r="BF238" s="13"/>
      <c r="BG238" s="15"/>
      <c r="BH238" s="13"/>
      <c r="BI238" s="15"/>
      <c r="BJ238" s="13"/>
      <c r="BK238" s="15"/>
      <c r="BL238" s="13"/>
      <c r="BM238" s="15"/>
      <c r="BN238" s="13"/>
      <c r="BO238" s="15"/>
      <c r="BP238" s="13"/>
      <c r="BQ238" s="15"/>
      <c r="BR238" s="13"/>
      <c r="BS238" s="15"/>
      <c r="BT238" s="13"/>
      <c r="BU238" s="15"/>
      <c r="BV238" s="13"/>
      <c r="BW238" s="15"/>
    </row>
    <row r="239" spans="1:75" ht="43.5" x14ac:dyDescent="0.35">
      <c r="A239" s="13" t="s">
        <v>76</v>
      </c>
      <c r="B239" s="13" t="s">
        <v>77</v>
      </c>
      <c r="C239" s="14">
        <v>43152.5</v>
      </c>
      <c r="D239" s="13" t="s">
        <v>78</v>
      </c>
      <c r="E239" s="15" t="s">
        <v>79</v>
      </c>
      <c r="F239" s="13" t="s">
        <v>80</v>
      </c>
      <c r="G239" s="15" t="s">
        <v>81</v>
      </c>
      <c r="H239" s="13" t="s">
        <v>471</v>
      </c>
      <c r="I239" s="15" t="s">
        <v>472</v>
      </c>
      <c r="J239" s="15" t="s">
        <v>473</v>
      </c>
      <c r="K239" s="15" t="s">
        <v>474</v>
      </c>
      <c r="L239" s="13" t="s">
        <v>475</v>
      </c>
      <c r="M239" s="15" t="s">
        <v>476</v>
      </c>
      <c r="N239" s="13" t="s">
        <v>379</v>
      </c>
      <c r="O239" s="15"/>
      <c r="P239" s="15"/>
      <c r="Q239" s="15" t="s">
        <v>91</v>
      </c>
      <c r="R239" s="13" t="s">
        <v>92</v>
      </c>
      <c r="S239" s="13" t="s">
        <v>93</v>
      </c>
      <c r="T239" s="13" t="s">
        <v>94</v>
      </c>
      <c r="U239" s="14">
        <v>40725</v>
      </c>
      <c r="V239" s="14">
        <v>42481</v>
      </c>
      <c r="W239" s="15"/>
      <c r="X239" s="13"/>
      <c r="Y239" s="15"/>
      <c r="Z239" s="13"/>
      <c r="AA239" s="15"/>
      <c r="AB239" s="13"/>
      <c r="AC239" s="15"/>
      <c r="AD239" s="13"/>
      <c r="AE239" s="15"/>
      <c r="AF239" s="13"/>
      <c r="AG239" s="15"/>
      <c r="AH239" s="13"/>
      <c r="AI239" s="15"/>
      <c r="AJ239" s="13"/>
      <c r="AK239" s="15"/>
      <c r="AL239" s="13"/>
      <c r="AM239" s="15"/>
      <c r="AN239" s="13"/>
      <c r="AO239" s="15"/>
      <c r="AP239" s="13"/>
      <c r="AQ239" s="15"/>
      <c r="AR239" s="13"/>
      <c r="AS239" s="15"/>
      <c r="AT239" s="13"/>
      <c r="AU239" s="15"/>
      <c r="AV239" s="13"/>
      <c r="AW239" s="15"/>
      <c r="AX239" s="13"/>
      <c r="AY239" s="15"/>
      <c r="AZ239" s="13"/>
      <c r="BA239" s="15"/>
      <c r="BB239" s="13"/>
      <c r="BC239" s="15"/>
      <c r="BD239" s="13"/>
      <c r="BE239" s="15"/>
      <c r="BF239" s="13"/>
      <c r="BG239" s="15"/>
      <c r="BH239" s="13"/>
      <c r="BI239" s="15"/>
      <c r="BJ239" s="13"/>
      <c r="BK239" s="15"/>
      <c r="BL239" s="13"/>
      <c r="BM239" s="15"/>
      <c r="BN239" s="13"/>
      <c r="BO239" s="15"/>
      <c r="BP239" s="13"/>
      <c r="BQ239" s="15"/>
      <c r="BR239" s="13"/>
      <c r="BS239" s="15"/>
      <c r="BT239" s="13"/>
      <c r="BU239" s="15"/>
      <c r="BV239" s="13"/>
      <c r="BW239" s="15"/>
    </row>
    <row r="240" spans="1:75" ht="43.5" x14ac:dyDescent="0.35">
      <c r="A240" s="13" t="s">
        <v>76</v>
      </c>
      <c r="B240" s="13" t="s">
        <v>77</v>
      </c>
      <c r="C240" s="14">
        <v>43152.5</v>
      </c>
      <c r="D240" s="13" t="s">
        <v>78</v>
      </c>
      <c r="E240" s="15" t="s">
        <v>79</v>
      </c>
      <c r="F240" s="13" t="s">
        <v>80</v>
      </c>
      <c r="G240" s="15" t="s">
        <v>81</v>
      </c>
      <c r="H240" s="13" t="s">
        <v>471</v>
      </c>
      <c r="I240" s="15" t="s">
        <v>472</v>
      </c>
      <c r="J240" s="15" t="s">
        <v>473</v>
      </c>
      <c r="K240" s="15" t="s">
        <v>474</v>
      </c>
      <c r="L240" s="13" t="s">
        <v>477</v>
      </c>
      <c r="M240" s="15" t="s">
        <v>478</v>
      </c>
      <c r="N240" s="13" t="s">
        <v>101</v>
      </c>
      <c r="O240" s="15"/>
      <c r="P240" s="15"/>
      <c r="Q240" s="15" t="s">
        <v>91</v>
      </c>
      <c r="R240" s="13" t="s">
        <v>92</v>
      </c>
      <c r="S240" s="13" t="s">
        <v>93</v>
      </c>
      <c r="T240" s="13" t="s">
        <v>94</v>
      </c>
      <c r="U240" s="14">
        <v>40725</v>
      </c>
      <c r="V240" s="14">
        <v>42481</v>
      </c>
      <c r="W240" s="15"/>
      <c r="X240" s="13"/>
      <c r="Y240" s="15"/>
      <c r="Z240" s="13"/>
      <c r="AA240" s="15"/>
      <c r="AB240" s="13"/>
      <c r="AC240" s="15"/>
      <c r="AD240" s="13"/>
      <c r="AE240" s="15"/>
      <c r="AF240" s="13"/>
      <c r="AG240" s="15"/>
      <c r="AH240" s="13"/>
      <c r="AI240" s="15"/>
      <c r="AJ240" s="13"/>
      <c r="AK240" s="15"/>
      <c r="AL240" s="13"/>
      <c r="AM240" s="15"/>
      <c r="AN240" s="13"/>
      <c r="AO240" s="15"/>
      <c r="AP240" s="13"/>
      <c r="AQ240" s="15"/>
      <c r="AR240" s="13"/>
      <c r="AS240" s="15"/>
      <c r="AT240" s="13"/>
      <c r="AU240" s="15"/>
      <c r="AV240" s="13"/>
      <c r="AW240" s="15"/>
      <c r="AX240" s="13"/>
      <c r="AY240" s="15"/>
      <c r="AZ240" s="13"/>
      <c r="BA240" s="15"/>
      <c r="BB240" s="13"/>
      <c r="BC240" s="15"/>
      <c r="BD240" s="13"/>
      <c r="BE240" s="15"/>
      <c r="BF240" s="13"/>
      <c r="BG240" s="15"/>
      <c r="BH240" s="13"/>
      <c r="BI240" s="15"/>
      <c r="BJ240" s="13"/>
      <c r="BK240" s="15"/>
      <c r="BL240" s="13"/>
      <c r="BM240" s="15"/>
      <c r="BN240" s="13"/>
      <c r="BO240" s="15"/>
      <c r="BP240" s="13"/>
      <c r="BQ240" s="15"/>
      <c r="BR240" s="13"/>
      <c r="BS240" s="15"/>
      <c r="BT240" s="13"/>
      <c r="BU240" s="15"/>
      <c r="BV240" s="13"/>
      <c r="BW240" s="15"/>
    </row>
    <row r="241" spans="1:75" ht="43.5" x14ac:dyDescent="0.35">
      <c r="A241" s="13" t="s">
        <v>76</v>
      </c>
      <c r="B241" s="13" t="s">
        <v>77</v>
      </c>
      <c r="C241" s="14">
        <v>43152.5</v>
      </c>
      <c r="D241" s="13" t="s">
        <v>78</v>
      </c>
      <c r="E241" s="15" t="s">
        <v>79</v>
      </c>
      <c r="F241" s="13" t="s">
        <v>80</v>
      </c>
      <c r="G241" s="15" t="s">
        <v>81</v>
      </c>
      <c r="H241" s="13" t="s">
        <v>471</v>
      </c>
      <c r="I241" s="15" t="s">
        <v>472</v>
      </c>
      <c r="J241" s="15" t="s">
        <v>473</v>
      </c>
      <c r="K241" s="15" t="s">
        <v>474</v>
      </c>
      <c r="L241" s="13" t="s">
        <v>475</v>
      </c>
      <c r="M241" s="15" t="s">
        <v>476</v>
      </c>
      <c r="N241" s="13" t="s">
        <v>379</v>
      </c>
      <c r="O241" s="15"/>
      <c r="P241" s="15"/>
      <c r="Q241" s="15" t="s">
        <v>104</v>
      </c>
      <c r="R241" s="13" t="s">
        <v>105</v>
      </c>
      <c r="S241" s="13" t="s">
        <v>93</v>
      </c>
      <c r="T241" s="13" t="s">
        <v>94</v>
      </c>
      <c r="U241" s="14">
        <v>40725</v>
      </c>
      <c r="V241" s="14">
        <v>42481</v>
      </c>
      <c r="W241" s="15"/>
      <c r="X241" s="13"/>
      <c r="Y241" s="15"/>
      <c r="Z241" s="13"/>
      <c r="AA241" s="15"/>
      <c r="AB241" s="13"/>
      <c r="AC241" s="15"/>
      <c r="AD241" s="13"/>
      <c r="AE241" s="15"/>
      <c r="AF241" s="13"/>
      <c r="AG241" s="15"/>
      <c r="AH241" s="13"/>
      <c r="AI241" s="15"/>
      <c r="AJ241" s="13"/>
      <c r="AK241" s="15"/>
      <c r="AL241" s="13"/>
      <c r="AM241" s="15"/>
      <c r="AN241" s="13"/>
      <c r="AO241" s="15"/>
      <c r="AP241" s="13"/>
      <c r="AQ241" s="15"/>
      <c r="AR241" s="13"/>
      <c r="AS241" s="15"/>
      <c r="AT241" s="13"/>
      <c r="AU241" s="15"/>
      <c r="AV241" s="13"/>
      <c r="AW241" s="15"/>
      <c r="AX241" s="13"/>
      <c r="AY241" s="15"/>
      <c r="AZ241" s="13"/>
      <c r="BA241" s="15"/>
      <c r="BB241" s="13"/>
      <c r="BC241" s="15"/>
      <c r="BD241" s="13"/>
      <c r="BE241" s="15"/>
      <c r="BF241" s="13"/>
      <c r="BG241" s="15"/>
      <c r="BH241" s="13"/>
      <c r="BI241" s="15"/>
      <c r="BJ241" s="13"/>
      <c r="BK241" s="15"/>
      <c r="BL241" s="13"/>
      <c r="BM241" s="15"/>
      <c r="BN241" s="13"/>
      <c r="BO241" s="15"/>
      <c r="BP241" s="13"/>
      <c r="BQ241" s="15"/>
      <c r="BR241" s="13"/>
      <c r="BS241" s="15"/>
      <c r="BT241" s="13"/>
      <c r="BU241" s="15"/>
      <c r="BV241" s="13"/>
      <c r="BW241" s="15"/>
    </row>
    <row r="242" spans="1:75" ht="43.5" x14ac:dyDescent="0.35">
      <c r="A242" s="13" t="s">
        <v>76</v>
      </c>
      <c r="B242" s="13" t="s">
        <v>77</v>
      </c>
      <c r="C242" s="14">
        <v>43152.5</v>
      </c>
      <c r="D242" s="13" t="s">
        <v>78</v>
      </c>
      <c r="E242" s="15" t="s">
        <v>79</v>
      </c>
      <c r="F242" s="13" t="s">
        <v>80</v>
      </c>
      <c r="G242" s="15" t="s">
        <v>81</v>
      </c>
      <c r="H242" s="13" t="s">
        <v>471</v>
      </c>
      <c r="I242" s="15" t="s">
        <v>472</v>
      </c>
      <c r="J242" s="15" t="s">
        <v>473</v>
      </c>
      <c r="K242" s="15" t="s">
        <v>474</v>
      </c>
      <c r="L242" s="13" t="s">
        <v>477</v>
      </c>
      <c r="M242" s="15" t="s">
        <v>478</v>
      </c>
      <c r="N242" s="13" t="s">
        <v>101</v>
      </c>
      <c r="O242" s="15"/>
      <c r="P242" s="15"/>
      <c r="Q242" s="15" t="s">
        <v>104</v>
      </c>
      <c r="R242" s="13" t="s">
        <v>105</v>
      </c>
      <c r="S242" s="13" t="s">
        <v>93</v>
      </c>
      <c r="T242" s="13" t="s">
        <v>94</v>
      </c>
      <c r="U242" s="14">
        <v>40725</v>
      </c>
      <c r="V242" s="14">
        <v>42481</v>
      </c>
      <c r="W242" s="15"/>
      <c r="X242" s="13"/>
      <c r="Y242" s="15"/>
      <c r="Z242" s="13"/>
      <c r="AA242" s="15"/>
      <c r="AB242" s="13"/>
      <c r="AC242" s="15"/>
      <c r="AD242" s="13"/>
      <c r="AE242" s="15"/>
      <c r="AF242" s="13"/>
      <c r="AG242" s="15"/>
      <c r="AH242" s="13"/>
      <c r="AI242" s="15"/>
      <c r="AJ242" s="13"/>
      <c r="AK242" s="15"/>
      <c r="AL242" s="13"/>
      <c r="AM242" s="15"/>
      <c r="AN242" s="13"/>
      <c r="AO242" s="15"/>
      <c r="AP242" s="13"/>
      <c r="AQ242" s="15"/>
      <c r="AR242" s="13"/>
      <c r="AS242" s="15"/>
      <c r="AT242" s="13"/>
      <c r="AU242" s="15"/>
      <c r="AV242" s="13"/>
      <c r="AW242" s="15"/>
      <c r="AX242" s="13"/>
      <c r="AY242" s="15"/>
      <c r="AZ242" s="13"/>
      <c r="BA242" s="15"/>
      <c r="BB242" s="13"/>
      <c r="BC242" s="15"/>
      <c r="BD242" s="13"/>
      <c r="BE242" s="15"/>
      <c r="BF242" s="13"/>
      <c r="BG242" s="15"/>
      <c r="BH242" s="13"/>
      <c r="BI242" s="15"/>
      <c r="BJ242" s="13"/>
      <c r="BK242" s="15"/>
      <c r="BL242" s="13"/>
      <c r="BM242" s="15"/>
      <c r="BN242" s="13"/>
      <c r="BO242" s="15"/>
      <c r="BP242" s="13"/>
      <c r="BQ242" s="15"/>
      <c r="BR242" s="13"/>
      <c r="BS242" s="15"/>
      <c r="BT242" s="13"/>
      <c r="BU242" s="15"/>
      <c r="BV242" s="13"/>
      <c r="BW242" s="15"/>
    </row>
    <row r="243" spans="1:75" ht="43.5" x14ac:dyDescent="0.35">
      <c r="A243" s="13" t="s">
        <v>76</v>
      </c>
      <c r="B243" s="13" t="s">
        <v>77</v>
      </c>
      <c r="C243" s="14">
        <v>43152.5</v>
      </c>
      <c r="D243" s="13" t="s">
        <v>78</v>
      </c>
      <c r="E243" s="15" t="s">
        <v>79</v>
      </c>
      <c r="F243" s="13" t="s">
        <v>80</v>
      </c>
      <c r="G243" s="15" t="s">
        <v>81</v>
      </c>
      <c r="H243" s="13" t="s">
        <v>471</v>
      </c>
      <c r="I243" s="15" t="s">
        <v>472</v>
      </c>
      <c r="J243" s="15" t="s">
        <v>473</v>
      </c>
      <c r="K243" s="15" t="s">
        <v>474</v>
      </c>
      <c r="L243" s="13" t="s">
        <v>475</v>
      </c>
      <c r="M243" s="15" t="s">
        <v>476</v>
      </c>
      <c r="N243" s="13" t="s">
        <v>379</v>
      </c>
      <c r="O243" s="15"/>
      <c r="P243" s="15"/>
      <c r="Q243" s="15" t="s">
        <v>106</v>
      </c>
      <c r="R243" s="13" t="s">
        <v>107</v>
      </c>
      <c r="S243" s="13" t="s">
        <v>93</v>
      </c>
      <c r="T243" s="13" t="s">
        <v>94</v>
      </c>
      <c r="U243" s="14">
        <v>40725</v>
      </c>
      <c r="V243" s="14">
        <v>42481</v>
      </c>
      <c r="W243" s="15"/>
      <c r="X243" s="13"/>
      <c r="Y243" s="15"/>
      <c r="Z243" s="13"/>
      <c r="AA243" s="15"/>
      <c r="AB243" s="13"/>
      <c r="AC243" s="15"/>
      <c r="AD243" s="13"/>
      <c r="AE243" s="15"/>
      <c r="AF243" s="13"/>
      <c r="AG243" s="15"/>
      <c r="AH243" s="13"/>
      <c r="AI243" s="15"/>
      <c r="AJ243" s="13"/>
      <c r="AK243" s="15"/>
      <c r="AL243" s="13"/>
      <c r="AM243" s="15"/>
      <c r="AN243" s="13"/>
      <c r="AO243" s="15"/>
      <c r="AP243" s="13"/>
      <c r="AQ243" s="15"/>
      <c r="AR243" s="13"/>
      <c r="AS243" s="15"/>
      <c r="AT243" s="13"/>
      <c r="AU243" s="15"/>
      <c r="AV243" s="13"/>
      <c r="AW243" s="15"/>
      <c r="AX243" s="13"/>
      <c r="AY243" s="15"/>
      <c r="AZ243" s="13"/>
      <c r="BA243" s="15"/>
      <c r="BB243" s="13"/>
      <c r="BC243" s="15"/>
      <c r="BD243" s="13"/>
      <c r="BE243" s="15"/>
      <c r="BF243" s="13"/>
      <c r="BG243" s="15"/>
      <c r="BH243" s="13"/>
      <c r="BI243" s="15"/>
      <c r="BJ243" s="13"/>
      <c r="BK243" s="15"/>
      <c r="BL243" s="13"/>
      <c r="BM243" s="15"/>
      <c r="BN243" s="13"/>
      <c r="BO243" s="15"/>
      <c r="BP243" s="13"/>
      <c r="BQ243" s="15"/>
      <c r="BR243" s="13"/>
      <c r="BS243" s="15"/>
      <c r="BT243" s="13"/>
      <c r="BU243" s="15"/>
      <c r="BV243" s="13"/>
      <c r="BW243" s="15"/>
    </row>
    <row r="244" spans="1:75" ht="43.5" x14ac:dyDescent="0.35">
      <c r="A244" s="13" t="s">
        <v>76</v>
      </c>
      <c r="B244" s="13" t="s">
        <v>77</v>
      </c>
      <c r="C244" s="14">
        <v>43152.5</v>
      </c>
      <c r="D244" s="13" t="s">
        <v>78</v>
      </c>
      <c r="E244" s="15" t="s">
        <v>79</v>
      </c>
      <c r="F244" s="13" t="s">
        <v>80</v>
      </c>
      <c r="G244" s="15" t="s">
        <v>81</v>
      </c>
      <c r="H244" s="13" t="s">
        <v>471</v>
      </c>
      <c r="I244" s="15" t="s">
        <v>472</v>
      </c>
      <c r="J244" s="15" t="s">
        <v>473</v>
      </c>
      <c r="K244" s="15" t="s">
        <v>474</v>
      </c>
      <c r="L244" s="13" t="s">
        <v>477</v>
      </c>
      <c r="M244" s="15" t="s">
        <v>478</v>
      </c>
      <c r="N244" s="13" t="s">
        <v>101</v>
      </c>
      <c r="O244" s="15"/>
      <c r="P244" s="15"/>
      <c r="Q244" s="15" t="s">
        <v>106</v>
      </c>
      <c r="R244" s="13" t="s">
        <v>107</v>
      </c>
      <c r="S244" s="13" t="s">
        <v>93</v>
      </c>
      <c r="T244" s="13" t="s">
        <v>94</v>
      </c>
      <c r="U244" s="14">
        <v>40725</v>
      </c>
      <c r="V244" s="14">
        <v>42481</v>
      </c>
      <c r="W244" s="15"/>
      <c r="X244" s="13"/>
      <c r="Y244" s="15"/>
      <c r="Z244" s="13"/>
      <c r="AA244" s="15"/>
      <c r="AB244" s="13"/>
      <c r="AC244" s="15"/>
      <c r="AD244" s="13"/>
      <c r="AE244" s="15"/>
      <c r="AF244" s="13"/>
      <c r="AG244" s="15"/>
      <c r="AH244" s="13"/>
      <c r="AI244" s="15"/>
      <c r="AJ244" s="13"/>
      <c r="AK244" s="15"/>
      <c r="AL244" s="13"/>
      <c r="AM244" s="15"/>
      <c r="AN244" s="13"/>
      <c r="AO244" s="15"/>
      <c r="AP244" s="13"/>
      <c r="AQ244" s="15"/>
      <c r="AR244" s="13"/>
      <c r="AS244" s="15"/>
      <c r="AT244" s="13"/>
      <c r="AU244" s="15"/>
      <c r="AV244" s="13"/>
      <c r="AW244" s="15"/>
      <c r="AX244" s="13"/>
      <c r="AY244" s="15"/>
      <c r="AZ244" s="13"/>
      <c r="BA244" s="15"/>
      <c r="BB244" s="13"/>
      <c r="BC244" s="15"/>
      <c r="BD244" s="13"/>
      <c r="BE244" s="15"/>
      <c r="BF244" s="13"/>
      <c r="BG244" s="15"/>
      <c r="BH244" s="13"/>
      <c r="BI244" s="15"/>
      <c r="BJ244" s="13"/>
      <c r="BK244" s="15"/>
      <c r="BL244" s="13"/>
      <c r="BM244" s="15"/>
      <c r="BN244" s="13"/>
      <c r="BO244" s="15"/>
      <c r="BP244" s="13"/>
      <c r="BQ244" s="15"/>
      <c r="BR244" s="13"/>
      <c r="BS244" s="15"/>
      <c r="BT244" s="13"/>
      <c r="BU244" s="15"/>
      <c r="BV244" s="13"/>
      <c r="BW244" s="15"/>
    </row>
    <row r="245" spans="1:75" ht="72.5" x14ac:dyDescent="0.35">
      <c r="A245" s="13" t="s">
        <v>76</v>
      </c>
      <c r="B245" s="13" t="s">
        <v>77</v>
      </c>
      <c r="C245" s="14">
        <v>43152.5</v>
      </c>
      <c r="D245" s="13" t="s">
        <v>78</v>
      </c>
      <c r="E245" s="15" t="s">
        <v>79</v>
      </c>
      <c r="F245" s="13" t="s">
        <v>80</v>
      </c>
      <c r="G245" s="15" t="s">
        <v>81</v>
      </c>
      <c r="H245" s="13" t="s">
        <v>471</v>
      </c>
      <c r="I245" s="15" t="s">
        <v>472</v>
      </c>
      <c r="J245" s="15" t="s">
        <v>473</v>
      </c>
      <c r="K245" s="15" t="s">
        <v>474</v>
      </c>
      <c r="L245" s="13" t="s">
        <v>475</v>
      </c>
      <c r="M245" s="15" t="s">
        <v>476</v>
      </c>
      <c r="N245" s="13" t="s">
        <v>379</v>
      </c>
      <c r="O245" s="15"/>
      <c r="P245" s="15"/>
      <c r="Q245" s="15" t="s">
        <v>110</v>
      </c>
      <c r="R245" s="13" t="s">
        <v>111</v>
      </c>
      <c r="S245" s="13" t="s">
        <v>93</v>
      </c>
      <c r="T245" s="13" t="s">
        <v>112</v>
      </c>
      <c r="U245" s="14">
        <v>40725</v>
      </c>
      <c r="V245" s="14">
        <v>42481</v>
      </c>
      <c r="W245" s="15" t="s">
        <v>479</v>
      </c>
      <c r="X245" s="13"/>
      <c r="Y245" s="15"/>
      <c r="Z245" s="13"/>
      <c r="AA245" s="15"/>
      <c r="AB245" s="13"/>
      <c r="AC245" s="15"/>
      <c r="AD245" s="13"/>
      <c r="AE245" s="15"/>
      <c r="AF245" s="13"/>
      <c r="AG245" s="15"/>
      <c r="AH245" s="13"/>
      <c r="AI245" s="15"/>
      <c r="AJ245" s="13"/>
      <c r="AK245" s="15"/>
      <c r="AL245" s="13"/>
      <c r="AM245" s="15"/>
      <c r="AN245" s="13"/>
      <c r="AO245" s="15"/>
      <c r="AP245" s="13" t="s">
        <v>128</v>
      </c>
      <c r="AQ245" s="15" t="str">
        <f>VLOOKUP(AP245,'Axe 2 Règles de gestion'!$D$2:$F$146,3, FALSE)</f>
        <v>Lors de la demande initiale, l'agent doit être en activité.</v>
      </c>
      <c r="AR245" s="13" t="s">
        <v>130</v>
      </c>
      <c r="AS245" s="15" t="str">
        <f>VLOOKUP(AR245,'Axe 2 Règles de gestion'!$D$2:$F$146,3, FALSE)</f>
        <v>La date de début de la position doit être postérieure ou égale à la date d'entrée dans la FPE ou dans la carrière militaire.</v>
      </c>
      <c r="AT245" s="13" t="s">
        <v>132</v>
      </c>
      <c r="AU245" s="15" t="str">
        <f>VLOOKUP(AT245,'Axe 2 Règles de gestion'!$D$2:$F$146,3, FALSE)</f>
        <v>La date de début de position est à J+1 de la date de fin de position de l'occurrence précédente.</v>
      </c>
      <c r="AV245" s="13" t="s">
        <v>134</v>
      </c>
      <c r="AW245" s="15" t="str">
        <f>VLOOKUP(AV245,'Axe 2 Règles de gestion'!$D$2:$F$146,3, FALSE)</f>
        <v>La date de début de position doit être antérieure ou égale à la date de fin prévisionnelle de position.</v>
      </c>
      <c r="AX245" s="13" t="s">
        <v>136</v>
      </c>
      <c r="AY245" s="15" t="str">
        <f>VLOOKUP(AX245,'Axe 2 Règles de gestion'!$D$2:$F$146,3, FALSE)</f>
        <v>La date de début de position doit être antérieure ou égale à la date de fin réelle de position.</v>
      </c>
      <c r="AZ245" s="13" t="s">
        <v>138</v>
      </c>
      <c r="BA245" s="15" t="str">
        <f>VLOOKUP(AZ245,'Axe 2 Règles de gestion'!$D$2:$F$146,3, FALSE)</f>
        <v>La date de fin prévisionnelle de la position doit être antérieure à la date limite de départ à la retraite.</v>
      </c>
      <c r="BB245" s="13" t="s">
        <v>140</v>
      </c>
      <c r="BC245" s="15" t="str">
        <f>VLOOKUP(BB245,'Axe 2 Règles de gestion'!$D$2:$F$146,3, FALSE)</f>
        <v>La date de fin réelle de la position doit être antérieure à la date limite de départ à la retraite.</v>
      </c>
      <c r="BD245" s="13" t="s">
        <v>389</v>
      </c>
      <c r="BE245" s="15" t="str">
        <f>VLOOKUP(BD245,'Axe 2 Règles de gestion'!$D$2:$F$146,3, FALSE)</f>
        <v>L'indicateur de renouvellement ne doit pas être positionné à Oui.</v>
      </c>
      <c r="BF245" s="13"/>
      <c r="BG245" s="15"/>
      <c r="BH245" s="13"/>
      <c r="BI245" s="15"/>
      <c r="BJ245" s="13"/>
      <c r="BK245" s="15"/>
      <c r="BL245" s="13"/>
      <c r="BM245" s="15"/>
      <c r="BN245" s="13"/>
      <c r="BO245" s="15"/>
      <c r="BP245" s="13"/>
      <c r="BQ245" s="15"/>
      <c r="BR245" s="13"/>
      <c r="BS245" s="15"/>
      <c r="BT245" s="13"/>
      <c r="BU245" s="15"/>
      <c r="BV245" s="13"/>
      <c r="BW245" s="15"/>
    </row>
    <row r="246" spans="1:75" ht="58" x14ac:dyDescent="0.35">
      <c r="A246" s="13" t="s">
        <v>76</v>
      </c>
      <c r="B246" s="13" t="s">
        <v>77</v>
      </c>
      <c r="C246" s="14">
        <v>43152.5</v>
      </c>
      <c r="D246" s="13" t="s">
        <v>78</v>
      </c>
      <c r="E246" s="15" t="s">
        <v>79</v>
      </c>
      <c r="F246" s="13" t="s">
        <v>80</v>
      </c>
      <c r="G246" s="15" t="s">
        <v>81</v>
      </c>
      <c r="H246" s="13" t="s">
        <v>471</v>
      </c>
      <c r="I246" s="15" t="s">
        <v>472</v>
      </c>
      <c r="J246" s="15" t="s">
        <v>473</v>
      </c>
      <c r="K246" s="15" t="s">
        <v>474</v>
      </c>
      <c r="L246" s="13" t="s">
        <v>477</v>
      </c>
      <c r="M246" s="15" t="s">
        <v>478</v>
      </c>
      <c r="N246" s="13" t="s">
        <v>101</v>
      </c>
      <c r="O246" s="15"/>
      <c r="P246" s="15"/>
      <c r="Q246" s="15" t="s">
        <v>110</v>
      </c>
      <c r="R246" s="13" t="s">
        <v>111</v>
      </c>
      <c r="S246" s="13" t="s">
        <v>93</v>
      </c>
      <c r="T246" s="13" t="s">
        <v>112</v>
      </c>
      <c r="U246" s="14">
        <v>40725</v>
      </c>
      <c r="V246" s="14">
        <v>42481</v>
      </c>
      <c r="W246" s="15" t="s">
        <v>480</v>
      </c>
      <c r="X246" s="13"/>
      <c r="Y246" s="15"/>
      <c r="Z246" s="13"/>
      <c r="AA246" s="15"/>
      <c r="AB246" s="13"/>
      <c r="AC246" s="15"/>
      <c r="AD246" s="13"/>
      <c r="AE246" s="15"/>
      <c r="AF246" s="13"/>
      <c r="AG246" s="15"/>
      <c r="AH246" s="13"/>
      <c r="AI246" s="15"/>
      <c r="AJ246" s="13"/>
      <c r="AK246" s="15"/>
      <c r="AL246" s="13"/>
      <c r="AM246" s="15"/>
      <c r="AN246" s="13"/>
      <c r="AO246" s="15"/>
      <c r="AP246" s="13" t="s">
        <v>134</v>
      </c>
      <c r="AQ246" s="15" t="str">
        <f>VLOOKUP(AP246,'Axe 2 Règles de gestion'!$D$2:$F$146,3, FALSE)</f>
        <v>La date de début de position doit être antérieure ou égale à la date de fin prévisionnelle de position.</v>
      </c>
      <c r="AR246" s="13" t="s">
        <v>136</v>
      </c>
      <c r="AS246" s="15" t="str">
        <f>VLOOKUP(AR246,'Axe 2 Règles de gestion'!$D$2:$F$146,3, FALSE)</f>
        <v>La date de début de position doit être antérieure ou égale à la date de fin réelle de position.</v>
      </c>
      <c r="AT246" s="13" t="s">
        <v>138</v>
      </c>
      <c r="AU246" s="15" t="str">
        <f>VLOOKUP(AT246,'Axe 2 Règles de gestion'!$D$2:$F$146,3, FALSE)</f>
        <v>La date de fin prévisionnelle de la position doit être antérieure à la date limite de départ à la retraite.</v>
      </c>
      <c r="AV246" s="13" t="s">
        <v>140</v>
      </c>
      <c r="AW246" s="15" t="str">
        <f>VLOOKUP(AV246,'Axe 2 Règles de gestion'!$D$2:$F$146,3, FALSE)</f>
        <v>La date de fin réelle de la position doit être antérieure à la date limite de départ à la retraite.</v>
      </c>
      <c r="AX246" s="13" t="s">
        <v>389</v>
      </c>
      <c r="AY246" s="15" t="str">
        <f>VLOOKUP(AX246,'Axe 2 Règles de gestion'!$D$2:$F$146,3, FALSE)</f>
        <v>L'indicateur de renouvellement ne doit pas être positionné à Oui.</v>
      </c>
      <c r="AZ246" s="13"/>
      <c r="BA246" s="15"/>
      <c r="BB246" s="13"/>
      <c r="BC246" s="15"/>
      <c r="BD246" s="13"/>
      <c r="BE246" s="15"/>
      <c r="BF246" s="13"/>
      <c r="BG246" s="15"/>
      <c r="BH246" s="13"/>
      <c r="BI246" s="15"/>
      <c r="BJ246" s="13"/>
      <c r="BK246" s="15"/>
      <c r="BL246" s="13"/>
      <c r="BM246" s="15"/>
      <c r="BN246" s="13"/>
      <c r="BO246" s="15"/>
      <c r="BP246" s="13"/>
      <c r="BQ246" s="15"/>
      <c r="BR246" s="13"/>
      <c r="BS246" s="15"/>
      <c r="BT246" s="13"/>
      <c r="BU246" s="15"/>
      <c r="BV246" s="13"/>
      <c r="BW246" s="15"/>
    </row>
    <row r="247" spans="1:75" ht="43.5" x14ac:dyDescent="0.35">
      <c r="A247" s="13" t="s">
        <v>76</v>
      </c>
      <c r="B247" s="13" t="s">
        <v>77</v>
      </c>
      <c r="C247" s="14">
        <v>43152.5</v>
      </c>
      <c r="D247" s="13" t="s">
        <v>78</v>
      </c>
      <c r="E247" s="15" t="s">
        <v>79</v>
      </c>
      <c r="F247" s="13" t="s">
        <v>80</v>
      </c>
      <c r="G247" s="15" t="s">
        <v>81</v>
      </c>
      <c r="H247" s="13" t="s">
        <v>471</v>
      </c>
      <c r="I247" s="15" t="s">
        <v>472</v>
      </c>
      <c r="J247" s="15" t="s">
        <v>473</v>
      </c>
      <c r="K247" s="15" t="s">
        <v>474</v>
      </c>
      <c r="L247" s="13" t="s">
        <v>475</v>
      </c>
      <c r="M247" s="15" t="s">
        <v>476</v>
      </c>
      <c r="N247" s="13" t="s">
        <v>379</v>
      </c>
      <c r="O247" s="15"/>
      <c r="P247" s="15"/>
      <c r="Q247" s="15" t="s">
        <v>175</v>
      </c>
      <c r="R247" s="13" t="s">
        <v>176</v>
      </c>
      <c r="S247" s="13" t="s">
        <v>93</v>
      </c>
      <c r="T247" s="13" t="s">
        <v>94</v>
      </c>
      <c r="U247" s="14">
        <v>40725</v>
      </c>
      <c r="V247" s="14">
        <v>42481</v>
      </c>
      <c r="W247" s="15"/>
      <c r="X247" s="13"/>
      <c r="Y247" s="15"/>
      <c r="Z247" s="13"/>
      <c r="AA247" s="15"/>
      <c r="AB247" s="13"/>
      <c r="AC247" s="15"/>
      <c r="AD247" s="13"/>
      <c r="AE247" s="15"/>
      <c r="AF247" s="13"/>
      <c r="AG247" s="15"/>
      <c r="AH247" s="13"/>
      <c r="AI247" s="15"/>
      <c r="AJ247" s="13"/>
      <c r="AK247" s="15"/>
      <c r="AL247" s="13"/>
      <c r="AM247" s="15"/>
      <c r="AN247" s="13"/>
      <c r="AO247" s="15"/>
      <c r="AP247" s="13"/>
      <c r="AQ247" s="15"/>
      <c r="AR247" s="13"/>
      <c r="AS247" s="15"/>
      <c r="AT247" s="13"/>
      <c r="AU247" s="15"/>
      <c r="AV247" s="13"/>
      <c r="AW247" s="15"/>
      <c r="AX247" s="13"/>
      <c r="AY247" s="15"/>
      <c r="AZ247" s="13"/>
      <c r="BA247" s="15"/>
      <c r="BB247" s="13"/>
      <c r="BC247" s="15"/>
      <c r="BD247" s="13"/>
      <c r="BE247" s="15"/>
      <c r="BF247" s="13"/>
      <c r="BG247" s="15"/>
      <c r="BH247" s="13"/>
      <c r="BI247" s="15"/>
      <c r="BJ247" s="13"/>
      <c r="BK247" s="15"/>
      <c r="BL247" s="13"/>
      <c r="BM247" s="15"/>
      <c r="BN247" s="13"/>
      <c r="BO247" s="15"/>
      <c r="BP247" s="13"/>
      <c r="BQ247" s="15"/>
      <c r="BR247" s="13"/>
      <c r="BS247" s="15"/>
      <c r="BT247" s="13"/>
      <c r="BU247" s="15"/>
      <c r="BV247" s="13"/>
      <c r="BW247" s="15"/>
    </row>
    <row r="248" spans="1:75" ht="43.5" x14ac:dyDescent="0.35">
      <c r="A248" s="13" t="s">
        <v>76</v>
      </c>
      <c r="B248" s="13" t="s">
        <v>77</v>
      </c>
      <c r="C248" s="14">
        <v>43152.5</v>
      </c>
      <c r="D248" s="13" t="s">
        <v>78</v>
      </c>
      <c r="E248" s="15" t="s">
        <v>79</v>
      </c>
      <c r="F248" s="13" t="s">
        <v>80</v>
      </c>
      <c r="G248" s="15" t="s">
        <v>81</v>
      </c>
      <c r="H248" s="13" t="s">
        <v>471</v>
      </c>
      <c r="I248" s="15" t="s">
        <v>472</v>
      </c>
      <c r="J248" s="15" t="s">
        <v>473</v>
      </c>
      <c r="K248" s="15" t="s">
        <v>474</v>
      </c>
      <c r="L248" s="13" t="s">
        <v>477</v>
      </c>
      <c r="M248" s="15" t="s">
        <v>478</v>
      </c>
      <c r="N248" s="13" t="s">
        <v>101</v>
      </c>
      <c r="O248" s="15"/>
      <c r="P248" s="15"/>
      <c r="Q248" s="15" t="s">
        <v>175</v>
      </c>
      <c r="R248" s="13" t="s">
        <v>176</v>
      </c>
      <c r="S248" s="13" t="s">
        <v>93</v>
      </c>
      <c r="T248" s="13" t="s">
        <v>94</v>
      </c>
      <c r="U248" s="14">
        <v>40725</v>
      </c>
      <c r="V248" s="14">
        <v>42481</v>
      </c>
      <c r="W248" s="15"/>
      <c r="X248" s="13"/>
      <c r="Y248" s="15"/>
      <c r="Z248" s="13"/>
      <c r="AA248" s="15"/>
      <c r="AB248" s="13"/>
      <c r="AC248" s="15"/>
      <c r="AD248" s="13"/>
      <c r="AE248" s="15"/>
      <c r="AF248" s="13"/>
      <c r="AG248" s="15"/>
      <c r="AH248" s="13"/>
      <c r="AI248" s="15"/>
      <c r="AJ248" s="13"/>
      <c r="AK248" s="15"/>
      <c r="AL248" s="13"/>
      <c r="AM248" s="15"/>
      <c r="AN248" s="13"/>
      <c r="AO248" s="15"/>
      <c r="AP248" s="13"/>
      <c r="AQ248" s="15"/>
      <c r="AR248" s="13"/>
      <c r="AS248" s="15"/>
      <c r="AT248" s="13"/>
      <c r="AU248" s="15"/>
      <c r="AV248" s="13"/>
      <c r="AW248" s="15"/>
      <c r="AX248" s="13"/>
      <c r="AY248" s="15"/>
      <c r="AZ248" s="13"/>
      <c r="BA248" s="15"/>
      <c r="BB248" s="13"/>
      <c r="BC248" s="15"/>
      <c r="BD248" s="13"/>
      <c r="BE248" s="15"/>
      <c r="BF248" s="13"/>
      <c r="BG248" s="15"/>
      <c r="BH248" s="13"/>
      <c r="BI248" s="15"/>
      <c r="BJ248" s="13"/>
      <c r="BK248" s="15"/>
      <c r="BL248" s="13"/>
      <c r="BM248" s="15"/>
      <c r="BN248" s="13"/>
      <c r="BO248" s="15"/>
      <c r="BP248" s="13"/>
      <c r="BQ248" s="15"/>
      <c r="BR248" s="13"/>
      <c r="BS248" s="15"/>
      <c r="BT248" s="13"/>
      <c r="BU248" s="15"/>
      <c r="BV248" s="13"/>
      <c r="BW248" s="15"/>
    </row>
    <row r="249" spans="1:75" ht="43.5" x14ac:dyDescent="0.35">
      <c r="A249" s="13" t="s">
        <v>76</v>
      </c>
      <c r="B249" s="13" t="s">
        <v>77</v>
      </c>
      <c r="C249" s="14">
        <v>43152.5</v>
      </c>
      <c r="D249" s="13" t="s">
        <v>78</v>
      </c>
      <c r="E249" s="15" t="s">
        <v>79</v>
      </c>
      <c r="F249" s="13" t="s">
        <v>80</v>
      </c>
      <c r="G249" s="15" t="s">
        <v>81</v>
      </c>
      <c r="H249" s="13" t="s">
        <v>471</v>
      </c>
      <c r="I249" s="15" t="s">
        <v>472</v>
      </c>
      <c r="J249" s="15" t="s">
        <v>473</v>
      </c>
      <c r="K249" s="15" t="s">
        <v>474</v>
      </c>
      <c r="L249" s="13" t="s">
        <v>475</v>
      </c>
      <c r="M249" s="15" t="s">
        <v>476</v>
      </c>
      <c r="N249" s="13" t="s">
        <v>379</v>
      </c>
      <c r="O249" s="15"/>
      <c r="P249" s="15"/>
      <c r="Q249" s="15" t="s">
        <v>177</v>
      </c>
      <c r="R249" s="13" t="s">
        <v>178</v>
      </c>
      <c r="S249" s="13" t="s">
        <v>179</v>
      </c>
      <c r="T249" s="13" t="s">
        <v>94</v>
      </c>
      <c r="U249" s="14">
        <v>40725</v>
      </c>
      <c r="V249" s="14">
        <v>42481</v>
      </c>
      <c r="W249" s="15"/>
      <c r="X249" s="13"/>
      <c r="Y249" s="15"/>
      <c r="Z249" s="13"/>
      <c r="AA249" s="15"/>
      <c r="AB249" s="13"/>
      <c r="AC249" s="15"/>
      <c r="AD249" s="13"/>
      <c r="AE249" s="15"/>
      <c r="AF249" s="13"/>
      <c r="AG249" s="15"/>
      <c r="AH249" s="13"/>
      <c r="AI249" s="15"/>
      <c r="AJ249" s="13"/>
      <c r="AK249" s="15"/>
      <c r="AL249" s="13"/>
      <c r="AM249" s="15"/>
      <c r="AN249" s="13"/>
      <c r="AO249" s="15"/>
      <c r="AP249" s="13"/>
      <c r="AQ249" s="15"/>
      <c r="AR249" s="13"/>
      <c r="AS249" s="15"/>
      <c r="AT249" s="13"/>
      <c r="AU249" s="15"/>
      <c r="AV249" s="13"/>
      <c r="AW249" s="15"/>
      <c r="AX249" s="13"/>
      <c r="AY249" s="15"/>
      <c r="AZ249" s="13"/>
      <c r="BA249" s="15"/>
      <c r="BB249" s="13"/>
      <c r="BC249" s="15"/>
      <c r="BD249" s="13"/>
      <c r="BE249" s="15"/>
      <c r="BF249" s="13"/>
      <c r="BG249" s="15"/>
      <c r="BH249" s="13"/>
      <c r="BI249" s="15"/>
      <c r="BJ249" s="13"/>
      <c r="BK249" s="15"/>
      <c r="BL249" s="13"/>
      <c r="BM249" s="15"/>
      <c r="BN249" s="13"/>
      <c r="BO249" s="15"/>
      <c r="BP249" s="13"/>
      <c r="BQ249" s="15"/>
      <c r="BR249" s="13"/>
      <c r="BS249" s="15"/>
      <c r="BT249" s="13"/>
      <c r="BU249" s="15"/>
      <c r="BV249" s="13"/>
      <c r="BW249" s="15"/>
    </row>
    <row r="250" spans="1:75" ht="43.5" x14ac:dyDescent="0.35">
      <c r="A250" s="13" t="s">
        <v>76</v>
      </c>
      <c r="B250" s="13" t="s">
        <v>77</v>
      </c>
      <c r="C250" s="14">
        <v>43152.5</v>
      </c>
      <c r="D250" s="13" t="s">
        <v>78</v>
      </c>
      <c r="E250" s="15" t="s">
        <v>79</v>
      </c>
      <c r="F250" s="13" t="s">
        <v>80</v>
      </c>
      <c r="G250" s="15" t="s">
        <v>81</v>
      </c>
      <c r="H250" s="13" t="s">
        <v>471</v>
      </c>
      <c r="I250" s="15" t="s">
        <v>472</v>
      </c>
      <c r="J250" s="15" t="s">
        <v>473</v>
      </c>
      <c r="K250" s="15" t="s">
        <v>474</v>
      </c>
      <c r="L250" s="13" t="s">
        <v>477</v>
      </c>
      <c r="M250" s="15" t="s">
        <v>478</v>
      </c>
      <c r="N250" s="13" t="s">
        <v>101</v>
      </c>
      <c r="O250" s="15"/>
      <c r="P250" s="15"/>
      <c r="Q250" s="15" t="s">
        <v>177</v>
      </c>
      <c r="R250" s="13" t="s">
        <v>178</v>
      </c>
      <c r="S250" s="13" t="s">
        <v>179</v>
      </c>
      <c r="T250" s="13" t="s">
        <v>94</v>
      </c>
      <c r="U250" s="14">
        <v>40725</v>
      </c>
      <c r="V250" s="14">
        <v>42481</v>
      </c>
      <c r="W250" s="15"/>
      <c r="X250" s="13"/>
      <c r="Y250" s="15"/>
      <c r="Z250" s="13"/>
      <c r="AA250" s="15"/>
      <c r="AB250" s="13"/>
      <c r="AC250" s="15"/>
      <c r="AD250" s="13"/>
      <c r="AE250" s="15"/>
      <c r="AF250" s="13"/>
      <c r="AG250" s="15"/>
      <c r="AH250" s="13"/>
      <c r="AI250" s="15"/>
      <c r="AJ250" s="13"/>
      <c r="AK250" s="15"/>
      <c r="AL250" s="13"/>
      <c r="AM250" s="15"/>
      <c r="AN250" s="13"/>
      <c r="AO250" s="15"/>
      <c r="AP250" s="13"/>
      <c r="AQ250" s="15"/>
      <c r="AR250" s="13"/>
      <c r="AS250" s="15"/>
      <c r="AT250" s="13"/>
      <c r="AU250" s="15"/>
      <c r="AV250" s="13"/>
      <c r="AW250" s="15"/>
      <c r="AX250" s="13"/>
      <c r="AY250" s="15"/>
      <c r="AZ250" s="13"/>
      <c r="BA250" s="15"/>
      <c r="BB250" s="13"/>
      <c r="BC250" s="15"/>
      <c r="BD250" s="13"/>
      <c r="BE250" s="15"/>
      <c r="BF250" s="13"/>
      <c r="BG250" s="15"/>
      <c r="BH250" s="13"/>
      <c r="BI250" s="15"/>
      <c r="BJ250" s="13"/>
      <c r="BK250" s="15"/>
      <c r="BL250" s="13"/>
      <c r="BM250" s="15"/>
      <c r="BN250" s="13"/>
      <c r="BO250" s="15"/>
      <c r="BP250" s="13"/>
      <c r="BQ250" s="15"/>
      <c r="BR250" s="13"/>
      <c r="BS250" s="15"/>
      <c r="BT250" s="13"/>
      <c r="BU250" s="15"/>
      <c r="BV250" s="13"/>
      <c r="BW250" s="15"/>
    </row>
    <row r="251" spans="1:75" ht="72.5" x14ac:dyDescent="0.35">
      <c r="A251" s="13" t="s">
        <v>76</v>
      </c>
      <c r="B251" s="13" t="s">
        <v>77</v>
      </c>
      <c r="C251" s="14">
        <v>43152.5</v>
      </c>
      <c r="D251" s="13" t="s">
        <v>78</v>
      </c>
      <c r="E251" s="15" t="s">
        <v>79</v>
      </c>
      <c r="F251" s="13" t="s">
        <v>80</v>
      </c>
      <c r="G251" s="15" t="s">
        <v>81</v>
      </c>
      <c r="H251" s="13" t="s">
        <v>471</v>
      </c>
      <c r="I251" s="15" t="s">
        <v>472</v>
      </c>
      <c r="J251" s="15" t="s">
        <v>473</v>
      </c>
      <c r="K251" s="15" t="s">
        <v>474</v>
      </c>
      <c r="L251" s="13" t="s">
        <v>475</v>
      </c>
      <c r="M251" s="15" t="s">
        <v>476</v>
      </c>
      <c r="N251" s="13" t="s">
        <v>379</v>
      </c>
      <c r="O251" s="15"/>
      <c r="P251" s="15"/>
      <c r="Q251" s="15" t="s">
        <v>201</v>
      </c>
      <c r="R251" s="13" t="s">
        <v>202</v>
      </c>
      <c r="S251" s="13" t="s">
        <v>179</v>
      </c>
      <c r="T251" s="13" t="s">
        <v>112</v>
      </c>
      <c r="U251" s="14">
        <v>40725</v>
      </c>
      <c r="V251" s="14">
        <v>42481</v>
      </c>
      <c r="W251" s="15" t="s">
        <v>481</v>
      </c>
      <c r="X251" s="13"/>
      <c r="Y251" s="15"/>
      <c r="Z251" s="13"/>
      <c r="AA251" s="15"/>
      <c r="AB251" s="13"/>
      <c r="AC251" s="15"/>
      <c r="AD251" s="13"/>
      <c r="AE251" s="15"/>
      <c r="AF251" s="13"/>
      <c r="AG251" s="15"/>
      <c r="AH251" s="13"/>
      <c r="AI251" s="15"/>
      <c r="AJ251" s="13"/>
      <c r="AK251" s="15"/>
      <c r="AL251" s="13"/>
      <c r="AM251" s="15"/>
      <c r="AN251" s="13"/>
      <c r="AO251" s="15"/>
      <c r="AP251" s="13" t="s">
        <v>128</v>
      </c>
      <c r="AQ251" s="15" t="str">
        <f>VLOOKUP(AP251,'Axe 2 Règles de gestion'!$D$2:$F$146,3, FALSE)</f>
        <v>Lors de la demande initiale, l'agent doit être en activité.</v>
      </c>
      <c r="AR251" s="13" t="s">
        <v>132</v>
      </c>
      <c r="AS251" s="15" t="str">
        <f>VLOOKUP(AR251,'Axe 2 Règles de gestion'!$D$2:$F$146,3, FALSE)</f>
        <v>La date de début de position est à J+1 de la date de fin de position de l'occurrence précédente.</v>
      </c>
      <c r="AT251" s="13" t="s">
        <v>134</v>
      </c>
      <c r="AU251" s="15" t="str">
        <f>VLOOKUP(AT251,'Axe 2 Règles de gestion'!$D$2:$F$146,3, FALSE)</f>
        <v>La date de début de position doit être antérieure ou égale à la date de fin prévisionnelle de position.</v>
      </c>
      <c r="AV251" s="13" t="s">
        <v>136</v>
      </c>
      <c r="AW251" s="15" t="str">
        <f>VLOOKUP(AV251,'Axe 2 Règles de gestion'!$D$2:$F$146,3, FALSE)</f>
        <v>La date de début de position doit être antérieure ou égale à la date de fin réelle de position.</v>
      </c>
      <c r="AX251" s="13" t="s">
        <v>138</v>
      </c>
      <c r="AY251" s="15" t="str">
        <f>VLOOKUP(AX251,'Axe 2 Règles de gestion'!$D$2:$F$146,3, FALSE)</f>
        <v>La date de fin prévisionnelle de la position doit être antérieure à la date limite de départ à la retraite.</v>
      </c>
      <c r="AZ251" s="13" t="s">
        <v>140</v>
      </c>
      <c r="BA251" s="15" t="str">
        <f>VLOOKUP(AZ251,'Axe 2 Règles de gestion'!$D$2:$F$146,3, FALSE)</f>
        <v>La date de fin réelle de la position doit être antérieure à la date limite de départ à la retraite.</v>
      </c>
      <c r="BB251" s="13" t="s">
        <v>389</v>
      </c>
      <c r="BC251" s="15" t="str">
        <f>VLOOKUP(BB251,'Axe 2 Règles de gestion'!$D$2:$F$146,3, FALSE)</f>
        <v>L'indicateur de renouvellement ne doit pas être positionné à Oui.</v>
      </c>
      <c r="BD251" s="13" t="s">
        <v>211</v>
      </c>
      <c r="BE251" s="15" t="str">
        <f>VLOOKUP(BD251,'Axe 2 Règles de gestion'!$D$2:$F$146,3, FALSE)</f>
        <v>La date de début de la position doit être postérieure ou égale à la date de début du lien juridique.</v>
      </c>
      <c r="BF251" s="13" t="s">
        <v>213</v>
      </c>
      <c r="BG251" s="15" t="str">
        <f>VLOOKUP(BF251,'Axe 2 Règles de gestion'!$D$2:$F$146,3, FALSE)</f>
        <v>La date de fin réelle de la position doit être antérieure ou égale à la date de fin réelle ou prévisionnelle du lien juridique.</v>
      </c>
      <c r="BH251" s="13" t="s">
        <v>215</v>
      </c>
      <c r="BI251" s="15" t="str">
        <f>VLOOKUP(BH251,'Axe 2 Règles de gestion'!$D$2:$F$146,3, FALSE)</f>
        <v>La date de fin prévisionnelle de la position doit être antérieure ou égale à la date de fin réelle ou prévisionnelle du lien juridique.</v>
      </c>
      <c r="BJ251" s="13"/>
      <c r="BK251" s="15"/>
      <c r="BL251" s="13"/>
      <c r="BM251" s="15"/>
      <c r="BN251" s="13"/>
      <c r="BO251" s="15"/>
      <c r="BP251" s="13"/>
      <c r="BQ251" s="15"/>
      <c r="BR251" s="13"/>
      <c r="BS251" s="15"/>
      <c r="BT251" s="13"/>
      <c r="BU251" s="15"/>
      <c r="BV251" s="13"/>
      <c r="BW251" s="15"/>
    </row>
    <row r="252" spans="1:75" ht="72.5" x14ac:dyDescent="0.35">
      <c r="A252" s="13" t="s">
        <v>76</v>
      </c>
      <c r="B252" s="13" t="s">
        <v>77</v>
      </c>
      <c r="C252" s="14">
        <v>43152.5</v>
      </c>
      <c r="D252" s="13" t="s">
        <v>78</v>
      </c>
      <c r="E252" s="15" t="s">
        <v>79</v>
      </c>
      <c r="F252" s="13" t="s">
        <v>80</v>
      </c>
      <c r="G252" s="15" t="s">
        <v>81</v>
      </c>
      <c r="H252" s="13" t="s">
        <v>471</v>
      </c>
      <c r="I252" s="15" t="s">
        <v>472</v>
      </c>
      <c r="J252" s="15" t="s">
        <v>473</v>
      </c>
      <c r="K252" s="15" t="s">
        <v>474</v>
      </c>
      <c r="L252" s="13" t="s">
        <v>477</v>
      </c>
      <c r="M252" s="15" t="s">
        <v>478</v>
      </c>
      <c r="N252" s="13" t="s">
        <v>101</v>
      </c>
      <c r="O252" s="15"/>
      <c r="P252" s="15"/>
      <c r="Q252" s="15" t="s">
        <v>201</v>
      </c>
      <c r="R252" s="13" t="s">
        <v>202</v>
      </c>
      <c r="S252" s="13" t="s">
        <v>179</v>
      </c>
      <c r="T252" s="13" t="s">
        <v>112</v>
      </c>
      <c r="U252" s="14">
        <v>40725</v>
      </c>
      <c r="V252" s="14">
        <v>42481</v>
      </c>
      <c r="W252" s="15" t="s">
        <v>482</v>
      </c>
      <c r="X252" s="13"/>
      <c r="Y252" s="15"/>
      <c r="Z252" s="13"/>
      <c r="AA252" s="15"/>
      <c r="AB252" s="13"/>
      <c r="AC252" s="15"/>
      <c r="AD252" s="13"/>
      <c r="AE252" s="15"/>
      <c r="AF252" s="13"/>
      <c r="AG252" s="15"/>
      <c r="AH252" s="13"/>
      <c r="AI252" s="15"/>
      <c r="AJ252" s="13"/>
      <c r="AK252" s="15"/>
      <c r="AL252" s="13"/>
      <c r="AM252" s="15"/>
      <c r="AN252" s="13"/>
      <c r="AO252" s="15"/>
      <c r="AP252" s="13" t="s">
        <v>134</v>
      </c>
      <c r="AQ252" s="15" t="str">
        <f>VLOOKUP(AP252,'Axe 2 Règles de gestion'!$D$2:$F$146,3, FALSE)</f>
        <v>La date de début de position doit être antérieure ou égale à la date de fin prévisionnelle de position.</v>
      </c>
      <c r="AR252" s="13" t="s">
        <v>136</v>
      </c>
      <c r="AS252" s="15" t="str">
        <f>VLOOKUP(AR252,'Axe 2 Règles de gestion'!$D$2:$F$146,3, FALSE)</f>
        <v>La date de début de position doit être antérieure ou égale à la date de fin réelle de position.</v>
      </c>
      <c r="AT252" s="13" t="s">
        <v>138</v>
      </c>
      <c r="AU252" s="15" t="str">
        <f>VLOOKUP(AT252,'Axe 2 Règles de gestion'!$D$2:$F$146,3, FALSE)</f>
        <v>La date de fin prévisionnelle de la position doit être antérieure à la date limite de départ à la retraite.</v>
      </c>
      <c r="AV252" s="13" t="s">
        <v>140</v>
      </c>
      <c r="AW252" s="15" t="str">
        <f>VLOOKUP(AV252,'Axe 2 Règles de gestion'!$D$2:$F$146,3, FALSE)</f>
        <v>La date de fin réelle de la position doit être antérieure à la date limite de départ à la retraite.</v>
      </c>
      <c r="AX252" s="13" t="s">
        <v>389</v>
      </c>
      <c r="AY252" s="15" t="str">
        <f>VLOOKUP(AX252,'Axe 2 Règles de gestion'!$D$2:$F$146,3, FALSE)</f>
        <v>L'indicateur de renouvellement ne doit pas être positionné à Oui.</v>
      </c>
      <c r="AZ252" s="13" t="s">
        <v>213</v>
      </c>
      <c r="BA252" s="15" t="str">
        <f>VLOOKUP(AZ252,'Axe 2 Règles de gestion'!$D$2:$F$146,3, FALSE)</f>
        <v>La date de fin réelle de la position doit être antérieure ou égale à la date de fin réelle ou prévisionnelle du lien juridique.</v>
      </c>
      <c r="BB252" s="13" t="s">
        <v>215</v>
      </c>
      <c r="BC252" s="15" t="str">
        <f>VLOOKUP(BB252,'Axe 2 Règles de gestion'!$D$2:$F$146,3, FALSE)</f>
        <v>La date de fin prévisionnelle de la position doit être antérieure ou égale à la date de fin réelle ou prévisionnelle du lien juridique.</v>
      </c>
      <c r="BD252" s="13"/>
      <c r="BE252" s="15"/>
      <c r="BF252" s="13"/>
      <c r="BG252" s="15"/>
      <c r="BH252" s="13"/>
      <c r="BI252" s="15"/>
      <c r="BJ252" s="13"/>
      <c r="BK252" s="15"/>
      <c r="BL252" s="13"/>
      <c r="BM252" s="15"/>
      <c r="BN252" s="13"/>
      <c r="BO252" s="15"/>
      <c r="BP252" s="13"/>
      <c r="BQ252" s="15"/>
      <c r="BR252" s="13"/>
      <c r="BS252" s="15"/>
      <c r="BT252" s="13"/>
      <c r="BU252" s="15"/>
      <c r="BV252" s="13"/>
      <c r="BW252" s="15"/>
    </row>
    <row r="253" spans="1:75" ht="72.5" x14ac:dyDescent="0.35">
      <c r="A253" s="13" t="s">
        <v>76</v>
      </c>
      <c r="B253" s="13" t="s">
        <v>77</v>
      </c>
      <c r="C253" s="14">
        <v>43152.5</v>
      </c>
      <c r="D253" s="13" t="s">
        <v>78</v>
      </c>
      <c r="E253" s="15" t="s">
        <v>79</v>
      </c>
      <c r="F253" s="13" t="s">
        <v>80</v>
      </c>
      <c r="G253" s="15" t="s">
        <v>81</v>
      </c>
      <c r="H253" s="13" t="s">
        <v>483</v>
      </c>
      <c r="I253" s="15" t="s">
        <v>484</v>
      </c>
      <c r="J253" s="15" t="s">
        <v>485</v>
      </c>
      <c r="K253" s="15" t="s">
        <v>486</v>
      </c>
      <c r="L253" s="13" t="s">
        <v>487</v>
      </c>
      <c r="M253" s="15" t="s">
        <v>488</v>
      </c>
      <c r="N253" s="13" t="s">
        <v>88</v>
      </c>
      <c r="O253" s="15" t="s">
        <v>89</v>
      </c>
      <c r="P253" s="15" t="s">
        <v>90</v>
      </c>
      <c r="Q253" s="15" t="s">
        <v>91</v>
      </c>
      <c r="R253" s="13" t="s">
        <v>92</v>
      </c>
      <c r="S253" s="13" t="s">
        <v>93</v>
      </c>
      <c r="T253" s="13" t="s">
        <v>94</v>
      </c>
      <c r="U253" s="14">
        <v>40725</v>
      </c>
      <c r="V253" s="14"/>
      <c r="W253" s="15"/>
      <c r="X253" s="13"/>
      <c r="Y253" s="15"/>
      <c r="Z253" s="13"/>
      <c r="AA253" s="15"/>
      <c r="AB253" s="13"/>
      <c r="AC253" s="15"/>
      <c r="AD253" s="13"/>
      <c r="AE253" s="15"/>
      <c r="AF253" s="13"/>
      <c r="AG253" s="15"/>
      <c r="AH253" s="13"/>
      <c r="AI253" s="15"/>
      <c r="AJ253" s="13"/>
      <c r="AK253" s="15"/>
      <c r="AL253" s="13"/>
      <c r="AM253" s="15"/>
      <c r="AN253" s="13"/>
      <c r="AO253" s="15"/>
      <c r="AP253" s="13"/>
      <c r="AQ253" s="15"/>
      <c r="AR253" s="13"/>
      <c r="AS253" s="15"/>
      <c r="AT253" s="13"/>
      <c r="AU253" s="15"/>
      <c r="AV253" s="13"/>
      <c r="AW253" s="15"/>
      <c r="AX253" s="13"/>
      <c r="AY253" s="15"/>
      <c r="AZ253" s="13"/>
      <c r="BA253" s="15"/>
      <c r="BB253" s="13"/>
      <c r="BC253" s="15"/>
      <c r="BD253" s="13"/>
      <c r="BE253" s="15"/>
      <c r="BF253" s="13"/>
      <c r="BG253" s="15"/>
      <c r="BH253" s="13"/>
      <c r="BI253" s="15"/>
      <c r="BJ253" s="13"/>
      <c r="BK253" s="15"/>
      <c r="BL253" s="13"/>
      <c r="BM253" s="15"/>
      <c r="BN253" s="13"/>
      <c r="BO253" s="15"/>
      <c r="BP253" s="13"/>
      <c r="BQ253" s="15"/>
      <c r="BR253" s="13"/>
      <c r="BS253" s="15"/>
      <c r="BT253" s="13"/>
      <c r="BU253" s="15"/>
      <c r="BV253" s="13"/>
      <c r="BW253" s="15"/>
    </row>
    <row r="254" spans="1:75" ht="72.5" x14ac:dyDescent="0.35">
      <c r="A254" s="13" t="s">
        <v>76</v>
      </c>
      <c r="B254" s="13" t="s">
        <v>77</v>
      </c>
      <c r="C254" s="14">
        <v>43152.5</v>
      </c>
      <c r="D254" s="13" t="s">
        <v>78</v>
      </c>
      <c r="E254" s="15" t="s">
        <v>79</v>
      </c>
      <c r="F254" s="13" t="s">
        <v>80</v>
      </c>
      <c r="G254" s="15" t="s">
        <v>81</v>
      </c>
      <c r="H254" s="13" t="s">
        <v>483</v>
      </c>
      <c r="I254" s="15" t="s">
        <v>484</v>
      </c>
      <c r="J254" s="15" t="s">
        <v>485</v>
      </c>
      <c r="K254" s="15" t="s">
        <v>486</v>
      </c>
      <c r="L254" s="13" t="s">
        <v>489</v>
      </c>
      <c r="M254" s="15" t="s">
        <v>490</v>
      </c>
      <c r="N254" s="13" t="s">
        <v>88</v>
      </c>
      <c r="O254" s="15" t="s">
        <v>97</v>
      </c>
      <c r="P254" s="15" t="s">
        <v>98</v>
      </c>
      <c r="Q254" s="15" t="s">
        <v>91</v>
      </c>
      <c r="R254" s="13" t="s">
        <v>92</v>
      </c>
      <c r="S254" s="13" t="s">
        <v>93</v>
      </c>
      <c r="T254" s="13" t="s">
        <v>94</v>
      </c>
      <c r="U254" s="14">
        <v>40725</v>
      </c>
      <c r="V254" s="14"/>
      <c r="W254" s="15"/>
      <c r="X254" s="13"/>
      <c r="Y254" s="15"/>
      <c r="Z254" s="13"/>
      <c r="AA254" s="15"/>
      <c r="AB254" s="13"/>
      <c r="AC254" s="15"/>
      <c r="AD254" s="13"/>
      <c r="AE254" s="15"/>
      <c r="AF254" s="13"/>
      <c r="AG254" s="15"/>
      <c r="AH254" s="13"/>
      <c r="AI254" s="15"/>
      <c r="AJ254" s="13"/>
      <c r="AK254" s="15"/>
      <c r="AL254" s="13"/>
      <c r="AM254" s="15"/>
      <c r="AN254" s="13"/>
      <c r="AO254" s="15"/>
      <c r="AP254" s="13"/>
      <c r="AQ254" s="15"/>
      <c r="AR254" s="13"/>
      <c r="AS254" s="15"/>
      <c r="AT254" s="13"/>
      <c r="AU254" s="15"/>
      <c r="AV254" s="13"/>
      <c r="AW254" s="15"/>
      <c r="AX254" s="13"/>
      <c r="AY254" s="15"/>
      <c r="AZ254" s="13"/>
      <c r="BA254" s="15"/>
      <c r="BB254" s="13"/>
      <c r="BC254" s="15"/>
      <c r="BD254" s="13"/>
      <c r="BE254" s="15"/>
      <c r="BF254" s="13"/>
      <c r="BG254" s="15"/>
      <c r="BH254" s="13"/>
      <c r="BI254" s="15"/>
      <c r="BJ254" s="13"/>
      <c r="BK254" s="15"/>
      <c r="BL254" s="13"/>
      <c r="BM254" s="15"/>
      <c r="BN254" s="13"/>
      <c r="BO254" s="15"/>
      <c r="BP254" s="13"/>
      <c r="BQ254" s="15"/>
      <c r="BR254" s="13"/>
      <c r="BS254" s="15"/>
      <c r="BT254" s="13"/>
      <c r="BU254" s="15"/>
      <c r="BV254" s="13"/>
      <c r="BW254" s="15"/>
    </row>
    <row r="255" spans="1:75" ht="43.5" x14ac:dyDescent="0.35">
      <c r="A255" s="13" t="s">
        <v>76</v>
      </c>
      <c r="B255" s="13" t="s">
        <v>77</v>
      </c>
      <c r="C255" s="14">
        <v>43152.5</v>
      </c>
      <c r="D255" s="13" t="s">
        <v>78</v>
      </c>
      <c r="E255" s="15" t="s">
        <v>79</v>
      </c>
      <c r="F255" s="13" t="s">
        <v>80</v>
      </c>
      <c r="G255" s="15" t="s">
        <v>81</v>
      </c>
      <c r="H255" s="13" t="s">
        <v>483</v>
      </c>
      <c r="I255" s="15" t="s">
        <v>484</v>
      </c>
      <c r="J255" s="15" t="s">
        <v>485</v>
      </c>
      <c r="K255" s="15" t="s">
        <v>486</v>
      </c>
      <c r="L255" s="13" t="s">
        <v>491</v>
      </c>
      <c r="M255" s="15" t="s">
        <v>492</v>
      </c>
      <c r="N255" s="13" t="s">
        <v>101</v>
      </c>
      <c r="O255" s="15" t="s">
        <v>102</v>
      </c>
      <c r="P255" s="15" t="s">
        <v>103</v>
      </c>
      <c r="Q255" s="15" t="s">
        <v>91</v>
      </c>
      <c r="R255" s="13" t="s">
        <v>92</v>
      </c>
      <c r="S255" s="13" t="s">
        <v>93</v>
      </c>
      <c r="T255" s="13" t="s">
        <v>94</v>
      </c>
      <c r="U255" s="14">
        <v>40725</v>
      </c>
      <c r="V255" s="14"/>
      <c r="W255" s="15"/>
      <c r="X255" s="13"/>
      <c r="Y255" s="15"/>
      <c r="Z255" s="13"/>
      <c r="AA255" s="15"/>
      <c r="AB255" s="13"/>
      <c r="AC255" s="15"/>
      <c r="AD255" s="13"/>
      <c r="AE255" s="15"/>
      <c r="AF255" s="13"/>
      <c r="AG255" s="15"/>
      <c r="AH255" s="13"/>
      <c r="AI255" s="15"/>
      <c r="AJ255" s="13"/>
      <c r="AK255" s="15"/>
      <c r="AL255" s="13"/>
      <c r="AM255" s="15"/>
      <c r="AN255" s="13"/>
      <c r="AO255" s="15"/>
      <c r="AP255" s="13"/>
      <c r="AQ255" s="15"/>
      <c r="AR255" s="13"/>
      <c r="AS255" s="15"/>
      <c r="AT255" s="13"/>
      <c r="AU255" s="15"/>
      <c r="AV255" s="13"/>
      <c r="AW255" s="15"/>
      <c r="AX255" s="13"/>
      <c r="AY255" s="15"/>
      <c r="AZ255" s="13"/>
      <c r="BA255" s="15"/>
      <c r="BB255" s="13"/>
      <c r="BC255" s="15"/>
      <c r="BD255" s="13"/>
      <c r="BE255" s="15"/>
      <c r="BF255" s="13"/>
      <c r="BG255" s="15"/>
      <c r="BH255" s="13"/>
      <c r="BI255" s="15"/>
      <c r="BJ255" s="13"/>
      <c r="BK255" s="15"/>
      <c r="BL255" s="13"/>
      <c r="BM255" s="15"/>
      <c r="BN255" s="13"/>
      <c r="BO255" s="15"/>
      <c r="BP255" s="13"/>
      <c r="BQ255" s="15"/>
      <c r="BR255" s="13"/>
      <c r="BS255" s="15"/>
      <c r="BT255" s="13"/>
      <c r="BU255" s="15"/>
      <c r="BV255" s="13"/>
      <c r="BW255" s="15"/>
    </row>
    <row r="256" spans="1:75" ht="72.5" x14ac:dyDescent="0.35">
      <c r="A256" s="13" t="s">
        <v>76</v>
      </c>
      <c r="B256" s="13" t="s">
        <v>77</v>
      </c>
      <c r="C256" s="14">
        <v>43152.5</v>
      </c>
      <c r="D256" s="13" t="s">
        <v>78</v>
      </c>
      <c r="E256" s="15" t="s">
        <v>79</v>
      </c>
      <c r="F256" s="13" t="s">
        <v>80</v>
      </c>
      <c r="G256" s="15" t="s">
        <v>81</v>
      </c>
      <c r="H256" s="13" t="s">
        <v>483</v>
      </c>
      <c r="I256" s="15" t="s">
        <v>484</v>
      </c>
      <c r="J256" s="15" t="s">
        <v>485</v>
      </c>
      <c r="K256" s="15" t="s">
        <v>486</v>
      </c>
      <c r="L256" s="13" t="s">
        <v>487</v>
      </c>
      <c r="M256" s="15" t="s">
        <v>488</v>
      </c>
      <c r="N256" s="13" t="s">
        <v>88</v>
      </c>
      <c r="O256" s="15" t="s">
        <v>89</v>
      </c>
      <c r="P256" s="15" t="s">
        <v>90</v>
      </c>
      <c r="Q256" s="15" t="s">
        <v>104</v>
      </c>
      <c r="R256" s="13" t="s">
        <v>105</v>
      </c>
      <c r="S256" s="13" t="s">
        <v>93</v>
      </c>
      <c r="T256" s="13" t="s">
        <v>94</v>
      </c>
      <c r="U256" s="14">
        <v>40725</v>
      </c>
      <c r="V256" s="14"/>
      <c r="W256" s="15"/>
      <c r="X256" s="13"/>
      <c r="Y256" s="15"/>
      <c r="Z256" s="13"/>
      <c r="AA256" s="15"/>
      <c r="AB256" s="13"/>
      <c r="AC256" s="15"/>
      <c r="AD256" s="13"/>
      <c r="AE256" s="15"/>
      <c r="AF256" s="13"/>
      <c r="AG256" s="15"/>
      <c r="AH256" s="13"/>
      <c r="AI256" s="15"/>
      <c r="AJ256" s="13"/>
      <c r="AK256" s="15"/>
      <c r="AL256" s="13"/>
      <c r="AM256" s="15"/>
      <c r="AN256" s="13"/>
      <c r="AO256" s="15"/>
      <c r="AP256" s="13"/>
      <c r="AQ256" s="15"/>
      <c r="AR256" s="13"/>
      <c r="AS256" s="15"/>
      <c r="AT256" s="13"/>
      <c r="AU256" s="15"/>
      <c r="AV256" s="13"/>
      <c r="AW256" s="15"/>
      <c r="AX256" s="13"/>
      <c r="AY256" s="15"/>
      <c r="AZ256" s="13"/>
      <c r="BA256" s="15"/>
      <c r="BB256" s="13"/>
      <c r="BC256" s="15"/>
      <c r="BD256" s="13"/>
      <c r="BE256" s="15"/>
      <c r="BF256" s="13"/>
      <c r="BG256" s="15"/>
      <c r="BH256" s="13"/>
      <c r="BI256" s="15"/>
      <c r="BJ256" s="13"/>
      <c r="BK256" s="15"/>
      <c r="BL256" s="13"/>
      <c r="BM256" s="15"/>
      <c r="BN256" s="13"/>
      <c r="BO256" s="15"/>
      <c r="BP256" s="13"/>
      <c r="BQ256" s="15"/>
      <c r="BR256" s="13"/>
      <c r="BS256" s="15"/>
      <c r="BT256" s="13"/>
      <c r="BU256" s="15"/>
      <c r="BV256" s="13"/>
      <c r="BW256" s="15"/>
    </row>
    <row r="257" spans="1:75" ht="72.5" x14ac:dyDescent="0.35">
      <c r="A257" s="13" t="s">
        <v>76</v>
      </c>
      <c r="B257" s="13" t="s">
        <v>77</v>
      </c>
      <c r="C257" s="14">
        <v>43152.5</v>
      </c>
      <c r="D257" s="13" t="s">
        <v>78</v>
      </c>
      <c r="E257" s="15" t="s">
        <v>79</v>
      </c>
      <c r="F257" s="13" t="s">
        <v>80</v>
      </c>
      <c r="G257" s="15" t="s">
        <v>81</v>
      </c>
      <c r="H257" s="13" t="s">
        <v>483</v>
      </c>
      <c r="I257" s="15" t="s">
        <v>484</v>
      </c>
      <c r="J257" s="15" t="s">
        <v>485</v>
      </c>
      <c r="K257" s="15" t="s">
        <v>486</v>
      </c>
      <c r="L257" s="13" t="s">
        <v>489</v>
      </c>
      <c r="M257" s="15" t="s">
        <v>490</v>
      </c>
      <c r="N257" s="13" t="s">
        <v>88</v>
      </c>
      <c r="O257" s="15" t="s">
        <v>97</v>
      </c>
      <c r="P257" s="15" t="s">
        <v>98</v>
      </c>
      <c r="Q257" s="15" t="s">
        <v>104</v>
      </c>
      <c r="R257" s="13" t="s">
        <v>105</v>
      </c>
      <c r="S257" s="13" t="s">
        <v>93</v>
      </c>
      <c r="T257" s="13" t="s">
        <v>94</v>
      </c>
      <c r="U257" s="14">
        <v>40725</v>
      </c>
      <c r="V257" s="14"/>
      <c r="W257" s="15"/>
      <c r="X257" s="13"/>
      <c r="Y257" s="15"/>
      <c r="Z257" s="13"/>
      <c r="AA257" s="15"/>
      <c r="AB257" s="13"/>
      <c r="AC257" s="15"/>
      <c r="AD257" s="13"/>
      <c r="AE257" s="15"/>
      <c r="AF257" s="13"/>
      <c r="AG257" s="15"/>
      <c r="AH257" s="13"/>
      <c r="AI257" s="15"/>
      <c r="AJ257" s="13"/>
      <c r="AK257" s="15"/>
      <c r="AL257" s="13"/>
      <c r="AM257" s="15"/>
      <c r="AN257" s="13"/>
      <c r="AO257" s="15"/>
      <c r="AP257" s="13"/>
      <c r="AQ257" s="15"/>
      <c r="AR257" s="13"/>
      <c r="AS257" s="15"/>
      <c r="AT257" s="13"/>
      <c r="AU257" s="15"/>
      <c r="AV257" s="13"/>
      <c r="AW257" s="15"/>
      <c r="AX257" s="13"/>
      <c r="AY257" s="15"/>
      <c r="AZ257" s="13"/>
      <c r="BA257" s="15"/>
      <c r="BB257" s="13"/>
      <c r="BC257" s="15"/>
      <c r="BD257" s="13"/>
      <c r="BE257" s="15"/>
      <c r="BF257" s="13"/>
      <c r="BG257" s="15"/>
      <c r="BH257" s="13"/>
      <c r="BI257" s="15"/>
      <c r="BJ257" s="13"/>
      <c r="BK257" s="15"/>
      <c r="BL257" s="13"/>
      <c r="BM257" s="15"/>
      <c r="BN257" s="13"/>
      <c r="BO257" s="15"/>
      <c r="BP257" s="13"/>
      <c r="BQ257" s="15"/>
      <c r="BR257" s="13"/>
      <c r="BS257" s="15"/>
      <c r="BT257" s="13"/>
      <c r="BU257" s="15"/>
      <c r="BV257" s="13"/>
      <c r="BW257" s="15"/>
    </row>
    <row r="258" spans="1:75" ht="43.5" x14ac:dyDescent="0.35">
      <c r="A258" s="13" t="s">
        <v>76</v>
      </c>
      <c r="B258" s="13" t="s">
        <v>77</v>
      </c>
      <c r="C258" s="14">
        <v>43152.5</v>
      </c>
      <c r="D258" s="13" t="s">
        <v>78</v>
      </c>
      <c r="E258" s="15" t="s">
        <v>79</v>
      </c>
      <c r="F258" s="13" t="s">
        <v>80</v>
      </c>
      <c r="G258" s="15" t="s">
        <v>81</v>
      </c>
      <c r="H258" s="13" t="s">
        <v>483</v>
      </c>
      <c r="I258" s="15" t="s">
        <v>484</v>
      </c>
      <c r="J258" s="15" t="s">
        <v>485</v>
      </c>
      <c r="K258" s="15" t="s">
        <v>486</v>
      </c>
      <c r="L258" s="13" t="s">
        <v>491</v>
      </c>
      <c r="M258" s="15" t="s">
        <v>492</v>
      </c>
      <c r="N258" s="13" t="s">
        <v>101</v>
      </c>
      <c r="O258" s="15" t="s">
        <v>102</v>
      </c>
      <c r="P258" s="15" t="s">
        <v>103</v>
      </c>
      <c r="Q258" s="15" t="s">
        <v>104</v>
      </c>
      <c r="R258" s="13" t="s">
        <v>105</v>
      </c>
      <c r="S258" s="13" t="s">
        <v>93</v>
      </c>
      <c r="T258" s="13" t="s">
        <v>94</v>
      </c>
      <c r="U258" s="14">
        <v>40725</v>
      </c>
      <c r="V258" s="14"/>
      <c r="W258" s="15"/>
      <c r="X258" s="13"/>
      <c r="Y258" s="15"/>
      <c r="Z258" s="13"/>
      <c r="AA258" s="15"/>
      <c r="AB258" s="13"/>
      <c r="AC258" s="15"/>
      <c r="AD258" s="13"/>
      <c r="AE258" s="15"/>
      <c r="AF258" s="13"/>
      <c r="AG258" s="15"/>
      <c r="AH258" s="13"/>
      <c r="AI258" s="15"/>
      <c r="AJ258" s="13"/>
      <c r="AK258" s="15"/>
      <c r="AL258" s="13"/>
      <c r="AM258" s="15"/>
      <c r="AN258" s="13"/>
      <c r="AO258" s="15"/>
      <c r="AP258" s="13"/>
      <c r="AQ258" s="15"/>
      <c r="AR258" s="13"/>
      <c r="AS258" s="15"/>
      <c r="AT258" s="13"/>
      <c r="AU258" s="15"/>
      <c r="AV258" s="13"/>
      <c r="AW258" s="15"/>
      <c r="AX258" s="13"/>
      <c r="AY258" s="15"/>
      <c r="AZ258" s="13"/>
      <c r="BA258" s="15"/>
      <c r="BB258" s="13"/>
      <c r="BC258" s="15"/>
      <c r="BD258" s="13"/>
      <c r="BE258" s="15"/>
      <c r="BF258" s="13"/>
      <c r="BG258" s="15"/>
      <c r="BH258" s="13"/>
      <c r="BI258" s="15"/>
      <c r="BJ258" s="13"/>
      <c r="BK258" s="15"/>
      <c r="BL258" s="13"/>
      <c r="BM258" s="15"/>
      <c r="BN258" s="13"/>
      <c r="BO258" s="15"/>
      <c r="BP258" s="13"/>
      <c r="BQ258" s="15"/>
      <c r="BR258" s="13"/>
      <c r="BS258" s="15"/>
      <c r="BT258" s="13"/>
      <c r="BU258" s="15"/>
      <c r="BV258" s="13"/>
      <c r="BW258" s="15"/>
    </row>
    <row r="259" spans="1:75" ht="72.5" x14ac:dyDescent="0.35">
      <c r="A259" s="13" t="s">
        <v>76</v>
      </c>
      <c r="B259" s="13" t="s">
        <v>77</v>
      </c>
      <c r="C259" s="14">
        <v>43152.5</v>
      </c>
      <c r="D259" s="13" t="s">
        <v>78</v>
      </c>
      <c r="E259" s="15" t="s">
        <v>79</v>
      </c>
      <c r="F259" s="13" t="s">
        <v>80</v>
      </c>
      <c r="G259" s="15" t="s">
        <v>81</v>
      </c>
      <c r="H259" s="13" t="s">
        <v>483</v>
      </c>
      <c r="I259" s="15" t="s">
        <v>484</v>
      </c>
      <c r="J259" s="15" t="s">
        <v>485</v>
      </c>
      <c r="K259" s="15" t="s">
        <v>486</v>
      </c>
      <c r="L259" s="13" t="s">
        <v>487</v>
      </c>
      <c r="M259" s="15" t="s">
        <v>488</v>
      </c>
      <c r="N259" s="13" t="s">
        <v>88</v>
      </c>
      <c r="O259" s="15" t="s">
        <v>89</v>
      </c>
      <c r="P259" s="15" t="s">
        <v>90</v>
      </c>
      <c r="Q259" s="15" t="s">
        <v>106</v>
      </c>
      <c r="R259" s="13" t="s">
        <v>107</v>
      </c>
      <c r="S259" s="13" t="s">
        <v>93</v>
      </c>
      <c r="T259" s="13" t="s">
        <v>94</v>
      </c>
      <c r="U259" s="14">
        <v>40725</v>
      </c>
      <c r="V259" s="14"/>
      <c r="W259" s="15"/>
      <c r="X259" s="13"/>
      <c r="Y259" s="15"/>
      <c r="Z259" s="13"/>
      <c r="AA259" s="15"/>
      <c r="AB259" s="13"/>
      <c r="AC259" s="15"/>
      <c r="AD259" s="13"/>
      <c r="AE259" s="15"/>
      <c r="AF259" s="13"/>
      <c r="AG259" s="15"/>
      <c r="AH259" s="13"/>
      <c r="AI259" s="15"/>
      <c r="AJ259" s="13"/>
      <c r="AK259" s="15"/>
      <c r="AL259" s="13"/>
      <c r="AM259" s="15"/>
      <c r="AN259" s="13"/>
      <c r="AO259" s="15"/>
      <c r="AP259" s="13"/>
      <c r="AQ259" s="15"/>
      <c r="AR259" s="13"/>
      <c r="AS259" s="15"/>
      <c r="AT259" s="13"/>
      <c r="AU259" s="15"/>
      <c r="AV259" s="13"/>
      <c r="AW259" s="15"/>
      <c r="AX259" s="13"/>
      <c r="AY259" s="15"/>
      <c r="AZ259" s="13"/>
      <c r="BA259" s="15"/>
      <c r="BB259" s="13"/>
      <c r="BC259" s="15"/>
      <c r="BD259" s="13"/>
      <c r="BE259" s="15"/>
      <c r="BF259" s="13"/>
      <c r="BG259" s="15"/>
      <c r="BH259" s="13"/>
      <c r="BI259" s="15"/>
      <c r="BJ259" s="13"/>
      <c r="BK259" s="15"/>
      <c r="BL259" s="13"/>
      <c r="BM259" s="15"/>
      <c r="BN259" s="13"/>
      <c r="BO259" s="15"/>
      <c r="BP259" s="13"/>
      <c r="BQ259" s="15"/>
      <c r="BR259" s="13"/>
      <c r="BS259" s="15"/>
      <c r="BT259" s="13"/>
      <c r="BU259" s="15"/>
      <c r="BV259" s="13"/>
      <c r="BW259" s="15"/>
    </row>
    <row r="260" spans="1:75" ht="72.5" x14ac:dyDescent="0.35">
      <c r="A260" s="13" t="s">
        <v>76</v>
      </c>
      <c r="B260" s="13" t="s">
        <v>77</v>
      </c>
      <c r="C260" s="14">
        <v>43152.5</v>
      </c>
      <c r="D260" s="13" t="s">
        <v>78</v>
      </c>
      <c r="E260" s="15" t="s">
        <v>79</v>
      </c>
      <c r="F260" s="13" t="s">
        <v>80</v>
      </c>
      <c r="G260" s="15" t="s">
        <v>81</v>
      </c>
      <c r="H260" s="13" t="s">
        <v>483</v>
      </c>
      <c r="I260" s="15" t="s">
        <v>484</v>
      </c>
      <c r="J260" s="15" t="s">
        <v>485</v>
      </c>
      <c r="K260" s="15" t="s">
        <v>486</v>
      </c>
      <c r="L260" s="13" t="s">
        <v>489</v>
      </c>
      <c r="M260" s="15" t="s">
        <v>490</v>
      </c>
      <c r="N260" s="13" t="s">
        <v>88</v>
      </c>
      <c r="O260" s="15" t="s">
        <v>97</v>
      </c>
      <c r="P260" s="15" t="s">
        <v>98</v>
      </c>
      <c r="Q260" s="15" t="s">
        <v>106</v>
      </c>
      <c r="R260" s="13" t="s">
        <v>107</v>
      </c>
      <c r="S260" s="13" t="s">
        <v>93</v>
      </c>
      <c r="T260" s="13" t="s">
        <v>94</v>
      </c>
      <c r="U260" s="14">
        <v>40725</v>
      </c>
      <c r="V260" s="14"/>
      <c r="W260" s="15"/>
      <c r="X260" s="13"/>
      <c r="Y260" s="15"/>
      <c r="Z260" s="13"/>
      <c r="AA260" s="15"/>
      <c r="AB260" s="13"/>
      <c r="AC260" s="15"/>
      <c r="AD260" s="13"/>
      <c r="AE260" s="15"/>
      <c r="AF260" s="13"/>
      <c r="AG260" s="15"/>
      <c r="AH260" s="13"/>
      <c r="AI260" s="15"/>
      <c r="AJ260" s="13"/>
      <c r="AK260" s="15"/>
      <c r="AL260" s="13"/>
      <c r="AM260" s="15"/>
      <c r="AN260" s="13"/>
      <c r="AO260" s="15"/>
      <c r="AP260" s="13"/>
      <c r="AQ260" s="15"/>
      <c r="AR260" s="13"/>
      <c r="AS260" s="15"/>
      <c r="AT260" s="13"/>
      <c r="AU260" s="15"/>
      <c r="AV260" s="13"/>
      <c r="AW260" s="15"/>
      <c r="AX260" s="13"/>
      <c r="AY260" s="15"/>
      <c r="AZ260" s="13"/>
      <c r="BA260" s="15"/>
      <c r="BB260" s="13"/>
      <c r="BC260" s="15"/>
      <c r="BD260" s="13"/>
      <c r="BE260" s="15"/>
      <c r="BF260" s="13"/>
      <c r="BG260" s="15"/>
      <c r="BH260" s="13"/>
      <c r="BI260" s="15"/>
      <c r="BJ260" s="13"/>
      <c r="BK260" s="15"/>
      <c r="BL260" s="13"/>
      <c r="BM260" s="15"/>
      <c r="BN260" s="13"/>
      <c r="BO260" s="15"/>
      <c r="BP260" s="13"/>
      <c r="BQ260" s="15"/>
      <c r="BR260" s="13"/>
      <c r="BS260" s="15"/>
      <c r="BT260" s="13"/>
      <c r="BU260" s="15"/>
      <c r="BV260" s="13"/>
      <c r="BW260" s="15"/>
    </row>
    <row r="261" spans="1:75" ht="43.5" x14ac:dyDescent="0.35">
      <c r="A261" s="13" t="s">
        <v>76</v>
      </c>
      <c r="B261" s="13" t="s">
        <v>77</v>
      </c>
      <c r="C261" s="14">
        <v>43152.5</v>
      </c>
      <c r="D261" s="13" t="s">
        <v>78</v>
      </c>
      <c r="E261" s="15" t="s">
        <v>79</v>
      </c>
      <c r="F261" s="13" t="s">
        <v>80</v>
      </c>
      <c r="G261" s="15" t="s">
        <v>81</v>
      </c>
      <c r="H261" s="13" t="s">
        <v>483</v>
      </c>
      <c r="I261" s="15" t="s">
        <v>484</v>
      </c>
      <c r="J261" s="15" t="s">
        <v>485</v>
      </c>
      <c r="K261" s="15" t="s">
        <v>486</v>
      </c>
      <c r="L261" s="13" t="s">
        <v>491</v>
      </c>
      <c r="M261" s="15" t="s">
        <v>492</v>
      </c>
      <c r="N261" s="13" t="s">
        <v>101</v>
      </c>
      <c r="O261" s="15" t="s">
        <v>102</v>
      </c>
      <c r="P261" s="15" t="s">
        <v>103</v>
      </c>
      <c r="Q261" s="15" t="s">
        <v>106</v>
      </c>
      <c r="R261" s="13" t="s">
        <v>107</v>
      </c>
      <c r="S261" s="13" t="s">
        <v>93</v>
      </c>
      <c r="T261" s="13" t="s">
        <v>94</v>
      </c>
      <c r="U261" s="14">
        <v>40725</v>
      </c>
      <c r="V261" s="14"/>
      <c r="W261" s="15"/>
      <c r="X261" s="13"/>
      <c r="Y261" s="15"/>
      <c r="Z261" s="13"/>
      <c r="AA261" s="15"/>
      <c r="AB261" s="13"/>
      <c r="AC261" s="15"/>
      <c r="AD261" s="13"/>
      <c r="AE261" s="15"/>
      <c r="AF261" s="13"/>
      <c r="AG261" s="15"/>
      <c r="AH261" s="13"/>
      <c r="AI261" s="15"/>
      <c r="AJ261" s="13"/>
      <c r="AK261" s="15"/>
      <c r="AL261" s="13"/>
      <c r="AM261" s="15"/>
      <c r="AN261" s="13"/>
      <c r="AO261" s="15"/>
      <c r="AP261" s="13"/>
      <c r="AQ261" s="15"/>
      <c r="AR261" s="13"/>
      <c r="AS261" s="15"/>
      <c r="AT261" s="13"/>
      <c r="AU261" s="15"/>
      <c r="AV261" s="13"/>
      <c r="AW261" s="15"/>
      <c r="AX261" s="13"/>
      <c r="AY261" s="15"/>
      <c r="AZ261" s="13"/>
      <c r="BA261" s="15"/>
      <c r="BB261" s="13"/>
      <c r="BC261" s="15"/>
      <c r="BD261" s="13"/>
      <c r="BE261" s="15"/>
      <c r="BF261" s="13"/>
      <c r="BG261" s="15"/>
      <c r="BH261" s="13"/>
      <c r="BI261" s="15"/>
      <c r="BJ261" s="13"/>
      <c r="BK261" s="15"/>
      <c r="BL261" s="13"/>
      <c r="BM261" s="15"/>
      <c r="BN261" s="13"/>
      <c r="BO261" s="15"/>
      <c r="BP261" s="13"/>
      <c r="BQ261" s="15"/>
      <c r="BR261" s="13"/>
      <c r="BS261" s="15"/>
      <c r="BT261" s="13"/>
      <c r="BU261" s="15"/>
      <c r="BV261" s="13"/>
      <c r="BW261" s="15"/>
    </row>
    <row r="262" spans="1:75" ht="145" x14ac:dyDescent="0.35">
      <c r="A262" s="13" t="s">
        <v>165</v>
      </c>
      <c r="B262" s="13" t="s">
        <v>109</v>
      </c>
      <c r="C262" s="14">
        <v>44715.457638888889</v>
      </c>
      <c r="D262" s="13" t="s">
        <v>78</v>
      </c>
      <c r="E262" s="15" t="s">
        <v>79</v>
      </c>
      <c r="F262" s="13" t="s">
        <v>80</v>
      </c>
      <c r="G262" s="15" t="s">
        <v>81</v>
      </c>
      <c r="H262" s="13" t="s">
        <v>483</v>
      </c>
      <c r="I262" s="15" t="s">
        <v>484</v>
      </c>
      <c r="J262" s="15" t="s">
        <v>485</v>
      </c>
      <c r="K262" s="15" t="s">
        <v>486</v>
      </c>
      <c r="L262" s="13" t="s">
        <v>487</v>
      </c>
      <c r="M262" s="15" t="s">
        <v>488</v>
      </c>
      <c r="N262" s="13" t="s">
        <v>88</v>
      </c>
      <c r="O262" s="15" t="s">
        <v>89</v>
      </c>
      <c r="P262" s="15" t="s">
        <v>90</v>
      </c>
      <c r="Q262" s="15" t="s">
        <v>110</v>
      </c>
      <c r="R262" s="13" t="s">
        <v>111</v>
      </c>
      <c r="S262" s="13" t="s">
        <v>93</v>
      </c>
      <c r="T262" s="13" t="s">
        <v>112</v>
      </c>
      <c r="U262" s="14">
        <v>40725</v>
      </c>
      <c r="V262" s="14">
        <v>44633</v>
      </c>
      <c r="W262" s="15" t="s">
        <v>493</v>
      </c>
      <c r="X262" s="13" t="s">
        <v>494</v>
      </c>
      <c r="Y262" s="15" t="str">
        <f>VLOOKUP(X262,'Axe 2 Règles de gestion'!$D$2:$F$146,3, FALSE)</f>
        <v>Le congé sans traitement est accordé après avis du comité médical.</v>
      </c>
      <c r="Z262" s="13"/>
      <c r="AA262" s="15"/>
      <c r="AB262" s="13"/>
      <c r="AC262" s="15"/>
      <c r="AD262" s="13"/>
      <c r="AE262" s="15"/>
      <c r="AF262" s="13" t="s">
        <v>496</v>
      </c>
      <c r="AG262" s="15" t="str">
        <f>VLOOKUP(AF262,'Axe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62" s="13" t="s">
        <v>498</v>
      </c>
      <c r="AI262" s="15" t="str">
        <f>VLOOKUP(AH262,'Axe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62" s="13"/>
      <c r="AK262" s="15"/>
      <c r="AL262" s="13"/>
      <c r="AM262" s="15"/>
      <c r="AN262" s="13"/>
      <c r="AO262" s="15"/>
      <c r="AP262" s="13" t="s">
        <v>128</v>
      </c>
      <c r="AQ262" s="15" t="str">
        <f>VLOOKUP(AP262,'Axe 2 Règles de gestion'!$D$2:$F$146,3, FALSE)</f>
        <v>Lors de la demande initiale, l'agent doit être en activité.</v>
      </c>
      <c r="AR262" s="13" t="s">
        <v>130</v>
      </c>
      <c r="AS262" s="15" t="str">
        <f>VLOOKUP(AR262,'Axe 2 Règles de gestion'!$D$2:$F$146,3, FALSE)</f>
        <v>La date de début de la position doit être postérieure ou égale à la date d'entrée dans la FPE ou dans la carrière militaire.</v>
      </c>
      <c r="AT262" s="13" t="s">
        <v>132</v>
      </c>
      <c r="AU262" s="15" t="str">
        <f>VLOOKUP(AT262,'Axe 2 Règles de gestion'!$D$2:$F$146,3, FALSE)</f>
        <v>La date de début de position est à J+1 de la date de fin de position de l'occurrence précédente.</v>
      </c>
      <c r="AV262" s="13" t="s">
        <v>134</v>
      </c>
      <c r="AW262" s="15" t="str">
        <f>VLOOKUP(AV262,'Axe 2 Règles de gestion'!$D$2:$F$146,3, FALSE)</f>
        <v>La date de début de position doit être antérieure ou égale à la date de fin prévisionnelle de position.</v>
      </c>
      <c r="AX262" s="13" t="s">
        <v>136</v>
      </c>
      <c r="AY262" s="15" t="str">
        <f>VLOOKUP(AX262,'Axe 2 Règles de gestion'!$D$2:$F$146,3, FALSE)</f>
        <v>La date de début de position doit être antérieure ou égale à la date de fin réelle de position.</v>
      </c>
      <c r="AZ262" s="13" t="s">
        <v>138</v>
      </c>
      <c r="BA262" s="15" t="str">
        <f>VLOOKUP(AZ262,'Axe 2 Règles de gestion'!$D$2:$F$146,3, FALSE)</f>
        <v>La date de fin prévisionnelle de la position doit être antérieure à la date limite de départ à la retraite.</v>
      </c>
      <c r="BB262" s="13" t="s">
        <v>140</v>
      </c>
      <c r="BC262" s="15" t="str">
        <f>VLOOKUP(BB262,'Axe 2 Règles de gestion'!$D$2:$F$146,3, FALSE)</f>
        <v>La date de fin réelle de la position doit être antérieure à la date limite de départ à la retraite.</v>
      </c>
      <c r="BD262" s="13" t="s">
        <v>142</v>
      </c>
      <c r="BE262" s="15" t="str">
        <f>VLOOKUP(BD262,'Axe 2 Règles de gestion'!$D$2:$F$146,3, FALSE)</f>
        <v>La date de fin ou la date de fin prévisionnelle doit être saisie.</v>
      </c>
      <c r="BF262" s="13" t="s">
        <v>152</v>
      </c>
      <c r="BG262" s="15" t="str">
        <f>VLOOKUP(BF262,'Axe 2 Règles de gestion'!$D$2:$F$146,3, FALSE)</f>
        <v>La saisie d'une occurrence de congés/absences est interdite (date de fin réelle)</v>
      </c>
      <c r="BH262" s="13" t="s">
        <v>154</v>
      </c>
      <c r="BI262" s="15" t="str">
        <f>VLOOKUP(BH262,'Axe 2 Règles de gestion'!$D$2:$F$146,3, FALSE)</f>
        <v>La saisie d'une occurrence de congés/absences est interdite (date de fin prévisionnelle)</v>
      </c>
      <c r="BJ262" s="13"/>
      <c r="BK262" s="15"/>
      <c r="BL262" s="13"/>
      <c r="BM262" s="15"/>
      <c r="BN262" s="13"/>
      <c r="BO262" s="15"/>
      <c r="BP262" s="13"/>
      <c r="BQ262" s="15"/>
      <c r="BR262" s="13"/>
      <c r="BS262" s="15"/>
      <c r="BT262" s="13"/>
      <c r="BU262" s="15"/>
      <c r="BV262" s="13"/>
      <c r="BW262" s="15"/>
    </row>
    <row r="263" spans="1:75" ht="145" x14ac:dyDescent="0.35">
      <c r="A263" s="13" t="s">
        <v>165</v>
      </c>
      <c r="B263" s="13" t="s">
        <v>109</v>
      </c>
      <c r="C263" s="14">
        <v>44727.614583333336</v>
      </c>
      <c r="D263" s="13" t="s">
        <v>78</v>
      </c>
      <c r="E263" s="15" t="s">
        <v>79</v>
      </c>
      <c r="F263" s="13" t="s">
        <v>80</v>
      </c>
      <c r="G263" s="15" t="s">
        <v>81</v>
      </c>
      <c r="H263" s="13" t="s">
        <v>483</v>
      </c>
      <c r="I263" s="15" t="s">
        <v>484</v>
      </c>
      <c r="J263" s="15" t="s">
        <v>485</v>
      </c>
      <c r="K263" s="15" t="s">
        <v>486</v>
      </c>
      <c r="L263" s="13" t="s">
        <v>487</v>
      </c>
      <c r="M263" s="15" t="s">
        <v>488</v>
      </c>
      <c r="N263" s="13" t="s">
        <v>88</v>
      </c>
      <c r="O263" s="15" t="s">
        <v>89</v>
      </c>
      <c r="P263" s="15" t="s">
        <v>90</v>
      </c>
      <c r="Q263" s="15" t="s">
        <v>110</v>
      </c>
      <c r="R263" s="13" t="s">
        <v>111</v>
      </c>
      <c r="S263" s="13" t="s">
        <v>93</v>
      </c>
      <c r="T263" s="13" t="s">
        <v>112</v>
      </c>
      <c r="U263" s="14">
        <v>44634</v>
      </c>
      <c r="V263" s="14"/>
      <c r="W263" s="15" t="s">
        <v>500</v>
      </c>
      <c r="X263" s="13" t="s">
        <v>501</v>
      </c>
      <c r="Y263" s="15" t="str">
        <f>VLOOKUP(X263,'Axe 2 Règles de gestion'!$D$2:$F$146,3, FALSE)</f>
        <v>Le congé sans traitement est accordé après avis du conseil médical.</v>
      </c>
      <c r="Z263" s="13"/>
      <c r="AA263" s="15"/>
      <c r="AB263" s="13"/>
      <c r="AC263" s="15"/>
      <c r="AD263" s="13"/>
      <c r="AE263" s="15"/>
      <c r="AF263" s="13" t="s">
        <v>503</v>
      </c>
      <c r="AG263" s="15" t="str">
        <f>VLOOKUP(AF263,'Axe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63" s="13" t="s">
        <v>505</v>
      </c>
      <c r="AI263" s="15" t="str">
        <f>VLOOKUP(AH263,'Axe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63" s="13"/>
      <c r="AK263" s="15"/>
      <c r="AL263" s="13"/>
      <c r="AM263" s="15"/>
      <c r="AN263" s="13"/>
      <c r="AO263" s="15"/>
      <c r="AP263" s="13" t="s">
        <v>128</v>
      </c>
      <c r="AQ263" s="15" t="str">
        <f>VLOOKUP(AP263,'Axe 2 Règles de gestion'!$D$2:$F$146,3, FALSE)</f>
        <v>Lors de la demande initiale, l'agent doit être en activité.</v>
      </c>
      <c r="AR263" s="13" t="s">
        <v>130</v>
      </c>
      <c r="AS263" s="15" t="str">
        <f>VLOOKUP(AR263,'Axe 2 Règles de gestion'!$D$2:$F$146,3, FALSE)</f>
        <v>La date de début de la position doit être postérieure ou égale à la date d'entrée dans la FPE ou dans la carrière militaire.</v>
      </c>
      <c r="AT263" s="13" t="s">
        <v>132</v>
      </c>
      <c r="AU263" s="15" t="str">
        <f>VLOOKUP(AT263,'Axe 2 Règles de gestion'!$D$2:$F$146,3, FALSE)</f>
        <v>La date de début de position est à J+1 de la date de fin de position de l'occurrence précédente.</v>
      </c>
      <c r="AV263" s="13" t="s">
        <v>134</v>
      </c>
      <c r="AW263" s="15" t="str">
        <f>VLOOKUP(AV263,'Axe 2 Règles de gestion'!$D$2:$F$146,3, FALSE)</f>
        <v>La date de début de position doit être antérieure ou égale à la date de fin prévisionnelle de position.</v>
      </c>
      <c r="AX263" s="13" t="s">
        <v>136</v>
      </c>
      <c r="AY263" s="15" t="str">
        <f>VLOOKUP(AX263,'Axe 2 Règles de gestion'!$D$2:$F$146,3, FALSE)</f>
        <v>La date de début de position doit être antérieure ou égale à la date de fin réelle de position.</v>
      </c>
      <c r="AZ263" s="13" t="s">
        <v>138</v>
      </c>
      <c r="BA263" s="15" t="str">
        <f>VLOOKUP(AZ263,'Axe 2 Règles de gestion'!$D$2:$F$146,3, FALSE)</f>
        <v>La date de fin prévisionnelle de la position doit être antérieure à la date limite de départ à la retraite.</v>
      </c>
      <c r="BB263" s="13" t="s">
        <v>140</v>
      </c>
      <c r="BC263" s="15" t="str">
        <f>VLOOKUP(BB263,'Axe 2 Règles de gestion'!$D$2:$F$146,3, FALSE)</f>
        <v>La date de fin réelle de la position doit être antérieure à la date limite de départ à la retraite.</v>
      </c>
      <c r="BD263" s="13" t="s">
        <v>142</v>
      </c>
      <c r="BE263" s="15" t="str">
        <f>VLOOKUP(BD263,'Axe 2 Règles de gestion'!$D$2:$F$146,3, FALSE)</f>
        <v>La date de fin ou la date de fin prévisionnelle doit être saisie.</v>
      </c>
      <c r="BF263" s="13" t="s">
        <v>152</v>
      </c>
      <c r="BG263" s="15" t="str">
        <f>VLOOKUP(BF263,'Axe 2 Règles de gestion'!$D$2:$F$146,3, FALSE)</f>
        <v>La saisie d'une occurrence de congés/absences est interdite (date de fin réelle)</v>
      </c>
      <c r="BH263" s="13" t="s">
        <v>154</v>
      </c>
      <c r="BI263" s="15" t="str">
        <f>VLOOKUP(BH263,'Axe 2 Règles de gestion'!$D$2:$F$146,3, FALSE)</f>
        <v>La saisie d'une occurrence de congés/absences est interdite (date de fin prévisionnelle)</v>
      </c>
      <c r="BJ263" s="13"/>
      <c r="BK263" s="15"/>
      <c r="BL263" s="13"/>
      <c r="BM263" s="15"/>
      <c r="BN263" s="13"/>
      <c r="BO263" s="15"/>
      <c r="BP263" s="13"/>
      <c r="BQ263" s="15"/>
      <c r="BR263" s="13"/>
      <c r="BS263" s="15"/>
      <c r="BT263" s="13"/>
      <c r="BU263" s="15"/>
      <c r="BV263" s="13"/>
      <c r="BW263" s="15"/>
    </row>
    <row r="264" spans="1:75" ht="145" x14ac:dyDescent="0.35">
      <c r="A264" s="13" t="s">
        <v>165</v>
      </c>
      <c r="B264" s="13" t="s">
        <v>109</v>
      </c>
      <c r="C264" s="14">
        <v>44715.462500000001</v>
      </c>
      <c r="D264" s="13" t="s">
        <v>78</v>
      </c>
      <c r="E264" s="15" t="s">
        <v>79</v>
      </c>
      <c r="F264" s="13" t="s">
        <v>80</v>
      </c>
      <c r="G264" s="15" t="s">
        <v>81</v>
      </c>
      <c r="H264" s="13" t="s">
        <v>483</v>
      </c>
      <c r="I264" s="15" t="s">
        <v>484</v>
      </c>
      <c r="J264" s="15" t="s">
        <v>485</v>
      </c>
      <c r="K264" s="15" t="s">
        <v>486</v>
      </c>
      <c r="L264" s="13" t="s">
        <v>489</v>
      </c>
      <c r="M264" s="15" t="s">
        <v>490</v>
      </c>
      <c r="N264" s="13" t="s">
        <v>88</v>
      </c>
      <c r="O264" s="15" t="s">
        <v>97</v>
      </c>
      <c r="P264" s="15" t="s">
        <v>98</v>
      </c>
      <c r="Q264" s="15" t="s">
        <v>110</v>
      </c>
      <c r="R264" s="13" t="s">
        <v>111</v>
      </c>
      <c r="S264" s="13" t="s">
        <v>93</v>
      </c>
      <c r="T264" s="13" t="s">
        <v>112</v>
      </c>
      <c r="U264" s="14">
        <v>40725</v>
      </c>
      <c r="V264" s="14">
        <v>44633</v>
      </c>
      <c r="W264" s="15" t="s">
        <v>507</v>
      </c>
      <c r="X264" s="13" t="s">
        <v>494</v>
      </c>
      <c r="Y264" s="15" t="str">
        <f>VLOOKUP(X264,'Axe 2 Règles de gestion'!$D$2:$F$146,3, FALSE)</f>
        <v>Le congé sans traitement est accordé après avis du comité médical.</v>
      </c>
      <c r="Z264" s="13" t="s">
        <v>508</v>
      </c>
      <c r="AA264" s="15" t="str">
        <f>VLOOKUP(Z264,'Axe 2 Règles de gestion'!$D$2:$F$146,3, FALSE)</f>
        <v>L'agent peut renouveler le congé sans traitement 2 fois.</v>
      </c>
      <c r="AB264" s="13"/>
      <c r="AC264" s="15"/>
      <c r="AD264" s="13"/>
      <c r="AE264" s="15"/>
      <c r="AF264" s="13" t="s">
        <v>496</v>
      </c>
      <c r="AG264" s="15" t="str">
        <f>VLOOKUP(AF264,'Axe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64" s="13" t="s">
        <v>498</v>
      </c>
      <c r="AI264" s="15" t="str">
        <f>VLOOKUP(AH264,'Axe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64" s="13" t="s">
        <v>509</v>
      </c>
      <c r="AK264" s="15" t="str">
        <f>VLOOKUP(AJ264,'Axe 2 Règles de gestion'!$D$2:$F$146,3, FALSE)</f>
        <v>Le congé sans traitement pour raison de santé peut être renouvelé 2 fois par période maximale d'un an soit au total pour une durée cumulée prévisionnelle de 3 ans.</v>
      </c>
      <c r="AL264" s="13" t="s">
        <v>511</v>
      </c>
      <c r="AM264" s="15" t="str">
        <f>VLOOKUP(AL264,'Axe 2 Règles de gestion'!$D$2:$F$146,3, FALSE)</f>
        <v>Le congé sans traitement pour raison de santé peut être renouvelé 2 fois par période maximale d'un an soit au total pour une durée cumulée réelle de 3 ans.</v>
      </c>
      <c r="AN264" s="13"/>
      <c r="AO264" s="15"/>
      <c r="AP264" s="13" t="s">
        <v>130</v>
      </c>
      <c r="AQ264" s="15" t="str">
        <f>VLOOKUP(AP264,'Axe 2 Règles de gestion'!$D$2:$F$146,3, FALSE)</f>
        <v>La date de début de la position doit être postérieure ou égale à la date d'entrée dans la FPE ou dans la carrière militaire.</v>
      </c>
      <c r="AR264" s="13" t="s">
        <v>132</v>
      </c>
      <c r="AS264" s="15" t="str">
        <f>VLOOKUP(AR264,'Axe 2 Règles de gestion'!$D$2:$F$146,3, FALSE)</f>
        <v>La date de début de position est à J+1 de la date de fin de position de l'occurrence précédente.</v>
      </c>
      <c r="AT264" s="13" t="s">
        <v>134</v>
      </c>
      <c r="AU264" s="15" t="str">
        <f>VLOOKUP(AT264,'Axe 2 Règles de gestion'!$D$2:$F$146,3, FALSE)</f>
        <v>La date de début de position doit être antérieure ou égale à la date de fin prévisionnelle de position.</v>
      </c>
      <c r="AV264" s="13" t="s">
        <v>136</v>
      </c>
      <c r="AW264" s="15" t="str">
        <f>VLOOKUP(AV264,'Axe 2 Règles de gestion'!$D$2:$F$146,3, FALSE)</f>
        <v>La date de début de position doit être antérieure ou égale à la date de fin réelle de position.</v>
      </c>
      <c r="AX264" s="13" t="s">
        <v>138</v>
      </c>
      <c r="AY264" s="15" t="str">
        <f>VLOOKUP(AX264,'Axe 2 Règles de gestion'!$D$2:$F$146,3, FALSE)</f>
        <v>La date de fin prévisionnelle de la position doit être antérieure à la date limite de départ à la retraite.</v>
      </c>
      <c r="AZ264" s="13" t="s">
        <v>140</v>
      </c>
      <c r="BA264" s="15" t="str">
        <f>VLOOKUP(AZ264,'Axe 2 Règles de gestion'!$D$2:$F$146,3, FALSE)</f>
        <v>La date de fin réelle de la position doit être antérieure à la date limite de départ à la retraite.</v>
      </c>
      <c r="BB264" s="13" t="s">
        <v>142</v>
      </c>
      <c r="BC264" s="15" t="str">
        <f>VLOOKUP(BB264,'Axe 2 Règles de gestion'!$D$2:$F$146,3, FALSE)</f>
        <v>La date de fin ou la date de fin prévisionnelle doit être saisie.</v>
      </c>
      <c r="BD264" s="13" t="s">
        <v>152</v>
      </c>
      <c r="BE264" s="15" t="str">
        <f>VLOOKUP(BD264,'Axe 2 Règles de gestion'!$D$2:$F$146,3, FALSE)</f>
        <v>La saisie d'une occurrence de congés/absences est interdite (date de fin réelle)</v>
      </c>
      <c r="BF264" s="13" t="s">
        <v>154</v>
      </c>
      <c r="BG264" s="15" t="str">
        <f>VLOOKUP(BF264,'Axe 2 Règles de gestion'!$D$2:$F$146,3, FALSE)</f>
        <v>La saisie d'une occurrence de congés/absences est interdite (date de fin prévisionnelle)</v>
      </c>
      <c r="BH264" s="13"/>
      <c r="BI264" s="15"/>
      <c r="BJ264" s="13"/>
      <c r="BK264" s="15"/>
      <c r="BL264" s="13"/>
      <c r="BM264" s="15"/>
      <c r="BN264" s="13"/>
      <c r="BO264" s="15"/>
      <c r="BP264" s="13"/>
      <c r="BQ264" s="15"/>
      <c r="BR264" s="13"/>
      <c r="BS264" s="15"/>
      <c r="BT264" s="13"/>
      <c r="BU264" s="15"/>
      <c r="BV264" s="13"/>
      <c r="BW264" s="15"/>
    </row>
    <row r="265" spans="1:75" ht="145" x14ac:dyDescent="0.35">
      <c r="A265" s="13" t="s">
        <v>165</v>
      </c>
      <c r="B265" s="13" t="s">
        <v>109</v>
      </c>
      <c r="C265" s="14">
        <v>44727.615972222222</v>
      </c>
      <c r="D265" s="13" t="s">
        <v>78</v>
      </c>
      <c r="E265" s="15" t="s">
        <v>79</v>
      </c>
      <c r="F265" s="13" t="s">
        <v>80</v>
      </c>
      <c r="G265" s="15" t="s">
        <v>81</v>
      </c>
      <c r="H265" s="13" t="s">
        <v>483</v>
      </c>
      <c r="I265" s="15" t="s">
        <v>484</v>
      </c>
      <c r="J265" s="15" t="s">
        <v>485</v>
      </c>
      <c r="K265" s="15" t="s">
        <v>486</v>
      </c>
      <c r="L265" s="13" t="s">
        <v>489</v>
      </c>
      <c r="M265" s="15" t="s">
        <v>490</v>
      </c>
      <c r="N265" s="13" t="s">
        <v>88</v>
      </c>
      <c r="O265" s="15" t="s">
        <v>97</v>
      </c>
      <c r="P265" s="15" t="s">
        <v>98</v>
      </c>
      <c r="Q265" s="15" t="s">
        <v>110</v>
      </c>
      <c r="R265" s="13" t="s">
        <v>111</v>
      </c>
      <c r="S265" s="13" t="s">
        <v>93</v>
      </c>
      <c r="T265" s="13" t="s">
        <v>112</v>
      </c>
      <c r="U265" s="14">
        <v>44634</v>
      </c>
      <c r="V265" s="14"/>
      <c r="W265" s="15" t="s">
        <v>513</v>
      </c>
      <c r="X265" s="13" t="s">
        <v>501</v>
      </c>
      <c r="Y265" s="15" t="str">
        <f>VLOOKUP(X265,'Axe 2 Règles de gestion'!$D$2:$F$146,3, FALSE)</f>
        <v>Le congé sans traitement est accordé après avis du conseil médical.</v>
      </c>
      <c r="Z265" s="13" t="s">
        <v>508</v>
      </c>
      <c r="AA265" s="15" t="str">
        <f>VLOOKUP(Z265,'Axe 2 Règles de gestion'!$D$2:$F$146,3, FALSE)</f>
        <v>L'agent peut renouveler le congé sans traitement 2 fois.</v>
      </c>
      <c r="AB265" s="13"/>
      <c r="AC265" s="15"/>
      <c r="AD265" s="13"/>
      <c r="AE265" s="15"/>
      <c r="AF265" s="13" t="s">
        <v>503</v>
      </c>
      <c r="AG265" s="15" t="str">
        <f>VLOOKUP(AF265,'Axe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65" s="13" t="s">
        <v>505</v>
      </c>
      <c r="AI265" s="15" t="str">
        <f>VLOOKUP(AH265,'Axe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65" s="13" t="s">
        <v>509</v>
      </c>
      <c r="AK265" s="15" t="str">
        <f>VLOOKUP(AJ265,'Axe 2 Règles de gestion'!$D$2:$F$146,3, FALSE)</f>
        <v>Le congé sans traitement pour raison de santé peut être renouvelé 2 fois par période maximale d'un an soit au total pour une durée cumulée prévisionnelle de 3 ans.</v>
      </c>
      <c r="AL265" s="13" t="s">
        <v>511</v>
      </c>
      <c r="AM265" s="15" t="str">
        <f>VLOOKUP(AL265,'Axe 2 Règles de gestion'!$D$2:$F$146,3, FALSE)</f>
        <v>Le congé sans traitement pour raison de santé peut être renouvelé 2 fois par période maximale d'un an soit au total pour une durée cumulée réelle de 3 ans.</v>
      </c>
      <c r="AN265" s="13"/>
      <c r="AO265" s="15"/>
      <c r="AP265" s="13" t="s">
        <v>130</v>
      </c>
      <c r="AQ265" s="15" t="str">
        <f>VLOOKUP(AP265,'Axe 2 Règles de gestion'!$D$2:$F$146,3, FALSE)</f>
        <v>La date de début de la position doit être postérieure ou égale à la date d'entrée dans la FPE ou dans la carrière militaire.</v>
      </c>
      <c r="AR265" s="13" t="s">
        <v>132</v>
      </c>
      <c r="AS265" s="15" t="str">
        <f>VLOOKUP(AR265,'Axe 2 Règles de gestion'!$D$2:$F$146,3, FALSE)</f>
        <v>La date de début de position est à J+1 de la date de fin de position de l'occurrence précédente.</v>
      </c>
      <c r="AT265" s="13" t="s">
        <v>134</v>
      </c>
      <c r="AU265" s="15" t="str">
        <f>VLOOKUP(AT265,'Axe 2 Règles de gestion'!$D$2:$F$146,3, FALSE)</f>
        <v>La date de début de position doit être antérieure ou égale à la date de fin prévisionnelle de position.</v>
      </c>
      <c r="AV265" s="13" t="s">
        <v>136</v>
      </c>
      <c r="AW265" s="15" t="str">
        <f>VLOOKUP(AV265,'Axe 2 Règles de gestion'!$D$2:$F$146,3, FALSE)</f>
        <v>La date de début de position doit être antérieure ou égale à la date de fin réelle de position.</v>
      </c>
      <c r="AX265" s="13" t="s">
        <v>138</v>
      </c>
      <c r="AY265" s="15" t="str">
        <f>VLOOKUP(AX265,'Axe 2 Règles de gestion'!$D$2:$F$146,3, FALSE)</f>
        <v>La date de fin prévisionnelle de la position doit être antérieure à la date limite de départ à la retraite.</v>
      </c>
      <c r="AZ265" s="13" t="s">
        <v>140</v>
      </c>
      <c r="BA265" s="15" t="str">
        <f>VLOOKUP(AZ265,'Axe 2 Règles de gestion'!$D$2:$F$146,3, FALSE)</f>
        <v>La date de fin réelle de la position doit être antérieure à la date limite de départ à la retraite.</v>
      </c>
      <c r="BB265" s="13" t="s">
        <v>142</v>
      </c>
      <c r="BC265" s="15" t="str">
        <f>VLOOKUP(BB265,'Axe 2 Règles de gestion'!$D$2:$F$146,3, FALSE)</f>
        <v>La date de fin ou la date de fin prévisionnelle doit être saisie.</v>
      </c>
      <c r="BD265" s="13" t="s">
        <v>152</v>
      </c>
      <c r="BE265" s="15" t="str">
        <f>VLOOKUP(BD265,'Axe 2 Règles de gestion'!$D$2:$F$146,3, FALSE)</f>
        <v>La saisie d'une occurrence de congés/absences est interdite (date de fin réelle)</v>
      </c>
      <c r="BF265" s="13" t="s">
        <v>154</v>
      </c>
      <c r="BG265" s="15" t="str">
        <f>VLOOKUP(BF265,'Axe 2 Règles de gestion'!$D$2:$F$146,3, FALSE)</f>
        <v>La saisie d'une occurrence de congés/absences est interdite (date de fin prévisionnelle)</v>
      </c>
      <c r="BH265" s="13"/>
      <c r="BI265" s="15"/>
      <c r="BJ265" s="13"/>
      <c r="BK265" s="15"/>
      <c r="BL265" s="13"/>
      <c r="BM265" s="15"/>
      <c r="BN265" s="13"/>
      <c r="BO265" s="15"/>
      <c r="BP265" s="13"/>
      <c r="BQ265" s="15"/>
      <c r="BR265" s="13"/>
      <c r="BS265" s="15"/>
      <c r="BT265" s="13"/>
      <c r="BU265" s="15"/>
      <c r="BV265" s="13"/>
      <c r="BW265" s="15"/>
    </row>
    <row r="266" spans="1:75" ht="145" x14ac:dyDescent="0.35">
      <c r="A266" s="13" t="s">
        <v>165</v>
      </c>
      <c r="B266" s="13" t="s">
        <v>109</v>
      </c>
      <c r="C266" s="14">
        <v>44715.469444444447</v>
      </c>
      <c r="D266" s="13" t="s">
        <v>78</v>
      </c>
      <c r="E266" s="15" t="s">
        <v>79</v>
      </c>
      <c r="F266" s="13" t="s">
        <v>80</v>
      </c>
      <c r="G266" s="15" t="s">
        <v>81</v>
      </c>
      <c r="H266" s="13" t="s">
        <v>483</v>
      </c>
      <c r="I266" s="15" t="s">
        <v>484</v>
      </c>
      <c r="J266" s="15" t="s">
        <v>485</v>
      </c>
      <c r="K266" s="15" t="s">
        <v>486</v>
      </c>
      <c r="L266" s="13" t="s">
        <v>491</v>
      </c>
      <c r="M266" s="15" t="s">
        <v>492</v>
      </c>
      <c r="N266" s="13" t="s">
        <v>101</v>
      </c>
      <c r="O266" s="15" t="s">
        <v>102</v>
      </c>
      <c r="P266" s="15" t="s">
        <v>103</v>
      </c>
      <c r="Q266" s="15" t="s">
        <v>110</v>
      </c>
      <c r="R266" s="13" t="s">
        <v>111</v>
      </c>
      <c r="S266" s="13" t="s">
        <v>93</v>
      </c>
      <c r="T266" s="13" t="s">
        <v>112</v>
      </c>
      <c r="U266" s="14">
        <v>40725</v>
      </c>
      <c r="V266" s="14">
        <v>44633</v>
      </c>
      <c r="W266" s="15" t="s">
        <v>514</v>
      </c>
      <c r="X266" s="13" t="s">
        <v>515</v>
      </c>
      <c r="Y266" s="15" t="str">
        <f>VLOOKUP(X266,'Axe 2 Règles de gestion'!$D$2:$F$146,3, FALSE)</f>
        <v>A l'issue du congé sans traitement, l'avis de la commission de réforme est nécessaire.</v>
      </c>
      <c r="Z266" s="13"/>
      <c r="AA266" s="15"/>
      <c r="AB266" s="13"/>
      <c r="AC266" s="15"/>
      <c r="AD266" s="13"/>
      <c r="AE266" s="15"/>
      <c r="AF266" s="13" t="s">
        <v>496</v>
      </c>
      <c r="AG266" s="15" t="str">
        <f>VLOOKUP(AF266,'Axe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66" s="13" t="s">
        <v>498</v>
      </c>
      <c r="AI266" s="15" t="str">
        <f>VLOOKUP(AH266,'Axe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66" s="13" t="s">
        <v>509</v>
      </c>
      <c r="AK266" s="15" t="str">
        <f>VLOOKUP(AJ266,'Axe 2 Règles de gestion'!$D$2:$F$146,3, FALSE)</f>
        <v>Le congé sans traitement pour raison de santé peut être renouvelé 2 fois par période maximale d'un an soit au total pour une durée cumulée prévisionnelle de 3 ans.</v>
      </c>
      <c r="AL266" s="13" t="s">
        <v>511</v>
      </c>
      <c r="AM266" s="15" t="str">
        <f>VLOOKUP(AL266,'Axe 2 Règles de gestion'!$D$2:$F$146,3, FALSE)</f>
        <v>Le congé sans traitement pour raison de santé peut être renouvelé 2 fois par période maximale d'un an soit au total pour une durée cumulée réelle de 3 ans.</v>
      </c>
      <c r="AN266" s="13"/>
      <c r="AO266" s="15"/>
      <c r="AP266" s="13" t="s">
        <v>134</v>
      </c>
      <c r="AQ266" s="15" t="str">
        <f>VLOOKUP(AP266,'Axe 2 Règles de gestion'!$D$2:$F$146,3, FALSE)</f>
        <v>La date de début de position doit être antérieure ou égale à la date de fin prévisionnelle de position.</v>
      </c>
      <c r="AR266" s="13" t="s">
        <v>136</v>
      </c>
      <c r="AS266" s="15" t="str">
        <f>VLOOKUP(AR266,'Axe 2 Règles de gestion'!$D$2:$F$146,3, FALSE)</f>
        <v>La date de début de position doit être antérieure ou égale à la date de fin réelle de position.</v>
      </c>
      <c r="AT266" s="13" t="s">
        <v>138</v>
      </c>
      <c r="AU266" s="15" t="str">
        <f>VLOOKUP(AT266,'Axe 2 Règles de gestion'!$D$2:$F$146,3, FALSE)</f>
        <v>La date de fin prévisionnelle de la position doit être antérieure à la date limite de départ à la retraite.</v>
      </c>
      <c r="AV266" s="13" t="s">
        <v>140</v>
      </c>
      <c r="AW266" s="15" t="str">
        <f>VLOOKUP(AV266,'Axe 2 Règles de gestion'!$D$2:$F$146,3, FALSE)</f>
        <v>La date de fin réelle de la position doit être antérieure à la date limite de départ à la retraite.</v>
      </c>
      <c r="AX266" s="13" t="s">
        <v>142</v>
      </c>
      <c r="AY266" s="15" t="str">
        <f>VLOOKUP(AX266,'Axe 2 Règles de gestion'!$D$2:$F$146,3, FALSE)</f>
        <v>La date de fin ou la date de fin prévisionnelle doit être saisie.</v>
      </c>
      <c r="AZ266" s="13" t="s">
        <v>152</v>
      </c>
      <c r="BA266" s="15" t="str">
        <f>VLOOKUP(AZ266,'Axe 2 Règles de gestion'!$D$2:$F$146,3, FALSE)</f>
        <v>La saisie d'une occurrence de congés/absences est interdite (date de fin réelle)</v>
      </c>
      <c r="BB266" s="13" t="s">
        <v>154</v>
      </c>
      <c r="BC266" s="15" t="str">
        <f>VLOOKUP(BB266,'Axe 2 Règles de gestion'!$D$2:$F$146,3, FALSE)</f>
        <v>La saisie d'une occurrence de congés/absences est interdite (date de fin prévisionnelle)</v>
      </c>
      <c r="BD266" s="13"/>
      <c r="BE266" s="15"/>
      <c r="BF266" s="13"/>
      <c r="BG266" s="15"/>
      <c r="BH266" s="13"/>
      <c r="BI266" s="15"/>
      <c r="BJ266" s="13"/>
      <c r="BK266" s="15"/>
      <c r="BL266" s="13"/>
      <c r="BM266" s="15"/>
      <c r="BN266" s="13"/>
      <c r="BO266" s="15"/>
      <c r="BP266" s="13"/>
      <c r="BQ266" s="15"/>
      <c r="BR266" s="13"/>
      <c r="BS266" s="15"/>
      <c r="BT266" s="13"/>
      <c r="BU266" s="15"/>
      <c r="BV266" s="13"/>
      <c r="BW266" s="15"/>
    </row>
    <row r="267" spans="1:75" ht="145" x14ac:dyDescent="0.35">
      <c r="A267" s="13" t="s">
        <v>165</v>
      </c>
      <c r="B267" s="13" t="s">
        <v>77</v>
      </c>
      <c r="C267" s="14">
        <v>44715.470138888886</v>
      </c>
      <c r="D267" s="13" t="s">
        <v>78</v>
      </c>
      <c r="E267" s="15" t="s">
        <v>79</v>
      </c>
      <c r="F267" s="13" t="s">
        <v>80</v>
      </c>
      <c r="G267" s="15" t="s">
        <v>81</v>
      </c>
      <c r="H267" s="13" t="s">
        <v>483</v>
      </c>
      <c r="I267" s="15" t="s">
        <v>484</v>
      </c>
      <c r="J267" s="15" t="s">
        <v>485</v>
      </c>
      <c r="K267" s="15" t="s">
        <v>486</v>
      </c>
      <c r="L267" s="13" t="s">
        <v>491</v>
      </c>
      <c r="M267" s="15" t="s">
        <v>492</v>
      </c>
      <c r="N267" s="13" t="s">
        <v>101</v>
      </c>
      <c r="O267" s="15" t="s">
        <v>102</v>
      </c>
      <c r="P267" s="15" t="s">
        <v>103</v>
      </c>
      <c r="Q267" s="15" t="s">
        <v>110</v>
      </c>
      <c r="R267" s="13" t="s">
        <v>111</v>
      </c>
      <c r="S267" s="13" t="s">
        <v>93</v>
      </c>
      <c r="T267" s="13" t="s">
        <v>112</v>
      </c>
      <c r="U267" s="14">
        <v>44634</v>
      </c>
      <c r="V267" s="14"/>
      <c r="W267" s="15" t="s">
        <v>517</v>
      </c>
      <c r="X267" s="13" t="s">
        <v>518</v>
      </c>
      <c r="Y267" s="15" t="str">
        <f>VLOOKUP(X267,'Axe 2 Règles de gestion'!$D$2:$F$146,3, FALSE)</f>
        <v>A l'issue du congé sans traitement, l'avis du conseil médical est nécessaire.</v>
      </c>
      <c r="Z267" s="13"/>
      <c r="AA267" s="15"/>
      <c r="AB267" s="13"/>
      <c r="AC267" s="15"/>
      <c r="AD267" s="13"/>
      <c r="AE267" s="15"/>
      <c r="AF267" s="13" t="s">
        <v>503</v>
      </c>
      <c r="AG267" s="15" t="str">
        <f>VLOOKUP(AF267,'Axe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67" s="13" t="s">
        <v>505</v>
      </c>
      <c r="AI267" s="15" t="str">
        <f>VLOOKUP(AH267,'Axe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67" s="13" t="s">
        <v>509</v>
      </c>
      <c r="AK267" s="15" t="str">
        <f>VLOOKUP(AJ267,'Axe 2 Règles de gestion'!$D$2:$F$146,3, FALSE)</f>
        <v>Le congé sans traitement pour raison de santé peut être renouvelé 2 fois par période maximale d'un an soit au total pour une durée cumulée prévisionnelle de 3 ans.</v>
      </c>
      <c r="AL267" s="13" t="s">
        <v>511</v>
      </c>
      <c r="AM267" s="15" t="str">
        <f>VLOOKUP(AL267,'Axe 2 Règles de gestion'!$D$2:$F$146,3, FALSE)</f>
        <v>Le congé sans traitement pour raison de santé peut être renouvelé 2 fois par période maximale d'un an soit au total pour une durée cumulée réelle de 3 ans.</v>
      </c>
      <c r="AN267" s="13"/>
      <c r="AO267" s="15"/>
      <c r="AP267" s="13" t="s">
        <v>134</v>
      </c>
      <c r="AQ267" s="15" t="str">
        <f>VLOOKUP(AP267,'Axe 2 Règles de gestion'!$D$2:$F$146,3, FALSE)</f>
        <v>La date de début de position doit être antérieure ou égale à la date de fin prévisionnelle de position.</v>
      </c>
      <c r="AR267" s="13" t="s">
        <v>136</v>
      </c>
      <c r="AS267" s="15" t="str">
        <f>VLOOKUP(AR267,'Axe 2 Règles de gestion'!$D$2:$F$146,3, FALSE)</f>
        <v>La date de début de position doit être antérieure ou égale à la date de fin réelle de position.</v>
      </c>
      <c r="AT267" s="13" t="s">
        <v>138</v>
      </c>
      <c r="AU267" s="15" t="str">
        <f>VLOOKUP(AT267,'Axe 2 Règles de gestion'!$D$2:$F$146,3, FALSE)</f>
        <v>La date de fin prévisionnelle de la position doit être antérieure à la date limite de départ à la retraite.</v>
      </c>
      <c r="AV267" s="13" t="s">
        <v>140</v>
      </c>
      <c r="AW267" s="15" t="str">
        <f>VLOOKUP(AV267,'Axe 2 Règles de gestion'!$D$2:$F$146,3, FALSE)</f>
        <v>La date de fin réelle de la position doit être antérieure à la date limite de départ à la retraite.</v>
      </c>
      <c r="AX267" s="13" t="s">
        <v>142</v>
      </c>
      <c r="AY267" s="15" t="str">
        <f>VLOOKUP(AX267,'Axe 2 Règles de gestion'!$D$2:$F$146,3, FALSE)</f>
        <v>La date de fin ou la date de fin prévisionnelle doit être saisie.</v>
      </c>
      <c r="AZ267" s="13" t="s">
        <v>152</v>
      </c>
      <c r="BA267" s="15" t="str">
        <f>VLOOKUP(AZ267,'Axe 2 Règles de gestion'!$D$2:$F$146,3, FALSE)</f>
        <v>La saisie d'une occurrence de congés/absences est interdite (date de fin réelle)</v>
      </c>
      <c r="BB267" s="13" t="s">
        <v>154</v>
      </c>
      <c r="BC267" s="15" t="str">
        <f>VLOOKUP(BB267,'Axe 2 Règles de gestion'!$D$2:$F$146,3, FALSE)</f>
        <v>La saisie d'une occurrence de congés/absences est interdite (date de fin prévisionnelle)</v>
      </c>
      <c r="BD267" s="13"/>
      <c r="BE267" s="15"/>
      <c r="BF267" s="13"/>
      <c r="BG267" s="15"/>
      <c r="BH267" s="13"/>
      <c r="BI267" s="15"/>
      <c r="BJ267" s="13"/>
      <c r="BK267" s="15"/>
      <c r="BL267" s="13"/>
      <c r="BM267" s="15"/>
      <c r="BN267" s="13"/>
      <c r="BO267" s="15"/>
      <c r="BP267" s="13"/>
      <c r="BQ267" s="15"/>
      <c r="BR267" s="13"/>
      <c r="BS267" s="15"/>
      <c r="BT267" s="13"/>
      <c r="BU267" s="15"/>
      <c r="BV267" s="13"/>
      <c r="BW267" s="15"/>
    </row>
    <row r="268" spans="1:75" ht="72.5" x14ac:dyDescent="0.35">
      <c r="A268" s="13" t="s">
        <v>76</v>
      </c>
      <c r="B268" s="13" t="s">
        <v>77</v>
      </c>
      <c r="C268" s="14">
        <v>43152.5</v>
      </c>
      <c r="D268" s="13" t="s">
        <v>78</v>
      </c>
      <c r="E268" s="15" t="s">
        <v>79</v>
      </c>
      <c r="F268" s="13" t="s">
        <v>80</v>
      </c>
      <c r="G268" s="15" t="s">
        <v>81</v>
      </c>
      <c r="H268" s="13" t="s">
        <v>483</v>
      </c>
      <c r="I268" s="15" t="s">
        <v>484</v>
      </c>
      <c r="J268" s="15" t="s">
        <v>485</v>
      </c>
      <c r="K268" s="15" t="s">
        <v>486</v>
      </c>
      <c r="L268" s="13" t="s">
        <v>487</v>
      </c>
      <c r="M268" s="15" t="s">
        <v>488</v>
      </c>
      <c r="N268" s="13" t="s">
        <v>88</v>
      </c>
      <c r="O268" s="15" t="s">
        <v>89</v>
      </c>
      <c r="P268" s="15" t="s">
        <v>90</v>
      </c>
      <c r="Q268" s="15" t="s">
        <v>175</v>
      </c>
      <c r="R268" s="13" t="s">
        <v>176</v>
      </c>
      <c r="S268" s="13" t="s">
        <v>93</v>
      </c>
      <c r="T268" s="13" t="s">
        <v>94</v>
      </c>
      <c r="U268" s="14">
        <v>40725</v>
      </c>
      <c r="V268" s="14"/>
      <c r="W268" s="15"/>
      <c r="X268" s="13"/>
      <c r="Y268" s="15"/>
      <c r="Z268" s="13"/>
      <c r="AA268" s="15"/>
      <c r="AB268" s="13"/>
      <c r="AC268" s="15"/>
      <c r="AD268" s="13"/>
      <c r="AE268" s="15"/>
      <c r="AF268" s="13"/>
      <c r="AG268" s="15"/>
      <c r="AH268" s="13"/>
      <c r="AI268" s="15"/>
      <c r="AJ268" s="13"/>
      <c r="AK268" s="15"/>
      <c r="AL268" s="13"/>
      <c r="AM268" s="15"/>
      <c r="AN268" s="13"/>
      <c r="AO268" s="15"/>
      <c r="AP268" s="13"/>
      <c r="AQ268" s="15"/>
      <c r="AR268" s="13"/>
      <c r="AS268" s="15"/>
      <c r="AT268" s="13"/>
      <c r="AU268" s="15"/>
      <c r="AV268" s="13"/>
      <c r="AW268" s="15"/>
      <c r="AX268" s="13"/>
      <c r="AY268" s="15"/>
      <c r="AZ268" s="13"/>
      <c r="BA268" s="15"/>
      <c r="BB268" s="13"/>
      <c r="BC268" s="15"/>
      <c r="BD268" s="13"/>
      <c r="BE268" s="15"/>
      <c r="BF268" s="13"/>
      <c r="BG268" s="15"/>
      <c r="BH268" s="13"/>
      <c r="BI268" s="15"/>
      <c r="BJ268" s="13"/>
      <c r="BK268" s="15"/>
      <c r="BL268" s="13"/>
      <c r="BM268" s="15"/>
      <c r="BN268" s="13"/>
      <c r="BO268" s="15"/>
      <c r="BP268" s="13"/>
      <c r="BQ268" s="15"/>
      <c r="BR268" s="13"/>
      <c r="BS268" s="15"/>
      <c r="BT268" s="13"/>
      <c r="BU268" s="15"/>
      <c r="BV268" s="13"/>
      <c r="BW268" s="15"/>
    </row>
    <row r="269" spans="1:75" ht="72.5" x14ac:dyDescent="0.35">
      <c r="A269" s="13" t="s">
        <v>76</v>
      </c>
      <c r="B269" s="13" t="s">
        <v>77</v>
      </c>
      <c r="C269" s="14">
        <v>43152.5</v>
      </c>
      <c r="D269" s="13" t="s">
        <v>78</v>
      </c>
      <c r="E269" s="15" t="s">
        <v>79</v>
      </c>
      <c r="F269" s="13" t="s">
        <v>80</v>
      </c>
      <c r="G269" s="15" t="s">
        <v>81</v>
      </c>
      <c r="H269" s="13" t="s">
        <v>483</v>
      </c>
      <c r="I269" s="15" t="s">
        <v>484</v>
      </c>
      <c r="J269" s="15" t="s">
        <v>485</v>
      </c>
      <c r="K269" s="15" t="s">
        <v>486</v>
      </c>
      <c r="L269" s="13" t="s">
        <v>489</v>
      </c>
      <c r="M269" s="15" t="s">
        <v>490</v>
      </c>
      <c r="N269" s="13" t="s">
        <v>88</v>
      </c>
      <c r="O269" s="15" t="s">
        <v>97</v>
      </c>
      <c r="P269" s="15" t="s">
        <v>98</v>
      </c>
      <c r="Q269" s="15" t="s">
        <v>175</v>
      </c>
      <c r="R269" s="13" t="s">
        <v>176</v>
      </c>
      <c r="S269" s="13" t="s">
        <v>93</v>
      </c>
      <c r="T269" s="13" t="s">
        <v>94</v>
      </c>
      <c r="U269" s="14">
        <v>40725</v>
      </c>
      <c r="V269" s="14"/>
      <c r="W269" s="15"/>
      <c r="X269" s="13"/>
      <c r="Y269" s="15"/>
      <c r="Z269" s="13"/>
      <c r="AA269" s="15"/>
      <c r="AB269" s="13"/>
      <c r="AC269" s="15"/>
      <c r="AD269" s="13"/>
      <c r="AE269" s="15"/>
      <c r="AF269" s="13"/>
      <c r="AG269" s="15"/>
      <c r="AH269" s="13"/>
      <c r="AI269" s="15"/>
      <c r="AJ269" s="13"/>
      <c r="AK269" s="15"/>
      <c r="AL269" s="13"/>
      <c r="AM269" s="15"/>
      <c r="AN269" s="13"/>
      <c r="AO269" s="15"/>
      <c r="AP269" s="13"/>
      <c r="AQ269" s="15"/>
      <c r="AR269" s="13"/>
      <c r="AS269" s="15"/>
      <c r="AT269" s="13"/>
      <c r="AU269" s="15"/>
      <c r="AV269" s="13"/>
      <c r="AW269" s="15"/>
      <c r="AX269" s="13"/>
      <c r="AY269" s="15"/>
      <c r="AZ269" s="13"/>
      <c r="BA269" s="15"/>
      <c r="BB269" s="13"/>
      <c r="BC269" s="15"/>
      <c r="BD269" s="13"/>
      <c r="BE269" s="15"/>
      <c r="BF269" s="13"/>
      <c r="BG269" s="15"/>
      <c r="BH269" s="13"/>
      <c r="BI269" s="15"/>
      <c r="BJ269" s="13"/>
      <c r="BK269" s="15"/>
      <c r="BL269" s="13"/>
      <c r="BM269" s="15"/>
      <c r="BN269" s="13"/>
      <c r="BO269" s="15"/>
      <c r="BP269" s="13"/>
      <c r="BQ269" s="15"/>
      <c r="BR269" s="13"/>
      <c r="BS269" s="15"/>
      <c r="BT269" s="13"/>
      <c r="BU269" s="15"/>
      <c r="BV269" s="13"/>
      <c r="BW269" s="15"/>
    </row>
    <row r="270" spans="1:75" ht="43.5" x14ac:dyDescent="0.35">
      <c r="A270" s="13" t="s">
        <v>76</v>
      </c>
      <c r="B270" s="13" t="s">
        <v>77</v>
      </c>
      <c r="C270" s="14">
        <v>43152.5</v>
      </c>
      <c r="D270" s="13" t="s">
        <v>78</v>
      </c>
      <c r="E270" s="15" t="s">
        <v>79</v>
      </c>
      <c r="F270" s="13" t="s">
        <v>80</v>
      </c>
      <c r="G270" s="15" t="s">
        <v>81</v>
      </c>
      <c r="H270" s="13" t="s">
        <v>483</v>
      </c>
      <c r="I270" s="15" t="s">
        <v>484</v>
      </c>
      <c r="J270" s="15" t="s">
        <v>485</v>
      </c>
      <c r="K270" s="15" t="s">
        <v>486</v>
      </c>
      <c r="L270" s="13" t="s">
        <v>491</v>
      </c>
      <c r="M270" s="15" t="s">
        <v>492</v>
      </c>
      <c r="N270" s="13" t="s">
        <v>101</v>
      </c>
      <c r="O270" s="15" t="s">
        <v>102</v>
      </c>
      <c r="P270" s="15" t="s">
        <v>103</v>
      </c>
      <c r="Q270" s="15" t="s">
        <v>175</v>
      </c>
      <c r="R270" s="13" t="s">
        <v>176</v>
      </c>
      <c r="S270" s="13" t="s">
        <v>93</v>
      </c>
      <c r="T270" s="13" t="s">
        <v>94</v>
      </c>
      <c r="U270" s="14">
        <v>40725</v>
      </c>
      <c r="V270" s="14"/>
      <c r="W270" s="15"/>
      <c r="X270" s="13"/>
      <c r="Y270" s="15"/>
      <c r="Z270" s="13"/>
      <c r="AA270" s="15"/>
      <c r="AB270" s="13"/>
      <c r="AC270" s="15"/>
      <c r="AD270" s="13"/>
      <c r="AE270" s="15"/>
      <c r="AF270" s="13"/>
      <c r="AG270" s="15"/>
      <c r="AH270" s="13"/>
      <c r="AI270" s="15"/>
      <c r="AJ270" s="13"/>
      <c r="AK270" s="15"/>
      <c r="AL270" s="13"/>
      <c r="AM270" s="15"/>
      <c r="AN270" s="13"/>
      <c r="AO270" s="15"/>
      <c r="AP270" s="13"/>
      <c r="AQ270" s="15"/>
      <c r="AR270" s="13"/>
      <c r="AS270" s="15"/>
      <c r="AT270" s="13"/>
      <c r="AU270" s="15"/>
      <c r="AV270" s="13"/>
      <c r="AW270" s="15"/>
      <c r="AX270" s="13"/>
      <c r="AY270" s="15"/>
      <c r="AZ270" s="13"/>
      <c r="BA270" s="15"/>
      <c r="BB270" s="13"/>
      <c r="BC270" s="15"/>
      <c r="BD270" s="13"/>
      <c r="BE270" s="15"/>
      <c r="BF270" s="13"/>
      <c r="BG270" s="15"/>
      <c r="BH270" s="13"/>
      <c r="BI270" s="15"/>
      <c r="BJ270" s="13"/>
      <c r="BK270" s="15"/>
      <c r="BL270" s="13"/>
      <c r="BM270" s="15"/>
      <c r="BN270" s="13"/>
      <c r="BO270" s="15"/>
      <c r="BP270" s="13"/>
      <c r="BQ270" s="15"/>
      <c r="BR270" s="13"/>
      <c r="BS270" s="15"/>
      <c r="BT270" s="13"/>
      <c r="BU270" s="15"/>
      <c r="BV270" s="13"/>
      <c r="BW270" s="15"/>
    </row>
    <row r="271" spans="1:75" ht="145" x14ac:dyDescent="0.35">
      <c r="A271" s="13" t="s">
        <v>165</v>
      </c>
      <c r="B271" s="13" t="s">
        <v>109</v>
      </c>
      <c r="C271" s="14">
        <v>44715.459027777775</v>
      </c>
      <c r="D271" s="13" t="s">
        <v>78</v>
      </c>
      <c r="E271" s="15" t="s">
        <v>79</v>
      </c>
      <c r="F271" s="13" t="s">
        <v>80</v>
      </c>
      <c r="G271" s="15" t="s">
        <v>81</v>
      </c>
      <c r="H271" s="13" t="s">
        <v>483</v>
      </c>
      <c r="I271" s="15" t="s">
        <v>484</v>
      </c>
      <c r="J271" s="15" t="s">
        <v>485</v>
      </c>
      <c r="K271" s="15" t="s">
        <v>486</v>
      </c>
      <c r="L271" s="13" t="s">
        <v>487</v>
      </c>
      <c r="M271" s="15" t="s">
        <v>488</v>
      </c>
      <c r="N271" s="13" t="s">
        <v>88</v>
      </c>
      <c r="O271" s="15" t="s">
        <v>89</v>
      </c>
      <c r="P271" s="15" t="s">
        <v>90</v>
      </c>
      <c r="Q271" s="15" t="s">
        <v>177</v>
      </c>
      <c r="R271" s="13" t="s">
        <v>178</v>
      </c>
      <c r="S271" s="13" t="s">
        <v>179</v>
      </c>
      <c r="T271" s="13" t="s">
        <v>112</v>
      </c>
      <c r="U271" s="14">
        <v>40725</v>
      </c>
      <c r="V271" s="14">
        <v>44633</v>
      </c>
      <c r="W271" s="15" t="s">
        <v>520</v>
      </c>
      <c r="X271" s="13" t="s">
        <v>521</v>
      </c>
      <c r="Y271" s="15" t="str">
        <f>VLOOKUP(X271,'Axe 2 Règles de gestion'!$D$2:$F$146,3, FALSE)</f>
        <v>L'agent doit avoir épuisé ses droits statutaires à congé.</v>
      </c>
      <c r="Z271" s="13" t="s">
        <v>523</v>
      </c>
      <c r="AA271" s="15" t="str">
        <f>VLOOKUP(Z271,'Axe 2 Règles de gestion'!$D$2:$F$146,3, FALSE)</f>
        <v>Le congé sans traitement est accordé après avis du comité médical.</v>
      </c>
      <c r="AB271" s="13"/>
      <c r="AC271" s="15"/>
      <c r="AD271" s="13"/>
      <c r="AE271" s="15"/>
      <c r="AF271" s="13" t="s">
        <v>524</v>
      </c>
      <c r="AG271" s="15" t="str">
        <f>VLOOKUP(AF271,'Axe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71" s="13" t="s">
        <v>525</v>
      </c>
      <c r="AI271" s="15" t="str">
        <f>VLOOKUP(AH271,'Axe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71" s="13"/>
      <c r="AK271" s="15"/>
      <c r="AL271" s="13"/>
      <c r="AM271" s="15"/>
      <c r="AN271" s="13"/>
      <c r="AO271" s="15"/>
      <c r="AP271" s="13" t="s">
        <v>128</v>
      </c>
      <c r="AQ271" s="15" t="str">
        <f>VLOOKUP(AP271,'Axe 2 Règles de gestion'!$D$2:$F$146,3, FALSE)</f>
        <v>Lors de la demande initiale, l'agent doit être en activité.</v>
      </c>
      <c r="AR271" s="13" t="s">
        <v>130</v>
      </c>
      <c r="AS271" s="15" t="str">
        <f>VLOOKUP(AR271,'Axe 2 Règles de gestion'!$D$2:$F$146,3, FALSE)</f>
        <v>La date de début de la position doit être postérieure ou égale à la date d'entrée dans la FPE ou dans la carrière militaire.</v>
      </c>
      <c r="AT271" s="13" t="s">
        <v>132</v>
      </c>
      <c r="AU271" s="15" t="str">
        <f>VLOOKUP(AT271,'Axe 2 Règles de gestion'!$D$2:$F$146,3, FALSE)</f>
        <v>La date de début de position est à J+1 de la date de fin de position de l'occurrence précédente.</v>
      </c>
      <c r="AV271" s="13" t="s">
        <v>134</v>
      </c>
      <c r="AW271" s="15" t="str">
        <f>VLOOKUP(AV271,'Axe 2 Règles de gestion'!$D$2:$F$146,3, FALSE)</f>
        <v>La date de début de position doit être antérieure ou égale à la date de fin prévisionnelle de position.</v>
      </c>
      <c r="AX271" s="13" t="s">
        <v>136</v>
      </c>
      <c r="AY271" s="15" t="str">
        <f>VLOOKUP(AX271,'Axe 2 Règles de gestion'!$D$2:$F$146,3, FALSE)</f>
        <v>La date de début de position doit être antérieure ou égale à la date de fin réelle de position.</v>
      </c>
      <c r="AZ271" s="13" t="s">
        <v>138</v>
      </c>
      <c r="BA271" s="15" t="str">
        <f>VLOOKUP(AZ271,'Axe 2 Règles de gestion'!$D$2:$F$146,3, FALSE)</f>
        <v>La date de fin prévisionnelle de la position doit être antérieure à la date limite de départ à la retraite.</v>
      </c>
      <c r="BB271" s="13" t="s">
        <v>140</v>
      </c>
      <c r="BC271" s="15" t="str">
        <f>VLOOKUP(BB271,'Axe 2 Règles de gestion'!$D$2:$F$146,3, FALSE)</f>
        <v>La date de fin réelle de la position doit être antérieure à la date limite de départ à la retraite.</v>
      </c>
      <c r="BD271" s="13" t="s">
        <v>142</v>
      </c>
      <c r="BE271" s="15" t="str">
        <f>VLOOKUP(BD271,'Axe 2 Règles de gestion'!$D$2:$F$146,3, FALSE)</f>
        <v>La date de fin ou la date de fin prévisionnelle doit être saisie.</v>
      </c>
      <c r="BF271" s="13" t="s">
        <v>152</v>
      </c>
      <c r="BG271" s="15" t="str">
        <f>VLOOKUP(BF271,'Axe 2 Règles de gestion'!$D$2:$F$146,3, FALSE)</f>
        <v>La saisie d'une occurrence de congés/absences est interdite (date de fin réelle)</v>
      </c>
      <c r="BH271" s="13" t="s">
        <v>154</v>
      </c>
      <c r="BI271" s="15" t="str">
        <f>VLOOKUP(BH271,'Axe 2 Règles de gestion'!$D$2:$F$146,3, FALSE)</f>
        <v>La saisie d'une occurrence de congés/absences est interdite (date de fin prévisionnelle)</v>
      </c>
      <c r="BJ271" s="13"/>
      <c r="BK271" s="15"/>
      <c r="BL271" s="13"/>
      <c r="BM271" s="15"/>
      <c r="BN271" s="13"/>
      <c r="BO271" s="15"/>
      <c r="BP271" s="13"/>
      <c r="BQ271" s="15"/>
      <c r="BR271" s="13"/>
      <c r="BS271" s="15"/>
      <c r="BT271" s="13"/>
      <c r="BU271" s="15"/>
      <c r="BV271" s="13"/>
      <c r="BW271" s="15"/>
    </row>
    <row r="272" spans="1:75" ht="145" x14ac:dyDescent="0.35">
      <c r="A272" s="13" t="s">
        <v>165</v>
      </c>
      <c r="B272" s="13" t="s">
        <v>77</v>
      </c>
      <c r="C272" s="14">
        <v>44715.461805555555</v>
      </c>
      <c r="D272" s="13" t="s">
        <v>78</v>
      </c>
      <c r="E272" s="15" t="s">
        <v>79</v>
      </c>
      <c r="F272" s="13" t="s">
        <v>80</v>
      </c>
      <c r="G272" s="15" t="s">
        <v>81</v>
      </c>
      <c r="H272" s="13" t="s">
        <v>483</v>
      </c>
      <c r="I272" s="15" t="s">
        <v>484</v>
      </c>
      <c r="J272" s="15" t="s">
        <v>485</v>
      </c>
      <c r="K272" s="15" t="s">
        <v>486</v>
      </c>
      <c r="L272" s="13" t="s">
        <v>487</v>
      </c>
      <c r="M272" s="15" t="s">
        <v>488</v>
      </c>
      <c r="N272" s="13" t="s">
        <v>88</v>
      </c>
      <c r="O272" s="15" t="s">
        <v>89</v>
      </c>
      <c r="P272" s="15" t="s">
        <v>90</v>
      </c>
      <c r="Q272" s="15" t="s">
        <v>177</v>
      </c>
      <c r="R272" s="13" t="s">
        <v>178</v>
      </c>
      <c r="S272" s="13" t="s">
        <v>179</v>
      </c>
      <c r="T272" s="13" t="s">
        <v>112</v>
      </c>
      <c r="U272" s="14">
        <v>44634</v>
      </c>
      <c r="V272" s="14"/>
      <c r="W272" s="15" t="s">
        <v>526</v>
      </c>
      <c r="X272" s="13" t="s">
        <v>521</v>
      </c>
      <c r="Y272" s="15" t="str">
        <f>VLOOKUP(X272,'Axe 2 Règles de gestion'!$D$2:$F$146,3, FALSE)</f>
        <v>L'agent doit avoir épuisé ses droits statutaires à congé.</v>
      </c>
      <c r="Z272" s="13" t="s">
        <v>527</v>
      </c>
      <c r="AA272" s="15" t="str">
        <f>VLOOKUP(Z272,'Axe 2 Règles de gestion'!$D$2:$F$146,3, FALSE)</f>
        <v>Le congé sans traitement est accordé après avis du conseil médical.</v>
      </c>
      <c r="AB272" s="13"/>
      <c r="AC272" s="15"/>
      <c r="AD272" s="13"/>
      <c r="AE272" s="15"/>
      <c r="AF272" s="13" t="s">
        <v>528</v>
      </c>
      <c r="AG272" s="15" t="str">
        <f>VLOOKUP(AF272,'Axe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72" s="13" t="s">
        <v>529</v>
      </c>
      <c r="AI272" s="15" t="str">
        <f>VLOOKUP(AH272,'Axe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72" s="13"/>
      <c r="AK272" s="15"/>
      <c r="AL272" s="13"/>
      <c r="AM272" s="15"/>
      <c r="AN272" s="13"/>
      <c r="AO272" s="15"/>
      <c r="AP272" s="13" t="s">
        <v>128</v>
      </c>
      <c r="AQ272" s="15" t="str">
        <f>VLOOKUP(AP272,'Axe 2 Règles de gestion'!$D$2:$F$146,3, FALSE)</f>
        <v>Lors de la demande initiale, l'agent doit être en activité.</v>
      </c>
      <c r="AR272" s="13" t="s">
        <v>130</v>
      </c>
      <c r="AS272" s="15" t="str">
        <f>VLOOKUP(AR272,'Axe 2 Règles de gestion'!$D$2:$F$146,3, FALSE)</f>
        <v>La date de début de la position doit être postérieure ou égale à la date d'entrée dans la FPE ou dans la carrière militaire.</v>
      </c>
      <c r="AT272" s="13" t="s">
        <v>132</v>
      </c>
      <c r="AU272" s="15" t="str">
        <f>VLOOKUP(AT272,'Axe 2 Règles de gestion'!$D$2:$F$146,3, FALSE)</f>
        <v>La date de début de position est à J+1 de la date de fin de position de l'occurrence précédente.</v>
      </c>
      <c r="AV272" s="13" t="s">
        <v>134</v>
      </c>
      <c r="AW272" s="15" t="str">
        <f>VLOOKUP(AV272,'Axe 2 Règles de gestion'!$D$2:$F$146,3, FALSE)</f>
        <v>La date de début de position doit être antérieure ou égale à la date de fin prévisionnelle de position.</v>
      </c>
      <c r="AX272" s="13" t="s">
        <v>136</v>
      </c>
      <c r="AY272" s="15" t="str">
        <f>VLOOKUP(AX272,'Axe 2 Règles de gestion'!$D$2:$F$146,3, FALSE)</f>
        <v>La date de début de position doit être antérieure ou égale à la date de fin réelle de position.</v>
      </c>
      <c r="AZ272" s="13" t="s">
        <v>138</v>
      </c>
      <c r="BA272" s="15" t="str">
        <f>VLOOKUP(AZ272,'Axe 2 Règles de gestion'!$D$2:$F$146,3, FALSE)</f>
        <v>La date de fin prévisionnelle de la position doit être antérieure à la date limite de départ à la retraite.</v>
      </c>
      <c r="BB272" s="13" t="s">
        <v>140</v>
      </c>
      <c r="BC272" s="15" t="str">
        <f>VLOOKUP(BB272,'Axe 2 Règles de gestion'!$D$2:$F$146,3, FALSE)</f>
        <v>La date de fin réelle de la position doit être antérieure à la date limite de départ à la retraite.</v>
      </c>
      <c r="BD272" s="13" t="s">
        <v>142</v>
      </c>
      <c r="BE272" s="15" t="str">
        <f>VLOOKUP(BD272,'Axe 2 Règles de gestion'!$D$2:$F$146,3, FALSE)</f>
        <v>La date de fin ou la date de fin prévisionnelle doit être saisie.</v>
      </c>
      <c r="BF272" s="13" t="s">
        <v>152</v>
      </c>
      <c r="BG272" s="15" t="str">
        <f>VLOOKUP(BF272,'Axe 2 Règles de gestion'!$D$2:$F$146,3, FALSE)</f>
        <v>La saisie d'une occurrence de congés/absences est interdite (date de fin réelle)</v>
      </c>
      <c r="BH272" s="13" t="s">
        <v>154</v>
      </c>
      <c r="BI272" s="15" t="str">
        <f>VLOOKUP(BH272,'Axe 2 Règles de gestion'!$D$2:$F$146,3, FALSE)</f>
        <v>La saisie d'une occurrence de congés/absences est interdite (date de fin prévisionnelle)</v>
      </c>
      <c r="BJ272" s="13"/>
      <c r="BK272" s="15"/>
      <c r="BL272" s="13"/>
      <c r="BM272" s="15"/>
      <c r="BN272" s="13"/>
      <c r="BO272" s="15"/>
      <c r="BP272" s="13"/>
      <c r="BQ272" s="15"/>
      <c r="BR272" s="13"/>
      <c r="BS272" s="15"/>
      <c r="BT272" s="13"/>
      <c r="BU272" s="15"/>
      <c r="BV272" s="13"/>
      <c r="BW272" s="15"/>
    </row>
    <row r="273" spans="1:75" ht="145" x14ac:dyDescent="0.35">
      <c r="A273" s="13" t="s">
        <v>165</v>
      </c>
      <c r="B273" s="13" t="s">
        <v>109</v>
      </c>
      <c r="C273" s="14">
        <v>44715.467361111114</v>
      </c>
      <c r="D273" s="13" t="s">
        <v>78</v>
      </c>
      <c r="E273" s="15" t="s">
        <v>79</v>
      </c>
      <c r="F273" s="13" t="s">
        <v>80</v>
      </c>
      <c r="G273" s="15" t="s">
        <v>81</v>
      </c>
      <c r="H273" s="13" t="s">
        <v>483</v>
      </c>
      <c r="I273" s="15" t="s">
        <v>484</v>
      </c>
      <c r="J273" s="15" t="s">
        <v>485</v>
      </c>
      <c r="K273" s="15" t="s">
        <v>486</v>
      </c>
      <c r="L273" s="13" t="s">
        <v>489</v>
      </c>
      <c r="M273" s="15" t="s">
        <v>490</v>
      </c>
      <c r="N273" s="13" t="s">
        <v>88</v>
      </c>
      <c r="O273" s="15" t="s">
        <v>97</v>
      </c>
      <c r="P273" s="15" t="s">
        <v>98</v>
      </c>
      <c r="Q273" s="15" t="s">
        <v>177</v>
      </c>
      <c r="R273" s="13" t="s">
        <v>178</v>
      </c>
      <c r="S273" s="13" t="s">
        <v>179</v>
      </c>
      <c r="T273" s="13" t="s">
        <v>112</v>
      </c>
      <c r="U273" s="14">
        <v>40725</v>
      </c>
      <c r="V273" s="14">
        <v>44633</v>
      </c>
      <c r="W273" s="15" t="s">
        <v>530</v>
      </c>
      <c r="X273" s="13" t="s">
        <v>521</v>
      </c>
      <c r="Y273" s="15" t="str">
        <f>VLOOKUP(X273,'Axe 2 Règles de gestion'!$D$2:$F$146,3, FALSE)</f>
        <v>L'agent doit avoir épuisé ses droits statutaires à congé.</v>
      </c>
      <c r="Z273" s="13" t="s">
        <v>531</v>
      </c>
      <c r="AA273" s="15" t="str">
        <f>VLOOKUP(Z273,'Axe 2 Règles de gestion'!$D$2:$F$146,3, FALSE)</f>
        <v>L'agent peut renouveler le congé sans traitement 2 fois.</v>
      </c>
      <c r="AB273" s="13"/>
      <c r="AC273" s="15"/>
      <c r="AD273" s="13"/>
      <c r="AE273" s="15"/>
      <c r="AF273" s="13" t="s">
        <v>524</v>
      </c>
      <c r="AG273" s="15" t="str">
        <f>VLOOKUP(AF273,'Axe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73" s="13" t="s">
        <v>525</v>
      </c>
      <c r="AI273" s="15" t="str">
        <f>VLOOKUP(AH273,'Axe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73" s="13" t="s">
        <v>532</v>
      </c>
      <c r="AK273" s="15" t="str">
        <f>VLOOKUP(AJ273,'Axe 2 Règles de gestion'!$D$2:$F$146,3, FALSE)</f>
        <v>Le congé sans traitement pour raison de santé peut être renouvelé 2 fois par période maximale d'un an soit au total pour une durée cumulée prévisionnelle de 3 ans.</v>
      </c>
      <c r="AL273" s="13" t="s">
        <v>533</v>
      </c>
      <c r="AM273" s="15" t="str">
        <f>VLOOKUP(AL273,'Axe 2 Règles de gestion'!$D$2:$F$146,3, FALSE)</f>
        <v>Le congé sans traitement pour raison de santé peut être renouvelé 2 fois par période maximale d'un an soit au total pour une durée cumulée réelle de 3 ans.</v>
      </c>
      <c r="AN273" s="13"/>
      <c r="AO273" s="15"/>
      <c r="AP273" s="13" t="s">
        <v>130</v>
      </c>
      <c r="AQ273" s="15" t="str">
        <f>VLOOKUP(AP273,'Axe 2 Règles de gestion'!$D$2:$F$146,3, FALSE)</f>
        <v>La date de début de la position doit être postérieure ou égale à la date d'entrée dans la FPE ou dans la carrière militaire.</v>
      </c>
      <c r="AR273" s="13" t="s">
        <v>132</v>
      </c>
      <c r="AS273" s="15" t="str">
        <f>VLOOKUP(AR273,'Axe 2 Règles de gestion'!$D$2:$F$146,3, FALSE)</f>
        <v>La date de début de position est à J+1 de la date de fin de position de l'occurrence précédente.</v>
      </c>
      <c r="AT273" s="13" t="s">
        <v>134</v>
      </c>
      <c r="AU273" s="15" t="str">
        <f>VLOOKUP(AT273,'Axe 2 Règles de gestion'!$D$2:$F$146,3, FALSE)</f>
        <v>La date de début de position doit être antérieure ou égale à la date de fin prévisionnelle de position.</v>
      </c>
      <c r="AV273" s="13" t="s">
        <v>136</v>
      </c>
      <c r="AW273" s="15" t="str">
        <f>VLOOKUP(AV273,'Axe 2 Règles de gestion'!$D$2:$F$146,3, FALSE)</f>
        <v>La date de début de position doit être antérieure ou égale à la date de fin réelle de position.</v>
      </c>
      <c r="AX273" s="13" t="s">
        <v>138</v>
      </c>
      <c r="AY273" s="15" t="str">
        <f>VLOOKUP(AX273,'Axe 2 Règles de gestion'!$D$2:$F$146,3, FALSE)</f>
        <v>La date de fin prévisionnelle de la position doit être antérieure à la date limite de départ à la retraite.</v>
      </c>
      <c r="AZ273" s="13" t="s">
        <v>140</v>
      </c>
      <c r="BA273" s="15" t="str">
        <f>VLOOKUP(AZ273,'Axe 2 Règles de gestion'!$D$2:$F$146,3, FALSE)</f>
        <v>La date de fin réelle de la position doit être antérieure à la date limite de départ à la retraite.</v>
      </c>
      <c r="BB273" s="13" t="s">
        <v>142</v>
      </c>
      <c r="BC273" s="15" t="str">
        <f>VLOOKUP(BB273,'Axe 2 Règles de gestion'!$D$2:$F$146,3, FALSE)</f>
        <v>La date de fin ou la date de fin prévisionnelle doit être saisie.</v>
      </c>
      <c r="BD273" s="13" t="s">
        <v>152</v>
      </c>
      <c r="BE273" s="15" t="str">
        <f>VLOOKUP(BD273,'Axe 2 Règles de gestion'!$D$2:$F$146,3, FALSE)</f>
        <v>La saisie d'une occurrence de congés/absences est interdite (date de fin réelle)</v>
      </c>
      <c r="BF273" s="13" t="s">
        <v>154</v>
      </c>
      <c r="BG273" s="15" t="str">
        <f>VLOOKUP(BF273,'Axe 2 Règles de gestion'!$D$2:$F$146,3, FALSE)</f>
        <v>La saisie d'une occurrence de congés/absences est interdite (date de fin prévisionnelle)</v>
      </c>
      <c r="BH273" s="13"/>
      <c r="BI273" s="15"/>
      <c r="BJ273" s="13"/>
      <c r="BK273" s="15"/>
      <c r="BL273" s="13"/>
      <c r="BM273" s="15"/>
      <c r="BN273" s="13"/>
      <c r="BO273" s="15"/>
      <c r="BP273" s="13"/>
      <c r="BQ273" s="15"/>
      <c r="BR273" s="13"/>
      <c r="BS273" s="15"/>
      <c r="BT273" s="13"/>
      <c r="BU273" s="15"/>
      <c r="BV273" s="13"/>
      <c r="BW273" s="15"/>
    </row>
    <row r="274" spans="1:75" ht="145" x14ac:dyDescent="0.35">
      <c r="A274" s="13" t="s">
        <v>165</v>
      </c>
      <c r="B274" s="13" t="s">
        <v>77</v>
      </c>
      <c r="C274" s="14">
        <v>44715.468055555553</v>
      </c>
      <c r="D274" s="13" t="s">
        <v>78</v>
      </c>
      <c r="E274" s="15" t="s">
        <v>79</v>
      </c>
      <c r="F274" s="13" t="s">
        <v>80</v>
      </c>
      <c r="G274" s="15" t="s">
        <v>81</v>
      </c>
      <c r="H274" s="13" t="s">
        <v>483</v>
      </c>
      <c r="I274" s="15" t="s">
        <v>484</v>
      </c>
      <c r="J274" s="15" t="s">
        <v>485</v>
      </c>
      <c r="K274" s="15" t="s">
        <v>486</v>
      </c>
      <c r="L274" s="13" t="s">
        <v>489</v>
      </c>
      <c r="M274" s="15" t="s">
        <v>490</v>
      </c>
      <c r="N274" s="13" t="s">
        <v>88</v>
      </c>
      <c r="O274" s="15" t="s">
        <v>97</v>
      </c>
      <c r="P274" s="15" t="s">
        <v>98</v>
      </c>
      <c r="Q274" s="15" t="s">
        <v>177</v>
      </c>
      <c r="R274" s="13" t="s">
        <v>178</v>
      </c>
      <c r="S274" s="13" t="s">
        <v>179</v>
      </c>
      <c r="T274" s="13" t="s">
        <v>112</v>
      </c>
      <c r="U274" s="14">
        <v>44634</v>
      </c>
      <c r="V274" s="14"/>
      <c r="W274" s="15" t="s">
        <v>534</v>
      </c>
      <c r="X274" s="13" t="s">
        <v>521</v>
      </c>
      <c r="Y274" s="15" t="str">
        <f>VLOOKUP(X274,'Axe 2 Règles de gestion'!$D$2:$F$146,3, FALSE)</f>
        <v>L'agent doit avoir épuisé ses droits statutaires à congé.</v>
      </c>
      <c r="Z274" s="13" t="s">
        <v>531</v>
      </c>
      <c r="AA274" s="15" t="str">
        <f>VLOOKUP(Z274,'Axe 2 Règles de gestion'!$D$2:$F$146,3, FALSE)</f>
        <v>L'agent peut renouveler le congé sans traitement 2 fois.</v>
      </c>
      <c r="AB274" s="13"/>
      <c r="AC274" s="15"/>
      <c r="AD274" s="13"/>
      <c r="AE274" s="15"/>
      <c r="AF274" s="13" t="s">
        <v>528</v>
      </c>
      <c r="AG274" s="15" t="str">
        <f>VLOOKUP(AF274,'Axe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74" s="13" t="s">
        <v>529</v>
      </c>
      <c r="AI274" s="15" t="str">
        <f>VLOOKUP(AH274,'Axe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74" s="13" t="s">
        <v>532</v>
      </c>
      <c r="AK274" s="15" t="str">
        <f>VLOOKUP(AJ274,'Axe 2 Règles de gestion'!$D$2:$F$146,3, FALSE)</f>
        <v>Le congé sans traitement pour raison de santé peut être renouvelé 2 fois par période maximale d'un an soit au total pour une durée cumulée prévisionnelle de 3 ans.</v>
      </c>
      <c r="AL274" s="13" t="s">
        <v>533</v>
      </c>
      <c r="AM274" s="15" t="str">
        <f>VLOOKUP(AL274,'Axe 2 Règles de gestion'!$D$2:$F$146,3, FALSE)</f>
        <v>Le congé sans traitement pour raison de santé peut être renouvelé 2 fois par période maximale d'un an soit au total pour une durée cumulée réelle de 3 ans.</v>
      </c>
      <c r="AN274" s="13"/>
      <c r="AO274" s="15"/>
      <c r="AP274" s="13" t="s">
        <v>130</v>
      </c>
      <c r="AQ274" s="15" t="str">
        <f>VLOOKUP(AP274,'Axe 2 Règles de gestion'!$D$2:$F$146,3, FALSE)</f>
        <v>La date de début de la position doit être postérieure ou égale à la date d'entrée dans la FPE ou dans la carrière militaire.</v>
      </c>
      <c r="AR274" s="13" t="s">
        <v>132</v>
      </c>
      <c r="AS274" s="15" t="str">
        <f>VLOOKUP(AR274,'Axe 2 Règles de gestion'!$D$2:$F$146,3, FALSE)</f>
        <v>La date de début de position est à J+1 de la date de fin de position de l'occurrence précédente.</v>
      </c>
      <c r="AT274" s="13" t="s">
        <v>134</v>
      </c>
      <c r="AU274" s="15" t="str">
        <f>VLOOKUP(AT274,'Axe 2 Règles de gestion'!$D$2:$F$146,3, FALSE)</f>
        <v>La date de début de position doit être antérieure ou égale à la date de fin prévisionnelle de position.</v>
      </c>
      <c r="AV274" s="13" t="s">
        <v>136</v>
      </c>
      <c r="AW274" s="15" t="str">
        <f>VLOOKUP(AV274,'Axe 2 Règles de gestion'!$D$2:$F$146,3, FALSE)</f>
        <v>La date de début de position doit être antérieure ou égale à la date de fin réelle de position.</v>
      </c>
      <c r="AX274" s="13" t="s">
        <v>138</v>
      </c>
      <c r="AY274" s="15" t="str">
        <f>VLOOKUP(AX274,'Axe 2 Règles de gestion'!$D$2:$F$146,3, FALSE)</f>
        <v>La date de fin prévisionnelle de la position doit être antérieure à la date limite de départ à la retraite.</v>
      </c>
      <c r="AZ274" s="13" t="s">
        <v>140</v>
      </c>
      <c r="BA274" s="15" t="str">
        <f>VLOOKUP(AZ274,'Axe 2 Règles de gestion'!$D$2:$F$146,3, FALSE)</f>
        <v>La date de fin réelle de la position doit être antérieure à la date limite de départ à la retraite.</v>
      </c>
      <c r="BB274" s="13" t="s">
        <v>142</v>
      </c>
      <c r="BC274" s="15" t="str">
        <f>VLOOKUP(BB274,'Axe 2 Règles de gestion'!$D$2:$F$146,3, FALSE)</f>
        <v>La date de fin ou la date de fin prévisionnelle doit être saisie.</v>
      </c>
      <c r="BD274" s="13" t="s">
        <v>152</v>
      </c>
      <c r="BE274" s="15" t="str">
        <f>VLOOKUP(BD274,'Axe 2 Règles de gestion'!$D$2:$F$146,3, FALSE)</f>
        <v>La saisie d'une occurrence de congés/absences est interdite (date de fin réelle)</v>
      </c>
      <c r="BF274" s="13" t="s">
        <v>154</v>
      </c>
      <c r="BG274" s="15" t="str">
        <f>VLOOKUP(BF274,'Axe 2 Règles de gestion'!$D$2:$F$146,3, FALSE)</f>
        <v>La saisie d'une occurrence de congés/absences est interdite (date de fin prévisionnelle)</v>
      </c>
      <c r="BH274" s="13"/>
      <c r="BI274" s="15"/>
      <c r="BJ274" s="13"/>
      <c r="BK274" s="15"/>
      <c r="BL274" s="13"/>
      <c r="BM274" s="15"/>
      <c r="BN274" s="13"/>
      <c r="BO274" s="15"/>
      <c r="BP274" s="13"/>
      <c r="BQ274" s="15"/>
      <c r="BR274" s="13"/>
      <c r="BS274" s="15"/>
      <c r="BT274" s="13"/>
      <c r="BU274" s="15"/>
      <c r="BV274" s="13"/>
      <c r="BW274" s="15"/>
    </row>
    <row r="275" spans="1:75" ht="145" x14ac:dyDescent="0.35">
      <c r="A275" s="13" t="s">
        <v>165</v>
      </c>
      <c r="B275" s="13" t="s">
        <v>109</v>
      </c>
      <c r="C275" s="14">
        <v>44715.477777777778</v>
      </c>
      <c r="D275" s="13" t="s">
        <v>78</v>
      </c>
      <c r="E275" s="15" t="s">
        <v>79</v>
      </c>
      <c r="F275" s="13" t="s">
        <v>80</v>
      </c>
      <c r="G275" s="15" t="s">
        <v>81</v>
      </c>
      <c r="H275" s="13" t="s">
        <v>483</v>
      </c>
      <c r="I275" s="15" t="s">
        <v>484</v>
      </c>
      <c r="J275" s="15" t="s">
        <v>485</v>
      </c>
      <c r="K275" s="15" t="s">
        <v>486</v>
      </c>
      <c r="L275" s="13" t="s">
        <v>491</v>
      </c>
      <c r="M275" s="15" t="s">
        <v>492</v>
      </c>
      <c r="N275" s="13" t="s">
        <v>101</v>
      </c>
      <c r="O275" s="15" t="s">
        <v>102</v>
      </c>
      <c r="P275" s="15" t="s">
        <v>103</v>
      </c>
      <c r="Q275" s="15" t="s">
        <v>177</v>
      </c>
      <c r="R275" s="13" t="s">
        <v>178</v>
      </c>
      <c r="S275" s="13" t="s">
        <v>179</v>
      </c>
      <c r="T275" s="13" t="s">
        <v>112</v>
      </c>
      <c r="U275" s="14">
        <v>40725</v>
      </c>
      <c r="V275" s="14">
        <v>44633</v>
      </c>
      <c r="W275" s="15" t="s">
        <v>535</v>
      </c>
      <c r="X275" s="13" t="s">
        <v>536</v>
      </c>
      <c r="Y275" s="15" t="str">
        <f>VLOOKUP(X275,'Axe 2 Règles de gestion'!$D$2:$F$146,3, FALSE)</f>
        <v>A l'issue du congé sans traitement, l'avis de la commission de réforme est nécessaire.</v>
      </c>
      <c r="Z275" s="13"/>
      <c r="AA275" s="15"/>
      <c r="AB275" s="13"/>
      <c r="AC275" s="15"/>
      <c r="AD275" s="13"/>
      <c r="AE275" s="15"/>
      <c r="AF275" s="13" t="s">
        <v>524</v>
      </c>
      <c r="AG275" s="15" t="str">
        <f>VLOOKUP(AF275,'Axe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H275" s="13" t="s">
        <v>525</v>
      </c>
      <c r="AI275" s="15" t="str">
        <f>VLOOKUP(AH275,'Axe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J275" s="13" t="s">
        <v>532</v>
      </c>
      <c r="AK275" s="15" t="str">
        <f>VLOOKUP(AJ275,'Axe 2 Règles de gestion'!$D$2:$F$146,3, FALSE)</f>
        <v>Le congé sans traitement pour raison de santé peut être renouvelé 2 fois par période maximale d'un an soit au total pour une durée cumulée prévisionnelle de 3 ans.</v>
      </c>
      <c r="AL275" s="13" t="s">
        <v>533</v>
      </c>
      <c r="AM275" s="15" t="str">
        <f>VLOOKUP(AL275,'Axe 2 Règles de gestion'!$D$2:$F$146,3, FALSE)</f>
        <v>Le congé sans traitement pour raison de santé peut être renouvelé 2 fois par période maximale d'un an soit au total pour une durée cumulée réelle de 3 ans.</v>
      </c>
      <c r="AN275" s="13"/>
      <c r="AO275" s="15"/>
      <c r="AP275" s="13" t="s">
        <v>134</v>
      </c>
      <c r="AQ275" s="15" t="str">
        <f>VLOOKUP(AP275,'Axe 2 Règles de gestion'!$D$2:$F$146,3, FALSE)</f>
        <v>La date de début de position doit être antérieure ou égale à la date de fin prévisionnelle de position.</v>
      </c>
      <c r="AR275" s="13" t="s">
        <v>136</v>
      </c>
      <c r="AS275" s="15" t="str">
        <f>VLOOKUP(AR275,'Axe 2 Règles de gestion'!$D$2:$F$146,3, FALSE)</f>
        <v>La date de début de position doit être antérieure ou égale à la date de fin réelle de position.</v>
      </c>
      <c r="AT275" s="13" t="s">
        <v>138</v>
      </c>
      <c r="AU275" s="15" t="str">
        <f>VLOOKUP(AT275,'Axe 2 Règles de gestion'!$D$2:$F$146,3, FALSE)</f>
        <v>La date de fin prévisionnelle de la position doit être antérieure à la date limite de départ à la retraite.</v>
      </c>
      <c r="AV275" s="13" t="s">
        <v>140</v>
      </c>
      <c r="AW275" s="15" t="str">
        <f>VLOOKUP(AV275,'Axe 2 Règles de gestion'!$D$2:$F$146,3, FALSE)</f>
        <v>La date de fin réelle de la position doit être antérieure à la date limite de départ à la retraite.</v>
      </c>
      <c r="AX275" s="13" t="s">
        <v>142</v>
      </c>
      <c r="AY275" s="15" t="str">
        <f>VLOOKUP(AX275,'Axe 2 Règles de gestion'!$D$2:$F$146,3, FALSE)</f>
        <v>La date de fin ou la date de fin prévisionnelle doit être saisie.</v>
      </c>
      <c r="AZ275" s="13" t="s">
        <v>152</v>
      </c>
      <c r="BA275" s="15" t="str">
        <f>VLOOKUP(AZ275,'Axe 2 Règles de gestion'!$D$2:$F$146,3, FALSE)</f>
        <v>La saisie d'une occurrence de congés/absences est interdite (date de fin réelle)</v>
      </c>
      <c r="BB275" s="13" t="s">
        <v>154</v>
      </c>
      <c r="BC275" s="15" t="str">
        <f>VLOOKUP(BB275,'Axe 2 Règles de gestion'!$D$2:$F$146,3, FALSE)</f>
        <v>La saisie d'une occurrence de congés/absences est interdite (date de fin prévisionnelle)</v>
      </c>
      <c r="BD275" s="13"/>
      <c r="BE275" s="15"/>
      <c r="BF275" s="13"/>
      <c r="BG275" s="15"/>
      <c r="BH275" s="13"/>
      <c r="BI275" s="15"/>
      <c r="BJ275" s="13"/>
      <c r="BK275" s="15"/>
      <c r="BL275" s="13"/>
      <c r="BM275" s="15"/>
      <c r="BN275" s="13"/>
      <c r="BO275" s="15"/>
      <c r="BP275" s="13"/>
      <c r="BQ275" s="15"/>
      <c r="BR275" s="13"/>
      <c r="BS275" s="15"/>
      <c r="BT275" s="13"/>
      <c r="BU275" s="15"/>
      <c r="BV275" s="13"/>
      <c r="BW275" s="15"/>
    </row>
    <row r="276" spans="1:75" ht="145" x14ac:dyDescent="0.35">
      <c r="A276" s="13" t="s">
        <v>165</v>
      </c>
      <c r="B276" s="13" t="s">
        <v>77</v>
      </c>
      <c r="C276" s="14">
        <v>44715.478472222225</v>
      </c>
      <c r="D276" s="13" t="s">
        <v>78</v>
      </c>
      <c r="E276" s="15" t="s">
        <v>79</v>
      </c>
      <c r="F276" s="13" t="s">
        <v>80</v>
      </c>
      <c r="G276" s="15" t="s">
        <v>81</v>
      </c>
      <c r="H276" s="13" t="s">
        <v>483</v>
      </c>
      <c r="I276" s="15" t="s">
        <v>484</v>
      </c>
      <c r="J276" s="15" t="s">
        <v>485</v>
      </c>
      <c r="K276" s="15" t="s">
        <v>486</v>
      </c>
      <c r="L276" s="13" t="s">
        <v>491</v>
      </c>
      <c r="M276" s="15" t="s">
        <v>492</v>
      </c>
      <c r="N276" s="13" t="s">
        <v>101</v>
      </c>
      <c r="O276" s="15" t="s">
        <v>102</v>
      </c>
      <c r="P276" s="15" t="s">
        <v>103</v>
      </c>
      <c r="Q276" s="15" t="s">
        <v>177</v>
      </c>
      <c r="R276" s="13" t="s">
        <v>178</v>
      </c>
      <c r="S276" s="13" t="s">
        <v>179</v>
      </c>
      <c r="T276" s="13" t="s">
        <v>112</v>
      </c>
      <c r="U276" s="14">
        <v>44634</v>
      </c>
      <c r="V276" s="14"/>
      <c r="W276" s="15" t="s">
        <v>537</v>
      </c>
      <c r="X276" s="13" t="s">
        <v>538</v>
      </c>
      <c r="Y276" s="15" t="str">
        <f>VLOOKUP(X276,'Axe 2 Règles de gestion'!$D$2:$F$146,3, FALSE)</f>
        <v>A l'issue du congé sans traitement, l'avis du conseil médical est nécessaire.</v>
      </c>
      <c r="Z276" s="13"/>
      <c r="AA276" s="15"/>
      <c r="AB276" s="13"/>
      <c r="AC276" s="15"/>
      <c r="AD276" s="13"/>
      <c r="AE276" s="15"/>
      <c r="AF276" s="13" t="s">
        <v>528</v>
      </c>
      <c r="AG276" s="15" t="str">
        <f>VLOOKUP(AF276,'Axe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H276" s="13" t="s">
        <v>529</v>
      </c>
      <c r="AI276" s="15" t="str">
        <f>VLOOKUP(AH276,'Axe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J276" s="13" t="s">
        <v>532</v>
      </c>
      <c r="AK276" s="15" t="str">
        <f>VLOOKUP(AJ276,'Axe 2 Règles de gestion'!$D$2:$F$146,3, FALSE)</f>
        <v>Le congé sans traitement pour raison de santé peut être renouvelé 2 fois par période maximale d'un an soit au total pour une durée cumulée prévisionnelle de 3 ans.</v>
      </c>
      <c r="AL276" s="13" t="s">
        <v>533</v>
      </c>
      <c r="AM276" s="15" t="str">
        <f>VLOOKUP(AL276,'Axe 2 Règles de gestion'!$D$2:$F$146,3, FALSE)</f>
        <v>Le congé sans traitement pour raison de santé peut être renouvelé 2 fois par période maximale d'un an soit au total pour une durée cumulée réelle de 3 ans.</v>
      </c>
      <c r="AN276" s="13"/>
      <c r="AO276" s="15"/>
      <c r="AP276" s="13" t="s">
        <v>134</v>
      </c>
      <c r="AQ276" s="15" t="str">
        <f>VLOOKUP(AP276,'Axe 2 Règles de gestion'!$D$2:$F$146,3, FALSE)</f>
        <v>La date de début de position doit être antérieure ou égale à la date de fin prévisionnelle de position.</v>
      </c>
      <c r="AR276" s="13" t="s">
        <v>136</v>
      </c>
      <c r="AS276" s="15" t="str">
        <f>VLOOKUP(AR276,'Axe 2 Règles de gestion'!$D$2:$F$146,3, FALSE)</f>
        <v>La date de début de position doit être antérieure ou égale à la date de fin réelle de position.</v>
      </c>
      <c r="AT276" s="13" t="s">
        <v>138</v>
      </c>
      <c r="AU276" s="15" t="str">
        <f>VLOOKUP(AT276,'Axe 2 Règles de gestion'!$D$2:$F$146,3, FALSE)</f>
        <v>La date de fin prévisionnelle de la position doit être antérieure à la date limite de départ à la retraite.</v>
      </c>
      <c r="AV276" s="13" t="s">
        <v>140</v>
      </c>
      <c r="AW276" s="15" t="str">
        <f>VLOOKUP(AV276,'Axe 2 Règles de gestion'!$D$2:$F$146,3, FALSE)</f>
        <v>La date de fin réelle de la position doit être antérieure à la date limite de départ à la retraite.</v>
      </c>
      <c r="AX276" s="13" t="s">
        <v>142</v>
      </c>
      <c r="AY276" s="15" t="str">
        <f>VLOOKUP(AX276,'Axe 2 Règles de gestion'!$D$2:$F$146,3, FALSE)</f>
        <v>La date de fin ou la date de fin prévisionnelle doit être saisie.</v>
      </c>
      <c r="AZ276" s="13" t="s">
        <v>152</v>
      </c>
      <c r="BA276" s="15" t="str">
        <f>VLOOKUP(AZ276,'Axe 2 Règles de gestion'!$D$2:$F$146,3, FALSE)</f>
        <v>La saisie d'une occurrence de congés/absences est interdite (date de fin réelle)</v>
      </c>
      <c r="BB276" s="13" t="s">
        <v>154</v>
      </c>
      <c r="BC276" s="15" t="str">
        <f>VLOOKUP(BB276,'Axe 2 Règles de gestion'!$D$2:$F$146,3, FALSE)</f>
        <v>La saisie d'une occurrence de congés/absences est interdite (date de fin prévisionnelle)</v>
      </c>
      <c r="BD276" s="13"/>
      <c r="BE276" s="15"/>
      <c r="BF276" s="13"/>
      <c r="BG276" s="15"/>
      <c r="BH276" s="13"/>
      <c r="BI276" s="15"/>
      <c r="BJ276" s="13"/>
      <c r="BK276" s="15"/>
      <c r="BL276" s="13"/>
      <c r="BM276" s="15"/>
      <c r="BN276" s="13"/>
      <c r="BO276" s="15"/>
      <c r="BP276" s="13"/>
      <c r="BQ276" s="15"/>
      <c r="BR276" s="13"/>
      <c r="BS276" s="15"/>
      <c r="BT276" s="13"/>
      <c r="BU276" s="15"/>
      <c r="BV276" s="13"/>
      <c r="BW276" s="15"/>
    </row>
    <row r="277" spans="1:75" ht="130.5" x14ac:dyDescent="0.35">
      <c r="A277" s="13" t="s">
        <v>165</v>
      </c>
      <c r="B277" s="13" t="s">
        <v>109</v>
      </c>
      <c r="C277" s="14">
        <v>44715.458333333336</v>
      </c>
      <c r="D277" s="13" t="s">
        <v>78</v>
      </c>
      <c r="E277" s="15" t="s">
        <v>79</v>
      </c>
      <c r="F277" s="13" t="s">
        <v>80</v>
      </c>
      <c r="G277" s="15" t="s">
        <v>81</v>
      </c>
      <c r="H277" s="13" t="s">
        <v>483</v>
      </c>
      <c r="I277" s="15" t="s">
        <v>484</v>
      </c>
      <c r="J277" s="15" t="s">
        <v>485</v>
      </c>
      <c r="K277" s="15" t="s">
        <v>486</v>
      </c>
      <c r="L277" s="13" t="s">
        <v>487</v>
      </c>
      <c r="M277" s="15" t="s">
        <v>488</v>
      </c>
      <c r="N277" s="13" t="s">
        <v>88</v>
      </c>
      <c r="O277" s="15" t="s">
        <v>89</v>
      </c>
      <c r="P277" s="15" t="s">
        <v>90</v>
      </c>
      <c r="Q277" s="15" t="s">
        <v>201</v>
      </c>
      <c r="R277" s="13" t="s">
        <v>202</v>
      </c>
      <c r="S277" s="13" t="s">
        <v>179</v>
      </c>
      <c r="T277" s="13" t="s">
        <v>112</v>
      </c>
      <c r="U277" s="14">
        <v>40725</v>
      </c>
      <c r="V277" s="14">
        <v>44633</v>
      </c>
      <c r="W277" s="15" t="s">
        <v>539</v>
      </c>
      <c r="X277" s="13" t="s">
        <v>540</v>
      </c>
      <c r="Y277" s="15" t="str">
        <f>VLOOKUP(X277,'Axe 2 Règles de gestion'!$D$2:$F$146,3, FALSE)</f>
        <v>Le congé sans traitement est accordé après avis du comité médical.</v>
      </c>
      <c r="Z277" s="13"/>
      <c r="AA277" s="15"/>
      <c r="AB277" s="13"/>
      <c r="AC277" s="15"/>
      <c r="AD277" s="13"/>
      <c r="AE277" s="15"/>
      <c r="AF277" s="13" t="s">
        <v>541</v>
      </c>
      <c r="AG277" s="15" t="str">
        <f>VLOOKUP(AF277,'Axe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H277" s="13" t="s">
        <v>543</v>
      </c>
      <c r="AI277" s="15" t="str">
        <f>VLOOKUP(AH277,'Axe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J277" s="13"/>
      <c r="AK277" s="15"/>
      <c r="AL277" s="13"/>
      <c r="AM277" s="15"/>
      <c r="AN277" s="13"/>
      <c r="AO277" s="15"/>
      <c r="AP277" s="13" t="s">
        <v>128</v>
      </c>
      <c r="AQ277" s="15" t="str">
        <f>VLOOKUP(AP277,'Axe 2 Règles de gestion'!$D$2:$F$146,3, FALSE)</f>
        <v>Lors de la demande initiale, l'agent doit être en activité.</v>
      </c>
      <c r="AR277" s="13" t="s">
        <v>132</v>
      </c>
      <c r="AS277" s="15" t="str">
        <f>VLOOKUP(AR277,'Axe 2 Règles de gestion'!$D$2:$F$146,3, FALSE)</f>
        <v>La date de début de position est à J+1 de la date de fin de position de l'occurrence précédente.</v>
      </c>
      <c r="AT277" s="13" t="s">
        <v>134</v>
      </c>
      <c r="AU277" s="15" t="str">
        <f>VLOOKUP(AT277,'Axe 2 Règles de gestion'!$D$2:$F$146,3, FALSE)</f>
        <v>La date de début de position doit être antérieure ou égale à la date de fin prévisionnelle de position.</v>
      </c>
      <c r="AV277" s="13" t="s">
        <v>136</v>
      </c>
      <c r="AW277" s="15" t="str">
        <f>VLOOKUP(AV277,'Axe 2 Règles de gestion'!$D$2:$F$146,3, FALSE)</f>
        <v>La date de début de position doit être antérieure ou égale à la date de fin réelle de position.</v>
      </c>
      <c r="AX277" s="13" t="s">
        <v>138</v>
      </c>
      <c r="AY277" s="15" t="str">
        <f>VLOOKUP(AX277,'Axe 2 Règles de gestion'!$D$2:$F$146,3, FALSE)</f>
        <v>La date de fin prévisionnelle de la position doit être antérieure à la date limite de départ à la retraite.</v>
      </c>
      <c r="AZ277" s="13" t="s">
        <v>140</v>
      </c>
      <c r="BA277" s="15" t="str">
        <f>VLOOKUP(AZ277,'Axe 2 Règles de gestion'!$D$2:$F$146,3, FALSE)</f>
        <v>La date de fin réelle de la position doit être antérieure à la date limite de départ à la retraite.</v>
      </c>
      <c r="BB277" s="13" t="s">
        <v>142</v>
      </c>
      <c r="BC277" s="15" t="str">
        <f>VLOOKUP(BB277,'Axe 2 Règles de gestion'!$D$2:$F$146,3, FALSE)</f>
        <v>La date de fin ou la date de fin prévisionnelle doit être saisie.</v>
      </c>
      <c r="BD277" s="13" t="s">
        <v>211</v>
      </c>
      <c r="BE277" s="15" t="str">
        <f>VLOOKUP(BD277,'Axe 2 Règles de gestion'!$D$2:$F$146,3, FALSE)</f>
        <v>La date de début de la position doit être postérieure ou égale à la date de début du lien juridique.</v>
      </c>
      <c r="BF277" s="13" t="s">
        <v>213</v>
      </c>
      <c r="BG277" s="15" t="str">
        <f>VLOOKUP(BF277,'Axe 2 Règles de gestion'!$D$2:$F$146,3, FALSE)</f>
        <v>La date de fin réelle de la position doit être antérieure ou égale à la date de fin réelle ou prévisionnelle du lien juridique.</v>
      </c>
      <c r="BH277" s="13" t="s">
        <v>215</v>
      </c>
      <c r="BI277" s="15" t="str">
        <f>VLOOKUP(BH277,'Axe 2 Règles de gestion'!$D$2:$F$146,3, FALSE)</f>
        <v>La date de fin prévisionnelle de la position doit être antérieure ou égale à la date de fin réelle ou prévisionnelle du lien juridique.</v>
      </c>
      <c r="BJ277" s="13" t="s">
        <v>152</v>
      </c>
      <c r="BK277" s="15" t="str">
        <f>VLOOKUP(BJ277,'Axe 2 Règles de gestion'!$D$2:$F$146,3, FALSE)</f>
        <v>La saisie d'une occurrence de congés/absences est interdite (date de fin réelle)</v>
      </c>
      <c r="BL277" s="13" t="s">
        <v>154</v>
      </c>
      <c r="BM277" s="15" t="str">
        <f>VLOOKUP(BL277,'Axe 2 Règles de gestion'!$D$2:$F$146,3, FALSE)</f>
        <v>La saisie d'une occurrence de congés/absences est interdite (date de fin prévisionnelle)</v>
      </c>
      <c r="BN277" s="13"/>
      <c r="BO277" s="15"/>
      <c r="BP277" s="13"/>
      <c r="BQ277" s="15"/>
      <c r="BR277" s="13"/>
      <c r="BS277" s="15"/>
      <c r="BT277" s="13"/>
      <c r="BU277" s="15"/>
      <c r="BV277" s="13"/>
      <c r="BW277" s="15"/>
    </row>
    <row r="278" spans="1:75" ht="130.5" x14ac:dyDescent="0.35">
      <c r="A278" s="13" t="s">
        <v>165</v>
      </c>
      <c r="B278" s="13" t="s">
        <v>77</v>
      </c>
      <c r="C278" s="14">
        <v>44715.459027777775</v>
      </c>
      <c r="D278" s="13" t="s">
        <v>78</v>
      </c>
      <c r="E278" s="15" t="s">
        <v>79</v>
      </c>
      <c r="F278" s="13" t="s">
        <v>80</v>
      </c>
      <c r="G278" s="15" t="s">
        <v>81</v>
      </c>
      <c r="H278" s="13" t="s">
        <v>483</v>
      </c>
      <c r="I278" s="15" t="s">
        <v>484</v>
      </c>
      <c r="J278" s="15" t="s">
        <v>485</v>
      </c>
      <c r="K278" s="15" t="s">
        <v>486</v>
      </c>
      <c r="L278" s="13" t="s">
        <v>487</v>
      </c>
      <c r="M278" s="15" t="s">
        <v>488</v>
      </c>
      <c r="N278" s="13" t="s">
        <v>88</v>
      </c>
      <c r="O278" s="15" t="s">
        <v>89</v>
      </c>
      <c r="P278" s="15" t="s">
        <v>90</v>
      </c>
      <c r="Q278" s="15" t="s">
        <v>201</v>
      </c>
      <c r="R278" s="13" t="s">
        <v>202</v>
      </c>
      <c r="S278" s="13" t="s">
        <v>179</v>
      </c>
      <c r="T278" s="13" t="s">
        <v>112</v>
      </c>
      <c r="U278" s="14">
        <v>44634</v>
      </c>
      <c r="V278" s="14"/>
      <c r="W278" s="15" t="s">
        <v>545</v>
      </c>
      <c r="X278" s="13" t="s">
        <v>546</v>
      </c>
      <c r="Y278" s="15" t="str">
        <f>VLOOKUP(X278,'Axe 2 Règles de gestion'!$D$2:$F$146,3, FALSE)</f>
        <v>Le congé sans traitement est accordé après avis du conseil médical.</v>
      </c>
      <c r="Z278" s="13"/>
      <c r="AA278" s="15"/>
      <c r="AB278" s="13"/>
      <c r="AC278" s="15"/>
      <c r="AD278" s="13"/>
      <c r="AE278" s="15"/>
      <c r="AF278" s="13" t="s">
        <v>547</v>
      </c>
      <c r="AG278" s="15" t="str">
        <f>VLOOKUP(AF278,'Axe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H278" s="13" t="s">
        <v>549</v>
      </c>
      <c r="AI278" s="15" t="str">
        <f>VLOOKUP(AH278,'Axe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J278" s="13"/>
      <c r="AK278" s="15"/>
      <c r="AL278" s="13"/>
      <c r="AM278" s="15"/>
      <c r="AN278" s="13"/>
      <c r="AO278" s="15"/>
      <c r="AP278" s="13" t="s">
        <v>128</v>
      </c>
      <c r="AQ278" s="15" t="str">
        <f>VLOOKUP(AP278,'Axe 2 Règles de gestion'!$D$2:$F$146,3, FALSE)</f>
        <v>Lors de la demande initiale, l'agent doit être en activité.</v>
      </c>
      <c r="AR278" s="13" t="s">
        <v>132</v>
      </c>
      <c r="AS278" s="15" t="str">
        <f>VLOOKUP(AR278,'Axe 2 Règles de gestion'!$D$2:$F$146,3, FALSE)</f>
        <v>La date de début de position est à J+1 de la date de fin de position de l'occurrence précédente.</v>
      </c>
      <c r="AT278" s="13" t="s">
        <v>134</v>
      </c>
      <c r="AU278" s="15" t="str">
        <f>VLOOKUP(AT278,'Axe 2 Règles de gestion'!$D$2:$F$146,3, FALSE)</f>
        <v>La date de début de position doit être antérieure ou égale à la date de fin prévisionnelle de position.</v>
      </c>
      <c r="AV278" s="13" t="s">
        <v>136</v>
      </c>
      <c r="AW278" s="15" t="str">
        <f>VLOOKUP(AV278,'Axe 2 Règles de gestion'!$D$2:$F$146,3, FALSE)</f>
        <v>La date de début de position doit être antérieure ou égale à la date de fin réelle de position.</v>
      </c>
      <c r="AX278" s="13" t="s">
        <v>138</v>
      </c>
      <c r="AY278" s="15" t="str">
        <f>VLOOKUP(AX278,'Axe 2 Règles de gestion'!$D$2:$F$146,3, FALSE)</f>
        <v>La date de fin prévisionnelle de la position doit être antérieure à la date limite de départ à la retraite.</v>
      </c>
      <c r="AZ278" s="13" t="s">
        <v>140</v>
      </c>
      <c r="BA278" s="15" t="str">
        <f>VLOOKUP(AZ278,'Axe 2 Règles de gestion'!$D$2:$F$146,3, FALSE)</f>
        <v>La date de fin réelle de la position doit être antérieure à la date limite de départ à la retraite.</v>
      </c>
      <c r="BB278" s="13" t="s">
        <v>142</v>
      </c>
      <c r="BC278" s="15" t="str">
        <f>VLOOKUP(BB278,'Axe 2 Règles de gestion'!$D$2:$F$146,3, FALSE)</f>
        <v>La date de fin ou la date de fin prévisionnelle doit être saisie.</v>
      </c>
      <c r="BD278" s="13" t="s">
        <v>211</v>
      </c>
      <c r="BE278" s="15" t="str">
        <f>VLOOKUP(BD278,'Axe 2 Règles de gestion'!$D$2:$F$146,3, FALSE)</f>
        <v>La date de début de la position doit être postérieure ou égale à la date de début du lien juridique.</v>
      </c>
      <c r="BF278" s="13" t="s">
        <v>213</v>
      </c>
      <c r="BG278" s="15" t="str">
        <f>VLOOKUP(BF278,'Axe 2 Règles de gestion'!$D$2:$F$146,3, FALSE)</f>
        <v>La date de fin réelle de la position doit être antérieure ou égale à la date de fin réelle ou prévisionnelle du lien juridique.</v>
      </c>
      <c r="BH278" s="13" t="s">
        <v>215</v>
      </c>
      <c r="BI278" s="15" t="str">
        <f>VLOOKUP(BH278,'Axe 2 Règles de gestion'!$D$2:$F$146,3, FALSE)</f>
        <v>La date de fin prévisionnelle de la position doit être antérieure ou égale à la date de fin réelle ou prévisionnelle du lien juridique.</v>
      </c>
      <c r="BJ278" s="13" t="s">
        <v>152</v>
      </c>
      <c r="BK278" s="15" t="str">
        <f>VLOOKUP(BJ278,'Axe 2 Règles de gestion'!$D$2:$F$146,3, FALSE)</f>
        <v>La saisie d'une occurrence de congés/absences est interdite (date de fin réelle)</v>
      </c>
      <c r="BL278" s="13" t="s">
        <v>154</v>
      </c>
      <c r="BM278" s="15" t="str">
        <f>VLOOKUP(BL278,'Axe 2 Règles de gestion'!$D$2:$F$146,3, FALSE)</f>
        <v>La saisie d'une occurrence de congés/absences est interdite (date de fin prévisionnelle)</v>
      </c>
      <c r="BN278" s="13"/>
      <c r="BO278" s="15"/>
      <c r="BP278" s="13"/>
      <c r="BQ278" s="15"/>
      <c r="BR278" s="13"/>
      <c r="BS278" s="15"/>
      <c r="BT278" s="13"/>
      <c r="BU278" s="15"/>
      <c r="BV278" s="13"/>
      <c r="BW278" s="15"/>
    </row>
    <row r="279" spans="1:75" ht="130.5" x14ac:dyDescent="0.35">
      <c r="A279" s="13" t="s">
        <v>165</v>
      </c>
      <c r="B279" s="13" t="s">
        <v>109</v>
      </c>
      <c r="C279" s="14">
        <v>44715.463194444441</v>
      </c>
      <c r="D279" s="13" t="s">
        <v>78</v>
      </c>
      <c r="E279" s="15" t="s">
        <v>79</v>
      </c>
      <c r="F279" s="13" t="s">
        <v>80</v>
      </c>
      <c r="G279" s="15" t="s">
        <v>81</v>
      </c>
      <c r="H279" s="13" t="s">
        <v>483</v>
      </c>
      <c r="I279" s="15" t="s">
        <v>484</v>
      </c>
      <c r="J279" s="15" t="s">
        <v>485</v>
      </c>
      <c r="K279" s="15" t="s">
        <v>486</v>
      </c>
      <c r="L279" s="13" t="s">
        <v>489</v>
      </c>
      <c r="M279" s="15" t="s">
        <v>490</v>
      </c>
      <c r="N279" s="13" t="s">
        <v>88</v>
      </c>
      <c r="O279" s="15" t="s">
        <v>97</v>
      </c>
      <c r="P279" s="15" t="s">
        <v>98</v>
      </c>
      <c r="Q279" s="15" t="s">
        <v>201</v>
      </c>
      <c r="R279" s="13" t="s">
        <v>202</v>
      </c>
      <c r="S279" s="13" t="s">
        <v>179</v>
      </c>
      <c r="T279" s="13" t="s">
        <v>112</v>
      </c>
      <c r="U279" s="14">
        <v>40725</v>
      </c>
      <c r="V279" s="14">
        <v>44633</v>
      </c>
      <c r="W279" s="15" t="s">
        <v>551</v>
      </c>
      <c r="X279" s="13" t="s">
        <v>540</v>
      </c>
      <c r="Y279" s="15" t="str">
        <f>VLOOKUP(X279,'Axe 2 Règles de gestion'!$D$2:$F$146,3, FALSE)</f>
        <v>Le congé sans traitement est accordé après avis du comité médical.</v>
      </c>
      <c r="Z279" s="13" t="s">
        <v>552</v>
      </c>
      <c r="AA279" s="15" t="str">
        <f>VLOOKUP(Z279,'Axe 2 Règles de gestion'!$D$2:$F$146,3, FALSE)</f>
        <v>L'agent peut renouveler le congé sans traitement 2 fois.</v>
      </c>
      <c r="AB279" s="13"/>
      <c r="AC279" s="15"/>
      <c r="AD279" s="13"/>
      <c r="AE279" s="15"/>
      <c r="AF279" s="13" t="s">
        <v>541</v>
      </c>
      <c r="AG279" s="15" t="str">
        <f>VLOOKUP(AF279,'Axe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H279" s="13" t="s">
        <v>543</v>
      </c>
      <c r="AI279" s="15" t="str">
        <f>VLOOKUP(AH279,'Axe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J279" s="13" t="s">
        <v>553</v>
      </c>
      <c r="AK279" s="15" t="str">
        <f>VLOOKUP(AJ279,'Axe 2 Règles de gestion'!$D$2:$F$146,3, FALSE)</f>
        <v>Le congé sans traitement pour raison de santé peut être renouvelé 2 fois par période maximale d'un an soit au total pour une durée cumulée prévisionnelle de 3 ans.</v>
      </c>
      <c r="AL279" s="13" t="s">
        <v>554</v>
      </c>
      <c r="AM279" s="15" t="str">
        <f>VLOOKUP(AL279,'Axe 2 Règles de gestion'!$D$2:$F$146,3, FALSE)</f>
        <v>Le congé sans traitement pour raison de santé peut être renouvelé 2 fois par période maximale d'un an soit au total pour une durée cumulée réelle de 3 ans.</v>
      </c>
      <c r="AN279" s="13"/>
      <c r="AO279" s="15"/>
      <c r="AP279" s="13" t="s">
        <v>132</v>
      </c>
      <c r="AQ279" s="15" t="str">
        <f>VLOOKUP(AP279,'Axe 2 Règles de gestion'!$D$2:$F$146,3, FALSE)</f>
        <v>La date de début de position est à J+1 de la date de fin de position de l'occurrence précédente.</v>
      </c>
      <c r="AR279" s="13" t="s">
        <v>134</v>
      </c>
      <c r="AS279" s="15" t="str">
        <f>VLOOKUP(AR279,'Axe 2 Règles de gestion'!$D$2:$F$146,3, FALSE)</f>
        <v>La date de début de position doit être antérieure ou égale à la date de fin prévisionnelle de position.</v>
      </c>
      <c r="AT279" s="13" t="s">
        <v>136</v>
      </c>
      <c r="AU279" s="15" t="str">
        <f>VLOOKUP(AT279,'Axe 2 Règles de gestion'!$D$2:$F$146,3, FALSE)</f>
        <v>La date de début de position doit être antérieure ou égale à la date de fin réelle de position.</v>
      </c>
      <c r="AV279" s="13" t="s">
        <v>138</v>
      </c>
      <c r="AW279" s="15" t="str">
        <f>VLOOKUP(AV279,'Axe 2 Règles de gestion'!$D$2:$F$146,3, FALSE)</f>
        <v>La date de fin prévisionnelle de la position doit être antérieure à la date limite de départ à la retraite.</v>
      </c>
      <c r="AX279" s="13" t="s">
        <v>140</v>
      </c>
      <c r="AY279" s="15" t="str">
        <f>VLOOKUP(AX279,'Axe 2 Règles de gestion'!$D$2:$F$146,3, FALSE)</f>
        <v>La date de fin réelle de la position doit être antérieure à la date limite de départ à la retraite.</v>
      </c>
      <c r="AZ279" s="13" t="s">
        <v>142</v>
      </c>
      <c r="BA279" s="15" t="str">
        <f>VLOOKUP(AZ279,'Axe 2 Règles de gestion'!$D$2:$F$146,3, FALSE)</f>
        <v>La date de fin ou la date de fin prévisionnelle doit être saisie.</v>
      </c>
      <c r="BB279" s="13" t="s">
        <v>211</v>
      </c>
      <c r="BC279" s="15" t="str">
        <f>VLOOKUP(BB279,'Axe 2 Règles de gestion'!$D$2:$F$146,3, FALSE)</f>
        <v>La date de début de la position doit être postérieure ou égale à la date de début du lien juridique.</v>
      </c>
      <c r="BD279" s="13" t="s">
        <v>213</v>
      </c>
      <c r="BE279" s="15" t="str">
        <f>VLOOKUP(BD279,'Axe 2 Règles de gestion'!$D$2:$F$146,3, FALSE)</f>
        <v>La date de fin réelle de la position doit être antérieure ou égale à la date de fin réelle ou prévisionnelle du lien juridique.</v>
      </c>
      <c r="BF279" s="13" t="s">
        <v>215</v>
      </c>
      <c r="BG279" s="15" t="str">
        <f>VLOOKUP(BF279,'Axe 2 Règles de gestion'!$D$2:$F$146,3, FALSE)</f>
        <v>La date de fin prévisionnelle de la position doit être antérieure ou égale à la date de fin réelle ou prévisionnelle du lien juridique.</v>
      </c>
      <c r="BH279" s="13" t="s">
        <v>152</v>
      </c>
      <c r="BI279" s="15" t="str">
        <f>VLOOKUP(BH279,'Axe 2 Règles de gestion'!$D$2:$F$146,3, FALSE)</f>
        <v>La saisie d'une occurrence de congés/absences est interdite (date de fin réelle)</v>
      </c>
      <c r="BJ279" s="13" t="s">
        <v>154</v>
      </c>
      <c r="BK279" s="15" t="str">
        <f>VLOOKUP(BJ279,'Axe 2 Règles de gestion'!$D$2:$F$146,3, FALSE)</f>
        <v>La saisie d'une occurrence de congés/absences est interdite (date de fin prévisionnelle)</v>
      </c>
      <c r="BL279" s="13"/>
      <c r="BM279" s="15"/>
      <c r="BN279" s="13"/>
      <c r="BO279" s="15"/>
      <c r="BP279" s="13"/>
      <c r="BQ279" s="15"/>
      <c r="BR279" s="13"/>
      <c r="BS279" s="15"/>
      <c r="BT279" s="13"/>
      <c r="BU279" s="15"/>
      <c r="BV279" s="13"/>
      <c r="BW279" s="15"/>
    </row>
    <row r="280" spans="1:75" ht="130.5" x14ac:dyDescent="0.35">
      <c r="A280" s="13" t="s">
        <v>165</v>
      </c>
      <c r="B280" s="13" t="s">
        <v>77</v>
      </c>
      <c r="C280" s="14">
        <v>44715.466666666667</v>
      </c>
      <c r="D280" s="13" t="s">
        <v>78</v>
      </c>
      <c r="E280" s="15" t="s">
        <v>79</v>
      </c>
      <c r="F280" s="13" t="s">
        <v>80</v>
      </c>
      <c r="G280" s="15" t="s">
        <v>81</v>
      </c>
      <c r="H280" s="13" t="s">
        <v>483</v>
      </c>
      <c r="I280" s="15" t="s">
        <v>484</v>
      </c>
      <c r="J280" s="15" t="s">
        <v>485</v>
      </c>
      <c r="K280" s="15" t="s">
        <v>486</v>
      </c>
      <c r="L280" s="13" t="s">
        <v>489</v>
      </c>
      <c r="M280" s="15" t="s">
        <v>490</v>
      </c>
      <c r="N280" s="13" t="s">
        <v>88</v>
      </c>
      <c r="O280" s="15" t="s">
        <v>97</v>
      </c>
      <c r="P280" s="15" t="s">
        <v>98</v>
      </c>
      <c r="Q280" s="15" t="s">
        <v>201</v>
      </c>
      <c r="R280" s="13" t="s">
        <v>202</v>
      </c>
      <c r="S280" s="13" t="s">
        <v>179</v>
      </c>
      <c r="T280" s="13" t="s">
        <v>112</v>
      </c>
      <c r="U280" s="14">
        <v>44634</v>
      </c>
      <c r="V280" s="14"/>
      <c r="W280" s="15" t="s">
        <v>555</v>
      </c>
      <c r="X280" s="13" t="s">
        <v>546</v>
      </c>
      <c r="Y280" s="15" t="str">
        <f>VLOOKUP(X280,'Axe 2 Règles de gestion'!$D$2:$F$146,3, FALSE)</f>
        <v>Le congé sans traitement est accordé après avis du conseil médical.</v>
      </c>
      <c r="Z280" s="13" t="s">
        <v>552</v>
      </c>
      <c r="AA280" s="15" t="str">
        <f>VLOOKUP(Z280,'Axe 2 Règles de gestion'!$D$2:$F$146,3, FALSE)</f>
        <v>L'agent peut renouveler le congé sans traitement 2 fois.</v>
      </c>
      <c r="AB280" s="13"/>
      <c r="AC280" s="15"/>
      <c r="AD280" s="13"/>
      <c r="AE280" s="15"/>
      <c r="AF280" s="13" t="s">
        <v>547</v>
      </c>
      <c r="AG280" s="15" t="str">
        <f>VLOOKUP(AF280,'Axe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H280" s="13" t="s">
        <v>549</v>
      </c>
      <c r="AI280" s="15" t="str">
        <f>VLOOKUP(AH280,'Axe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J280" s="13" t="s">
        <v>553</v>
      </c>
      <c r="AK280" s="15" t="str">
        <f>VLOOKUP(AJ280,'Axe 2 Règles de gestion'!$D$2:$F$146,3, FALSE)</f>
        <v>Le congé sans traitement pour raison de santé peut être renouvelé 2 fois par période maximale d'un an soit au total pour une durée cumulée prévisionnelle de 3 ans.</v>
      </c>
      <c r="AL280" s="13" t="s">
        <v>554</v>
      </c>
      <c r="AM280" s="15" t="str">
        <f>VLOOKUP(AL280,'Axe 2 Règles de gestion'!$D$2:$F$146,3, FALSE)</f>
        <v>Le congé sans traitement pour raison de santé peut être renouvelé 2 fois par période maximale d'un an soit au total pour une durée cumulée réelle de 3 ans.</v>
      </c>
      <c r="AN280" s="13"/>
      <c r="AO280" s="15"/>
      <c r="AP280" s="13" t="s">
        <v>132</v>
      </c>
      <c r="AQ280" s="15" t="str">
        <f>VLOOKUP(AP280,'Axe 2 Règles de gestion'!$D$2:$F$146,3, FALSE)</f>
        <v>La date de début de position est à J+1 de la date de fin de position de l'occurrence précédente.</v>
      </c>
      <c r="AR280" s="13" t="s">
        <v>134</v>
      </c>
      <c r="AS280" s="15" t="str">
        <f>VLOOKUP(AR280,'Axe 2 Règles de gestion'!$D$2:$F$146,3, FALSE)</f>
        <v>La date de début de position doit être antérieure ou égale à la date de fin prévisionnelle de position.</v>
      </c>
      <c r="AT280" s="13" t="s">
        <v>136</v>
      </c>
      <c r="AU280" s="15" t="str">
        <f>VLOOKUP(AT280,'Axe 2 Règles de gestion'!$D$2:$F$146,3, FALSE)</f>
        <v>La date de début de position doit être antérieure ou égale à la date de fin réelle de position.</v>
      </c>
      <c r="AV280" s="13" t="s">
        <v>138</v>
      </c>
      <c r="AW280" s="15" t="str">
        <f>VLOOKUP(AV280,'Axe 2 Règles de gestion'!$D$2:$F$146,3, FALSE)</f>
        <v>La date de fin prévisionnelle de la position doit être antérieure à la date limite de départ à la retraite.</v>
      </c>
      <c r="AX280" s="13" t="s">
        <v>140</v>
      </c>
      <c r="AY280" s="15" t="str">
        <f>VLOOKUP(AX280,'Axe 2 Règles de gestion'!$D$2:$F$146,3, FALSE)</f>
        <v>La date de fin réelle de la position doit être antérieure à la date limite de départ à la retraite.</v>
      </c>
      <c r="AZ280" s="13" t="s">
        <v>142</v>
      </c>
      <c r="BA280" s="15" t="str">
        <f>VLOOKUP(AZ280,'Axe 2 Règles de gestion'!$D$2:$F$146,3, FALSE)</f>
        <v>La date de fin ou la date de fin prévisionnelle doit être saisie.</v>
      </c>
      <c r="BB280" s="13" t="s">
        <v>211</v>
      </c>
      <c r="BC280" s="15" t="str">
        <f>VLOOKUP(BB280,'Axe 2 Règles de gestion'!$D$2:$F$146,3, FALSE)</f>
        <v>La date de début de la position doit être postérieure ou égale à la date de début du lien juridique.</v>
      </c>
      <c r="BD280" s="13" t="s">
        <v>213</v>
      </c>
      <c r="BE280" s="15" t="str">
        <f>VLOOKUP(BD280,'Axe 2 Règles de gestion'!$D$2:$F$146,3, FALSE)</f>
        <v>La date de fin réelle de la position doit être antérieure ou égale à la date de fin réelle ou prévisionnelle du lien juridique.</v>
      </c>
      <c r="BF280" s="13" t="s">
        <v>215</v>
      </c>
      <c r="BG280" s="15" t="str">
        <f>VLOOKUP(BF280,'Axe 2 Règles de gestion'!$D$2:$F$146,3, FALSE)</f>
        <v>La date de fin prévisionnelle de la position doit être antérieure ou égale à la date de fin réelle ou prévisionnelle du lien juridique.</v>
      </c>
      <c r="BH280" s="13" t="s">
        <v>152</v>
      </c>
      <c r="BI280" s="15" t="str">
        <f>VLOOKUP(BH280,'Axe 2 Règles de gestion'!$D$2:$F$146,3, FALSE)</f>
        <v>La saisie d'une occurrence de congés/absences est interdite (date de fin réelle)</v>
      </c>
      <c r="BJ280" s="13" t="s">
        <v>154</v>
      </c>
      <c r="BK280" s="15" t="str">
        <f>VLOOKUP(BJ280,'Axe 2 Règles de gestion'!$D$2:$F$146,3, FALSE)</f>
        <v>La saisie d'une occurrence de congés/absences est interdite (date de fin prévisionnelle)</v>
      </c>
      <c r="BL280" s="13"/>
      <c r="BM280" s="15"/>
      <c r="BN280" s="13"/>
      <c r="BO280" s="15"/>
      <c r="BP280" s="13"/>
      <c r="BQ280" s="15"/>
      <c r="BR280" s="13"/>
      <c r="BS280" s="15"/>
      <c r="BT280" s="13"/>
      <c r="BU280" s="15"/>
      <c r="BV280" s="13"/>
      <c r="BW280" s="15"/>
    </row>
    <row r="281" spans="1:75" ht="130.5" x14ac:dyDescent="0.35">
      <c r="A281" s="13" t="s">
        <v>165</v>
      </c>
      <c r="B281" s="13" t="s">
        <v>109</v>
      </c>
      <c r="C281" s="14">
        <v>44715.470138888886</v>
      </c>
      <c r="D281" s="13" t="s">
        <v>78</v>
      </c>
      <c r="E281" s="15" t="s">
        <v>79</v>
      </c>
      <c r="F281" s="13" t="s">
        <v>80</v>
      </c>
      <c r="G281" s="15" t="s">
        <v>81</v>
      </c>
      <c r="H281" s="13" t="s">
        <v>483</v>
      </c>
      <c r="I281" s="15" t="s">
        <v>484</v>
      </c>
      <c r="J281" s="15" t="s">
        <v>485</v>
      </c>
      <c r="K281" s="15" t="s">
        <v>486</v>
      </c>
      <c r="L281" s="13" t="s">
        <v>491</v>
      </c>
      <c r="M281" s="15" t="s">
        <v>492</v>
      </c>
      <c r="N281" s="13" t="s">
        <v>101</v>
      </c>
      <c r="O281" s="15" t="s">
        <v>102</v>
      </c>
      <c r="P281" s="15" t="s">
        <v>103</v>
      </c>
      <c r="Q281" s="15" t="s">
        <v>201</v>
      </c>
      <c r="R281" s="13" t="s">
        <v>202</v>
      </c>
      <c r="S281" s="13" t="s">
        <v>179</v>
      </c>
      <c r="T281" s="13" t="s">
        <v>112</v>
      </c>
      <c r="U281" s="14">
        <v>40725</v>
      </c>
      <c r="V281" s="14">
        <v>44633</v>
      </c>
      <c r="W281" s="15" t="s">
        <v>556</v>
      </c>
      <c r="X281" s="13" t="s">
        <v>557</v>
      </c>
      <c r="Y281" s="15" t="str">
        <f>VLOOKUP(X281,'Axe 2 Règles de gestion'!$D$2:$F$146,3, FALSE)</f>
        <v>A l'issue du congé sans traitement, l'avis de la commission de réforme est nécessaire.</v>
      </c>
      <c r="Z281" s="13"/>
      <c r="AA281" s="15"/>
      <c r="AB281" s="13"/>
      <c r="AC281" s="15"/>
      <c r="AD281" s="13"/>
      <c r="AE281" s="15"/>
      <c r="AF281" s="13" t="s">
        <v>541</v>
      </c>
      <c r="AG281" s="15" t="str">
        <f>VLOOKUP(AF281,'Axe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H281" s="13" t="s">
        <v>543</v>
      </c>
      <c r="AI281" s="15" t="str">
        <f>VLOOKUP(AH281,'Axe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J281" s="13" t="s">
        <v>553</v>
      </c>
      <c r="AK281" s="15" t="str">
        <f>VLOOKUP(AJ281,'Axe 2 Règles de gestion'!$D$2:$F$146,3, FALSE)</f>
        <v>Le congé sans traitement pour raison de santé peut être renouvelé 2 fois par période maximale d'un an soit au total pour une durée cumulée prévisionnelle de 3 ans.</v>
      </c>
      <c r="AL281" s="13" t="s">
        <v>554</v>
      </c>
      <c r="AM281" s="15" t="str">
        <f>VLOOKUP(AL281,'Axe 2 Règles de gestion'!$D$2:$F$146,3, FALSE)</f>
        <v>Le congé sans traitement pour raison de santé peut être renouvelé 2 fois par période maximale d'un an soit au total pour une durée cumulée réelle de 3 ans.</v>
      </c>
      <c r="AN281" s="13"/>
      <c r="AO281" s="15"/>
      <c r="AP281" s="13" t="s">
        <v>134</v>
      </c>
      <c r="AQ281" s="15" t="str">
        <f>VLOOKUP(AP281,'Axe 2 Règles de gestion'!$D$2:$F$146,3, FALSE)</f>
        <v>La date de début de position doit être antérieure ou égale à la date de fin prévisionnelle de position.</v>
      </c>
      <c r="AR281" s="13" t="s">
        <v>136</v>
      </c>
      <c r="AS281" s="15" t="str">
        <f>VLOOKUP(AR281,'Axe 2 Règles de gestion'!$D$2:$F$146,3, FALSE)</f>
        <v>La date de début de position doit être antérieure ou égale à la date de fin réelle de position.</v>
      </c>
      <c r="AT281" s="13" t="s">
        <v>138</v>
      </c>
      <c r="AU281" s="15" t="str">
        <f>VLOOKUP(AT281,'Axe 2 Règles de gestion'!$D$2:$F$146,3, FALSE)</f>
        <v>La date de fin prévisionnelle de la position doit être antérieure à la date limite de départ à la retraite.</v>
      </c>
      <c r="AV281" s="13" t="s">
        <v>140</v>
      </c>
      <c r="AW281" s="15" t="str">
        <f>VLOOKUP(AV281,'Axe 2 Règles de gestion'!$D$2:$F$146,3, FALSE)</f>
        <v>La date de fin réelle de la position doit être antérieure à la date limite de départ à la retraite.</v>
      </c>
      <c r="AX281" s="13" t="s">
        <v>142</v>
      </c>
      <c r="AY281" s="15" t="str">
        <f>VLOOKUP(AX281,'Axe 2 Règles de gestion'!$D$2:$F$146,3, FALSE)</f>
        <v>La date de fin ou la date de fin prévisionnelle doit être saisie.</v>
      </c>
      <c r="AZ281" s="13" t="s">
        <v>213</v>
      </c>
      <c r="BA281" s="15" t="str">
        <f>VLOOKUP(AZ281,'Axe 2 Règles de gestion'!$D$2:$F$146,3, FALSE)</f>
        <v>La date de fin réelle de la position doit être antérieure ou égale à la date de fin réelle ou prévisionnelle du lien juridique.</v>
      </c>
      <c r="BB281" s="13" t="s">
        <v>215</v>
      </c>
      <c r="BC281" s="15" t="str">
        <f>VLOOKUP(BB281,'Axe 2 Règles de gestion'!$D$2:$F$146,3, FALSE)</f>
        <v>La date de fin prévisionnelle de la position doit être antérieure ou égale à la date de fin réelle ou prévisionnelle du lien juridique.</v>
      </c>
      <c r="BD281" s="13" t="s">
        <v>152</v>
      </c>
      <c r="BE281" s="15" t="str">
        <f>VLOOKUP(BD281,'Axe 2 Règles de gestion'!$D$2:$F$146,3, FALSE)</f>
        <v>La saisie d'une occurrence de congés/absences est interdite (date de fin réelle)</v>
      </c>
      <c r="BF281" s="13" t="s">
        <v>154</v>
      </c>
      <c r="BG281" s="15" t="str">
        <f>VLOOKUP(BF281,'Axe 2 Règles de gestion'!$D$2:$F$146,3, FALSE)</f>
        <v>La saisie d'une occurrence de congés/absences est interdite (date de fin prévisionnelle)</v>
      </c>
      <c r="BH281" s="13"/>
      <c r="BI281" s="15"/>
      <c r="BJ281" s="13"/>
      <c r="BK281" s="15"/>
      <c r="BL281" s="13"/>
      <c r="BM281" s="15"/>
      <c r="BN281" s="13"/>
      <c r="BO281" s="15"/>
      <c r="BP281" s="13"/>
      <c r="BQ281" s="15"/>
      <c r="BR281" s="13"/>
      <c r="BS281" s="15"/>
      <c r="BT281" s="13"/>
      <c r="BU281" s="15"/>
      <c r="BV281" s="13"/>
      <c r="BW281" s="15"/>
    </row>
    <row r="282" spans="1:75" ht="130.5" x14ac:dyDescent="0.35">
      <c r="A282" s="13" t="s">
        <v>165</v>
      </c>
      <c r="B282" s="13" t="s">
        <v>77</v>
      </c>
      <c r="C282" s="14">
        <v>44715.477777777778</v>
      </c>
      <c r="D282" s="13" t="s">
        <v>78</v>
      </c>
      <c r="E282" s="15" t="s">
        <v>79</v>
      </c>
      <c r="F282" s="13" t="s">
        <v>80</v>
      </c>
      <c r="G282" s="15" t="s">
        <v>81</v>
      </c>
      <c r="H282" s="13" t="s">
        <v>483</v>
      </c>
      <c r="I282" s="15" t="s">
        <v>484</v>
      </c>
      <c r="J282" s="15" t="s">
        <v>485</v>
      </c>
      <c r="K282" s="15" t="s">
        <v>486</v>
      </c>
      <c r="L282" s="13" t="s">
        <v>491</v>
      </c>
      <c r="M282" s="15" t="s">
        <v>492</v>
      </c>
      <c r="N282" s="13" t="s">
        <v>101</v>
      </c>
      <c r="O282" s="15" t="s">
        <v>102</v>
      </c>
      <c r="P282" s="15" t="s">
        <v>103</v>
      </c>
      <c r="Q282" s="15" t="s">
        <v>201</v>
      </c>
      <c r="R282" s="13" t="s">
        <v>202</v>
      </c>
      <c r="S282" s="13" t="s">
        <v>179</v>
      </c>
      <c r="T282" s="13" t="s">
        <v>112</v>
      </c>
      <c r="U282" s="14">
        <v>44634</v>
      </c>
      <c r="V282" s="14"/>
      <c r="W282" s="15" t="s">
        <v>558</v>
      </c>
      <c r="X282" s="13" t="s">
        <v>559</v>
      </c>
      <c r="Y282" s="15" t="str">
        <f>VLOOKUP(X282,'Axe 2 Règles de gestion'!$D$2:$F$146,3, FALSE)</f>
        <v>A l'issue du congé sans traitement, l'avis du conseil médical est nécessaire.</v>
      </c>
      <c r="Z282" s="13"/>
      <c r="AA282" s="15"/>
      <c r="AB282" s="13"/>
      <c r="AC282" s="15"/>
      <c r="AD282" s="13"/>
      <c r="AE282" s="15"/>
      <c r="AF282" s="13" t="s">
        <v>547</v>
      </c>
      <c r="AG282" s="15" t="str">
        <f>VLOOKUP(AF282,'Axe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H282" s="13" t="s">
        <v>549</v>
      </c>
      <c r="AI282" s="15" t="str">
        <f>VLOOKUP(AH282,'Axe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J282" s="13" t="s">
        <v>553</v>
      </c>
      <c r="AK282" s="15" t="str">
        <f>VLOOKUP(AJ282,'Axe 2 Règles de gestion'!$D$2:$F$146,3, FALSE)</f>
        <v>Le congé sans traitement pour raison de santé peut être renouvelé 2 fois par période maximale d'un an soit au total pour une durée cumulée prévisionnelle de 3 ans.</v>
      </c>
      <c r="AL282" s="13" t="s">
        <v>554</v>
      </c>
      <c r="AM282" s="15" t="str">
        <f>VLOOKUP(AL282,'Axe 2 Règles de gestion'!$D$2:$F$146,3, FALSE)</f>
        <v>Le congé sans traitement pour raison de santé peut être renouvelé 2 fois par période maximale d'un an soit au total pour une durée cumulée réelle de 3 ans.</v>
      </c>
      <c r="AN282" s="13"/>
      <c r="AO282" s="15"/>
      <c r="AP282" s="13" t="s">
        <v>134</v>
      </c>
      <c r="AQ282" s="15" t="str">
        <f>VLOOKUP(AP282,'Axe 2 Règles de gestion'!$D$2:$F$146,3, FALSE)</f>
        <v>La date de début de position doit être antérieure ou égale à la date de fin prévisionnelle de position.</v>
      </c>
      <c r="AR282" s="13" t="s">
        <v>136</v>
      </c>
      <c r="AS282" s="15" t="str">
        <f>VLOOKUP(AR282,'Axe 2 Règles de gestion'!$D$2:$F$146,3, FALSE)</f>
        <v>La date de début de position doit être antérieure ou égale à la date de fin réelle de position.</v>
      </c>
      <c r="AT282" s="13" t="s">
        <v>138</v>
      </c>
      <c r="AU282" s="15" t="str">
        <f>VLOOKUP(AT282,'Axe 2 Règles de gestion'!$D$2:$F$146,3, FALSE)</f>
        <v>La date de fin prévisionnelle de la position doit être antérieure à la date limite de départ à la retraite.</v>
      </c>
      <c r="AV282" s="13" t="s">
        <v>140</v>
      </c>
      <c r="AW282" s="15" t="str">
        <f>VLOOKUP(AV282,'Axe 2 Règles de gestion'!$D$2:$F$146,3, FALSE)</f>
        <v>La date de fin réelle de la position doit être antérieure à la date limite de départ à la retraite.</v>
      </c>
      <c r="AX282" s="13" t="s">
        <v>142</v>
      </c>
      <c r="AY282" s="15" t="str">
        <f>VLOOKUP(AX282,'Axe 2 Règles de gestion'!$D$2:$F$146,3, FALSE)</f>
        <v>La date de fin ou la date de fin prévisionnelle doit être saisie.</v>
      </c>
      <c r="AZ282" s="13" t="s">
        <v>213</v>
      </c>
      <c r="BA282" s="15" t="str">
        <f>VLOOKUP(AZ282,'Axe 2 Règles de gestion'!$D$2:$F$146,3, FALSE)</f>
        <v>La date de fin réelle de la position doit être antérieure ou égale à la date de fin réelle ou prévisionnelle du lien juridique.</v>
      </c>
      <c r="BB282" s="13" t="s">
        <v>215</v>
      </c>
      <c r="BC282" s="15" t="str">
        <f>VLOOKUP(BB282,'Axe 2 Règles de gestion'!$D$2:$F$146,3, FALSE)</f>
        <v>La date de fin prévisionnelle de la position doit être antérieure ou égale à la date de fin réelle ou prévisionnelle du lien juridique.</v>
      </c>
      <c r="BD282" s="13" t="s">
        <v>152</v>
      </c>
      <c r="BE282" s="15" t="str">
        <f>VLOOKUP(BD282,'Axe 2 Règles de gestion'!$D$2:$F$146,3, FALSE)</f>
        <v>La saisie d'une occurrence de congés/absences est interdite (date de fin réelle)</v>
      </c>
      <c r="BF282" s="13" t="s">
        <v>154</v>
      </c>
      <c r="BG282" s="15" t="str">
        <f>VLOOKUP(BF282,'Axe 2 Règles de gestion'!$D$2:$F$146,3, FALSE)</f>
        <v>La saisie d'une occurrence de congés/absences est interdite (date de fin prévisionnelle)</v>
      </c>
      <c r="BH282" s="13"/>
      <c r="BI282" s="15"/>
      <c r="BJ282" s="13"/>
      <c r="BK282" s="15"/>
      <c r="BL282" s="13"/>
      <c r="BM282" s="15"/>
      <c r="BN282" s="13"/>
      <c r="BO282" s="15"/>
      <c r="BP282" s="13"/>
      <c r="BQ282" s="15"/>
      <c r="BR282" s="13"/>
      <c r="BS282" s="15"/>
      <c r="BT282" s="13"/>
      <c r="BU282" s="15"/>
      <c r="BV282" s="13"/>
      <c r="BW282" s="15"/>
    </row>
    <row r="283" spans="1:75" ht="43.5" x14ac:dyDescent="0.35">
      <c r="A283" s="13" t="s">
        <v>76</v>
      </c>
      <c r="B283" s="13" t="s">
        <v>77</v>
      </c>
      <c r="C283" s="14">
        <v>43152.5</v>
      </c>
      <c r="D283" s="13" t="s">
        <v>78</v>
      </c>
      <c r="E283" s="15" t="s">
        <v>79</v>
      </c>
      <c r="F283" s="13" t="s">
        <v>80</v>
      </c>
      <c r="G283" s="15" t="s">
        <v>81</v>
      </c>
      <c r="H283" s="13" t="s">
        <v>560</v>
      </c>
      <c r="I283" s="15" t="s">
        <v>561</v>
      </c>
      <c r="J283" s="15" t="s">
        <v>562</v>
      </c>
      <c r="K283" s="15" t="s">
        <v>563</v>
      </c>
      <c r="L283" s="13" t="s">
        <v>564</v>
      </c>
      <c r="M283" s="15" t="s">
        <v>565</v>
      </c>
      <c r="N283" s="13" t="s">
        <v>379</v>
      </c>
      <c r="O283" s="15"/>
      <c r="P283" s="15"/>
      <c r="Q283" s="15" t="s">
        <v>91</v>
      </c>
      <c r="R283" s="13" t="s">
        <v>92</v>
      </c>
      <c r="S283" s="13" t="s">
        <v>93</v>
      </c>
      <c r="T283" s="13" t="s">
        <v>94</v>
      </c>
      <c r="U283" s="14">
        <v>40725</v>
      </c>
      <c r="V283" s="14"/>
      <c r="W283" s="15"/>
      <c r="X283" s="13"/>
      <c r="Y283" s="15"/>
      <c r="Z283" s="13"/>
      <c r="AA283" s="15"/>
      <c r="AB283" s="13"/>
      <c r="AC283" s="15"/>
      <c r="AD283" s="13"/>
      <c r="AE283" s="15"/>
      <c r="AF283" s="13"/>
      <c r="AG283" s="15"/>
      <c r="AH283" s="13"/>
      <c r="AI283" s="15"/>
      <c r="AJ283" s="13"/>
      <c r="AK283" s="15"/>
      <c r="AL283" s="13"/>
      <c r="AM283" s="15"/>
      <c r="AN283" s="13"/>
      <c r="AO283" s="15"/>
      <c r="AP283" s="13"/>
      <c r="AQ283" s="15"/>
      <c r="AR283" s="13"/>
      <c r="AS283" s="15"/>
      <c r="AT283" s="13"/>
      <c r="AU283" s="15"/>
      <c r="AV283" s="13"/>
      <c r="AW283" s="15"/>
      <c r="AX283" s="13"/>
      <c r="AY283" s="15"/>
      <c r="AZ283" s="13"/>
      <c r="BA283" s="15"/>
      <c r="BB283" s="13"/>
      <c r="BC283" s="15"/>
      <c r="BD283" s="13"/>
      <c r="BE283" s="15"/>
      <c r="BF283" s="13"/>
      <c r="BG283" s="15"/>
      <c r="BH283" s="13"/>
      <c r="BI283" s="15"/>
      <c r="BJ283" s="13"/>
      <c r="BK283" s="15"/>
      <c r="BL283" s="13"/>
      <c r="BM283" s="15"/>
      <c r="BN283" s="13"/>
      <c r="BO283" s="15"/>
      <c r="BP283" s="13"/>
      <c r="BQ283" s="15"/>
      <c r="BR283" s="13"/>
      <c r="BS283" s="15"/>
      <c r="BT283" s="13"/>
      <c r="BU283" s="15"/>
      <c r="BV283" s="13"/>
      <c r="BW283" s="15"/>
    </row>
    <row r="284" spans="1:75" ht="43.5" x14ac:dyDescent="0.35">
      <c r="A284" s="13" t="s">
        <v>76</v>
      </c>
      <c r="B284" s="13" t="s">
        <v>77</v>
      </c>
      <c r="C284" s="14">
        <v>43152.5</v>
      </c>
      <c r="D284" s="13" t="s">
        <v>78</v>
      </c>
      <c r="E284" s="15" t="s">
        <v>79</v>
      </c>
      <c r="F284" s="13" t="s">
        <v>80</v>
      </c>
      <c r="G284" s="15" t="s">
        <v>81</v>
      </c>
      <c r="H284" s="13" t="s">
        <v>560</v>
      </c>
      <c r="I284" s="15" t="s">
        <v>561</v>
      </c>
      <c r="J284" s="15" t="s">
        <v>562</v>
      </c>
      <c r="K284" s="15" t="s">
        <v>563</v>
      </c>
      <c r="L284" s="13" t="s">
        <v>566</v>
      </c>
      <c r="M284" s="15" t="s">
        <v>567</v>
      </c>
      <c r="N284" s="13" t="s">
        <v>101</v>
      </c>
      <c r="O284" s="15"/>
      <c r="P284" s="15"/>
      <c r="Q284" s="15" t="s">
        <v>91</v>
      </c>
      <c r="R284" s="13" t="s">
        <v>92</v>
      </c>
      <c r="S284" s="13" t="s">
        <v>93</v>
      </c>
      <c r="T284" s="13" t="s">
        <v>94</v>
      </c>
      <c r="U284" s="14">
        <v>40725</v>
      </c>
      <c r="V284" s="14"/>
      <c r="W284" s="15"/>
      <c r="X284" s="13"/>
      <c r="Y284" s="15"/>
      <c r="Z284" s="13"/>
      <c r="AA284" s="15"/>
      <c r="AB284" s="13"/>
      <c r="AC284" s="15"/>
      <c r="AD284" s="13"/>
      <c r="AE284" s="15"/>
      <c r="AF284" s="13"/>
      <c r="AG284" s="15"/>
      <c r="AH284" s="13"/>
      <c r="AI284" s="15"/>
      <c r="AJ284" s="13"/>
      <c r="AK284" s="15"/>
      <c r="AL284" s="13"/>
      <c r="AM284" s="15"/>
      <c r="AN284" s="13"/>
      <c r="AO284" s="15"/>
      <c r="AP284" s="13"/>
      <c r="AQ284" s="15"/>
      <c r="AR284" s="13"/>
      <c r="AS284" s="15"/>
      <c r="AT284" s="13"/>
      <c r="AU284" s="15"/>
      <c r="AV284" s="13"/>
      <c r="AW284" s="15"/>
      <c r="AX284" s="13"/>
      <c r="AY284" s="15"/>
      <c r="AZ284" s="13"/>
      <c r="BA284" s="15"/>
      <c r="BB284" s="13"/>
      <c r="BC284" s="15"/>
      <c r="BD284" s="13"/>
      <c r="BE284" s="15"/>
      <c r="BF284" s="13"/>
      <c r="BG284" s="15"/>
      <c r="BH284" s="13"/>
      <c r="BI284" s="15"/>
      <c r="BJ284" s="13"/>
      <c r="BK284" s="15"/>
      <c r="BL284" s="13"/>
      <c r="BM284" s="15"/>
      <c r="BN284" s="13"/>
      <c r="BO284" s="15"/>
      <c r="BP284" s="13"/>
      <c r="BQ284" s="15"/>
      <c r="BR284" s="13"/>
      <c r="BS284" s="15"/>
      <c r="BT284" s="13"/>
      <c r="BU284" s="15"/>
      <c r="BV284" s="13"/>
      <c r="BW284" s="15"/>
    </row>
    <row r="285" spans="1:75" ht="43.5" x14ac:dyDescent="0.35">
      <c r="A285" s="13" t="s">
        <v>76</v>
      </c>
      <c r="B285" s="13" t="s">
        <v>77</v>
      </c>
      <c r="C285" s="14">
        <v>43152.5</v>
      </c>
      <c r="D285" s="13" t="s">
        <v>78</v>
      </c>
      <c r="E285" s="15" t="s">
        <v>79</v>
      </c>
      <c r="F285" s="13" t="s">
        <v>80</v>
      </c>
      <c r="G285" s="15" t="s">
        <v>81</v>
      </c>
      <c r="H285" s="13" t="s">
        <v>560</v>
      </c>
      <c r="I285" s="15" t="s">
        <v>561</v>
      </c>
      <c r="J285" s="15" t="s">
        <v>562</v>
      </c>
      <c r="K285" s="15" t="s">
        <v>563</v>
      </c>
      <c r="L285" s="13" t="s">
        <v>564</v>
      </c>
      <c r="M285" s="15" t="s">
        <v>565</v>
      </c>
      <c r="N285" s="13" t="s">
        <v>379</v>
      </c>
      <c r="O285" s="15"/>
      <c r="P285" s="15"/>
      <c r="Q285" s="15" t="s">
        <v>104</v>
      </c>
      <c r="R285" s="13" t="s">
        <v>105</v>
      </c>
      <c r="S285" s="13" t="s">
        <v>93</v>
      </c>
      <c r="T285" s="13" t="s">
        <v>94</v>
      </c>
      <c r="U285" s="14">
        <v>40725</v>
      </c>
      <c r="V285" s="14"/>
      <c r="W285" s="15"/>
      <c r="X285" s="13"/>
      <c r="Y285" s="15"/>
      <c r="Z285" s="13"/>
      <c r="AA285" s="15"/>
      <c r="AB285" s="13"/>
      <c r="AC285" s="15"/>
      <c r="AD285" s="13"/>
      <c r="AE285" s="15"/>
      <c r="AF285" s="13"/>
      <c r="AG285" s="15"/>
      <c r="AH285" s="13"/>
      <c r="AI285" s="15"/>
      <c r="AJ285" s="13"/>
      <c r="AK285" s="15"/>
      <c r="AL285" s="13"/>
      <c r="AM285" s="15"/>
      <c r="AN285" s="13"/>
      <c r="AO285" s="15"/>
      <c r="AP285" s="13"/>
      <c r="AQ285" s="15"/>
      <c r="AR285" s="13"/>
      <c r="AS285" s="15"/>
      <c r="AT285" s="13"/>
      <c r="AU285" s="15"/>
      <c r="AV285" s="13"/>
      <c r="AW285" s="15"/>
      <c r="AX285" s="13"/>
      <c r="AY285" s="15"/>
      <c r="AZ285" s="13"/>
      <c r="BA285" s="15"/>
      <c r="BB285" s="13"/>
      <c r="BC285" s="15"/>
      <c r="BD285" s="13"/>
      <c r="BE285" s="15"/>
      <c r="BF285" s="13"/>
      <c r="BG285" s="15"/>
      <c r="BH285" s="13"/>
      <c r="BI285" s="15"/>
      <c r="BJ285" s="13"/>
      <c r="BK285" s="15"/>
      <c r="BL285" s="13"/>
      <c r="BM285" s="15"/>
      <c r="BN285" s="13"/>
      <c r="BO285" s="15"/>
      <c r="BP285" s="13"/>
      <c r="BQ285" s="15"/>
      <c r="BR285" s="13"/>
      <c r="BS285" s="15"/>
      <c r="BT285" s="13"/>
      <c r="BU285" s="15"/>
      <c r="BV285" s="13"/>
      <c r="BW285" s="15"/>
    </row>
    <row r="286" spans="1:75" ht="43.5" x14ac:dyDescent="0.35">
      <c r="A286" s="13" t="s">
        <v>76</v>
      </c>
      <c r="B286" s="13" t="s">
        <v>77</v>
      </c>
      <c r="C286" s="14">
        <v>43152.5</v>
      </c>
      <c r="D286" s="13" t="s">
        <v>78</v>
      </c>
      <c r="E286" s="15" t="s">
        <v>79</v>
      </c>
      <c r="F286" s="13" t="s">
        <v>80</v>
      </c>
      <c r="G286" s="15" t="s">
        <v>81</v>
      </c>
      <c r="H286" s="13" t="s">
        <v>560</v>
      </c>
      <c r="I286" s="15" t="s">
        <v>561</v>
      </c>
      <c r="J286" s="15" t="s">
        <v>562</v>
      </c>
      <c r="K286" s="15" t="s">
        <v>563</v>
      </c>
      <c r="L286" s="13" t="s">
        <v>566</v>
      </c>
      <c r="M286" s="15" t="s">
        <v>567</v>
      </c>
      <c r="N286" s="13" t="s">
        <v>101</v>
      </c>
      <c r="O286" s="15"/>
      <c r="P286" s="15"/>
      <c r="Q286" s="15" t="s">
        <v>104</v>
      </c>
      <c r="R286" s="13" t="s">
        <v>105</v>
      </c>
      <c r="S286" s="13" t="s">
        <v>93</v>
      </c>
      <c r="T286" s="13" t="s">
        <v>94</v>
      </c>
      <c r="U286" s="14">
        <v>40725</v>
      </c>
      <c r="V286" s="14"/>
      <c r="W286" s="15"/>
      <c r="X286" s="13"/>
      <c r="Y286" s="15"/>
      <c r="Z286" s="13"/>
      <c r="AA286" s="15"/>
      <c r="AB286" s="13"/>
      <c r="AC286" s="15"/>
      <c r="AD286" s="13"/>
      <c r="AE286" s="15"/>
      <c r="AF286" s="13"/>
      <c r="AG286" s="15"/>
      <c r="AH286" s="13"/>
      <c r="AI286" s="15"/>
      <c r="AJ286" s="13"/>
      <c r="AK286" s="15"/>
      <c r="AL286" s="13"/>
      <c r="AM286" s="15"/>
      <c r="AN286" s="13"/>
      <c r="AO286" s="15"/>
      <c r="AP286" s="13"/>
      <c r="AQ286" s="15"/>
      <c r="AR286" s="13"/>
      <c r="AS286" s="15"/>
      <c r="AT286" s="13"/>
      <c r="AU286" s="15"/>
      <c r="AV286" s="13"/>
      <c r="AW286" s="15"/>
      <c r="AX286" s="13"/>
      <c r="AY286" s="15"/>
      <c r="AZ286" s="13"/>
      <c r="BA286" s="15"/>
      <c r="BB286" s="13"/>
      <c r="BC286" s="15"/>
      <c r="BD286" s="13"/>
      <c r="BE286" s="15"/>
      <c r="BF286" s="13"/>
      <c r="BG286" s="15"/>
      <c r="BH286" s="13"/>
      <c r="BI286" s="15"/>
      <c r="BJ286" s="13"/>
      <c r="BK286" s="15"/>
      <c r="BL286" s="13"/>
      <c r="BM286" s="15"/>
      <c r="BN286" s="13"/>
      <c r="BO286" s="15"/>
      <c r="BP286" s="13"/>
      <c r="BQ286" s="15"/>
      <c r="BR286" s="13"/>
      <c r="BS286" s="15"/>
      <c r="BT286" s="13"/>
      <c r="BU286" s="15"/>
      <c r="BV286" s="13"/>
      <c r="BW286" s="15"/>
    </row>
    <row r="287" spans="1:75" ht="43.5" x14ac:dyDescent="0.35">
      <c r="A287" s="13" t="s">
        <v>76</v>
      </c>
      <c r="B287" s="13" t="s">
        <v>77</v>
      </c>
      <c r="C287" s="14">
        <v>43152.5</v>
      </c>
      <c r="D287" s="13" t="s">
        <v>78</v>
      </c>
      <c r="E287" s="15" t="s">
        <v>79</v>
      </c>
      <c r="F287" s="13" t="s">
        <v>80</v>
      </c>
      <c r="G287" s="15" t="s">
        <v>81</v>
      </c>
      <c r="H287" s="13" t="s">
        <v>560</v>
      </c>
      <c r="I287" s="15" t="s">
        <v>561</v>
      </c>
      <c r="J287" s="15" t="s">
        <v>562</v>
      </c>
      <c r="K287" s="15" t="s">
        <v>563</v>
      </c>
      <c r="L287" s="13" t="s">
        <v>564</v>
      </c>
      <c r="M287" s="15" t="s">
        <v>565</v>
      </c>
      <c r="N287" s="13" t="s">
        <v>379</v>
      </c>
      <c r="O287" s="15"/>
      <c r="P287" s="15"/>
      <c r="Q287" s="15" t="s">
        <v>106</v>
      </c>
      <c r="R287" s="13" t="s">
        <v>107</v>
      </c>
      <c r="S287" s="13" t="s">
        <v>93</v>
      </c>
      <c r="T287" s="13" t="s">
        <v>94</v>
      </c>
      <c r="U287" s="14">
        <v>40725</v>
      </c>
      <c r="V287" s="14"/>
      <c r="W287" s="15"/>
      <c r="X287" s="13"/>
      <c r="Y287" s="15"/>
      <c r="Z287" s="13"/>
      <c r="AA287" s="15"/>
      <c r="AB287" s="13"/>
      <c r="AC287" s="15"/>
      <c r="AD287" s="13"/>
      <c r="AE287" s="15"/>
      <c r="AF287" s="13"/>
      <c r="AG287" s="15"/>
      <c r="AH287" s="13"/>
      <c r="AI287" s="15"/>
      <c r="AJ287" s="13"/>
      <c r="AK287" s="15"/>
      <c r="AL287" s="13"/>
      <c r="AM287" s="15"/>
      <c r="AN287" s="13"/>
      <c r="AO287" s="15"/>
      <c r="AP287" s="13"/>
      <c r="AQ287" s="15"/>
      <c r="AR287" s="13"/>
      <c r="AS287" s="15"/>
      <c r="AT287" s="13"/>
      <c r="AU287" s="15"/>
      <c r="AV287" s="13"/>
      <c r="AW287" s="15"/>
      <c r="AX287" s="13"/>
      <c r="AY287" s="15"/>
      <c r="AZ287" s="13"/>
      <c r="BA287" s="15"/>
      <c r="BB287" s="13"/>
      <c r="BC287" s="15"/>
      <c r="BD287" s="13"/>
      <c r="BE287" s="15"/>
      <c r="BF287" s="13"/>
      <c r="BG287" s="15"/>
      <c r="BH287" s="13"/>
      <c r="BI287" s="15"/>
      <c r="BJ287" s="13"/>
      <c r="BK287" s="15"/>
      <c r="BL287" s="13"/>
      <c r="BM287" s="15"/>
      <c r="BN287" s="13"/>
      <c r="BO287" s="15"/>
      <c r="BP287" s="13"/>
      <c r="BQ287" s="15"/>
      <c r="BR287" s="13"/>
      <c r="BS287" s="15"/>
      <c r="BT287" s="13"/>
      <c r="BU287" s="15"/>
      <c r="BV287" s="13"/>
      <c r="BW287" s="15"/>
    </row>
    <row r="288" spans="1:75" ht="43.5" x14ac:dyDescent="0.35">
      <c r="A288" s="13" t="s">
        <v>76</v>
      </c>
      <c r="B288" s="13" t="s">
        <v>77</v>
      </c>
      <c r="C288" s="14">
        <v>43152.5</v>
      </c>
      <c r="D288" s="13" t="s">
        <v>78</v>
      </c>
      <c r="E288" s="15" t="s">
        <v>79</v>
      </c>
      <c r="F288" s="13" t="s">
        <v>80</v>
      </c>
      <c r="G288" s="15" t="s">
        <v>81</v>
      </c>
      <c r="H288" s="13" t="s">
        <v>560</v>
      </c>
      <c r="I288" s="15" t="s">
        <v>561</v>
      </c>
      <c r="J288" s="15" t="s">
        <v>562</v>
      </c>
      <c r="K288" s="15" t="s">
        <v>563</v>
      </c>
      <c r="L288" s="13" t="s">
        <v>566</v>
      </c>
      <c r="M288" s="15" t="s">
        <v>567</v>
      </c>
      <c r="N288" s="13" t="s">
        <v>101</v>
      </c>
      <c r="O288" s="15"/>
      <c r="P288" s="15"/>
      <c r="Q288" s="15" t="s">
        <v>106</v>
      </c>
      <c r="R288" s="13" t="s">
        <v>107</v>
      </c>
      <c r="S288" s="13" t="s">
        <v>93</v>
      </c>
      <c r="T288" s="13" t="s">
        <v>94</v>
      </c>
      <c r="U288" s="14">
        <v>40725</v>
      </c>
      <c r="V288" s="14"/>
      <c r="W288" s="15"/>
      <c r="X288" s="13"/>
      <c r="Y288" s="15"/>
      <c r="Z288" s="13"/>
      <c r="AA288" s="15"/>
      <c r="AB288" s="13"/>
      <c r="AC288" s="15"/>
      <c r="AD288" s="13"/>
      <c r="AE288" s="15"/>
      <c r="AF288" s="13"/>
      <c r="AG288" s="15"/>
      <c r="AH288" s="13"/>
      <c r="AI288" s="15"/>
      <c r="AJ288" s="13"/>
      <c r="AK288" s="15"/>
      <c r="AL288" s="13"/>
      <c r="AM288" s="15"/>
      <c r="AN288" s="13"/>
      <c r="AO288" s="15"/>
      <c r="AP288" s="13"/>
      <c r="AQ288" s="15"/>
      <c r="AR288" s="13"/>
      <c r="AS288" s="15"/>
      <c r="AT288" s="13"/>
      <c r="AU288" s="15"/>
      <c r="AV288" s="13"/>
      <c r="AW288" s="15"/>
      <c r="AX288" s="13"/>
      <c r="AY288" s="15"/>
      <c r="AZ288" s="13"/>
      <c r="BA288" s="15"/>
      <c r="BB288" s="13"/>
      <c r="BC288" s="15"/>
      <c r="BD288" s="13"/>
      <c r="BE288" s="15"/>
      <c r="BF288" s="13"/>
      <c r="BG288" s="15"/>
      <c r="BH288" s="13"/>
      <c r="BI288" s="15"/>
      <c r="BJ288" s="13"/>
      <c r="BK288" s="15"/>
      <c r="BL288" s="13"/>
      <c r="BM288" s="15"/>
      <c r="BN288" s="13"/>
      <c r="BO288" s="15"/>
      <c r="BP288" s="13"/>
      <c r="BQ288" s="15"/>
      <c r="BR288" s="13"/>
      <c r="BS288" s="15"/>
      <c r="BT288" s="13"/>
      <c r="BU288" s="15"/>
      <c r="BV288" s="13"/>
      <c r="BW288" s="15"/>
    </row>
    <row r="289" spans="1:75" ht="43.5" x14ac:dyDescent="0.35">
      <c r="A289" s="13" t="s">
        <v>76</v>
      </c>
      <c r="B289" s="13" t="s">
        <v>77</v>
      </c>
      <c r="C289" s="14">
        <v>43152.5</v>
      </c>
      <c r="D289" s="13" t="s">
        <v>78</v>
      </c>
      <c r="E289" s="15" t="s">
        <v>79</v>
      </c>
      <c r="F289" s="13" t="s">
        <v>80</v>
      </c>
      <c r="G289" s="15" t="s">
        <v>81</v>
      </c>
      <c r="H289" s="13" t="s">
        <v>560</v>
      </c>
      <c r="I289" s="15" t="s">
        <v>561</v>
      </c>
      <c r="J289" s="15" t="s">
        <v>562</v>
      </c>
      <c r="K289" s="15" t="s">
        <v>563</v>
      </c>
      <c r="L289" s="13" t="s">
        <v>564</v>
      </c>
      <c r="M289" s="15" t="s">
        <v>565</v>
      </c>
      <c r="N289" s="13" t="s">
        <v>379</v>
      </c>
      <c r="O289" s="15"/>
      <c r="P289" s="15"/>
      <c r="Q289" s="15" t="s">
        <v>110</v>
      </c>
      <c r="R289" s="13" t="s">
        <v>111</v>
      </c>
      <c r="S289" s="13" t="s">
        <v>93</v>
      </c>
      <c r="T289" s="13" t="s">
        <v>94</v>
      </c>
      <c r="U289" s="14">
        <v>41518</v>
      </c>
      <c r="V289" s="14"/>
      <c r="W289" s="15"/>
      <c r="X289" s="13"/>
      <c r="Y289" s="15"/>
      <c r="Z289" s="13"/>
      <c r="AA289" s="15"/>
      <c r="AB289" s="13"/>
      <c r="AC289" s="15"/>
      <c r="AD289" s="13"/>
      <c r="AE289" s="15"/>
      <c r="AF289" s="13"/>
      <c r="AG289" s="15"/>
      <c r="AH289" s="13"/>
      <c r="AI289" s="15"/>
      <c r="AJ289" s="13"/>
      <c r="AK289" s="15"/>
      <c r="AL289" s="13"/>
      <c r="AM289" s="15"/>
      <c r="AN289" s="13"/>
      <c r="AO289" s="15"/>
      <c r="AP289" s="13"/>
      <c r="AQ289" s="15"/>
      <c r="AR289" s="13"/>
      <c r="AS289" s="15"/>
      <c r="AT289" s="13"/>
      <c r="AU289" s="15"/>
      <c r="AV289" s="13"/>
      <c r="AW289" s="15"/>
      <c r="AX289" s="13"/>
      <c r="AY289" s="15"/>
      <c r="AZ289" s="13"/>
      <c r="BA289" s="15"/>
      <c r="BB289" s="13"/>
      <c r="BC289" s="15"/>
      <c r="BD289" s="13"/>
      <c r="BE289" s="15"/>
      <c r="BF289" s="13"/>
      <c r="BG289" s="15"/>
      <c r="BH289" s="13"/>
      <c r="BI289" s="15"/>
      <c r="BJ289" s="13"/>
      <c r="BK289" s="15"/>
      <c r="BL289" s="13"/>
      <c r="BM289" s="15"/>
      <c r="BN289" s="13"/>
      <c r="BO289" s="15"/>
      <c r="BP289" s="13"/>
      <c r="BQ289" s="15"/>
      <c r="BR289" s="13"/>
      <c r="BS289" s="15"/>
      <c r="BT289" s="13"/>
      <c r="BU289" s="15"/>
      <c r="BV289" s="13"/>
      <c r="BW289" s="15"/>
    </row>
    <row r="290" spans="1:75" ht="43.5" x14ac:dyDescent="0.35">
      <c r="A290" s="13" t="s">
        <v>76</v>
      </c>
      <c r="B290" s="13" t="s">
        <v>77</v>
      </c>
      <c r="C290" s="14">
        <v>43152.5</v>
      </c>
      <c r="D290" s="13" t="s">
        <v>78</v>
      </c>
      <c r="E290" s="15" t="s">
        <v>79</v>
      </c>
      <c r="F290" s="13" t="s">
        <v>80</v>
      </c>
      <c r="G290" s="15" t="s">
        <v>81</v>
      </c>
      <c r="H290" s="13" t="s">
        <v>560</v>
      </c>
      <c r="I290" s="15" t="s">
        <v>561</v>
      </c>
      <c r="J290" s="15" t="s">
        <v>562</v>
      </c>
      <c r="K290" s="15" t="s">
        <v>563</v>
      </c>
      <c r="L290" s="13" t="s">
        <v>566</v>
      </c>
      <c r="M290" s="15" t="s">
        <v>567</v>
      </c>
      <c r="N290" s="13" t="s">
        <v>101</v>
      </c>
      <c r="O290" s="15"/>
      <c r="P290" s="15"/>
      <c r="Q290" s="15" t="s">
        <v>110</v>
      </c>
      <c r="R290" s="13" t="s">
        <v>111</v>
      </c>
      <c r="S290" s="13" t="s">
        <v>93</v>
      </c>
      <c r="T290" s="13" t="s">
        <v>94</v>
      </c>
      <c r="U290" s="14">
        <v>41518</v>
      </c>
      <c r="V290" s="14"/>
      <c r="W290" s="15"/>
      <c r="X290" s="13"/>
      <c r="Y290" s="15"/>
      <c r="Z290" s="13"/>
      <c r="AA290" s="15"/>
      <c r="AB290" s="13"/>
      <c r="AC290" s="15"/>
      <c r="AD290" s="13"/>
      <c r="AE290" s="15"/>
      <c r="AF290" s="13"/>
      <c r="AG290" s="15"/>
      <c r="AH290" s="13"/>
      <c r="AI290" s="15"/>
      <c r="AJ290" s="13"/>
      <c r="AK290" s="15"/>
      <c r="AL290" s="13"/>
      <c r="AM290" s="15"/>
      <c r="AN290" s="13"/>
      <c r="AO290" s="15"/>
      <c r="AP290" s="13"/>
      <c r="AQ290" s="15"/>
      <c r="AR290" s="13"/>
      <c r="AS290" s="15"/>
      <c r="AT290" s="13"/>
      <c r="AU290" s="15"/>
      <c r="AV290" s="13"/>
      <c r="AW290" s="15"/>
      <c r="AX290" s="13"/>
      <c r="AY290" s="15"/>
      <c r="AZ290" s="13"/>
      <c r="BA290" s="15"/>
      <c r="BB290" s="13"/>
      <c r="BC290" s="15"/>
      <c r="BD290" s="13"/>
      <c r="BE290" s="15"/>
      <c r="BF290" s="13"/>
      <c r="BG290" s="15"/>
      <c r="BH290" s="13"/>
      <c r="BI290" s="15"/>
      <c r="BJ290" s="13"/>
      <c r="BK290" s="15"/>
      <c r="BL290" s="13"/>
      <c r="BM290" s="15"/>
      <c r="BN290" s="13"/>
      <c r="BO290" s="15"/>
      <c r="BP290" s="13"/>
      <c r="BQ290" s="15"/>
      <c r="BR290" s="13"/>
      <c r="BS290" s="15"/>
      <c r="BT290" s="13"/>
      <c r="BU290" s="15"/>
      <c r="BV290" s="13"/>
      <c r="BW290" s="15"/>
    </row>
    <row r="291" spans="1:75" ht="43.5" x14ac:dyDescent="0.35">
      <c r="A291" s="13" t="s">
        <v>76</v>
      </c>
      <c r="B291" s="13" t="s">
        <v>77</v>
      </c>
      <c r="C291" s="14">
        <v>43152.5</v>
      </c>
      <c r="D291" s="13" t="s">
        <v>78</v>
      </c>
      <c r="E291" s="15" t="s">
        <v>79</v>
      </c>
      <c r="F291" s="13" t="s">
        <v>80</v>
      </c>
      <c r="G291" s="15" t="s">
        <v>81</v>
      </c>
      <c r="H291" s="13" t="s">
        <v>560</v>
      </c>
      <c r="I291" s="15" t="s">
        <v>561</v>
      </c>
      <c r="J291" s="15" t="s">
        <v>562</v>
      </c>
      <c r="K291" s="15" t="s">
        <v>563</v>
      </c>
      <c r="L291" s="13" t="s">
        <v>564</v>
      </c>
      <c r="M291" s="15" t="s">
        <v>565</v>
      </c>
      <c r="N291" s="13" t="s">
        <v>379</v>
      </c>
      <c r="O291" s="15"/>
      <c r="P291" s="15"/>
      <c r="Q291" s="15" t="s">
        <v>175</v>
      </c>
      <c r="R291" s="13" t="s">
        <v>176</v>
      </c>
      <c r="S291" s="13" t="s">
        <v>93</v>
      </c>
      <c r="T291" s="13" t="s">
        <v>94</v>
      </c>
      <c r="U291" s="14">
        <v>40725</v>
      </c>
      <c r="V291" s="14"/>
      <c r="W291" s="15"/>
      <c r="X291" s="13"/>
      <c r="Y291" s="15"/>
      <c r="Z291" s="13"/>
      <c r="AA291" s="15"/>
      <c r="AB291" s="13"/>
      <c r="AC291" s="15"/>
      <c r="AD291" s="13"/>
      <c r="AE291" s="15"/>
      <c r="AF291" s="13"/>
      <c r="AG291" s="15"/>
      <c r="AH291" s="13"/>
      <c r="AI291" s="15"/>
      <c r="AJ291" s="13"/>
      <c r="AK291" s="15"/>
      <c r="AL291" s="13"/>
      <c r="AM291" s="15"/>
      <c r="AN291" s="13"/>
      <c r="AO291" s="15"/>
      <c r="AP291" s="13"/>
      <c r="AQ291" s="15"/>
      <c r="AR291" s="13"/>
      <c r="AS291" s="15"/>
      <c r="AT291" s="13"/>
      <c r="AU291" s="15"/>
      <c r="AV291" s="13"/>
      <c r="AW291" s="15"/>
      <c r="AX291" s="13"/>
      <c r="AY291" s="15"/>
      <c r="AZ291" s="13"/>
      <c r="BA291" s="15"/>
      <c r="BB291" s="13"/>
      <c r="BC291" s="15"/>
      <c r="BD291" s="13"/>
      <c r="BE291" s="15"/>
      <c r="BF291" s="13"/>
      <c r="BG291" s="15"/>
      <c r="BH291" s="13"/>
      <c r="BI291" s="15"/>
      <c r="BJ291" s="13"/>
      <c r="BK291" s="15"/>
      <c r="BL291" s="13"/>
      <c r="BM291" s="15"/>
      <c r="BN291" s="13"/>
      <c r="BO291" s="15"/>
      <c r="BP291" s="13"/>
      <c r="BQ291" s="15"/>
      <c r="BR291" s="13"/>
      <c r="BS291" s="15"/>
      <c r="BT291" s="13"/>
      <c r="BU291" s="15"/>
      <c r="BV291" s="13"/>
      <c r="BW291" s="15"/>
    </row>
    <row r="292" spans="1:75" ht="43.5" x14ac:dyDescent="0.35">
      <c r="A292" s="13" t="s">
        <v>76</v>
      </c>
      <c r="B292" s="13" t="s">
        <v>77</v>
      </c>
      <c r="C292" s="14">
        <v>43152.5</v>
      </c>
      <c r="D292" s="13" t="s">
        <v>78</v>
      </c>
      <c r="E292" s="15" t="s">
        <v>79</v>
      </c>
      <c r="F292" s="13" t="s">
        <v>80</v>
      </c>
      <c r="G292" s="15" t="s">
        <v>81</v>
      </c>
      <c r="H292" s="13" t="s">
        <v>560</v>
      </c>
      <c r="I292" s="15" t="s">
        <v>561</v>
      </c>
      <c r="J292" s="15" t="s">
        <v>562</v>
      </c>
      <c r="K292" s="15" t="s">
        <v>563</v>
      </c>
      <c r="L292" s="13" t="s">
        <v>566</v>
      </c>
      <c r="M292" s="15" t="s">
        <v>567</v>
      </c>
      <c r="N292" s="13" t="s">
        <v>101</v>
      </c>
      <c r="O292" s="15"/>
      <c r="P292" s="15"/>
      <c r="Q292" s="15" t="s">
        <v>175</v>
      </c>
      <c r="R292" s="13" t="s">
        <v>176</v>
      </c>
      <c r="S292" s="13" t="s">
        <v>93</v>
      </c>
      <c r="T292" s="13" t="s">
        <v>94</v>
      </c>
      <c r="U292" s="14">
        <v>40725</v>
      </c>
      <c r="V292" s="14"/>
      <c r="W292" s="15"/>
      <c r="X292" s="13"/>
      <c r="Y292" s="15"/>
      <c r="Z292" s="13"/>
      <c r="AA292" s="15"/>
      <c r="AB292" s="13"/>
      <c r="AC292" s="15"/>
      <c r="AD292" s="13"/>
      <c r="AE292" s="15"/>
      <c r="AF292" s="13"/>
      <c r="AG292" s="15"/>
      <c r="AH292" s="13"/>
      <c r="AI292" s="15"/>
      <c r="AJ292" s="13"/>
      <c r="AK292" s="15"/>
      <c r="AL292" s="13"/>
      <c r="AM292" s="15"/>
      <c r="AN292" s="13"/>
      <c r="AO292" s="15"/>
      <c r="AP292" s="13"/>
      <c r="AQ292" s="15"/>
      <c r="AR292" s="13"/>
      <c r="AS292" s="15"/>
      <c r="AT292" s="13"/>
      <c r="AU292" s="15"/>
      <c r="AV292" s="13"/>
      <c r="AW292" s="15"/>
      <c r="AX292" s="13"/>
      <c r="AY292" s="15"/>
      <c r="AZ292" s="13"/>
      <c r="BA292" s="15"/>
      <c r="BB292" s="13"/>
      <c r="BC292" s="15"/>
      <c r="BD292" s="13"/>
      <c r="BE292" s="15"/>
      <c r="BF292" s="13"/>
      <c r="BG292" s="15"/>
      <c r="BH292" s="13"/>
      <c r="BI292" s="15"/>
      <c r="BJ292" s="13"/>
      <c r="BK292" s="15"/>
      <c r="BL292" s="13"/>
      <c r="BM292" s="15"/>
      <c r="BN292" s="13"/>
      <c r="BO292" s="15"/>
      <c r="BP292" s="13"/>
      <c r="BQ292" s="15"/>
      <c r="BR292" s="13"/>
      <c r="BS292" s="15"/>
      <c r="BT292" s="13"/>
      <c r="BU292" s="15"/>
      <c r="BV292" s="13"/>
      <c r="BW292" s="15"/>
    </row>
    <row r="293" spans="1:75" ht="72.5" x14ac:dyDescent="0.35">
      <c r="A293" s="13" t="s">
        <v>238</v>
      </c>
      <c r="B293" s="13" t="s">
        <v>109</v>
      </c>
      <c r="C293" s="14">
        <v>44368.708333333336</v>
      </c>
      <c r="D293" s="13" t="s">
        <v>78</v>
      </c>
      <c r="E293" s="15" t="s">
        <v>79</v>
      </c>
      <c r="F293" s="13" t="s">
        <v>80</v>
      </c>
      <c r="G293" s="15" t="s">
        <v>81</v>
      </c>
      <c r="H293" s="13" t="s">
        <v>560</v>
      </c>
      <c r="I293" s="15" t="s">
        <v>561</v>
      </c>
      <c r="J293" s="15" t="s">
        <v>562</v>
      </c>
      <c r="K293" s="15" t="s">
        <v>563</v>
      </c>
      <c r="L293" s="13" t="s">
        <v>564</v>
      </c>
      <c r="M293" s="15" t="s">
        <v>565</v>
      </c>
      <c r="N293" s="13" t="s">
        <v>379</v>
      </c>
      <c r="O293" s="15"/>
      <c r="P293" s="15"/>
      <c r="Q293" s="15" t="s">
        <v>382</v>
      </c>
      <c r="R293" s="13" t="s">
        <v>383</v>
      </c>
      <c r="S293" s="13" t="s">
        <v>179</v>
      </c>
      <c r="T293" s="13" t="s">
        <v>112</v>
      </c>
      <c r="U293" s="14">
        <v>41518</v>
      </c>
      <c r="V293" s="14"/>
      <c r="W293" s="15" t="s">
        <v>568</v>
      </c>
      <c r="X293" s="13" t="s">
        <v>569</v>
      </c>
      <c r="Y293" s="15" t="str">
        <f>VLOOKUP(X293,'Axe 2 Règles de gestion'!$D$2:$F$146,3, FALSE)</f>
        <v>L'agent doit présenter une demande de congé sans traitement.</v>
      </c>
      <c r="Z293" s="13"/>
      <c r="AA293" s="15"/>
      <c r="AB293" s="13"/>
      <c r="AC293" s="15"/>
      <c r="AD293" s="13"/>
      <c r="AE293" s="15"/>
      <c r="AF293" s="13" t="s">
        <v>570</v>
      </c>
      <c r="AG293" s="15" t="str">
        <f>VLOOKUP(AF293,'Axe 2 Règles de gestion'!$D$2:$F$146,3, FALSE)</f>
        <v>La durée du congé est d'une durée prévisionnelle maximale de deux ans.</v>
      </c>
      <c r="AH293" s="13" t="s">
        <v>571</v>
      </c>
      <c r="AI293" s="15" t="str">
        <f>VLOOKUP(AH293,'Axe 2 Règles de gestion'!$D$2:$F$146,3, FALSE)</f>
        <v>La durée du congé est d'une durée réelle maximale de deux ans.</v>
      </c>
      <c r="AJ293" s="13"/>
      <c r="AK293" s="15"/>
      <c r="AL293" s="13"/>
      <c r="AM293" s="15"/>
      <c r="AN293" s="13"/>
      <c r="AO293" s="15"/>
      <c r="AP293" s="13" t="s">
        <v>128</v>
      </c>
      <c r="AQ293" s="15" t="str">
        <f>VLOOKUP(AP293,'Axe 2 Règles de gestion'!$D$2:$F$146,3, FALSE)</f>
        <v>Lors de la demande initiale, l'agent doit être en activité.</v>
      </c>
      <c r="AR293" s="13" t="s">
        <v>130</v>
      </c>
      <c r="AS293" s="15" t="str">
        <f>VLOOKUP(AR293,'Axe 2 Règles de gestion'!$D$2:$F$146,3, FALSE)</f>
        <v>La date de début de la position doit être postérieure ou égale à la date d'entrée dans la FPE ou dans la carrière militaire.</v>
      </c>
      <c r="AT293" s="13" t="s">
        <v>132</v>
      </c>
      <c r="AU293" s="15" t="str">
        <f>VLOOKUP(AT293,'Axe 2 Règles de gestion'!$D$2:$F$146,3, FALSE)</f>
        <v>La date de début de position est à J+1 de la date de fin de position de l'occurrence précédente.</v>
      </c>
      <c r="AV293" s="13" t="s">
        <v>134</v>
      </c>
      <c r="AW293" s="15" t="str">
        <f>VLOOKUP(AV293,'Axe 2 Règles de gestion'!$D$2:$F$146,3, FALSE)</f>
        <v>La date de début de position doit être antérieure ou égale à la date de fin prévisionnelle de position.</v>
      </c>
      <c r="AX293" s="13" t="s">
        <v>136</v>
      </c>
      <c r="AY293" s="15" t="str">
        <f>VLOOKUP(AX293,'Axe 2 Règles de gestion'!$D$2:$F$146,3, FALSE)</f>
        <v>La date de début de position doit être antérieure ou égale à la date de fin réelle de position.</v>
      </c>
      <c r="AZ293" s="13" t="s">
        <v>138</v>
      </c>
      <c r="BA293" s="15" t="str">
        <f>VLOOKUP(AZ293,'Axe 2 Règles de gestion'!$D$2:$F$146,3, FALSE)</f>
        <v>La date de fin prévisionnelle de la position doit être antérieure à la date limite de départ à la retraite.</v>
      </c>
      <c r="BB293" s="13" t="s">
        <v>140</v>
      </c>
      <c r="BC293" s="15" t="str">
        <f>VLOOKUP(BB293,'Axe 2 Règles de gestion'!$D$2:$F$146,3, FALSE)</f>
        <v>La date de fin réelle de la position doit être antérieure à la date limite de départ à la retraite.</v>
      </c>
      <c r="BD293" s="13" t="s">
        <v>142</v>
      </c>
      <c r="BE293" s="15" t="str">
        <f>VLOOKUP(BD293,'Axe 2 Règles de gestion'!$D$2:$F$146,3, FALSE)</f>
        <v>La date de fin ou la date de fin prévisionnelle doit être saisie.</v>
      </c>
      <c r="BF293" s="13" t="s">
        <v>389</v>
      </c>
      <c r="BG293" s="15" t="str">
        <f>VLOOKUP(BF293,'Axe 2 Règles de gestion'!$D$2:$F$146,3, FALSE)</f>
        <v>L'indicateur de renouvellement ne doit pas être positionné à Oui.</v>
      </c>
      <c r="BH293" s="13" t="s">
        <v>152</v>
      </c>
      <c r="BI293" s="15" t="str">
        <f>VLOOKUP(BH293,'Axe 2 Règles de gestion'!$D$2:$F$146,3, FALSE)</f>
        <v>La saisie d'une occurrence de congés/absences est interdite (date de fin réelle)</v>
      </c>
      <c r="BJ293" s="13" t="s">
        <v>154</v>
      </c>
      <c r="BK293" s="15" t="str">
        <f>VLOOKUP(BJ293,'Axe 2 Règles de gestion'!$D$2:$F$146,3, FALSE)</f>
        <v>La saisie d'une occurrence de congés/absences est interdite (date de fin prévisionnelle)</v>
      </c>
      <c r="BL293" s="13"/>
      <c r="BM293" s="15"/>
      <c r="BN293" s="13"/>
      <c r="BO293" s="15"/>
      <c r="BP293" s="13"/>
      <c r="BQ293" s="15"/>
      <c r="BR293" s="13"/>
      <c r="BS293" s="15"/>
      <c r="BT293" s="13"/>
      <c r="BU293" s="15"/>
      <c r="BV293" s="13"/>
      <c r="BW293" s="15"/>
    </row>
    <row r="294" spans="1:75" ht="72.5" x14ac:dyDescent="0.35">
      <c r="A294" s="13" t="s">
        <v>238</v>
      </c>
      <c r="B294" s="13" t="s">
        <v>109</v>
      </c>
      <c r="C294" s="14">
        <v>44368.708333333336</v>
      </c>
      <c r="D294" s="13" t="s">
        <v>78</v>
      </c>
      <c r="E294" s="15" t="s">
        <v>79</v>
      </c>
      <c r="F294" s="13" t="s">
        <v>80</v>
      </c>
      <c r="G294" s="15" t="s">
        <v>81</v>
      </c>
      <c r="H294" s="13" t="s">
        <v>560</v>
      </c>
      <c r="I294" s="15" t="s">
        <v>561</v>
      </c>
      <c r="J294" s="15" t="s">
        <v>562</v>
      </c>
      <c r="K294" s="15" t="s">
        <v>563</v>
      </c>
      <c r="L294" s="13" t="s">
        <v>566</v>
      </c>
      <c r="M294" s="15" t="s">
        <v>567</v>
      </c>
      <c r="N294" s="13" t="s">
        <v>101</v>
      </c>
      <c r="O294" s="15"/>
      <c r="P294" s="15"/>
      <c r="Q294" s="15" t="s">
        <v>382</v>
      </c>
      <c r="R294" s="13" t="s">
        <v>383</v>
      </c>
      <c r="S294" s="13" t="s">
        <v>179</v>
      </c>
      <c r="T294" s="13" t="s">
        <v>112</v>
      </c>
      <c r="U294" s="14">
        <v>41518</v>
      </c>
      <c r="V294" s="14"/>
      <c r="W294" s="15" t="s">
        <v>572</v>
      </c>
      <c r="X294" s="13" t="s">
        <v>573</v>
      </c>
      <c r="Y294" s="15" t="str">
        <f>VLOOKUP(X294,'Axe 2 Règles de gestion'!$D$2:$F$146,3, FALSE)</f>
        <v>A l'issue de ce congé, si l'agent n'est pas titularisé, il est licencié.</v>
      </c>
      <c r="Z294" s="13" t="s">
        <v>575</v>
      </c>
      <c r="AA294" s="15" t="str">
        <f>VLOOKUP(Z294,'Axe 2 Règles de gestion'!$D$2:$F$146,3, FALSE)</f>
        <v>A l'issue de ce congé, si l'agent a la qualité de fonctionnaire, il est réintégré dans son corps ou son cadre d'emplois d'origine.</v>
      </c>
      <c r="AB294" s="13"/>
      <c r="AC294" s="15"/>
      <c r="AD294" s="13"/>
      <c r="AE294" s="15"/>
      <c r="AF294" s="13" t="s">
        <v>570</v>
      </c>
      <c r="AG294" s="15" t="str">
        <f>VLOOKUP(AF294,'Axe 2 Règles de gestion'!$D$2:$F$146,3, FALSE)</f>
        <v>La durée du congé est d'une durée prévisionnelle maximale de deux ans.</v>
      </c>
      <c r="AH294" s="13" t="s">
        <v>571</v>
      </c>
      <c r="AI294" s="15" t="str">
        <f>VLOOKUP(AH294,'Axe 2 Règles de gestion'!$D$2:$F$146,3, FALSE)</f>
        <v>La durée du congé est d'une durée réelle maximale de deux ans.</v>
      </c>
      <c r="AJ294" s="13"/>
      <c r="AK294" s="15"/>
      <c r="AL294" s="13"/>
      <c r="AM294" s="15"/>
      <c r="AN294" s="13"/>
      <c r="AO294" s="15"/>
      <c r="AP294" s="13" t="s">
        <v>134</v>
      </c>
      <c r="AQ294" s="15" t="str">
        <f>VLOOKUP(AP294,'Axe 2 Règles de gestion'!$D$2:$F$146,3, FALSE)</f>
        <v>La date de début de position doit être antérieure ou égale à la date de fin prévisionnelle de position.</v>
      </c>
      <c r="AR294" s="13" t="s">
        <v>136</v>
      </c>
      <c r="AS294" s="15" t="str">
        <f>VLOOKUP(AR294,'Axe 2 Règles de gestion'!$D$2:$F$146,3, FALSE)</f>
        <v>La date de début de position doit être antérieure ou égale à la date de fin réelle de position.</v>
      </c>
      <c r="AT294" s="13" t="s">
        <v>138</v>
      </c>
      <c r="AU294" s="15" t="str">
        <f>VLOOKUP(AT294,'Axe 2 Règles de gestion'!$D$2:$F$146,3, FALSE)</f>
        <v>La date de fin prévisionnelle de la position doit être antérieure à la date limite de départ à la retraite.</v>
      </c>
      <c r="AV294" s="13" t="s">
        <v>140</v>
      </c>
      <c r="AW294" s="15" t="str">
        <f>VLOOKUP(AV294,'Axe 2 Règles de gestion'!$D$2:$F$146,3, FALSE)</f>
        <v>La date de fin réelle de la position doit être antérieure à la date limite de départ à la retraite.</v>
      </c>
      <c r="AX294" s="13" t="s">
        <v>142</v>
      </c>
      <c r="AY294" s="15" t="str">
        <f>VLOOKUP(AX294,'Axe 2 Règles de gestion'!$D$2:$F$146,3, FALSE)</f>
        <v>La date de fin ou la date de fin prévisionnelle doit être saisie.</v>
      </c>
      <c r="AZ294" s="13" t="s">
        <v>389</v>
      </c>
      <c r="BA294" s="15" t="str">
        <f>VLOOKUP(AZ294,'Axe 2 Règles de gestion'!$D$2:$F$146,3, FALSE)</f>
        <v>L'indicateur de renouvellement ne doit pas être positionné à Oui.</v>
      </c>
      <c r="BB294" s="13" t="s">
        <v>152</v>
      </c>
      <c r="BC294" s="15" t="str">
        <f>VLOOKUP(BB294,'Axe 2 Règles de gestion'!$D$2:$F$146,3, FALSE)</f>
        <v>La saisie d'une occurrence de congés/absences est interdite (date de fin réelle)</v>
      </c>
      <c r="BD294" s="13" t="s">
        <v>154</v>
      </c>
      <c r="BE294" s="15" t="str">
        <f>VLOOKUP(BD294,'Axe 2 Règles de gestion'!$D$2:$F$146,3, FALSE)</f>
        <v>La saisie d'une occurrence de congés/absences est interdite (date de fin prévisionnelle)</v>
      </c>
      <c r="BF294" s="13"/>
      <c r="BG294" s="15"/>
      <c r="BH294" s="13"/>
      <c r="BI294" s="15"/>
      <c r="BJ294" s="13"/>
      <c r="BK294" s="15"/>
      <c r="BL294" s="13"/>
      <c r="BM294" s="15"/>
      <c r="BN294" s="13"/>
      <c r="BO294" s="15"/>
      <c r="BP294" s="13"/>
      <c r="BQ294" s="15"/>
      <c r="BR294" s="13"/>
      <c r="BS294" s="15"/>
      <c r="BT294" s="13"/>
      <c r="BU294" s="15"/>
      <c r="BV294" s="13"/>
      <c r="BW294" s="15"/>
    </row>
    <row r="295" spans="1:75" ht="72.5" x14ac:dyDescent="0.35">
      <c r="A295" s="13" t="s">
        <v>76</v>
      </c>
      <c r="B295" s="13" t="s">
        <v>77</v>
      </c>
      <c r="C295" s="14">
        <v>43152.5</v>
      </c>
      <c r="D295" s="13" t="s">
        <v>78</v>
      </c>
      <c r="E295" s="15" t="s">
        <v>79</v>
      </c>
      <c r="F295" s="13" t="s">
        <v>80</v>
      </c>
      <c r="G295" s="15" t="s">
        <v>81</v>
      </c>
      <c r="H295" s="13" t="s">
        <v>577</v>
      </c>
      <c r="I295" s="15" t="s">
        <v>578</v>
      </c>
      <c r="J295" s="15" t="s">
        <v>579</v>
      </c>
      <c r="K295" s="15" t="s">
        <v>580</v>
      </c>
      <c r="L295" s="13" t="s">
        <v>581</v>
      </c>
      <c r="M295" s="15" t="s">
        <v>582</v>
      </c>
      <c r="N295" s="13" t="s">
        <v>88</v>
      </c>
      <c r="O295" s="15" t="s">
        <v>89</v>
      </c>
      <c r="P295" s="15" t="s">
        <v>583</v>
      </c>
      <c r="Q295" s="15" t="s">
        <v>91</v>
      </c>
      <c r="R295" s="13" t="s">
        <v>92</v>
      </c>
      <c r="S295" s="13" t="s">
        <v>93</v>
      </c>
      <c r="T295" s="13" t="s">
        <v>94</v>
      </c>
      <c r="U295" s="14">
        <v>40725</v>
      </c>
      <c r="V295" s="14"/>
      <c r="W295" s="15"/>
      <c r="X295" s="13"/>
      <c r="Y295" s="15"/>
      <c r="Z295" s="13"/>
      <c r="AA295" s="15"/>
      <c r="AB295" s="13"/>
      <c r="AC295" s="15"/>
      <c r="AD295" s="13"/>
      <c r="AE295" s="15"/>
      <c r="AF295" s="13"/>
      <c r="AG295" s="15"/>
      <c r="AH295" s="13"/>
      <c r="AI295" s="15"/>
      <c r="AJ295" s="13"/>
      <c r="AK295" s="15"/>
      <c r="AL295" s="13"/>
      <c r="AM295" s="15"/>
      <c r="AN295" s="13"/>
      <c r="AO295" s="15"/>
      <c r="AP295" s="13"/>
      <c r="AQ295" s="15"/>
      <c r="AR295" s="13"/>
      <c r="AS295" s="15"/>
      <c r="AT295" s="13"/>
      <c r="AU295" s="15"/>
      <c r="AV295" s="13"/>
      <c r="AW295" s="15"/>
      <c r="AX295" s="13"/>
      <c r="AY295" s="15"/>
      <c r="AZ295" s="13"/>
      <c r="BA295" s="15"/>
      <c r="BB295" s="13"/>
      <c r="BC295" s="15"/>
      <c r="BD295" s="13"/>
      <c r="BE295" s="15"/>
      <c r="BF295" s="13"/>
      <c r="BG295" s="15"/>
      <c r="BH295" s="13"/>
      <c r="BI295" s="15"/>
      <c r="BJ295" s="13"/>
      <c r="BK295" s="15"/>
      <c r="BL295" s="13"/>
      <c r="BM295" s="15"/>
      <c r="BN295" s="13"/>
      <c r="BO295" s="15"/>
      <c r="BP295" s="13"/>
      <c r="BQ295" s="15"/>
      <c r="BR295" s="13"/>
      <c r="BS295" s="15"/>
      <c r="BT295" s="13"/>
      <c r="BU295" s="15"/>
      <c r="BV295" s="13"/>
      <c r="BW295" s="15"/>
    </row>
    <row r="296" spans="1:75" ht="72.5" x14ac:dyDescent="0.35">
      <c r="A296" s="13" t="s">
        <v>76</v>
      </c>
      <c r="B296" s="13" t="s">
        <v>77</v>
      </c>
      <c r="C296" s="14">
        <v>43152.5</v>
      </c>
      <c r="D296" s="13" t="s">
        <v>78</v>
      </c>
      <c r="E296" s="15" t="s">
        <v>79</v>
      </c>
      <c r="F296" s="13" t="s">
        <v>80</v>
      </c>
      <c r="G296" s="15" t="s">
        <v>81</v>
      </c>
      <c r="H296" s="13" t="s">
        <v>577</v>
      </c>
      <c r="I296" s="15" t="s">
        <v>578</v>
      </c>
      <c r="J296" s="15" t="s">
        <v>579</v>
      </c>
      <c r="K296" s="15" t="s">
        <v>580</v>
      </c>
      <c r="L296" s="13" t="s">
        <v>584</v>
      </c>
      <c r="M296" s="15" t="s">
        <v>585</v>
      </c>
      <c r="N296" s="13" t="s">
        <v>88</v>
      </c>
      <c r="O296" s="15" t="s">
        <v>97</v>
      </c>
      <c r="P296" s="15" t="s">
        <v>586</v>
      </c>
      <c r="Q296" s="15" t="s">
        <v>91</v>
      </c>
      <c r="R296" s="13" t="s">
        <v>92</v>
      </c>
      <c r="S296" s="13" t="s">
        <v>93</v>
      </c>
      <c r="T296" s="13" t="s">
        <v>94</v>
      </c>
      <c r="U296" s="14">
        <v>40725</v>
      </c>
      <c r="V296" s="14"/>
      <c r="W296" s="15"/>
      <c r="X296" s="13"/>
      <c r="Y296" s="15"/>
      <c r="Z296" s="13"/>
      <c r="AA296" s="15"/>
      <c r="AB296" s="13"/>
      <c r="AC296" s="15"/>
      <c r="AD296" s="13"/>
      <c r="AE296" s="15"/>
      <c r="AF296" s="13"/>
      <c r="AG296" s="15"/>
      <c r="AH296" s="13"/>
      <c r="AI296" s="15"/>
      <c r="AJ296" s="13"/>
      <c r="AK296" s="15"/>
      <c r="AL296" s="13"/>
      <c r="AM296" s="15"/>
      <c r="AN296" s="13"/>
      <c r="AO296" s="15"/>
      <c r="AP296" s="13"/>
      <c r="AQ296" s="15"/>
      <c r="AR296" s="13"/>
      <c r="AS296" s="15"/>
      <c r="AT296" s="13"/>
      <c r="AU296" s="15"/>
      <c r="AV296" s="13"/>
      <c r="AW296" s="15"/>
      <c r="AX296" s="13"/>
      <c r="AY296" s="15"/>
      <c r="AZ296" s="13"/>
      <c r="BA296" s="15"/>
      <c r="BB296" s="13"/>
      <c r="BC296" s="15"/>
      <c r="BD296" s="13"/>
      <c r="BE296" s="15"/>
      <c r="BF296" s="13"/>
      <c r="BG296" s="15"/>
      <c r="BH296" s="13"/>
      <c r="BI296" s="15"/>
      <c r="BJ296" s="13"/>
      <c r="BK296" s="15"/>
      <c r="BL296" s="13"/>
      <c r="BM296" s="15"/>
      <c r="BN296" s="13"/>
      <c r="BO296" s="15"/>
      <c r="BP296" s="13"/>
      <c r="BQ296" s="15"/>
      <c r="BR296" s="13"/>
      <c r="BS296" s="15"/>
      <c r="BT296" s="13"/>
      <c r="BU296" s="15"/>
      <c r="BV296" s="13"/>
      <c r="BW296" s="15"/>
    </row>
    <row r="297" spans="1:75" ht="72.5" x14ac:dyDescent="0.35">
      <c r="A297" s="13" t="s">
        <v>76</v>
      </c>
      <c r="B297" s="13" t="s">
        <v>77</v>
      </c>
      <c r="C297" s="14">
        <v>43152.5</v>
      </c>
      <c r="D297" s="13" t="s">
        <v>78</v>
      </c>
      <c r="E297" s="15" t="s">
        <v>79</v>
      </c>
      <c r="F297" s="13" t="s">
        <v>80</v>
      </c>
      <c r="G297" s="15" t="s">
        <v>81</v>
      </c>
      <c r="H297" s="13" t="s">
        <v>577</v>
      </c>
      <c r="I297" s="15" t="s">
        <v>578</v>
      </c>
      <c r="J297" s="15" t="s">
        <v>579</v>
      </c>
      <c r="K297" s="15" t="s">
        <v>580</v>
      </c>
      <c r="L297" s="13" t="s">
        <v>587</v>
      </c>
      <c r="M297" s="15" t="s">
        <v>588</v>
      </c>
      <c r="N297" s="13" t="s">
        <v>101</v>
      </c>
      <c r="O297" s="15" t="s">
        <v>102</v>
      </c>
      <c r="P297" s="15" t="s">
        <v>103</v>
      </c>
      <c r="Q297" s="15" t="s">
        <v>91</v>
      </c>
      <c r="R297" s="13" t="s">
        <v>92</v>
      </c>
      <c r="S297" s="13" t="s">
        <v>93</v>
      </c>
      <c r="T297" s="13" t="s">
        <v>94</v>
      </c>
      <c r="U297" s="14">
        <v>40725</v>
      </c>
      <c r="V297" s="14"/>
      <c r="W297" s="15"/>
      <c r="X297" s="13"/>
      <c r="Y297" s="15"/>
      <c r="Z297" s="13"/>
      <c r="AA297" s="15"/>
      <c r="AB297" s="13"/>
      <c r="AC297" s="15"/>
      <c r="AD297" s="13"/>
      <c r="AE297" s="15"/>
      <c r="AF297" s="13"/>
      <c r="AG297" s="15"/>
      <c r="AH297" s="13"/>
      <c r="AI297" s="15"/>
      <c r="AJ297" s="13"/>
      <c r="AK297" s="15"/>
      <c r="AL297" s="13"/>
      <c r="AM297" s="15"/>
      <c r="AN297" s="13"/>
      <c r="AO297" s="15"/>
      <c r="AP297" s="13"/>
      <c r="AQ297" s="15"/>
      <c r="AR297" s="13"/>
      <c r="AS297" s="15"/>
      <c r="AT297" s="13"/>
      <c r="AU297" s="15"/>
      <c r="AV297" s="13"/>
      <c r="AW297" s="15"/>
      <c r="AX297" s="13"/>
      <c r="AY297" s="15"/>
      <c r="AZ297" s="13"/>
      <c r="BA297" s="15"/>
      <c r="BB297" s="13"/>
      <c r="BC297" s="15"/>
      <c r="BD297" s="13"/>
      <c r="BE297" s="15"/>
      <c r="BF297" s="13"/>
      <c r="BG297" s="15"/>
      <c r="BH297" s="13"/>
      <c r="BI297" s="15"/>
      <c r="BJ297" s="13"/>
      <c r="BK297" s="15"/>
      <c r="BL297" s="13"/>
      <c r="BM297" s="15"/>
      <c r="BN297" s="13"/>
      <c r="BO297" s="15"/>
      <c r="BP297" s="13"/>
      <c r="BQ297" s="15"/>
      <c r="BR297" s="13"/>
      <c r="BS297" s="15"/>
      <c r="BT297" s="13"/>
      <c r="BU297" s="15"/>
      <c r="BV297" s="13"/>
      <c r="BW297" s="15"/>
    </row>
    <row r="298" spans="1:75" ht="72.5" x14ac:dyDescent="0.35">
      <c r="A298" s="13" t="s">
        <v>76</v>
      </c>
      <c r="B298" s="13" t="s">
        <v>77</v>
      </c>
      <c r="C298" s="14">
        <v>43152.5</v>
      </c>
      <c r="D298" s="13" t="s">
        <v>78</v>
      </c>
      <c r="E298" s="15" t="s">
        <v>79</v>
      </c>
      <c r="F298" s="13" t="s">
        <v>80</v>
      </c>
      <c r="G298" s="15" t="s">
        <v>81</v>
      </c>
      <c r="H298" s="13" t="s">
        <v>577</v>
      </c>
      <c r="I298" s="15" t="s">
        <v>578</v>
      </c>
      <c r="J298" s="15" t="s">
        <v>579</v>
      </c>
      <c r="K298" s="15" t="s">
        <v>580</v>
      </c>
      <c r="L298" s="13" t="s">
        <v>581</v>
      </c>
      <c r="M298" s="15" t="s">
        <v>582</v>
      </c>
      <c r="N298" s="13" t="s">
        <v>88</v>
      </c>
      <c r="O298" s="15" t="s">
        <v>89</v>
      </c>
      <c r="P298" s="15" t="s">
        <v>583</v>
      </c>
      <c r="Q298" s="15" t="s">
        <v>104</v>
      </c>
      <c r="R298" s="13" t="s">
        <v>105</v>
      </c>
      <c r="S298" s="13" t="s">
        <v>93</v>
      </c>
      <c r="T298" s="13" t="s">
        <v>94</v>
      </c>
      <c r="U298" s="14">
        <v>40725</v>
      </c>
      <c r="V298" s="14"/>
      <c r="W298" s="15"/>
      <c r="X298" s="13"/>
      <c r="Y298" s="15"/>
      <c r="Z298" s="13"/>
      <c r="AA298" s="15"/>
      <c r="AB298" s="13"/>
      <c r="AC298" s="15"/>
      <c r="AD298" s="13"/>
      <c r="AE298" s="15"/>
      <c r="AF298" s="13"/>
      <c r="AG298" s="15"/>
      <c r="AH298" s="13"/>
      <c r="AI298" s="15"/>
      <c r="AJ298" s="13"/>
      <c r="AK298" s="15"/>
      <c r="AL298" s="13"/>
      <c r="AM298" s="15"/>
      <c r="AN298" s="13"/>
      <c r="AO298" s="15"/>
      <c r="AP298" s="13"/>
      <c r="AQ298" s="15"/>
      <c r="AR298" s="13"/>
      <c r="AS298" s="15"/>
      <c r="AT298" s="13"/>
      <c r="AU298" s="15"/>
      <c r="AV298" s="13"/>
      <c r="AW298" s="15"/>
      <c r="AX298" s="13"/>
      <c r="AY298" s="15"/>
      <c r="AZ298" s="13"/>
      <c r="BA298" s="15"/>
      <c r="BB298" s="13"/>
      <c r="BC298" s="15"/>
      <c r="BD298" s="13"/>
      <c r="BE298" s="15"/>
      <c r="BF298" s="13"/>
      <c r="BG298" s="15"/>
      <c r="BH298" s="13"/>
      <c r="BI298" s="15"/>
      <c r="BJ298" s="13"/>
      <c r="BK298" s="15"/>
      <c r="BL298" s="13"/>
      <c r="BM298" s="15"/>
      <c r="BN298" s="13"/>
      <c r="BO298" s="15"/>
      <c r="BP298" s="13"/>
      <c r="BQ298" s="15"/>
      <c r="BR298" s="13"/>
      <c r="BS298" s="15"/>
      <c r="BT298" s="13"/>
      <c r="BU298" s="15"/>
      <c r="BV298" s="13"/>
      <c r="BW298" s="15"/>
    </row>
    <row r="299" spans="1:75" ht="72.5" x14ac:dyDescent="0.35">
      <c r="A299" s="13" t="s">
        <v>76</v>
      </c>
      <c r="B299" s="13" t="s">
        <v>77</v>
      </c>
      <c r="C299" s="14">
        <v>43152.5</v>
      </c>
      <c r="D299" s="13" t="s">
        <v>78</v>
      </c>
      <c r="E299" s="15" t="s">
        <v>79</v>
      </c>
      <c r="F299" s="13" t="s">
        <v>80</v>
      </c>
      <c r="G299" s="15" t="s">
        <v>81</v>
      </c>
      <c r="H299" s="13" t="s">
        <v>577</v>
      </c>
      <c r="I299" s="15" t="s">
        <v>578</v>
      </c>
      <c r="J299" s="15" t="s">
        <v>579</v>
      </c>
      <c r="K299" s="15" t="s">
        <v>580</v>
      </c>
      <c r="L299" s="13" t="s">
        <v>584</v>
      </c>
      <c r="M299" s="15" t="s">
        <v>585</v>
      </c>
      <c r="N299" s="13" t="s">
        <v>88</v>
      </c>
      <c r="O299" s="15" t="s">
        <v>97</v>
      </c>
      <c r="P299" s="15" t="s">
        <v>586</v>
      </c>
      <c r="Q299" s="15" t="s">
        <v>104</v>
      </c>
      <c r="R299" s="13" t="s">
        <v>105</v>
      </c>
      <c r="S299" s="13" t="s">
        <v>93</v>
      </c>
      <c r="T299" s="13" t="s">
        <v>94</v>
      </c>
      <c r="U299" s="14">
        <v>40725</v>
      </c>
      <c r="V299" s="14"/>
      <c r="W299" s="15"/>
      <c r="X299" s="13"/>
      <c r="Y299" s="15"/>
      <c r="Z299" s="13"/>
      <c r="AA299" s="15"/>
      <c r="AB299" s="13"/>
      <c r="AC299" s="15"/>
      <c r="AD299" s="13"/>
      <c r="AE299" s="15"/>
      <c r="AF299" s="13"/>
      <c r="AG299" s="15"/>
      <c r="AH299" s="13"/>
      <c r="AI299" s="15"/>
      <c r="AJ299" s="13"/>
      <c r="AK299" s="15"/>
      <c r="AL299" s="13"/>
      <c r="AM299" s="15"/>
      <c r="AN299" s="13"/>
      <c r="AO299" s="15"/>
      <c r="AP299" s="13"/>
      <c r="AQ299" s="15"/>
      <c r="AR299" s="13"/>
      <c r="AS299" s="15"/>
      <c r="AT299" s="13"/>
      <c r="AU299" s="15"/>
      <c r="AV299" s="13"/>
      <c r="AW299" s="15"/>
      <c r="AX299" s="13"/>
      <c r="AY299" s="15"/>
      <c r="AZ299" s="13"/>
      <c r="BA299" s="15"/>
      <c r="BB299" s="13"/>
      <c r="BC299" s="15"/>
      <c r="BD299" s="13"/>
      <c r="BE299" s="15"/>
      <c r="BF299" s="13"/>
      <c r="BG299" s="15"/>
      <c r="BH299" s="13"/>
      <c r="BI299" s="15"/>
      <c r="BJ299" s="13"/>
      <c r="BK299" s="15"/>
      <c r="BL299" s="13"/>
      <c r="BM299" s="15"/>
      <c r="BN299" s="13"/>
      <c r="BO299" s="15"/>
      <c r="BP299" s="13"/>
      <c r="BQ299" s="15"/>
      <c r="BR299" s="13"/>
      <c r="BS299" s="15"/>
      <c r="BT299" s="13"/>
      <c r="BU299" s="15"/>
      <c r="BV299" s="13"/>
      <c r="BW299" s="15"/>
    </row>
    <row r="300" spans="1:75" ht="72.5" x14ac:dyDescent="0.35">
      <c r="A300" s="13" t="s">
        <v>76</v>
      </c>
      <c r="B300" s="13" t="s">
        <v>77</v>
      </c>
      <c r="C300" s="14">
        <v>43152.5</v>
      </c>
      <c r="D300" s="13" t="s">
        <v>78</v>
      </c>
      <c r="E300" s="15" t="s">
        <v>79</v>
      </c>
      <c r="F300" s="13" t="s">
        <v>80</v>
      </c>
      <c r="G300" s="15" t="s">
        <v>81</v>
      </c>
      <c r="H300" s="13" t="s">
        <v>577</v>
      </c>
      <c r="I300" s="15" t="s">
        <v>578</v>
      </c>
      <c r="J300" s="15" t="s">
        <v>579</v>
      </c>
      <c r="K300" s="15" t="s">
        <v>580</v>
      </c>
      <c r="L300" s="13" t="s">
        <v>587</v>
      </c>
      <c r="M300" s="15" t="s">
        <v>588</v>
      </c>
      <c r="N300" s="13" t="s">
        <v>101</v>
      </c>
      <c r="O300" s="15" t="s">
        <v>102</v>
      </c>
      <c r="P300" s="15" t="s">
        <v>103</v>
      </c>
      <c r="Q300" s="15" t="s">
        <v>104</v>
      </c>
      <c r="R300" s="13" t="s">
        <v>105</v>
      </c>
      <c r="S300" s="13" t="s">
        <v>93</v>
      </c>
      <c r="T300" s="13" t="s">
        <v>94</v>
      </c>
      <c r="U300" s="14">
        <v>40725</v>
      </c>
      <c r="V300" s="14"/>
      <c r="W300" s="15"/>
      <c r="X300" s="13"/>
      <c r="Y300" s="15"/>
      <c r="Z300" s="13"/>
      <c r="AA300" s="15"/>
      <c r="AB300" s="13"/>
      <c r="AC300" s="15"/>
      <c r="AD300" s="13"/>
      <c r="AE300" s="15"/>
      <c r="AF300" s="13"/>
      <c r="AG300" s="15"/>
      <c r="AH300" s="13"/>
      <c r="AI300" s="15"/>
      <c r="AJ300" s="13"/>
      <c r="AK300" s="15"/>
      <c r="AL300" s="13"/>
      <c r="AM300" s="15"/>
      <c r="AN300" s="13"/>
      <c r="AO300" s="15"/>
      <c r="AP300" s="13"/>
      <c r="AQ300" s="15"/>
      <c r="AR300" s="13"/>
      <c r="AS300" s="15"/>
      <c r="AT300" s="13"/>
      <c r="AU300" s="15"/>
      <c r="AV300" s="13"/>
      <c r="AW300" s="15"/>
      <c r="AX300" s="13"/>
      <c r="AY300" s="15"/>
      <c r="AZ300" s="13"/>
      <c r="BA300" s="15"/>
      <c r="BB300" s="13"/>
      <c r="BC300" s="15"/>
      <c r="BD300" s="13"/>
      <c r="BE300" s="15"/>
      <c r="BF300" s="13"/>
      <c r="BG300" s="15"/>
      <c r="BH300" s="13"/>
      <c r="BI300" s="15"/>
      <c r="BJ300" s="13"/>
      <c r="BK300" s="15"/>
      <c r="BL300" s="13"/>
      <c r="BM300" s="15"/>
      <c r="BN300" s="13"/>
      <c r="BO300" s="15"/>
      <c r="BP300" s="13"/>
      <c r="BQ300" s="15"/>
      <c r="BR300" s="13"/>
      <c r="BS300" s="15"/>
      <c r="BT300" s="13"/>
      <c r="BU300" s="15"/>
      <c r="BV300" s="13"/>
      <c r="BW300" s="15"/>
    </row>
    <row r="301" spans="1:75" ht="72.5" x14ac:dyDescent="0.35">
      <c r="A301" s="13" t="s">
        <v>76</v>
      </c>
      <c r="B301" s="13" t="s">
        <v>77</v>
      </c>
      <c r="C301" s="14">
        <v>43152.5</v>
      </c>
      <c r="D301" s="13" t="s">
        <v>78</v>
      </c>
      <c r="E301" s="15" t="s">
        <v>79</v>
      </c>
      <c r="F301" s="13" t="s">
        <v>80</v>
      </c>
      <c r="G301" s="15" t="s">
        <v>81</v>
      </c>
      <c r="H301" s="13" t="s">
        <v>577</v>
      </c>
      <c r="I301" s="15" t="s">
        <v>578</v>
      </c>
      <c r="J301" s="15" t="s">
        <v>579</v>
      </c>
      <c r="K301" s="15" t="s">
        <v>580</v>
      </c>
      <c r="L301" s="13" t="s">
        <v>581</v>
      </c>
      <c r="M301" s="15" t="s">
        <v>582</v>
      </c>
      <c r="N301" s="13" t="s">
        <v>88</v>
      </c>
      <c r="O301" s="15" t="s">
        <v>89</v>
      </c>
      <c r="P301" s="15" t="s">
        <v>583</v>
      </c>
      <c r="Q301" s="15" t="s">
        <v>106</v>
      </c>
      <c r="R301" s="13" t="s">
        <v>107</v>
      </c>
      <c r="S301" s="13" t="s">
        <v>93</v>
      </c>
      <c r="T301" s="13" t="s">
        <v>94</v>
      </c>
      <c r="U301" s="14">
        <v>40725</v>
      </c>
      <c r="V301" s="14"/>
      <c r="W301" s="15"/>
      <c r="X301" s="13"/>
      <c r="Y301" s="15"/>
      <c r="Z301" s="13"/>
      <c r="AA301" s="15"/>
      <c r="AB301" s="13"/>
      <c r="AC301" s="15"/>
      <c r="AD301" s="13"/>
      <c r="AE301" s="15"/>
      <c r="AF301" s="13"/>
      <c r="AG301" s="15"/>
      <c r="AH301" s="13"/>
      <c r="AI301" s="15"/>
      <c r="AJ301" s="13"/>
      <c r="AK301" s="15"/>
      <c r="AL301" s="13"/>
      <c r="AM301" s="15"/>
      <c r="AN301" s="13"/>
      <c r="AO301" s="15"/>
      <c r="AP301" s="13"/>
      <c r="AQ301" s="15"/>
      <c r="AR301" s="13"/>
      <c r="AS301" s="15"/>
      <c r="AT301" s="13"/>
      <c r="AU301" s="15"/>
      <c r="AV301" s="13"/>
      <c r="AW301" s="15"/>
      <c r="AX301" s="13"/>
      <c r="AY301" s="15"/>
      <c r="AZ301" s="13"/>
      <c r="BA301" s="15"/>
      <c r="BB301" s="13"/>
      <c r="BC301" s="15"/>
      <c r="BD301" s="13"/>
      <c r="BE301" s="15"/>
      <c r="BF301" s="13"/>
      <c r="BG301" s="15"/>
      <c r="BH301" s="13"/>
      <c r="BI301" s="15"/>
      <c r="BJ301" s="13"/>
      <c r="BK301" s="15"/>
      <c r="BL301" s="13"/>
      <c r="BM301" s="15"/>
      <c r="BN301" s="13"/>
      <c r="BO301" s="15"/>
      <c r="BP301" s="13"/>
      <c r="BQ301" s="15"/>
      <c r="BR301" s="13"/>
      <c r="BS301" s="15"/>
      <c r="BT301" s="13"/>
      <c r="BU301" s="15"/>
      <c r="BV301" s="13"/>
      <c r="BW301" s="15"/>
    </row>
    <row r="302" spans="1:75" ht="72.5" x14ac:dyDescent="0.35">
      <c r="A302" s="13" t="s">
        <v>76</v>
      </c>
      <c r="B302" s="13" t="s">
        <v>77</v>
      </c>
      <c r="C302" s="14">
        <v>43152.5</v>
      </c>
      <c r="D302" s="13" t="s">
        <v>78</v>
      </c>
      <c r="E302" s="15" t="s">
        <v>79</v>
      </c>
      <c r="F302" s="13" t="s">
        <v>80</v>
      </c>
      <c r="G302" s="15" t="s">
        <v>81</v>
      </c>
      <c r="H302" s="13" t="s">
        <v>577</v>
      </c>
      <c r="I302" s="15" t="s">
        <v>578</v>
      </c>
      <c r="J302" s="15" t="s">
        <v>579</v>
      </c>
      <c r="K302" s="15" t="s">
        <v>580</v>
      </c>
      <c r="L302" s="13" t="s">
        <v>584</v>
      </c>
      <c r="M302" s="15" t="s">
        <v>585</v>
      </c>
      <c r="N302" s="13" t="s">
        <v>88</v>
      </c>
      <c r="O302" s="15" t="s">
        <v>97</v>
      </c>
      <c r="P302" s="15" t="s">
        <v>586</v>
      </c>
      <c r="Q302" s="15" t="s">
        <v>106</v>
      </c>
      <c r="R302" s="13" t="s">
        <v>107</v>
      </c>
      <c r="S302" s="13" t="s">
        <v>93</v>
      </c>
      <c r="T302" s="13" t="s">
        <v>94</v>
      </c>
      <c r="U302" s="14">
        <v>40725</v>
      </c>
      <c r="V302" s="14"/>
      <c r="W302" s="15"/>
      <c r="X302" s="13"/>
      <c r="Y302" s="15"/>
      <c r="Z302" s="13"/>
      <c r="AA302" s="15"/>
      <c r="AB302" s="13"/>
      <c r="AC302" s="15"/>
      <c r="AD302" s="13"/>
      <c r="AE302" s="15"/>
      <c r="AF302" s="13"/>
      <c r="AG302" s="15"/>
      <c r="AH302" s="13"/>
      <c r="AI302" s="15"/>
      <c r="AJ302" s="13"/>
      <c r="AK302" s="15"/>
      <c r="AL302" s="13"/>
      <c r="AM302" s="15"/>
      <c r="AN302" s="13"/>
      <c r="AO302" s="15"/>
      <c r="AP302" s="13"/>
      <c r="AQ302" s="15"/>
      <c r="AR302" s="13"/>
      <c r="AS302" s="15"/>
      <c r="AT302" s="13"/>
      <c r="AU302" s="15"/>
      <c r="AV302" s="13"/>
      <c r="AW302" s="15"/>
      <c r="AX302" s="13"/>
      <c r="AY302" s="15"/>
      <c r="AZ302" s="13"/>
      <c r="BA302" s="15"/>
      <c r="BB302" s="13"/>
      <c r="BC302" s="15"/>
      <c r="BD302" s="13"/>
      <c r="BE302" s="15"/>
      <c r="BF302" s="13"/>
      <c r="BG302" s="15"/>
      <c r="BH302" s="13"/>
      <c r="BI302" s="15"/>
      <c r="BJ302" s="13"/>
      <c r="BK302" s="15"/>
      <c r="BL302" s="13"/>
      <c r="BM302" s="15"/>
      <c r="BN302" s="13"/>
      <c r="BO302" s="15"/>
      <c r="BP302" s="13"/>
      <c r="BQ302" s="15"/>
      <c r="BR302" s="13"/>
      <c r="BS302" s="15"/>
      <c r="BT302" s="13"/>
      <c r="BU302" s="15"/>
      <c r="BV302" s="13"/>
      <c r="BW302" s="15"/>
    </row>
    <row r="303" spans="1:75" ht="72.5" x14ac:dyDescent="0.35">
      <c r="A303" s="13" t="s">
        <v>76</v>
      </c>
      <c r="B303" s="13" t="s">
        <v>77</v>
      </c>
      <c r="C303" s="14">
        <v>43152.5</v>
      </c>
      <c r="D303" s="13" t="s">
        <v>78</v>
      </c>
      <c r="E303" s="15" t="s">
        <v>79</v>
      </c>
      <c r="F303" s="13" t="s">
        <v>80</v>
      </c>
      <c r="G303" s="15" t="s">
        <v>81</v>
      </c>
      <c r="H303" s="13" t="s">
        <v>577</v>
      </c>
      <c r="I303" s="15" t="s">
        <v>578</v>
      </c>
      <c r="J303" s="15" t="s">
        <v>579</v>
      </c>
      <c r="K303" s="15" t="s">
        <v>580</v>
      </c>
      <c r="L303" s="13" t="s">
        <v>587</v>
      </c>
      <c r="M303" s="15" t="s">
        <v>588</v>
      </c>
      <c r="N303" s="13" t="s">
        <v>101</v>
      </c>
      <c r="O303" s="15" t="s">
        <v>102</v>
      </c>
      <c r="P303" s="15" t="s">
        <v>103</v>
      </c>
      <c r="Q303" s="15" t="s">
        <v>106</v>
      </c>
      <c r="R303" s="13" t="s">
        <v>107</v>
      </c>
      <c r="S303" s="13" t="s">
        <v>93</v>
      </c>
      <c r="T303" s="13" t="s">
        <v>94</v>
      </c>
      <c r="U303" s="14">
        <v>40725</v>
      </c>
      <c r="V303" s="14"/>
      <c r="W303" s="15"/>
      <c r="X303" s="13"/>
      <c r="Y303" s="15"/>
      <c r="Z303" s="13"/>
      <c r="AA303" s="15"/>
      <c r="AB303" s="13"/>
      <c r="AC303" s="15"/>
      <c r="AD303" s="13"/>
      <c r="AE303" s="15"/>
      <c r="AF303" s="13"/>
      <c r="AG303" s="15"/>
      <c r="AH303" s="13"/>
      <c r="AI303" s="15"/>
      <c r="AJ303" s="13"/>
      <c r="AK303" s="15"/>
      <c r="AL303" s="13"/>
      <c r="AM303" s="15"/>
      <c r="AN303" s="13"/>
      <c r="AO303" s="15"/>
      <c r="AP303" s="13"/>
      <c r="AQ303" s="15"/>
      <c r="AR303" s="13"/>
      <c r="AS303" s="15"/>
      <c r="AT303" s="13"/>
      <c r="AU303" s="15"/>
      <c r="AV303" s="13"/>
      <c r="AW303" s="15"/>
      <c r="AX303" s="13"/>
      <c r="AY303" s="15"/>
      <c r="AZ303" s="13"/>
      <c r="BA303" s="15"/>
      <c r="BB303" s="13"/>
      <c r="BC303" s="15"/>
      <c r="BD303" s="13"/>
      <c r="BE303" s="15"/>
      <c r="BF303" s="13"/>
      <c r="BG303" s="15"/>
      <c r="BH303" s="13"/>
      <c r="BI303" s="15"/>
      <c r="BJ303" s="13"/>
      <c r="BK303" s="15"/>
      <c r="BL303" s="13"/>
      <c r="BM303" s="15"/>
      <c r="BN303" s="13"/>
      <c r="BO303" s="15"/>
      <c r="BP303" s="13"/>
      <c r="BQ303" s="15"/>
      <c r="BR303" s="13"/>
      <c r="BS303" s="15"/>
      <c r="BT303" s="13"/>
      <c r="BU303" s="15"/>
      <c r="BV303" s="13"/>
      <c r="BW303" s="15"/>
    </row>
    <row r="304" spans="1:75" ht="101.5" x14ac:dyDescent="0.35">
      <c r="A304" s="13" t="s">
        <v>238</v>
      </c>
      <c r="B304" s="13" t="s">
        <v>109</v>
      </c>
      <c r="C304" s="14">
        <v>44368.708333333336</v>
      </c>
      <c r="D304" s="13" t="s">
        <v>78</v>
      </c>
      <c r="E304" s="15" t="s">
        <v>79</v>
      </c>
      <c r="F304" s="13" t="s">
        <v>80</v>
      </c>
      <c r="G304" s="15" t="s">
        <v>81</v>
      </c>
      <c r="H304" s="13" t="s">
        <v>577</v>
      </c>
      <c r="I304" s="15" t="s">
        <v>578</v>
      </c>
      <c r="J304" s="15" t="s">
        <v>579</v>
      </c>
      <c r="K304" s="15" t="s">
        <v>580</v>
      </c>
      <c r="L304" s="13" t="s">
        <v>581</v>
      </c>
      <c r="M304" s="15" t="s">
        <v>582</v>
      </c>
      <c r="N304" s="13" t="s">
        <v>88</v>
      </c>
      <c r="O304" s="15" t="s">
        <v>89</v>
      </c>
      <c r="P304" s="15" t="s">
        <v>583</v>
      </c>
      <c r="Q304" s="15" t="s">
        <v>110</v>
      </c>
      <c r="R304" s="13" t="s">
        <v>111</v>
      </c>
      <c r="S304" s="13" t="s">
        <v>93</v>
      </c>
      <c r="T304" s="13" t="s">
        <v>112</v>
      </c>
      <c r="U304" s="14">
        <v>41640</v>
      </c>
      <c r="V304" s="14"/>
      <c r="W304" s="15" t="s">
        <v>589</v>
      </c>
      <c r="X304" s="13" t="s">
        <v>590</v>
      </c>
      <c r="Y304" s="15" t="str">
        <f>VLOOKUP(X304,'Axe 2 Règles de gestion'!$D$2:$F$146,3, FALSE)</f>
        <v>L'agent doit exercer les fonctions de membre du gouvernement ou être titulaire d'un mandat d'élu de l'Assemblée nationale, du Sénat, ou du Parlement européen.</v>
      </c>
      <c r="Z304" s="13" t="s">
        <v>592</v>
      </c>
      <c r="AA304" s="15" t="str">
        <f>VLOOKUP(Z304,'Axe 2 Règles de gestion'!$D$2:$F$146,3, FALSE)</f>
        <v>Le congé sans traitement est accordé pour la durée du mandat ou de la fonction exercée.</v>
      </c>
      <c r="AB304" s="13"/>
      <c r="AC304" s="15"/>
      <c r="AD304" s="13"/>
      <c r="AE304" s="15"/>
      <c r="AF304" s="13"/>
      <c r="AG304" s="15"/>
      <c r="AH304" s="13"/>
      <c r="AI304" s="15"/>
      <c r="AJ304" s="13"/>
      <c r="AK304" s="15"/>
      <c r="AL304" s="13"/>
      <c r="AM304" s="15"/>
      <c r="AN304" s="13"/>
      <c r="AO304" s="15"/>
      <c r="AP304" s="13" t="s">
        <v>128</v>
      </c>
      <c r="AQ304" s="15" t="str">
        <f>VLOOKUP(AP304,'Axe 2 Règles de gestion'!$D$2:$F$146,3, FALSE)</f>
        <v>Lors de la demande initiale, l'agent doit être en activité.</v>
      </c>
      <c r="AR304" s="13" t="s">
        <v>130</v>
      </c>
      <c r="AS304" s="15" t="str">
        <f>VLOOKUP(AR304,'Axe 2 Règles de gestion'!$D$2:$F$146,3, FALSE)</f>
        <v>La date de début de la position doit être postérieure ou égale à la date d'entrée dans la FPE ou dans la carrière militaire.</v>
      </c>
      <c r="AT304" s="13" t="s">
        <v>132</v>
      </c>
      <c r="AU304" s="15" t="str">
        <f>VLOOKUP(AT304,'Axe 2 Règles de gestion'!$D$2:$F$146,3, FALSE)</f>
        <v>La date de début de position est à J+1 de la date de fin de position de l'occurrence précédente.</v>
      </c>
      <c r="AV304" s="13" t="s">
        <v>134</v>
      </c>
      <c r="AW304" s="15" t="str">
        <f>VLOOKUP(AV304,'Axe 2 Règles de gestion'!$D$2:$F$146,3, FALSE)</f>
        <v>La date de début de position doit être antérieure ou égale à la date de fin prévisionnelle de position.</v>
      </c>
      <c r="AX304" s="13" t="s">
        <v>136</v>
      </c>
      <c r="AY304" s="15" t="str">
        <f>VLOOKUP(AX304,'Axe 2 Règles de gestion'!$D$2:$F$146,3, FALSE)</f>
        <v>La date de début de position doit être antérieure ou égale à la date de fin réelle de position.</v>
      </c>
      <c r="AZ304" s="13" t="s">
        <v>138</v>
      </c>
      <c r="BA304" s="15" t="str">
        <f>VLOOKUP(AZ304,'Axe 2 Règles de gestion'!$D$2:$F$146,3, FALSE)</f>
        <v>La date de fin prévisionnelle de la position doit être antérieure à la date limite de départ à la retraite.</v>
      </c>
      <c r="BB304" s="13" t="s">
        <v>140</v>
      </c>
      <c r="BC304" s="15" t="str">
        <f>VLOOKUP(BB304,'Axe 2 Règles de gestion'!$D$2:$F$146,3, FALSE)</f>
        <v>La date de fin réelle de la position doit être antérieure à la date limite de départ à la retraite.</v>
      </c>
      <c r="BD304" s="13" t="s">
        <v>142</v>
      </c>
      <c r="BE304" s="15" t="str">
        <f>VLOOKUP(BD304,'Axe 2 Règles de gestion'!$D$2:$F$146,3, FALSE)</f>
        <v>La date de fin ou la date de fin prévisionnelle doit être saisie.</v>
      </c>
      <c r="BF304" s="13" t="s">
        <v>152</v>
      </c>
      <c r="BG304" s="15" t="str">
        <f>VLOOKUP(BF304,'Axe 2 Règles de gestion'!$D$2:$F$146,3, FALSE)</f>
        <v>La saisie d'une occurrence de congés/absences est interdite (date de fin réelle)</v>
      </c>
      <c r="BH304" s="13" t="s">
        <v>154</v>
      </c>
      <c r="BI304" s="15" t="str">
        <f>VLOOKUP(BH304,'Axe 2 Règles de gestion'!$D$2:$F$146,3, FALSE)</f>
        <v>La saisie d'une occurrence de congés/absences est interdite (date de fin prévisionnelle)</v>
      </c>
      <c r="BJ304" s="13"/>
      <c r="BK304" s="15"/>
      <c r="BL304" s="13"/>
      <c r="BM304" s="15"/>
      <c r="BN304" s="13"/>
      <c r="BO304" s="15"/>
      <c r="BP304" s="13"/>
      <c r="BQ304" s="15"/>
      <c r="BR304" s="13"/>
      <c r="BS304" s="15"/>
      <c r="BT304" s="13"/>
      <c r="BU304" s="15"/>
      <c r="BV304" s="13"/>
      <c r="BW304" s="15"/>
    </row>
    <row r="305" spans="1:75" ht="101.5" x14ac:dyDescent="0.35">
      <c r="A305" s="13" t="s">
        <v>238</v>
      </c>
      <c r="B305" s="13" t="s">
        <v>109</v>
      </c>
      <c r="C305" s="14">
        <v>44368.708333333336</v>
      </c>
      <c r="D305" s="13" t="s">
        <v>78</v>
      </c>
      <c r="E305" s="15" t="s">
        <v>79</v>
      </c>
      <c r="F305" s="13" t="s">
        <v>80</v>
      </c>
      <c r="G305" s="15" t="s">
        <v>81</v>
      </c>
      <c r="H305" s="13" t="s">
        <v>577</v>
      </c>
      <c r="I305" s="15" t="s">
        <v>578</v>
      </c>
      <c r="J305" s="15" t="s">
        <v>579</v>
      </c>
      <c r="K305" s="15" t="s">
        <v>580</v>
      </c>
      <c r="L305" s="13" t="s">
        <v>584</v>
      </c>
      <c r="M305" s="15" t="s">
        <v>585</v>
      </c>
      <c r="N305" s="13" t="s">
        <v>88</v>
      </c>
      <c r="O305" s="15" t="s">
        <v>97</v>
      </c>
      <c r="P305" s="15" t="s">
        <v>586</v>
      </c>
      <c r="Q305" s="15" t="s">
        <v>110</v>
      </c>
      <c r="R305" s="13" t="s">
        <v>111</v>
      </c>
      <c r="S305" s="13" t="s">
        <v>93</v>
      </c>
      <c r="T305" s="13" t="s">
        <v>112</v>
      </c>
      <c r="U305" s="14">
        <v>41640</v>
      </c>
      <c r="V305" s="14"/>
      <c r="W305" s="15" t="s">
        <v>594</v>
      </c>
      <c r="X305" s="13" t="s">
        <v>590</v>
      </c>
      <c r="Y305" s="15" t="str">
        <f>VLOOKUP(X305,'Axe 2 Règles de gestion'!$D$2:$F$146,3, FALSE)</f>
        <v>L'agent doit exercer les fonctions de membre du gouvernement ou être titulaire d'un mandat d'élu de l'Assemblée nationale, du Sénat, ou du Parlement européen.</v>
      </c>
      <c r="Z305" s="13" t="s">
        <v>592</v>
      </c>
      <c r="AA305" s="15" t="str">
        <f>VLOOKUP(Z305,'Axe 2 Règles de gestion'!$D$2:$F$146,3, FALSE)</f>
        <v>Le congé sans traitement est accordé pour la durée du mandat ou de la fonction exercée.</v>
      </c>
      <c r="AB305" s="13"/>
      <c r="AC305" s="15"/>
      <c r="AD305" s="13"/>
      <c r="AE305" s="15"/>
      <c r="AF305" s="13"/>
      <c r="AG305" s="15"/>
      <c r="AH305" s="13"/>
      <c r="AI305" s="15"/>
      <c r="AJ305" s="13"/>
      <c r="AK305" s="15"/>
      <c r="AL305" s="13"/>
      <c r="AM305" s="15"/>
      <c r="AN305" s="13"/>
      <c r="AO305" s="15"/>
      <c r="AP305" s="13" t="s">
        <v>130</v>
      </c>
      <c r="AQ305" s="15" t="str">
        <f>VLOOKUP(AP305,'Axe 2 Règles de gestion'!$D$2:$F$146,3, FALSE)</f>
        <v>La date de début de la position doit être postérieure ou égale à la date d'entrée dans la FPE ou dans la carrière militaire.</v>
      </c>
      <c r="AR305" s="13" t="s">
        <v>132</v>
      </c>
      <c r="AS305" s="15" t="str">
        <f>VLOOKUP(AR305,'Axe 2 Règles de gestion'!$D$2:$F$146,3, FALSE)</f>
        <v>La date de début de position est à J+1 de la date de fin de position de l'occurrence précédente.</v>
      </c>
      <c r="AT305" s="13" t="s">
        <v>134</v>
      </c>
      <c r="AU305" s="15" t="str">
        <f>VLOOKUP(AT305,'Axe 2 Règles de gestion'!$D$2:$F$146,3, FALSE)</f>
        <v>La date de début de position doit être antérieure ou égale à la date de fin prévisionnelle de position.</v>
      </c>
      <c r="AV305" s="13" t="s">
        <v>136</v>
      </c>
      <c r="AW305" s="15" t="str">
        <f>VLOOKUP(AV305,'Axe 2 Règles de gestion'!$D$2:$F$146,3, FALSE)</f>
        <v>La date de début de position doit être antérieure ou égale à la date de fin réelle de position.</v>
      </c>
      <c r="AX305" s="13" t="s">
        <v>138</v>
      </c>
      <c r="AY305" s="15" t="str">
        <f>VLOOKUP(AX305,'Axe 2 Règles de gestion'!$D$2:$F$146,3, FALSE)</f>
        <v>La date de fin prévisionnelle de la position doit être antérieure à la date limite de départ à la retraite.</v>
      </c>
      <c r="AZ305" s="13" t="s">
        <v>140</v>
      </c>
      <c r="BA305" s="15" t="str">
        <f>VLOOKUP(AZ305,'Axe 2 Règles de gestion'!$D$2:$F$146,3, FALSE)</f>
        <v>La date de fin réelle de la position doit être antérieure à la date limite de départ à la retraite.</v>
      </c>
      <c r="BB305" s="13" t="s">
        <v>142</v>
      </c>
      <c r="BC305" s="15" t="str">
        <f>VLOOKUP(BB305,'Axe 2 Règles de gestion'!$D$2:$F$146,3, FALSE)</f>
        <v>La date de fin ou la date de fin prévisionnelle doit être saisie.</v>
      </c>
      <c r="BD305" s="13" t="s">
        <v>152</v>
      </c>
      <c r="BE305" s="15" t="str">
        <f>VLOOKUP(BD305,'Axe 2 Règles de gestion'!$D$2:$F$146,3, FALSE)</f>
        <v>La saisie d'une occurrence de congés/absences est interdite (date de fin réelle)</v>
      </c>
      <c r="BF305" s="13" t="s">
        <v>154</v>
      </c>
      <c r="BG305" s="15" t="str">
        <f>VLOOKUP(BF305,'Axe 2 Règles de gestion'!$D$2:$F$146,3, FALSE)</f>
        <v>La saisie d'une occurrence de congés/absences est interdite (date de fin prévisionnelle)</v>
      </c>
      <c r="BH305" s="13"/>
      <c r="BI305" s="15"/>
      <c r="BJ305" s="13"/>
      <c r="BK305" s="15"/>
      <c r="BL305" s="13"/>
      <c r="BM305" s="15"/>
      <c r="BN305" s="13"/>
      <c r="BO305" s="15"/>
      <c r="BP305" s="13"/>
      <c r="BQ305" s="15"/>
      <c r="BR305" s="13"/>
      <c r="BS305" s="15"/>
      <c r="BT305" s="13"/>
      <c r="BU305" s="15"/>
      <c r="BV305" s="13"/>
      <c r="BW305" s="15"/>
    </row>
    <row r="306" spans="1:75" ht="101.5" x14ac:dyDescent="0.35">
      <c r="A306" s="13" t="s">
        <v>238</v>
      </c>
      <c r="B306" s="13" t="s">
        <v>109</v>
      </c>
      <c r="C306" s="14">
        <v>44368.708333333336</v>
      </c>
      <c r="D306" s="13" t="s">
        <v>78</v>
      </c>
      <c r="E306" s="15" t="s">
        <v>79</v>
      </c>
      <c r="F306" s="13" t="s">
        <v>80</v>
      </c>
      <c r="G306" s="15" t="s">
        <v>81</v>
      </c>
      <c r="H306" s="13" t="s">
        <v>577</v>
      </c>
      <c r="I306" s="15" t="s">
        <v>578</v>
      </c>
      <c r="J306" s="15" t="s">
        <v>579</v>
      </c>
      <c r="K306" s="15" t="s">
        <v>580</v>
      </c>
      <c r="L306" s="13" t="s">
        <v>587</v>
      </c>
      <c r="M306" s="15" t="s">
        <v>588</v>
      </c>
      <c r="N306" s="13" t="s">
        <v>101</v>
      </c>
      <c r="O306" s="15" t="s">
        <v>102</v>
      </c>
      <c r="P306" s="15" t="s">
        <v>103</v>
      </c>
      <c r="Q306" s="15" t="s">
        <v>110</v>
      </c>
      <c r="R306" s="13" t="s">
        <v>111</v>
      </c>
      <c r="S306" s="13" t="s">
        <v>93</v>
      </c>
      <c r="T306" s="13" t="s">
        <v>112</v>
      </c>
      <c r="U306" s="14">
        <v>41640</v>
      </c>
      <c r="V306" s="14"/>
      <c r="W306" s="15" t="s">
        <v>595</v>
      </c>
      <c r="X306" s="13" t="s">
        <v>590</v>
      </c>
      <c r="Y306" s="15" t="str">
        <f>VLOOKUP(X306,'Axe 2 Règles de gestion'!$D$2:$F$146,3, FALSE)</f>
        <v>L'agent doit exercer les fonctions de membre du gouvernement ou être titulaire d'un mandat d'élu de l'Assemblée nationale, du Sénat, ou du Parlement européen.</v>
      </c>
      <c r="Z306" s="13" t="s">
        <v>592</v>
      </c>
      <c r="AA306" s="15" t="str">
        <f>VLOOKUP(Z306,'Axe 2 Règles de gestion'!$D$2:$F$146,3, FALSE)</f>
        <v>Le congé sans traitement est accordé pour la durée du mandat ou de la fonction exercée.</v>
      </c>
      <c r="AB306" s="13"/>
      <c r="AC306" s="15"/>
      <c r="AD306" s="13"/>
      <c r="AE306" s="15"/>
      <c r="AF306" s="13"/>
      <c r="AG306" s="15"/>
      <c r="AH306" s="13"/>
      <c r="AI306" s="15"/>
      <c r="AJ306" s="13"/>
      <c r="AK306" s="15"/>
      <c r="AL306" s="13"/>
      <c r="AM306" s="15"/>
      <c r="AN306" s="13"/>
      <c r="AO306" s="15"/>
      <c r="AP306" s="13" t="s">
        <v>134</v>
      </c>
      <c r="AQ306" s="15" t="str">
        <f>VLOOKUP(AP306,'Axe 2 Règles de gestion'!$D$2:$F$146,3, FALSE)</f>
        <v>La date de début de position doit être antérieure ou égale à la date de fin prévisionnelle de position.</v>
      </c>
      <c r="AR306" s="13" t="s">
        <v>136</v>
      </c>
      <c r="AS306" s="15" t="str">
        <f>VLOOKUP(AR306,'Axe 2 Règles de gestion'!$D$2:$F$146,3, FALSE)</f>
        <v>La date de début de position doit être antérieure ou égale à la date de fin réelle de position.</v>
      </c>
      <c r="AT306" s="13" t="s">
        <v>138</v>
      </c>
      <c r="AU306" s="15" t="str">
        <f>VLOOKUP(AT306,'Axe 2 Règles de gestion'!$D$2:$F$146,3, FALSE)</f>
        <v>La date de fin prévisionnelle de la position doit être antérieure à la date limite de départ à la retraite.</v>
      </c>
      <c r="AV306" s="13" t="s">
        <v>140</v>
      </c>
      <c r="AW306" s="15" t="str">
        <f>VLOOKUP(AV306,'Axe 2 Règles de gestion'!$D$2:$F$146,3, FALSE)</f>
        <v>La date de fin réelle de la position doit être antérieure à la date limite de départ à la retraite.</v>
      </c>
      <c r="AX306" s="13" t="s">
        <v>142</v>
      </c>
      <c r="AY306" s="15" t="str">
        <f>VLOOKUP(AX306,'Axe 2 Règles de gestion'!$D$2:$F$146,3, FALSE)</f>
        <v>La date de fin ou la date de fin prévisionnelle doit être saisie.</v>
      </c>
      <c r="AZ306" s="13" t="s">
        <v>152</v>
      </c>
      <c r="BA306" s="15" t="str">
        <f>VLOOKUP(AZ306,'Axe 2 Règles de gestion'!$D$2:$F$146,3, FALSE)</f>
        <v>La saisie d'une occurrence de congés/absences est interdite (date de fin réelle)</v>
      </c>
      <c r="BB306" s="13" t="s">
        <v>154</v>
      </c>
      <c r="BC306" s="15" t="str">
        <f>VLOOKUP(BB306,'Axe 2 Règles de gestion'!$D$2:$F$146,3, FALSE)</f>
        <v>La saisie d'une occurrence de congés/absences est interdite (date de fin prévisionnelle)</v>
      </c>
      <c r="BD306" s="13"/>
      <c r="BE306" s="15"/>
      <c r="BF306" s="13"/>
      <c r="BG306" s="15"/>
      <c r="BH306" s="13"/>
      <c r="BI306" s="15"/>
      <c r="BJ306" s="13"/>
      <c r="BK306" s="15"/>
      <c r="BL306" s="13"/>
      <c r="BM306" s="15"/>
      <c r="BN306" s="13"/>
      <c r="BO306" s="15"/>
      <c r="BP306" s="13"/>
      <c r="BQ306" s="15"/>
      <c r="BR306" s="13"/>
      <c r="BS306" s="15"/>
      <c r="BT306" s="13"/>
      <c r="BU306" s="15"/>
      <c r="BV306" s="13"/>
      <c r="BW306" s="15"/>
    </row>
    <row r="307" spans="1:75" ht="72.5" x14ac:dyDescent="0.35">
      <c r="A307" s="13" t="s">
        <v>76</v>
      </c>
      <c r="B307" s="13" t="s">
        <v>77</v>
      </c>
      <c r="C307" s="14">
        <v>43152.5</v>
      </c>
      <c r="D307" s="13" t="s">
        <v>78</v>
      </c>
      <c r="E307" s="15" t="s">
        <v>79</v>
      </c>
      <c r="F307" s="13" t="s">
        <v>80</v>
      </c>
      <c r="G307" s="15" t="s">
        <v>81</v>
      </c>
      <c r="H307" s="13" t="s">
        <v>577</v>
      </c>
      <c r="I307" s="15" t="s">
        <v>578</v>
      </c>
      <c r="J307" s="15" t="s">
        <v>579</v>
      </c>
      <c r="K307" s="15" t="s">
        <v>580</v>
      </c>
      <c r="L307" s="13" t="s">
        <v>581</v>
      </c>
      <c r="M307" s="15" t="s">
        <v>582</v>
      </c>
      <c r="N307" s="13" t="s">
        <v>88</v>
      </c>
      <c r="O307" s="15" t="s">
        <v>89</v>
      </c>
      <c r="P307" s="15" t="s">
        <v>583</v>
      </c>
      <c r="Q307" s="15" t="s">
        <v>175</v>
      </c>
      <c r="R307" s="13" t="s">
        <v>176</v>
      </c>
      <c r="S307" s="13" t="s">
        <v>93</v>
      </c>
      <c r="T307" s="13" t="s">
        <v>94</v>
      </c>
      <c r="U307" s="14">
        <v>40725</v>
      </c>
      <c r="V307" s="14"/>
      <c r="W307" s="15"/>
      <c r="X307" s="13"/>
      <c r="Y307" s="15"/>
      <c r="Z307" s="13"/>
      <c r="AA307" s="15"/>
      <c r="AB307" s="13"/>
      <c r="AC307" s="15"/>
      <c r="AD307" s="13"/>
      <c r="AE307" s="15"/>
      <c r="AF307" s="13"/>
      <c r="AG307" s="15"/>
      <c r="AH307" s="13"/>
      <c r="AI307" s="15"/>
      <c r="AJ307" s="13"/>
      <c r="AK307" s="15"/>
      <c r="AL307" s="13"/>
      <c r="AM307" s="15"/>
      <c r="AN307" s="13"/>
      <c r="AO307" s="15"/>
      <c r="AP307" s="13"/>
      <c r="AQ307" s="15"/>
      <c r="AR307" s="13"/>
      <c r="AS307" s="15"/>
      <c r="AT307" s="13"/>
      <c r="AU307" s="15"/>
      <c r="AV307" s="13"/>
      <c r="AW307" s="15"/>
      <c r="AX307" s="13"/>
      <c r="AY307" s="15"/>
      <c r="AZ307" s="13"/>
      <c r="BA307" s="15"/>
      <c r="BB307" s="13"/>
      <c r="BC307" s="15"/>
      <c r="BD307" s="13"/>
      <c r="BE307" s="15"/>
      <c r="BF307" s="13"/>
      <c r="BG307" s="15"/>
      <c r="BH307" s="13"/>
      <c r="BI307" s="15"/>
      <c r="BJ307" s="13"/>
      <c r="BK307" s="15"/>
      <c r="BL307" s="13"/>
      <c r="BM307" s="15"/>
      <c r="BN307" s="13"/>
      <c r="BO307" s="15"/>
      <c r="BP307" s="13"/>
      <c r="BQ307" s="15"/>
      <c r="BR307" s="13"/>
      <c r="BS307" s="15"/>
      <c r="BT307" s="13"/>
      <c r="BU307" s="15"/>
      <c r="BV307" s="13"/>
      <c r="BW307" s="15"/>
    </row>
    <row r="308" spans="1:75" ht="72.5" x14ac:dyDescent="0.35">
      <c r="A308" s="13" t="s">
        <v>76</v>
      </c>
      <c r="B308" s="13" t="s">
        <v>77</v>
      </c>
      <c r="C308" s="14">
        <v>43152.5</v>
      </c>
      <c r="D308" s="13" t="s">
        <v>78</v>
      </c>
      <c r="E308" s="15" t="s">
        <v>79</v>
      </c>
      <c r="F308" s="13" t="s">
        <v>80</v>
      </c>
      <c r="G308" s="15" t="s">
        <v>81</v>
      </c>
      <c r="H308" s="13" t="s">
        <v>577</v>
      </c>
      <c r="I308" s="15" t="s">
        <v>578</v>
      </c>
      <c r="J308" s="15" t="s">
        <v>579</v>
      </c>
      <c r="K308" s="15" t="s">
        <v>580</v>
      </c>
      <c r="L308" s="13" t="s">
        <v>584</v>
      </c>
      <c r="M308" s="15" t="s">
        <v>585</v>
      </c>
      <c r="N308" s="13" t="s">
        <v>88</v>
      </c>
      <c r="O308" s="15" t="s">
        <v>97</v>
      </c>
      <c r="P308" s="15" t="s">
        <v>586</v>
      </c>
      <c r="Q308" s="15" t="s">
        <v>175</v>
      </c>
      <c r="R308" s="13" t="s">
        <v>176</v>
      </c>
      <c r="S308" s="13" t="s">
        <v>93</v>
      </c>
      <c r="T308" s="13" t="s">
        <v>94</v>
      </c>
      <c r="U308" s="14">
        <v>40725</v>
      </c>
      <c r="V308" s="14"/>
      <c r="W308" s="15"/>
      <c r="X308" s="13"/>
      <c r="Y308" s="15"/>
      <c r="Z308" s="13"/>
      <c r="AA308" s="15"/>
      <c r="AB308" s="13"/>
      <c r="AC308" s="15"/>
      <c r="AD308" s="13"/>
      <c r="AE308" s="15"/>
      <c r="AF308" s="13"/>
      <c r="AG308" s="15"/>
      <c r="AH308" s="13"/>
      <c r="AI308" s="15"/>
      <c r="AJ308" s="13"/>
      <c r="AK308" s="15"/>
      <c r="AL308" s="13"/>
      <c r="AM308" s="15"/>
      <c r="AN308" s="13"/>
      <c r="AO308" s="15"/>
      <c r="AP308" s="13"/>
      <c r="AQ308" s="15"/>
      <c r="AR308" s="13"/>
      <c r="AS308" s="15"/>
      <c r="AT308" s="13"/>
      <c r="AU308" s="15"/>
      <c r="AV308" s="13"/>
      <c r="AW308" s="15"/>
      <c r="AX308" s="13"/>
      <c r="AY308" s="15"/>
      <c r="AZ308" s="13"/>
      <c r="BA308" s="15"/>
      <c r="BB308" s="13"/>
      <c r="BC308" s="15"/>
      <c r="BD308" s="13"/>
      <c r="BE308" s="15"/>
      <c r="BF308" s="13"/>
      <c r="BG308" s="15"/>
      <c r="BH308" s="13"/>
      <c r="BI308" s="15"/>
      <c r="BJ308" s="13"/>
      <c r="BK308" s="15"/>
      <c r="BL308" s="13"/>
      <c r="BM308" s="15"/>
      <c r="BN308" s="13"/>
      <c r="BO308" s="15"/>
      <c r="BP308" s="13"/>
      <c r="BQ308" s="15"/>
      <c r="BR308" s="13"/>
      <c r="BS308" s="15"/>
      <c r="BT308" s="13"/>
      <c r="BU308" s="15"/>
      <c r="BV308" s="13"/>
      <c r="BW308" s="15"/>
    </row>
    <row r="309" spans="1:75" ht="72.5" x14ac:dyDescent="0.35">
      <c r="A309" s="13" t="s">
        <v>76</v>
      </c>
      <c r="B309" s="13" t="s">
        <v>77</v>
      </c>
      <c r="C309" s="14">
        <v>43152.5</v>
      </c>
      <c r="D309" s="13" t="s">
        <v>78</v>
      </c>
      <c r="E309" s="15" t="s">
        <v>79</v>
      </c>
      <c r="F309" s="13" t="s">
        <v>80</v>
      </c>
      <c r="G309" s="15" t="s">
        <v>81</v>
      </c>
      <c r="H309" s="13" t="s">
        <v>577</v>
      </c>
      <c r="I309" s="15" t="s">
        <v>578</v>
      </c>
      <c r="J309" s="15" t="s">
        <v>579</v>
      </c>
      <c r="K309" s="15" t="s">
        <v>580</v>
      </c>
      <c r="L309" s="13" t="s">
        <v>587</v>
      </c>
      <c r="M309" s="15" t="s">
        <v>588</v>
      </c>
      <c r="N309" s="13" t="s">
        <v>101</v>
      </c>
      <c r="O309" s="15" t="s">
        <v>102</v>
      </c>
      <c r="P309" s="15" t="s">
        <v>103</v>
      </c>
      <c r="Q309" s="15" t="s">
        <v>175</v>
      </c>
      <c r="R309" s="13" t="s">
        <v>176</v>
      </c>
      <c r="S309" s="13" t="s">
        <v>93</v>
      </c>
      <c r="T309" s="13" t="s">
        <v>94</v>
      </c>
      <c r="U309" s="14">
        <v>40725</v>
      </c>
      <c r="V309" s="14"/>
      <c r="W309" s="15"/>
      <c r="X309" s="13"/>
      <c r="Y309" s="15"/>
      <c r="Z309" s="13"/>
      <c r="AA309" s="15"/>
      <c r="AB309" s="13"/>
      <c r="AC309" s="15"/>
      <c r="AD309" s="13"/>
      <c r="AE309" s="15"/>
      <c r="AF309" s="13"/>
      <c r="AG309" s="15"/>
      <c r="AH309" s="13"/>
      <c r="AI309" s="15"/>
      <c r="AJ309" s="13"/>
      <c r="AK309" s="15"/>
      <c r="AL309" s="13"/>
      <c r="AM309" s="15"/>
      <c r="AN309" s="13"/>
      <c r="AO309" s="15"/>
      <c r="AP309" s="13"/>
      <c r="AQ309" s="15"/>
      <c r="AR309" s="13"/>
      <c r="AS309" s="15"/>
      <c r="AT309" s="13"/>
      <c r="AU309" s="15"/>
      <c r="AV309" s="13"/>
      <c r="AW309" s="15"/>
      <c r="AX309" s="13"/>
      <c r="AY309" s="15"/>
      <c r="AZ309" s="13"/>
      <c r="BA309" s="15"/>
      <c r="BB309" s="13"/>
      <c r="BC309" s="15"/>
      <c r="BD309" s="13"/>
      <c r="BE309" s="15"/>
      <c r="BF309" s="13"/>
      <c r="BG309" s="15"/>
      <c r="BH309" s="13"/>
      <c r="BI309" s="15"/>
      <c r="BJ309" s="13"/>
      <c r="BK309" s="15"/>
      <c r="BL309" s="13"/>
      <c r="BM309" s="15"/>
      <c r="BN309" s="13"/>
      <c r="BO309" s="15"/>
      <c r="BP309" s="13"/>
      <c r="BQ309" s="15"/>
      <c r="BR309" s="13"/>
      <c r="BS309" s="15"/>
      <c r="BT309" s="13"/>
      <c r="BU309" s="15"/>
      <c r="BV309" s="13"/>
      <c r="BW309" s="15"/>
    </row>
    <row r="310" spans="1:75" x14ac:dyDescent="0.35">
      <c r="C310" s="16"/>
      <c r="U310" s="16"/>
      <c r="V310" s="16"/>
    </row>
    <row r="311" spans="1:75" x14ac:dyDescent="0.35">
      <c r="C311" s="16"/>
      <c r="U311" s="16"/>
      <c r="V311" s="16"/>
    </row>
    <row r="312" spans="1:75" x14ac:dyDescent="0.35">
      <c r="C312" s="16"/>
      <c r="U312" s="16"/>
      <c r="V312" s="16"/>
    </row>
    <row r="313" spans="1:75" x14ac:dyDescent="0.35">
      <c r="C313" s="16"/>
      <c r="U313" s="16"/>
      <c r="V313" s="16"/>
    </row>
    <row r="314" spans="1:75" x14ac:dyDescent="0.35">
      <c r="C314" s="16"/>
      <c r="U314" s="16"/>
      <c r="V314" s="16"/>
    </row>
    <row r="315" spans="1:75" x14ac:dyDescent="0.35">
      <c r="C315" s="16"/>
      <c r="U315" s="16"/>
      <c r="V315" s="16"/>
    </row>
    <row r="316" spans="1:75" x14ac:dyDescent="0.35">
      <c r="C316" s="16"/>
      <c r="U316" s="16"/>
      <c r="V316" s="16"/>
    </row>
    <row r="317" spans="1:75" x14ac:dyDescent="0.35">
      <c r="C317" s="16"/>
      <c r="U317" s="16"/>
      <c r="V317" s="16"/>
    </row>
    <row r="318" spans="1:75" x14ac:dyDescent="0.35">
      <c r="C318" s="16"/>
      <c r="U318" s="16"/>
      <c r="V318" s="16"/>
    </row>
    <row r="319" spans="1:75" x14ac:dyDescent="0.35">
      <c r="C319" s="16"/>
      <c r="U319" s="16"/>
      <c r="V319" s="16"/>
    </row>
    <row r="320" spans="1:75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  <row r="448" spans="3:22" x14ac:dyDescent="0.35">
      <c r="C448" s="16"/>
      <c r="U448" s="16"/>
      <c r="V448" s="16"/>
    </row>
    <row r="449" spans="3:22" x14ac:dyDescent="0.35">
      <c r="C449" s="16"/>
      <c r="U449" s="16"/>
      <c r="V449" s="16"/>
    </row>
    <row r="450" spans="3:22" x14ac:dyDescent="0.35">
      <c r="C450" s="16"/>
      <c r="U450" s="16"/>
      <c r="V450" s="16"/>
    </row>
    <row r="451" spans="3:22" x14ac:dyDescent="0.35">
      <c r="C451" s="16"/>
      <c r="U451" s="16"/>
      <c r="V451" s="16"/>
    </row>
    <row r="452" spans="3:22" x14ac:dyDescent="0.35">
      <c r="C452" s="16"/>
      <c r="U452" s="16"/>
      <c r="V452" s="16"/>
    </row>
    <row r="453" spans="3:22" x14ac:dyDescent="0.35">
      <c r="C453" s="16"/>
      <c r="U453" s="16"/>
      <c r="V453" s="16"/>
    </row>
    <row r="454" spans="3:22" x14ac:dyDescent="0.35">
      <c r="C454" s="16"/>
      <c r="U454" s="16"/>
      <c r="V454" s="16"/>
    </row>
    <row r="455" spans="3:22" x14ac:dyDescent="0.35">
      <c r="C455" s="16"/>
      <c r="U455" s="16"/>
      <c r="V455" s="16"/>
    </row>
    <row r="456" spans="3:22" x14ac:dyDescent="0.35">
      <c r="C456" s="16"/>
      <c r="U456" s="16"/>
      <c r="V456" s="16"/>
    </row>
    <row r="457" spans="3:22" x14ac:dyDescent="0.35">
      <c r="C457" s="16"/>
      <c r="U457" s="16"/>
      <c r="V457" s="16"/>
    </row>
    <row r="458" spans="3:22" x14ac:dyDescent="0.35">
      <c r="C458" s="16"/>
      <c r="U458" s="16"/>
      <c r="V458" s="16"/>
    </row>
    <row r="459" spans="3:22" x14ac:dyDescent="0.35">
      <c r="C459" s="16"/>
      <c r="U459" s="16"/>
      <c r="V459" s="16"/>
    </row>
    <row r="460" spans="3:22" x14ac:dyDescent="0.35">
      <c r="C460" s="16"/>
      <c r="U460" s="16"/>
      <c r="V460" s="16"/>
    </row>
    <row r="461" spans="3:22" x14ac:dyDescent="0.35">
      <c r="C461" s="16"/>
      <c r="U461" s="16"/>
      <c r="V461" s="16"/>
    </row>
    <row r="462" spans="3:22" x14ac:dyDescent="0.35">
      <c r="C462" s="16"/>
      <c r="U462" s="16"/>
      <c r="V462" s="16"/>
    </row>
    <row r="463" spans="3:22" x14ac:dyDescent="0.35">
      <c r="C463" s="16"/>
      <c r="U463" s="16"/>
      <c r="V463" s="16"/>
    </row>
    <row r="464" spans="3:22" x14ac:dyDescent="0.35">
      <c r="C464" s="16"/>
      <c r="U464" s="16"/>
      <c r="V464" s="16"/>
    </row>
    <row r="465" spans="3:22" x14ac:dyDescent="0.35">
      <c r="C465" s="16"/>
      <c r="U465" s="16"/>
      <c r="V465" s="16"/>
    </row>
    <row r="466" spans="3:22" x14ac:dyDescent="0.35">
      <c r="C466" s="16"/>
      <c r="U466" s="16"/>
      <c r="V466" s="16"/>
    </row>
    <row r="467" spans="3:22" x14ac:dyDescent="0.35">
      <c r="C467" s="16"/>
      <c r="U467" s="16"/>
      <c r="V467" s="16"/>
    </row>
    <row r="468" spans="3:22" x14ac:dyDescent="0.35">
      <c r="C468" s="16"/>
      <c r="U468" s="16"/>
      <c r="V468" s="16"/>
    </row>
    <row r="469" spans="3:22" x14ac:dyDescent="0.35">
      <c r="C469" s="16"/>
      <c r="U469" s="16"/>
      <c r="V469" s="16"/>
    </row>
    <row r="470" spans="3:22" x14ac:dyDescent="0.35">
      <c r="C470" s="16"/>
      <c r="U470" s="16"/>
      <c r="V470" s="16"/>
    </row>
    <row r="471" spans="3:22" x14ac:dyDescent="0.35">
      <c r="C471" s="16"/>
      <c r="U471" s="16"/>
      <c r="V471" s="16"/>
    </row>
    <row r="472" spans="3:22" x14ac:dyDescent="0.35">
      <c r="C472" s="16"/>
      <c r="U472" s="16"/>
      <c r="V472" s="16"/>
    </row>
    <row r="473" spans="3:22" x14ac:dyDescent="0.35">
      <c r="C473" s="16"/>
      <c r="U473" s="16"/>
      <c r="V473" s="16"/>
    </row>
    <row r="474" spans="3:22" x14ac:dyDescent="0.35">
      <c r="C474" s="16"/>
      <c r="U474" s="16"/>
      <c r="V474" s="16"/>
    </row>
    <row r="475" spans="3:22" x14ac:dyDescent="0.35">
      <c r="C475" s="16"/>
      <c r="U475" s="16"/>
      <c r="V475" s="16"/>
    </row>
    <row r="476" spans="3:22" x14ac:dyDescent="0.35">
      <c r="C476" s="16"/>
      <c r="U476" s="16"/>
      <c r="V476" s="16"/>
    </row>
    <row r="477" spans="3:22" x14ac:dyDescent="0.35">
      <c r="C477" s="16"/>
      <c r="U477" s="16"/>
      <c r="V477" s="16"/>
    </row>
    <row r="478" spans="3:22" x14ac:dyDescent="0.35">
      <c r="C478" s="16"/>
      <c r="U478" s="16"/>
      <c r="V478" s="16"/>
    </row>
    <row r="479" spans="3:22" x14ac:dyDescent="0.35">
      <c r="C479" s="16"/>
      <c r="U479" s="16"/>
      <c r="V479" s="16"/>
    </row>
    <row r="480" spans="3:22" x14ac:dyDescent="0.35">
      <c r="C480" s="16"/>
      <c r="U480" s="16"/>
      <c r="V480" s="16"/>
    </row>
    <row r="481" spans="3:22" x14ac:dyDescent="0.35">
      <c r="C481" s="16"/>
      <c r="U481" s="16"/>
      <c r="V481" s="16"/>
    </row>
    <row r="482" spans="3:22" x14ac:dyDescent="0.35">
      <c r="C482" s="16"/>
      <c r="U482" s="16"/>
      <c r="V482" s="16"/>
    </row>
    <row r="483" spans="3:22" x14ac:dyDescent="0.35">
      <c r="C483" s="16"/>
      <c r="U483" s="16"/>
      <c r="V483" s="16"/>
    </row>
    <row r="484" spans="3:22" x14ac:dyDescent="0.35">
      <c r="C484" s="16"/>
      <c r="U484" s="16"/>
      <c r="V484" s="16"/>
    </row>
    <row r="485" spans="3:22" x14ac:dyDescent="0.35">
      <c r="C485" s="16"/>
      <c r="U485" s="16"/>
      <c r="V485" s="16"/>
    </row>
    <row r="486" spans="3:22" x14ac:dyDescent="0.35">
      <c r="C486" s="16"/>
      <c r="U486" s="16"/>
      <c r="V486" s="16"/>
    </row>
    <row r="487" spans="3:22" x14ac:dyDescent="0.35">
      <c r="C487" s="16"/>
      <c r="U487" s="16"/>
      <c r="V487" s="16"/>
    </row>
    <row r="488" spans="3:22" x14ac:dyDescent="0.35">
      <c r="C488" s="16"/>
      <c r="U488" s="16"/>
      <c r="V488" s="16"/>
    </row>
    <row r="489" spans="3:22" x14ac:dyDescent="0.35">
      <c r="C489" s="16"/>
      <c r="U489" s="16"/>
      <c r="V489" s="16"/>
    </row>
    <row r="490" spans="3:22" x14ac:dyDescent="0.35">
      <c r="C490" s="16"/>
      <c r="U490" s="16"/>
      <c r="V490" s="16"/>
    </row>
    <row r="491" spans="3:22" x14ac:dyDescent="0.35">
      <c r="C491" s="16"/>
      <c r="U491" s="16"/>
      <c r="V491" s="16"/>
    </row>
    <row r="492" spans="3:22" x14ac:dyDescent="0.35">
      <c r="C492" s="16"/>
      <c r="U492" s="16"/>
      <c r="V492" s="16"/>
    </row>
    <row r="493" spans="3:22" x14ac:dyDescent="0.35">
      <c r="C493" s="16"/>
      <c r="U493" s="16"/>
      <c r="V493" s="16"/>
    </row>
    <row r="494" spans="3:22" x14ac:dyDescent="0.35">
      <c r="C494" s="16"/>
      <c r="U494" s="16"/>
      <c r="V494" s="16"/>
    </row>
    <row r="495" spans="3:22" x14ac:dyDescent="0.35">
      <c r="C495" s="16"/>
      <c r="U495" s="16"/>
      <c r="V495" s="16"/>
    </row>
    <row r="496" spans="3:22" x14ac:dyDescent="0.35">
      <c r="C496" s="16"/>
      <c r="U496" s="16"/>
      <c r="V496" s="16"/>
    </row>
    <row r="497" spans="3:22" x14ac:dyDescent="0.35">
      <c r="C497" s="16"/>
      <c r="U497" s="16"/>
      <c r="V497" s="16"/>
    </row>
    <row r="498" spans="3:22" x14ac:dyDescent="0.35">
      <c r="C498" s="16"/>
      <c r="U498" s="16"/>
      <c r="V498" s="16"/>
    </row>
    <row r="499" spans="3:22" x14ac:dyDescent="0.35">
      <c r="C499" s="16"/>
      <c r="U499" s="16"/>
      <c r="V499" s="16"/>
    </row>
    <row r="500" spans="3:22" x14ac:dyDescent="0.35">
      <c r="C500" s="16"/>
      <c r="U500" s="16"/>
      <c r="V500" s="16"/>
    </row>
    <row r="501" spans="3:22" x14ac:dyDescent="0.35">
      <c r="C501" s="16"/>
      <c r="U501" s="16"/>
      <c r="V501" s="16"/>
    </row>
    <row r="502" spans="3:22" x14ac:dyDescent="0.35">
      <c r="C502" s="16"/>
      <c r="U502" s="16"/>
      <c r="V502" s="16"/>
    </row>
    <row r="503" spans="3:22" x14ac:dyDescent="0.35">
      <c r="C503" s="16"/>
      <c r="U503" s="16"/>
      <c r="V503" s="16"/>
    </row>
    <row r="504" spans="3:22" x14ac:dyDescent="0.35">
      <c r="C504" s="16"/>
      <c r="U504" s="16"/>
      <c r="V504" s="16"/>
    </row>
    <row r="505" spans="3:22" x14ac:dyDescent="0.35">
      <c r="C505" s="16"/>
      <c r="U505" s="16"/>
      <c r="V505" s="16"/>
    </row>
    <row r="506" spans="3:22" x14ac:dyDescent="0.35">
      <c r="C506" s="16"/>
      <c r="U506" s="16"/>
      <c r="V506" s="16"/>
    </row>
    <row r="507" spans="3:22" x14ac:dyDescent="0.35">
      <c r="C507" s="16"/>
      <c r="U507" s="16"/>
      <c r="V507" s="16"/>
    </row>
    <row r="508" spans="3:22" x14ac:dyDescent="0.35">
      <c r="C508" s="16"/>
      <c r="U508" s="16"/>
      <c r="V508" s="16"/>
    </row>
    <row r="509" spans="3:22" x14ac:dyDescent="0.35">
      <c r="C509" s="16"/>
      <c r="U509" s="16"/>
      <c r="V509" s="16"/>
    </row>
    <row r="510" spans="3:22" x14ac:dyDescent="0.35">
      <c r="C510" s="16"/>
      <c r="U510" s="16"/>
      <c r="V510" s="16"/>
    </row>
    <row r="511" spans="3:22" x14ac:dyDescent="0.35">
      <c r="C511" s="16"/>
      <c r="U511" s="16"/>
      <c r="V511" s="16"/>
    </row>
    <row r="512" spans="3:22" x14ac:dyDescent="0.35">
      <c r="C512" s="16"/>
      <c r="U512" s="16"/>
      <c r="V512" s="16"/>
    </row>
    <row r="513" spans="3:22" x14ac:dyDescent="0.35">
      <c r="C513" s="16"/>
      <c r="U513" s="16"/>
      <c r="V513" s="16"/>
    </row>
    <row r="514" spans="3:22" x14ac:dyDescent="0.35">
      <c r="C514" s="16"/>
      <c r="U514" s="16"/>
      <c r="V514" s="16"/>
    </row>
    <row r="515" spans="3:22" x14ac:dyDescent="0.35">
      <c r="C515" s="16"/>
      <c r="U515" s="16"/>
      <c r="V515" s="16"/>
    </row>
    <row r="516" spans="3:22" x14ac:dyDescent="0.35">
      <c r="C516" s="16"/>
      <c r="U516" s="16"/>
      <c r="V516" s="16"/>
    </row>
    <row r="517" spans="3:22" x14ac:dyDescent="0.35">
      <c r="C517" s="16"/>
      <c r="U517" s="16"/>
      <c r="V517" s="16"/>
    </row>
    <row r="518" spans="3:22" x14ac:dyDescent="0.35">
      <c r="C518" s="16"/>
      <c r="U518" s="16"/>
      <c r="V518" s="16"/>
    </row>
    <row r="519" spans="3:22" x14ac:dyDescent="0.35">
      <c r="C519" s="16"/>
      <c r="U519" s="16"/>
      <c r="V519" s="16"/>
    </row>
    <row r="520" spans="3:22" x14ac:dyDescent="0.35">
      <c r="C520" s="16"/>
      <c r="U520" s="16"/>
      <c r="V520" s="16"/>
    </row>
    <row r="521" spans="3:22" x14ac:dyDescent="0.35">
      <c r="C521" s="16"/>
      <c r="U521" s="16"/>
      <c r="V521" s="16"/>
    </row>
    <row r="522" spans="3:22" x14ac:dyDescent="0.35">
      <c r="C522" s="16"/>
      <c r="U522" s="16"/>
      <c r="V522" s="16"/>
    </row>
    <row r="523" spans="3:22" x14ac:dyDescent="0.35">
      <c r="C523" s="16"/>
      <c r="U523" s="16"/>
      <c r="V523" s="16"/>
    </row>
    <row r="524" spans="3:22" x14ac:dyDescent="0.35">
      <c r="C524" s="16"/>
      <c r="U524" s="16"/>
      <c r="V524" s="16"/>
    </row>
    <row r="525" spans="3:22" x14ac:dyDescent="0.35">
      <c r="C525" s="16"/>
      <c r="U525" s="16"/>
      <c r="V525" s="16"/>
    </row>
    <row r="526" spans="3:22" x14ac:dyDescent="0.35">
      <c r="C526" s="16"/>
      <c r="U526" s="16"/>
      <c r="V526" s="16"/>
    </row>
    <row r="527" spans="3:22" x14ac:dyDescent="0.35">
      <c r="C527" s="16"/>
      <c r="U527" s="16"/>
      <c r="V527" s="16"/>
    </row>
    <row r="528" spans="3:22" x14ac:dyDescent="0.35">
      <c r="C528" s="16"/>
      <c r="U528" s="16"/>
      <c r="V528" s="16"/>
    </row>
    <row r="529" spans="3:22" x14ac:dyDescent="0.35">
      <c r="C529" s="16"/>
      <c r="U529" s="16"/>
      <c r="V529" s="16"/>
    </row>
    <row r="530" spans="3:22" x14ac:dyDescent="0.35">
      <c r="C530" s="16"/>
      <c r="U530" s="16"/>
      <c r="V530" s="16"/>
    </row>
    <row r="531" spans="3:22" x14ac:dyDescent="0.35">
      <c r="C531" s="16"/>
      <c r="U531" s="16"/>
      <c r="V531" s="16"/>
    </row>
    <row r="532" spans="3:22" x14ac:dyDescent="0.35">
      <c r="C532" s="16"/>
      <c r="U532" s="16"/>
      <c r="V532" s="16"/>
    </row>
    <row r="533" spans="3:22" x14ac:dyDescent="0.35">
      <c r="C533" s="16"/>
      <c r="U533" s="16"/>
      <c r="V533" s="16"/>
    </row>
    <row r="534" spans="3:22" x14ac:dyDescent="0.35">
      <c r="C534" s="16"/>
      <c r="U534" s="16"/>
      <c r="V534" s="16"/>
    </row>
    <row r="535" spans="3:22" x14ac:dyDescent="0.35">
      <c r="C535" s="16"/>
      <c r="U535" s="16"/>
      <c r="V535" s="16"/>
    </row>
    <row r="536" spans="3:22" x14ac:dyDescent="0.35">
      <c r="C536" s="16"/>
      <c r="U536" s="16"/>
      <c r="V536" s="16"/>
    </row>
    <row r="537" spans="3:22" x14ac:dyDescent="0.35">
      <c r="C537" s="16"/>
      <c r="U537" s="16"/>
      <c r="V537" s="16"/>
    </row>
    <row r="538" spans="3:22" x14ac:dyDescent="0.35">
      <c r="C538" s="16"/>
      <c r="U538" s="16"/>
      <c r="V538" s="16"/>
    </row>
    <row r="539" spans="3:22" x14ac:dyDescent="0.35">
      <c r="C539" s="16"/>
      <c r="U539" s="16"/>
      <c r="V539" s="16"/>
    </row>
    <row r="540" spans="3:22" x14ac:dyDescent="0.35">
      <c r="C540" s="16"/>
      <c r="U540" s="16"/>
      <c r="V540" s="16"/>
    </row>
    <row r="541" spans="3:22" x14ac:dyDescent="0.35">
      <c r="C541" s="16"/>
      <c r="U541" s="16"/>
      <c r="V541" s="16"/>
    </row>
    <row r="542" spans="3:22" x14ac:dyDescent="0.35">
      <c r="C542" s="16"/>
      <c r="U542" s="16"/>
      <c r="V542" s="16"/>
    </row>
    <row r="543" spans="3:22" x14ac:dyDescent="0.35">
      <c r="C543" s="16"/>
      <c r="U543" s="16"/>
      <c r="V543" s="16"/>
    </row>
    <row r="544" spans="3:22" x14ac:dyDescent="0.35">
      <c r="C544" s="16"/>
      <c r="U544" s="16"/>
      <c r="V544" s="16"/>
    </row>
    <row r="545" spans="3:22" x14ac:dyDescent="0.35">
      <c r="C545" s="16"/>
      <c r="U545" s="16"/>
      <c r="V545" s="16"/>
    </row>
    <row r="546" spans="3:22" x14ac:dyDescent="0.35">
      <c r="C546" s="16"/>
      <c r="U546" s="16"/>
      <c r="V546" s="16"/>
    </row>
    <row r="547" spans="3:22" x14ac:dyDescent="0.35">
      <c r="C547" s="16"/>
      <c r="U547" s="16"/>
      <c r="V547" s="16"/>
    </row>
    <row r="548" spans="3:22" x14ac:dyDescent="0.35">
      <c r="C548" s="16"/>
      <c r="U548" s="16"/>
      <c r="V548" s="16"/>
    </row>
    <row r="549" spans="3:22" x14ac:dyDescent="0.35">
      <c r="C549" s="16"/>
      <c r="U549" s="16"/>
      <c r="V549" s="16"/>
    </row>
    <row r="550" spans="3:22" x14ac:dyDescent="0.35">
      <c r="C550" s="16"/>
      <c r="U550" s="16"/>
      <c r="V550" s="16"/>
    </row>
    <row r="551" spans="3:22" x14ac:dyDescent="0.35">
      <c r="C551" s="16"/>
      <c r="U551" s="16"/>
      <c r="V551" s="16"/>
    </row>
    <row r="552" spans="3:22" x14ac:dyDescent="0.35">
      <c r="C552" s="16"/>
      <c r="U552" s="16"/>
      <c r="V552" s="16"/>
    </row>
    <row r="553" spans="3:22" x14ac:dyDescent="0.35">
      <c r="C553" s="16"/>
      <c r="U553" s="16"/>
      <c r="V553" s="16"/>
    </row>
    <row r="554" spans="3:22" x14ac:dyDescent="0.35">
      <c r="C554" s="16"/>
      <c r="U554" s="16"/>
      <c r="V554" s="16"/>
    </row>
    <row r="555" spans="3:22" x14ac:dyDescent="0.35">
      <c r="C555" s="16"/>
      <c r="U555" s="16"/>
      <c r="V555" s="16"/>
    </row>
    <row r="556" spans="3:22" x14ac:dyDescent="0.35">
      <c r="C556" s="16"/>
      <c r="U556" s="16"/>
      <c r="V556" s="16"/>
    </row>
    <row r="557" spans="3:22" x14ac:dyDescent="0.35">
      <c r="C557" s="16"/>
      <c r="U557" s="16"/>
      <c r="V557" s="16"/>
    </row>
    <row r="558" spans="3:22" x14ac:dyDescent="0.35">
      <c r="C558" s="16"/>
      <c r="U558" s="16"/>
      <c r="V558" s="16"/>
    </row>
    <row r="559" spans="3:22" x14ac:dyDescent="0.35">
      <c r="C559" s="16"/>
      <c r="U559" s="16"/>
      <c r="V559" s="16"/>
    </row>
    <row r="560" spans="3:22" x14ac:dyDescent="0.35">
      <c r="C560" s="16"/>
      <c r="U560" s="16"/>
      <c r="V560" s="16"/>
    </row>
    <row r="561" spans="3:22" x14ac:dyDescent="0.35">
      <c r="C561" s="16"/>
      <c r="U561" s="16"/>
      <c r="V561" s="16"/>
    </row>
    <row r="562" spans="3:22" x14ac:dyDescent="0.35">
      <c r="C562" s="16"/>
      <c r="U562" s="16"/>
      <c r="V562" s="16"/>
    </row>
    <row r="563" spans="3:22" x14ac:dyDescent="0.35">
      <c r="C563" s="16"/>
      <c r="U563" s="16"/>
      <c r="V563" s="16"/>
    </row>
    <row r="564" spans="3:22" x14ac:dyDescent="0.35">
      <c r="C564" s="16"/>
      <c r="U564" s="16"/>
      <c r="V564" s="16"/>
    </row>
    <row r="565" spans="3:22" x14ac:dyDescent="0.35">
      <c r="C565" s="16"/>
      <c r="U565" s="16"/>
      <c r="V565" s="16"/>
    </row>
    <row r="566" spans="3:22" x14ac:dyDescent="0.35">
      <c r="C566" s="16"/>
      <c r="U566" s="16"/>
      <c r="V566" s="16"/>
    </row>
    <row r="567" spans="3:22" x14ac:dyDescent="0.35">
      <c r="C567" s="16"/>
      <c r="U567" s="16"/>
      <c r="V567" s="16"/>
    </row>
    <row r="568" spans="3:22" x14ac:dyDescent="0.35">
      <c r="C568" s="16"/>
      <c r="U568" s="16"/>
      <c r="V568" s="16"/>
    </row>
    <row r="569" spans="3:22" x14ac:dyDescent="0.35">
      <c r="C569" s="16"/>
      <c r="U569" s="16"/>
      <c r="V569" s="16"/>
    </row>
    <row r="570" spans="3:22" x14ac:dyDescent="0.35">
      <c r="C570" s="16"/>
      <c r="U570" s="16"/>
      <c r="V570" s="16"/>
    </row>
    <row r="571" spans="3:22" x14ac:dyDescent="0.35">
      <c r="C571" s="16"/>
      <c r="U571" s="16"/>
      <c r="V571" s="16"/>
    </row>
    <row r="572" spans="3:22" x14ac:dyDescent="0.35">
      <c r="C572" s="16"/>
      <c r="U572" s="16"/>
      <c r="V572" s="16"/>
    </row>
    <row r="573" spans="3:22" x14ac:dyDescent="0.35">
      <c r="C573" s="16"/>
      <c r="U573" s="16"/>
      <c r="V573" s="16"/>
    </row>
    <row r="574" spans="3:22" x14ac:dyDescent="0.35">
      <c r="C574" s="16"/>
      <c r="U574" s="16"/>
      <c r="V574" s="16"/>
    </row>
    <row r="575" spans="3:22" x14ac:dyDescent="0.35">
      <c r="C575" s="16"/>
      <c r="U575" s="16"/>
      <c r="V575" s="16"/>
    </row>
    <row r="576" spans="3:22" x14ac:dyDescent="0.35">
      <c r="C576" s="16"/>
      <c r="U576" s="16"/>
      <c r="V576" s="16"/>
    </row>
    <row r="577" spans="3:22" x14ac:dyDescent="0.35">
      <c r="C577" s="16"/>
      <c r="U577" s="16"/>
      <c r="V577" s="16"/>
    </row>
    <row r="578" spans="3:22" x14ac:dyDescent="0.35">
      <c r="C578" s="16"/>
      <c r="U578" s="16"/>
      <c r="V578" s="16"/>
    </row>
    <row r="579" spans="3:22" x14ac:dyDescent="0.35">
      <c r="C579" s="16"/>
      <c r="U579" s="16"/>
      <c r="V579" s="16"/>
    </row>
    <row r="580" spans="3:22" x14ac:dyDescent="0.35">
      <c r="C580" s="16"/>
      <c r="U580" s="16"/>
      <c r="V580" s="16"/>
    </row>
    <row r="581" spans="3:22" x14ac:dyDescent="0.35">
      <c r="C581" s="16"/>
      <c r="U581" s="16"/>
      <c r="V581" s="16"/>
    </row>
    <row r="582" spans="3:22" x14ac:dyDescent="0.35">
      <c r="C582" s="16"/>
      <c r="U582" s="16"/>
      <c r="V582" s="16"/>
    </row>
    <row r="583" spans="3:22" x14ac:dyDescent="0.35">
      <c r="C583" s="16"/>
      <c r="U583" s="16"/>
      <c r="V583" s="16"/>
    </row>
    <row r="584" spans="3:22" x14ac:dyDescent="0.35">
      <c r="C584" s="16"/>
      <c r="U584" s="16"/>
      <c r="V584" s="16"/>
    </row>
    <row r="585" spans="3:22" x14ac:dyDescent="0.35">
      <c r="C585" s="16"/>
      <c r="U585" s="16"/>
      <c r="V585" s="16"/>
    </row>
    <row r="586" spans="3:22" x14ac:dyDescent="0.35">
      <c r="C586" s="16"/>
      <c r="U586" s="16"/>
      <c r="V586" s="16"/>
    </row>
    <row r="587" spans="3:22" x14ac:dyDescent="0.35">
      <c r="C587" s="16"/>
      <c r="U587" s="16"/>
      <c r="V587" s="16"/>
    </row>
    <row r="588" spans="3:22" x14ac:dyDescent="0.35">
      <c r="C588" s="16"/>
      <c r="U588" s="16"/>
      <c r="V588" s="16"/>
    </row>
    <row r="589" spans="3:22" x14ac:dyDescent="0.35">
      <c r="C589" s="16"/>
      <c r="U589" s="16"/>
      <c r="V589" s="16"/>
    </row>
    <row r="590" spans="3:22" x14ac:dyDescent="0.35">
      <c r="C590" s="16"/>
      <c r="U590" s="16"/>
      <c r="V590" s="16"/>
    </row>
    <row r="591" spans="3:22" x14ac:dyDescent="0.35">
      <c r="C591" s="16"/>
      <c r="U591" s="16"/>
      <c r="V591" s="16"/>
    </row>
    <row r="592" spans="3:22" x14ac:dyDescent="0.35">
      <c r="C592" s="16"/>
      <c r="U592" s="16"/>
      <c r="V592" s="16"/>
    </row>
    <row r="593" spans="3:22" x14ac:dyDescent="0.35">
      <c r="C593" s="16"/>
      <c r="U593" s="16"/>
      <c r="V593" s="16"/>
    </row>
    <row r="594" spans="3:22" x14ac:dyDescent="0.35">
      <c r="C594" s="16"/>
      <c r="U594" s="16"/>
      <c r="V594" s="16"/>
    </row>
    <row r="595" spans="3:22" x14ac:dyDescent="0.35">
      <c r="C595" s="16"/>
      <c r="U595" s="16"/>
      <c r="V595" s="16"/>
    </row>
    <row r="596" spans="3:22" x14ac:dyDescent="0.35">
      <c r="C596" s="16"/>
      <c r="U596" s="16"/>
      <c r="V596" s="16"/>
    </row>
    <row r="597" spans="3:22" x14ac:dyDescent="0.35">
      <c r="C597" s="16"/>
      <c r="U597" s="16"/>
      <c r="V597" s="16"/>
    </row>
    <row r="598" spans="3:22" x14ac:dyDescent="0.35">
      <c r="C598" s="16"/>
      <c r="U598" s="16"/>
      <c r="V598" s="16"/>
    </row>
    <row r="599" spans="3:22" x14ac:dyDescent="0.35">
      <c r="C599" s="16"/>
      <c r="U599" s="16"/>
      <c r="V599" s="16"/>
    </row>
    <row r="600" spans="3:22" x14ac:dyDescent="0.35">
      <c r="C600" s="16"/>
      <c r="U600" s="16"/>
      <c r="V600" s="16"/>
    </row>
    <row r="601" spans="3:22" x14ac:dyDescent="0.35">
      <c r="C601" s="16"/>
      <c r="U601" s="16"/>
      <c r="V601" s="16"/>
    </row>
    <row r="602" spans="3:22" x14ac:dyDescent="0.35">
      <c r="C602" s="16"/>
      <c r="U602" s="16"/>
      <c r="V602" s="16"/>
    </row>
    <row r="603" spans="3:22" x14ac:dyDescent="0.35">
      <c r="C603" s="16"/>
      <c r="U603" s="16"/>
      <c r="V603" s="16"/>
    </row>
    <row r="604" spans="3:22" x14ac:dyDescent="0.35">
      <c r="C604" s="16"/>
      <c r="U604" s="16"/>
      <c r="V604" s="16"/>
    </row>
    <row r="605" spans="3:22" x14ac:dyDescent="0.35">
      <c r="C605" s="16"/>
      <c r="U605" s="16"/>
      <c r="V605" s="16"/>
    </row>
    <row r="606" spans="3:22" x14ac:dyDescent="0.35">
      <c r="C606" s="16"/>
      <c r="U606" s="16"/>
      <c r="V606" s="16"/>
    </row>
    <row r="607" spans="3:22" x14ac:dyDescent="0.35">
      <c r="C607" s="16"/>
      <c r="U607" s="16"/>
      <c r="V607" s="16"/>
    </row>
    <row r="608" spans="3:22" x14ac:dyDescent="0.35">
      <c r="C608" s="16"/>
      <c r="U608" s="16"/>
      <c r="V608" s="16"/>
    </row>
    <row r="609" spans="3:22" x14ac:dyDescent="0.35">
      <c r="C609" s="16"/>
      <c r="U609" s="16"/>
      <c r="V609" s="16"/>
    </row>
    <row r="610" spans="3:22" x14ac:dyDescent="0.35">
      <c r="C610" s="16"/>
      <c r="U610" s="16"/>
      <c r="V610" s="16"/>
    </row>
    <row r="611" spans="3:22" x14ac:dyDescent="0.35">
      <c r="C611" s="16"/>
      <c r="U611" s="16"/>
      <c r="V611" s="16"/>
    </row>
    <row r="612" spans="3:22" x14ac:dyDescent="0.35">
      <c r="C612" s="16"/>
      <c r="U612" s="16"/>
      <c r="V612" s="16"/>
    </row>
    <row r="613" spans="3:22" x14ac:dyDescent="0.35">
      <c r="C613" s="16"/>
      <c r="U613" s="16"/>
      <c r="V613" s="16"/>
    </row>
    <row r="614" spans="3:22" x14ac:dyDescent="0.35">
      <c r="C614" s="16"/>
      <c r="U614" s="16"/>
      <c r="V614" s="16"/>
    </row>
    <row r="615" spans="3:22" x14ac:dyDescent="0.35">
      <c r="C615" s="16"/>
      <c r="U615" s="16"/>
      <c r="V615" s="16"/>
    </row>
    <row r="616" spans="3:22" x14ac:dyDescent="0.35">
      <c r="C616" s="16"/>
      <c r="U616" s="16"/>
      <c r="V616" s="16"/>
    </row>
    <row r="617" spans="3:22" x14ac:dyDescent="0.35">
      <c r="C617" s="16"/>
      <c r="U617" s="16"/>
      <c r="V617" s="16"/>
    </row>
    <row r="618" spans="3:22" x14ac:dyDescent="0.35">
      <c r="C618" s="16"/>
      <c r="U618" s="16"/>
      <c r="V618" s="16"/>
    </row>
    <row r="619" spans="3:22" x14ac:dyDescent="0.35">
      <c r="C619" s="16"/>
      <c r="U619" s="16"/>
      <c r="V619" s="16"/>
    </row>
    <row r="620" spans="3:22" x14ac:dyDescent="0.35">
      <c r="C620" s="16"/>
      <c r="U620" s="16"/>
      <c r="V620" s="16"/>
    </row>
    <row r="621" spans="3:22" x14ac:dyDescent="0.35">
      <c r="C621" s="16"/>
      <c r="U621" s="16"/>
      <c r="V621" s="16"/>
    </row>
    <row r="622" spans="3:22" x14ac:dyDescent="0.35">
      <c r="C622" s="16"/>
      <c r="U622" s="16"/>
      <c r="V622" s="16"/>
    </row>
    <row r="623" spans="3:22" x14ac:dyDescent="0.35">
      <c r="C623" s="16"/>
      <c r="U623" s="16"/>
      <c r="V623" s="16"/>
    </row>
    <row r="624" spans="3:22" x14ac:dyDescent="0.35">
      <c r="C624" s="16"/>
      <c r="U624" s="16"/>
      <c r="V624" s="16"/>
    </row>
    <row r="625" spans="3:22" x14ac:dyDescent="0.35">
      <c r="C625" s="16"/>
      <c r="U625" s="16"/>
      <c r="V625" s="16"/>
    </row>
    <row r="626" spans="3:22" x14ac:dyDescent="0.35">
      <c r="C626" s="16"/>
      <c r="U626" s="16"/>
      <c r="V626" s="16"/>
    </row>
    <row r="627" spans="3:22" x14ac:dyDescent="0.35">
      <c r="C627" s="16"/>
      <c r="U627" s="16"/>
      <c r="V627" s="16"/>
    </row>
    <row r="628" spans="3:22" x14ac:dyDescent="0.35">
      <c r="C628" s="16"/>
      <c r="U628" s="16"/>
      <c r="V628" s="16"/>
    </row>
    <row r="629" spans="3:22" x14ac:dyDescent="0.35">
      <c r="C629" s="16"/>
      <c r="U629" s="16"/>
      <c r="V629" s="16"/>
    </row>
    <row r="630" spans="3:22" x14ac:dyDescent="0.35">
      <c r="C630" s="16"/>
      <c r="U630" s="16"/>
      <c r="V630" s="16"/>
    </row>
    <row r="631" spans="3:22" x14ac:dyDescent="0.35">
      <c r="C631" s="16"/>
      <c r="U631" s="16"/>
      <c r="V631" s="16"/>
    </row>
    <row r="632" spans="3:22" x14ac:dyDescent="0.35">
      <c r="C632" s="16"/>
      <c r="U632" s="16"/>
      <c r="V632" s="16"/>
    </row>
    <row r="633" spans="3:22" x14ac:dyDescent="0.35">
      <c r="C633" s="16"/>
      <c r="U633" s="16"/>
      <c r="V633" s="16"/>
    </row>
    <row r="634" spans="3:22" x14ac:dyDescent="0.35">
      <c r="C634" s="16"/>
      <c r="U634" s="16"/>
      <c r="V634" s="16"/>
    </row>
    <row r="635" spans="3:22" x14ac:dyDescent="0.35">
      <c r="C635" s="16"/>
      <c r="U635" s="16"/>
      <c r="V635" s="16"/>
    </row>
    <row r="636" spans="3:22" x14ac:dyDescent="0.35">
      <c r="C636" s="16"/>
      <c r="U636" s="16"/>
      <c r="V636" s="16"/>
    </row>
    <row r="637" spans="3:22" x14ac:dyDescent="0.35">
      <c r="C637" s="16"/>
      <c r="U637" s="16"/>
      <c r="V637" s="16"/>
    </row>
    <row r="638" spans="3:22" x14ac:dyDescent="0.35">
      <c r="C638" s="16"/>
      <c r="U638" s="16"/>
      <c r="V638" s="16"/>
    </row>
    <row r="639" spans="3:22" x14ac:dyDescent="0.35">
      <c r="C639" s="16"/>
      <c r="U639" s="16"/>
      <c r="V639" s="16"/>
    </row>
    <row r="640" spans="3:22" x14ac:dyDescent="0.35">
      <c r="C640" s="16"/>
      <c r="U640" s="16"/>
      <c r="V640" s="16"/>
    </row>
    <row r="641" spans="3:22" x14ac:dyDescent="0.35">
      <c r="C641" s="16"/>
      <c r="U641" s="16"/>
      <c r="V641" s="16"/>
    </row>
    <row r="642" spans="3:22" x14ac:dyDescent="0.35">
      <c r="C642" s="16"/>
      <c r="U642" s="16"/>
      <c r="V642" s="16"/>
    </row>
    <row r="643" spans="3:22" x14ac:dyDescent="0.35">
      <c r="C643" s="16"/>
      <c r="U643" s="16"/>
      <c r="V643" s="16"/>
    </row>
    <row r="644" spans="3:22" x14ac:dyDescent="0.35">
      <c r="C644" s="16"/>
      <c r="U644" s="16"/>
      <c r="V644" s="16"/>
    </row>
    <row r="645" spans="3:22" x14ac:dyDescent="0.35">
      <c r="C645" s="16"/>
      <c r="U645" s="16"/>
      <c r="V645" s="16"/>
    </row>
    <row r="646" spans="3:22" x14ac:dyDescent="0.35">
      <c r="C646" s="16"/>
      <c r="U646" s="16"/>
      <c r="V646" s="16"/>
    </row>
    <row r="647" spans="3:22" x14ac:dyDescent="0.35">
      <c r="C647" s="16"/>
      <c r="U647" s="16"/>
      <c r="V647" s="16"/>
    </row>
    <row r="648" spans="3:22" x14ac:dyDescent="0.35">
      <c r="C648" s="16"/>
      <c r="U648" s="16"/>
      <c r="V648" s="16"/>
    </row>
    <row r="649" spans="3:22" x14ac:dyDescent="0.35">
      <c r="C649" s="16"/>
      <c r="U649" s="16"/>
      <c r="V649" s="16"/>
    </row>
    <row r="650" spans="3:22" x14ac:dyDescent="0.35">
      <c r="C650" s="16"/>
      <c r="U650" s="16"/>
      <c r="V650" s="16"/>
    </row>
    <row r="651" spans="3:22" x14ac:dyDescent="0.35">
      <c r="C651" s="16"/>
      <c r="U651" s="16"/>
      <c r="V651" s="16"/>
    </row>
    <row r="652" spans="3:22" x14ac:dyDescent="0.35">
      <c r="C652" s="16"/>
      <c r="U652" s="16"/>
      <c r="V652" s="16"/>
    </row>
    <row r="653" spans="3:22" x14ac:dyDescent="0.35">
      <c r="C653" s="16"/>
      <c r="U653" s="16"/>
      <c r="V653" s="16"/>
    </row>
    <row r="654" spans="3:22" x14ac:dyDescent="0.35">
      <c r="C654" s="16"/>
      <c r="U654" s="16"/>
      <c r="V654" s="16"/>
    </row>
    <row r="655" spans="3:22" x14ac:dyDescent="0.35">
      <c r="C655" s="16"/>
      <c r="U655" s="16"/>
      <c r="V655" s="16"/>
    </row>
    <row r="656" spans="3:22" x14ac:dyDescent="0.35">
      <c r="C656" s="16"/>
      <c r="U656" s="16"/>
      <c r="V656" s="16"/>
    </row>
    <row r="657" spans="3:22" x14ac:dyDescent="0.35">
      <c r="C657" s="16"/>
      <c r="U657" s="16"/>
      <c r="V657" s="16"/>
    </row>
    <row r="658" spans="3:22" x14ac:dyDescent="0.35">
      <c r="C658" s="16"/>
      <c r="U658" s="16"/>
      <c r="V658" s="16"/>
    </row>
    <row r="659" spans="3:22" x14ac:dyDescent="0.35">
      <c r="C659" s="16"/>
      <c r="U659" s="16"/>
      <c r="V659" s="16"/>
    </row>
    <row r="660" spans="3:22" x14ac:dyDescent="0.35">
      <c r="C660" s="16"/>
      <c r="U660" s="16"/>
      <c r="V660" s="16"/>
    </row>
    <row r="661" spans="3:22" x14ac:dyDescent="0.35">
      <c r="C661" s="16"/>
      <c r="U661" s="16"/>
      <c r="V661" s="16"/>
    </row>
    <row r="662" spans="3:22" x14ac:dyDescent="0.35">
      <c r="C662" s="16"/>
      <c r="U662" s="16"/>
      <c r="V662" s="16"/>
    </row>
    <row r="663" spans="3:22" x14ac:dyDescent="0.35">
      <c r="C663" s="16"/>
      <c r="U663" s="16"/>
      <c r="V663" s="16"/>
    </row>
    <row r="664" spans="3:22" x14ac:dyDescent="0.35">
      <c r="C664" s="16"/>
      <c r="U664" s="16"/>
      <c r="V664" s="16"/>
    </row>
    <row r="665" spans="3:22" x14ac:dyDescent="0.35">
      <c r="C665" s="16"/>
      <c r="U665" s="16"/>
      <c r="V665" s="16"/>
    </row>
    <row r="666" spans="3:22" x14ac:dyDescent="0.35">
      <c r="C666" s="16"/>
      <c r="U666" s="16"/>
      <c r="V666" s="16"/>
    </row>
    <row r="667" spans="3:22" x14ac:dyDescent="0.35">
      <c r="C667" s="16"/>
      <c r="U667" s="16"/>
      <c r="V667" s="16"/>
    </row>
    <row r="668" spans="3:22" x14ac:dyDescent="0.35">
      <c r="C668" s="16"/>
      <c r="U668" s="16"/>
      <c r="V668" s="16"/>
    </row>
    <row r="669" spans="3:22" x14ac:dyDescent="0.35">
      <c r="C669" s="16"/>
      <c r="U669" s="16"/>
      <c r="V669" s="16"/>
    </row>
    <row r="670" spans="3:22" x14ac:dyDescent="0.35">
      <c r="C670" s="16"/>
      <c r="U670" s="16"/>
      <c r="V670" s="16"/>
    </row>
    <row r="671" spans="3:22" x14ac:dyDescent="0.35">
      <c r="C671" s="16"/>
      <c r="U671" s="16"/>
      <c r="V671" s="16"/>
    </row>
    <row r="672" spans="3:22" x14ac:dyDescent="0.35">
      <c r="C672" s="16"/>
      <c r="U672" s="16"/>
      <c r="V672" s="16"/>
    </row>
    <row r="673" spans="3:22" x14ac:dyDescent="0.35">
      <c r="C673" s="16"/>
      <c r="U673" s="16"/>
      <c r="V673" s="16"/>
    </row>
    <row r="674" spans="3:22" x14ac:dyDescent="0.35">
      <c r="C674" s="16"/>
      <c r="U674" s="16"/>
      <c r="V674" s="16"/>
    </row>
    <row r="675" spans="3:22" x14ac:dyDescent="0.35">
      <c r="C675" s="16"/>
      <c r="U675" s="16"/>
      <c r="V675" s="16"/>
    </row>
    <row r="676" spans="3:22" x14ac:dyDescent="0.35">
      <c r="C676" s="16"/>
      <c r="U676" s="16"/>
      <c r="V676" s="16"/>
    </row>
    <row r="677" spans="3:22" x14ac:dyDescent="0.35">
      <c r="C677" s="16"/>
      <c r="U677" s="16"/>
      <c r="V677" s="16"/>
    </row>
    <row r="678" spans="3:22" x14ac:dyDescent="0.35">
      <c r="C678" s="16"/>
      <c r="U678" s="16"/>
      <c r="V678" s="16"/>
    </row>
    <row r="679" spans="3:22" x14ac:dyDescent="0.35">
      <c r="C679" s="16"/>
      <c r="U679" s="16"/>
      <c r="V679" s="16"/>
    </row>
    <row r="680" spans="3:22" x14ac:dyDescent="0.35">
      <c r="C680" s="16"/>
      <c r="U680" s="16"/>
      <c r="V680" s="16"/>
    </row>
    <row r="681" spans="3:22" x14ac:dyDescent="0.35">
      <c r="C681" s="16"/>
      <c r="U681" s="16"/>
      <c r="V681" s="16"/>
    </row>
    <row r="682" spans="3:22" x14ac:dyDescent="0.35">
      <c r="C682" s="16"/>
      <c r="U682" s="16"/>
      <c r="V682" s="16"/>
    </row>
    <row r="683" spans="3:22" x14ac:dyDescent="0.35">
      <c r="C683" s="16"/>
      <c r="U683" s="16"/>
      <c r="V683" s="16"/>
    </row>
    <row r="684" spans="3:22" x14ac:dyDescent="0.35">
      <c r="C684" s="16"/>
      <c r="U684" s="16"/>
      <c r="V684" s="16"/>
    </row>
    <row r="685" spans="3:22" x14ac:dyDescent="0.35">
      <c r="C685" s="16"/>
      <c r="U685" s="16"/>
      <c r="V685" s="16"/>
    </row>
    <row r="686" spans="3:22" x14ac:dyDescent="0.35">
      <c r="C686" s="16"/>
      <c r="U686" s="16"/>
      <c r="V686" s="16"/>
    </row>
    <row r="687" spans="3:22" x14ac:dyDescent="0.35">
      <c r="C687" s="16"/>
      <c r="U687" s="16"/>
      <c r="V687" s="16"/>
    </row>
    <row r="688" spans="3:22" x14ac:dyDescent="0.35">
      <c r="C688" s="16"/>
      <c r="U688" s="16"/>
      <c r="V688" s="16"/>
    </row>
    <row r="689" spans="3:22" x14ac:dyDescent="0.35">
      <c r="C689" s="16"/>
      <c r="U689" s="16"/>
      <c r="V689" s="16"/>
    </row>
    <row r="690" spans="3:22" x14ac:dyDescent="0.35">
      <c r="C690" s="16"/>
      <c r="U690" s="16"/>
      <c r="V690" s="16"/>
    </row>
    <row r="691" spans="3:22" x14ac:dyDescent="0.35">
      <c r="C691" s="16"/>
      <c r="U691" s="16"/>
      <c r="V691" s="16"/>
    </row>
    <row r="692" spans="3:22" x14ac:dyDescent="0.35">
      <c r="C692" s="16"/>
      <c r="U692" s="16"/>
      <c r="V692" s="16"/>
    </row>
    <row r="693" spans="3:22" x14ac:dyDescent="0.35">
      <c r="C693" s="16"/>
      <c r="U693" s="16"/>
      <c r="V693" s="16"/>
    </row>
    <row r="694" spans="3:22" x14ac:dyDescent="0.35">
      <c r="C694" s="16"/>
      <c r="U694" s="16"/>
      <c r="V694" s="16"/>
    </row>
    <row r="695" spans="3:22" x14ac:dyDescent="0.35">
      <c r="C695" s="16"/>
      <c r="U695" s="16"/>
      <c r="V695" s="16"/>
    </row>
    <row r="696" spans="3:22" x14ac:dyDescent="0.35">
      <c r="C696" s="16"/>
      <c r="U696" s="16"/>
      <c r="V696" s="16"/>
    </row>
    <row r="697" spans="3:22" x14ac:dyDescent="0.35">
      <c r="C697" s="16"/>
      <c r="U697" s="16"/>
      <c r="V697" s="16"/>
    </row>
    <row r="698" spans="3:22" x14ac:dyDescent="0.35">
      <c r="C698" s="16"/>
      <c r="U698" s="16"/>
      <c r="V698" s="16"/>
    </row>
    <row r="699" spans="3:22" x14ac:dyDescent="0.35">
      <c r="C699" s="16"/>
      <c r="U699" s="16"/>
      <c r="V699" s="16"/>
    </row>
    <row r="700" spans="3:22" x14ac:dyDescent="0.35">
      <c r="C700" s="16"/>
      <c r="U700" s="16"/>
      <c r="V700" s="16"/>
    </row>
    <row r="701" spans="3:22" x14ac:dyDescent="0.35">
      <c r="C701" s="16"/>
      <c r="U701" s="16"/>
      <c r="V701" s="16"/>
    </row>
    <row r="702" spans="3:22" x14ac:dyDescent="0.35">
      <c r="C702" s="16"/>
      <c r="U702" s="16"/>
      <c r="V702" s="16"/>
    </row>
    <row r="703" spans="3:22" x14ac:dyDescent="0.35">
      <c r="C703" s="16"/>
      <c r="U703" s="16"/>
      <c r="V703" s="16"/>
    </row>
    <row r="704" spans="3:22" x14ac:dyDescent="0.35">
      <c r="C704" s="16"/>
      <c r="U704" s="16"/>
      <c r="V704" s="16"/>
    </row>
    <row r="705" spans="3:22" x14ac:dyDescent="0.35">
      <c r="C705" s="16"/>
      <c r="U705" s="16"/>
      <c r="V705" s="16"/>
    </row>
    <row r="706" spans="3:22" x14ac:dyDescent="0.35">
      <c r="C706" s="16"/>
      <c r="U706" s="16"/>
      <c r="V706" s="16"/>
    </row>
    <row r="707" spans="3:22" x14ac:dyDescent="0.35">
      <c r="C707" s="16"/>
      <c r="U707" s="16"/>
      <c r="V707" s="16"/>
    </row>
    <row r="708" spans="3:22" x14ac:dyDescent="0.35">
      <c r="C708" s="16"/>
      <c r="U708" s="16"/>
      <c r="V708" s="16"/>
    </row>
    <row r="709" spans="3:22" x14ac:dyDescent="0.35">
      <c r="C709" s="16"/>
      <c r="U709" s="16"/>
      <c r="V709" s="16"/>
    </row>
    <row r="710" spans="3:22" x14ac:dyDescent="0.35">
      <c r="C710" s="16"/>
      <c r="U710" s="16"/>
      <c r="V710" s="16"/>
    </row>
    <row r="711" spans="3:22" x14ac:dyDescent="0.35">
      <c r="C711" s="16"/>
      <c r="U711" s="16"/>
      <c r="V711" s="16"/>
    </row>
    <row r="712" spans="3:22" x14ac:dyDescent="0.35">
      <c r="C712" s="16"/>
      <c r="U712" s="16"/>
      <c r="V712" s="16"/>
    </row>
    <row r="713" spans="3:22" x14ac:dyDescent="0.35">
      <c r="C713" s="16"/>
      <c r="U713" s="16"/>
      <c r="V713" s="16"/>
    </row>
    <row r="714" spans="3:22" x14ac:dyDescent="0.35">
      <c r="C714" s="16"/>
      <c r="U714" s="16"/>
      <c r="V714" s="16"/>
    </row>
    <row r="715" spans="3:22" x14ac:dyDescent="0.35">
      <c r="C715" s="16"/>
      <c r="U715" s="16"/>
      <c r="V715" s="16"/>
    </row>
    <row r="716" spans="3:22" x14ac:dyDescent="0.35">
      <c r="C716" s="16"/>
      <c r="U716" s="16"/>
      <c r="V716" s="16"/>
    </row>
    <row r="717" spans="3:22" x14ac:dyDescent="0.35">
      <c r="C717" s="16"/>
      <c r="U717" s="16"/>
      <c r="V717" s="16"/>
    </row>
    <row r="718" spans="3:22" x14ac:dyDescent="0.35">
      <c r="C718" s="16"/>
      <c r="U718" s="16"/>
      <c r="V718" s="16"/>
    </row>
    <row r="719" spans="3:22" x14ac:dyDescent="0.35">
      <c r="C719" s="16"/>
      <c r="U719" s="16"/>
      <c r="V719" s="16"/>
    </row>
    <row r="720" spans="3:22" x14ac:dyDescent="0.35">
      <c r="C720" s="16"/>
      <c r="U720" s="16"/>
      <c r="V720" s="16"/>
    </row>
    <row r="721" spans="3:22" x14ac:dyDescent="0.35">
      <c r="C721" s="16"/>
      <c r="U721" s="16"/>
      <c r="V721" s="16"/>
    </row>
    <row r="722" spans="3:22" x14ac:dyDescent="0.35">
      <c r="C722" s="16"/>
      <c r="U722" s="16"/>
      <c r="V722" s="16"/>
    </row>
    <row r="723" spans="3:22" x14ac:dyDescent="0.35">
      <c r="C723" s="16"/>
      <c r="U723" s="16"/>
      <c r="V723" s="16"/>
    </row>
    <row r="724" spans="3:22" x14ac:dyDescent="0.35">
      <c r="C724" s="16"/>
      <c r="U724" s="16"/>
      <c r="V724" s="16"/>
    </row>
    <row r="725" spans="3:22" x14ac:dyDescent="0.35">
      <c r="C725" s="16"/>
      <c r="U725" s="16"/>
      <c r="V725" s="16"/>
    </row>
    <row r="726" spans="3:22" x14ac:dyDescent="0.35">
      <c r="C726" s="16"/>
      <c r="U726" s="16"/>
      <c r="V726" s="16"/>
    </row>
    <row r="727" spans="3:22" x14ac:dyDescent="0.35">
      <c r="C727" s="16"/>
      <c r="U727" s="16"/>
      <c r="V727" s="16"/>
    </row>
    <row r="728" spans="3:22" x14ac:dyDescent="0.35">
      <c r="C728" s="16"/>
      <c r="U728" s="16"/>
      <c r="V728" s="16"/>
    </row>
    <row r="729" spans="3:22" x14ac:dyDescent="0.35">
      <c r="C729" s="16"/>
      <c r="U729" s="16"/>
      <c r="V729" s="16"/>
    </row>
    <row r="730" spans="3:22" x14ac:dyDescent="0.35">
      <c r="C730" s="16"/>
      <c r="U730" s="16"/>
      <c r="V730" s="16"/>
    </row>
    <row r="731" spans="3:22" x14ac:dyDescent="0.35">
      <c r="C731" s="16"/>
      <c r="U731" s="16"/>
      <c r="V731" s="16"/>
    </row>
    <row r="732" spans="3:22" x14ac:dyDescent="0.35">
      <c r="C732" s="16"/>
      <c r="U732" s="16"/>
      <c r="V732" s="16"/>
    </row>
    <row r="733" spans="3:22" x14ac:dyDescent="0.35">
      <c r="C733" s="16"/>
      <c r="U733" s="16"/>
      <c r="V733" s="16"/>
    </row>
    <row r="734" spans="3:22" x14ac:dyDescent="0.35">
      <c r="C734" s="16"/>
      <c r="U734" s="16"/>
      <c r="V734" s="16"/>
    </row>
    <row r="735" spans="3:22" x14ac:dyDescent="0.35">
      <c r="C735" s="16"/>
      <c r="U735" s="16"/>
      <c r="V735" s="16"/>
    </row>
    <row r="736" spans="3:22" x14ac:dyDescent="0.35">
      <c r="C736" s="16"/>
      <c r="U736" s="16"/>
      <c r="V736" s="16"/>
    </row>
    <row r="737" spans="3:22" x14ac:dyDescent="0.35">
      <c r="C737" s="16"/>
      <c r="U737" s="16"/>
      <c r="V737" s="16"/>
    </row>
    <row r="738" spans="3:22" x14ac:dyDescent="0.35">
      <c r="C738" s="16"/>
      <c r="U738" s="16"/>
      <c r="V738" s="16"/>
    </row>
    <row r="739" spans="3:22" x14ac:dyDescent="0.35">
      <c r="C739" s="16"/>
      <c r="U739" s="16"/>
      <c r="V739" s="16"/>
    </row>
    <row r="740" spans="3:22" x14ac:dyDescent="0.35">
      <c r="C740" s="16"/>
      <c r="U740" s="16"/>
      <c r="V740" s="16"/>
    </row>
    <row r="741" spans="3:22" x14ac:dyDescent="0.35">
      <c r="C741" s="16"/>
      <c r="U741" s="16"/>
      <c r="V741" s="16"/>
    </row>
    <row r="742" spans="3:22" x14ac:dyDescent="0.35">
      <c r="C742" s="16"/>
      <c r="U742" s="16"/>
      <c r="V742" s="16"/>
    </row>
    <row r="743" spans="3:22" x14ac:dyDescent="0.35">
      <c r="C743" s="16"/>
      <c r="U743" s="16"/>
      <c r="V743" s="16"/>
    </row>
    <row r="744" spans="3:22" x14ac:dyDescent="0.35">
      <c r="C744" s="16"/>
      <c r="U744" s="16"/>
      <c r="V744" s="16"/>
    </row>
    <row r="745" spans="3:22" x14ac:dyDescent="0.35">
      <c r="C745" s="16"/>
      <c r="U745" s="16"/>
      <c r="V745" s="16"/>
    </row>
    <row r="746" spans="3:22" x14ac:dyDescent="0.35">
      <c r="C746" s="16"/>
      <c r="U746" s="16"/>
      <c r="V746" s="16"/>
    </row>
    <row r="747" spans="3:22" x14ac:dyDescent="0.35">
      <c r="C747" s="16"/>
      <c r="U747" s="16"/>
      <c r="V747" s="16"/>
    </row>
    <row r="748" spans="3:22" x14ac:dyDescent="0.35">
      <c r="C748" s="16"/>
      <c r="U748" s="16"/>
      <c r="V748" s="16"/>
    </row>
    <row r="749" spans="3:22" x14ac:dyDescent="0.35">
      <c r="C749" s="16"/>
      <c r="U749" s="16"/>
      <c r="V749" s="16"/>
    </row>
    <row r="750" spans="3:22" x14ac:dyDescent="0.35">
      <c r="C750" s="16"/>
      <c r="U750" s="16"/>
      <c r="V750" s="16"/>
    </row>
    <row r="751" spans="3:22" x14ac:dyDescent="0.35">
      <c r="C751" s="16"/>
      <c r="U751" s="16"/>
      <c r="V751" s="16"/>
    </row>
    <row r="752" spans="3:22" x14ac:dyDescent="0.35">
      <c r="C752" s="16"/>
      <c r="U752" s="16"/>
      <c r="V752" s="16"/>
    </row>
    <row r="753" spans="3:22" x14ac:dyDescent="0.35">
      <c r="C753" s="16"/>
      <c r="U753" s="16"/>
      <c r="V753" s="16"/>
    </row>
    <row r="754" spans="3:22" x14ac:dyDescent="0.35">
      <c r="C754" s="16"/>
      <c r="U754" s="16"/>
      <c r="V754" s="16"/>
    </row>
    <row r="755" spans="3:22" x14ac:dyDescent="0.35">
      <c r="C755" s="16"/>
      <c r="U755" s="16"/>
      <c r="V755" s="16"/>
    </row>
    <row r="756" spans="3:22" x14ac:dyDescent="0.35">
      <c r="C756" s="16"/>
      <c r="U756" s="16"/>
      <c r="V756" s="16"/>
    </row>
    <row r="757" spans="3:22" x14ac:dyDescent="0.35">
      <c r="C757" s="16"/>
      <c r="U757" s="16"/>
      <c r="V757" s="16"/>
    </row>
    <row r="758" spans="3:22" x14ac:dyDescent="0.35">
      <c r="C758" s="16"/>
      <c r="U758" s="16"/>
      <c r="V758" s="16"/>
    </row>
    <row r="759" spans="3:22" x14ac:dyDescent="0.35">
      <c r="C759" s="16"/>
      <c r="U759" s="16"/>
      <c r="V759" s="16"/>
    </row>
    <row r="760" spans="3:22" x14ac:dyDescent="0.35">
      <c r="C760" s="16"/>
      <c r="U760" s="16"/>
      <c r="V760" s="16"/>
    </row>
    <row r="761" spans="3:22" x14ac:dyDescent="0.35">
      <c r="C761" s="16"/>
      <c r="U761" s="16"/>
      <c r="V761" s="16"/>
    </row>
    <row r="762" spans="3:22" x14ac:dyDescent="0.35">
      <c r="C762" s="16"/>
      <c r="U762" s="16"/>
      <c r="V762" s="16"/>
    </row>
    <row r="763" spans="3:22" x14ac:dyDescent="0.35">
      <c r="C763" s="16"/>
      <c r="U763" s="16"/>
      <c r="V763" s="16"/>
    </row>
    <row r="764" spans="3:22" x14ac:dyDescent="0.35">
      <c r="C764" s="16"/>
      <c r="U764" s="16"/>
      <c r="V764" s="16"/>
    </row>
    <row r="765" spans="3:22" x14ac:dyDescent="0.35">
      <c r="C765" s="16"/>
      <c r="U765" s="16"/>
      <c r="V765" s="16"/>
    </row>
    <row r="766" spans="3:22" x14ac:dyDescent="0.35">
      <c r="C766" s="16"/>
      <c r="U766" s="16"/>
      <c r="V766" s="16"/>
    </row>
    <row r="767" spans="3:22" x14ac:dyDescent="0.35">
      <c r="C767" s="16"/>
      <c r="U767" s="16"/>
      <c r="V767" s="16"/>
    </row>
    <row r="768" spans="3:22" x14ac:dyDescent="0.35">
      <c r="C768" s="16"/>
      <c r="U768" s="16"/>
      <c r="V768" s="16"/>
    </row>
    <row r="769" spans="3:22" x14ac:dyDescent="0.35">
      <c r="C769" s="16"/>
      <c r="U769" s="16"/>
      <c r="V769" s="16"/>
    </row>
    <row r="770" spans="3:22" x14ac:dyDescent="0.35">
      <c r="C770" s="16"/>
      <c r="U770" s="16"/>
      <c r="V770" s="16"/>
    </row>
    <row r="771" spans="3:22" x14ac:dyDescent="0.35">
      <c r="C771" s="16"/>
      <c r="U771" s="16"/>
      <c r="V771" s="16"/>
    </row>
    <row r="772" spans="3:22" x14ac:dyDescent="0.35">
      <c r="C772" s="16"/>
      <c r="U772" s="16"/>
      <c r="V772" s="16"/>
    </row>
    <row r="773" spans="3:22" x14ac:dyDescent="0.35">
      <c r="C773" s="16"/>
      <c r="U773" s="16"/>
      <c r="V773" s="16"/>
    </row>
    <row r="774" spans="3:22" x14ac:dyDescent="0.35">
      <c r="C774" s="16"/>
      <c r="U774" s="16"/>
      <c r="V774" s="16"/>
    </row>
    <row r="775" spans="3:22" x14ac:dyDescent="0.35">
      <c r="C775" s="16"/>
      <c r="U775" s="16"/>
      <c r="V775" s="16"/>
    </row>
    <row r="776" spans="3:22" x14ac:dyDescent="0.35">
      <c r="C776" s="16"/>
      <c r="U776" s="16"/>
      <c r="V776" s="16"/>
    </row>
    <row r="777" spans="3:22" x14ac:dyDescent="0.35">
      <c r="C777" s="16"/>
      <c r="U777" s="16"/>
      <c r="V777" s="16"/>
    </row>
    <row r="778" spans="3:22" x14ac:dyDescent="0.35">
      <c r="C778" s="16"/>
      <c r="U778" s="16"/>
      <c r="V778" s="16"/>
    </row>
    <row r="779" spans="3:22" x14ac:dyDescent="0.35">
      <c r="C779" s="16"/>
      <c r="U779" s="16"/>
      <c r="V779" s="16"/>
    </row>
    <row r="780" spans="3:22" x14ac:dyDescent="0.35">
      <c r="C780" s="16"/>
      <c r="U780" s="16"/>
      <c r="V780" s="16"/>
    </row>
    <row r="781" spans="3:22" x14ac:dyDescent="0.35">
      <c r="C781" s="16"/>
      <c r="U781" s="16"/>
      <c r="V781" s="16"/>
    </row>
    <row r="782" spans="3:22" x14ac:dyDescent="0.35">
      <c r="C782" s="16"/>
      <c r="U782" s="16"/>
      <c r="V782" s="16"/>
    </row>
    <row r="783" spans="3:22" x14ac:dyDescent="0.35">
      <c r="C783" s="16"/>
      <c r="U783" s="16"/>
      <c r="V783" s="16"/>
    </row>
    <row r="784" spans="3:22" x14ac:dyDescent="0.35">
      <c r="C784" s="16"/>
      <c r="U784" s="16"/>
      <c r="V784" s="16"/>
    </row>
    <row r="785" spans="3:22" x14ac:dyDescent="0.35">
      <c r="C785" s="16"/>
      <c r="U785" s="16"/>
      <c r="V785" s="16"/>
    </row>
    <row r="786" spans="3:22" x14ac:dyDescent="0.35">
      <c r="C786" s="16"/>
      <c r="U786" s="16"/>
      <c r="V786" s="16"/>
    </row>
    <row r="787" spans="3:22" x14ac:dyDescent="0.35">
      <c r="C787" s="16"/>
      <c r="U787" s="16"/>
      <c r="V787" s="16"/>
    </row>
    <row r="788" spans="3:22" x14ac:dyDescent="0.35">
      <c r="C788" s="16"/>
      <c r="U788" s="16"/>
      <c r="V788" s="16"/>
    </row>
    <row r="789" spans="3:22" x14ac:dyDescent="0.35">
      <c r="C789" s="16"/>
      <c r="U789" s="16"/>
      <c r="V789" s="16"/>
    </row>
    <row r="790" spans="3:22" x14ac:dyDescent="0.35">
      <c r="C790" s="16"/>
      <c r="U790" s="16"/>
      <c r="V790" s="16"/>
    </row>
    <row r="791" spans="3:22" x14ac:dyDescent="0.35">
      <c r="C791" s="16"/>
      <c r="U791" s="16"/>
      <c r="V791" s="16"/>
    </row>
    <row r="792" spans="3:22" x14ac:dyDescent="0.35">
      <c r="C792" s="16"/>
      <c r="U792" s="16"/>
      <c r="V792" s="16"/>
    </row>
    <row r="793" spans="3:22" x14ac:dyDescent="0.35">
      <c r="C793" s="16"/>
      <c r="U793" s="16"/>
      <c r="V793" s="16"/>
    </row>
    <row r="794" spans="3:22" x14ac:dyDescent="0.35">
      <c r="C794" s="16"/>
      <c r="U794" s="16"/>
      <c r="V794" s="16"/>
    </row>
    <row r="795" spans="3:22" x14ac:dyDescent="0.35">
      <c r="C795" s="16"/>
      <c r="U795" s="16"/>
      <c r="V795" s="16"/>
    </row>
    <row r="796" spans="3:22" x14ac:dyDescent="0.35">
      <c r="C796" s="16"/>
      <c r="U796" s="16"/>
      <c r="V796" s="16"/>
    </row>
    <row r="797" spans="3:22" x14ac:dyDescent="0.35">
      <c r="C797" s="16"/>
      <c r="U797" s="16"/>
      <c r="V797" s="16"/>
    </row>
    <row r="798" spans="3:22" x14ac:dyDescent="0.35">
      <c r="C798" s="16"/>
      <c r="U798" s="16"/>
      <c r="V798" s="16"/>
    </row>
    <row r="799" spans="3:22" x14ac:dyDescent="0.35">
      <c r="C799" s="16"/>
      <c r="U799" s="16"/>
      <c r="V799" s="16"/>
    </row>
    <row r="800" spans="3:22" x14ac:dyDescent="0.35">
      <c r="C800" s="16"/>
      <c r="U800" s="16"/>
      <c r="V800" s="16"/>
    </row>
    <row r="801" spans="3:22" x14ac:dyDescent="0.35">
      <c r="C801" s="16"/>
      <c r="U801" s="16"/>
      <c r="V801" s="16"/>
    </row>
    <row r="802" spans="3:22" x14ac:dyDescent="0.35">
      <c r="C802" s="16"/>
      <c r="U802" s="16"/>
      <c r="V802" s="16"/>
    </row>
    <row r="803" spans="3:22" x14ac:dyDescent="0.35">
      <c r="C803" s="16"/>
      <c r="U803" s="16"/>
      <c r="V803" s="16"/>
    </row>
    <row r="804" spans="3:22" x14ac:dyDescent="0.35">
      <c r="C804" s="16"/>
      <c r="U804" s="16"/>
      <c r="V804" s="16"/>
    </row>
    <row r="805" spans="3:22" x14ac:dyDescent="0.35">
      <c r="C805" s="16"/>
      <c r="U805" s="16"/>
      <c r="V805" s="16"/>
    </row>
    <row r="806" spans="3:22" x14ac:dyDescent="0.35">
      <c r="C806" s="16"/>
      <c r="U806" s="16"/>
      <c r="V806" s="16"/>
    </row>
    <row r="807" spans="3:22" x14ac:dyDescent="0.35">
      <c r="C807" s="16"/>
      <c r="U807" s="16"/>
      <c r="V807" s="16"/>
    </row>
    <row r="808" spans="3:22" x14ac:dyDescent="0.35">
      <c r="C808" s="16"/>
      <c r="U808" s="16"/>
      <c r="V808" s="16"/>
    </row>
    <row r="809" spans="3:22" x14ac:dyDescent="0.35">
      <c r="C809" s="16"/>
      <c r="U809" s="16"/>
      <c r="V809" s="16"/>
    </row>
    <row r="810" spans="3:22" x14ac:dyDescent="0.35">
      <c r="C810" s="16"/>
      <c r="U810" s="16"/>
      <c r="V810" s="16"/>
    </row>
    <row r="811" spans="3:22" x14ac:dyDescent="0.35">
      <c r="C811" s="16"/>
      <c r="U811" s="16"/>
      <c r="V811" s="16"/>
    </row>
    <row r="812" spans="3:22" x14ac:dyDescent="0.35">
      <c r="C812" s="16"/>
      <c r="U812" s="16"/>
      <c r="V812" s="16"/>
    </row>
    <row r="813" spans="3:22" x14ac:dyDescent="0.35">
      <c r="C813" s="16"/>
      <c r="U813" s="16"/>
      <c r="V813" s="16"/>
    </row>
    <row r="814" spans="3:22" x14ac:dyDescent="0.35">
      <c r="C814" s="16"/>
      <c r="U814" s="16"/>
      <c r="V814" s="16"/>
    </row>
    <row r="815" spans="3:22" x14ac:dyDescent="0.35">
      <c r="C815" s="16"/>
      <c r="U815" s="16"/>
      <c r="V815" s="16"/>
    </row>
    <row r="816" spans="3:22" x14ac:dyDescent="0.35">
      <c r="C816" s="16"/>
      <c r="U816" s="16"/>
      <c r="V816" s="16"/>
    </row>
    <row r="817" spans="3:22" x14ac:dyDescent="0.35">
      <c r="C817" s="16"/>
      <c r="U817" s="16"/>
      <c r="V817" s="16"/>
    </row>
    <row r="818" spans="3:22" x14ac:dyDescent="0.35">
      <c r="C818" s="16"/>
      <c r="U818" s="16"/>
      <c r="V818" s="16"/>
    </row>
    <row r="819" spans="3:22" x14ac:dyDescent="0.35">
      <c r="C819" s="16"/>
      <c r="U819" s="16"/>
      <c r="V819" s="16"/>
    </row>
    <row r="820" spans="3:22" x14ac:dyDescent="0.35">
      <c r="C820" s="16"/>
      <c r="U820" s="16"/>
      <c r="V820" s="16"/>
    </row>
    <row r="821" spans="3:22" x14ac:dyDescent="0.35">
      <c r="C821" s="16"/>
      <c r="U821" s="16"/>
      <c r="V821" s="16"/>
    </row>
    <row r="822" spans="3:22" x14ac:dyDescent="0.35">
      <c r="C822" s="16"/>
      <c r="U822" s="16"/>
      <c r="V822" s="16"/>
    </row>
    <row r="823" spans="3:22" x14ac:dyDescent="0.35">
      <c r="C823" s="16"/>
      <c r="U823" s="16"/>
      <c r="V823" s="16"/>
    </row>
    <row r="824" spans="3:22" x14ac:dyDescent="0.35">
      <c r="C824" s="16"/>
      <c r="U824" s="16"/>
      <c r="V824" s="16"/>
    </row>
    <row r="825" spans="3:22" x14ac:dyDescent="0.35">
      <c r="C825" s="16"/>
      <c r="U825" s="16"/>
      <c r="V825" s="16"/>
    </row>
    <row r="826" spans="3:22" x14ac:dyDescent="0.35">
      <c r="C826" s="16"/>
      <c r="U826" s="16"/>
      <c r="V826" s="16"/>
    </row>
    <row r="827" spans="3:22" x14ac:dyDescent="0.35">
      <c r="C827" s="16"/>
      <c r="U827" s="16"/>
      <c r="V827" s="16"/>
    </row>
    <row r="828" spans="3:22" x14ac:dyDescent="0.35">
      <c r="C828" s="16"/>
      <c r="U828" s="16"/>
      <c r="V828" s="16"/>
    </row>
    <row r="829" spans="3:22" x14ac:dyDescent="0.35">
      <c r="C829" s="16"/>
      <c r="U829" s="16"/>
      <c r="V829" s="16"/>
    </row>
    <row r="830" spans="3:22" x14ac:dyDescent="0.35">
      <c r="C830" s="16"/>
      <c r="U830" s="16"/>
      <c r="V830" s="16"/>
    </row>
    <row r="831" spans="3:22" x14ac:dyDescent="0.35">
      <c r="C831" s="16"/>
      <c r="U831" s="16"/>
      <c r="V831" s="16"/>
    </row>
    <row r="832" spans="3:22" x14ac:dyDescent="0.35">
      <c r="C832" s="16"/>
      <c r="U832" s="16"/>
      <c r="V832" s="16"/>
    </row>
    <row r="833" spans="3:22" x14ac:dyDescent="0.35">
      <c r="C833" s="16"/>
      <c r="U833" s="16"/>
      <c r="V833" s="16"/>
    </row>
    <row r="834" spans="3:22" x14ac:dyDescent="0.35">
      <c r="C834" s="16"/>
      <c r="U834" s="16"/>
      <c r="V834" s="16"/>
    </row>
    <row r="835" spans="3:22" x14ac:dyDescent="0.35">
      <c r="C835" s="16"/>
      <c r="U835" s="16"/>
      <c r="V835" s="16"/>
    </row>
    <row r="836" spans="3:22" x14ac:dyDescent="0.35">
      <c r="C836" s="16"/>
      <c r="U836" s="16"/>
      <c r="V836" s="16"/>
    </row>
    <row r="837" spans="3:22" x14ac:dyDescent="0.35">
      <c r="C837" s="16"/>
      <c r="U837" s="16"/>
      <c r="V837" s="16"/>
    </row>
    <row r="838" spans="3:22" x14ac:dyDescent="0.35">
      <c r="C838" s="16"/>
      <c r="U838" s="16"/>
      <c r="V838" s="16"/>
    </row>
    <row r="839" spans="3:22" x14ac:dyDescent="0.35">
      <c r="C839" s="16"/>
      <c r="U839" s="16"/>
      <c r="V839" s="16"/>
    </row>
    <row r="840" spans="3:22" x14ac:dyDescent="0.35">
      <c r="C840" s="16"/>
      <c r="U840" s="16"/>
      <c r="V840" s="16"/>
    </row>
    <row r="841" spans="3:22" x14ac:dyDescent="0.35">
      <c r="C841" s="16"/>
      <c r="U841" s="16"/>
      <c r="V841" s="16"/>
    </row>
    <row r="842" spans="3:22" x14ac:dyDescent="0.35">
      <c r="C842" s="16"/>
      <c r="U842" s="16"/>
      <c r="V842" s="16"/>
    </row>
    <row r="843" spans="3:22" x14ac:dyDescent="0.35">
      <c r="C843" s="16"/>
      <c r="U843" s="16"/>
      <c r="V843" s="16"/>
    </row>
    <row r="844" spans="3:22" x14ac:dyDescent="0.35">
      <c r="C844" s="16"/>
      <c r="U844" s="16"/>
      <c r="V844" s="16"/>
    </row>
    <row r="845" spans="3:22" x14ac:dyDescent="0.35">
      <c r="C845" s="16"/>
      <c r="U845" s="16"/>
      <c r="V845" s="16"/>
    </row>
    <row r="846" spans="3:22" x14ac:dyDescent="0.35">
      <c r="C846" s="16"/>
      <c r="U846" s="16"/>
      <c r="V846" s="16"/>
    </row>
    <row r="847" spans="3:22" x14ac:dyDescent="0.35">
      <c r="C847" s="16"/>
      <c r="U847" s="16"/>
      <c r="V847" s="16"/>
    </row>
    <row r="848" spans="3:22" x14ac:dyDescent="0.35">
      <c r="C848" s="16"/>
      <c r="U848" s="16"/>
      <c r="V848" s="16"/>
    </row>
  </sheetData>
  <autoFilter ref="A1:OJ1" xr:uid="{BF1EC6B7-389D-4D2E-8B17-3D12855EEBB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3BAC-7746-4BAC-B9E5-EF396BFDFF34}">
  <dimension ref="A1:AO84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9.6328125" style="18" customWidth="1"/>
    <col min="41" max="41" width="15.6328125" style="12" customWidth="1"/>
    <col min="42" max="16384" width="10.90625" style="12"/>
  </cols>
  <sheetData>
    <row r="1" spans="1:4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596</v>
      </c>
      <c r="X1" s="10" t="s">
        <v>597</v>
      </c>
      <c r="Y1" s="10" t="s">
        <v>598</v>
      </c>
      <c r="Z1" s="10" t="s">
        <v>599</v>
      </c>
      <c r="AA1" s="10" t="s">
        <v>600</v>
      </c>
      <c r="AB1" s="10" t="s">
        <v>601</v>
      </c>
      <c r="AC1" s="10" t="s">
        <v>602</v>
      </c>
      <c r="AD1" s="10" t="s">
        <v>603</v>
      </c>
      <c r="AE1" s="10" t="s">
        <v>604</v>
      </c>
      <c r="AF1" s="10" t="s">
        <v>605</v>
      </c>
      <c r="AG1" s="10" t="s">
        <v>606</v>
      </c>
      <c r="AH1" s="10" t="s">
        <v>607</v>
      </c>
      <c r="AI1" s="10" t="s">
        <v>608</v>
      </c>
      <c r="AJ1" s="10" t="s">
        <v>609</v>
      </c>
      <c r="AK1" s="10" t="s">
        <v>610</v>
      </c>
      <c r="AL1" s="10" t="s">
        <v>611</v>
      </c>
      <c r="AM1" s="10" t="s">
        <v>612</v>
      </c>
      <c r="AN1" s="10" t="s">
        <v>74</v>
      </c>
      <c r="AO1" s="10" t="s">
        <v>75</v>
      </c>
    </row>
    <row r="2" spans="1:41" ht="72.5" x14ac:dyDescent="0.35">
      <c r="A2" s="13" t="s">
        <v>76</v>
      </c>
      <c r="B2" s="13" t="s">
        <v>77</v>
      </c>
      <c r="C2" s="14">
        <v>43152.5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 t="s">
        <v>89</v>
      </c>
      <c r="P2" s="15" t="s">
        <v>90</v>
      </c>
      <c r="Q2" s="15" t="s">
        <v>91</v>
      </c>
      <c r="R2" s="13" t="s">
        <v>92</v>
      </c>
      <c r="S2" s="13" t="s">
        <v>93</v>
      </c>
      <c r="T2" s="13" t="s">
        <v>94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3"/>
    </row>
    <row r="3" spans="1:41" ht="72.5" x14ac:dyDescent="0.35">
      <c r="A3" s="13" t="s">
        <v>76</v>
      </c>
      <c r="B3" s="13" t="s">
        <v>77</v>
      </c>
      <c r="C3" s="14">
        <v>43152.5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95</v>
      </c>
      <c r="M3" s="15" t="s">
        <v>96</v>
      </c>
      <c r="N3" s="13" t="s">
        <v>88</v>
      </c>
      <c r="O3" s="15" t="s">
        <v>97</v>
      </c>
      <c r="P3" s="15" t="s">
        <v>98</v>
      </c>
      <c r="Q3" s="15" t="s">
        <v>91</v>
      </c>
      <c r="R3" s="13" t="s">
        <v>92</v>
      </c>
      <c r="S3" s="13" t="s">
        <v>93</v>
      </c>
      <c r="T3" s="13" t="s">
        <v>94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3"/>
    </row>
    <row r="4" spans="1:41" ht="43.5" x14ac:dyDescent="0.35">
      <c r="A4" s="13" t="s">
        <v>76</v>
      </c>
      <c r="B4" s="13" t="s">
        <v>77</v>
      </c>
      <c r="C4" s="14">
        <v>43152.5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99</v>
      </c>
      <c r="M4" s="15" t="s">
        <v>100</v>
      </c>
      <c r="N4" s="13" t="s">
        <v>101</v>
      </c>
      <c r="O4" s="15" t="s">
        <v>102</v>
      </c>
      <c r="P4" s="15" t="s">
        <v>103</v>
      </c>
      <c r="Q4" s="15" t="s">
        <v>91</v>
      </c>
      <c r="R4" s="13" t="s">
        <v>92</v>
      </c>
      <c r="S4" s="13" t="s">
        <v>93</v>
      </c>
      <c r="T4" s="13" t="s">
        <v>94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3"/>
    </row>
    <row r="5" spans="1:41" ht="72.5" x14ac:dyDescent="0.35">
      <c r="A5" s="13" t="s">
        <v>76</v>
      </c>
      <c r="B5" s="13" t="s">
        <v>77</v>
      </c>
      <c r="C5" s="14">
        <v>43152.5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86</v>
      </c>
      <c r="M5" s="15" t="s">
        <v>87</v>
      </c>
      <c r="N5" s="13" t="s">
        <v>88</v>
      </c>
      <c r="O5" s="15" t="s">
        <v>89</v>
      </c>
      <c r="P5" s="15" t="s">
        <v>90</v>
      </c>
      <c r="Q5" s="15" t="s">
        <v>104</v>
      </c>
      <c r="R5" s="13" t="s">
        <v>105</v>
      </c>
      <c r="S5" s="13" t="s">
        <v>93</v>
      </c>
      <c r="T5" s="13" t="s">
        <v>94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3"/>
    </row>
    <row r="6" spans="1:41" ht="72.5" x14ac:dyDescent="0.35">
      <c r="A6" s="13" t="s">
        <v>76</v>
      </c>
      <c r="B6" s="13" t="s">
        <v>77</v>
      </c>
      <c r="C6" s="14">
        <v>43152.5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95</v>
      </c>
      <c r="M6" s="15" t="s">
        <v>96</v>
      </c>
      <c r="N6" s="13" t="s">
        <v>88</v>
      </c>
      <c r="O6" s="15" t="s">
        <v>97</v>
      </c>
      <c r="P6" s="15" t="s">
        <v>98</v>
      </c>
      <c r="Q6" s="15" t="s">
        <v>104</v>
      </c>
      <c r="R6" s="13" t="s">
        <v>105</v>
      </c>
      <c r="S6" s="13" t="s">
        <v>93</v>
      </c>
      <c r="T6" s="13" t="s">
        <v>94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3"/>
    </row>
    <row r="7" spans="1:41" ht="43.5" x14ac:dyDescent="0.35">
      <c r="A7" s="13" t="s">
        <v>76</v>
      </c>
      <c r="B7" s="13" t="s">
        <v>77</v>
      </c>
      <c r="C7" s="14">
        <v>43152.5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99</v>
      </c>
      <c r="M7" s="15" t="s">
        <v>100</v>
      </c>
      <c r="N7" s="13" t="s">
        <v>101</v>
      </c>
      <c r="O7" s="15" t="s">
        <v>102</v>
      </c>
      <c r="P7" s="15" t="s">
        <v>103</v>
      </c>
      <c r="Q7" s="15" t="s">
        <v>104</v>
      </c>
      <c r="R7" s="13" t="s">
        <v>105</v>
      </c>
      <c r="S7" s="13" t="s">
        <v>93</v>
      </c>
      <c r="T7" s="13" t="s">
        <v>94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3"/>
    </row>
    <row r="8" spans="1:41" ht="72.5" x14ac:dyDescent="0.35">
      <c r="A8" s="13" t="s">
        <v>76</v>
      </c>
      <c r="B8" s="13" t="s">
        <v>77</v>
      </c>
      <c r="C8" s="14">
        <v>43152.5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 t="s">
        <v>89</v>
      </c>
      <c r="P8" s="15" t="s">
        <v>90</v>
      </c>
      <c r="Q8" s="15" t="s">
        <v>106</v>
      </c>
      <c r="R8" s="13" t="s">
        <v>107</v>
      </c>
      <c r="S8" s="13" t="s">
        <v>93</v>
      </c>
      <c r="T8" s="13" t="s">
        <v>94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3"/>
    </row>
    <row r="9" spans="1:41" ht="72.5" x14ac:dyDescent="0.35">
      <c r="A9" s="13" t="s">
        <v>76</v>
      </c>
      <c r="B9" s="13" t="s">
        <v>77</v>
      </c>
      <c r="C9" s="14">
        <v>43152.5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95</v>
      </c>
      <c r="M9" s="15" t="s">
        <v>96</v>
      </c>
      <c r="N9" s="13" t="s">
        <v>88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93</v>
      </c>
      <c r="T9" s="13" t="s">
        <v>94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3"/>
    </row>
    <row r="10" spans="1:41" ht="43.5" x14ac:dyDescent="0.35">
      <c r="A10" s="13" t="s">
        <v>76</v>
      </c>
      <c r="B10" s="13" t="s">
        <v>77</v>
      </c>
      <c r="C10" s="14">
        <v>43152.5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99</v>
      </c>
      <c r="M10" s="15" t="s">
        <v>100</v>
      </c>
      <c r="N10" s="13" t="s">
        <v>101</v>
      </c>
      <c r="O10" s="15" t="s">
        <v>102</v>
      </c>
      <c r="P10" s="15" t="s">
        <v>103</v>
      </c>
      <c r="Q10" s="15" t="s">
        <v>106</v>
      </c>
      <c r="R10" s="13" t="s">
        <v>107</v>
      </c>
      <c r="S10" s="13" t="s">
        <v>93</v>
      </c>
      <c r="T10" s="13" t="s">
        <v>94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3"/>
    </row>
    <row r="11" spans="1:41" ht="145" x14ac:dyDescent="0.35">
      <c r="A11" s="13" t="s">
        <v>108</v>
      </c>
      <c r="B11" s="13" t="s">
        <v>109</v>
      </c>
      <c r="C11" s="14">
        <v>45805.656944444447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86</v>
      </c>
      <c r="M11" s="15" t="s">
        <v>87</v>
      </c>
      <c r="N11" s="13" t="s">
        <v>88</v>
      </c>
      <c r="O11" s="15" t="s">
        <v>89</v>
      </c>
      <c r="P11" s="15" t="s">
        <v>90</v>
      </c>
      <c r="Q11" s="15" t="s">
        <v>110</v>
      </c>
      <c r="R11" s="13" t="s">
        <v>111</v>
      </c>
      <c r="S11" s="13" t="s">
        <v>93</v>
      </c>
      <c r="T11" s="13" t="s">
        <v>112</v>
      </c>
      <c r="U11" s="14">
        <v>40725</v>
      </c>
      <c r="V11" s="14">
        <v>45781</v>
      </c>
      <c r="W11" s="15" t="s">
        <v>613</v>
      </c>
      <c r="X11" s="13" t="s">
        <v>614</v>
      </c>
      <c r="Y11" s="15" t="str">
        <f>VLOOKUP(X11,'Axe 2 Règles de gestion'!$D$2:$F$146,3, FALSE)</f>
        <v>Rémunération : L'agent ne perçoit plus son traitement.</v>
      </c>
      <c r="Z11" s="13" t="s">
        <v>616</v>
      </c>
      <c r="AA11" s="15" t="str">
        <f>VLOOKUP(Z11,'Axe 2 Règles de gestion'!$D$2:$F$146,3, FALSE)</f>
        <v>Congés annuels : L'agent ne cumule pas de droits à congé.</v>
      </c>
      <c r="AB11" s="13" t="s">
        <v>618</v>
      </c>
      <c r="AC11" s="15" t="str">
        <f>VLOOKUP(AB11,'Axe 2 Règles de gestion'!$D$2:$F$146,3, FALSE)</f>
        <v>Carrière : L'agent voit sa carrière suspendue. Il perd ses droits à l'avancement.</v>
      </c>
      <c r="AD11" s="13" t="s">
        <v>620</v>
      </c>
      <c r="AE11" s="15" t="str">
        <f>VLOOKUP(AD11,'Axe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F11" s="13" t="s">
        <v>622</v>
      </c>
      <c r="AG11" s="15" t="str">
        <f>VLOOKUP(AF11,'Axe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1" s="13" t="s">
        <v>624</v>
      </c>
      <c r="AI11" s="15" t="str">
        <f>VLOOKUP(AH11,'Axe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1" s="13" t="s">
        <v>626</v>
      </c>
      <c r="AK11" s="15" t="str">
        <f>VLOOKUP(AJ11,'Axe 2 Règles de gestion'!$D$2:$F$146,3, FALSE)</f>
        <v>Stage : Les congés sans traitement ne sont pas comptabilisés comme temps de stage. Ils reportent donc la date de fin de stage du nombre total de jours d'absence.</v>
      </c>
      <c r="AL11" s="13" t="s">
        <v>628</v>
      </c>
      <c r="AM11" s="15" t="str">
        <f>VLOOKUP(AL11,'Axe 2 Règles de gestion'!$D$2:$F$146,3, FALSE)</f>
        <v>Acte : Un acte administratif doit être produit.</v>
      </c>
      <c r="AN11" s="13"/>
      <c r="AO11" s="13"/>
    </row>
    <row r="12" spans="1:41" ht="145" x14ac:dyDescent="0.35">
      <c r="A12" s="13" t="s">
        <v>108</v>
      </c>
      <c r="B12" s="13" t="s">
        <v>77</v>
      </c>
      <c r="C12" s="14">
        <v>45805.657638888886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 t="s">
        <v>89</v>
      </c>
      <c r="P12" s="15" t="s">
        <v>90</v>
      </c>
      <c r="Q12" s="15" t="s">
        <v>110</v>
      </c>
      <c r="R12" s="13" t="s">
        <v>111</v>
      </c>
      <c r="S12" s="13" t="s">
        <v>93</v>
      </c>
      <c r="T12" s="13" t="s">
        <v>112</v>
      </c>
      <c r="U12" s="14">
        <v>45782</v>
      </c>
      <c r="V12" s="14"/>
      <c r="W12" s="15" t="s">
        <v>613</v>
      </c>
      <c r="X12" s="13" t="s">
        <v>614</v>
      </c>
      <c r="Y12" s="15" t="str">
        <f>VLOOKUP(X12,'Axe 2 Règles de gestion'!$D$2:$F$146,3, FALSE)</f>
        <v>Rémunération : L'agent ne perçoit plus son traitement.</v>
      </c>
      <c r="Z12" s="13" t="s">
        <v>616</v>
      </c>
      <c r="AA12" s="15" t="str">
        <f>VLOOKUP(Z12,'Axe 2 Règles de gestion'!$D$2:$F$146,3, FALSE)</f>
        <v>Congés annuels : L'agent ne cumule pas de droits à congé.</v>
      </c>
      <c r="AB12" s="13" t="s">
        <v>618</v>
      </c>
      <c r="AC12" s="15" t="str">
        <f>VLOOKUP(AB12,'Axe 2 Règles de gestion'!$D$2:$F$146,3, FALSE)</f>
        <v>Carrière : L'agent voit sa carrière suspendue. Il perd ses droits à l'avancement.</v>
      </c>
      <c r="AD12" s="13" t="s">
        <v>620</v>
      </c>
      <c r="AE12" s="15" t="str">
        <f>VLOOKUP(AD12,'Axe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F12" s="13" t="s">
        <v>622</v>
      </c>
      <c r="AG12" s="15" t="str">
        <f>VLOOKUP(AF12,'Axe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2" s="13" t="s">
        <v>624</v>
      </c>
      <c r="AI12" s="15" t="str">
        <f>VLOOKUP(AH12,'Axe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2" s="13" t="s">
        <v>626</v>
      </c>
      <c r="AK12" s="15" t="str">
        <f>VLOOKUP(AJ12,'Axe 2 Règles de gestion'!$D$2:$F$146,3, FALSE)</f>
        <v>Stage : Les congés sans traitement ne sont pas comptabilisés comme temps de stage. Ils reportent donc la date de fin de stage du nombre total de jours d'absence.</v>
      </c>
      <c r="AL12" s="13" t="s">
        <v>628</v>
      </c>
      <c r="AM12" s="15" t="str">
        <f>VLOOKUP(AL12,'Axe 2 Règles de gestion'!$D$2:$F$146,3, FALSE)</f>
        <v>Acte : Un acte administratif doit être produit.</v>
      </c>
      <c r="AN12" s="13"/>
      <c r="AO12" s="13"/>
    </row>
    <row r="13" spans="1:41" ht="145" x14ac:dyDescent="0.35">
      <c r="A13" s="13" t="s">
        <v>108</v>
      </c>
      <c r="B13" s="13" t="s">
        <v>109</v>
      </c>
      <c r="C13" s="14">
        <v>45805.659722222219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95</v>
      </c>
      <c r="M13" s="15" t="s">
        <v>96</v>
      </c>
      <c r="N13" s="13" t="s">
        <v>88</v>
      </c>
      <c r="O13" s="15" t="s">
        <v>97</v>
      </c>
      <c r="P13" s="15" t="s">
        <v>98</v>
      </c>
      <c r="Q13" s="15" t="s">
        <v>110</v>
      </c>
      <c r="R13" s="13" t="s">
        <v>111</v>
      </c>
      <c r="S13" s="13" t="s">
        <v>93</v>
      </c>
      <c r="T13" s="13" t="s">
        <v>112</v>
      </c>
      <c r="U13" s="14">
        <v>40725</v>
      </c>
      <c r="V13" s="14">
        <v>45781</v>
      </c>
      <c r="W13" s="15" t="s">
        <v>613</v>
      </c>
      <c r="X13" s="13" t="s">
        <v>614</v>
      </c>
      <c r="Y13" s="15" t="str">
        <f>VLOOKUP(X13,'Axe 2 Règles de gestion'!$D$2:$F$146,3, FALSE)</f>
        <v>Rémunération : L'agent ne perçoit plus son traitement.</v>
      </c>
      <c r="Z13" s="13" t="s">
        <v>616</v>
      </c>
      <c r="AA13" s="15" t="str">
        <f>VLOOKUP(Z13,'Axe 2 Règles de gestion'!$D$2:$F$146,3, FALSE)</f>
        <v>Congés annuels : L'agent ne cumule pas de droits à congé.</v>
      </c>
      <c r="AB13" s="13" t="s">
        <v>618</v>
      </c>
      <c r="AC13" s="15" t="str">
        <f>VLOOKUP(AB13,'Axe 2 Règles de gestion'!$D$2:$F$146,3, FALSE)</f>
        <v>Carrière : L'agent voit sa carrière suspendue. Il perd ses droits à l'avancement.</v>
      </c>
      <c r="AD13" s="13" t="s">
        <v>620</v>
      </c>
      <c r="AE13" s="15" t="str">
        <f>VLOOKUP(AD13,'Axe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F13" s="13" t="s">
        <v>622</v>
      </c>
      <c r="AG13" s="15" t="str">
        <f>VLOOKUP(AF13,'Axe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3" s="13" t="s">
        <v>624</v>
      </c>
      <c r="AI13" s="15" t="str">
        <f>VLOOKUP(AH13,'Axe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3" s="13" t="s">
        <v>626</v>
      </c>
      <c r="AK13" s="15" t="str">
        <f>VLOOKUP(AJ13,'Axe 2 Règles de gestion'!$D$2:$F$146,3, FALSE)</f>
        <v>Stage : Les congés sans traitement ne sont pas comptabilisés comme temps de stage. Ils reportent donc la date de fin de stage du nombre total de jours d'absence.</v>
      </c>
      <c r="AL13" s="13" t="s">
        <v>628</v>
      </c>
      <c r="AM13" s="15" t="str">
        <f>VLOOKUP(AL13,'Axe 2 Règles de gestion'!$D$2:$F$146,3, FALSE)</f>
        <v>Acte : Un acte administratif doit être produit.</v>
      </c>
      <c r="AN13" s="13"/>
      <c r="AO13" s="13"/>
    </row>
    <row r="14" spans="1:41" ht="145" x14ac:dyDescent="0.35">
      <c r="A14" s="13" t="s">
        <v>108</v>
      </c>
      <c r="B14" s="13" t="s">
        <v>77</v>
      </c>
      <c r="C14" s="14">
        <v>45805.659722222219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95</v>
      </c>
      <c r="M14" s="15" t="s">
        <v>96</v>
      </c>
      <c r="N14" s="13" t="s">
        <v>88</v>
      </c>
      <c r="O14" s="15" t="s">
        <v>97</v>
      </c>
      <c r="P14" s="15" t="s">
        <v>98</v>
      </c>
      <c r="Q14" s="15" t="s">
        <v>110</v>
      </c>
      <c r="R14" s="13" t="s">
        <v>111</v>
      </c>
      <c r="S14" s="13" t="s">
        <v>93</v>
      </c>
      <c r="T14" s="13" t="s">
        <v>112</v>
      </c>
      <c r="U14" s="14">
        <v>45782</v>
      </c>
      <c r="V14" s="14"/>
      <c r="W14" s="15" t="s">
        <v>613</v>
      </c>
      <c r="X14" s="13" t="s">
        <v>614</v>
      </c>
      <c r="Y14" s="15" t="str">
        <f>VLOOKUP(X14,'Axe 2 Règles de gestion'!$D$2:$F$146,3, FALSE)</f>
        <v>Rémunération : L'agent ne perçoit plus son traitement.</v>
      </c>
      <c r="Z14" s="13" t="s">
        <v>616</v>
      </c>
      <c r="AA14" s="15" t="str">
        <f>VLOOKUP(Z14,'Axe 2 Règles de gestion'!$D$2:$F$146,3, FALSE)</f>
        <v>Congés annuels : L'agent ne cumule pas de droits à congé.</v>
      </c>
      <c r="AB14" s="13" t="s">
        <v>618</v>
      </c>
      <c r="AC14" s="15" t="str">
        <f>VLOOKUP(AB14,'Axe 2 Règles de gestion'!$D$2:$F$146,3, FALSE)</f>
        <v>Carrière : L'agent voit sa carrière suspendue. Il perd ses droits à l'avancement.</v>
      </c>
      <c r="AD14" s="13" t="s">
        <v>620</v>
      </c>
      <c r="AE14" s="15" t="str">
        <f>VLOOKUP(AD14,'Axe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F14" s="13" t="s">
        <v>622</v>
      </c>
      <c r="AG14" s="15" t="str">
        <f>VLOOKUP(AF14,'Axe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4" s="13" t="s">
        <v>624</v>
      </c>
      <c r="AI14" s="15" t="str">
        <f>VLOOKUP(AH14,'Axe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4" s="13" t="s">
        <v>626</v>
      </c>
      <c r="AK14" s="15" t="str">
        <f>VLOOKUP(AJ14,'Axe 2 Règles de gestion'!$D$2:$F$146,3, FALSE)</f>
        <v>Stage : Les congés sans traitement ne sont pas comptabilisés comme temps de stage. Ils reportent donc la date de fin de stage du nombre total de jours d'absence.</v>
      </c>
      <c r="AL14" s="13" t="s">
        <v>628</v>
      </c>
      <c r="AM14" s="15" t="str">
        <f>VLOOKUP(AL14,'Axe 2 Règles de gestion'!$D$2:$F$146,3, FALSE)</f>
        <v>Acte : Un acte administratif doit être produit.</v>
      </c>
      <c r="AN14" s="13"/>
      <c r="AO14" s="13"/>
    </row>
    <row r="15" spans="1:41" ht="43.5" x14ac:dyDescent="0.35">
      <c r="A15" s="13" t="s">
        <v>165</v>
      </c>
      <c r="B15" s="13" t="s">
        <v>109</v>
      </c>
      <c r="C15" s="14">
        <v>44714.706944444442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99</v>
      </c>
      <c r="M15" s="15" t="s">
        <v>100</v>
      </c>
      <c r="N15" s="13" t="s">
        <v>101</v>
      </c>
      <c r="O15" s="15" t="s">
        <v>102</v>
      </c>
      <c r="P15" s="15" t="s">
        <v>103</v>
      </c>
      <c r="Q15" s="15" t="s">
        <v>110</v>
      </c>
      <c r="R15" s="13" t="s">
        <v>111</v>
      </c>
      <c r="S15" s="13" t="s">
        <v>93</v>
      </c>
      <c r="T15" s="13" t="s">
        <v>112</v>
      </c>
      <c r="U15" s="14">
        <v>40725</v>
      </c>
      <c r="V15" s="14">
        <v>44633</v>
      </c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3"/>
    </row>
    <row r="16" spans="1:41" ht="43.5" x14ac:dyDescent="0.35">
      <c r="A16" s="13" t="s">
        <v>108</v>
      </c>
      <c r="B16" s="13" t="s">
        <v>109</v>
      </c>
      <c r="C16" s="14">
        <v>45805.663194444445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99</v>
      </c>
      <c r="M16" s="15" t="s">
        <v>100</v>
      </c>
      <c r="N16" s="13" t="s">
        <v>101</v>
      </c>
      <c r="O16" s="15" t="s">
        <v>102</v>
      </c>
      <c r="P16" s="15" t="s">
        <v>103</v>
      </c>
      <c r="Q16" s="15" t="s">
        <v>110</v>
      </c>
      <c r="R16" s="13" t="s">
        <v>111</v>
      </c>
      <c r="S16" s="13" t="s">
        <v>93</v>
      </c>
      <c r="T16" s="13" t="s">
        <v>112</v>
      </c>
      <c r="U16" s="14">
        <v>44634</v>
      </c>
      <c r="V16" s="14">
        <v>45781</v>
      </c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3"/>
    </row>
    <row r="17" spans="1:41" ht="43.5" x14ac:dyDescent="0.35">
      <c r="A17" s="13" t="s">
        <v>108</v>
      </c>
      <c r="B17" s="13" t="s">
        <v>77</v>
      </c>
      <c r="C17" s="14">
        <v>45805.663194444445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99</v>
      </c>
      <c r="M17" s="15" t="s">
        <v>100</v>
      </c>
      <c r="N17" s="13" t="s">
        <v>101</v>
      </c>
      <c r="O17" s="15" t="s">
        <v>102</v>
      </c>
      <c r="P17" s="15" t="s">
        <v>103</v>
      </c>
      <c r="Q17" s="15" t="s">
        <v>110</v>
      </c>
      <c r="R17" s="13" t="s">
        <v>111</v>
      </c>
      <c r="S17" s="13" t="s">
        <v>93</v>
      </c>
      <c r="T17" s="13" t="s">
        <v>112</v>
      </c>
      <c r="U17" s="14">
        <v>45782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3"/>
    </row>
    <row r="18" spans="1:41" ht="72.5" x14ac:dyDescent="0.35">
      <c r="A18" s="13" t="s">
        <v>76</v>
      </c>
      <c r="B18" s="13" t="s">
        <v>77</v>
      </c>
      <c r="C18" s="14">
        <v>43152.5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82</v>
      </c>
      <c r="I18" s="15" t="s">
        <v>83</v>
      </c>
      <c r="J18" s="15" t="s">
        <v>84</v>
      </c>
      <c r="K18" s="15" t="s">
        <v>85</v>
      </c>
      <c r="L18" s="13" t="s">
        <v>86</v>
      </c>
      <c r="M18" s="15" t="s">
        <v>87</v>
      </c>
      <c r="N18" s="13" t="s">
        <v>88</v>
      </c>
      <c r="O18" s="15" t="s">
        <v>89</v>
      </c>
      <c r="P18" s="15" t="s">
        <v>90</v>
      </c>
      <c r="Q18" s="15" t="s">
        <v>175</v>
      </c>
      <c r="R18" s="13" t="s">
        <v>176</v>
      </c>
      <c r="S18" s="13" t="s">
        <v>93</v>
      </c>
      <c r="T18" s="13" t="s">
        <v>94</v>
      </c>
      <c r="U18" s="14">
        <v>40725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3"/>
    </row>
    <row r="19" spans="1:41" ht="72.5" x14ac:dyDescent="0.35">
      <c r="A19" s="13" t="s">
        <v>76</v>
      </c>
      <c r="B19" s="13" t="s">
        <v>77</v>
      </c>
      <c r="C19" s="14">
        <v>43152.5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82</v>
      </c>
      <c r="I19" s="15" t="s">
        <v>83</v>
      </c>
      <c r="J19" s="15" t="s">
        <v>84</v>
      </c>
      <c r="K19" s="15" t="s">
        <v>85</v>
      </c>
      <c r="L19" s="13" t="s">
        <v>95</v>
      </c>
      <c r="M19" s="15" t="s">
        <v>96</v>
      </c>
      <c r="N19" s="13" t="s">
        <v>88</v>
      </c>
      <c r="O19" s="15" t="s">
        <v>97</v>
      </c>
      <c r="P19" s="15" t="s">
        <v>98</v>
      </c>
      <c r="Q19" s="15" t="s">
        <v>175</v>
      </c>
      <c r="R19" s="13" t="s">
        <v>176</v>
      </c>
      <c r="S19" s="13" t="s">
        <v>93</v>
      </c>
      <c r="T19" s="13" t="s">
        <v>94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3"/>
    </row>
    <row r="20" spans="1:41" ht="43.5" x14ac:dyDescent="0.35">
      <c r="A20" s="13" t="s">
        <v>76</v>
      </c>
      <c r="B20" s="13" t="s">
        <v>77</v>
      </c>
      <c r="C20" s="14">
        <v>43152.5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82</v>
      </c>
      <c r="I20" s="15" t="s">
        <v>83</v>
      </c>
      <c r="J20" s="15" t="s">
        <v>84</v>
      </c>
      <c r="K20" s="15" t="s">
        <v>85</v>
      </c>
      <c r="L20" s="13" t="s">
        <v>99</v>
      </c>
      <c r="M20" s="15" t="s">
        <v>100</v>
      </c>
      <c r="N20" s="13" t="s">
        <v>101</v>
      </c>
      <c r="O20" s="15" t="s">
        <v>102</v>
      </c>
      <c r="P20" s="15" t="s">
        <v>103</v>
      </c>
      <c r="Q20" s="15" t="s">
        <v>175</v>
      </c>
      <c r="R20" s="13" t="s">
        <v>176</v>
      </c>
      <c r="S20" s="13" t="s">
        <v>93</v>
      </c>
      <c r="T20" s="13" t="s">
        <v>94</v>
      </c>
      <c r="U20" s="14">
        <v>40725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3"/>
    </row>
    <row r="21" spans="1:41" ht="72.5" x14ac:dyDescent="0.35">
      <c r="A21" s="13" t="s">
        <v>108</v>
      </c>
      <c r="B21" s="13" t="s">
        <v>109</v>
      </c>
      <c r="C21" s="14">
        <v>45805.675000000003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82</v>
      </c>
      <c r="I21" s="15" t="s">
        <v>83</v>
      </c>
      <c r="J21" s="15" t="s">
        <v>84</v>
      </c>
      <c r="K21" s="15" t="s">
        <v>85</v>
      </c>
      <c r="L21" s="13" t="s">
        <v>86</v>
      </c>
      <c r="M21" s="15" t="s">
        <v>87</v>
      </c>
      <c r="N21" s="13" t="s">
        <v>88</v>
      </c>
      <c r="O21" s="15" t="s">
        <v>89</v>
      </c>
      <c r="P21" s="15" t="s">
        <v>90</v>
      </c>
      <c r="Q21" s="15" t="s">
        <v>177</v>
      </c>
      <c r="R21" s="13" t="s">
        <v>178</v>
      </c>
      <c r="S21" s="13" t="s">
        <v>179</v>
      </c>
      <c r="T21" s="13" t="s">
        <v>112</v>
      </c>
      <c r="U21" s="14">
        <v>40725</v>
      </c>
      <c r="V21" s="14">
        <v>45781</v>
      </c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3"/>
    </row>
    <row r="22" spans="1:41" ht="72.5" x14ac:dyDescent="0.35">
      <c r="A22" s="13" t="s">
        <v>108</v>
      </c>
      <c r="B22" s="13" t="s">
        <v>77</v>
      </c>
      <c r="C22" s="14">
        <v>45805.675000000003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82</v>
      </c>
      <c r="I22" s="15" t="s">
        <v>83</v>
      </c>
      <c r="J22" s="15" t="s">
        <v>84</v>
      </c>
      <c r="K22" s="15" t="s">
        <v>85</v>
      </c>
      <c r="L22" s="13" t="s">
        <v>86</v>
      </c>
      <c r="M22" s="15" t="s">
        <v>87</v>
      </c>
      <c r="N22" s="13" t="s">
        <v>88</v>
      </c>
      <c r="O22" s="15" t="s">
        <v>89</v>
      </c>
      <c r="P22" s="15" t="s">
        <v>90</v>
      </c>
      <c r="Q22" s="15" t="s">
        <v>177</v>
      </c>
      <c r="R22" s="13" t="s">
        <v>178</v>
      </c>
      <c r="S22" s="13" t="s">
        <v>179</v>
      </c>
      <c r="T22" s="13" t="s">
        <v>112</v>
      </c>
      <c r="U22" s="14">
        <v>45782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3"/>
    </row>
    <row r="23" spans="1:41" ht="72.5" x14ac:dyDescent="0.35">
      <c r="A23" s="13" t="s">
        <v>108</v>
      </c>
      <c r="B23" s="13" t="s">
        <v>109</v>
      </c>
      <c r="C23" s="14">
        <v>45805.677083333336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82</v>
      </c>
      <c r="I23" s="15" t="s">
        <v>83</v>
      </c>
      <c r="J23" s="15" t="s">
        <v>84</v>
      </c>
      <c r="K23" s="15" t="s">
        <v>85</v>
      </c>
      <c r="L23" s="13" t="s">
        <v>95</v>
      </c>
      <c r="M23" s="15" t="s">
        <v>96</v>
      </c>
      <c r="N23" s="13" t="s">
        <v>88</v>
      </c>
      <c r="O23" s="15" t="s">
        <v>97</v>
      </c>
      <c r="P23" s="15" t="s">
        <v>98</v>
      </c>
      <c r="Q23" s="15" t="s">
        <v>177</v>
      </c>
      <c r="R23" s="13" t="s">
        <v>178</v>
      </c>
      <c r="S23" s="13" t="s">
        <v>179</v>
      </c>
      <c r="T23" s="13" t="s">
        <v>112</v>
      </c>
      <c r="U23" s="14">
        <v>40725</v>
      </c>
      <c r="V23" s="14">
        <v>45781</v>
      </c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3"/>
    </row>
    <row r="24" spans="1:41" ht="72.5" x14ac:dyDescent="0.35">
      <c r="A24" s="13" t="s">
        <v>108</v>
      </c>
      <c r="B24" s="13" t="s">
        <v>77</v>
      </c>
      <c r="C24" s="14">
        <v>45805.677083333336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82</v>
      </c>
      <c r="I24" s="15" t="s">
        <v>83</v>
      </c>
      <c r="J24" s="15" t="s">
        <v>84</v>
      </c>
      <c r="K24" s="15" t="s">
        <v>85</v>
      </c>
      <c r="L24" s="13" t="s">
        <v>95</v>
      </c>
      <c r="M24" s="15" t="s">
        <v>96</v>
      </c>
      <c r="N24" s="13" t="s">
        <v>88</v>
      </c>
      <c r="O24" s="15" t="s">
        <v>97</v>
      </c>
      <c r="P24" s="15" t="s">
        <v>98</v>
      </c>
      <c r="Q24" s="15" t="s">
        <v>177</v>
      </c>
      <c r="R24" s="13" t="s">
        <v>178</v>
      </c>
      <c r="S24" s="13" t="s">
        <v>179</v>
      </c>
      <c r="T24" s="13" t="s">
        <v>112</v>
      </c>
      <c r="U24" s="14">
        <v>45782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3"/>
    </row>
    <row r="25" spans="1:41" ht="43.5" x14ac:dyDescent="0.35">
      <c r="A25" s="13" t="s">
        <v>165</v>
      </c>
      <c r="B25" s="13" t="s">
        <v>109</v>
      </c>
      <c r="C25" s="14">
        <v>44714.711805555555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82</v>
      </c>
      <c r="I25" s="15" t="s">
        <v>83</v>
      </c>
      <c r="J25" s="15" t="s">
        <v>84</v>
      </c>
      <c r="K25" s="15" t="s">
        <v>85</v>
      </c>
      <c r="L25" s="13" t="s">
        <v>99</v>
      </c>
      <c r="M25" s="15" t="s">
        <v>100</v>
      </c>
      <c r="N25" s="13" t="s">
        <v>101</v>
      </c>
      <c r="O25" s="15" t="s">
        <v>102</v>
      </c>
      <c r="P25" s="15" t="s">
        <v>103</v>
      </c>
      <c r="Q25" s="15" t="s">
        <v>177</v>
      </c>
      <c r="R25" s="13" t="s">
        <v>178</v>
      </c>
      <c r="S25" s="13" t="s">
        <v>179</v>
      </c>
      <c r="T25" s="13" t="s">
        <v>112</v>
      </c>
      <c r="U25" s="14">
        <v>40725</v>
      </c>
      <c r="V25" s="14">
        <v>44633</v>
      </c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3"/>
    </row>
    <row r="26" spans="1:41" ht="43.5" x14ac:dyDescent="0.35">
      <c r="A26" s="13" t="s">
        <v>108</v>
      </c>
      <c r="B26" s="13" t="s">
        <v>109</v>
      </c>
      <c r="C26" s="14">
        <v>45805.681250000001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82</v>
      </c>
      <c r="I26" s="15" t="s">
        <v>83</v>
      </c>
      <c r="J26" s="15" t="s">
        <v>84</v>
      </c>
      <c r="K26" s="15" t="s">
        <v>85</v>
      </c>
      <c r="L26" s="13" t="s">
        <v>99</v>
      </c>
      <c r="M26" s="15" t="s">
        <v>100</v>
      </c>
      <c r="N26" s="13" t="s">
        <v>101</v>
      </c>
      <c r="O26" s="15" t="s">
        <v>102</v>
      </c>
      <c r="P26" s="15" t="s">
        <v>103</v>
      </c>
      <c r="Q26" s="15" t="s">
        <v>177</v>
      </c>
      <c r="R26" s="13" t="s">
        <v>178</v>
      </c>
      <c r="S26" s="13" t="s">
        <v>179</v>
      </c>
      <c r="T26" s="13" t="s">
        <v>112</v>
      </c>
      <c r="U26" s="14">
        <v>44634</v>
      </c>
      <c r="V26" s="14">
        <v>45781</v>
      </c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3"/>
    </row>
    <row r="27" spans="1:41" ht="43.5" x14ac:dyDescent="0.35">
      <c r="A27" s="13" t="s">
        <v>108</v>
      </c>
      <c r="B27" s="13" t="s">
        <v>77</v>
      </c>
      <c r="C27" s="14">
        <v>45805.681250000001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82</v>
      </c>
      <c r="I27" s="15" t="s">
        <v>83</v>
      </c>
      <c r="J27" s="15" t="s">
        <v>84</v>
      </c>
      <c r="K27" s="15" t="s">
        <v>85</v>
      </c>
      <c r="L27" s="13" t="s">
        <v>99</v>
      </c>
      <c r="M27" s="15" t="s">
        <v>100</v>
      </c>
      <c r="N27" s="13" t="s">
        <v>101</v>
      </c>
      <c r="O27" s="15" t="s">
        <v>102</v>
      </c>
      <c r="P27" s="15" t="s">
        <v>103</v>
      </c>
      <c r="Q27" s="15" t="s">
        <v>177</v>
      </c>
      <c r="R27" s="13" t="s">
        <v>178</v>
      </c>
      <c r="S27" s="13" t="s">
        <v>179</v>
      </c>
      <c r="T27" s="13" t="s">
        <v>112</v>
      </c>
      <c r="U27" s="14">
        <v>45782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3"/>
    </row>
    <row r="28" spans="1:41" ht="72.5" x14ac:dyDescent="0.35">
      <c r="A28" s="13" t="s">
        <v>108</v>
      </c>
      <c r="B28" s="13" t="s">
        <v>109</v>
      </c>
      <c r="C28" s="14">
        <v>45805.675694444442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82</v>
      </c>
      <c r="I28" s="15" t="s">
        <v>83</v>
      </c>
      <c r="J28" s="15" t="s">
        <v>84</v>
      </c>
      <c r="K28" s="15" t="s">
        <v>85</v>
      </c>
      <c r="L28" s="13" t="s">
        <v>86</v>
      </c>
      <c r="M28" s="15" t="s">
        <v>87</v>
      </c>
      <c r="N28" s="13" t="s">
        <v>88</v>
      </c>
      <c r="O28" s="15" t="s">
        <v>89</v>
      </c>
      <c r="P28" s="15" t="s">
        <v>90</v>
      </c>
      <c r="Q28" s="15" t="s">
        <v>201</v>
      </c>
      <c r="R28" s="13" t="s">
        <v>202</v>
      </c>
      <c r="S28" s="13" t="s">
        <v>179</v>
      </c>
      <c r="T28" s="13" t="s">
        <v>112</v>
      </c>
      <c r="U28" s="14">
        <v>40725</v>
      </c>
      <c r="V28" s="14">
        <v>45781</v>
      </c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3"/>
    </row>
    <row r="29" spans="1:41" ht="72.5" x14ac:dyDescent="0.35">
      <c r="A29" s="13" t="s">
        <v>108</v>
      </c>
      <c r="B29" s="13" t="s">
        <v>77</v>
      </c>
      <c r="C29" s="14">
        <v>45805.675694444442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82</v>
      </c>
      <c r="I29" s="15" t="s">
        <v>83</v>
      </c>
      <c r="J29" s="15" t="s">
        <v>84</v>
      </c>
      <c r="K29" s="15" t="s">
        <v>85</v>
      </c>
      <c r="L29" s="13" t="s">
        <v>86</v>
      </c>
      <c r="M29" s="15" t="s">
        <v>87</v>
      </c>
      <c r="N29" s="13" t="s">
        <v>88</v>
      </c>
      <c r="O29" s="15" t="s">
        <v>89</v>
      </c>
      <c r="P29" s="15" t="s">
        <v>90</v>
      </c>
      <c r="Q29" s="15" t="s">
        <v>201</v>
      </c>
      <c r="R29" s="13" t="s">
        <v>202</v>
      </c>
      <c r="S29" s="13" t="s">
        <v>179</v>
      </c>
      <c r="T29" s="13" t="s">
        <v>112</v>
      </c>
      <c r="U29" s="14">
        <v>45782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3"/>
    </row>
    <row r="30" spans="1:41" ht="72.5" x14ac:dyDescent="0.35">
      <c r="A30" s="13" t="s">
        <v>108</v>
      </c>
      <c r="B30" s="13" t="s">
        <v>109</v>
      </c>
      <c r="C30" s="14">
        <v>45805.677777777775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82</v>
      </c>
      <c r="I30" s="15" t="s">
        <v>83</v>
      </c>
      <c r="J30" s="15" t="s">
        <v>84</v>
      </c>
      <c r="K30" s="15" t="s">
        <v>85</v>
      </c>
      <c r="L30" s="13" t="s">
        <v>95</v>
      </c>
      <c r="M30" s="15" t="s">
        <v>96</v>
      </c>
      <c r="N30" s="13" t="s">
        <v>88</v>
      </c>
      <c r="O30" s="15" t="s">
        <v>97</v>
      </c>
      <c r="P30" s="15" t="s">
        <v>98</v>
      </c>
      <c r="Q30" s="15" t="s">
        <v>201</v>
      </c>
      <c r="R30" s="13" t="s">
        <v>202</v>
      </c>
      <c r="S30" s="13" t="s">
        <v>179</v>
      </c>
      <c r="T30" s="13" t="s">
        <v>112</v>
      </c>
      <c r="U30" s="14">
        <v>40725</v>
      </c>
      <c r="V30" s="14">
        <v>45781</v>
      </c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3"/>
    </row>
    <row r="31" spans="1:41" ht="72.5" x14ac:dyDescent="0.35">
      <c r="A31" s="13" t="s">
        <v>108</v>
      </c>
      <c r="B31" s="13" t="s">
        <v>77</v>
      </c>
      <c r="C31" s="14">
        <v>45805.677777777775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82</v>
      </c>
      <c r="I31" s="15" t="s">
        <v>83</v>
      </c>
      <c r="J31" s="15" t="s">
        <v>84</v>
      </c>
      <c r="K31" s="15" t="s">
        <v>85</v>
      </c>
      <c r="L31" s="13" t="s">
        <v>95</v>
      </c>
      <c r="M31" s="15" t="s">
        <v>96</v>
      </c>
      <c r="N31" s="13" t="s">
        <v>88</v>
      </c>
      <c r="O31" s="15" t="s">
        <v>97</v>
      </c>
      <c r="P31" s="15" t="s">
        <v>98</v>
      </c>
      <c r="Q31" s="15" t="s">
        <v>201</v>
      </c>
      <c r="R31" s="13" t="s">
        <v>202</v>
      </c>
      <c r="S31" s="13" t="s">
        <v>179</v>
      </c>
      <c r="T31" s="13" t="s">
        <v>112</v>
      </c>
      <c r="U31" s="14">
        <v>45782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3"/>
    </row>
    <row r="32" spans="1:41" ht="58" x14ac:dyDescent="0.35">
      <c r="A32" s="13" t="s">
        <v>165</v>
      </c>
      <c r="B32" s="13" t="s">
        <v>109</v>
      </c>
      <c r="C32" s="14">
        <v>44714.711111111108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82</v>
      </c>
      <c r="I32" s="15" t="s">
        <v>83</v>
      </c>
      <c r="J32" s="15" t="s">
        <v>84</v>
      </c>
      <c r="K32" s="15" t="s">
        <v>85</v>
      </c>
      <c r="L32" s="13" t="s">
        <v>99</v>
      </c>
      <c r="M32" s="15" t="s">
        <v>100</v>
      </c>
      <c r="N32" s="13" t="s">
        <v>101</v>
      </c>
      <c r="O32" s="15" t="s">
        <v>102</v>
      </c>
      <c r="P32" s="15" t="s">
        <v>103</v>
      </c>
      <c r="Q32" s="15" t="s">
        <v>201</v>
      </c>
      <c r="R32" s="13" t="s">
        <v>202</v>
      </c>
      <c r="S32" s="13" t="s">
        <v>179</v>
      </c>
      <c r="T32" s="13" t="s">
        <v>112</v>
      </c>
      <c r="U32" s="14">
        <v>40725</v>
      </c>
      <c r="V32" s="14">
        <v>44633</v>
      </c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3"/>
    </row>
    <row r="33" spans="1:41" ht="58" x14ac:dyDescent="0.35">
      <c r="A33" s="13" t="s">
        <v>108</v>
      </c>
      <c r="B33" s="13" t="s">
        <v>109</v>
      </c>
      <c r="C33" s="14">
        <v>45805.682638888888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82</v>
      </c>
      <c r="I33" s="15" t="s">
        <v>83</v>
      </c>
      <c r="J33" s="15" t="s">
        <v>84</v>
      </c>
      <c r="K33" s="15" t="s">
        <v>85</v>
      </c>
      <c r="L33" s="13" t="s">
        <v>99</v>
      </c>
      <c r="M33" s="15" t="s">
        <v>100</v>
      </c>
      <c r="N33" s="13" t="s">
        <v>101</v>
      </c>
      <c r="O33" s="15" t="s">
        <v>102</v>
      </c>
      <c r="P33" s="15" t="s">
        <v>103</v>
      </c>
      <c r="Q33" s="15" t="s">
        <v>201</v>
      </c>
      <c r="R33" s="13" t="s">
        <v>202</v>
      </c>
      <c r="S33" s="13" t="s">
        <v>179</v>
      </c>
      <c r="T33" s="13" t="s">
        <v>112</v>
      </c>
      <c r="U33" s="14">
        <v>44634</v>
      </c>
      <c r="V33" s="14">
        <v>45781</v>
      </c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3"/>
    </row>
    <row r="34" spans="1:41" ht="58" x14ac:dyDescent="0.35">
      <c r="A34" s="13" t="s">
        <v>108</v>
      </c>
      <c r="B34" s="13" t="s">
        <v>77</v>
      </c>
      <c r="C34" s="14">
        <v>45805.682638888888</v>
      </c>
      <c r="D34" s="13" t="s">
        <v>78</v>
      </c>
      <c r="E34" s="15" t="s">
        <v>79</v>
      </c>
      <c r="F34" s="13" t="s">
        <v>80</v>
      </c>
      <c r="G34" s="15" t="s">
        <v>81</v>
      </c>
      <c r="H34" s="13" t="s">
        <v>82</v>
      </c>
      <c r="I34" s="15" t="s">
        <v>83</v>
      </c>
      <c r="J34" s="15" t="s">
        <v>84</v>
      </c>
      <c r="K34" s="15" t="s">
        <v>85</v>
      </c>
      <c r="L34" s="13" t="s">
        <v>99</v>
      </c>
      <c r="M34" s="15" t="s">
        <v>100</v>
      </c>
      <c r="N34" s="13" t="s">
        <v>101</v>
      </c>
      <c r="O34" s="15" t="s">
        <v>102</v>
      </c>
      <c r="P34" s="15" t="s">
        <v>103</v>
      </c>
      <c r="Q34" s="15" t="s">
        <v>201</v>
      </c>
      <c r="R34" s="13" t="s">
        <v>202</v>
      </c>
      <c r="S34" s="13" t="s">
        <v>179</v>
      </c>
      <c r="T34" s="13" t="s">
        <v>112</v>
      </c>
      <c r="U34" s="14">
        <v>45782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3"/>
    </row>
    <row r="35" spans="1:41" ht="72.5" x14ac:dyDescent="0.35">
      <c r="A35" s="13" t="s">
        <v>76</v>
      </c>
      <c r="B35" s="13" t="s">
        <v>77</v>
      </c>
      <c r="C35" s="14">
        <v>43152.5</v>
      </c>
      <c r="D35" s="13" t="s">
        <v>78</v>
      </c>
      <c r="E35" s="15" t="s">
        <v>79</v>
      </c>
      <c r="F35" s="13" t="s">
        <v>80</v>
      </c>
      <c r="G35" s="15" t="s">
        <v>81</v>
      </c>
      <c r="H35" s="13" t="s">
        <v>228</v>
      </c>
      <c r="I35" s="15" t="s">
        <v>229</v>
      </c>
      <c r="J35" s="15" t="s">
        <v>230</v>
      </c>
      <c r="K35" s="15" t="s">
        <v>231</v>
      </c>
      <c r="L35" s="13" t="s">
        <v>232</v>
      </c>
      <c r="M35" s="15" t="s">
        <v>233</v>
      </c>
      <c r="N35" s="13" t="s">
        <v>88</v>
      </c>
      <c r="O35" s="15" t="s">
        <v>89</v>
      </c>
      <c r="P35" s="15" t="s">
        <v>90</v>
      </c>
      <c r="Q35" s="15" t="s">
        <v>91</v>
      </c>
      <c r="R35" s="13" t="s">
        <v>92</v>
      </c>
      <c r="S35" s="13" t="s">
        <v>93</v>
      </c>
      <c r="T35" s="13" t="s">
        <v>94</v>
      </c>
      <c r="U35" s="14">
        <v>40725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3"/>
    </row>
    <row r="36" spans="1:41" ht="72.5" x14ac:dyDescent="0.35">
      <c r="A36" s="13" t="s">
        <v>76</v>
      </c>
      <c r="B36" s="13" t="s">
        <v>77</v>
      </c>
      <c r="C36" s="14">
        <v>43152.5</v>
      </c>
      <c r="D36" s="13" t="s">
        <v>78</v>
      </c>
      <c r="E36" s="15" t="s">
        <v>79</v>
      </c>
      <c r="F36" s="13" t="s">
        <v>80</v>
      </c>
      <c r="G36" s="15" t="s">
        <v>81</v>
      </c>
      <c r="H36" s="13" t="s">
        <v>228</v>
      </c>
      <c r="I36" s="15" t="s">
        <v>229</v>
      </c>
      <c r="J36" s="15" t="s">
        <v>230</v>
      </c>
      <c r="K36" s="15" t="s">
        <v>231</v>
      </c>
      <c r="L36" s="13" t="s">
        <v>234</v>
      </c>
      <c r="M36" s="15" t="s">
        <v>235</v>
      </c>
      <c r="N36" s="13" t="s">
        <v>88</v>
      </c>
      <c r="O36" s="15" t="s">
        <v>97</v>
      </c>
      <c r="P36" s="15" t="s">
        <v>98</v>
      </c>
      <c r="Q36" s="15" t="s">
        <v>91</v>
      </c>
      <c r="R36" s="13" t="s">
        <v>92</v>
      </c>
      <c r="S36" s="13" t="s">
        <v>93</v>
      </c>
      <c r="T36" s="13" t="s">
        <v>94</v>
      </c>
      <c r="U36" s="14">
        <v>40725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3"/>
    </row>
    <row r="37" spans="1:41" ht="72.5" x14ac:dyDescent="0.35">
      <c r="A37" s="13" t="s">
        <v>76</v>
      </c>
      <c r="B37" s="13" t="s">
        <v>77</v>
      </c>
      <c r="C37" s="14">
        <v>43152.5</v>
      </c>
      <c r="D37" s="13" t="s">
        <v>78</v>
      </c>
      <c r="E37" s="15" t="s">
        <v>79</v>
      </c>
      <c r="F37" s="13" t="s">
        <v>80</v>
      </c>
      <c r="G37" s="15" t="s">
        <v>81</v>
      </c>
      <c r="H37" s="13" t="s">
        <v>228</v>
      </c>
      <c r="I37" s="15" t="s">
        <v>229</v>
      </c>
      <c r="J37" s="15" t="s">
        <v>230</v>
      </c>
      <c r="K37" s="15" t="s">
        <v>231</v>
      </c>
      <c r="L37" s="13" t="s">
        <v>236</v>
      </c>
      <c r="M37" s="15" t="s">
        <v>237</v>
      </c>
      <c r="N37" s="13" t="s">
        <v>101</v>
      </c>
      <c r="O37" s="15" t="s">
        <v>102</v>
      </c>
      <c r="P37" s="15" t="s">
        <v>103</v>
      </c>
      <c r="Q37" s="15" t="s">
        <v>91</v>
      </c>
      <c r="R37" s="13" t="s">
        <v>92</v>
      </c>
      <c r="S37" s="13" t="s">
        <v>93</v>
      </c>
      <c r="T37" s="13" t="s">
        <v>94</v>
      </c>
      <c r="U37" s="14">
        <v>40725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3"/>
    </row>
    <row r="38" spans="1:41" ht="72.5" x14ac:dyDescent="0.35">
      <c r="A38" s="13" t="s">
        <v>76</v>
      </c>
      <c r="B38" s="13" t="s">
        <v>77</v>
      </c>
      <c r="C38" s="14">
        <v>43152.5</v>
      </c>
      <c r="D38" s="13" t="s">
        <v>78</v>
      </c>
      <c r="E38" s="15" t="s">
        <v>79</v>
      </c>
      <c r="F38" s="13" t="s">
        <v>80</v>
      </c>
      <c r="G38" s="15" t="s">
        <v>81</v>
      </c>
      <c r="H38" s="13" t="s">
        <v>228</v>
      </c>
      <c r="I38" s="15" t="s">
        <v>229</v>
      </c>
      <c r="J38" s="15" t="s">
        <v>230</v>
      </c>
      <c r="K38" s="15" t="s">
        <v>231</v>
      </c>
      <c r="L38" s="13" t="s">
        <v>232</v>
      </c>
      <c r="M38" s="15" t="s">
        <v>233</v>
      </c>
      <c r="N38" s="13" t="s">
        <v>88</v>
      </c>
      <c r="O38" s="15" t="s">
        <v>89</v>
      </c>
      <c r="P38" s="15" t="s">
        <v>90</v>
      </c>
      <c r="Q38" s="15" t="s">
        <v>104</v>
      </c>
      <c r="R38" s="13" t="s">
        <v>105</v>
      </c>
      <c r="S38" s="13" t="s">
        <v>93</v>
      </c>
      <c r="T38" s="13" t="s">
        <v>94</v>
      </c>
      <c r="U38" s="14">
        <v>40725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3"/>
    </row>
    <row r="39" spans="1:41" ht="72.5" x14ac:dyDescent="0.35">
      <c r="A39" s="13" t="s">
        <v>76</v>
      </c>
      <c r="B39" s="13" t="s">
        <v>77</v>
      </c>
      <c r="C39" s="14">
        <v>43152.5</v>
      </c>
      <c r="D39" s="13" t="s">
        <v>78</v>
      </c>
      <c r="E39" s="15" t="s">
        <v>79</v>
      </c>
      <c r="F39" s="13" t="s">
        <v>80</v>
      </c>
      <c r="G39" s="15" t="s">
        <v>81</v>
      </c>
      <c r="H39" s="13" t="s">
        <v>228</v>
      </c>
      <c r="I39" s="15" t="s">
        <v>229</v>
      </c>
      <c r="J39" s="15" t="s">
        <v>230</v>
      </c>
      <c r="K39" s="15" t="s">
        <v>231</v>
      </c>
      <c r="L39" s="13" t="s">
        <v>234</v>
      </c>
      <c r="M39" s="15" t="s">
        <v>235</v>
      </c>
      <c r="N39" s="13" t="s">
        <v>88</v>
      </c>
      <c r="O39" s="15" t="s">
        <v>97</v>
      </c>
      <c r="P39" s="15" t="s">
        <v>98</v>
      </c>
      <c r="Q39" s="15" t="s">
        <v>104</v>
      </c>
      <c r="R39" s="13" t="s">
        <v>105</v>
      </c>
      <c r="S39" s="13" t="s">
        <v>93</v>
      </c>
      <c r="T39" s="13" t="s">
        <v>94</v>
      </c>
      <c r="U39" s="14">
        <v>40725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3"/>
    </row>
    <row r="40" spans="1:41" ht="72.5" x14ac:dyDescent="0.35">
      <c r="A40" s="13" t="s">
        <v>76</v>
      </c>
      <c r="B40" s="13" t="s">
        <v>77</v>
      </c>
      <c r="C40" s="14">
        <v>43152.5</v>
      </c>
      <c r="D40" s="13" t="s">
        <v>78</v>
      </c>
      <c r="E40" s="15" t="s">
        <v>79</v>
      </c>
      <c r="F40" s="13" t="s">
        <v>80</v>
      </c>
      <c r="G40" s="15" t="s">
        <v>81</v>
      </c>
      <c r="H40" s="13" t="s">
        <v>228</v>
      </c>
      <c r="I40" s="15" t="s">
        <v>229</v>
      </c>
      <c r="J40" s="15" t="s">
        <v>230</v>
      </c>
      <c r="K40" s="15" t="s">
        <v>231</v>
      </c>
      <c r="L40" s="13" t="s">
        <v>236</v>
      </c>
      <c r="M40" s="15" t="s">
        <v>237</v>
      </c>
      <c r="N40" s="13" t="s">
        <v>101</v>
      </c>
      <c r="O40" s="15" t="s">
        <v>102</v>
      </c>
      <c r="P40" s="15" t="s">
        <v>103</v>
      </c>
      <c r="Q40" s="15" t="s">
        <v>104</v>
      </c>
      <c r="R40" s="13" t="s">
        <v>105</v>
      </c>
      <c r="S40" s="13" t="s">
        <v>93</v>
      </c>
      <c r="T40" s="13" t="s">
        <v>94</v>
      </c>
      <c r="U40" s="14">
        <v>40725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3"/>
    </row>
    <row r="41" spans="1:41" ht="72.5" x14ac:dyDescent="0.35">
      <c r="A41" s="13" t="s">
        <v>76</v>
      </c>
      <c r="B41" s="13" t="s">
        <v>77</v>
      </c>
      <c r="C41" s="14">
        <v>43152.5</v>
      </c>
      <c r="D41" s="13" t="s">
        <v>78</v>
      </c>
      <c r="E41" s="15" t="s">
        <v>79</v>
      </c>
      <c r="F41" s="13" t="s">
        <v>80</v>
      </c>
      <c r="G41" s="15" t="s">
        <v>81</v>
      </c>
      <c r="H41" s="13" t="s">
        <v>228</v>
      </c>
      <c r="I41" s="15" t="s">
        <v>229</v>
      </c>
      <c r="J41" s="15" t="s">
        <v>230</v>
      </c>
      <c r="K41" s="15" t="s">
        <v>231</v>
      </c>
      <c r="L41" s="13" t="s">
        <v>232</v>
      </c>
      <c r="M41" s="15" t="s">
        <v>233</v>
      </c>
      <c r="N41" s="13" t="s">
        <v>88</v>
      </c>
      <c r="O41" s="15" t="s">
        <v>89</v>
      </c>
      <c r="P41" s="15" t="s">
        <v>90</v>
      </c>
      <c r="Q41" s="15" t="s">
        <v>106</v>
      </c>
      <c r="R41" s="13" t="s">
        <v>107</v>
      </c>
      <c r="S41" s="13" t="s">
        <v>93</v>
      </c>
      <c r="T41" s="13" t="s">
        <v>94</v>
      </c>
      <c r="U41" s="14">
        <v>40725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3"/>
    </row>
    <row r="42" spans="1:41" ht="72.5" x14ac:dyDescent="0.35">
      <c r="A42" s="13" t="s">
        <v>76</v>
      </c>
      <c r="B42" s="13" t="s">
        <v>77</v>
      </c>
      <c r="C42" s="14">
        <v>43152.5</v>
      </c>
      <c r="D42" s="13" t="s">
        <v>78</v>
      </c>
      <c r="E42" s="15" t="s">
        <v>79</v>
      </c>
      <c r="F42" s="13" t="s">
        <v>80</v>
      </c>
      <c r="G42" s="15" t="s">
        <v>81</v>
      </c>
      <c r="H42" s="13" t="s">
        <v>228</v>
      </c>
      <c r="I42" s="15" t="s">
        <v>229</v>
      </c>
      <c r="J42" s="15" t="s">
        <v>230</v>
      </c>
      <c r="K42" s="15" t="s">
        <v>231</v>
      </c>
      <c r="L42" s="13" t="s">
        <v>234</v>
      </c>
      <c r="M42" s="15" t="s">
        <v>235</v>
      </c>
      <c r="N42" s="13" t="s">
        <v>88</v>
      </c>
      <c r="O42" s="15" t="s">
        <v>97</v>
      </c>
      <c r="P42" s="15" t="s">
        <v>98</v>
      </c>
      <c r="Q42" s="15" t="s">
        <v>106</v>
      </c>
      <c r="R42" s="13" t="s">
        <v>107</v>
      </c>
      <c r="S42" s="13" t="s">
        <v>93</v>
      </c>
      <c r="T42" s="13" t="s">
        <v>94</v>
      </c>
      <c r="U42" s="14">
        <v>40725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3"/>
    </row>
    <row r="43" spans="1:41" ht="72.5" x14ac:dyDescent="0.35">
      <c r="A43" s="13" t="s">
        <v>76</v>
      </c>
      <c r="B43" s="13" t="s">
        <v>77</v>
      </c>
      <c r="C43" s="14">
        <v>43152.5</v>
      </c>
      <c r="D43" s="13" t="s">
        <v>78</v>
      </c>
      <c r="E43" s="15" t="s">
        <v>79</v>
      </c>
      <c r="F43" s="13" t="s">
        <v>80</v>
      </c>
      <c r="G43" s="15" t="s">
        <v>81</v>
      </c>
      <c r="H43" s="13" t="s">
        <v>228</v>
      </c>
      <c r="I43" s="15" t="s">
        <v>229</v>
      </c>
      <c r="J43" s="15" t="s">
        <v>230</v>
      </c>
      <c r="K43" s="15" t="s">
        <v>231</v>
      </c>
      <c r="L43" s="13" t="s">
        <v>236</v>
      </c>
      <c r="M43" s="15" t="s">
        <v>237</v>
      </c>
      <c r="N43" s="13" t="s">
        <v>101</v>
      </c>
      <c r="O43" s="15" t="s">
        <v>102</v>
      </c>
      <c r="P43" s="15" t="s">
        <v>103</v>
      </c>
      <c r="Q43" s="15" t="s">
        <v>106</v>
      </c>
      <c r="R43" s="13" t="s">
        <v>107</v>
      </c>
      <c r="S43" s="13" t="s">
        <v>93</v>
      </c>
      <c r="T43" s="13" t="s">
        <v>94</v>
      </c>
      <c r="U43" s="14">
        <v>40725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3"/>
    </row>
    <row r="44" spans="1:41" ht="145" x14ac:dyDescent="0.35">
      <c r="A44" s="13" t="s">
        <v>238</v>
      </c>
      <c r="B44" s="13" t="s">
        <v>109</v>
      </c>
      <c r="C44" s="14">
        <v>44368.708333333336</v>
      </c>
      <c r="D44" s="13" t="s">
        <v>78</v>
      </c>
      <c r="E44" s="15" t="s">
        <v>79</v>
      </c>
      <c r="F44" s="13" t="s">
        <v>80</v>
      </c>
      <c r="G44" s="15" t="s">
        <v>81</v>
      </c>
      <c r="H44" s="13" t="s">
        <v>228</v>
      </c>
      <c r="I44" s="15" t="s">
        <v>229</v>
      </c>
      <c r="J44" s="15" t="s">
        <v>230</v>
      </c>
      <c r="K44" s="15" t="s">
        <v>231</v>
      </c>
      <c r="L44" s="13" t="s">
        <v>232</v>
      </c>
      <c r="M44" s="15" t="s">
        <v>233</v>
      </c>
      <c r="N44" s="13" t="s">
        <v>88</v>
      </c>
      <c r="O44" s="15" t="s">
        <v>89</v>
      </c>
      <c r="P44" s="15" t="s">
        <v>90</v>
      </c>
      <c r="Q44" s="15" t="s">
        <v>110</v>
      </c>
      <c r="R44" s="13" t="s">
        <v>111</v>
      </c>
      <c r="S44" s="13" t="s">
        <v>93</v>
      </c>
      <c r="T44" s="13" t="s">
        <v>112</v>
      </c>
      <c r="U44" s="14">
        <v>40725</v>
      </c>
      <c r="V44" s="14"/>
      <c r="W44" s="15" t="s">
        <v>630</v>
      </c>
      <c r="X44" s="13" t="s">
        <v>614</v>
      </c>
      <c r="Y44" s="15" t="str">
        <f>VLOOKUP(X44,'Axe 2 Règles de gestion'!$D$2:$F$146,3, FALSE)</f>
        <v>Rémunération : L'agent ne perçoit plus son traitement.</v>
      </c>
      <c r="Z44" s="13" t="s">
        <v>616</v>
      </c>
      <c r="AA44" s="15" t="str">
        <f>VLOOKUP(Z44,'Axe 2 Règles de gestion'!$D$2:$F$146,3, FALSE)</f>
        <v>Congés annuels : L'agent ne cumule pas de droits à congé.</v>
      </c>
      <c r="AB44" s="13" t="s">
        <v>618</v>
      </c>
      <c r="AC44" s="15" t="str">
        <f>VLOOKUP(AB44,'Axe 2 Règles de gestion'!$D$2:$F$146,3, FALSE)</f>
        <v>Carrière : L'agent voit sa carrière suspendue. Il perd ses droits à l'avancement.</v>
      </c>
      <c r="AD44" s="13" t="s">
        <v>631</v>
      </c>
      <c r="AE44" s="15" t="str">
        <f>VLOOKUP(AD44,'Axe 2 Règles de gestion'!$D$2:$F$146,3, FALSE)</f>
        <v>Retraite : Les périodes de congé sans traitement ne sont pas prises en compte pour la constitution du droit à pension et la liquidation de cette dernière.</v>
      </c>
      <c r="AF44" s="13" t="s">
        <v>622</v>
      </c>
      <c r="AG44" s="15" t="str">
        <f>VLOOKUP(AF44,'Axe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44" s="13" t="s">
        <v>624</v>
      </c>
      <c r="AI44" s="15" t="str">
        <f>VLOOKUP(AH44,'Axe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44" s="13" t="s">
        <v>626</v>
      </c>
      <c r="AK44" s="15" t="str">
        <f>VLOOKUP(AJ44,'Axe 2 Règles de gestion'!$D$2:$F$146,3, FALSE)</f>
        <v>Stage : Les congés sans traitement ne sont pas comptabilisés comme temps de stage. Ils reportent donc la date de fin de stage du nombre total de jours d'absence.</v>
      </c>
      <c r="AL44" s="13" t="s">
        <v>628</v>
      </c>
      <c r="AM44" s="15" t="str">
        <f>VLOOKUP(AL44,'Axe 2 Règles de gestion'!$D$2:$F$146,3, FALSE)</f>
        <v>Acte : Un acte administratif doit être produit.</v>
      </c>
      <c r="AN44" s="13"/>
      <c r="AO44" s="13"/>
    </row>
    <row r="45" spans="1:41" ht="145" x14ac:dyDescent="0.35">
      <c r="A45" s="13" t="s">
        <v>238</v>
      </c>
      <c r="B45" s="13" t="s">
        <v>109</v>
      </c>
      <c r="C45" s="14">
        <v>44368.708333333336</v>
      </c>
      <c r="D45" s="13" t="s">
        <v>78</v>
      </c>
      <c r="E45" s="15" t="s">
        <v>79</v>
      </c>
      <c r="F45" s="13" t="s">
        <v>80</v>
      </c>
      <c r="G45" s="15" t="s">
        <v>81</v>
      </c>
      <c r="H45" s="13" t="s">
        <v>228</v>
      </c>
      <c r="I45" s="15" t="s">
        <v>229</v>
      </c>
      <c r="J45" s="15" t="s">
        <v>230</v>
      </c>
      <c r="K45" s="15" t="s">
        <v>231</v>
      </c>
      <c r="L45" s="13" t="s">
        <v>234</v>
      </c>
      <c r="M45" s="15" t="s">
        <v>235</v>
      </c>
      <c r="N45" s="13" t="s">
        <v>88</v>
      </c>
      <c r="O45" s="15" t="s">
        <v>97</v>
      </c>
      <c r="P45" s="15" t="s">
        <v>98</v>
      </c>
      <c r="Q45" s="15" t="s">
        <v>110</v>
      </c>
      <c r="R45" s="13" t="s">
        <v>111</v>
      </c>
      <c r="S45" s="13" t="s">
        <v>93</v>
      </c>
      <c r="T45" s="13" t="s">
        <v>112</v>
      </c>
      <c r="U45" s="14">
        <v>40725</v>
      </c>
      <c r="V45" s="14"/>
      <c r="W45" s="15" t="s">
        <v>630</v>
      </c>
      <c r="X45" s="13" t="s">
        <v>614</v>
      </c>
      <c r="Y45" s="15" t="str">
        <f>VLOOKUP(X45,'Axe 2 Règles de gestion'!$D$2:$F$146,3, FALSE)</f>
        <v>Rémunération : L'agent ne perçoit plus son traitement.</v>
      </c>
      <c r="Z45" s="13" t="s">
        <v>616</v>
      </c>
      <c r="AA45" s="15" t="str">
        <f>VLOOKUP(Z45,'Axe 2 Règles de gestion'!$D$2:$F$146,3, FALSE)</f>
        <v>Congés annuels : L'agent ne cumule pas de droits à congé.</v>
      </c>
      <c r="AB45" s="13" t="s">
        <v>618</v>
      </c>
      <c r="AC45" s="15" t="str">
        <f>VLOOKUP(AB45,'Axe 2 Règles de gestion'!$D$2:$F$146,3, FALSE)</f>
        <v>Carrière : L'agent voit sa carrière suspendue. Il perd ses droits à l'avancement.</v>
      </c>
      <c r="AD45" s="13" t="s">
        <v>631</v>
      </c>
      <c r="AE45" s="15" t="str">
        <f>VLOOKUP(AD45,'Axe 2 Règles de gestion'!$D$2:$F$146,3, FALSE)</f>
        <v>Retraite : Les périodes de congé sans traitement ne sont pas prises en compte pour la constitution du droit à pension et la liquidation de cette dernière.</v>
      </c>
      <c r="AF45" s="13" t="s">
        <v>622</v>
      </c>
      <c r="AG45" s="15" t="str">
        <f>VLOOKUP(AF45,'Axe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45" s="13" t="s">
        <v>624</v>
      </c>
      <c r="AI45" s="15" t="str">
        <f>VLOOKUP(AH45,'Axe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45" s="13" t="s">
        <v>626</v>
      </c>
      <c r="AK45" s="15" t="str">
        <f>VLOOKUP(AJ45,'Axe 2 Règles de gestion'!$D$2:$F$146,3, FALSE)</f>
        <v>Stage : Les congés sans traitement ne sont pas comptabilisés comme temps de stage. Ils reportent donc la date de fin de stage du nombre total de jours d'absence.</v>
      </c>
      <c r="AL45" s="13" t="s">
        <v>628</v>
      </c>
      <c r="AM45" s="15" t="str">
        <f>VLOOKUP(AL45,'Axe 2 Règles de gestion'!$D$2:$F$146,3, FALSE)</f>
        <v>Acte : Un acte administratif doit être produit.</v>
      </c>
      <c r="AN45" s="13"/>
      <c r="AO45" s="13"/>
    </row>
    <row r="46" spans="1:41" ht="72.5" x14ac:dyDescent="0.35">
      <c r="A46" s="13" t="s">
        <v>165</v>
      </c>
      <c r="B46" s="13" t="s">
        <v>109</v>
      </c>
      <c r="C46" s="14">
        <v>44714.720138888886</v>
      </c>
      <c r="D46" s="13" t="s">
        <v>78</v>
      </c>
      <c r="E46" s="15" t="s">
        <v>79</v>
      </c>
      <c r="F46" s="13" t="s">
        <v>80</v>
      </c>
      <c r="G46" s="15" t="s">
        <v>81</v>
      </c>
      <c r="H46" s="13" t="s">
        <v>228</v>
      </c>
      <c r="I46" s="15" t="s">
        <v>229</v>
      </c>
      <c r="J46" s="15" t="s">
        <v>230</v>
      </c>
      <c r="K46" s="15" t="s">
        <v>231</v>
      </c>
      <c r="L46" s="13" t="s">
        <v>236</v>
      </c>
      <c r="M46" s="15" t="s">
        <v>237</v>
      </c>
      <c r="N46" s="13" t="s">
        <v>101</v>
      </c>
      <c r="O46" s="15" t="s">
        <v>102</v>
      </c>
      <c r="P46" s="15" t="s">
        <v>103</v>
      </c>
      <c r="Q46" s="15" t="s">
        <v>110</v>
      </c>
      <c r="R46" s="13" t="s">
        <v>111</v>
      </c>
      <c r="S46" s="13" t="s">
        <v>93</v>
      </c>
      <c r="T46" s="13" t="s">
        <v>112</v>
      </c>
      <c r="U46" s="14">
        <v>40725</v>
      </c>
      <c r="V46" s="14">
        <v>44633</v>
      </c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3"/>
    </row>
    <row r="47" spans="1:41" ht="72.5" x14ac:dyDescent="0.35">
      <c r="A47" s="13" t="s">
        <v>165</v>
      </c>
      <c r="B47" s="13" t="s">
        <v>77</v>
      </c>
      <c r="C47" s="14">
        <v>44714.728472222225</v>
      </c>
      <c r="D47" s="13" t="s">
        <v>78</v>
      </c>
      <c r="E47" s="15" t="s">
        <v>79</v>
      </c>
      <c r="F47" s="13" t="s">
        <v>80</v>
      </c>
      <c r="G47" s="15" t="s">
        <v>81</v>
      </c>
      <c r="H47" s="13" t="s">
        <v>228</v>
      </c>
      <c r="I47" s="15" t="s">
        <v>229</v>
      </c>
      <c r="J47" s="15" t="s">
        <v>230</v>
      </c>
      <c r="K47" s="15" t="s">
        <v>231</v>
      </c>
      <c r="L47" s="13" t="s">
        <v>236</v>
      </c>
      <c r="M47" s="15" t="s">
        <v>237</v>
      </c>
      <c r="N47" s="13" t="s">
        <v>101</v>
      </c>
      <c r="O47" s="15" t="s">
        <v>102</v>
      </c>
      <c r="P47" s="15" t="s">
        <v>103</v>
      </c>
      <c r="Q47" s="15" t="s">
        <v>110</v>
      </c>
      <c r="R47" s="13" t="s">
        <v>111</v>
      </c>
      <c r="S47" s="13" t="s">
        <v>93</v>
      </c>
      <c r="T47" s="13" t="s">
        <v>112</v>
      </c>
      <c r="U47" s="14">
        <v>44634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3"/>
    </row>
    <row r="48" spans="1:41" ht="72.5" x14ac:dyDescent="0.35">
      <c r="A48" s="13" t="s">
        <v>76</v>
      </c>
      <c r="B48" s="13" t="s">
        <v>77</v>
      </c>
      <c r="C48" s="14">
        <v>43152.5</v>
      </c>
      <c r="D48" s="13" t="s">
        <v>78</v>
      </c>
      <c r="E48" s="15" t="s">
        <v>79</v>
      </c>
      <c r="F48" s="13" t="s">
        <v>80</v>
      </c>
      <c r="G48" s="15" t="s">
        <v>81</v>
      </c>
      <c r="H48" s="13" t="s">
        <v>228</v>
      </c>
      <c r="I48" s="15" t="s">
        <v>229</v>
      </c>
      <c r="J48" s="15" t="s">
        <v>230</v>
      </c>
      <c r="K48" s="15" t="s">
        <v>231</v>
      </c>
      <c r="L48" s="13" t="s">
        <v>232</v>
      </c>
      <c r="M48" s="15" t="s">
        <v>233</v>
      </c>
      <c r="N48" s="13" t="s">
        <v>88</v>
      </c>
      <c r="O48" s="15" t="s">
        <v>89</v>
      </c>
      <c r="P48" s="15" t="s">
        <v>90</v>
      </c>
      <c r="Q48" s="15" t="s">
        <v>175</v>
      </c>
      <c r="R48" s="13" t="s">
        <v>176</v>
      </c>
      <c r="S48" s="13" t="s">
        <v>93</v>
      </c>
      <c r="T48" s="13" t="s">
        <v>94</v>
      </c>
      <c r="U48" s="14">
        <v>40725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3"/>
    </row>
    <row r="49" spans="1:41" ht="72.5" x14ac:dyDescent="0.35">
      <c r="A49" s="13" t="s">
        <v>76</v>
      </c>
      <c r="B49" s="13" t="s">
        <v>77</v>
      </c>
      <c r="C49" s="14">
        <v>43152.5</v>
      </c>
      <c r="D49" s="13" t="s">
        <v>78</v>
      </c>
      <c r="E49" s="15" t="s">
        <v>79</v>
      </c>
      <c r="F49" s="13" t="s">
        <v>80</v>
      </c>
      <c r="G49" s="15" t="s">
        <v>81</v>
      </c>
      <c r="H49" s="13" t="s">
        <v>228</v>
      </c>
      <c r="I49" s="15" t="s">
        <v>229</v>
      </c>
      <c r="J49" s="15" t="s">
        <v>230</v>
      </c>
      <c r="K49" s="15" t="s">
        <v>231</v>
      </c>
      <c r="L49" s="13" t="s">
        <v>234</v>
      </c>
      <c r="M49" s="15" t="s">
        <v>235</v>
      </c>
      <c r="N49" s="13" t="s">
        <v>88</v>
      </c>
      <c r="O49" s="15" t="s">
        <v>97</v>
      </c>
      <c r="P49" s="15" t="s">
        <v>98</v>
      </c>
      <c r="Q49" s="15" t="s">
        <v>175</v>
      </c>
      <c r="R49" s="13" t="s">
        <v>176</v>
      </c>
      <c r="S49" s="13" t="s">
        <v>93</v>
      </c>
      <c r="T49" s="13" t="s">
        <v>94</v>
      </c>
      <c r="U49" s="14">
        <v>40725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3"/>
    </row>
    <row r="50" spans="1:41" ht="72.5" x14ac:dyDescent="0.35">
      <c r="A50" s="13" t="s">
        <v>76</v>
      </c>
      <c r="B50" s="13" t="s">
        <v>77</v>
      </c>
      <c r="C50" s="14">
        <v>43152.5</v>
      </c>
      <c r="D50" s="13" t="s">
        <v>78</v>
      </c>
      <c r="E50" s="15" t="s">
        <v>79</v>
      </c>
      <c r="F50" s="13" t="s">
        <v>80</v>
      </c>
      <c r="G50" s="15" t="s">
        <v>81</v>
      </c>
      <c r="H50" s="13" t="s">
        <v>228</v>
      </c>
      <c r="I50" s="15" t="s">
        <v>229</v>
      </c>
      <c r="J50" s="15" t="s">
        <v>230</v>
      </c>
      <c r="K50" s="15" t="s">
        <v>231</v>
      </c>
      <c r="L50" s="13" t="s">
        <v>236</v>
      </c>
      <c r="M50" s="15" t="s">
        <v>237</v>
      </c>
      <c r="N50" s="13" t="s">
        <v>101</v>
      </c>
      <c r="O50" s="15" t="s">
        <v>102</v>
      </c>
      <c r="P50" s="15" t="s">
        <v>103</v>
      </c>
      <c r="Q50" s="15" t="s">
        <v>175</v>
      </c>
      <c r="R50" s="13" t="s">
        <v>176</v>
      </c>
      <c r="S50" s="13" t="s">
        <v>93</v>
      </c>
      <c r="T50" s="13" t="s">
        <v>94</v>
      </c>
      <c r="U50" s="14">
        <v>40725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3"/>
    </row>
    <row r="51" spans="1:41" ht="72.5" x14ac:dyDescent="0.35">
      <c r="A51" s="13" t="s">
        <v>238</v>
      </c>
      <c r="B51" s="13" t="s">
        <v>109</v>
      </c>
      <c r="C51" s="14">
        <v>44368.708333333336</v>
      </c>
      <c r="D51" s="13" t="s">
        <v>78</v>
      </c>
      <c r="E51" s="15" t="s">
        <v>79</v>
      </c>
      <c r="F51" s="13" t="s">
        <v>80</v>
      </c>
      <c r="G51" s="15" t="s">
        <v>81</v>
      </c>
      <c r="H51" s="13" t="s">
        <v>228</v>
      </c>
      <c r="I51" s="15" t="s">
        <v>229</v>
      </c>
      <c r="J51" s="15" t="s">
        <v>230</v>
      </c>
      <c r="K51" s="15" t="s">
        <v>231</v>
      </c>
      <c r="L51" s="13" t="s">
        <v>232</v>
      </c>
      <c r="M51" s="15" t="s">
        <v>233</v>
      </c>
      <c r="N51" s="13" t="s">
        <v>88</v>
      </c>
      <c r="O51" s="15" t="s">
        <v>89</v>
      </c>
      <c r="P51" s="15" t="s">
        <v>90</v>
      </c>
      <c r="Q51" s="15" t="s">
        <v>177</v>
      </c>
      <c r="R51" s="13" t="s">
        <v>178</v>
      </c>
      <c r="S51" s="13" t="s">
        <v>179</v>
      </c>
      <c r="T51" s="13" t="s">
        <v>112</v>
      </c>
      <c r="U51" s="14">
        <v>40725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3"/>
    </row>
    <row r="52" spans="1:41" ht="72.5" x14ac:dyDescent="0.35">
      <c r="A52" s="13" t="s">
        <v>238</v>
      </c>
      <c r="B52" s="13" t="s">
        <v>109</v>
      </c>
      <c r="C52" s="14">
        <v>44368.708333333336</v>
      </c>
      <c r="D52" s="13" t="s">
        <v>78</v>
      </c>
      <c r="E52" s="15" t="s">
        <v>79</v>
      </c>
      <c r="F52" s="13" t="s">
        <v>80</v>
      </c>
      <c r="G52" s="15" t="s">
        <v>81</v>
      </c>
      <c r="H52" s="13" t="s">
        <v>228</v>
      </c>
      <c r="I52" s="15" t="s">
        <v>229</v>
      </c>
      <c r="J52" s="15" t="s">
        <v>230</v>
      </c>
      <c r="K52" s="15" t="s">
        <v>231</v>
      </c>
      <c r="L52" s="13" t="s">
        <v>234</v>
      </c>
      <c r="M52" s="15" t="s">
        <v>235</v>
      </c>
      <c r="N52" s="13" t="s">
        <v>88</v>
      </c>
      <c r="O52" s="15" t="s">
        <v>97</v>
      </c>
      <c r="P52" s="15" t="s">
        <v>98</v>
      </c>
      <c r="Q52" s="15" t="s">
        <v>177</v>
      </c>
      <c r="R52" s="13" t="s">
        <v>178</v>
      </c>
      <c r="S52" s="13" t="s">
        <v>179</v>
      </c>
      <c r="T52" s="13" t="s">
        <v>112</v>
      </c>
      <c r="U52" s="14">
        <v>40725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3"/>
    </row>
    <row r="53" spans="1:41" ht="72.5" x14ac:dyDescent="0.35">
      <c r="A53" s="13" t="s">
        <v>165</v>
      </c>
      <c r="B53" s="13" t="s">
        <v>109</v>
      </c>
      <c r="C53" s="14">
        <v>44714.729166666664</v>
      </c>
      <c r="D53" s="13" t="s">
        <v>78</v>
      </c>
      <c r="E53" s="15" t="s">
        <v>79</v>
      </c>
      <c r="F53" s="13" t="s">
        <v>80</v>
      </c>
      <c r="G53" s="15" t="s">
        <v>81</v>
      </c>
      <c r="H53" s="13" t="s">
        <v>228</v>
      </c>
      <c r="I53" s="15" t="s">
        <v>229</v>
      </c>
      <c r="J53" s="15" t="s">
        <v>230</v>
      </c>
      <c r="K53" s="15" t="s">
        <v>231</v>
      </c>
      <c r="L53" s="13" t="s">
        <v>236</v>
      </c>
      <c r="M53" s="15" t="s">
        <v>237</v>
      </c>
      <c r="N53" s="13" t="s">
        <v>101</v>
      </c>
      <c r="O53" s="15" t="s">
        <v>102</v>
      </c>
      <c r="P53" s="15" t="s">
        <v>103</v>
      </c>
      <c r="Q53" s="15" t="s">
        <v>177</v>
      </c>
      <c r="R53" s="13" t="s">
        <v>178</v>
      </c>
      <c r="S53" s="13" t="s">
        <v>179</v>
      </c>
      <c r="T53" s="13" t="s">
        <v>112</v>
      </c>
      <c r="U53" s="14">
        <v>40725</v>
      </c>
      <c r="V53" s="14">
        <v>44633</v>
      </c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3"/>
    </row>
    <row r="54" spans="1:41" ht="72.5" x14ac:dyDescent="0.35">
      <c r="A54" s="13" t="s">
        <v>165</v>
      </c>
      <c r="B54" s="13" t="s">
        <v>77</v>
      </c>
      <c r="C54" s="14">
        <v>44714.730555555558</v>
      </c>
      <c r="D54" s="13" t="s">
        <v>78</v>
      </c>
      <c r="E54" s="15" t="s">
        <v>79</v>
      </c>
      <c r="F54" s="13" t="s">
        <v>80</v>
      </c>
      <c r="G54" s="15" t="s">
        <v>81</v>
      </c>
      <c r="H54" s="13" t="s">
        <v>228</v>
      </c>
      <c r="I54" s="15" t="s">
        <v>229</v>
      </c>
      <c r="J54" s="15" t="s">
        <v>230</v>
      </c>
      <c r="K54" s="15" t="s">
        <v>231</v>
      </c>
      <c r="L54" s="13" t="s">
        <v>236</v>
      </c>
      <c r="M54" s="15" t="s">
        <v>237</v>
      </c>
      <c r="N54" s="13" t="s">
        <v>101</v>
      </c>
      <c r="O54" s="15" t="s">
        <v>102</v>
      </c>
      <c r="P54" s="15" t="s">
        <v>103</v>
      </c>
      <c r="Q54" s="15" t="s">
        <v>177</v>
      </c>
      <c r="R54" s="13" t="s">
        <v>178</v>
      </c>
      <c r="S54" s="13" t="s">
        <v>179</v>
      </c>
      <c r="T54" s="13" t="s">
        <v>112</v>
      </c>
      <c r="U54" s="14">
        <v>44634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3"/>
    </row>
    <row r="55" spans="1:41" ht="72.5" x14ac:dyDescent="0.35">
      <c r="A55" s="13" t="s">
        <v>76</v>
      </c>
      <c r="B55" s="13" t="s">
        <v>77</v>
      </c>
      <c r="C55" s="14">
        <v>43152.5</v>
      </c>
      <c r="D55" s="13" t="s">
        <v>78</v>
      </c>
      <c r="E55" s="15" t="s">
        <v>79</v>
      </c>
      <c r="F55" s="13" t="s">
        <v>80</v>
      </c>
      <c r="G55" s="15" t="s">
        <v>81</v>
      </c>
      <c r="H55" s="13" t="s">
        <v>250</v>
      </c>
      <c r="I55" s="15" t="s">
        <v>251</v>
      </c>
      <c r="J55" s="15" t="s">
        <v>252</v>
      </c>
      <c r="K55" s="15" t="s">
        <v>253</v>
      </c>
      <c r="L55" s="13" t="s">
        <v>254</v>
      </c>
      <c r="M55" s="15" t="s">
        <v>255</v>
      </c>
      <c r="N55" s="13" t="s">
        <v>88</v>
      </c>
      <c r="O55" s="15" t="s">
        <v>89</v>
      </c>
      <c r="P55" s="15" t="s">
        <v>90</v>
      </c>
      <c r="Q55" s="15" t="s">
        <v>91</v>
      </c>
      <c r="R55" s="13" t="s">
        <v>92</v>
      </c>
      <c r="S55" s="13" t="s">
        <v>93</v>
      </c>
      <c r="T55" s="13" t="s">
        <v>94</v>
      </c>
      <c r="U55" s="14">
        <v>40725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3"/>
    </row>
    <row r="56" spans="1:41" ht="72.5" x14ac:dyDescent="0.35">
      <c r="A56" s="13" t="s">
        <v>76</v>
      </c>
      <c r="B56" s="13" t="s">
        <v>77</v>
      </c>
      <c r="C56" s="14">
        <v>43152.5</v>
      </c>
      <c r="D56" s="13" t="s">
        <v>78</v>
      </c>
      <c r="E56" s="15" t="s">
        <v>79</v>
      </c>
      <c r="F56" s="13" t="s">
        <v>80</v>
      </c>
      <c r="G56" s="15" t="s">
        <v>81</v>
      </c>
      <c r="H56" s="13" t="s">
        <v>250</v>
      </c>
      <c r="I56" s="15" t="s">
        <v>251</v>
      </c>
      <c r="J56" s="15" t="s">
        <v>252</v>
      </c>
      <c r="K56" s="15" t="s">
        <v>253</v>
      </c>
      <c r="L56" s="13" t="s">
        <v>256</v>
      </c>
      <c r="M56" s="15" t="s">
        <v>257</v>
      </c>
      <c r="N56" s="13" t="s">
        <v>88</v>
      </c>
      <c r="O56" s="15" t="s">
        <v>97</v>
      </c>
      <c r="P56" s="15" t="s">
        <v>98</v>
      </c>
      <c r="Q56" s="15" t="s">
        <v>91</v>
      </c>
      <c r="R56" s="13" t="s">
        <v>92</v>
      </c>
      <c r="S56" s="13" t="s">
        <v>93</v>
      </c>
      <c r="T56" s="13" t="s">
        <v>94</v>
      </c>
      <c r="U56" s="14">
        <v>40725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3"/>
    </row>
    <row r="57" spans="1:41" ht="58" x14ac:dyDescent="0.35">
      <c r="A57" s="13" t="s">
        <v>76</v>
      </c>
      <c r="B57" s="13" t="s">
        <v>77</v>
      </c>
      <c r="C57" s="14">
        <v>43152.5</v>
      </c>
      <c r="D57" s="13" t="s">
        <v>78</v>
      </c>
      <c r="E57" s="15" t="s">
        <v>79</v>
      </c>
      <c r="F57" s="13" t="s">
        <v>80</v>
      </c>
      <c r="G57" s="15" t="s">
        <v>81</v>
      </c>
      <c r="H57" s="13" t="s">
        <v>250</v>
      </c>
      <c r="I57" s="15" t="s">
        <v>251</v>
      </c>
      <c r="J57" s="15" t="s">
        <v>252</v>
      </c>
      <c r="K57" s="15" t="s">
        <v>253</v>
      </c>
      <c r="L57" s="13" t="s">
        <v>258</v>
      </c>
      <c r="M57" s="15" t="s">
        <v>259</v>
      </c>
      <c r="N57" s="13" t="s">
        <v>101</v>
      </c>
      <c r="O57" s="15" t="s">
        <v>102</v>
      </c>
      <c r="P57" s="15" t="s">
        <v>103</v>
      </c>
      <c r="Q57" s="15" t="s">
        <v>91</v>
      </c>
      <c r="R57" s="13" t="s">
        <v>92</v>
      </c>
      <c r="S57" s="13" t="s">
        <v>93</v>
      </c>
      <c r="T57" s="13" t="s">
        <v>94</v>
      </c>
      <c r="U57" s="14">
        <v>40725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3"/>
    </row>
    <row r="58" spans="1:41" ht="72.5" x14ac:dyDescent="0.35">
      <c r="A58" s="13" t="s">
        <v>76</v>
      </c>
      <c r="B58" s="13" t="s">
        <v>77</v>
      </c>
      <c r="C58" s="14">
        <v>43152.5</v>
      </c>
      <c r="D58" s="13" t="s">
        <v>78</v>
      </c>
      <c r="E58" s="15" t="s">
        <v>79</v>
      </c>
      <c r="F58" s="13" t="s">
        <v>80</v>
      </c>
      <c r="G58" s="15" t="s">
        <v>81</v>
      </c>
      <c r="H58" s="13" t="s">
        <v>250</v>
      </c>
      <c r="I58" s="15" t="s">
        <v>251</v>
      </c>
      <c r="J58" s="15" t="s">
        <v>252</v>
      </c>
      <c r="K58" s="15" t="s">
        <v>253</v>
      </c>
      <c r="L58" s="13" t="s">
        <v>254</v>
      </c>
      <c r="M58" s="15" t="s">
        <v>255</v>
      </c>
      <c r="N58" s="13" t="s">
        <v>88</v>
      </c>
      <c r="O58" s="15" t="s">
        <v>89</v>
      </c>
      <c r="P58" s="15" t="s">
        <v>90</v>
      </c>
      <c r="Q58" s="15" t="s">
        <v>104</v>
      </c>
      <c r="R58" s="13" t="s">
        <v>105</v>
      </c>
      <c r="S58" s="13" t="s">
        <v>93</v>
      </c>
      <c r="T58" s="13" t="s">
        <v>94</v>
      </c>
      <c r="U58" s="14">
        <v>40725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3"/>
    </row>
    <row r="59" spans="1:41" ht="72.5" x14ac:dyDescent="0.35">
      <c r="A59" s="13" t="s">
        <v>76</v>
      </c>
      <c r="B59" s="13" t="s">
        <v>77</v>
      </c>
      <c r="C59" s="14">
        <v>43152.5</v>
      </c>
      <c r="D59" s="13" t="s">
        <v>78</v>
      </c>
      <c r="E59" s="15" t="s">
        <v>79</v>
      </c>
      <c r="F59" s="13" t="s">
        <v>80</v>
      </c>
      <c r="G59" s="15" t="s">
        <v>81</v>
      </c>
      <c r="H59" s="13" t="s">
        <v>250</v>
      </c>
      <c r="I59" s="15" t="s">
        <v>251</v>
      </c>
      <c r="J59" s="15" t="s">
        <v>252</v>
      </c>
      <c r="K59" s="15" t="s">
        <v>253</v>
      </c>
      <c r="L59" s="13" t="s">
        <v>256</v>
      </c>
      <c r="M59" s="15" t="s">
        <v>257</v>
      </c>
      <c r="N59" s="13" t="s">
        <v>88</v>
      </c>
      <c r="O59" s="15" t="s">
        <v>97</v>
      </c>
      <c r="P59" s="15" t="s">
        <v>98</v>
      </c>
      <c r="Q59" s="15" t="s">
        <v>104</v>
      </c>
      <c r="R59" s="13" t="s">
        <v>105</v>
      </c>
      <c r="S59" s="13" t="s">
        <v>93</v>
      </c>
      <c r="T59" s="13" t="s">
        <v>94</v>
      </c>
      <c r="U59" s="14">
        <v>40725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3"/>
    </row>
    <row r="60" spans="1:41" ht="58" x14ac:dyDescent="0.35">
      <c r="A60" s="13" t="s">
        <v>76</v>
      </c>
      <c r="B60" s="13" t="s">
        <v>77</v>
      </c>
      <c r="C60" s="14">
        <v>43152.5</v>
      </c>
      <c r="D60" s="13" t="s">
        <v>78</v>
      </c>
      <c r="E60" s="15" t="s">
        <v>79</v>
      </c>
      <c r="F60" s="13" t="s">
        <v>80</v>
      </c>
      <c r="G60" s="15" t="s">
        <v>81</v>
      </c>
      <c r="H60" s="13" t="s">
        <v>250</v>
      </c>
      <c r="I60" s="15" t="s">
        <v>251</v>
      </c>
      <c r="J60" s="15" t="s">
        <v>252</v>
      </c>
      <c r="K60" s="15" t="s">
        <v>253</v>
      </c>
      <c r="L60" s="13" t="s">
        <v>258</v>
      </c>
      <c r="M60" s="15" t="s">
        <v>259</v>
      </c>
      <c r="N60" s="13" t="s">
        <v>101</v>
      </c>
      <c r="O60" s="15" t="s">
        <v>102</v>
      </c>
      <c r="P60" s="15" t="s">
        <v>103</v>
      </c>
      <c r="Q60" s="15" t="s">
        <v>104</v>
      </c>
      <c r="R60" s="13" t="s">
        <v>105</v>
      </c>
      <c r="S60" s="13" t="s">
        <v>93</v>
      </c>
      <c r="T60" s="13" t="s">
        <v>94</v>
      </c>
      <c r="U60" s="14">
        <v>40725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3"/>
    </row>
    <row r="61" spans="1:41" ht="72.5" x14ac:dyDescent="0.35">
      <c r="A61" s="13" t="s">
        <v>76</v>
      </c>
      <c r="B61" s="13" t="s">
        <v>77</v>
      </c>
      <c r="C61" s="14">
        <v>43152.5</v>
      </c>
      <c r="D61" s="13" t="s">
        <v>78</v>
      </c>
      <c r="E61" s="15" t="s">
        <v>79</v>
      </c>
      <c r="F61" s="13" t="s">
        <v>80</v>
      </c>
      <c r="G61" s="15" t="s">
        <v>81</v>
      </c>
      <c r="H61" s="13" t="s">
        <v>250</v>
      </c>
      <c r="I61" s="15" t="s">
        <v>251</v>
      </c>
      <c r="J61" s="15" t="s">
        <v>252</v>
      </c>
      <c r="K61" s="15" t="s">
        <v>253</v>
      </c>
      <c r="L61" s="13" t="s">
        <v>254</v>
      </c>
      <c r="M61" s="15" t="s">
        <v>255</v>
      </c>
      <c r="N61" s="13" t="s">
        <v>88</v>
      </c>
      <c r="O61" s="15" t="s">
        <v>89</v>
      </c>
      <c r="P61" s="15" t="s">
        <v>90</v>
      </c>
      <c r="Q61" s="15" t="s">
        <v>106</v>
      </c>
      <c r="R61" s="13" t="s">
        <v>107</v>
      </c>
      <c r="S61" s="13" t="s">
        <v>93</v>
      </c>
      <c r="T61" s="13" t="s">
        <v>94</v>
      </c>
      <c r="U61" s="14">
        <v>40725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3"/>
    </row>
    <row r="62" spans="1:41" ht="72.5" x14ac:dyDescent="0.35">
      <c r="A62" s="13" t="s">
        <v>76</v>
      </c>
      <c r="B62" s="13" t="s">
        <v>77</v>
      </c>
      <c r="C62" s="14">
        <v>43152.5</v>
      </c>
      <c r="D62" s="13" t="s">
        <v>78</v>
      </c>
      <c r="E62" s="15" t="s">
        <v>79</v>
      </c>
      <c r="F62" s="13" t="s">
        <v>80</v>
      </c>
      <c r="G62" s="15" t="s">
        <v>81</v>
      </c>
      <c r="H62" s="13" t="s">
        <v>250</v>
      </c>
      <c r="I62" s="15" t="s">
        <v>251</v>
      </c>
      <c r="J62" s="15" t="s">
        <v>252</v>
      </c>
      <c r="K62" s="15" t="s">
        <v>253</v>
      </c>
      <c r="L62" s="13" t="s">
        <v>256</v>
      </c>
      <c r="M62" s="15" t="s">
        <v>257</v>
      </c>
      <c r="N62" s="13" t="s">
        <v>88</v>
      </c>
      <c r="O62" s="15" t="s">
        <v>97</v>
      </c>
      <c r="P62" s="15" t="s">
        <v>98</v>
      </c>
      <c r="Q62" s="15" t="s">
        <v>106</v>
      </c>
      <c r="R62" s="13" t="s">
        <v>107</v>
      </c>
      <c r="S62" s="13" t="s">
        <v>93</v>
      </c>
      <c r="T62" s="13" t="s">
        <v>94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3"/>
    </row>
    <row r="63" spans="1:41" ht="58" x14ac:dyDescent="0.35">
      <c r="A63" s="13" t="s">
        <v>76</v>
      </c>
      <c r="B63" s="13" t="s">
        <v>77</v>
      </c>
      <c r="C63" s="14">
        <v>43152.5</v>
      </c>
      <c r="D63" s="13" t="s">
        <v>78</v>
      </c>
      <c r="E63" s="15" t="s">
        <v>79</v>
      </c>
      <c r="F63" s="13" t="s">
        <v>80</v>
      </c>
      <c r="G63" s="15" t="s">
        <v>81</v>
      </c>
      <c r="H63" s="13" t="s">
        <v>250</v>
      </c>
      <c r="I63" s="15" t="s">
        <v>251</v>
      </c>
      <c r="J63" s="15" t="s">
        <v>252</v>
      </c>
      <c r="K63" s="15" t="s">
        <v>253</v>
      </c>
      <c r="L63" s="13" t="s">
        <v>258</v>
      </c>
      <c r="M63" s="15" t="s">
        <v>259</v>
      </c>
      <c r="N63" s="13" t="s">
        <v>101</v>
      </c>
      <c r="O63" s="15" t="s">
        <v>102</v>
      </c>
      <c r="P63" s="15" t="s">
        <v>103</v>
      </c>
      <c r="Q63" s="15" t="s">
        <v>106</v>
      </c>
      <c r="R63" s="13" t="s">
        <v>107</v>
      </c>
      <c r="S63" s="13" t="s">
        <v>93</v>
      </c>
      <c r="T63" s="13" t="s">
        <v>94</v>
      </c>
      <c r="U63" s="14">
        <v>40725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3"/>
    </row>
    <row r="64" spans="1:41" ht="145" x14ac:dyDescent="0.35">
      <c r="A64" s="13" t="s">
        <v>238</v>
      </c>
      <c r="B64" s="13" t="s">
        <v>109</v>
      </c>
      <c r="C64" s="14">
        <v>44368.708333333336</v>
      </c>
      <c r="D64" s="13" t="s">
        <v>78</v>
      </c>
      <c r="E64" s="15" t="s">
        <v>79</v>
      </c>
      <c r="F64" s="13" t="s">
        <v>80</v>
      </c>
      <c r="G64" s="15" t="s">
        <v>81</v>
      </c>
      <c r="H64" s="13" t="s">
        <v>250</v>
      </c>
      <c r="I64" s="15" t="s">
        <v>251</v>
      </c>
      <c r="J64" s="15" t="s">
        <v>252</v>
      </c>
      <c r="K64" s="15" t="s">
        <v>253</v>
      </c>
      <c r="L64" s="13" t="s">
        <v>254</v>
      </c>
      <c r="M64" s="15" t="s">
        <v>255</v>
      </c>
      <c r="N64" s="13" t="s">
        <v>88</v>
      </c>
      <c r="O64" s="15" t="s">
        <v>89</v>
      </c>
      <c r="P64" s="15" t="s">
        <v>90</v>
      </c>
      <c r="Q64" s="15" t="s">
        <v>110</v>
      </c>
      <c r="R64" s="13" t="s">
        <v>111</v>
      </c>
      <c r="S64" s="13" t="s">
        <v>93</v>
      </c>
      <c r="T64" s="13" t="s">
        <v>112</v>
      </c>
      <c r="U64" s="14">
        <v>40725</v>
      </c>
      <c r="V64" s="14"/>
      <c r="W64" s="15" t="s">
        <v>630</v>
      </c>
      <c r="X64" s="13" t="s">
        <v>614</v>
      </c>
      <c r="Y64" s="15" t="str">
        <f>VLOOKUP(X64,'Axe 2 Règles de gestion'!$D$2:$F$146,3, FALSE)</f>
        <v>Rémunération : L'agent ne perçoit plus son traitement.</v>
      </c>
      <c r="Z64" s="13" t="s">
        <v>616</v>
      </c>
      <c r="AA64" s="15" t="str">
        <f>VLOOKUP(Z64,'Axe 2 Règles de gestion'!$D$2:$F$146,3, FALSE)</f>
        <v>Congés annuels : L'agent ne cumule pas de droits à congé.</v>
      </c>
      <c r="AB64" s="13" t="s">
        <v>618</v>
      </c>
      <c r="AC64" s="15" t="str">
        <f>VLOOKUP(AB64,'Axe 2 Règles de gestion'!$D$2:$F$146,3, FALSE)</f>
        <v>Carrière : L'agent voit sa carrière suspendue. Il perd ses droits à l'avancement.</v>
      </c>
      <c r="AD64" s="13" t="s">
        <v>631</v>
      </c>
      <c r="AE64" s="15" t="str">
        <f>VLOOKUP(AD64,'Axe 2 Règles de gestion'!$D$2:$F$146,3, FALSE)</f>
        <v>Retraite : Les périodes de congé sans traitement ne sont pas prises en compte pour la constitution du droit à pension et la liquidation de cette dernière.</v>
      </c>
      <c r="AF64" s="13" t="s">
        <v>622</v>
      </c>
      <c r="AG64" s="15" t="str">
        <f>VLOOKUP(AF64,'Axe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64" s="13" t="s">
        <v>624</v>
      </c>
      <c r="AI64" s="15" t="str">
        <f>VLOOKUP(AH64,'Axe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64" s="13" t="s">
        <v>626</v>
      </c>
      <c r="AK64" s="15" t="str">
        <f>VLOOKUP(AJ64,'Axe 2 Règles de gestion'!$D$2:$F$146,3, FALSE)</f>
        <v>Stage : Les congés sans traitement ne sont pas comptabilisés comme temps de stage. Ils reportent donc la date de fin de stage du nombre total de jours d'absence.</v>
      </c>
      <c r="AL64" s="13" t="s">
        <v>628</v>
      </c>
      <c r="AM64" s="15" t="str">
        <f>VLOOKUP(AL64,'Axe 2 Règles de gestion'!$D$2:$F$146,3, FALSE)</f>
        <v>Acte : Un acte administratif doit être produit.</v>
      </c>
      <c r="AN64" s="13"/>
      <c r="AO64" s="13"/>
    </row>
    <row r="65" spans="1:41" ht="145" x14ac:dyDescent="0.35">
      <c r="A65" s="13" t="s">
        <v>238</v>
      </c>
      <c r="B65" s="13" t="s">
        <v>109</v>
      </c>
      <c r="C65" s="14">
        <v>44368.708333333336</v>
      </c>
      <c r="D65" s="13" t="s">
        <v>78</v>
      </c>
      <c r="E65" s="15" t="s">
        <v>79</v>
      </c>
      <c r="F65" s="13" t="s">
        <v>80</v>
      </c>
      <c r="G65" s="15" t="s">
        <v>81</v>
      </c>
      <c r="H65" s="13" t="s">
        <v>250</v>
      </c>
      <c r="I65" s="15" t="s">
        <v>251</v>
      </c>
      <c r="J65" s="15" t="s">
        <v>252</v>
      </c>
      <c r="K65" s="15" t="s">
        <v>253</v>
      </c>
      <c r="L65" s="13" t="s">
        <v>256</v>
      </c>
      <c r="M65" s="15" t="s">
        <v>257</v>
      </c>
      <c r="N65" s="13" t="s">
        <v>88</v>
      </c>
      <c r="O65" s="15" t="s">
        <v>97</v>
      </c>
      <c r="P65" s="15" t="s">
        <v>98</v>
      </c>
      <c r="Q65" s="15" t="s">
        <v>110</v>
      </c>
      <c r="R65" s="13" t="s">
        <v>111</v>
      </c>
      <c r="S65" s="13" t="s">
        <v>93</v>
      </c>
      <c r="T65" s="13" t="s">
        <v>112</v>
      </c>
      <c r="U65" s="14">
        <v>40725</v>
      </c>
      <c r="V65" s="14"/>
      <c r="W65" s="15" t="s">
        <v>630</v>
      </c>
      <c r="X65" s="13" t="s">
        <v>614</v>
      </c>
      <c r="Y65" s="15" t="str">
        <f>VLOOKUP(X65,'Axe 2 Règles de gestion'!$D$2:$F$146,3, FALSE)</f>
        <v>Rémunération : L'agent ne perçoit plus son traitement.</v>
      </c>
      <c r="Z65" s="13" t="s">
        <v>616</v>
      </c>
      <c r="AA65" s="15" t="str">
        <f>VLOOKUP(Z65,'Axe 2 Règles de gestion'!$D$2:$F$146,3, FALSE)</f>
        <v>Congés annuels : L'agent ne cumule pas de droits à congé.</v>
      </c>
      <c r="AB65" s="13" t="s">
        <v>618</v>
      </c>
      <c r="AC65" s="15" t="str">
        <f>VLOOKUP(AB65,'Axe 2 Règles de gestion'!$D$2:$F$146,3, FALSE)</f>
        <v>Carrière : L'agent voit sa carrière suspendue. Il perd ses droits à l'avancement.</v>
      </c>
      <c r="AD65" s="13" t="s">
        <v>631</v>
      </c>
      <c r="AE65" s="15" t="str">
        <f>VLOOKUP(AD65,'Axe 2 Règles de gestion'!$D$2:$F$146,3, FALSE)</f>
        <v>Retraite : Les périodes de congé sans traitement ne sont pas prises en compte pour la constitution du droit à pension et la liquidation de cette dernière.</v>
      </c>
      <c r="AF65" s="13" t="s">
        <v>622</v>
      </c>
      <c r="AG65" s="15" t="str">
        <f>VLOOKUP(AF65,'Axe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65" s="13" t="s">
        <v>624</v>
      </c>
      <c r="AI65" s="15" t="str">
        <f>VLOOKUP(AH65,'Axe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65" s="13" t="s">
        <v>626</v>
      </c>
      <c r="AK65" s="15" t="str">
        <f>VLOOKUP(AJ65,'Axe 2 Règles de gestion'!$D$2:$F$146,3, FALSE)</f>
        <v>Stage : Les congés sans traitement ne sont pas comptabilisés comme temps de stage. Ils reportent donc la date de fin de stage du nombre total de jours d'absence.</v>
      </c>
      <c r="AL65" s="13" t="s">
        <v>628</v>
      </c>
      <c r="AM65" s="15" t="str">
        <f>VLOOKUP(AL65,'Axe 2 Règles de gestion'!$D$2:$F$146,3, FALSE)</f>
        <v>Acte : Un acte administratif doit être produit.</v>
      </c>
      <c r="AN65" s="13"/>
      <c r="AO65" s="13"/>
    </row>
    <row r="66" spans="1:41" ht="58" x14ac:dyDescent="0.35">
      <c r="A66" s="13" t="s">
        <v>165</v>
      </c>
      <c r="B66" s="13" t="s">
        <v>109</v>
      </c>
      <c r="C66" s="14">
        <v>44715.397916666669</v>
      </c>
      <c r="D66" s="13" t="s">
        <v>78</v>
      </c>
      <c r="E66" s="15" t="s">
        <v>79</v>
      </c>
      <c r="F66" s="13" t="s">
        <v>80</v>
      </c>
      <c r="G66" s="15" t="s">
        <v>81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258</v>
      </c>
      <c r="M66" s="15" t="s">
        <v>259</v>
      </c>
      <c r="N66" s="13" t="s">
        <v>101</v>
      </c>
      <c r="O66" s="15" t="s">
        <v>102</v>
      </c>
      <c r="P66" s="15" t="s">
        <v>103</v>
      </c>
      <c r="Q66" s="15" t="s">
        <v>110</v>
      </c>
      <c r="R66" s="13" t="s">
        <v>111</v>
      </c>
      <c r="S66" s="13" t="s">
        <v>93</v>
      </c>
      <c r="T66" s="13" t="s">
        <v>112</v>
      </c>
      <c r="U66" s="14">
        <v>40725</v>
      </c>
      <c r="V66" s="14">
        <v>44633</v>
      </c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3"/>
    </row>
    <row r="67" spans="1:41" ht="58" x14ac:dyDescent="0.35">
      <c r="A67" s="13" t="s">
        <v>165</v>
      </c>
      <c r="B67" s="13" t="s">
        <v>77</v>
      </c>
      <c r="C67" s="14">
        <v>44715.398611111108</v>
      </c>
      <c r="D67" s="13" t="s">
        <v>78</v>
      </c>
      <c r="E67" s="15" t="s">
        <v>79</v>
      </c>
      <c r="F67" s="13" t="s">
        <v>80</v>
      </c>
      <c r="G67" s="15" t="s">
        <v>81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258</v>
      </c>
      <c r="M67" s="15" t="s">
        <v>259</v>
      </c>
      <c r="N67" s="13" t="s">
        <v>101</v>
      </c>
      <c r="O67" s="15" t="s">
        <v>102</v>
      </c>
      <c r="P67" s="15" t="s">
        <v>103</v>
      </c>
      <c r="Q67" s="15" t="s">
        <v>110</v>
      </c>
      <c r="R67" s="13" t="s">
        <v>111</v>
      </c>
      <c r="S67" s="13" t="s">
        <v>93</v>
      </c>
      <c r="T67" s="13" t="s">
        <v>112</v>
      </c>
      <c r="U67" s="14">
        <v>44634</v>
      </c>
      <c r="V67" s="14"/>
      <c r="W67" s="15"/>
      <c r="X67" s="13"/>
      <c r="Y67" s="15"/>
      <c r="Z67" s="13"/>
      <c r="AA67" s="15"/>
      <c r="AB67" s="13"/>
      <c r="AC67" s="15"/>
      <c r="AD67" s="13"/>
      <c r="AE67" s="15"/>
      <c r="AF67" s="13"/>
      <c r="AG67" s="15"/>
      <c r="AH67" s="13"/>
      <c r="AI67" s="15"/>
      <c r="AJ67" s="13"/>
      <c r="AK67" s="15"/>
      <c r="AL67" s="13"/>
      <c r="AM67" s="15"/>
      <c r="AN67" s="13"/>
      <c r="AO67" s="13"/>
    </row>
    <row r="68" spans="1:41" ht="72.5" x14ac:dyDescent="0.35">
      <c r="A68" s="13" t="s">
        <v>76</v>
      </c>
      <c r="B68" s="13" t="s">
        <v>77</v>
      </c>
      <c r="C68" s="14">
        <v>43152.5</v>
      </c>
      <c r="D68" s="13" t="s">
        <v>78</v>
      </c>
      <c r="E68" s="15" t="s">
        <v>79</v>
      </c>
      <c r="F68" s="13" t="s">
        <v>80</v>
      </c>
      <c r="G68" s="15" t="s">
        <v>81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88</v>
      </c>
      <c r="O68" s="15" t="s">
        <v>89</v>
      </c>
      <c r="P68" s="15" t="s">
        <v>90</v>
      </c>
      <c r="Q68" s="15" t="s">
        <v>175</v>
      </c>
      <c r="R68" s="13" t="s">
        <v>176</v>
      </c>
      <c r="S68" s="13" t="s">
        <v>93</v>
      </c>
      <c r="T68" s="13" t="s">
        <v>94</v>
      </c>
      <c r="U68" s="14">
        <v>40725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/>
      <c r="AO68" s="13"/>
    </row>
    <row r="69" spans="1:41" ht="72.5" x14ac:dyDescent="0.35">
      <c r="A69" s="13" t="s">
        <v>76</v>
      </c>
      <c r="B69" s="13" t="s">
        <v>77</v>
      </c>
      <c r="C69" s="14">
        <v>43152.5</v>
      </c>
      <c r="D69" s="13" t="s">
        <v>78</v>
      </c>
      <c r="E69" s="15" t="s">
        <v>79</v>
      </c>
      <c r="F69" s="13" t="s">
        <v>80</v>
      </c>
      <c r="G69" s="15" t="s">
        <v>81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256</v>
      </c>
      <c r="M69" s="15" t="s">
        <v>257</v>
      </c>
      <c r="N69" s="13" t="s">
        <v>88</v>
      </c>
      <c r="O69" s="15" t="s">
        <v>97</v>
      </c>
      <c r="P69" s="15" t="s">
        <v>98</v>
      </c>
      <c r="Q69" s="15" t="s">
        <v>175</v>
      </c>
      <c r="R69" s="13" t="s">
        <v>176</v>
      </c>
      <c r="S69" s="13" t="s">
        <v>93</v>
      </c>
      <c r="T69" s="13" t="s">
        <v>94</v>
      </c>
      <c r="U69" s="14">
        <v>40725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/>
      <c r="AO69" s="13"/>
    </row>
    <row r="70" spans="1:41" ht="58" x14ac:dyDescent="0.35">
      <c r="A70" s="13" t="s">
        <v>76</v>
      </c>
      <c r="B70" s="13" t="s">
        <v>77</v>
      </c>
      <c r="C70" s="14">
        <v>43152.5</v>
      </c>
      <c r="D70" s="13" t="s">
        <v>78</v>
      </c>
      <c r="E70" s="15" t="s">
        <v>79</v>
      </c>
      <c r="F70" s="13" t="s">
        <v>80</v>
      </c>
      <c r="G70" s="15" t="s">
        <v>81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258</v>
      </c>
      <c r="M70" s="15" t="s">
        <v>259</v>
      </c>
      <c r="N70" s="13" t="s">
        <v>101</v>
      </c>
      <c r="O70" s="15" t="s">
        <v>102</v>
      </c>
      <c r="P70" s="15" t="s">
        <v>103</v>
      </c>
      <c r="Q70" s="15" t="s">
        <v>175</v>
      </c>
      <c r="R70" s="13" t="s">
        <v>176</v>
      </c>
      <c r="S70" s="13" t="s">
        <v>93</v>
      </c>
      <c r="T70" s="13" t="s">
        <v>94</v>
      </c>
      <c r="U70" s="14">
        <v>40725</v>
      </c>
      <c r="V70" s="14"/>
      <c r="W70" s="15"/>
      <c r="X70" s="13"/>
      <c r="Y70" s="15"/>
      <c r="Z70" s="13"/>
      <c r="AA70" s="15"/>
      <c r="AB70" s="13"/>
      <c r="AC70" s="15"/>
      <c r="AD70" s="13"/>
      <c r="AE70" s="15"/>
      <c r="AF70" s="13"/>
      <c r="AG70" s="15"/>
      <c r="AH70" s="13"/>
      <c r="AI70" s="15"/>
      <c r="AJ70" s="13"/>
      <c r="AK70" s="15"/>
      <c r="AL70" s="13"/>
      <c r="AM70" s="15"/>
      <c r="AN70" s="13"/>
      <c r="AO70" s="13"/>
    </row>
    <row r="71" spans="1:41" ht="72.5" x14ac:dyDescent="0.35">
      <c r="A71" s="13" t="s">
        <v>238</v>
      </c>
      <c r="B71" s="13" t="s">
        <v>109</v>
      </c>
      <c r="C71" s="14">
        <v>44368.708333333336</v>
      </c>
      <c r="D71" s="13" t="s">
        <v>78</v>
      </c>
      <c r="E71" s="15" t="s">
        <v>79</v>
      </c>
      <c r="F71" s="13" t="s">
        <v>80</v>
      </c>
      <c r="G71" s="15" t="s">
        <v>81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254</v>
      </c>
      <c r="M71" s="15" t="s">
        <v>255</v>
      </c>
      <c r="N71" s="13" t="s">
        <v>88</v>
      </c>
      <c r="O71" s="15" t="s">
        <v>89</v>
      </c>
      <c r="P71" s="15" t="s">
        <v>90</v>
      </c>
      <c r="Q71" s="15" t="s">
        <v>177</v>
      </c>
      <c r="R71" s="13" t="s">
        <v>178</v>
      </c>
      <c r="S71" s="13" t="s">
        <v>179</v>
      </c>
      <c r="T71" s="13" t="s">
        <v>112</v>
      </c>
      <c r="U71" s="14">
        <v>40725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  <c r="AF71" s="13"/>
      <c r="AG71" s="15"/>
      <c r="AH71" s="13"/>
      <c r="AI71" s="15"/>
      <c r="AJ71" s="13"/>
      <c r="AK71" s="15"/>
      <c r="AL71" s="13"/>
      <c r="AM71" s="15"/>
      <c r="AN71" s="13"/>
      <c r="AO71" s="13"/>
    </row>
    <row r="72" spans="1:41" ht="72.5" x14ac:dyDescent="0.35">
      <c r="A72" s="13" t="s">
        <v>238</v>
      </c>
      <c r="B72" s="13" t="s">
        <v>109</v>
      </c>
      <c r="C72" s="14">
        <v>44368.708333333336</v>
      </c>
      <c r="D72" s="13" t="s">
        <v>78</v>
      </c>
      <c r="E72" s="15" t="s">
        <v>79</v>
      </c>
      <c r="F72" s="13" t="s">
        <v>80</v>
      </c>
      <c r="G72" s="15" t="s">
        <v>81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256</v>
      </c>
      <c r="M72" s="15" t="s">
        <v>257</v>
      </c>
      <c r="N72" s="13" t="s">
        <v>88</v>
      </c>
      <c r="O72" s="15" t="s">
        <v>97</v>
      </c>
      <c r="P72" s="15" t="s">
        <v>98</v>
      </c>
      <c r="Q72" s="15" t="s">
        <v>177</v>
      </c>
      <c r="R72" s="13" t="s">
        <v>178</v>
      </c>
      <c r="S72" s="13" t="s">
        <v>179</v>
      </c>
      <c r="T72" s="13" t="s">
        <v>112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3"/>
    </row>
    <row r="73" spans="1:41" ht="58" x14ac:dyDescent="0.35">
      <c r="A73" s="13" t="s">
        <v>165</v>
      </c>
      <c r="B73" s="13" t="s">
        <v>109</v>
      </c>
      <c r="C73" s="14">
        <v>44715.4</v>
      </c>
      <c r="D73" s="13" t="s">
        <v>78</v>
      </c>
      <c r="E73" s="15" t="s">
        <v>79</v>
      </c>
      <c r="F73" s="13" t="s">
        <v>80</v>
      </c>
      <c r="G73" s="15" t="s">
        <v>81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258</v>
      </c>
      <c r="M73" s="15" t="s">
        <v>259</v>
      </c>
      <c r="N73" s="13" t="s">
        <v>101</v>
      </c>
      <c r="O73" s="15" t="s">
        <v>102</v>
      </c>
      <c r="P73" s="15" t="s">
        <v>103</v>
      </c>
      <c r="Q73" s="15" t="s">
        <v>177</v>
      </c>
      <c r="R73" s="13" t="s">
        <v>178</v>
      </c>
      <c r="S73" s="13" t="s">
        <v>179</v>
      </c>
      <c r="T73" s="13" t="s">
        <v>112</v>
      </c>
      <c r="U73" s="14">
        <v>40725</v>
      </c>
      <c r="V73" s="14">
        <v>44633</v>
      </c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3"/>
    </row>
    <row r="74" spans="1:41" ht="58" x14ac:dyDescent="0.35">
      <c r="A74" s="13" t="s">
        <v>165</v>
      </c>
      <c r="B74" s="13" t="s">
        <v>77</v>
      </c>
      <c r="C74" s="14">
        <v>44715.400694444441</v>
      </c>
      <c r="D74" s="13" t="s">
        <v>78</v>
      </c>
      <c r="E74" s="15" t="s">
        <v>79</v>
      </c>
      <c r="F74" s="13" t="s">
        <v>80</v>
      </c>
      <c r="G74" s="15" t="s">
        <v>81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258</v>
      </c>
      <c r="M74" s="15" t="s">
        <v>259</v>
      </c>
      <c r="N74" s="13" t="s">
        <v>101</v>
      </c>
      <c r="O74" s="15" t="s">
        <v>102</v>
      </c>
      <c r="P74" s="15" t="s">
        <v>103</v>
      </c>
      <c r="Q74" s="15" t="s">
        <v>177</v>
      </c>
      <c r="R74" s="13" t="s">
        <v>178</v>
      </c>
      <c r="S74" s="13" t="s">
        <v>179</v>
      </c>
      <c r="T74" s="13" t="s">
        <v>112</v>
      </c>
      <c r="U74" s="14">
        <v>44634</v>
      </c>
      <c r="V74" s="14"/>
      <c r="W74" s="15"/>
      <c r="X74" s="13"/>
      <c r="Y74" s="15"/>
      <c r="Z74" s="13"/>
      <c r="AA74" s="15"/>
      <c r="AB74" s="13"/>
      <c r="AC74" s="15"/>
      <c r="AD74" s="13"/>
      <c r="AE74" s="15"/>
      <c r="AF74" s="13"/>
      <c r="AG74" s="15"/>
      <c r="AH74" s="13"/>
      <c r="AI74" s="15"/>
      <c r="AJ74" s="13"/>
      <c r="AK74" s="15"/>
      <c r="AL74" s="13"/>
      <c r="AM74" s="15"/>
      <c r="AN74" s="13"/>
      <c r="AO74" s="13"/>
    </row>
    <row r="75" spans="1:41" ht="72.5" x14ac:dyDescent="0.35">
      <c r="A75" s="13" t="s">
        <v>76</v>
      </c>
      <c r="B75" s="13" t="s">
        <v>77</v>
      </c>
      <c r="C75" s="14">
        <v>43152.5</v>
      </c>
      <c r="D75" s="13" t="s">
        <v>78</v>
      </c>
      <c r="E75" s="15" t="s">
        <v>79</v>
      </c>
      <c r="F75" s="13" t="s">
        <v>80</v>
      </c>
      <c r="G75" s="15" t="s">
        <v>81</v>
      </c>
      <c r="H75" s="13" t="s">
        <v>268</v>
      </c>
      <c r="I75" s="15" t="s">
        <v>269</v>
      </c>
      <c r="J75" s="15" t="s">
        <v>270</v>
      </c>
      <c r="K75" s="15" t="s">
        <v>271</v>
      </c>
      <c r="L75" s="13" t="s">
        <v>272</v>
      </c>
      <c r="M75" s="15" t="s">
        <v>273</v>
      </c>
      <c r="N75" s="13" t="s">
        <v>88</v>
      </c>
      <c r="O75" s="15" t="s">
        <v>89</v>
      </c>
      <c r="P75" s="15" t="s">
        <v>90</v>
      </c>
      <c r="Q75" s="15" t="s">
        <v>91</v>
      </c>
      <c r="R75" s="13" t="s">
        <v>92</v>
      </c>
      <c r="S75" s="13" t="s">
        <v>93</v>
      </c>
      <c r="T75" s="13" t="s">
        <v>94</v>
      </c>
      <c r="U75" s="14">
        <v>40725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3"/>
    </row>
    <row r="76" spans="1:41" ht="72.5" x14ac:dyDescent="0.35">
      <c r="A76" s="13" t="s">
        <v>76</v>
      </c>
      <c r="B76" s="13" t="s">
        <v>77</v>
      </c>
      <c r="C76" s="14">
        <v>43152.5</v>
      </c>
      <c r="D76" s="13" t="s">
        <v>78</v>
      </c>
      <c r="E76" s="15" t="s">
        <v>79</v>
      </c>
      <c r="F76" s="13" t="s">
        <v>80</v>
      </c>
      <c r="G76" s="15" t="s">
        <v>81</v>
      </c>
      <c r="H76" s="13" t="s">
        <v>268</v>
      </c>
      <c r="I76" s="15" t="s">
        <v>269</v>
      </c>
      <c r="J76" s="15" t="s">
        <v>270</v>
      </c>
      <c r="K76" s="15" t="s">
        <v>271</v>
      </c>
      <c r="L76" s="13" t="s">
        <v>274</v>
      </c>
      <c r="M76" s="15" t="s">
        <v>275</v>
      </c>
      <c r="N76" s="13" t="s">
        <v>88</v>
      </c>
      <c r="O76" s="15" t="s">
        <v>97</v>
      </c>
      <c r="P76" s="15" t="s">
        <v>98</v>
      </c>
      <c r="Q76" s="15" t="s">
        <v>91</v>
      </c>
      <c r="R76" s="13" t="s">
        <v>92</v>
      </c>
      <c r="S76" s="13" t="s">
        <v>93</v>
      </c>
      <c r="T76" s="13" t="s">
        <v>94</v>
      </c>
      <c r="U76" s="14">
        <v>40725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5"/>
      <c r="AH76" s="13"/>
      <c r="AI76" s="15"/>
      <c r="AJ76" s="13"/>
      <c r="AK76" s="15"/>
      <c r="AL76" s="13"/>
      <c r="AM76" s="15"/>
      <c r="AN76" s="13"/>
      <c r="AO76" s="13"/>
    </row>
    <row r="77" spans="1:41" ht="58" x14ac:dyDescent="0.35">
      <c r="A77" s="13" t="s">
        <v>76</v>
      </c>
      <c r="B77" s="13" t="s">
        <v>77</v>
      </c>
      <c r="C77" s="14">
        <v>43152.5</v>
      </c>
      <c r="D77" s="13" t="s">
        <v>78</v>
      </c>
      <c r="E77" s="15" t="s">
        <v>79</v>
      </c>
      <c r="F77" s="13" t="s">
        <v>80</v>
      </c>
      <c r="G77" s="15" t="s">
        <v>81</v>
      </c>
      <c r="H77" s="13" t="s">
        <v>268</v>
      </c>
      <c r="I77" s="15" t="s">
        <v>269</v>
      </c>
      <c r="J77" s="15" t="s">
        <v>270</v>
      </c>
      <c r="K77" s="15" t="s">
        <v>271</v>
      </c>
      <c r="L77" s="13" t="s">
        <v>276</v>
      </c>
      <c r="M77" s="15" t="s">
        <v>277</v>
      </c>
      <c r="N77" s="13" t="s">
        <v>101</v>
      </c>
      <c r="O77" s="15" t="s">
        <v>102</v>
      </c>
      <c r="P77" s="15" t="s">
        <v>103</v>
      </c>
      <c r="Q77" s="15" t="s">
        <v>91</v>
      </c>
      <c r="R77" s="13" t="s">
        <v>92</v>
      </c>
      <c r="S77" s="13" t="s">
        <v>93</v>
      </c>
      <c r="T77" s="13" t="s">
        <v>94</v>
      </c>
      <c r="U77" s="14">
        <v>40725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/>
      <c r="AO77" s="13"/>
    </row>
    <row r="78" spans="1:41" ht="72.5" x14ac:dyDescent="0.35">
      <c r="A78" s="13" t="s">
        <v>76</v>
      </c>
      <c r="B78" s="13" t="s">
        <v>77</v>
      </c>
      <c r="C78" s="14">
        <v>43152.5</v>
      </c>
      <c r="D78" s="13" t="s">
        <v>78</v>
      </c>
      <c r="E78" s="15" t="s">
        <v>79</v>
      </c>
      <c r="F78" s="13" t="s">
        <v>80</v>
      </c>
      <c r="G78" s="15" t="s">
        <v>81</v>
      </c>
      <c r="H78" s="13" t="s">
        <v>268</v>
      </c>
      <c r="I78" s="15" t="s">
        <v>269</v>
      </c>
      <c r="J78" s="15" t="s">
        <v>270</v>
      </c>
      <c r="K78" s="15" t="s">
        <v>271</v>
      </c>
      <c r="L78" s="13" t="s">
        <v>272</v>
      </c>
      <c r="M78" s="15" t="s">
        <v>273</v>
      </c>
      <c r="N78" s="13" t="s">
        <v>88</v>
      </c>
      <c r="O78" s="15" t="s">
        <v>89</v>
      </c>
      <c r="P78" s="15" t="s">
        <v>90</v>
      </c>
      <c r="Q78" s="15" t="s">
        <v>104</v>
      </c>
      <c r="R78" s="13" t="s">
        <v>105</v>
      </c>
      <c r="S78" s="13" t="s">
        <v>93</v>
      </c>
      <c r="T78" s="13" t="s">
        <v>94</v>
      </c>
      <c r="U78" s="14">
        <v>40725</v>
      </c>
      <c r="V78" s="14"/>
      <c r="W78" s="15"/>
      <c r="X78" s="13"/>
      <c r="Y78" s="15"/>
      <c r="Z78" s="13"/>
      <c r="AA78" s="15"/>
      <c r="AB78" s="13"/>
      <c r="AC78" s="15"/>
      <c r="AD78" s="13"/>
      <c r="AE78" s="15"/>
      <c r="AF78" s="13"/>
      <c r="AG78" s="15"/>
      <c r="AH78" s="13"/>
      <c r="AI78" s="15"/>
      <c r="AJ78" s="13"/>
      <c r="AK78" s="15"/>
      <c r="AL78" s="13"/>
      <c r="AM78" s="15"/>
      <c r="AN78" s="13"/>
      <c r="AO78" s="13"/>
    </row>
    <row r="79" spans="1:41" ht="72.5" x14ac:dyDescent="0.35">
      <c r="A79" s="13" t="s">
        <v>76</v>
      </c>
      <c r="B79" s="13" t="s">
        <v>77</v>
      </c>
      <c r="C79" s="14">
        <v>43152.5</v>
      </c>
      <c r="D79" s="13" t="s">
        <v>78</v>
      </c>
      <c r="E79" s="15" t="s">
        <v>79</v>
      </c>
      <c r="F79" s="13" t="s">
        <v>80</v>
      </c>
      <c r="G79" s="15" t="s">
        <v>81</v>
      </c>
      <c r="H79" s="13" t="s">
        <v>268</v>
      </c>
      <c r="I79" s="15" t="s">
        <v>269</v>
      </c>
      <c r="J79" s="15" t="s">
        <v>270</v>
      </c>
      <c r="K79" s="15" t="s">
        <v>271</v>
      </c>
      <c r="L79" s="13" t="s">
        <v>274</v>
      </c>
      <c r="M79" s="15" t="s">
        <v>275</v>
      </c>
      <c r="N79" s="13" t="s">
        <v>88</v>
      </c>
      <c r="O79" s="15" t="s">
        <v>97</v>
      </c>
      <c r="P79" s="15" t="s">
        <v>98</v>
      </c>
      <c r="Q79" s="15" t="s">
        <v>104</v>
      </c>
      <c r="R79" s="13" t="s">
        <v>105</v>
      </c>
      <c r="S79" s="13" t="s">
        <v>93</v>
      </c>
      <c r="T79" s="13" t="s">
        <v>94</v>
      </c>
      <c r="U79" s="14">
        <v>40725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/>
      <c r="AO79" s="13"/>
    </row>
    <row r="80" spans="1:41" ht="58" x14ac:dyDescent="0.35">
      <c r="A80" s="13" t="s">
        <v>76</v>
      </c>
      <c r="B80" s="13" t="s">
        <v>77</v>
      </c>
      <c r="C80" s="14">
        <v>43152.5</v>
      </c>
      <c r="D80" s="13" t="s">
        <v>78</v>
      </c>
      <c r="E80" s="15" t="s">
        <v>79</v>
      </c>
      <c r="F80" s="13" t="s">
        <v>80</v>
      </c>
      <c r="G80" s="15" t="s">
        <v>81</v>
      </c>
      <c r="H80" s="13" t="s">
        <v>268</v>
      </c>
      <c r="I80" s="15" t="s">
        <v>269</v>
      </c>
      <c r="J80" s="15" t="s">
        <v>270</v>
      </c>
      <c r="K80" s="15" t="s">
        <v>271</v>
      </c>
      <c r="L80" s="13" t="s">
        <v>276</v>
      </c>
      <c r="M80" s="15" t="s">
        <v>277</v>
      </c>
      <c r="N80" s="13" t="s">
        <v>101</v>
      </c>
      <c r="O80" s="15" t="s">
        <v>102</v>
      </c>
      <c r="P80" s="15" t="s">
        <v>103</v>
      </c>
      <c r="Q80" s="15" t="s">
        <v>104</v>
      </c>
      <c r="R80" s="13" t="s">
        <v>105</v>
      </c>
      <c r="S80" s="13" t="s">
        <v>93</v>
      </c>
      <c r="T80" s="13" t="s">
        <v>94</v>
      </c>
      <c r="U80" s="14">
        <v>40725</v>
      </c>
      <c r="V80" s="14"/>
      <c r="W80" s="15"/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3"/>
    </row>
    <row r="81" spans="1:41" ht="72.5" x14ac:dyDescent="0.35">
      <c r="A81" s="13" t="s">
        <v>76</v>
      </c>
      <c r="B81" s="13" t="s">
        <v>77</v>
      </c>
      <c r="C81" s="14">
        <v>43152.5</v>
      </c>
      <c r="D81" s="13" t="s">
        <v>78</v>
      </c>
      <c r="E81" s="15" t="s">
        <v>79</v>
      </c>
      <c r="F81" s="13" t="s">
        <v>80</v>
      </c>
      <c r="G81" s="15" t="s">
        <v>81</v>
      </c>
      <c r="H81" s="13" t="s">
        <v>268</v>
      </c>
      <c r="I81" s="15" t="s">
        <v>269</v>
      </c>
      <c r="J81" s="15" t="s">
        <v>270</v>
      </c>
      <c r="K81" s="15" t="s">
        <v>271</v>
      </c>
      <c r="L81" s="13" t="s">
        <v>272</v>
      </c>
      <c r="M81" s="15" t="s">
        <v>273</v>
      </c>
      <c r="N81" s="13" t="s">
        <v>88</v>
      </c>
      <c r="O81" s="15" t="s">
        <v>89</v>
      </c>
      <c r="P81" s="15" t="s">
        <v>90</v>
      </c>
      <c r="Q81" s="15" t="s">
        <v>106</v>
      </c>
      <c r="R81" s="13" t="s">
        <v>107</v>
      </c>
      <c r="S81" s="13" t="s">
        <v>93</v>
      </c>
      <c r="T81" s="13" t="s">
        <v>94</v>
      </c>
      <c r="U81" s="14">
        <v>40725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/>
      <c r="AK81" s="15"/>
      <c r="AL81" s="13"/>
      <c r="AM81" s="15"/>
      <c r="AN81" s="13"/>
      <c r="AO81" s="13"/>
    </row>
    <row r="82" spans="1:41" ht="72.5" x14ac:dyDescent="0.35">
      <c r="A82" s="13" t="s">
        <v>76</v>
      </c>
      <c r="B82" s="13" t="s">
        <v>77</v>
      </c>
      <c r="C82" s="14">
        <v>43152.5</v>
      </c>
      <c r="D82" s="13" t="s">
        <v>78</v>
      </c>
      <c r="E82" s="15" t="s">
        <v>79</v>
      </c>
      <c r="F82" s="13" t="s">
        <v>80</v>
      </c>
      <c r="G82" s="15" t="s">
        <v>81</v>
      </c>
      <c r="H82" s="13" t="s">
        <v>268</v>
      </c>
      <c r="I82" s="15" t="s">
        <v>269</v>
      </c>
      <c r="J82" s="15" t="s">
        <v>270</v>
      </c>
      <c r="K82" s="15" t="s">
        <v>271</v>
      </c>
      <c r="L82" s="13" t="s">
        <v>274</v>
      </c>
      <c r="M82" s="15" t="s">
        <v>275</v>
      </c>
      <c r="N82" s="13" t="s">
        <v>88</v>
      </c>
      <c r="O82" s="15" t="s">
        <v>97</v>
      </c>
      <c r="P82" s="15" t="s">
        <v>98</v>
      </c>
      <c r="Q82" s="15" t="s">
        <v>106</v>
      </c>
      <c r="R82" s="13" t="s">
        <v>107</v>
      </c>
      <c r="S82" s="13" t="s">
        <v>93</v>
      </c>
      <c r="T82" s="13" t="s">
        <v>94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3"/>
    </row>
    <row r="83" spans="1:41" ht="58" x14ac:dyDescent="0.35">
      <c r="A83" s="13" t="s">
        <v>76</v>
      </c>
      <c r="B83" s="13" t="s">
        <v>77</v>
      </c>
      <c r="C83" s="14">
        <v>43152.5</v>
      </c>
      <c r="D83" s="13" t="s">
        <v>78</v>
      </c>
      <c r="E83" s="15" t="s">
        <v>79</v>
      </c>
      <c r="F83" s="13" t="s">
        <v>80</v>
      </c>
      <c r="G83" s="15" t="s">
        <v>81</v>
      </c>
      <c r="H83" s="13" t="s">
        <v>268</v>
      </c>
      <c r="I83" s="15" t="s">
        <v>269</v>
      </c>
      <c r="J83" s="15" t="s">
        <v>270</v>
      </c>
      <c r="K83" s="15" t="s">
        <v>271</v>
      </c>
      <c r="L83" s="13" t="s">
        <v>276</v>
      </c>
      <c r="M83" s="15" t="s">
        <v>277</v>
      </c>
      <c r="N83" s="13" t="s">
        <v>101</v>
      </c>
      <c r="O83" s="15" t="s">
        <v>102</v>
      </c>
      <c r="P83" s="15" t="s">
        <v>103</v>
      </c>
      <c r="Q83" s="15" t="s">
        <v>106</v>
      </c>
      <c r="R83" s="13" t="s">
        <v>107</v>
      </c>
      <c r="S83" s="13" t="s">
        <v>93</v>
      </c>
      <c r="T83" s="13" t="s">
        <v>94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3"/>
    </row>
    <row r="84" spans="1:41" ht="145" x14ac:dyDescent="0.35">
      <c r="A84" s="13" t="s">
        <v>238</v>
      </c>
      <c r="B84" s="13" t="s">
        <v>109</v>
      </c>
      <c r="C84" s="14">
        <v>44368.708333333336</v>
      </c>
      <c r="D84" s="13" t="s">
        <v>78</v>
      </c>
      <c r="E84" s="15" t="s">
        <v>79</v>
      </c>
      <c r="F84" s="13" t="s">
        <v>80</v>
      </c>
      <c r="G84" s="15" t="s">
        <v>81</v>
      </c>
      <c r="H84" s="13" t="s">
        <v>268</v>
      </c>
      <c r="I84" s="15" t="s">
        <v>269</v>
      </c>
      <c r="J84" s="15" t="s">
        <v>270</v>
      </c>
      <c r="K84" s="15" t="s">
        <v>271</v>
      </c>
      <c r="L84" s="13" t="s">
        <v>272</v>
      </c>
      <c r="M84" s="15" t="s">
        <v>273</v>
      </c>
      <c r="N84" s="13" t="s">
        <v>88</v>
      </c>
      <c r="O84" s="15" t="s">
        <v>89</v>
      </c>
      <c r="P84" s="15" t="s">
        <v>90</v>
      </c>
      <c r="Q84" s="15" t="s">
        <v>110</v>
      </c>
      <c r="R84" s="13" t="s">
        <v>111</v>
      </c>
      <c r="S84" s="13" t="s">
        <v>93</v>
      </c>
      <c r="T84" s="13" t="s">
        <v>112</v>
      </c>
      <c r="U84" s="14">
        <v>40725</v>
      </c>
      <c r="V84" s="14"/>
      <c r="W84" s="15" t="s">
        <v>630</v>
      </c>
      <c r="X84" s="13" t="s">
        <v>614</v>
      </c>
      <c r="Y84" s="15" t="str">
        <f>VLOOKUP(X84,'Axe 2 Règles de gestion'!$D$2:$F$146,3, FALSE)</f>
        <v>Rémunération : L'agent ne perçoit plus son traitement.</v>
      </c>
      <c r="Z84" s="13" t="s">
        <v>616</v>
      </c>
      <c r="AA84" s="15" t="str">
        <f>VLOOKUP(Z84,'Axe 2 Règles de gestion'!$D$2:$F$146,3, FALSE)</f>
        <v>Congés annuels : L'agent ne cumule pas de droits à congé.</v>
      </c>
      <c r="AB84" s="13" t="s">
        <v>618</v>
      </c>
      <c r="AC84" s="15" t="str">
        <f>VLOOKUP(AB84,'Axe 2 Règles de gestion'!$D$2:$F$146,3, FALSE)</f>
        <v>Carrière : L'agent voit sa carrière suspendue. Il perd ses droits à l'avancement.</v>
      </c>
      <c r="AD84" s="13" t="s">
        <v>631</v>
      </c>
      <c r="AE84" s="15" t="str">
        <f>VLOOKUP(AD84,'Axe 2 Règles de gestion'!$D$2:$F$146,3, FALSE)</f>
        <v>Retraite : Les périodes de congé sans traitement ne sont pas prises en compte pour la constitution du droit à pension et la liquidation de cette dernière.</v>
      </c>
      <c r="AF84" s="13" t="s">
        <v>622</v>
      </c>
      <c r="AG84" s="15" t="str">
        <f>VLOOKUP(AF84,'Axe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84" s="13" t="s">
        <v>624</v>
      </c>
      <c r="AI84" s="15" t="str">
        <f>VLOOKUP(AH84,'Axe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84" s="13" t="s">
        <v>626</v>
      </c>
      <c r="AK84" s="15" t="str">
        <f>VLOOKUP(AJ84,'Axe 2 Règles de gestion'!$D$2:$F$146,3, FALSE)</f>
        <v>Stage : Les congés sans traitement ne sont pas comptabilisés comme temps de stage. Ils reportent donc la date de fin de stage du nombre total de jours d'absence.</v>
      </c>
      <c r="AL84" s="13" t="s">
        <v>628</v>
      </c>
      <c r="AM84" s="15" t="str">
        <f>VLOOKUP(AL84,'Axe 2 Règles de gestion'!$D$2:$F$146,3, FALSE)</f>
        <v>Acte : Un acte administratif doit être produit.</v>
      </c>
      <c r="AN84" s="13"/>
      <c r="AO84" s="13"/>
    </row>
    <row r="85" spans="1:41" ht="145" x14ac:dyDescent="0.35">
      <c r="A85" s="13" t="s">
        <v>238</v>
      </c>
      <c r="B85" s="13" t="s">
        <v>109</v>
      </c>
      <c r="C85" s="14">
        <v>44368.708333333336</v>
      </c>
      <c r="D85" s="13" t="s">
        <v>78</v>
      </c>
      <c r="E85" s="15" t="s">
        <v>79</v>
      </c>
      <c r="F85" s="13" t="s">
        <v>80</v>
      </c>
      <c r="G85" s="15" t="s">
        <v>81</v>
      </c>
      <c r="H85" s="13" t="s">
        <v>268</v>
      </c>
      <c r="I85" s="15" t="s">
        <v>269</v>
      </c>
      <c r="J85" s="15" t="s">
        <v>270</v>
      </c>
      <c r="K85" s="15" t="s">
        <v>271</v>
      </c>
      <c r="L85" s="13" t="s">
        <v>274</v>
      </c>
      <c r="M85" s="15" t="s">
        <v>275</v>
      </c>
      <c r="N85" s="13" t="s">
        <v>88</v>
      </c>
      <c r="O85" s="15" t="s">
        <v>97</v>
      </c>
      <c r="P85" s="15" t="s">
        <v>98</v>
      </c>
      <c r="Q85" s="15" t="s">
        <v>110</v>
      </c>
      <c r="R85" s="13" t="s">
        <v>111</v>
      </c>
      <c r="S85" s="13" t="s">
        <v>93</v>
      </c>
      <c r="T85" s="13" t="s">
        <v>112</v>
      </c>
      <c r="U85" s="14">
        <v>40725</v>
      </c>
      <c r="V85" s="14"/>
      <c r="W85" s="15" t="s">
        <v>630</v>
      </c>
      <c r="X85" s="13" t="s">
        <v>614</v>
      </c>
      <c r="Y85" s="15" t="str">
        <f>VLOOKUP(X85,'Axe 2 Règles de gestion'!$D$2:$F$146,3, FALSE)</f>
        <v>Rémunération : L'agent ne perçoit plus son traitement.</v>
      </c>
      <c r="Z85" s="13" t="s">
        <v>616</v>
      </c>
      <c r="AA85" s="15" t="str">
        <f>VLOOKUP(Z85,'Axe 2 Règles de gestion'!$D$2:$F$146,3, FALSE)</f>
        <v>Congés annuels : L'agent ne cumule pas de droits à congé.</v>
      </c>
      <c r="AB85" s="13" t="s">
        <v>618</v>
      </c>
      <c r="AC85" s="15" t="str">
        <f>VLOOKUP(AB85,'Axe 2 Règles de gestion'!$D$2:$F$146,3, FALSE)</f>
        <v>Carrière : L'agent voit sa carrière suspendue. Il perd ses droits à l'avancement.</v>
      </c>
      <c r="AD85" s="13" t="s">
        <v>631</v>
      </c>
      <c r="AE85" s="15" t="str">
        <f>VLOOKUP(AD85,'Axe 2 Règles de gestion'!$D$2:$F$146,3, FALSE)</f>
        <v>Retraite : Les périodes de congé sans traitement ne sont pas prises en compte pour la constitution du droit à pension et la liquidation de cette dernière.</v>
      </c>
      <c r="AF85" s="13" t="s">
        <v>622</v>
      </c>
      <c r="AG85" s="15" t="str">
        <f>VLOOKUP(AF85,'Axe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85" s="13" t="s">
        <v>624</v>
      </c>
      <c r="AI85" s="15" t="str">
        <f>VLOOKUP(AH85,'Axe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85" s="13" t="s">
        <v>626</v>
      </c>
      <c r="AK85" s="15" t="str">
        <f>VLOOKUP(AJ85,'Axe 2 Règles de gestion'!$D$2:$F$146,3, FALSE)</f>
        <v>Stage : Les congés sans traitement ne sont pas comptabilisés comme temps de stage. Ils reportent donc la date de fin de stage du nombre total de jours d'absence.</v>
      </c>
      <c r="AL85" s="13" t="s">
        <v>628</v>
      </c>
      <c r="AM85" s="15" t="str">
        <f>VLOOKUP(AL85,'Axe 2 Règles de gestion'!$D$2:$F$146,3, FALSE)</f>
        <v>Acte : Un acte administratif doit être produit.</v>
      </c>
      <c r="AN85" s="13"/>
      <c r="AO85" s="13"/>
    </row>
    <row r="86" spans="1:41" ht="58" x14ac:dyDescent="0.35">
      <c r="A86" s="13" t="s">
        <v>165</v>
      </c>
      <c r="B86" s="13" t="s">
        <v>109</v>
      </c>
      <c r="C86" s="14">
        <v>44715.631944444445</v>
      </c>
      <c r="D86" s="13" t="s">
        <v>78</v>
      </c>
      <c r="E86" s="15" t="s">
        <v>79</v>
      </c>
      <c r="F86" s="13" t="s">
        <v>80</v>
      </c>
      <c r="G86" s="15" t="s">
        <v>81</v>
      </c>
      <c r="H86" s="13" t="s">
        <v>268</v>
      </c>
      <c r="I86" s="15" t="s">
        <v>269</v>
      </c>
      <c r="J86" s="15" t="s">
        <v>270</v>
      </c>
      <c r="K86" s="15" t="s">
        <v>271</v>
      </c>
      <c r="L86" s="13" t="s">
        <v>276</v>
      </c>
      <c r="M86" s="15" t="s">
        <v>277</v>
      </c>
      <c r="N86" s="13" t="s">
        <v>101</v>
      </c>
      <c r="O86" s="15" t="s">
        <v>102</v>
      </c>
      <c r="P86" s="15" t="s">
        <v>103</v>
      </c>
      <c r="Q86" s="15" t="s">
        <v>110</v>
      </c>
      <c r="R86" s="13" t="s">
        <v>111</v>
      </c>
      <c r="S86" s="13" t="s">
        <v>93</v>
      </c>
      <c r="T86" s="13" t="s">
        <v>112</v>
      </c>
      <c r="U86" s="14">
        <v>40725</v>
      </c>
      <c r="V86" s="14">
        <v>44633</v>
      </c>
      <c r="W86" s="15"/>
      <c r="X86" s="13"/>
      <c r="Y86" s="15"/>
      <c r="Z86" s="13"/>
      <c r="AA86" s="15"/>
      <c r="AB86" s="13"/>
      <c r="AC86" s="15"/>
      <c r="AD86" s="13"/>
      <c r="AE86" s="15"/>
      <c r="AF86" s="13"/>
      <c r="AG86" s="15"/>
      <c r="AH86" s="13"/>
      <c r="AI86" s="15"/>
      <c r="AJ86" s="13"/>
      <c r="AK86" s="15"/>
      <c r="AL86" s="13"/>
      <c r="AM86" s="15"/>
      <c r="AN86" s="13"/>
      <c r="AO86" s="13"/>
    </row>
    <row r="87" spans="1:41" ht="58" x14ac:dyDescent="0.35">
      <c r="A87" s="13" t="s">
        <v>165</v>
      </c>
      <c r="B87" s="13" t="s">
        <v>77</v>
      </c>
      <c r="C87" s="14">
        <v>44715.632638888892</v>
      </c>
      <c r="D87" s="13" t="s">
        <v>78</v>
      </c>
      <c r="E87" s="15" t="s">
        <v>79</v>
      </c>
      <c r="F87" s="13" t="s">
        <v>80</v>
      </c>
      <c r="G87" s="15" t="s">
        <v>81</v>
      </c>
      <c r="H87" s="13" t="s">
        <v>268</v>
      </c>
      <c r="I87" s="15" t="s">
        <v>269</v>
      </c>
      <c r="J87" s="15" t="s">
        <v>270</v>
      </c>
      <c r="K87" s="15" t="s">
        <v>271</v>
      </c>
      <c r="L87" s="13" t="s">
        <v>276</v>
      </c>
      <c r="M87" s="15" t="s">
        <v>277</v>
      </c>
      <c r="N87" s="13" t="s">
        <v>101</v>
      </c>
      <c r="O87" s="15" t="s">
        <v>102</v>
      </c>
      <c r="P87" s="15" t="s">
        <v>103</v>
      </c>
      <c r="Q87" s="15" t="s">
        <v>110</v>
      </c>
      <c r="R87" s="13" t="s">
        <v>111</v>
      </c>
      <c r="S87" s="13" t="s">
        <v>93</v>
      </c>
      <c r="T87" s="13" t="s">
        <v>112</v>
      </c>
      <c r="U87" s="14">
        <v>44634</v>
      </c>
      <c r="V87" s="14"/>
      <c r="W87" s="15"/>
      <c r="X87" s="13"/>
      <c r="Y87" s="15"/>
      <c r="Z87" s="13"/>
      <c r="AA87" s="15"/>
      <c r="AB87" s="13"/>
      <c r="AC87" s="15"/>
      <c r="AD87" s="13"/>
      <c r="AE87" s="15"/>
      <c r="AF87" s="13"/>
      <c r="AG87" s="15"/>
      <c r="AH87" s="13"/>
      <c r="AI87" s="15"/>
      <c r="AJ87" s="13"/>
      <c r="AK87" s="15"/>
      <c r="AL87" s="13"/>
      <c r="AM87" s="15"/>
      <c r="AN87" s="13"/>
      <c r="AO87" s="13"/>
    </row>
    <row r="88" spans="1:41" ht="72.5" x14ac:dyDescent="0.35">
      <c r="A88" s="13" t="s">
        <v>76</v>
      </c>
      <c r="B88" s="13" t="s">
        <v>77</v>
      </c>
      <c r="C88" s="14">
        <v>43152.5</v>
      </c>
      <c r="D88" s="13" t="s">
        <v>78</v>
      </c>
      <c r="E88" s="15" t="s">
        <v>79</v>
      </c>
      <c r="F88" s="13" t="s">
        <v>80</v>
      </c>
      <c r="G88" s="15" t="s">
        <v>81</v>
      </c>
      <c r="H88" s="13" t="s">
        <v>268</v>
      </c>
      <c r="I88" s="15" t="s">
        <v>269</v>
      </c>
      <c r="J88" s="15" t="s">
        <v>270</v>
      </c>
      <c r="K88" s="15" t="s">
        <v>271</v>
      </c>
      <c r="L88" s="13" t="s">
        <v>272</v>
      </c>
      <c r="M88" s="15" t="s">
        <v>273</v>
      </c>
      <c r="N88" s="13" t="s">
        <v>88</v>
      </c>
      <c r="O88" s="15" t="s">
        <v>89</v>
      </c>
      <c r="P88" s="15" t="s">
        <v>90</v>
      </c>
      <c r="Q88" s="15" t="s">
        <v>175</v>
      </c>
      <c r="R88" s="13" t="s">
        <v>176</v>
      </c>
      <c r="S88" s="13" t="s">
        <v>93</v>
      </c>
      <c r="T88" s="13" t="s">
        <v>94</v>
      </c>
      <c r="U88" s="14">
        <v>40725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3"/>
    </row>
    <row r="89" spans="1:41" ht="72.5" x14ac:dyDescent="0.35">
      <c r="A89" s="13" t="s">
        <v>76</v>
      </c>
      <c r="B89" s="13" t="s">
        <v>77</v>
      </c>
      <c r="C89" s="14">
        <v>43152.5</v>
      </c>
      <c r="D89" s="13" t="s">
        <v>78</v>
      </c>
      <c r="E89" s="15" t="s">
        <v>79</v>
      </c>
      <c r="F89" s="13" t="s">
        <v>80</v>
      </c>
      <c r="G89" s="15" t="s">
        <v>81</v>
      </c>
      <c r="H89" s="13" t="s">
        <v>268</v>
      </c>
      <c r="I89" s="15" t="s">
        <v>269</v>
      </c>
      <c r="J89" s="15" t="s">
        <v>270</v>
      </c>
      <c r="K89" s="15" t="s">
        <v>271</v>
      </c>
      <c r="L89" s="13" t="s">
        <v>274</v>
      </c>
      <c r="M89" s="15" t="s">
        <v>275</v>
      </c>
      <c r="N89" s="13" t="s">
        <v>88</v>
      </c>
      <c r="O89" s="15" t="s">
        <v>97</v>
      </c>
      <c r="P89" s="15" t="s">
        <v>98</v>
      </c>
      <c r="Q89" s="15" t="s">
        <v>175</v>
      </c>
      <c r="R89" s="13" t="s">
        <v>176</v>
      </c>
      <c r="S89" s="13" t="s">
        <v>93</v>
      </c>
      <c r="T89" s="13" t="s">
        <v>94</v>
      </c>
      <c r="U89" s="14">
        <v>40725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3"/>
    </row>
    <row r="90" spans="1:41" ht="58" x14ac:dyDescent="0.35">
      <c r="A90" s="13" t="s">
        <v>76</v>
      </c>
      <c r="B90" s="13" t="s">
        <v>77</v>
      </c>
      <c r="C90" s="14">
        <v>43152.5</v>
      </c>
      <c r="D90" s="13" t="s">
        <v>78</v>
      </c>
      <c r="E90" s="15" t="s">
        <v>79</v>
      </c>
      <c r="F90" s="13" t="s">
        <v>80</v>
      </c>
      <c r="G90" s="15" t="s">
        <v>81</v>
      </c>
      <c r="H90" s="13" t="s">
        <v>268</v>
      </c>
      <c r="I90" s="15" t="s">
        <v>269</v>
      </c>
      <c r="J90" s="15" t="s">
        <v>270</v>
      </c>
      <c r="K90" s="15" t="s">
        <v>271</v>
      </c>
      <c r="L90" s="13" t="s">
        <v>276</v>
      </c>
      <c r="M90" s="15" t="s">
        <v>277</v>
      </c>
      <c r="N90" s="13" t="s">
        <v>101</v>
      </c>
      <c r="O90" s="15" t="s">
        <v>102</v>
      </c>
      <c r="P90" s="15" t="s">
        <v>103</v>
      </c>
      <c r="Q90" s="15" t="s">
        <v>175</v>
      </c>
      <c r="R90" s="13" t="s">
        <v>176</v>
      </c>
      <c r="S90" s="13" t="s">
        <v>93</v>
      </c>
      <c r="T90" s="13" t="s">
        <v>94</v>
      </c>
      <c r="U90" s="14">
        <v>40725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  <c r="AF90" s="13"/>
      <c r="AG90" s="15"/>
      <c r="AH90" s="13"/>
      <c r="AI90" s="15"/>
      <c r="AJ90" s="13"/>
      <c r="AK90" s="15"/>
      <c r="AL90" s="13"/>
      <c r="AM90" s="15"/>
      <c r="AN90" s="13"/>
      <c r="AO90" s="13"/>
    </row>
    <row r="91" spans="1:41" ht="72.5" x14ac:dyDescent="0.35">
      <c r="A91" s="13" t="s">
        <v>238</v>
      </c>
      <c r="B91" s="13" t="s">
        <v>109</v>
      </c>
      <c r="C91" s="14">
        <v>44368.708333333336</v>
      </c>
      <c r="D91" s="13" t="s">
        <v>78</v>
      </c>
      <c r="E91" s="15" t="s">
        <v>79</v>
      </c>
      <c r="F91" s="13" t="s">
        <v>80</v>
      </c>
      <c r="G91" s="15" t="s">
        <v>81</v>
      </c>
      <c r="H91" s="13" t="s">
        <v>268</v>
      </c>
      <c r="I91" s="15" t="s">
        <v>269</v>
      </c>
      <c r="J91" s="15" t="s">
        <v>270</v>
      </c>
      <c r="K91" s="15" t="s">
        <v>271</v>
      </c>
      <c r="L91" s="13" t="s">
        <v>272</v>
      </c>
      <c r="M91" s="15" t="s">
        <v>273</v>
      </c>
      <c r="N91" s="13" t="s">
        <v>88</v>
      </c>
      <c r="O91" s="15" t="s">
        <v>89</v>
      </c>
      <c r="P91" s="15" t="s">
        <v>90</v>
      </c>
      <c r="Q91" s="15" t="s">
        <v>177</v>
      </c>
      <c r="R91" s="13" t="s">
        <v>178</v>
      </c>
      <c r="S91" s="13" t="s">
        <v>179</v>
      </c>
      <c r="T91" s="13" t="s">
        <v>112</v>
      </c>
      <c r="U91" s="14">
        <v>40725</v>
      </c>
      <c r="V91" s="14"/>
      <c r="W91" s="15"/>
      <c r="X91" s="13"/>
      <c r="Y91" s="15"/>
      <c r="Z91" s="13"/>
      <c r="AA91" s="15"/>
      <c r="AB91" s="13"/>
      <c r="AC91" s="15"/>
      <c r="AD91" s="13"/>
      <c r="AE91" s="15"/>
      <c r="AF91" s="13"/>
      <c r="AG91" s="15"/>
      <c r="AH91" s="13"/>
      <c r="AI91" s="15"/>
      <c r="AJ91" s="13"/>
      <c r="AK91" s="15"/>
      <c r="AL91" s="13"/>
      <c r="AM91" s="15"/>
      <c r="AN91" s="13"/>
      <c r="AO91" s="13"/>
    </row>
    <row r="92" spans="1:41" ht="72.5" x14ac:dyDescent="0.35">
      <c r="A92" s="13" t="s">
        <v>238</v>
      </c>
      <c r="B92" s="13" t="s">
        <v>109</v>
      </c>
      <c r="C92" s="14">
        <v>44368.708333333336</v>
      </c>
      <c r="D92" s="13" t="s">
        <v>78</v>
      </c>
      <c r="E92" s="15" t="s">
        <v>79</v>
      </c>
      <c r="F92" s="13" t="s">
        <v>80</v>
      </c>
      <c r="G92" s="15" t="s">
        <v>81</v>
      </c>
      <c r="H92" s="13" t="s">
        <v>268</v>
      </c>
      <c r="I92" s="15" t="s">
        <v>269</v>
      </c>
      <c r="J92" s="15" t="s">
        <v>270</v>
      </c>
      <c r="K92" s="15" t="s">
        <v>271</v>
      </c>
      <c r="L92" s="13" t="s">
        <v>274</v>
      </c>
      <c r="M92" s="15" t="s">
        <v>275</v>
      </c>
      <c r="N92" s="13" t="s">
        <v>88</v>
      </c>
      <c r="O92" s="15" t="s">
        <v>97</v>
      </c>
      <c r="P92" s="15" t="s">
        <v>98</v>
      </c>
      <c r="Q92" s="15" t="s">
        <v>177</v>
      </c>
      <c r="R92" s="13" t="s">
        <v>178</v>
      </c>
      <c r="S92" s="13" t="s">
        <v>179</v>
      </c>
      <c r="T92" s="13" t="s">
        <v>112</v>
      </c>
      <c r="U92" s="14">
        <v>40725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  <c r="AF92" s="13"/>
      <c r="AG92" s="15"/>
      <c r="AH92" s="13"/>
      <c r="AI92" s="15"/>
      <c r="AJ92" s="13"/>
      <c r="AK92" s="15"/>
      <c r="AL92" s="13"/>
      <c r="AM92" s="15"/>
      <c r="AN92" s="13"/>
      <c r="AO92" s="13"/>
    </row>
    <row r="93" spans="1:41" ht="58" x14ac:dyDescent="0.35">
      <c r="A93" s="13" t="s">
        <v>165</v>
      </c>
      <c r="B93" s="13" t="s">
        <v>109</v>
      </c>
      <c r="C93" s="14">
        <v>44715.633333333331</v>
      </c>
      <c r="D93" s="13" t="s">
        <v>78</v>
      </c>
      <c r="E93" s="15" t="s">
        <v>79</v>
      </c>
      <c r="F93" s="13" t="s">
        <v>80</v>
      </c>
      <c r="G93" s="15" t="s">
        <v>81</v>
      </c>
      <c r="H93" s="13" t="s">
        <v>268</v>
      </c>
      <c r="I93" s="15" t="s">
        <v>269</v>
      </c>
      <c r="J93" s="15" t="s">
        <v>270</v>
      </c>
      <c r="K93" s="15" t="s">
        <v>271</v>
      </c>
      <c r="L93" s="13" t="s">
        <v>276</v>
      </c>
      <c r="M93" s="15" t="s">
        <v>277</v>
      </c>
      <c r="N93" s="13" t="s">
        <v>101</v>
      </c>
      <c r="O93" s="15" t="s">
        <v>102</v>
      </c>
      <c r="P93" s="15" t="s">
        <v>103</v>
      </c>
      <c r="Q93" s="15" t="s">
        <v>177</v>
      </c>
      <c r="R93" s="13" t="s">
        <v>178</v>
      </c>
      <c r="S93" s="13" t="s">
        <v>179</v>
      </c>
      <c r="T93" s="13" t="s">
        <v>112</v>
      </c>
      <c r="U93" s="14">
        <v>40725</v>
      </c>
      <c r="V93" s="14">
        <v>44633</v>
      </c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3"/>
    </row>
    <row r="94" spans="1:41" ht="58" x14ac:dyDescent="0.35">
      <c r="A94" s="13" t="s">
        <v>165</v>
      </c>
      <c r="B94" s="13" t="s">
        <v>77</v>
      </c>
      <c r="C94" s="14">
        <v>44715.634027777778</v>
      </c>
      <c r="D94" s="13" t="s">
        <v>78</v>
      </c>
      <c r="E94" s="15" t="s">
        <v>79</v>
      </c>
      <c r="F94" s="13" t="s">
        <v>80</v>
      </c>
      <c r="G94" s="15" t="s">
        <v>81</v>
      </c>
      <c r="H94" s="13" t="s">
        <v>268</v>
      </c>
      <c r="I94" s="15" t="s">
        <v>269</v>
      </c>
      <c r="J94" s="15" t="s">
        <v>270</v>
      </c>
      <c r="K94" s="15" t="s">
        <v>271</v>
      </c>
      <c r="L94" s="13" t="s">
        <v>276</v>
      </c>
      <c r="M94" s="15" t="s">
        <v>277</v>
      </c>
      <c r="N94" s="13" t="s">
        <v>101</v>
      </c>
      <c r="O94" s="15" t="s">
        <v>102</v>
      </c>
      <c r="P94" s="15" t="s">
        <v>103</v>
      </c>
      <c r="Q94" s="15" t="s">
        <v>177</v>
      </c>
      <c r="R94" s="13" t="s">
        <v>178</v>
      </c>
      <c r="S94" s="13" t="s">
        <v>179</v>
      </c>
      <c r="T94" s="13" t="s">
        <v>112</v>
      </c>
      <c r="U94" s="14">
        <v>44634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5"/>
      <c r="AH94" s="13"/>
      <c r="AI94" s="15"/>
      <c r="AJ94" s="13"/>
      <c r="AK94" s="15"/>
      <c r="AL94" s="13"/>
      <c r="AM94" s="15"/>
      <c r="AN94" s="13"/>
      <c r="AO94" s="13"/>
    </row>
    <row r="95" spans="1:41" ht="87" x14ac:dyDescent="0.35">
      <c r="A95" s="13" t="s">
        <v>76</v>
      </c>
      <c r="B95" s="13" t="s">
        <v>77</v>
      </c>
      <c r="C95" s="14">
        <v>43152.5</v>
      </c>
      <c r="D95" s="13" t="s">
        <v>78</v>
      </c>
      <c r="E95" s="15" t="s">
        <v>79</v>
      </c>
      <c r="F95" s="13" t="s">
        <v>80</v>
      </c>
      <c r="G95" s="15" t="s">
        <v>81</v>
      </c>
      <c r="H95" s="13" t="s">
        <v>289</v>
      </c>
      <c r="I95" s="15" t="s">
        <v>290</v>
      </c>
      <c r="J95" s="15" t="s">
        <v>291</v>
      </c>
      <c r="K95" s="15" t="s">
        <v>292</v>
      </c>
      <c r="L95" s="13" t="s">
        <v>293</v>
      </c>
      <c r="M95" s="15" t="s">
        <v>294</v>
      </c>
      <c r="N95" s="13" t="s">
        <v>88</v>
      </c>
      <c r="O95" s="15" t="s">
        <v>89</v>
      </c>
      <c r="P95" s="15" t="s">
        <v>90</v>
      </c>
      <c r="Q95" s="15" t="s">
        <v>91</v>
      </c>
      <c r="R95" s="13" t="s">
        <v>92</v>
      </c>
      <c r="S95" s="13" t="s">
        <v>93</v>
      </c>
      <c r="T95" s="13" t="s">
        <v>94</v>
      </c>
      <c r="U95" s="14">
        <v>40725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3"/>
    </row>
    <row r="96" spans="1:41" ht="87" x14ac:dyDescent="0.35">
      <c r="A96" s="13" t="s">
        <v>76</v>
      </c>
      <c r="B96" s="13" t="s">
        <v>77</v>
      </c>
      <c r="C96" s="14">
        <v>43152.5</v>
      </c>
      <c r="D96" s="13" t="s">
        <v>78</v>
      </c>
      <c r="E96" s="15" t="s">
        <v>79</v>
      </c>
      <c r="F96" s="13" t="s">
        <v>80</v>
      </c>
      <c r="G96" s="15" t="s">
        <v>81</v>
      </c>
      <c r="H96" s="13" t="s">
        <v>289</v>
      </c>
      <c r="I96" s="15" t="s">
        <v>290</v>
      </c>
      <c r="J96" s="15" t="s">
        <v>291</v>
      </c>
      <c r="K96" s="15" t="s">
        <v>292</v>
      </c>
      <c r="L96" s="13" t="s">
        <v>295</v>
      </c>
      <c r="M96" s="15" t="s">
        <v>296</v>
      </c>
      <c r="N96" s="13" t="s">
        <v>88</v>
      </c>
      <c r="O96" s="15" t="s">
        <v>97</v>
      </c>
      <c r="P96" s="15" t="s">
        <v>98</v>
      </c>
      <c r="Q96" s="15" t="s">
        <v>91</v>
      </c>
      <c r="R96" s="13" t="s">
        <v>92</v>
      </c>
      <c r="S96" s="13" t="s">
        <v>93</v>
      </c>
      <c r="T96" s="13" t="s">
        <v>94</v>
      </c>
      <c r="U96" s="14">
        <v>40725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  <c r="AF96" s="13"/>
      <c r="AG96" s="15"/>
      <c r="AH96" s="13"/>
      <c r="AI96" s="15"/>
      <c r="AJ96" s="13"/>
      <c r="AK96" s="15"/>
      <c r="AL96" s="13"/>
      <c r="AM96" s="15"/>
      <c r="AN96" s="13"/>
      <c r="AO96" s="13"/>
    </row>
    <row r="97" spans="1:41" ht="87" x14ac:dyDescent="0.35">
      <c r="A97" s="13" t="s">
        <v>76</v>
      </c>
      <c r="B97" s="13" t="s">
        <v>77</v>
      </c>
      <c r="C97" s="14">
        <v>43152.5</v>
      </c>
      <c r="D97" s="13" t="s">
        <v>78</v>
      </c>
      <c r="E97" s="15" t="s">
        <v>79</v>
      </c>
      <c r="F97" s="13" t="s">
        <v>80</v>
      </c>
      <c r="G97" s="15" t="s">
        <v>81</v>
      </c>
      <c r="H97" s="13" t="s">
        <v>289</v>
      </c>
      <c r="I97" s="15" t="s">
        <v>290</v>
      </c>
      <c r="J97" s="15" t="s">
        <v>291</v>
      </c>
      <c r="K97" s="15" t="s">
        <v>292</v>
      </c>
      <c r="L97" s="13" t="s">
        <v>297</v>
      </c>
      <c r="M97" s="15" t="s">
        <v>298</v>
      </c>
      <c r="N97" s="13" t="s">
        <v>101</v>
      </c>
      <c r="O97" s="15" t="s">
        <v>102</v>
      </c>
      <c r="P97" s="15" t="s">
        <v>103</v>
      </c>
      <c r="Q97" s="15" t="s">
        <v>91</v>
      </c>
      <c r="R97" s="13" t="s">
        <v>92</v>
      </c>
      <c r="S97" s="13" t="s">
        <v>93</v>
      </c>
      <c r="T97" s="13" t="s">
        <v>94</v>
      </c>
      <c r="U97" s="14">
        <v>40725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5"/>
      <c r="AH97" s="13"/>
      <c r="AI97" s="15"/>
      <c r="AJ97" s="13"/>
      <c r="AK97" s="15"/>
      <c r="AL97" s="13"/>
      <c r="AM97" s="15"/>
      <c r="AN97" s="13"/>
      <c r="AO97" s="13"/>
    </row>
    <row r="98" spans="1:41" ht="87" x14ac:dyDescent="0.35">
      <c r="A98" s="13" t="s">
        <v>76</v>
      </c>
      <c r="B98" s="13" t="s">
        <v>77</v>
      </c>
      <c r="C98" s="14">
        <v>43152.5</v>
      </c>
      <c r="D98" s="13" t="s">
        <v>78</v>
      </c>
      <c r="E98" s="15" t="s">
        <v>79</v>
      </c>
      <c r="F98" s="13" t="s">
        <v>80</v>
      </c>
      <c r="G98" s="15" t="s">
        <v>81</v>
      </c>
      <c r="H98" s="13" t="s">
        <v>289</v>
      </c>
      <c r="I98" s="15" t="s">
        <v>290</v>
      </c>
      <c r="J98" s="15" t="s">
        <v>291</v>
      </c>
      <c r="K98" s="15" t="s">
        <v>292</v>
      </c>
      <c r="L98" s="13" t="s">
        <v>293</v>
      </c>
      <c r="M98" s="15" t="s">
        <v>294</v>
      </c>
      <c r="N98" s="13" t="s">
        <v>88</v>
      </c>
      <c r="O98" s="15" t="s">
        <v>89</v>
      </c>
      <c r="P98" s="15" t="s">
        <v>90</v>
      </c>
      <c r="Q98" s="15" t="s">
        <v>104</v>
      </c>
      <c r="R98" s="13" t="s">
        <v>105</v>
      </c>
      <c r="S98" s="13" t="s">
        <v>93</v>
      </c>
      <c r="T98" s="13" t="s">
        <v>94</v>
      </c>
      <c r="U98" s="14">
        <v>40725</v>
      </c>
      <c r="V98" s="14"/>
      <c r="W98" s="15"/>
      <c r="X98" s="13"/>
      <c r="Y98" s="15"/>
      <c r="Z98" s="13"/>
      <c r="AA98" s="15"/>
      <c r="AB98" s="13"/>
      <c r="AC98" s="15"/>
      <c r="AD98" s="13"/>
      <c r="AE98" s="15"/>
      <c r="AF98" s="13"/>
      <c r="AG98" s="15"/>
      <c r="AH98" s="13"/>
      <c r="AI98" s="15"/>
      <c r="AJ98" s="13"/>
      <c r="AK98" s="15"/>
      <c r="AL98" s="13"/>
      <c r="AM98" s="15"/>
      <c r="AN98" s="13"/>
      <c r="AO98" s="13"/>
    </row>
    <row r="99" spans="1:41" ht="87" x14ac:dyDescent="0.35">
      <c r="A99" s="13" t="s">
        <v>76</v>
      </c>
      <c r="B99" s="13" t="s">
        <v>77</v>
      </c>
      <c r="C99" s="14">
        <v>43152.5</v>
      </c>
      <c r="D99" s="13" t="s">
        <v>78</v>
      </c>
      <c r="E99" s="15" t="s">
        <v>79</v>
      </c>
      <c r="F99" s="13" t="s">
        <v>80</v>
      </c>
      <c r="G99" s="15" t="s">
        <v>81</v>
      </c>
      <c r="H99" s="13" t="s">
        <v>289</v>
      </c>
      <c r="I99" s="15" t="s">
        <v>290</v>
      </c>
      <c r="J99" s="15" t="s">
        <v>291</v>
      </c>
      <c r="K99" s="15" t="s">
        <v>292</v>
      </c>
      <c r="L99" s="13" t="s">
        <v>295</v>
      </c>
      <c r="M99" s="15" t="s">
        <v>296</v>
      </c>
      <c r="N99" s="13" t="s">
        <v>88</v>
      </c>
      <c r="O99" s="15" t="s">
        <v>97</v>
      </c>
      <c r="P99" s="15" t="s">
        <v>98</v>
      </c>
      <c r="Q99" s="15" t="s">
        <v>104</v>
      </c>
      <c r="R99" s="13" t="s">
        <v>105</v>
      </c>
      <c r="S99" s="13" t="s">
        <v>93</v>
      </c>
      <c r="T99" s="13" t="s">
        <v>94</v>
      </c>
      <c r="U99" s="14">
        <v>40725</v>
      </c>
      <c r="V99" s="14"/>
      <c r="W99" s="15"/>
      <c r="X99" s="13"/>
      <c r="Y99" s="15"/>
      <c r="Z99" s="13"/>
      <c r="AA99" s="15"/>
      <c r="AB99" s="13"/>
      <c r="AC99" s="15"/>
      <c r="AD99" s="13"/>
      <c r="AE99" s="15"/>
      <c r="AF99" s="13"/>
      <c r="AG99" s="15"/>
      <c r="AH99" s="13"/>
      <c r="AI99" s="15"/>
      <c r="AJ99" s="13"/>
      <c r="AK99" s="15"/>
      <c r="AL99" s="13"/>
      <c r="AM99" s="15"/>
      <c r="AN99" s="13"/>
      <c r="AO99" s="13"/>
    </row>
    <row r="100" spans="1:41" ht="87" x14ac:dyDescent="0.35">
      <c r="A100" s="13" t="s">
        <v>76</v>
      </c>
      <c r="B100" s="13" t="s">
        <v>77</v>
      </c>
      <c r="C100" s="14">
        <v>43152.5</v>
      </c>
      <c r="D100" s="13" t="s">
        <v>78</v>
      </c>
      <c r="E100" s="15" t="s">
        <v>79</v>
      </c>
      <c r="F100" s="13" t="s">
        <v>80</v>
      </c>
      <c r="G100" s="15" t="s">
        <v>81</v>
      </c>
      <c r="H100" s="13" t="s">
        <v>289</v>
      </c>
      <c r="I100" s="15" t="s">
        <v>290</v>
      </c>
      <c r="J100" s="15" t="s">
        <v>291</v>
      </c>
      <c r="K100" s="15" t="s">
        <v>292</v>
      </c>
      <c r="L100" s="13" t="s">
        <v>297</v>
      </c>
      <c r="M100" s="15" t="s">
        <v>298</v>
      </c>
      <c r="N100" s="13" t="s">
        <v>101</v>
      </c>
      <c r="O100" s="15" t="s">
        <v>102</v>
      </c>
      <c r="P100" s="15" t="s">
        <v>103</v>
      </c>
      <c r="Q100" s="15" t="s">
        <v>104</v>
      </c>
      <c r="R100" s="13" t="s">
        <v>105</v>
      </c>
      <c r="S100" s="13" t="s">
        <v>93</v>
      </c>
      <c r="T100" s="13" t="s">
        <v>94</v>
      </c>
      <c r="U100" s="14">
        <v>40725</v>
      </c>
      <c r="V100" s="14"/>
      <c r="W100" s="15"/>
      <c r="X100" s="13"/>
      <c r="Y100" s="15"/>
      <c r="Z100" s="13"/>
      <c r="AA100" s="15"/>
      <c r="AB100" s="13"/>
      <c r="AC100" s="15"/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/>
      <c r="AO100" s="13"/>
    </row>
    <row r="101" spans="1:41" ht="87" x14ac:dyDescent="0.35">
      <c r="A101" s="13" t="s">
        <v>76</v>
      </c>
      <c r="B101" s="13" t="s">
        <v>77</v>
      </c>
      <c r="C101" s="14">
        <v>43152.5</v>
      </c>
      <c r="D101" s="13" t="s">
        <v>78</v>
      </c>
      <c r="E101" s="15" t="s">
        <v>79</v>
      </c>
      <c r="F101" s="13" t="s">
        <v>80</v>
      </c>
      <c r="G101" s="15" t="s">
        <v>81</v>
      </c>
      <c r="H101" s="13" t="s">
        <v>289</v>
      </c>
      <c r="I101" s="15" t="s">
        <v>290</v>
      </c>
      <c r="J101" s="15" t="s">
        <v>291</v>
      </c>
      <c r="K101" s="15" t="s">
        <v>292</v>
      </c>
      <c r="L101" s="13" t="s">
        <v>293</v>
      </c>
      <c r="M101" s="15" t="s">
        <v>294</v>
      </c>
      <c r="N101" s="13" t="s">
        <v>88</v>
      </c>
      <c r="O101" s="15" t="s">
        <v>89</v>
      </c>
      <c r="P101" s="15" t="s">
        <v>90</v>
      </c>
      <c r="Q101" s="15" t="s">
        <v>106</v>
      </c>
      <c r="R101" s="13" t="s">
        <v>107</v>
      </c>
      <c r="S101" s="13" t="s">
        <v>93</v>
      </c>
      <c r="T101" s="13" t="s">
        <v>94</v>
      </c>
      <c r="U101" s="14">
        <v>40725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3"/>
    </row>
    <row r="102" spans="1:41" ht="87" x14ac:dyDescent="0.35">
      <c r="A102" s="13" t="s">
        <v>76</v>
      </c>
      <c r="B102" s="13" t="s">
        <v>77</v>
      </c>
      <c r="C102" s="14">
        <v>43152.5</v>
      </c>
      <c r="D102" s="13" t="s">
        <v>78</v>
      </c>
      <c r="E102" s="15" t="s">
        <v>79</v>
      </c>
      <c r="F102" s="13" t="s">
        <v>80</v>
      </c>
      <c r="G102" s="15" t="s">
        <v>81</v>
      </c>
      <c r="H102" s="13" t="s">
        <v>289</v>
      </c>
      <c r="I102" s="15" t="s">
        <v>290</v>
      </c>
      <c r="J102" s="15" t="s">
        <v>291</v>
      </c>
      <c r="K102" s="15" t="s">
        <v>292</v>
      </c>
      <c r="L102" s="13" t="s">
        <v>295</v>
      </c>
      <c r="M102" s="15" t="s">
        <v>296</v>
      </c>
      <c r="N102" s="13" t="s">
        <v>88</v>
      </c>
      <c r="O102" s="15" t="s">
        <v>97</v>
      </c>
      <c r="P102" s="15" t="s">
        <v>98</v>
      </c>
      <c r="Q102" s="15" t="s">
        <v>106</v>
      </c>
      <c r="R102" s="13" t="s">
        <v>107</v>
      </c>
      <c r="S102" s="13" t="s">
        <v>93</v>
      </c>
      <c r="T102" s="13" t="s">
        <v>94</v>
      </c>
      <c r="U102" s="14">
        <v>40725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3"/>
    </row>
    <row r="103" spans="1:41" ht="87" x14ac:dyDescent="0.35">
      <c r="A103" s="13" t="s">
        <v>76</v>
      </c>
      <c r="B103" s="13" t="s">
        <v>77</v>
      </c>
      <c r="C103" s="14">
        <v>43152.5</v>
      </c>
      <c r="D103" s="13" t="s">
        <v>78</v>
      </c>
      <c r="E103" s="15" t="s">
        <v>79</v>
      </c>
      <c r="F103" s="13" t="s">
        <v>80</v>
      </c>
      <c r="G103" s="15" t="s">
        <v>81</v>
      </c>
      <c r="H103" s="13" t="s">
        <v>289</v>
      </c>
      <c r="I103" s="15" t="s">
        <v>290</v>
      </c>
      <c r="J103" s="15" t="s">
        <v>291</v>
      </c>
      <c r="K103" s="15" t="s">
        <v>292</v>
      </c>
      <c r="L103" s="13" t="s">
        <v>297</v>
      </c>
      <c r="M103" s="15" t="s">
        <v>298</v>
      </c>
      <c r="N103" s="13" t="s">
        <v>101</v>
      </c>
      <c r="O103" s="15" t="s">
        <v>102</v>
      </c>
      <c r="P103" s="15" t="s">
        <v>103</v>
      </c>
      <c r="Q103" s="15" t="s">
        <v>106</v>
      </c>
      <c r="R103" s="13" t="s">
        <v>107</v>
      </c>
      <c r="S103" s="13" t="s">
        <v>93</v>
      </c>
      <c r="T103" s="13" t="s">
        <v>94</v>
      </c>
      <c r="U103" s="14">
        <v>40725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3"/>
    </row>
    <row r="104" spans="1:41" ht="145" x14ac:dyDescent="0.35">
      <c r="A104" s="13" t="s">
        <v>238</v>
      </c>
      <c r="B104" s="13" t="s">
        <v>109</v>
      </c>
      <c r="C104" s="14">
        <v>44368.708333333336</v>
      </c>
      <c r="D104" s="13" t="s">
        <v>78</v>
      </c>
      <c r="E104" s="15" t="s">
        <v>79</v>
      </c>
      <c r="F104" s="13" t="s">
        <v>80</v>
      </c>
      <c r="G104" s="15" t="s">
        <v>81</v>
      </c>
      <c r="H104" s="13" t="s">
        <v>289</v>
      </c>
      <c r="I104" s="15" t="s">
        <v>290</v>
      </c>
      <c r="J104" s="15" t="s">
        <v>291</v>
      </c>
      <c r="K104" s="15" t="s">
        <v>292</v>
      </c>
      <c r="L104" s="13" t="s">
        <v>293</v>
      </c>
      <c r="M104" s="15" t="s">
        <v>294</v>
      </c>
      <c r="N104" s="13" t="s">
        <v>88</v>
      </c>
      <c r="O104" s="15" t="s">
        <v>89</v>
      </c>
      <c r="P104" s="15" t="s">
        <v>90</v>
      </c>
      <c r="Q104" s="15" t="s">
        <v>110</v>
      </c>
      <c r="R104" s="13" t="s">
        <v>111</v>
      </c>
      <c r="S104" s="13" t="s">
        <v>93</v>
      </c>
      <c r="T104" s="13" t="s">
        <v>112</v>
      </c>
      <c r="U104" s="14">
        <v>40725</v>
      </c>
      <c r="V104" s="14"/>
      <c r="W104" s="15" t="s">
        <v>630</v>
      </c>
      <c r="X104" s="13" t="s">
        <v>614</v>
      </c>
      <c r="Y104" s="15" t="str">
        <f>VLOOKUP(X104,'Axe 2 Règles de gestion'!$D$2:$F$146,3, FALSE)</f>
        <v>Rémunération : L'agent ne perçoit plus son traitement.</v>
      </c>
      <c r="Z104" s="13" t="s">
        <v>616</v>
      </c>
      <c r="AA104" s="15" t="str">
        <f>VLOOKUP(Z104,'Axe 2 Règles de gestion'!$D$2:$F$146,3, FALSE)</f>
        <v>Congés annuels : L'agent ne cumule pas de droits à congé.</v>
      </c>
      <c r="AB104" s="13" t="s">
        <v>618</v>
      </c>
      <c r="AC104" s="15" t="str">
        <f>VLOOKUP(AB104,'Axe 2 Règles de gestion'!$D$2:$F$146,3, FALSE)</f>
        <v>Carrière : L'agent voit sa carrière suspendue. Il perd ses droits à l'avancement.</v>
      </c>
      <c r="AD104" s="13" t="s">
        <v>631</v>
      </c>
      <c r="AE104" s="15" t="str">
        <f>VLOOKUP(AD104,'Axe 2 Règles de gestion'!$D$2:$F$146,3, FALSE)</f>
        <v>Retraite : Les périodes de congé sans traitement ne sont pas prises en compte pour la constitution du droit à pension et la liquidation de cette dernière.</v>
      </c>
      <c r="AF104" s="13" t="s">
        <v>622</v>
      </c>
      <c r="AG104" s="15" t="str">
        <f>VLOOKUP(AF104,'Axe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04" s="13" t="s">
        <v>624</v>
      </c>
      <c r="AI104" s="15" t="str">
        <f>VLOOKUP(AH104,'Axe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04" s="13" t="s">
        <v>626</v>
      </c>
      <c r="AK104" s="15" t="str">
        <f>VLOOKUP(AJ104,'Axe 2 Règles de gestion'!$D$2:$F$146,3, FALSE)</f>
        <v>Stage : Les congés sans traitement ne sont pas comptabilisés comme temps de stage. Ils reportent donc la date de fin de stage du nombre total de jours d'absence.</v>
      </c>
      <c r="AL104" s="13" t="s">
        <v>628</v>
      </c>
      <c r="AM104" s="15" t="str">
        <f>VLOOKUP(AL104,'Axe 2 Règles de gestion'!$D$2:$F$146,3, FALSE)</f>
        <v>Acte : Un acte administratif doit être produit.</v>
      </c>
      <c r="AN104" s="13"/>
      <c r="AO104" s="13"/>
    </row>
    <row r="105" spans="1:41" ht="145" x14ac:dyDescent="0.35">
      <c r="A105" s="13" t="s">
        <v>238</v>
      </c>
      <c r="B105" s="13" t="s">
        <v>109</v>
      </c>
      <c r="C105" s="14">
        <v>44368.708333333336</v>
      </c>
      <c r="D105" s="13" t="s">
        <v>78</v>
      </c>
      <c r="E105" s="15" t="s">
        <v>79</v>
      </c>
      <c r="F105" s="13" t="s">
        <v>80</v>
      </c>
      <c r="G105" s="15" t="s">
        <v>81</v>
      </c>
      <c r="H105" s="13" t="s">
        <v>289</v>
      </c>
      <c r="I105" s="15" t="s">
        <v>290</v>
      </c>
      <c r="J105" s="15" t="s">
        <v>291</v>
      </c>
      <c r="K105" s="15" t="s">
        <v>292</v>
      </c>
      <c r="L105" s="13" t="s">
        <v>295</v>
      </c>
      <c r="M105" s="15" t="s">
        <v>296</v>
      </c>
      <c r="N105" s="13" t="s">
        <v>88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93</v>
      </c>
      <c r="T105" s="13" t="s">
        <v>112</v>
      </c>
      <c r="U105" s="14">
        <v>40725</v>
      </c>
      <c r="V105" s="14"/>
      <c r="W105" s="15" t="s">
        <v>630</v>
      </c>
      <c r="X105" s="13" t="s">
        <v>614</v>
      </c>
      <c r="Y105" s="15" t="str">
        <f>VLOOKUP(X105,'Axe 2 Règles de gestion'!$D$2:$F$146,3, FALSE)</f>
        <v>Rémunération : L'agent ne perçoit plus son traitement.</v>
      </c>
      <c r="Z105" s="13" t="s">
        <v>616</v>
      </c>
      <c r="AA105" s="15" t="str">
        <f>VLOOKUP(Z105,'Axe 2 Règles de gestion'!$D$2:$F$146,3, FALSE)</f>
        <v>Congés annuels : L'agent ne cumule pas de droits à congé.</v>
      </c>
      <c r="AB105" s="13" t="s">
        <v>618</v>
      </c>
      <c r="AC105" s="15" t="str">
        <f>VLOOKUP(AB105,'Axe 2 Règles de gestion'!$D$2:$F$146,3, FALSE)</f>
        <v>Carrière : L'agent voit sa carrière suspendue. Il perd ses droits à l'avancement.</v>
      </c>
      <c r="AD105" s="13" t="s">
        <v>631</v>
      </c>
      <c r="AE105" s="15" t="str">
        <f>VLOOKUP(AD105,'Axe 2 Règles de gestion'!$D$2:$F$146,3, FALSE)</f>
        <v>Retraite : Les périodes de congé sans traitement ne sont pas prises en compte pour la constitution du droit à pension et la liquidation de cette dernière.</v>
      </c>
      <c r="AF105" s="13" t="s">
        <v>622</v>
      </c>
      <c r="AG105" s="15" t="str">
        <f>VLOOKUP(AF105,'Axe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05" s="13" t="s">
        <v>624</v>
      </c>
      <c r="AI105" s="15" t="str">
        <f>VLOOKUP(AH105,'Axe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05" s="13" t="s">
        <v>626</v>
      </c>
      <c r="AK105" s="15" t="str">
        <f>VLOOKUP(AJ105,'Axe 2 Règles de gestion'!$D$2:$F$146,3, FALSE)</f>
        <v>Stage : Les congés sans traitement ne sont pas comptabilisés comme temps de stage. Ils reportent donc la date de fin de stage du nombre total de jours d'absence.</v>
      </c>
      <c r="AL105" s="13" t="s">
        <v>628</v>
      </c>
      <c r="AM105" s="15" t="str">
        <f>VLOOKUP(AL105,'Axe 2 Règles de gestion'!$D$2:$F$146,3, FALSE)</f>
        <v>Acte : Un acte administratif doit être produit.</v>
      </c>
      <c r="AN105" s="13"/>
      <c r="AO105" s="13"/>
    </row>
    <row r="106" spans="1:41" ht="87" x14ac:dyDescent="0.35">
      <c r="A106" s="13" t="s">
        <v>165</v>
      </c>
      <c r="B106" s="13" t="s">
        <v>109</v>
      </c>
      <c r="C106" s="14">
        <v>44715.40347222222</v>
      </c>
      <c r="D106" s="13" t="s">
        <v>78</v>
      </c>
      <c r="E106" s="15" t="s">
        <v>79</v>
      </c>
      <c r="F106" s="13" t="s">
        <v>80</v>
      </c>
      <c r="G106" s="15" t="s">
        <v>81</v>
      </c>
      <c r="H106" s="13" t="s">
        <v>289</v>
      </c>
      <c r="I106" s="15" t="s">
        <v>290</v>
      </c>
      <c r="J106" s="15" t="s">
        <v>291</v>
      </c>
      <c r="K106" s="15" t="s">
        <v>292</v>
      </c>
      <c r="L106" s="13" t="s">
        <v>297</v>
      </c>
      <c r="M106" s="15" t="s">
        <v>298</v>
      </c>
      <c r="N106" s="13" t="s">
        <v>101</v>
      </c>
      <c r="O106" s="15" t="s">
        <v>102</v>
      </c>
      <c r="P106" s="15" t="s">
        <v>103</v>
      </c>
      <c r="Q106" s="15" t="s">
        <v>110</v>
      </c>
      <c r="R106" s="13" t="s">
        <v>111</v>
      </c>
      <c r="S106" s="13" t="s">
        <v>93</v>
      </c>
      <c r="T106" s="13" t="s">
        <v>112</v>
      </c>
      <c r="U106" s="14">
        <v>40725</v>
      </c>
      <c r="V106" s="14">
        <v>44633</v>
      </c>
      <c r="W106" s="15"/>
      <c r="X106" s="13"/>
      <c r="Y106" s="15"/>
      <c r="Z106" s="13"/>
      <c r="AA106" s="15"/>
      <c r="AB106" s="13"/>
      <c r="AC106" s="15"/>
      <c r="AD106" s="13"/>
      <c r="AE106" s="15"/>
      <c r="AF106" s="13"/>
      <c r="AG106" s="15"/>
      <c r="AH106" s="13"/>
      <c r="AI106" s="15"/>
      <c r="AJ106" s="13"/>
      <c r="AK106" s="15"/>
      <c r="AL106" s="13"/>
      <c r="AM106" s="15"/>
      <c r="AN106" s="13"/>
      <c r="AO106" s="13"/>
    </row>
    <row r="107" spans="1:41" ht="87" x14ac:dyDescent="0.35">
      <c r="A107" s="13" t="s">
        <v>165</v>
      </c>
      <c r="B107" s="13" t="s">
        <v>77</v>
      </c>
      <c r="C107" s="14">
        <v>44715.404166666667</v>
      </c>
      <c r="D107" s="13" t="s">
        <v>78</v>
      </c>
      <c r="E107" s="15" t="s">
        <v>79</v>
      </c>
      <c r="F107" s="13" t="s">
        <v>80</v>
      </c>
      <c r="G107" s="15" t="s">
        <v>81</v>
      </c>
      <c r="H107" s="13" t="s">
        <v>289</v>
      </c>
      <c r="I107" s="15" t="s">
        <v>290</v>
      </c>
      <c r="J107" s="15" t="s">
        <v>291</v>
      </c>
      <c r="K107" s="15" t="s">
        <v>292</v>
      </c>
      <c r="L107" s="13" t="s">
        <v>297</v>
      </c>
      <c r="M107" s="15" t="s">
        <v>298</v>
      </c>
      <c r="N107" s="13" t="s">
        <v>101</v>
      </c>
      <c r="O107" s="15" t="s">
        <v>102</v>
      </c>
      <c r="P107" s="15" t="s">
        <v>103</v>
      </c>
      <c r="Q107" s="15" t="s">
        <v>110</v>
      </c>
      <c r="R107" s="13" t="s">
        <v>111</v>
      </c>
      <c r="S107" s="13" t="s">
        <v>93</v>
      </c>
      <c r="T107" s="13" t="s">
        <v>112</v>
      </c>
      <c r="U107" s="14">
        <v>44634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/>
      <c r="AK107" s="15"/>
      <c r="AL107" s="13"/>
      <c r="AM107" s="15"/>
      <c r="AN107" s="13"/>
      <c r="AO107" s="13"/>
    </row>
    <row r="108" spans="1:41" ht="87" x14ac:dyDescent="0.35">
      <c r="A108" s="13" t="s">
        <v>76</v>
      </c>
      <c r="B108" s="13" t="s">
        <v>77</v>
      </c>
      <c r="C108" s="14">
        <v>43152.5</v>
      </c>
      <c r="D108" s="13" t="s">
        <v>78</v>
      </c>
      <c r="E108" s="15" t="s">
        <v>79</v>
      </c>
      <c r="F108" s="13" t="s">
        <v>80</v>
      </c>
      <c r="G108" s="15" t="s">
        <v>81</v>
      </c>
      <c r="H108" s="13" t="s">
        <v>289</v>
      </c>
      <c r="I108" s="15" t="s">
        <v>290</v>
      </c>
      <c r="J108" s="15" t="s">
        <v>291</v>
      </c>
      <c r="K108" s="15" t="s">
        <v>292</v>
      </c>
      <c r="L108" s="13" t="s">
        <v>293</v>
      </c>
      <c r="M108" s="15" t="s">
        <v>294</v>
      </c>
      <c r="N108" s="13" t="s">
        <v>88</v>
      </c>
      <c r="O108" s="15" t="s">
        <v>89</v>
      </c>
      <c r="P108" s="15" t="s">
        <v>90</v>
      </c>
      <c r="Q108" s="15" t="s">
        <v>175</v>
      </c>
      <c r="R108" s="13" t="s">
        <v>176</v>
      </c>
      <c r="S108" s="13" t="s">
        <v>93</v>
      </c>
      <c r="T108" s="13" t="s">
        <v>94</v>
      </c>
      <c r="U108" s="14">
        <v>40725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3"/>
    </row>
    <row r="109" spans="1:41" ht="87" x14ac:dyDescent="0.35">
      <c r="A109" s="13" t="s">
        <v>76</v>
      </c>
      <c r="B109" s="13" t="s">
        <v>77</v>
      </c>
      <c r="C109" s="14">
        <v>43152.5</v>
      </c>
      <c r="D109" s="13" t="s">
        <v>78</v>
      </c>
      <c r="E109" s="15" t="s">
        <v>79</v>
      </c>
      <c r="F109" s="13" t="s">
        <v>80</v>
      </c>
      <c r="G109" s="15" t="s">
        <v>81</v>
      </c>
      <c r="H109" s="13" t="s">
        <v>289</v>
      </c>
      <c r="I109" s="15" t="s">
        <v>290</v>
      </c>
      <c r="J109" s="15" t="s">
        <v>291</v>
      </c>
      <c r="K109" s="15" t="s">
        <v>292</v>
      </c>
      <c r="L109" s="13" t="s">
        <v>295</v>
      </c>
      <c r="M109" s="15" t="s">
        <v>296</v>
      </c>
      <c r="N109" s="13" t="s">
        <v>88</v>
      </c>
      <c r="O109" s="15" t="s">
        <v>97</v>
      </c>
      <c r="P109" s="15" t="s">
        <v>98</v>
      </c>
      <c r="Q109" s="15" t="s">
        <v>175</v>
      </c>
      <c r="R109" s="13" t="s">
        <v>176</v>
      </c>
      <c r="S109" s="13" t="s">
        <v>93</v>
      </c>
      <c r="T109" s="13" t="s">
        <v>94</v>
      </c>
      <c r="U109" s="14">
        <v>40725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3"/>
    </row>
    <row r="110" spans="1:41" ht="87" x14ac:dyDescent="0.35">
      <c r="A110" s="13" t="s">
        <v>76</v>
      </c>
      <c r="B110" s="13" t="s">
        <v>77</v>
      </c>
      <c r="C110" s="14">
        <v>43152.5</v>
      </c>
      <c r="D110" s="13" t="s">
        <v>78</v>
      </c>
      <c r="E110" s="15" t="s">
        <v>79</v>
      </c>
      <c r="F110" s="13" t="s">
        <v>80</v>
      </c>
      <c r="G110" s="15" t="s">
        <v>81</v>
      </c>
      <c r="H110" s="13" t="s">
        <v>289</v>
      </c>
      <c r="I110" s="15" t="s">
        <v>290</v>
      </c>
      <c r="J110" s="15" t="s">
        <v>291</v>
      </c>
      <c r="K110" s="15" t="s">
        <v>292</v>
      </c>
      <c r="L110" s="13" t="s">
        <v>297</v>
      </c>
      <c r="M110" s="15" t="s">
        <v>298</v>
      </c>
      <c r="N110" s="13" t="s">
        <v>101</v>
      </c>
      <c r="O110" s="15" t="s">
        <v>102</v>
      </c>
      <c r="P110" s="15" t="s">
        <v>103</v>
      </c>
      <c r="Q110" s="15" t="s">
        <v>175</v>
      </c>
      <c r="R110" s="13" t="s">
        <v>176</v>
      </c>
      <c r="S110" s="13" t="s">
        <v>93</v>
      </c>
      <c r="T110" s="13" t="s">
        <v>94</v>
      </c>
      <c r="U110" s="14">
        <v>40725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  <c r="AF110" s="13"/>
      <c r="AG110" s="15"/>
      <c r="AH110" s="13"/>
      <c r="AI110" s="15"/>
      <c r="AJ110" s="13"/>
      <c r="AK110" s="15"/>
      <c r="AL110" s="13"/>
      <c r="AM110" s="15"/>
      <c r="AN110" s="13"/>
      <c r="AO110" s="13"/>
    </row>
    <row r="111" spans="1:41" ht="87" x14ac:dyDescent="0.35">
      <c r="A111" s="13" t="s">
        <v>238</v>
      </c>
      <c r="B111" s="13" t="s">
        <v>109</v>
      </c>
      <c r="C111" s="14">
        <v>44368.708333333336</v>
      </c>
      <c r="D111" s="13" t="s">
        <v>78</v>
      </c>
      <c r="E111" s="15" t="s">
        <v>79</v>
      </c>
      <c r="F111" s="13" t="s">
        <v>80</v>
      </c>
      <c r="G111" s="15" t="s">
        <v>81</v>
      </c>
      <c r="H111" s="13" t="s">
        <v>289</v>
      </c>
      <c r="I111" s="15" t="s">
        <v>290</v>
      </c>
      <c r="J111" s="15" t="s">
        <v>291</v>
      </c>
      <c r="K111" s="15" t="s">
        <v>292</v>
      </c>
      <c r="L111" s="13" t="s">
        <v>293</v>
      </c>
      <c r="M111" s="15" t="s">
        <v>294</v>
      </c>
      <c r="N111" s="13" t="s">
        <v>88</v>
      </c>
      <c r="O111" s="15" t="s">
        <v>89</v>
      </c>
      <c r="P111" s="15" t="s">
        <v>90</v>
      </c>
      <c r="Q111" s="15" t="s">
        <v>177</v>
      </c>
      <c r="R111" s="13" t="s">
        <v>178</v>
      </c>
      <c r="S111" s="13" t="s">
        <v>179</v>
      </c>
      <c r="T111" s="13" t="s">
        <v>112</v>
      </c>
      <c r="U111" s="14">
        <v>40725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  <c r="AF111" s="13"/>
      <c r="AG111" s="15"/>
      <c r="AH111" s="13"/>
      <c r="AI111" s="15"/>
      <c r="AJ111" s="13"/>
      <c r="AK111" s="15"/>
      <c r="AL111" s="13"/>
      <c r="AM111" s="15"/>
      <c r="AN111" s="13"/>
      <c r="AO111" s="13"/>
    </row>
    <row r="112" spans="1:41" ht="87" x14ac:dyDescent="0.35">
      <c r="A112" s="13" t="s">
        <v>238</v>
      </c>
      <c r="B112" s="13" t="s">
        <v>109</v>
      </c>
      <c r="C112" s="14">
        <v>44368.708333333336</v>
      </c>
      <c r="D112" s="13" t="s">
        <v>78</v>
      </c>
      <c r="E112" s="15" t="s">
        <v>79</v>
      </c>
      <c r="F112" s="13" t="s">
        <v>80</v>
      </c>
      <c r="G112" s="15" t="s">
        <v>81</v>
      </c>
      <c r="H112" s="13" t="s">
        <v>289</v>
      </c>
      <c r="I112" s="15" t="s">
        <v>290</v>
      </c>
      <c r="J112" s="15" t="s">
        <v>291</v>
      </c>
      <c r="K112" s="15" t="s">
        <v>292</v>
      </c>
      <c r="L112" s="13" t="s">
        <v>295</v>
      </c>
      <c r="M112" s="15" t="s">
        <v>296</v>
      </c>
      <c r="N112" s="13" t="s">
        <v>88</v>
      </c>
      <c r="O112" s="15" t="s">
        <v>97</v>
      </c>
      <c r="P112" s="15" t="s">
        <v>98</v>
      </c>
      <c r="Q112" s="15" t="s">
        <v>177</v>
      </c>
      <c r="R112" s="13" t="s">
        <v>178</v>
      </c>
      <c r="S112" s="13" t="s">
        <v>179</v>
      </c>
      <c r="T112" s="13" t="s">
        <v>112</v>
      </c>
      <c r="U112" s="14">
        <v>40725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5"/>
      <c r="AH112" s="13"/>
      <c r="AI112" s="15"/>
      <c r="AJ112" s="13"/>
      <c r="AK112" s="15"/>
      <c r="AL112" s="13"/>
      <c r="AM112" s="15"/>
      <c r="AN112" s="13"/>
      <c r="AO112" s="13"/>
    </row>
    <row r="113" spans="1:41" ht="87" x14ac:dyDescent="0.35">
      <c r="A113" s="13" t="s">
        <v>165</v>
      </c>
      <c r="B113" s="13" t="s">
        <v>109</v>
      </c>
      <c r="C113" s="14">
        <v>44715.407638888886</v>
      </c>
      <c r="D113" s="13" t="s">
        <v>78</v>
      </c>
      <c r="E113" s="15" t="s">
        <v>79</v>
      </c>
      <c r="F113" s="13" t="s">
        <v>80</v>
      </c>
      <c r="G113" s="15" t="s">
        <v>81</v>
      </c>
      <c r="H113" s="13" t="s">
        <v>289</v>
      </c>
      <c r="I113" s="15" t="s">
        <v>290</v>
      </c>
      <c r="J113" s="15" t="s">
        <v>291</v>
      </c>
      <c r="K113" s="15" t="s">
        <v>292</v>
      </c>
      <c r="L113" s="13" t="s">
        <v>297</v>
      </c>
      <c r="M113" s="15" t="s">
        <v>298</v>
      </c>
      <c r="N113" s="13" t="s">
        <v>101</v>
      </c>
      <c r="O113" s="15" t="s">
        <v>102</v>
      </c>
      <c r="P113" s="15" t="s">
        <v>103</v>
      </c>
      <c r="Q113" s="15" t="s">
        <v>177</v>
      </c>
      <c r="R113" s="13" t="s">
        <v>178</v>
      </c>
      <c r="S113" s="13" t="s">
        <v>179</v>
      </c>
      <c r="T113" s="13" t="s">
        <v>112</v>
      </c>
      <c r="U113" s="14">
        <v>40725</v>
      </c>
      <c r="V113" s="14">
        <v>44633</v>
      </c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5"/>
      <c r="AH113" s="13"/>
      <c r="AI113" s="15"/>
      <c r="AJ113" s="13"/>
      <c r="AK113" s="15"/>
      <c r="AL113" s="13"/>
      <c r="AM113" s="15"/>
      <c r="AN113" s="13"/>
      <c r="AO113" s="13"/>
    </row>
    <row r="114" spans="1:41" ht="87" x14ac:dyDescent="0.35">
      <c r="A114" s="13" t="s">
        <v>165</v>
      </c>
      <c r="B114" s="13" t="s">
        <v>77</v>
      </c>
      <c r="C114" s="14">
        <v>44715.408333333333</v>
      </c>
      <c r="D114" s="13" t="s">
        <v>78</v>
      </c>
      <c r="E114" s="15" t="s">
        <v>79</v>
      </c>
      <c r="F114" s="13" t="s">
        <v>80</v>
      </c>
      <c r="G114" s="15" t="s">
        <v>81</v>
      </c>
      <c r="H114" s="13" t="s">
        <v>289</v>
      </c>
      <c r="I114" s="15" t="s">
        <v>290</v>
      </c>
      <c r="J114" s="15" t="s">
        <v>291</v>
      </c>
      <c r="K114" s="15" t="s">
        <v>292</v>
      </c>
      <c r="L114" s="13" t="s">
        <v>297</v>
      </c>
      <c r="M114" s="15" t="s">
        <v>298</v>
      </c>
      <c r="N114" s="13" t="s">
        <v>101</v>
      </c>
      <c r="O114" s="15" t="s">
        <v>102</v>
      </c>
      <c r="P114" s="15" t="s">
        <v>103</v>
      </c>
      <c r="Q114" s="15" t="s">
        <v>177</v>
      </c>
      <c r="R114" s="13" t="s">
        <v>178</v>
      </c>
      <c r="S114" s="13" t="s">
        <v>179</v>
      </c>
      <c r="T114" s="13" t="s">
        <v>112</v>
      </c>
      <c r="U114" s="14">
        <v>44634</v>
      </c>
      <c r="V114" s="14"/>
      <c r="W114" s="15"/>
      <c r="X114" s="13"/>
      <c r="Y114" s="15"/>
      <c r="Z114" s="13"/>
      <c r="AA114" s="15"/>
      <c r="AB114" s="13"/>
      <c r="AC114" s="15"/>
      <c r="AD114" s="13"/>
      <c r="AE114" s="15"/>
      <c r="AF114" s="13"/>
      <c r="AG114" s="15"/>
      <c r="AH114" s="13"/>
      <c r="AI114" s="15"/>
      <c r="AJ114" s="13"/>
      <c r="AK114" s="15"/>
      <c r="AL114" s="13"/>
      <c r="AM114" s="15"/>
      <c r="AN114" s="13"/>
      <c r="AO114" s="13"/>
    </row>
    <row r="115" spans="1:41" ht="87" x14ac:dyDescent="0.35">
      <c r="A115" s="13" t="s">
        <v>238</v>
      </c>
      <c r="B115" s="13" t="s">
        <v>109</v>
      </c>
      <c r="C115" s="14">
        <v>44368.708333333336</v>
      </c>
      <c r="D115" s="13" t="s">
        <v>78</v>
      </c>
      <c r="E115" s="15" t="s">
        <v>79</v>
      </c>
      <c r="F115" s="13" t="s">
        <v>80</v>
      </c>
      <c r="G115" s="15" t="s">
        <v>81</v>
      </c>
      <c r="H115" s="13" t="s">
        <v>289</v>
      </c>
      <c r="I115" s="15" t="s">
        <v>290</v>
      </c>
      <c r="J115" s="15" t="s">
        <v>291</v>
      </c>
      <c r="K115" s="15" t="s">
        <v>292</v>
      </c>
      <c r="L115" s="13" t="s">
        <v>293</v>
      </c>
      <c r="M115" s="15" t="s">
        <v>294</v>
      </c>
      <c r="N115" s="13" t="s">
        <v>88</v>
      </c>
      <c r="O115" s="15" t="s">
        <v>89</v>
      </c>
      <c r="P115" s="15" t="s">
        <v>90</v>
      </c>
      <c r="Q115" s="15" t="s">
        <v>201</v>
      </c>
      <c r="R115" s="13" t="s">
        <v>202</v>
      </c>
      <c r="S115" s="13" t="s">
        <v>179</v>
      </c>
      <c r="T115" s="13" t="s">
        <v>112</v>
      </c>
      <c r="U115" s="14">
        <v>40725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5"/>
      <c r="AH115" s="13"/>
      <c r="AI115" s="15"/>
      <c r="AJ115" s="13"/>
      <c r="AK115" s="15"/>
      <c r="AL115" s="13"/>
      <c r="AM115" s="15"/>
      <c r="AN115" s="13"/>
      <c r="AO115" s="13"/>
    </row>
    <row r="116" spans="1:41" ht="87" x14ac:dyDescent="0.35">
      <c r="A116" s="13" t="s">
        <v>238</v>
      </c>
      <c r="B116" s="13" t="s">
        <v>109</v>
      </c>
      <c r="C116" s="14">
        <v>44368.708333333336</v>
      </c>
      <c r="D116" s="13" t="s">
        <v>78</v>
      </c>
      <c r="E116" s="15" t="s">
        <v>79</v>
      </c>
      <c r="F116" s="13" t="s">
        <v>80</v>
      </c>
      <c r="G116" s="15" t="s">
        <v>81</v>
      </c>
      <c r="H116" s="13" t="s">
        <v>289</v>
      </c>
      <c r="I116" s="15" t="s">
        <v>290</v>
      </c>
      <c r="J116" s="15" t="s">
        <v>291</v>
      </c>
      <c r="K116" s="15" t="s">
        <v>292</v>
      </c>
      <c r="L116" s="13" t="s">
        <v>295</v>
      </c>
      <c r="M116" s="15" t="s">
        <v>296</v>
      </c>
      <c r="N116" s="13" t="s">
        <v>88</v>
      </c>
      <c r="O116" s="15" t="s">
        <v>97</v>
      </c>
      <c r="P116" s="15" t="s">
        <v>98</v>
      </c>
      <c r="Q116" s="15" t="s">
        <v>201</v>
      </c>
      <c r="R116" s="13" t="s">
        <v>202</v>
      </c>
      <c r="S116" s="13" t="s">
        <v>179</v>
      </c>
      <c r="T116" s="13" t="s">
        <v>112</v>
      </c>
      <c r="U116" s="14">
        <v>40725</v>
      </c>
      <c r="V116" s="14"/>
      <c r="W116" s="15"/>
      <c r="X116" s="13"/>
      <c r="Y116" s="15"/>
      <c r="Z116" s="13"/>
      <c r="AA116" s="15"/>
      <c r="AB116" s="13"/>
      <c r="AC116" s="15"/>
      <c r="AD116" s="13"/>
      <c r="AE116" s="15"/>
      <c r="AF116" s="13"/>
      <c r="AG116" s="15"/>
      <c r="AH116" s="13"/>
      <c r="AI116" s="15"/>
      <c r="AJ116" s="13"/>
      <c r="AK116" s="15"/>
      <c r="AL116" s="13"/>
      <c r="AM116" s="15"/>
      <c r="AN116" s="13"/>
      <c r="AO116" s="13"/>
    </row>
    <row r="117" spans="1:41" ht="87" x14ac:dyDescent="0.35">
      <c r="A117" s="13" t="s">
        <v>165</v>
      </c>
      <c r="B117" s="13" t="s">
        <v>109</v>
      </c>
      <c r="C117" s="14">
        <v>44715.404861111114</v>
      </c>
      <c r="D117" s="13" t="s">
        <v>78</v>
      </c>
      <c r="E117" s="15" t="s">
        <v>79</v>
      </c>
      <c r="F117" s="13" t="s">
        <v>80</v>
      </c>
      <c r="G117" s="15" t="s">
        <v>81</v>
      </c>
      <c r="H117" s="13" t="s">
        <v>289</v>
      </c>
      <c r="I117" s="15" t="s">
        <v>290</v>
      </c>
      <c r="J117" s="15" t="s">
        <v>291</v>
      </c>
      <c r="K117" s="15" t="s">
        <v>292</v>
      </c>
      <c r="L117" s="13" t="s">
        <v>297</v>
      </c>
      <c r="M117" s="15" t="s">
        <v>298</v>
      </c>
      <c r="N117" s="13" t="s">
        <v>101</v>
      </c>
      <c r="O117" s="15" t="s">
        <v>102</v>
      </c>
      <c r="P117" s="15" t="s">
        <v>103</v>
      </c>
      <c r="Q117" s="15" t="s">
        <v>201</v>
      </c>
      <c r="R117" s="13" t="s">
        <v>202</v>
      </c>
      <c r="S117" s="13" t="s">
        <v>179</v>
      </c>
      <c r="T117" s="13" t="s">
        <v>112</v>
      </c>
      <c r="U117" s="14">
        <v>40725</v>
      </c>
      <c r="V117" s="14">
        <v>44633</v>
      </c>
      <c r="W117" s="15"/>
      <c r="X117" s="13"/>
      <c r="Y117" s="15"/>
      <c r="Z117" s="13"/>
      <c r="AA117" s="15"/>
      <c r="AB117" s="13"/>
      <c r="AC117" s="15"/>
      <c r="AD117" s="13"/>
      <c r="AE117" s="15"/>
      <c r="AF117" s="13"/>
      <c r="AG117" s="15"/>
      <c r="AH117" s="13"/>
      <c r="AI117" s="15"/>
      <c r="AJ117" s="13"/>
      <c r="AK117" s="15"/>
      <c r="AL117" s="13"/>
      <c r="AM117" s="15"/>
      <c r="AN117" s="13"/>
      <c r="AO117" s="13"/>
    </row>
    <row r="118" spans="1:41" ht="87" x14ac:dyDescent="0.35">
      <c r="A118" s="13" t="s">
        <v>165</v>
      </c>
      <c r="B118" s="13" t="s">
        <v>77</v>
      </c>
      <c r="C118" s="14">
        <v>44715.406944444447</v>
      </c>
      <c r="D118" s="13" t="s">
        <v>78</v>
      </c>
      <c r="E118" s="15" t="s">
        <v>79</v>
      </c>
      <c r="F118" s="13" t="s">
        <v>80</v>
      </c>
      <c r="G118" s="15" t="s">
        <v>81</v>
      </c>
      <c r="H118" s="13" t="s">
        <v>289</v>
      </c>
      <c r="I118" s="15" t="s">
        <v>290</v>
      </c>
      <c r="J118" s="15" t="s">
        <v>291</v>
      </c>
      <c r="K118" s="15" t="s">
        <v>292</v>
      </c>
      <c r="L118" s="13" t="s">
        <v>297</v>
      </c>
      <c r="M118" s="15" t="s">
        <v>298</v>
      </c>
      <c r="N118" s="13" t="s">
        <v>101</v>
      </c>
      <c r="O118" s="15" t="s">
        <v>102</v>
      </c>
      <c r="P118" s="15" t="s">
        <v>103</v>
      </c>
      <c r="Q118" s="15" t="s">
        <v>201</v>
      </c>
      <c r="R118" s="13" t="s">
        <v>202</v>
      </c>
      <c r="S118" s="13" t="s">
        <v>179</v>
      </c>
      <c r="T118" s="13" t="s">
        <v>112</v>
      </c>
      <c r="U118" s="14">
        <v>44634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5"/>
      <c r="AH118" s="13"/>
      <c r="AI118" s="15"/>
      <c r="AJ118" s="13"/>
      <c r="AK118" s="15"/>
      <c r="AL118" s="13"/>
      <c r="AM118" s="15"/>
      <c r="AN118" s="13"/>
      <c r="AO118" s="13"/>
    </row>
    <row r="119" spans="1:41" ht="72.5" x14ac:dyDescent="0.35">
      <c r="A119" s="13" t="s">
        <v>76</v>
      </c>
      <c r="B119" s="13" t="s">
        <v>77</v>
      </c>
      <c r="C119" s="14">
        <v>43152.5</v>
      </c>
      <c r="D119" s="13" t="s">
        <v>78</v>
      </c>
      <c r="E119" s="15" t="s">
        <v>79</v>
      </c>
      <c r="F119" s="13" t="s">
        <v>80</v>
      </c>
      <c r="G119" s="15" t="s">
        <v>81</v>
      </c>
      <c r="H119" s="13" t="s">
        <v>314</v>
      </c>
      <c r="I119" s="15" t="s">
        <v>315</v>
      </c>
      <c r="J119" s="15" t="s">
        <v>316</v>
      </c>
      <c r="K119" s="15" t="s">
        <v>317</v>
      </c>
      <c r="L119" s="13" t="s">
        <v>318</v>
      </c>
      <c r="M119" s="15" t="s">
        <v>319</v>
      </c>
      <c r="N119" s="13" t="s">
        <v>88</v>
      </c>
      <c r="O119" s="15" t="s">
        <v>89</v>
      </c>
      <c r="P119" s="15" t="s">
        <v>90</v>
      </c>
      <c r="Q119" s="15" t="s">
        <v>91</v>
      </c>
      <c r="R119" s="13" t="s">
        <v>92</v>
      </c>
      <c r="S119" s="13" t="s">
        <v>93</v>
      </c>
      <c r="T119" s="13" t="s">
        <v>94</v>
      </c>
      <c r="U119" s="14">
        <v>40725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/>
      <c r="AK119" s="15"/>
      <c r="AL119" s="13"/>
      <c r="AM119" s="15"/>
      <c r="AN119" s="13"/>
      <c r="AO119" s="13"/>
    </row>
    <row r="120" spans="1:41" ht="72.5" x14ac:dyDescent="0.35">
      <c r="A120" s="13" t="s">
        <v>76</v>
      </c>
      <c r="B120" s="13" t="s">
        <v>77</v>
      </c>
      <c r="C120" s="14">
        <v>43152.5</v>
      </c>
      <c r="D120" s="13" t="s">
        <v>78</v>
      </c>
      <c r="E120" s="15" t="s">
        <v>79</v>
      </c>
      <c r="F120" s="13" t="s">
        <v>80</v>
      </c>
      <c r="G120" s="15" t="s">
        <v>81</v>
      </c>
      <c r="H120" s="13" t="s">
        <v>314</v>
      </c>
      <c r="I120" s="15" t="s">
        <v>315</v>
      </c>
      <c r="J120" s="15" t="s">
        <v>316</v>
      </c>
      <c r="K120" s="15" t="s">
        <v>317</v>
      </c>
      <c r="L120" s="13" t="s">
        <v>320</v>
      </c>
      <c r="M120" s="15" t="s">
        <v>321</v>
      </c>
      <c r="N120" s="13" t="s">
        <v>88</v>
      </c>
      <c r="O120" s="15" t="s">
        <v>97</v>
      </c>
      <c r="P120" s="15" t="s">
        <v>98</v>
      </c>
      <c r="Q120" s="15" t="s">
        <v>91</v>
      </c>
      <c r="R120" s="13" t="s">
        <v>92</v>
      </c>
      <c r="S120" s="13" t="s">
        <v>93</v>
      </c>
      <c r="T120" s="13" t="s">
        <v>94</v>
      </c>
      <c r="U120" s="14">
        <v>40725</v>
      </c>
      <c r="V120" s="14"/>
      <c r="W120" s="15"/>
      <c r="X120" s="13"/>
      <c r="Y120" s="15"/>
      <c r="Z120" s="13"/>
      <c r="AA120" s="15"/>
      <c r="AB120" s="13"/>
      <c r="AC120" s="15"/>
      <c r="AD120" s="13"/>
      <c r="AE120" s="15"/>
      <c r="AF120" s="13"/>
      <c r="AG120" s="15"/>
      <c r="AH120" s="13"/>
      <c r="AI120" s="15"/>
      <c r="AJ120" s="13"/>
      <c r="AK120" s="15"/>
      <c r="AL120" s="13"/>
      <c r="AM120" s="15"/>
      <c r="AN120" s="13"/>
      <c r="AO120" s="13"/>
    </row>
    <row r="121" spans="1:41" ht="72.5" x14ac:dyDescent="0.35">
      <c r="A121" s="13" t="s">
        <v>76</v>
      </c>
      <c r="B121" s="13" t="s">
        <v>77</v>
      </c>
      <c r="C121" s="14">
        <v>43152.5</v>
      </c>
      <c r="D121" s="13" t="s">
        <v>78</v>
      </c>
      <c r="E121" s="15" t="s">
        <v>79</v>
      </c>
      <c r="F121" s="13" t="s">
        <v>80</v>
      </c>
      <c r="G121" s="15" t="s">
        <v>81</v>
      </c>
      <c r="H121" s="13" t="s">
        <v>314</v>
      </c>
      <c r="I121" s="15" t="s">
        <v>315</v>
      </c>
      <c r="J121" s="15" t="s">
        <v>316</v>
      </c>
      <c r="K121" s="15" t="s">
        <v>317</v>
      </c>
      <c r="L121" s="13" t="s">
        <v>322</v>
      </c>
      <c r="M121" s="15" t="s">
        <v>323</v>
      </c>
      <c r="N121" s="13" t="s">
        <v>101</v>
      </c>
      <c r="O121" s="15" t="s">
        <v>102</v>
      </c>
      <c r="P121" s="15" t="s">
        <v>103</v>
      </c>
      <c r="Q121" s="15" t="s">
        <v>91</v>
      </c>
      <c r="R121" s="13" t="s">
        <v>92</v>
      </c>
      <c r="S121" s="13" t="s">
        <v>93</v>
      </c>
      <c r="T121" s="13" t="s">
        <v>94</v>
      </c>
      <c r="U121" s="14">
        <v>40725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3"/>
    </row>
    <row r="122" spans="1:41" ht="72.5" x14ac:dyDescent="0.35">
      <c r="A122" s="13" t="s">
        <v>76</v>
      </c>
      <c r="B122" s="13" t="s">
        <v>77</v>
      </c>
      <c r="C122" s="14">
        <v>43152.5</v>
      </c>
      <c r="D122" s="13" t="s">
        <v>78</v>
      </c>
      <c r="E122" s="15" t="s">
        <v>79</v>
      </c>
      <c r="F122" s="13" t="s">
        <v>80</v>
      </c>
      <c r="G122" s="15" t="s">
        <v>81</v>
      </c>
      <c r="H122" s="13" t="s">
        <v>314</v>
      </c>
      <c r="I122" s="15" t="s">
        <v>315</v>
      </c>
      <c r="J122" s="15" t="s">
        <v>316</v>
      </c>
      <c r="K122" s="15" t="s">
        <v>317</v>
      </c>
      <c r="L122" s="13" t="s">
        <v>318</v>
      </c>
      <c r="M122" s="15" t="s">
        <v>319</v>
      </c>
      <c r="N122" s="13" t="s">
        <v>88</v>
      </c>
      <c r="O122" s="15" t="s">
        <v>89</v>
      </c>
      <c r="P122" s="15" t="s">
        <v>90</v>
      </c>
      <c r="Q122" s="15" t="s">
        <v>104</v>
      </c>
      <c r="R122" s="13" t="s">
        <v>105</v>
      </c>
      <c r="S122" s="13" t="s">
        <v>93</v>
      </c>
      <c r="T122" s="13" t="s">
        <v>94</v>
      </c>
      <c r="U122" s="14">
        <v>40725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3"/>
    </row>
    <row r="123" spans="1:41" ht="72.5" x14ac:dyDescent="0.35">
      <c r="A123" s="13" t="s">
        <v>76</v>
      </c>
      <c r="B123" s="13" t="s">
        <v>77</v>
      </c>
      <c r="C123" s="14">
        <v>43152.5</v>
      </c>
      <c r="D123" s="13" t="s">
        <v>78</v>
      </c>
      <c r="E123" s="15" t="s">
        <v>79</v>
      </c>
      <c r="F123" s="13" t="s">
        <v>80</v>
      </c>
      <c r="G123" s="15" t="s">
        <v>81</v>
      </c>
      <c r="H123" s="13" t="s">
        <v>314</v>
      </c>
      <c r="I123" s="15" t="s">
        <v>315</v>
      </c>
      <c r="J123" s="15" t="s">
        <v>316</v>
      </c>
      <c r="K123" s="15" t="s">
        <v>317</v>
      </c>
      <c r="L123" s="13" t="s">
        <v>320</v>
      </c>
      <c r="M123" s="15" t="s">
        <v>321</v>
      </c>
      <c r="N123" s="13" t="s">
        <v>88</v>
      </c>
      <c r="O123" s="15" t="s">
        <v>97</v>
      </c>
      <c r="P123" s="15" t="s">
        <v>98</v>
      </c>
      <c r="Q123" s="15" t="s">
        <v>104</v>
      </c>
      <c r="R123" s="13" t="s">
        <v>105</v>
      </c>
      <c r="S123" s="13" t="s">
        <v>93</v>
      </c>
      <c r="T123" s="13" t="s">
        <v>94</v>
      </c>
      <c r="U123" s="14">
        <v>40725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3"/>
    </row>
    <row r="124" spans="1:41" ht="72.5" x14ac:dyDescent="0.35">
      <c r="A124" s="13" t="s">
        <v>76</v>
      </c>
      <c r="B124" s="13" t="s">
        <v>77</v>
      </c>
      <c r="C124" s="14">
        <v>43152.5</v>
      </c>
      <c r="D124" s="13" t="s">
        <v>78</v>
      </c>
      <c r="E124" s="15" t="s">
        <v>79</v>
      </c>
      <c r="F124" s="13" t="s">
        <v>80</v>
      </c>
      <c r="G124" s="15" t="s">
        <v>81</v>
      </c>
      <c r="H124" s="13" t="s">
        <v>314</v>
      </c>
      <c r="I124" s="15" t="s">
        <v>315</v>
      </c>
      <c r="J124" s="15" t="s">
        <v>316</v>
      </c>
      <c r="K124" s="15" t="s">
        <v>317</v>
      </c>
      <c r="L124" s="13" t="s">
        <v>322</v>
      </c>
      <c r="M124" s="15" t="s">
        <v>323</v>
      </c>
      <c r="N124" s="13" t="s">
        <v>101</v>
      </c>
      <c r="O124" s="15" t="s">
        <v>102</v>
      </c>
      <c r="P124" s="15" t="s">
        <v>103</v>
      </c>
      <c r="Q124" s="15" t="s">
        <v>104</v>
      </c>
      <c r="R124" s="13" t="s">
        <v>105</v>
      </c>
      <c r="S124" s="13" t="s">
        <v>93</v>
      </c>
      <c r="T124" s="13" t="s">
        <v>94</v>
      </c>
      <c r="U124" s="14">
        <v>40725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5"/>
      <c r="AH124" s="13"/>
      <c r="AI124" s="15"/>
      <c r="AJ124" s="13"/>
      <c r="AK124" s="15"/>
      <c r="AL124" s="13"/>
      <c r="AM124" s="15"/>
      <c r="AN124" s="13"/>
      <c r="AO124" s="13"/>
    </row>
    <row r="125" spans="1:41" ht="72.5" x14ac:dyDescent="0.35">
      <c r="A125" s="13" t="s">
        <v>76</v>
      </c>
      <c r="B125" s="13" t="s">
        <v>77</v>
      </c>
      <c r="C125" s="14">
        <v>43152.5</v>
      </c>
      <c r="D125" s="13" t="s">
        <v>78</v>
      </c>
      <c r="E125" s="15" t="s">
        <v>79</v>
      </c>
      <c r="F125" s="13" t="s">
        <v>80</v>
      </c>
      <c r="G125" s="15" t="s">
        <v>81</v>
      </c>
      <c r="H125" s="13" t="s">
        <v>314</v>
      </c>
      <c r="I125" s="15" t="s">
        <v>315</v>
      </c>
      <c r="J125" s="15" t="s">
        <v>316</v>
      </c>
      <c r="K125" s="15" t="s">
        <v>317</v>
      </c>
      <c r="L125" s="13" t="s">
        <v>318</v>
      </c>
      <c r="M125" s="15" t="s">
        <v>319</v>
      </c>
      <c r="N125" s="13" t="s">
        <v>88</v>
      </c>
      <c r="O125" s="15" t="s">
        <v>89</v>
      </c>
      <c r="P125" s="15" t="s">
        <v>90</v>
      </c>
      <c r="Q125" s="15" t="s">
        <v>106</v>
      </c>
      <c r="R125" s="13" t="s">
        <v>107</v>
      </c>
      <c r="S125" s="13" t="s">
        <v>93</v>
      </c>
      <c r="T125" s="13" t="s">
        <v>94</v>
      </c>
      <c r="U125" s="14">
        <v>40725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5"/>
      <c r="AH125" s="13"/>
      <c r="AI125" s="15"/>
      <c r="AJ125" s="13"/>
      <c r="AK125" s="15"/>
      <c r="AL125" s="13"/>
      <c r="AM125" s="15"/>
      <c r="AN125" s="13"/>
      <c r="AO125" s="13"/>
    </row>
    <row r="126" spans="1:41" ht="72.5" x14ac:dyDescent="0.35">
      <c r="A126" s="13" t="s">
        <v>76</v>
      </c>
      <c r="B126" s="13" t="s">
        <v>77</v>
      </c>
      <c r="C126" s="14">
        <v>43152.5</v>
      </c>
      <c r="D126" s="13" t="s">
        <v>78</v>
      </c>
      <c r="E126" s="15" t="s">
        <v>79</v>
      </c>
      <c r="F126" s="13" t="s">
        <v>80</v>
      </c>
      <c r="G126" s="15" t="s">
        <v>81</v>
      </c>
      <c r="H126" s="13" t="s">
        <v>314</v>
      </c>
      <c r="I126" s="15" t="s">
        <v>315</v>
      </c>
      <c r="J126" s="15" t="s">
        <v>316</v>
      </c>
      <c r="K126" s="15" t="s">
        <v>317</v>
      </c>
      <c r="L126" s="13" t="s">
        <v>320</v>
      </c>
      <c r="M126" s="15" t="s">
        <v>321</v>
      </c>
      <c r="N126" s="13" t="s">
        <v>88</v>
      </c>
      <c r="O126" s="15" t="s">
        <v>97</v>
      </c>
      <c r="P126" s="15" t="s">
        <v>98</v>
      </c>
      <c r="Q126" s="15" t="s">
        <v>106</v>
      </c>
      <c r="R126" s="13" t="s">
        <v>107</v>
      </c>
      <c r="S126" s="13" t="s">
        <v>93</v>
      </c>
      <c r="T126" s="13" t="s">
        <v>94</v>
      </c>
      <c r="U126" s="14">
        <v>40725</v>
      </c>
      <c r="V126" s="14"/>
      <c r="W126" s="15"/>
      <c r="X126" s="13"/>
      <c r="Y126" s="15"/>
      <c r="Z126" s="13"/>
      <c r="AA126" s="15"/>
      <c r="AB126" s="13"/>
      <c r="AC126" s="15"/>
      <c r="AD126" s="13"/>
      <c r="AE126" s="15"/>
      <c r="AF126" s="13"/>
      <c r="AG126" s="15"/>
      <c r="AH126" s="13"/>
      <c r="AI126" s="15"/>
      <c r="AJ126" s="13"/>
      <c r="AK126" s="15"/>
      <c r="AL126" s="13"/>
      <c r="AM126" s="15"/>
      <c r="AN126" s="13"/>
      <c r="AO126" s="13"/>
    </row>
    <row r="127" spans="1:41" ht="72.5" x14ac:dyDescent="0.35">
      <c r="A127" s="13" t="s">
        <v>76</v>
      </c>
      <c r="B127" s="13" t="s">
        <v>77</v>
      </c>
      <c r="C127" s="14">
        <v>43152.5</v>
      </c>
      <c r="D127" s="13" t="s">
        <v>78</v>
      </c>
      <c r="E127" s="15" t="s">
        <v>79</v>
      </c>
      <c r="F127" s="13" t="s">
        <v>80</v>
      </c>
      <c r="G127" s="15" t="s">
        <v>81</v>
      </c>
      <c r="H127" s="13" t="s">
        <v>314</v>
      </c>
      <c r="I127" s="15" t="s">
        <v>315</v>
      </c>
      <c r="J127" s="15" t="s">
        <v>316</v>
      </c>
      <c r="K127" s="15" t="s">
        <v>317</v>
      </c>
      <c r="L127" s="13" t="s">
        <v>322</v>
      </c>
      <c r="M127" s="15" t="s">
        <v>323</v>
      </c>
      <c r="N127" s="13" t="s">
        <v>101</v>
      </c>
      <c r="O127" s="15" t="s">
        <v>102</v>
      </c>
      <c r="P127" s="15" t="s">
        <v>103</v>
      </c>
      <c r="Q127" s="15" t="s">
        <v>106</v>
      </c>
      <c r="R127" s="13" t="s">
        <v>107</v>
      </c>
      <c r="S127" s="13" t="s">
        <v>93</v>
      </c>
      <c r="T127" s="13" t="s">
        <v>94</v>
      </c>
      <c r="U127" s="14">
        <v>40725</v>
      </c>
      <c r="V127" s="14"/>
      <c r="W127" s="15"/>
      <c r="X127" s="13"/>
      <c r="Y127" s="15"/>
      <c r="Z127" s="13"/>
      <c r="AA127" s="15"/>
      <c r="AB127" s="13"/>
      <c r="AC127" s="15"/>
      <c r="AD127" s="13"/>
      <c r="AE127" s="15"/>
      <c r="AF127" s="13"/>
      <c r="AG127" s="15"/>
      <c r="AH127" s="13"/>
      <c r="AI127" s="15"/>
      <c r="AJ127" s="13"/>
      <c r="AK127" s="15"/>
      <c r="AL127" s="13"/>
      <c r="AM127" s="15"/>
      <c r="AN127" s="13"/>
      <c r="AO127" s="13"/>
    </row>
    <row r="128" spans="1:41" ht="145" x14ac:dyDescent="0.35">
      <c r="A128" s="13" t="s">
        <v>238</v>
      </c>
      <c r="B128" s="13" t="s">
        <v>109</v>
      </c>
      <c r="C128" s="14">
        <v>44368.708333333336</v>
      </c>
      <c r="D128" s="13" t="s">
        <v>78</v>
      </c>
      <c r="E128" s="15" t="s">
        <v>79</v>
      </c>
      <c r="F128" s="13" t="s">
        <v>80</v>
      </c>
      <c r="G128" s="15" t="s">
        <v>81</v>
      </c>
      <c r="H128" s="13" t="s">
        <v>314</v>
      </c>
      <c r="I128" s="15" t="s">
        <v>315</v>
      </c>
      <c r="J128" s="15" t="s">
        <v>316</v>
      </c>
      <c r="K128" s="15" t="s">
        <v>317</v>
      </c>
      <c r="L128" s="13" t="s">
        <v>318</v>
      </c>
      <c r="M128" s="15" t="s">
        <v>319</v>
      </c>
      <c r="N128" s="13" t="s">
        <v>88</v>
      </c>
      <c r="O128" s="15" t="s">
        <v>89</v>
      </c>
      <c r="P128" s="15" t="s">
        <v>90</v>
      </c>
      <c r="Q128" s="15" t="s">
        <v>110</v>
      </c>
      <c r="R128" s="13" t="s">
        <v>111</v>
      </c>
      <c r="S128" s="13" t="s">
        <v>93</v>
      </c>
      <c r="T128" s="13" t="s">
        <v>112</v>
      </c>
      <c r="U128" s="14">
        <v>40725</v>
      </c>
      <c r="V128" s="14"/>
      <c r="W128" s="15" t="s">
        <v>630</v>
      </c>
      <c r="X128" s="13" t="s">
        <v>614</v>
      </c>
      <c r="Y128" s="15" t="str">
        <f>VLOOKUP(X128,'Axe 2 Règles de gestion'!$D$2:$F$146,3, FALSE)</f>
        <v>Rémunération : L'agent ne perçoit plus son traitement.</v>
      </c>
      <c r="Z128" s="13" t="s">
        <v>616</v>
      </c>
      <c r="AA128" s="15" t="str">
        <f>VLOOKUP(Z128,'Axe 2 Règles de gestion'!$D$2:$F$146,3, FALSE)</f>
        <v>Congés annuels : L'agent ne cumule pas de droits à congé.</v>
      </c>
      <c r="AB128" s="13" t="s">
        <v>618</v>
      </c>
      <c r="AC128" s="15" t="str">
        <f>VLOOKUP(AB128,'Axe 2 Règles de gestion'!$D$2:$F$146,3, FALSE)</f>
        <v>Carrière : L'agent voit sa carrière suspendue. Il perd ses droits à l'avancement.</v>
      </c>
      <c r="AD128" s="13" t="s">
        <v>631</v>
      </c>
      <c r="AE128" s="15" t="str">
        <f>VLOOKUP(AD128,'Axe 2 Règles de gestion'!$D$2:$F$146,3, FALSE)</f>
        <v>Retraite : Les périodes de congé sans traitement ne sont pas prises en compte pour la constitution du droit à pension et la liquidation de cette dernière.</v>
      </c>
      <c r="AF128" s="13" t="s">
        <v>622</v>
      </c>
      <c r="AG128" s="15" t="str">
        <f>VLOOKUP(AF128,'Axe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28" s="13" t="s">
        <v>624</v>
      </c>
      <c r="AI128" s="15" t="str">
        <f>VLOOKUP(AH128,'Axe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28" s="13" t="s">
        <v>626</v>
      </c>
      <c r="AK128" s="15" t="str">
        <f>VLOOKUP(AJ128,'Axe 2 Règles de gestion'!$D$2:$F$146,3, FALSE)</f>
        <v>Stage : Les congés sans traitement ne sont pas comptabilisés comme temps de stage. Ils reportent donc la date de fin de stage du nombre total de jours d'absence.</v>
      </c>
      <c r="AL128" s="13" t="s">
        <v>628</v>
      </c>
      <c r="AM128" s="15" t="str">
        <f>VLOOKUP(AL128,'Axe 2 Règles de gestion'!$D$2:$F$146,3, FALSE)</f>
        <v>Acte : Un acte administratif doit être produit.</v>
      </c>
      <c r="AN128" s="13"/>
      <c r="AO128" s="13"/>
    </row>
    <row r="129" spans="1:41" ht="145" x14ac:dyDescent="0.35">
      <c r="A129" s="13" t="s">
        <v>238</v>
      </c>
      <c r="B129" s="13" t="s">
        <v>109</v>
      </c>
      <c r="C129" s="14">
        <v>44368.708333333336</v>
      </c>
      <c r="D129" s="13" t="s">
        <v>78</v>
      </c>
      <c r="E129" s="15" t="s">
        <v>79</v>
      </c>
      <c r="F129" s="13" t="s">
        <v>80</v>
      </c>
      <c r="G129" s="15" t="s">
        <v>81</v>
      </c>
      <c r="H129" s="13" t="s">
        <v>314</v>
      </c>
      <c r="I129" s="15" t="s">
        <v>315</v>
      </c>
      <c r="J129" s="15" t="s">
        <v>316</v>
      </c>
      <c r="K129" s="15" t="s">
        <v>317</v>
      </c>
      <c r="L129" s="13" t="s">
        <v>320</v>
      </c>
      <c r="M129" s="15" t="s">
        <v>321</v>
      </c>
      <c r="N129" s="13" t="s">
        <v>88</v>
      </c>
      <c r="O129" s="15" t="s">
        <v>97</v>
      </c>
      <c r="P129" s="15" t="s">
        <v>98</v>
      </c>
      <c r="Q129" s="15" t="s">
        <v>110</v>
      </c>
      <c r="R129" s="13" t="s">
        <v>111</v>
      </c>
      <c r="S129" s="13" t="s">
        <v>93</v>
      </c>
      <c r="T129" s="13" t="s">
        <v>112</v>
      </c>
      <c r="U129" s="14">
        <v>40725</v>
      </c>
      <c r="V129" s="14"/>
      <c r="W129" s="15" t="s">
        <v>630</v>
      </c>
      <c r="X129" s="13" t="s">
        <v>614</v>
      </c>
      <c r="Y129" s="15" t="str">
        <f>VLOOKUP(X129,'Axe 2 Règles de gestion'!$D$2:$F$146,3, FALSE)</f>
        <v>Rémunération : L'agent ne perçoit plus son traitement.</v>
      </c>
      <c r="Z129" s="13" t="s">
        <v>616</v>
      </c>
      <c r="AA129" s="15" t="str">
        <f>VLOOKUP(Z129,'Axe 2 Règles de gestion'!$D$2:$F$146,3, FALSE)</f>
        <v>Congés annuels : L'agent ne cumule pas de droits à congé.</v>
      </c>
      <c r="AB129" s="13" t="s">
        <v>618</v>
      </c>
      <c r="AC129" s="15" t="str">
        <f>VLOOKUP(AB129,'Axe 2 Règles de gestion'!$D$2:$F$146,3, FALSE)</f>
        <v>Carrière : L'agent voit sa carrière suspendue. Il perd ses droits à l'avancement.</v>
      </c>
      <c r="AD129" s="13" t="s">
        <v>631</v>
      </c>
      <c r="AE129" s="15" t="str">
        <f>VLOOKUP(AD129,'Axe 2 Règles de gestion'!$D$2:$F$146,3, FALSE)</f>
        <v>Retraite : Les périodes de congé sans traitement ne sont pas prises en compte pour la constitution du droit à pension et la liquidation de cette dernière.</v>
      </c>
      <c r="AF129" s="13" t="s">
        <v>622</v>
      </c>
      <c r="AG129" s="15" t="str">
        <f>VLOOKUP(AF129,'Axe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29" s="13" t="s">
        <v>624</v>
      </c>
      <c r="AI129" s="15" t="str">
        <f>VLOOKUP(AH129,'Axe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29" s="13" t="s">
        <v>626</v>
      </c>
      <c r="AK129" s="15" t="str">
        <f>VLOOKUP(AJ129,'Axe 2 Règles de gestion'!$D$2:$F$146,3, FALSE)</f>
        <v>Stage : Les congés sans traitement ne sont pas comptabilisés comme temps de stage. Ils reportent donc la date de fin de stage du nombre total de jours d'absence.</v>
      </c>
      <c r="AL129" s="13" t="s">
        <v>628</v>
      </c>
      <c r="AM129" s="15" t="str">
        <f>VLOOKUP(AL129,'Axe 2 Règles de gestion'!$D$2:$F$146,3, FALSE)</f>
        <v>Acte : Un acte administratif doit être produit.</v>
      </c>
      <c r="AN129" s="13"/>
      <c r="AO129" s="13"/>
    </row>
    <row r="130" spans="1:41" ht="72.5" x14ac:dyDescent="0.35">
      <c r="A130" s="13" t="s">
        <v>165</v>
      </c>
      <c r="B130" s="13" t="s">
        <v>109</v>
      </c>
      <c r="C130" s="14">
        <v>44715.446527777778</v>
      </c>
      <c r="D130" s="13" t="s">
        <v>78</v>
      </c>
      <c r="E130" s="15" t="s">
        <v>79</v>
      </c>
      <c r="F130" s="13" t="s">
        <v>80</v>
      </c>
      <c r="G130" s="15" t="s">
        <v>81</v>
      </c>
      <c r="H130" s="13" t="s">
        <v>314</v>
      </c>
      <c r="I130" s="15" t="s">
        <v>315</v>
      </c>
      <c r="J130" s="15" t="s">
        <v>316</v>
      </c>
      <c r="K130" s="15" t="s">
        <v>317</v>
      </c>
      <c r="L130" s="13" t="s">
        <v>322</v>
      </c>
      <c r="M130" s="15" t="s">
        <v>323</v>
      </c>
      <c r="N130" s="13" t="s">
        <v>101</v>
      </c>
      <c r="O130" s="15" t="s">
        <v>102</v>
      </c>
      <c r="P130" s="15" t="s">
        <v>103</v>
      </c>
      <c r="Q130" s="15" t="s">
        <v>110</v>
      </c>
      <c r="R130" s="13" t="s">
        <v>111</v>
      </c>
      <c r="S130" s="13" t="s">
        <v>93</v>
      </c>
      <c r="T130" s="13" t="s">
        <v>112</v>
      </c>
      <c r="U130" s="14">
        <v>40725</v>
      </c>
      <c r="V130" s="14">
        <v>44633</v>
      </c>
      <c r="W130" s="15"/>
      <c r="X130" s="13"/>
      <c r="Y130" s="15"/>
      <c r="Z130" s="13"/>
      <c r="AA130" s="15"/>
      <c r="AB130" s="13"/>
      <c r="AC130" s="15"/>
      <c r="AD130" s="13"/>
      <c r="AE130" s="15"/>
      <c r="AF130" s="13"/>
      <c r="AG130" s="15"/>
      <c r="AH130" s="13"/>
      <c r="AI130" s="15"/>
      <c r="AJ130" s="13"/>
      <c r="AK130" s="15"/>
      <c r="AL130" s="13"/>
      <c r="AM130" s="15"/>
      <c r="AN130" s="13"/>
      <c r="AO130" s="13"/>
    </row>
    <row r="131" spans="1:41" ht="72.5" x14ac:dyDescent="0.35">
      <c r="A131" s="13" t="s">
        <v>165</v>
      </c>
      <c r="B131" s="13" t="s">
        <v>77</v>
      </c>
      <c r="C131" s="14">
        <v>44715.447222222225</v>
      </c>
      <c r="D131" s="13" t="s">
        <v>78</v>
      </c>
      <c r="E131" s="15" t="s">
        <v>79</v>
      </c>
      <c r="F131" s="13" t="s">
        <v>80</v>
      </c>
      <c r="G131" s="15" t="s">
        <v>81</v>
      </c>
      <c r="H131" s="13" t="s">
        <v>314</v>
      </c>
      <c r="I131" s="15" t="s">
        <v>315</v>
      </c>
      <c r="J131" s="15" t="s">
        <v>316</v>
      </c>
      <c r="K131" s="15" t="s">
        <v>317</v>
      </c>
      <c r="L131" s="13" t="s">
        <v>322</v>
      </c>
      <c r="M131" s="15" t="s">
        <v>323</v>
      </c>
      <c r="N131" s="13" t="s">
        <v>101</v>
      </c>
      <c r="O131" s="15" t="s">
        <v>102</v>
      </c>
      <c r="P131" s="15" t="s">
        <v>103</v>
      </c>
      <c r="Q131" s="15" t="s">
        <v>110</v>
      </c>
      <c r="R131" s="13" t="s">
        <v>111</v>
      </c>
      <c r="S131" s="13" t="s">
        <v>93</v>
      </c>
      <c r="T131" s="13" t="s">
        <v>112</v>
      </c>
      <c r="U131" s="14">
        <v>44634</v>
      </c>
      <c r="V131" s="14"/>
      <c r="W131" s="15"/>
      <c r="X131" s="13"/>
      <c r="Y131" s="15"/>
      <c r="Z131" s="13"/>
      <c r="AA131" s="15"/>
      <c r="AB131" s="13"/>
      <c r="AC131" s="15"/>
      <c r="AD131" s="13"/>
      <c r="AE131" s="15"/>
      <c r="AF131" s="13"/>
      <c r="AG131" s="15"/>
      <c r="AH131" s="13"/>
      <c r="AI131" s="15"/>
      <c r="AJ131" s="13"/>
      <c r="AK131" s="15"/>
      <c r="AL131" s="13"/>
      <c r="AM131" s="15"/>
      <c r="AN131" s="13"/>
      <c r="AO131" s="13"/>
    </row>
    <row r="132" spans="1:41" ht="72.5" x14ac:dyDescent="0.35">
      <c r="A132" s="13" t="s">
        <v>76</v>
      </c>
      <c r="B132" s="13" t="s">
        <v>77</v>
      </c>
      <c r="C132" s="14">
        <v>43152.5</v>
      </c>
      <c r="D132" s="13" t="s">
        <v>78</v>
      </c>
      <c r="E132" s="15" t="s">
        <v>79</v>
      </c>
      <c r="F132" s="13" t="s">
        <v>80</v>
      </c>
      <c r="G132" s="15" t="s">
        <v>81</v>
      </c>
      <c r="H132" s="13" t="s">
        <v>314</v>
      </c>
      <c r="I132" s="15" t="s">
        <v>315</v>
      </c>
      <c r="J132" s="15" t="s">
        <v>316</v>
      </c>
      <c r="K132" s="15" t="s">
        <v>317</v>
      </c>
      <c r="L132" s="13" t="s">
        <v>318</v>
      </c>
      <c r="M132" s="15" t="s">
        <v>319</v>
      </c>
      <c r="N132" s="13" t="s">
        <v>88</v>
      </c>
      <c r="O132" s="15" t="s">
        <v>89</v>
      </c>
      <c r="P132" s="15" t="s">
        <v>90</v>
      </c>
      <c r="Q132" s="15" t="s">
        <v>175</v>
      </c>
      <c r="R132" s="13" t="s">
        <v>176</v>
      </c>
      <c r="S132" s="13" t="s">
        <v>93</v>
      </c>
      <c r="T132" s="13" t="s">
        <v>94</v>
      </c>
      <c r="U132" s="14">
        <v>40725</v>
      </c>
      <c r="V132" s="14"/>
      <c r="W132" s="15"/>
      <c r="X132" s="13"/>
      <c r="Y132" s="15"/>
      <c r="Z132" s="13"/>
      <c r="AA132" s="15"/>
      <c r="AB132" s="13"/>
      <c r="AC132" s="15"/>
      <c r="AD132" s="13"/>
      <c r="AE132" s="15"/>
      <c r="AF132" s="13"/>
      <c r="AG132" s="15"/>
      <c r="AH132" s="13"/>
      <c r="AI132" s="15"/>
      <c r="AJ132" s="13"/>
      <c r="AK132" s="15"/>
      <c r="AL132" s="13"/>
      <c r="AM132" s="15"/>
      <c r="AN132" s="13"/>
      <c r="AO132" s="13"/>
    </row>
    <row r="133" spans="1:41" ht="72.5" x14ac:dyDescent="0.35">
      <c r="A133" s="13" t="s">
        <v>76</v>
      </c>
      <c r="B133" s="13" t="s">
        <v>77</v>
      </c>
      <c r="C133" s="14">
        <v>43152.5</v>
      </c>
      <c r="D133" s="13" t="s">
        <v>78</v>
      </c>
      <c r="E133" s="15" t="s">
        <v>79</v>
      </c>
      <c r="F133" s="13" t="s">
        <v>80</v>
      </c>
      <c r="G133" s="15" t="s">
        <v>81</v>
      </c>
      <c r="H133" s="13" t="s">
        <v>314</v>
      </c>
      <c r="I133" s="15" t="s">
        <v>315</v>
      </c>
      <c r="J133" s="15" t="s">
        <v>316</v>
      </c>
      <c r="K133" s="15" t="s">
        <v>317</v>
      </c>
      <c r="L133" s="13" t="s">
        <v>320</v>
      </c>
      <c r="M133" s="15" t="s">
        <v>321</v>
      </c>
      <c r="N133" s="13" t="s">
        <v>88</v>
      </c>
      <c r="O133" s="15" t="s">
        <v>97</v>
      </c>
      <c r="P133" s="15" t="s">
        <v>98</v>
      </c>
      <c r="Q133" s="15" t="s">
        <v>175</v>
      </c>
      <c r="R133" s="13" t="s">
        <v>176</v>
      </c>
      <c r="S133" s="13" t="s">
        <v>93</v>
      </c>
      <c r="T133" s="13" t="s">
        <v>94</v>
      </c>
      <c r="U133" s="14">
        <v>40725</v>
      </c>
      <c r="V133" s="14"/>
      <c r="W133" s="15"/>
      <c r="X133" s="13"/>
      <c r="Y133" s="15"/>
      <c r="Z133" s="13"/>
      <c r="AA133" s="15"/>
      <c r="AB133" s="13"/>
      <c r="AC133" s="15"/>
      <c r="AD133" s="13"/>
      <c r="AE133" s="15"/>
      <c r="AF133" s="13"/>
      <c r="AG133" s="15"/>
      <c r="AH133" s="13"/>
      <c r="AI133" s="15"/>
      <c r="AJ133" s="13"/>
      <c r="AK133" s="15"/>
      <c r="AL133" s="13"/>
      <c r="AM133" s="15"/>
      <c r="AN133" s="13"/>
      <c r="AO133" s="13"/>
    </row>
    <row r="134" spans="1:41" ht="72.5" x14ac:dyDescent="0.35">
      <c r="A134" s="13" t="s">
        <v>76</v>
      </c>
      <c r="B134" s="13" t="s">
        <v>77</v>
      </c>
      <c r="C134" s="14">
        <v>43152.5</v>
      </c>
      <c r="D134" s="13" t="s">
        <v>78</v>
      </c>
      <c r="E134" s="15" t="s">
        <v>79</v>
      </c>
      <c r="F134" s="13" t="s">
        <v>80</v>
      </c>
      <c r="G134" s="15" t="s">
        <v>81</v>
      </c>
      <c r="H134" s="13" t="s">
        <v>314</v>
      </c>
      <c r="I134" s="15" t="s">
        <v>315</v>
      </c>
      <c r="J134" s="15" t="s">
        <v>316</v>
      </c>
      <c r="K134" s="15" t="s">
        <v>317</v>
      </c>
      <c r="L134" s="13" t="s">
        <v>322</v>
      </c>
      <c r="M134" s="15" t="s">
        <v>323</v>
      </c>
      <c r="N134" s="13" t="s">
        <v>101</v>
      </c>
      <c r="O134" s="15" t="s">
        <v>102</v>
      </c>
      <c r="P134" s="15" t="s">
        <v>103</v>
      </c>
      <c r="Q134" s="15" t="s">
        <v>175</v>
      </c>
      <c r="R134" s="13" t="s">
        <v>176</v>
      </c>
      <c r="S134" s="13" t="s">
        <v>93</v>
      </c>
      <c r="T134" s="13" t="s">
        <v>94</v>
      </c>
      <c r="U134" s="14">
        <v>40725</v>
      </c>
      <c r="V134" s="14"/>
      <c r="W134" s="15"/>
      <c r="X134" s="13"/>
      <c r="Y134" s="15"/>
      <c r="Z134" s="13"/>
      <c r="AA134" s="15"/>
      <c r="AB134" s="13"/>
      <c r="AC134" s="15"/>
      <c r="AD134" s="13"/>
      <c r="AE134" s="15"/>
      <c r="AF134" s="13"/>
      <c r="AG134" s="15"/>
      <c r="AH134" s="13"/>
      <c r="AI134" s="15"/>
      <c r="AJ134" s="13"/>
      <c r="AK134" s="15"/>
      <c r="AL134" s="13"/>
      <c r="AM134" s="15"/>
      <c r="AN134" s="13"/>
      <c r="AO134" s="13"/>
    </row>
    <row r="135" spans="1:41" ht="72.5" x14ac:dyDescent="0.35">
      <c r="A135" s="13" t="s">
        <v>238</v>
      </c>
      <c r="B135" s="13" t="s">
        <v>109</v>
      </c>
      <c r="C135" s="14">
        <v>44368.708333333336</v>
      </c>
      <c r="D135" s="13" t="s">
        <v>78</v>
      </c>
      <c r="E135" s="15" t="s">
        <v>79</v>
      </c>
      <c r="F135" s="13" t="s">
        <v>80</v>
      </c>
      <c r="G135" s="15" t="s">
        <v>81</v>
      </c>
      <c r="H135" s="13" t="s">
        <v>314</v>
      </c>
      <c r="I135" s="15" t="s">
        <v>315</v>
      </c>
      <c r="J135" s="15" t="s">
        <v>316</v>
      </c>
      <c r="K135" s="15" t="s">
        <v>317</v>
      </c>
      <c r="L135" s="13" t="s">
        <v>318</v>
      </c>
      <c r="M135" s="15" t="s">
        <v>319</v>
      </c>
      <c r="N135" s="13" t="s">
        <v>88</v>
      </c>
      <c r="O135" s="15" t="s">
        <v>89</v>
      </c>
      <c r="P135" s="15" t="s">
        <v>90</v>
      </c>
      <c r="Q135" s="15" t="s">
        <v>177</v>
      </c>
      <c r="R135" s="13" t="s">
        <v>178</v>
      </c>
      <c r="S135" s="13" t="s">
        <v>179</v>
      </c>
      <c r="T135" s="13" t="s">
        <v>112</v>
      </c>
      <c r="U135" s="14">
        <v>40725</v>
      </c>
      <c r="V135" s="14"/>
      <c r="W135" s="15"/>
      <c r="X135" s="13"/>
      <c r="Y135" s="15"/>
      <c r="Z135" s="13"/>
      <c r="AA135" s="15"/>
      <c r="AB135" s="13"/>
      <c r="AC135" s="15"/>
      <c r="AD135" s="13"/>
      <c r="AE135" s="15"/>
      <c r="AF135" s="13"/>
      <c r="AG135" s="15"/>
      <c r="AH135" s="13"/>
      <c r="AI135" s="15"/>
      <c r="AJ135" s="13"/>
      <c r="AK135" s="15"/>
      <c r="AL135" s="13"/>
      <c r="AM135" s="15"/>
      <c r="AN135" s="13"/>
      <c r="AO135" s="13"/>
    </row>
    <row r="136" spans="1:41" ht="72.5" x14ac:dyDescent="0.35">
      <c r="A136" s="13" t="s">
        <v>238</v>
      </c>
      <c r="B136" s="13" t="s">
        <v>109</v>
      </c>
      <c r="C136" s="14">
        <v>44368.708333333336</v>
      </c>
      <c r="D136" s="13" t="s">
        <v>78</v>
      </c>
      <c r="E136" s="15" t="s">
        <v>79</v>
      </c>
      <c r="F136" s="13" t="s">
        <v>80</v>
      </c>
      <c r="G136" s="15" t="s">
        <v>81</v>
      </c>
      <c r="H136" s="13" t="s">
        <v>314</v>
      </c>
      <c r="I136" s="15" t="s">
        <v>315</v>
      </c>
      <c r="J136" s="15" t="s">
        <v>316</v>
      </c>
      <c r="K136" s="15" t="s">
        <v>317</v>
      </c>
      <c r="L136" s="13" t="s">
        <v>320</v>
      </c>
      <c r="M136" s="15" t="s">
        <v>321</v>
      </c>
      <c r="N136" s="13" t="s">
        <v>88</v>
      </c>
      <c r="O136" s="15" t="s">
        <v>97</v>
      </c>
      <c r="P136" s="15" t="s">
        <v>98</v>
      </c>
      <c r="Q136" s="15" t="s">
        <v>177</v>
      </c>
      <c r="R136" s="13" t="s">
        <v>178</v>
      </c>
      <c r="S136" s="13" t="s">
        <v>179</v>
      </c>
      <c r="T136" s="13" t="s">
        <v>112</v>
      </c>
      <c r="U136" s="14">
        <v>40725</v>
      </c>
      <c r="V136" s="14"/>
      <c r="W136" s="15"/>
      <c r="X136" s="13"/>
      <c r="Y136" s="15"/>
      <c r="Z136" s="13"/>
      <c r="AA136" s="15"/>
      <c r="AB136" s="13"/>
      <c r="AC136" s="15"/>
      <c r="AD136" s="13"/>
      <c r="AE136" s="15"/>
      <c r="AF136" s="13"/>
      <c r="AG136" s="15"/>
      <c r="AH136" s="13"/>
      <c r="AI136" s="15"/>
      <c r="AJ136" s="13"/>
      <c r="AK136" s="15"/>
      <c r="AL136" s="13"/>
      <c r="AM136" s="15"/>
      <c r="AN136" s="13"/>
      <c r="AO136" s="13"/>
    </row>
    <row r="137" spans="1:41" ht="72.5" x14ac:dyDescent="0.35">
      <c r="A137" s="13" t="s">
        <v>165</v>
      </c>
      <c r="B137" s="13" t="s">
        <v>109</v>
      </c>
      <c r="C137" s="14">
        <v>44715.447916666664</v>
      </c>
      <c r="D137" s="13" t="s">
        <v>78</v>
      </c>
      <c r="E137" s="15" t="s">
        <v>79</v>
      </c>
      <c r="F137" s="13" t="s">
        <v>80</v>
      </c>
      <c r="G137" s="15" t="s">
        <v>81</v>
      </c>
      <c r="H137" s="13" t="s">
        <v>314</v>
      </c>
      <c r="I137" s="15" t="s">
        <v>315</v>
      </c>
      <c r="J137" s="15" t="s">
        <v>316</v>
      </c>
      <c r="K137" s="15" t="s">
        <v>317</v>
      </c>
      <c r="L137" s="13" t="s">
        <v>322</v>
      </c>
      <c r="M137" s="15" t="s">
        <v>323</v>
      </c>
      <c r="N137" s="13" t="s">
        <v>101</v>
      </c>
      <c r="O137" s="15" t="s">
        <v>102</v>
      </c>
      <c r="P137" s="15" t="s">
        <v>103</v>
      </c>
      <c r="Q137" s="15" t="s">
        <v>177</v>
      </c>
      <c r="R137" s="13" t="s">
        <v>178</v>
      </c>
      <c r="S137" s="13" t="s">
        <v>179</v>
      </c>
      <c r="T137" s="13" t="s">
        <v>112</v>
      </c>
      <c r="U137" s="14">
        <v>40725</v>
      </c>
      <c r="V137" s="14">
        <v>44633</v>
      </c>
      <c r="W137" s="15"/>
      <c r="X137" s="13"/>
      <c r="Y137" s="15"/>
      <c r="Z137" s="13"/>
      <c r="AA137" s="15"/>
      <c r="AB137" s="13"/>
      <c r="AC137" s="15"/>
      <c r="AD137" s="13"/>
      <c r="AE137" s="15"/>
      <c r="AF137" s="13"/>
      <c r="AG137" s="15"/>
      <c r="AH137" s="13"/>
      <c r="AI137" s="15"/>
      <c r="AJ137" s="13"/>
      <c r="AK137" s="15"/>
      <c r="AL137" s="13"/>
      <c r="AM137" s="15"/>
      <c r="AN137" s="13"/>
      <c r="AO137" s="13"/>
    </row>
    <row r="138" spans="1:41" ht="72.5" x14ac:dyDescent="0.35">
      <c r="A138" s="13" t="s">
        <v>165</v>
      </c>
      <c r="B138" s="13" t="s">
        <v>77</v>
      </c>
      <c r="C138" s="14">
        <v>44715.448611111111</v>
      </c>
      <c r="D138" s="13" t="s">
        <v>78</v>
      </c>
      <c r="E138" s="15" t="s">
        <v>79</v>
      </c>
      <c r="F138" s="13" t="s">
        <v>80</v>
      </c>
      <c r="G138" s="15" t="s">
        <v>81</v>
      </c>
      <c r="H138" s="13" t="s">
        <v>314</v>
      </c>
      <c r="I138" s="15" t="s">
        <v>315</v>
      </c>
      <c r="J138" s="15" t="s">
        <v>316</v>
      </c>
      <c r="K138" s="15" t="s">
        <v>317</v>
      </c>
      <c r="L138" s="13" t="s">
        <v>322</v>
      </c>
      <c r="M138" s="15" t="s">
        <v>323</v>
      </c>
      <c r="N138" s="13" t="s">
        <v>101</v>
      </c>
      <c r="O138" s="15" t="s">
        <v>102</v>
      </c>
      <c r="P138" s="15" t="s">
        <v>103</v>
      </c>
      <c r="Q138" s="15" t="s">
        <v>177</v>
      </c>
      <c r="R138" s="13" t="s">
        <v>178</v>
      </c>
      <c r="S138" s="13" t="s">
        <v>179</v>
      </c>
      <c r="T138" s="13" t="s">
        <v>112</v>
      </c>
      <c r="U138" s="14">
        <v>44634</v>
      </c>
      <c r="V138" s="14"/>
      <c r="W138" s="15"/>
      <c r="X138" s="13"/>
      <c r="Y138" s="15"/>
      <c r="Z138" s="13"/>
      <c r="AA138" s="15"/>
      <c r="AB138" s="13"/>
      <c r="AC138" s="15"/>
      <c r="AD138" s="13"/>
      <c r="AE138" s="15"/>
      <c r="AF138" s="13"/>
      <c r="AG138" s="15"/>
      <c r="AH138" s="13"/>
      <c r="AI138" s="15"/>
      <c r="AJ138" s="13"/>
      <c r="AK138" s="15"/>
      <c r="AL138" s="13"/>
      <c r="AM138" s="15"/>
      <c r="AN138" s="13"/>
      <c r="AO138" s="13"/>
    </row>
    <row r="139" spans="1:41" ht="72.5" x14ac:dyDescent="0.35">
      <c r="A139" s="13" t="s">
        <v>238</v>
      </c>
      <c r="B139" s="13" t="s">
        <v>109</v>
      </c>
      <c r="C139" s="14">
        <v>44368.708333333336</v>
      </c>
      <c r="D139" s="13" t="s">
        <v>78</v>
      </c>
      <c r="E139" s="15" t="s">
        <v>79</v>
      </c>
      <c r="F139" s="13" t="s">
        <v>80</v>
      </c>
      <c r="G139" s="15" t="s">
        <v>81</v>
      </c>
      <c r="H139" s="13" t="s">
        <v>314</v>
      </c>
      <c r="I139" s="15" t="s">
        <v>315</v>
      </c>
      <c r="J139" s="15" t="s">
        <v>316</v>
      </c>
      <c r="K139" s="15" t="s">
        <v>317</v>
      </c>
      <c r="L139" s="13" t="s">
        <v>318</v>
      </c>
      <c r="M139" s="15" t="s">
        <v>319</v>
      </c>
      <c r="N139" s="13" t="s">
        <v>88</v>
      </c>
      <c r="O139" s="15" t="s">
        <v>89</v>
      </c>
      <c r="P139" s="15" t="s">
        <v>90</v>
      </c>
      <c r="Q139" s="15" t="s">
        <v>201</v>
      </c>
      <c r="R139" s="13" t="s">
        <v>202</v>
      </c>
      <c r="S139" s="13" t="s">
        <v>179</v>
      </c>
      <c r="T139" s="13" t="s">
        <v>112</v>
      </c>
      <c r="U139" s="14">
        <v>40725</v>
      </c>
      <c r="V139" s="14"/>
      <c r="W139" s="15"/>
      <c r="X139" s="13"/>
      <c r="Y139" s="15"/>
      <c r="Z139" s="13"/>
      <c r="AA139" s="15"/>
      <c r="AB139" s="13"/>
      <c r="AC139" s="15"/>
      <c r="AD139" s="13"/>
      <c r="AE139" s="15"/>
      <c r="AF139" s="13"/>
      <c r="AG139" s="15"/>
      <c r="AH139" s="13"/>
      <c r="AI139" s="15"/>
      <c r="AJ139" s="13"/>
      <c r="AK139" s="15"/>
      <c r="AL139" s="13"/>
      <c r="AM139" s="15"/>
      <c r="AN139" s="13"/>
      <c r="AO139" s="13"/>
    </row>
    <row r="140" spans="1:41" ht="72.5" x14ac:dyDescent="0.35">
      <c r="A140" s="13" t="s">
        <v>238</v>
      </c>
      <c r="B140" s="13" t="s">
        <v>109</v>
      </c>
      <c r="C140" s="14">
        <v>44368.708333333336</v>
      </c>
      <c r="D140" s="13" t="s">
        <v>78</v>
      </c>
      <c r="E140" s="15" t="s">
        <v>79</v>
      </c>
      <c r="F140" s="13" t="s">
        <v>80</v>
      </c>
      <c r="G140" s="15" t="s">
        <v>81</v>
      </c>
      <c r="H140" s="13" t="s">
        <v>314</v>
      </c>
      <c r="I140" s="15" t="s">
        <v>315</v>
      </c>
      <c r="J140" s="15" t="s">
        <v>316</v>
      </c>
      <c r="K140" s="15" t="s">
        <v>317</v>
      </c>
      <c r="L140" s="13" t="s">
        <v>320</v>
      </c>
      <c r="M140" s="15" t="s">
        <v>321</v>
      </c>
      <c r="N140" s="13" t="s">
        <v>88</v>
      </c>
      <c r="O140" s="15" t="s">
        <v>97</v>
      </c>
      <c r="P140" s="15" t="s">
        <v>98</v>
      </c>
      <c r="Q140" s="15" t="s">
        <v>201</v>
      </c>
      <c r="R140" s="13" t="s">
        <v>202</v>
      </c>
      <c r="S140" s="13" t="s">
        <v>179</v>
      </c>
      <c r="T140" s="13" t="s">
        <v>112</v>
      </c>
      <c r="U140" s="14">
        <v>40725</v>
      </c>
      <c r="V140" s="14"/>
      <c r="W140" s="15"/>
      <c r="X140" s="13"/>
      <c r="Y140" s="15"/>
      <c r="Z140" s="13"/>
      <c r="AA140" s="15"/>
      <c r="AB140" s="13"/>
      <c r="AC140" s="15"/>
      <c r="AD140" s="13"/>
      <c r="AE140" s="15"/>
      <c r="AF140" s="13"/>
      <c r="AG140" s="15"/>
      <c r="AH140" s="13"/>
      <c r="AI140" s="15"/>
      <c r="AJ140" s="13"/>
      <c r="AK140" s="15"/>
      <c r="AL140" s="13"/>
      <c r="AM140" s="15"/>
      <c r="AN140" s="13"/>
      <c r="AO140" s="13"/>
    </row>
    <row r="141" spans="1:41" ht="72.5" x14ac:dyDescent="0.35">
      <c r="A141" s="13" t="s">
        <v>165</v>
      </c>
      <c r="B141" s="13" t="s">
        <v>109</v>
      </c>
      <c r="C141" s="14">
        <v>44715.447222222225</v>
      </c>
      <c r="D141" s="13" t="s">
        <v>78</v>
      </c>
      <c r="E141" s="15" t="s">
        <v>79</v>
      </c>
      <c r="F141" s="13" t="s">
        <v>80</v>
      </c>
      <c r="G141" s="15" t="s">
        <v>81</v>
      </c>
      <c r="H141" s="13" t="s">
        <v>314</v>
      </c>
      <c r="I141" s="15" t="s">
        <v>315</v>
      </c>
      <c r="J141" s="15" t="s">
        <v>316</v>
      </c>
      <c r="K141" s="15" t="s">
        <v>317</v>
      </c>
      <c r="L141" s="13" t="s">
        <v>322</v>
      </c>
      <c r="M141" s="15" t="s">
        <v>323</v>
      </c>
      <c r="N141" s="13" t="s">
        <v>101</v>
      </c>
      <c r="O141" s="15" t="s">
        <v>102</v>
      </c>
      <c r="P141" s="15" t="s">
        <v>103</v>
      </c>
      <c r="Q141" s="15" t="s">
        <v>201</v>
      </c>
      <c r="R141" s="13" t="s">
        <v>202</v>
      </c>
      <c r="S141" s="13" t="s">
        <v>179</v>
      </c>
      <c r="T141" s="13" t="s">
        <v>112</v>
      </c>
      <c r="U141" s="14">
        <v>40725</v>
      </c>
      <c r="V141" s="14">
        <v>44633</v>
      </c>
      <c r="W141" s="15"/>
      <c r="X141" s="13"/>
      <c r="Y141" s="15"/>
      <c r="Z141" s="13"/>
      <c r="AA141" s="15"/>
      <c r="AB141" s="13"/>
      <c r="AC141" s="15"/>
      <c r="AD141" s="13"/>
      <c r="AE141" s="15"/>
      <c r="AF141" s="13"/>
      <c r="AG141" s="15"/>
      <c r="AH141" s="13"/>
      <c r="AI141" s="15"/>
      <c r="AJ141" s="13"/>
      <c r="AK141" s="15"/>
      <c r="AL141" s="13"/>
      <c r="AM141" s="15"/>
      <c r="AN141" s="13"/>
      <c r="AO141" s="13"/>
    </row>
    <row r="142" spans="1:41" ht="72.5" x14ac:dyDescent="0.35">
      <c r="A142" s="13" t="s">
        <v>165</v>
      </c>
      <c r="B142" s="13" t="s">
        <v>77</v>
      </c>
      <c r="C142" s="14">
        <v>44715.447916666664</v>
      </c>
      <c r="D142" s="13" t="s">
        <v>78</v>
      </c>
      <c r="E142" s="15" t="s">
        <v>79</v>
      </c>
      <c r="F142" s="13" t="s">
        <v>80</v>
      </c>
      <c r="G142" s="15" t="s">
        <v>81</v>
      </c>
      <c r="H142" s="13" t="s">
        <v>314</v>
      </c>
      <c r="I142" s="15" t="s">
        <v>315</v>
      </c>
      <c r="J142" s="15" t="s">
        <v>316</v>
      </c>
      <c r="K142" s="15" t="s">
        <v>317</v>
      </c>
      <c r="L142" s="13" t="s">
        <v>322</v>
      </c>
      <c r="M142" s="15" t="s">
        <v>323</v>
      </c>
      <c r="N142" s="13" t="s">
        <v>101</v>
      </c>
      <c r="O142" s="15" t="s">
        <v>102</v>
      </c>
      <c r="P142" s="15" t="s">
        <v>103</v>
      </c>
      <c r="Q142" s="15" t="s">
        <v>201</v>
      </c>
      <c r="R142" s="13" t="s">
        <v>202</v>
      </c>
      <c r="S142" s="13" t="s">
        <v>179</v>
      </c>
      <c r="T142" s="13" t="s">
        <v>112</v>
      </c>
      <c r="U142" s="14">
        <v>44634</v>
      </c>
      <c r="V142" s="14"/>
      <c r="W142" s="15"/>
      <c r="X142" s="13"/>
      <c r="Y142" s="15"/>
      <c r="Z142" s="13"/>
      <c r="AA142" s="15"/>
      <c r="AB142" s="13"/>
      <c r="AC142" s="15"/>
      <c r="AD142" s="13"/>
      <c r="AE142" s="15"/>
      <c r="AF142" s="13"/>
      <c r="AG142" s="15"/>
      <c r="AH142" s="13"/>
      <c r="AI142" s="15"/>
      <c r="AJ142" s="13"/>
      <c r="AK142" s="15"/>
      <c r="AL142" s="13"/>
      <c r="AM142" s="15"/>
      <c r="AN142" s="13"/>
      <c r="AO142" s="13"/>
    </row>
    <row r="143" spans="1:41" ht="72.5" x14ac:dyDescent="0.35">
      <c r="A143" s="13" t="s">
        <v>76</v>
      </c>
      <c r="B143" s="13" t="s">
        <v>77</v>
      </c>
      <c r="C143" s="14">
        <v>43152.5</v>
      </c>
      <c r="D143" s="13" t="s">
        <v>78</v>
      </c>
      <c r="E143" s="15" t="s">
        <v>79</v>
      </c>
      <c r="F143" s="13" t="s">
        <v>80</v>
      </c>
      <c r="G143" s="15" t="s">
        <v>81</v>
      </c>
      <c r="H143" s="13" t="s">
        <v>339</v>
      </c>
      <c r="I143" s="15" t="s">
        <v>340</v>
      </c>
      <c r="J143" s="15" t="s">
        <v>341</v>
      </c>
      <c r="K143" s="15" t="s">
        <v>342</v>
      </c>
      <c r="L143" s="13" t="s">
        <v>343</v>
      </c>
      <c r="M143" s="15" t="s">
        <v>344</v>
      </c>
      <c r="N143" s="13" t="s">
        <v>88</v>
      </c>
      <c r="O143" s="15" t="s">
        <v>89</v>
      </c>
      <c r="P143" s="15" t="s">
        <v>90</v>
      </c>
      <c r="Q143" s="15" t="s">
        <v>91</v>
      </c>
      <c r="R143" s="13" t="s">
        <v>92</v>
      </c>
      <c r="S143" s="13" t="s">
        <v>93</v>
      </c>
      <c r="T143" s="13" t="s">
        <v>94</v>
      </c>
      <c r="U143" s="14">
        <v>40725</v>
      </c>
      <c r="V143" s="14"/>
      <c r="W143" s="15"/>
      <c r="X143" s="13"/>
      <c r="Y143" s="15"/>
      <c r="Z143" s="13"/>
      <c r="AA143" s="15"/>
      <c r="AB143" s="13"/>
      <c r="AC143" s="15"/>
      <c r="AD143" s="13"/>
      <c r="AE143" s="15"/>
      <c r="AF143" s="13"/>
      <c r="AG143" s="15"/>
      <c r="AH143" s="13"/>
      <c r="AI143" s="15"/>
      <c r="AJ143" s="13"/>
      <c r="AK143" s="15"/>
      <c r="AL143" s="13"/>
      <c r="AM143" s="15"/>
      <c r="AN143" s="13"/>
      <c r="AO143" s="13"/>
    </row>
    <row r="144" spans="1:41" ht="72.5" x14ac:dyDescent="0.35">
      <c r="A144" s="13" t="s">
        <v>76</v>
      </c>
      <c r="B144" s="13" t="s">
        <v>77</v>
      </c>
      <c r="C144" s="14">
        <v>43152.5</v>
      </c>
      <c r="D144" s="13" t="s">
        <v>78</v>
      </c>
      <c r="E144" s="15" t="s">
        <v>79</v>
      </c>
      <c r="F144" s="13" t="s">
        <v>80</v>
      </c>
      <c r="G144" s="15" t="s">
        <v>81</v>
      </c>
      <c r="H144" s="13" t="s">
        <v>339</v>
      </c>
      <c r="I144" s="15" t="s">
        <v>340</v>
      </c>
      <c r="J144" s="15" t="s">
        <v>341</v>
      </c>
      <c r="K144" s="15" t="s">
        <v>342</v>
      </c>
      <c r="L144" s="13" t="s">
        <v>345</v>
      </c>
      <c r="M144" s="15" t="s">
        <v>346</v>
      </c>
      <c r="N144" s="13" t="s">
        <v>88</v>
      </c>
      <c r="O144" s="15" t="s">
        <v>97</v>
      </c>
      <c r="P144" s="15" t="s">
        <v>98</v>
      </c>
      <c r="Q144" s="15" t="s">
        <v>91</v>
      </c>
      <c r="R144" s="13" t="s">
        <v>92</v>
      </c>
      <c r="S144" s="13" t="s">
        <v>93</v>
      </c>
      <c r="T144" s="13" t="s">
        <v>94</v>
      </c>
      <c r="U144" s="14">
        <v>40725</v>
      </c>
      <c r="V144" s="14"/>
      <c r="W144" s="15"/>
      <c r="X144" s="13"/>
      <c r="Y144" s="15"/>
      <c r="Z144" s="13"/>
      <c r="AA144" s="15"/>
      <c r="AB144" s="13"/>
      <c r="AC144" s="15"/>
      <c r="AD144" s="13"/>
      <c r="AE144" s="15"/>
      <c r="AF144" s="13"/>
      <c r="AG144" s="15"/>
      <c r="AH144" s="13"/>
      <c r="AI144" s="15"/>
      <c r="AJ144" s="13"/>
      <c r="AK144" s="15"/>
      <c r="AL144" s="13"/>
      <c r="AM144" s="15"/>
      <c r="AN144" s="13"/>
      <c r="AO144" s="13"/>
    </row>
    <row r="145" spans="1:41" ht="72.5" x14ac:dyDescent="0.35">
      <c r="A145" s="13" t="s">
        <v>76</v>
      </c>
      <c r="B145" s="13" t="s">
        <v>77</v>
      </c>
      <c r="C145" s="14">
        <v>43152.5</v>
      </c>
      <c r="D145" s="13" t="s">
        <v>78</v>
      </c>
      <c r="E145" s="15" t="s">
        <v>79</v>
      </c>
      <c r="F145" s="13" t="s">
        <v>80</v>
      </c>
      <c r="G145" s="15" t="s">
        <v>81</v>
      </c>
      <c r="H145" s="13" t="s">
        <v>339</v>
      </c>
      <c r="I145" s="15" t="s">
        <v>340</v>
      </c>
      <c r="J145" s="15" t="s">
        <v>341</v>
      </c>
      <c r="K145" s="15" t="s">
        <v>342</v>
      </c>
      <c r="L145" s="13" t="s">
        <v>347</v>
      </c>
      <c r="M145" s="15" t="s">
        <v>348</v>
      </c>
      <c r="N145" s="13" t="s">
        <v>101</v>
      </c>
      <c r="O145" s="15" t="s">
        <v>102</v>
      </c>
      <c r="P145" s="15" t="s">
        <v>103</v>
      </c>
      <c r="Q145" s="15" t="s">
        <v>91</v>
      </c>
      <c r="R145" s="13" t="s">
        <v>92</v>
      </c>
      <c r="S145" s="13" t="s">
        <v>93</v>
      </c>
      <c r="T145" s="13" t="s">
        <v>94</v>
      </c>
      <c r="U145" s="14">
        <v>40725</v>
      </c>
      <c r="V145" s="14"/>
      <c r="W145" s="15"/>
      <c r="X145" s="13"/>
      <c r="Y145" s="15"/>
      <c r="Z145" s="13"/>
      <c r="AA145" s="15"/>
      <c r="AB145" s="13"/>
      <c r="AC145" s="15"/>
      <c r="AD145" s="13"/>
      <c r="AE145" s="15"/>
      <c r="AF145" s="13"/>
      <c r="AG145" s="15"/>
      <c r="AH145" s="13"/>
      <c r="AI145" s="15"/>
      <c r="AJ145" s="13"/>
      <c r="AK145" s="15"/>
      <c r="AL145" s="13"/>
      <c r="AM145" s="15"/>
      <c r="AN145" s="13"/>
      <c r="AO145" s="13"/>
    </row>
    <row r="146" spans="1:41" ht="72.5" x14ac:dyDescent="0.35">
      <c r="A146" s="13" t="s">
        <v>76</v>
      </c>
      <c r="B146" s="13" t="s">
        <v>77</v>
      </c>
      <c r="C146" s="14">
        <v>43152.5</v>
      </c>
      <c r="D146" s="13" t="s">
        <v>78</v>
      </c>
      <c r="E146" s="15" t="s">
        <v>79</v>
      </c>
      <c r="F146" s="13" t="s">
        <v>80</v>
      </c>
      <c r="G146" s="15" t="s">
        <v>81</v>
      </c>
      <c r="H146" s="13" t="s">
        <v>339</v>
      </c>
      <c r="I146" s="15" t="s">
        <v>340</v>
      </c>
      <c r="J146" s="15" t="s">
        <v>341</v>
      </c>
      <c r="K146" s="15" t="s">
        <v>342</v>
      </c>
      <c r="L146" s="13" t="s">
        <v>343</v>
      </c>
      <c r="M146" s="15" t="s">
        <v>344</v>
      </c>
      <c r="N146" s="13" t="s">
        <v>88</v>
      </c>
      <c r="O146" s="15" t="s">
        <v>89</v>
      </c>
      <c r="P146" s="15" t="s">
        <v>90</v>
      </c>
      <c r="Q146" s="15" t="s">
        <v>104</v>
      </c>
      <c r="R146" s="13" t="s">
        <v>105</v>
      </c>
      <c r="S146" s="13" t="s">
        <v>93</v>
      </c>
      <c r="T146" s="13" t="s">
        <v>94</v>
      </c>
      <c r="U146" s="14">
        <v>40725</v>
      </c>
      <c r="V146" s="14"/>
      <c r="W146" s="15"/>
      <c r="X146" s="13"/>
      <c r="Y146" s="15"/>
      <c r="Z146" s="13"/>
      <c r="AA146" s="15"/>
      <c r="AB146" s="13"/>
      <c r="AC146" s="15"/>
      <c r="AD146" s="13"/>
      <c r="AE146" s="15"/>
      <c r="AF146" s="13"/>
      <c r="AG146" s="15"/>
      <c r="AH146" s="13"/>
      <c r="AI146" s="15"/>
      <c r="AJ146" s="13"/>
      <c r="AK146" s="15"/>
      <c r="AL146" s="13"/>
      <c r="AM146" s="15"/>
      <c r="AN146" s="13"/>
      <c r="AO146" s="13"/>
    </row>
    <row r="147" spans="1:41" ht="72.5" x14ac:dyDescent="0.35">
      <c r="A147" s="13" t="s">
        <v>76</v>
      </c>
      <c r="B147" s="13" t="s">
        <v>77</v>
      </c>
      <c r="C147" s="14">
        <v>43152.5</v>
      </c>
      <c r="D147" s="13" t="s">
        <v>78</v>
      </c>
      <c r="E147" s="15" t="s">
        <v>79</v>
      </c>
      <c r="F147" s="13" t="s">
        <v>80</v>
      </c>
      <c r="G147" s="15" t="s">
        <v>81</v>
      </c>
      <c r="H147" s="13" t="s">
        <v>339</v>
      </c>
      <c r="I147" s="15" t="s">
        <v>340</v>
      </c>
      <c r="J147" s="15" t="s">
        <v>341</v>
      </c>
      <c r="K147" s="15" t="s">
        <v>342</v>
      </c>
      <c r="L147" s="13" t="s">
        <v>345</v>
      </c>
      <c r="M147" s="15" t="s">
        <v>346</v>
      </c>
      <c r="N147" s="13" t="s">
        <v>88</v>
      </c>
      <c r="O147" s="15" t="s">
        <v>97</v>
      </c>
      <c r="P147" s="15" t="s">
        <v>98</v>
      </c>
      <c r="Q147" s="15" t="s">
        <v>104</v>
      </c>
      <c r="R147" s="13" t="s">
        <v>105</v>
      </c>
      <c r="S147" s="13" t="s">
        <v>93</v>
      </c>
      <c r="T147" s="13" t="s">
        <v>94</v>
      </c>
      <c r="U147" s="14">
        <v>40725</v>
      </c>
      <c r="V147" s="14"/>
      <c r="W147" s="15"/>
      <c r="X147" s="13"/>
      <c r="Y147" s="15"/>
      <c r="Z147" s="13"/>
      <c r="AA147" s="15"/>
      <c r="AB147" s="13"/>
      <c r="AC147" s="15"/>
      <c r="AD147" s="13"/>
      <c r="AE147" s="15"/>
      <c r="AF147" s="13"/>
      <c r="AG147" s="15"/>
      <c r="AH147" s="13"/>
      <c r="AI147" s="15"/>
      <c r="AJ147" s="13"/>
      <c r="AK147" s="15"/>
      <c r="AL147" s="13"/>
      <c r="AM147" s="15"/>
      <c r="AN147" s="13"/>
      <c r="AO147" s="13"/>
    </row>
    <row r="148" spans="1:41" ht="72.5" x14ac:dyDescent="0.35">
      <c r="A148" s="13" t="s">
        <v>76</v>
      </c>
      <c r="B148" s="13" t="s">
        <v>77</v>
      </c>
      <c r="C148" s="14">
        <v>43152.5</v>
      </c>
      <c r="D148" s="13" t="s">
        <v>78</v>
      </c>
      <c r="E148" s="15" t="s">
        <v>79</v>
      </c>
      <c r="F148" s="13" t="s">
        <v>80</v>
      </c>
      <c r="G148" s="15" t="s">
        <v>81</v>
      </c>
      <c r="H148" s="13" t="s">
        <v>339</v>
      </c>
      <c r="I148" s="15" t="s">
        <v>340</v>
      </c>
      <c r="J148" s="15" t="s">
        <v>341</v>
      </c>
      <c r="K148" s="15" t="s">
        <v>342</v>
      </c>
      <c r="L148" s="13" t="s">
        <v>347</v>
      </c>
      <c r="M148" s="15" t="s">
        <v>348</v>
      </c>
      <c r="N148" s="13" t="s">
        <v>101</v>
      </c>
      <c r="O148" s="15" t="s">
        <v>102</v>
      </c>
      <c r="P148" s="15" t="s">
        <v>103</v>
      </c>
      <c r="Q148" s="15" t="s">
        <v>104</v>
      </c>
      <c r="R148" s="13" t="s">
        <v>105</v>
      </c>
      <c r="S148" s="13" t="s">
        <v>93</v>
      </c>
      <c r="T148" s="13" t="s">
        <v>94</v>
      </c>
      <c r="U148" s="14">
        <v>40725</v>
      </c>
      <c r="V148" s="14"/>
      <c r="W148" s="15"/>
      <c r="X148" s="13"/>
      <c r="Y148" s="15"/>
      <c r="Z148" s="13"/>
      <c r="AA148" s="15"/>
      <c r="AB148" s="13"/>
      <c r="AC148" s="15"/>
      <c r="AD148" s="13"/>
      <c r="AE148" s="15"/>
      <c r="AF148" s="13"/>
      <c r="AG148" s="15"/>
      <c r="AH148" s="13"/>
      <c r="AI148" s="15"/>
      <c r="AJ148" s="13"/>
      <c r="AK148" s="15"/>
      <c r="AL148" s="13"/>
      <c r="AM148" s="15"/>
      <c r="AN148" s="13"/>
      <c r="AO148" s="13"/>
    </row>
    <row r="149" spans="1:41" ht="72.5" x14ac:dyDescent="0.35">
      <c r="A149" s="13" t="s">
        <v>76</v>
      </c>
      <c r="B149" s="13" t="s">
        <v>77</v>
      </c>
      <c r="C149" s="14">
        <v>43152.5</v>
      </c>
      <c r="D149" s="13" t="s">
        <v>78</v>
      </c>
      <c r="E149" s="15" t="s">
        <v>79</v>
      </c>
      <c r="F149" s="13" t="s">
        <v>80</v>
      </c>
      <c r="G149" s="15" t="s">
        <v>81</v>
      </c>
      <c r="H149" s="13" t="s">
        <v>339</v>
      </c>
      <c r="I149" s="15" t="s">
        <v>340</v>
      </c>
      <c r="J149" s="15" t="s">
        <v>341</v>
      </c>
      <c r="K149" s="15" t="s">
        <v>342</v>
      </c>
      <c r="L149" s="13" t="s">
        <v>343</v>
      </c>
      <c r="M149" s="15" t="s">
        <v>344</v>
      </c>
      <c r="N149" s="13" t="s">
        <v>88</v>
      </c>
      <c r="O149" s="15" t="s">
        <v>89</v>
      </c>
      <c r="P149" s="15" t="s">
        <v>90</v>
      </c>
      <c r="Q149" s="15" t="s">
        <v>106</v>
      </c>
      <c r="R149" s="13" t="s">
        <v>107</v>
      </c>
      <c r="S149" s="13" t="s">
        <v>93</v>
      </c>
      <c r="T149" s="13" t="s">
        <v>94</v>
      </c>
      <c r="U149" s="14">
        <v>40725</v>
      </c>
      <c r="V149" s="14"/>
      <c r="W149" s="15"/>
      <c r="X149" s="13"/>
      <c r="Y149" s="15"/>
      <c r="Z149" s="13"/>
      <c r="AA149" s="15"/>
      <c r="AB149" s="13"/>
      <c r="AC149" s="15"/>
      <c r="AD149" s="13"/>
      <c r="AE149" s="15"/>
      <c r="AF149" s="13"/>
      <c r="AG149" s="15"/>
      <c r="AH149" s="13"/>
      <c r="AI149" s="15"/>
      <c r="AJ149" s="13"/>
      <c r="AK149" s="15"/>
      <c r="AL149" s="13"/>
      <c r="AM149" s="15"/>
      <c r="AN149" s="13"/>
      <c r="AO149" s="13"/>
    </row>
    <row r="150" spans="1:41" ht="72.5" x14ac:dyDescent="0.35">
      <c r="A150" s="13" t="s">
        <v>76</v>
      </c>
      <c r="B150" s="13" t="s">
        <v>77</v>
      </c>
      <c r="C150" s="14">
        <v>43152.5</v>
      </c>
      <c r="D150" s="13" t="s">
        <v>78</v>
      </c>
      <c r="E150" s="15" t="s">
        <v>79</v>
      </c>
      <c r="F150" s="13" t="s">
        <v>80</v>
      </c>
      <c r="G150" s="15" t="s">
        <v>81</v>
      </c>
      <c r="H150" s="13" t="s">
        <v>339</v>
      </c>
      <c r="I150" s="15" t="s">
        <v>340</v>
      </c>
      <c r="J150" s="15" t="s">
        <v>341</v>
      </c>
      <c r="K150" s="15" t="s">
        <v>342</v>
      </c>
      <c r="L150" s="13" t="s">
        <v>345</v>
      </c>
      <c r="M150" s="15" t="s">
        <v>346</v>
      </c>
      <c r="N150" s="13" t="s">
        <v>88</v>
      </c>
      <c r="O150" s="15" t="s">
        <v>97</v>
      </c>
      <c r="P150" s="15" t="s">
        <v>98</v>
      </c>
      <c r="Q150" s="15" t="s">
        <v>106</v>
      </c>
      <c r="R150" s="13" t="s">
        <v>107</v>
      </c>
      <c r="S150" s="13" t="s">
        <v>93</v>
      </c>
      <c r="T150" s="13" t="s">
        <v>94</v>
      </c>
      <c r="U150" s="14">
        <v>40725</v>
      </c>
      <c r="V150" s="14"/>
      <c r="W150" s="15"/>
      <c r="X150" s="13"/>
      <c r="Y150" s="15"/>
      <c r="Z150" s="13"/>
      <c r="AA150" s="15"/>
      <c r="AB150" s="13"/>
      <c r="AC150" s="15"/>
      <c r="AD150" s="13"/>
      <c r="AE150" s="15"/>
      <c r="AF150" s="13"/>
      <c r="AG150" s="15"/>
      <c r="AH150" s="13"/>
      <c r="AI150" s="15"/>
      <c r="AJ150" s="13"/>
      <c r="AK150" s="15"/>
      <c r="AL150" s="13"/>
      <c r="AM150" s="15"/>
      <c r="AN150" s="13"/>
      <c r="AO150" s="13"/>
    </row>
    <row r="151" spans="1:41" ht="72.5" x14ac:dyDescent="0.35">
      <c r="A151" s="13" t="s">
        <v>76</v>
      </c>
      <c r="B151" s="13" t="s">
        <v>77</v>
      </c>
      <c r="C151" s="14">
        <v>43152.5</v>
      </c>
      <c r="D151" s="13" t="s">
        <v>78</v>
      </c>
      <c r="E151" s="15" t="s">
        <v>79</v>
      </c>
      <c r="F151" s="13" t="s">
        <v>80</v>
      </c>
      <c r="G151" s="15" t="s">
        <v>81</v>
      </c>
      <c r="H151" s="13" t="s">
        <v>339</v>
      </c>
      <c r="I151" s="15" t="s">
        <v>340</v>
      </c>
      <c r="J151" s="15" t="s">
        <v>341</v>
      </c>
      <c r="K151" s="15" t="s">
        <v>342</v>
      </c>
      <c r="L151" s="13" t="s">
        <v>347</v>
      </c>
      <c r="M151" s="15" t="s">
        <v>348</v>
      </c>
      <c r="N151" s="13" t="s">
        <v>101</v>
      </c>
      <c r="O151" s="15" t="s">
        <v>102</v>
      </c>
      <c r="P151" s="15" t="s">
        <v>103</v>
      </c>
      <c r="Q151" s="15" t="s">
        <v>106</v>
      </c>
      <c r="R151" s="13" t="s">
        <v>107</v>
      </c>
      <c r="S151" s="13" t="s">
        <v>93</v>
      </c>
      <c r="T151" s="13" t="s">
        <v>94</v>
      </c>
      <c r="U151" s="14">
        <v>40725</v>
      </c>
      <c r="V151" s="14"/>
      <c r="W151" s="15"/>
      <c r="X151" s="13"/>
      <c r="Y151" s="15"/>
      <c r="Z151" s="13"/>
      <c r="AA151" s="15"/>
      <c r="AB151" s="13"/>
      <c r="AC151" s="15"/>
      <c r="AD151" s="13"/>
      <c r="AE151" s="15"/>
      <c r="AF151" s="13"/>
      <c r="AG151" s="15"/>
      <c r="AH151" s="13"/>
      <c r="AI151" s="15"/>
      <c r="AJ151" s="13"/>
      <c r="AK151" s="15"/>
      <c r="AL151" s="13"/>
      <c r="AM151" s="15"/>
      <c r="AN151" s="13"/>
      <c r="AO151" s="13"/>
    </row>
    <row r="152" spans="1:41" ht="145" x14ac:dyDescent="0.35">
      <c r="A152" s="13" t="s">
        <v>238</v>
      </c>
      <c r="B152" s="13" t="s">
        <v>109</v>
      </c>
      <c r="C152" s="14">
        <v>44368.708333333336</v>
      </c>
      <c r="D152" s="13" t="s">
        <v>78</v>
      </c>
      <c r="E152" s="15" t="s">
        <v>79</v>
      </c>
      <c r="F152" s="13" t="s">
        <v>80</v>
      </c>
      <c r="G152" s="15" t="s">
        <v>81</v>
      </c>
      <c r="H152" s="13" t="s">
        <v>339</v>
      </c>
      <c r="I152" s="15" t="s">
        <v>340</v>
      </c>
      <c r="J152" s="15" t="s">
        <v>341</v>
      </c>
      <c r="K152" s="15" t="s">
        <v>342</v>
      </c>
      <c r="L152" s="13" t="s">
        <v>343</v>
      </c>
      <c r="M152" s="15" t="s">
        <v>344</v>
      </c>
      <c r="N152" s="13" t="s">
        <v>88</v>
      </c>
      <c r="O152" s="15" t="s">
        <v>89</v>
      </c>
      <c r="P152" s="15" t="s">
        <v>90</v>
      </c>
      <c r="Q152" s="15" t="s">
        <v>110</v>
      </c>
      <c r="R152" s="13" t="s">
        <v>111</v>
      </c>
      <c r="S152" s="13" t="s">
        <v>93</v>
      </c>
      <c r="T152" s="13" t="s">
        <v>112</v>
      </c>
      <c r="U152" s="14">
        <v>40725</v>
      </c>
      <c r="V152" s="14"/>
      <c r="W152" s="15" t="s">
        <v>630</v>
      </c>
      <c r="X152" s="13" t="s">
        <v>614</v>
      </c>
      <c r="Y152" s="15" t="str">
        <f>VLOOKUP(X152,'Axe 2 Règles de gestion'!$D$2:$F$146,3, FALSE)</f>
        <v>Rémunération : L'agent ne perçoit plus son traitement.</v>
      </c>
      <c r="Z152" s="13" t="s">
        <v>616</v>
      </c>
      <c r="AA152" s="15" t="str">
        <f>VLOOKUP(Z152,'Axe 2 Règles de gestion'!$D$2:$F$146,3, FALSE)</f>
        <v>Congés annuels : L'agent ne cumule pas de droits à congé.</v>
      </c>
      <c r="AB152" s="13" t="s">
        <v>618</v>
      </c>
      <c r="AC152" s="15" t="str">
        <f>VLOOKUP(AB152,'Axe 2 Règles de gestion'!$D$2:$F$146,3, FALSE)</f>
        <v>Carrière : L'agent voit sa carrière suspendue. Il perd ses droits à l'avancement.</v>
      </c>
      <c r="AD152" s="13" t="s">
        <v>631</v>
      </c>
      <c r="AE152" s="15" t="str">
        <f>VLOOKUP(AD152,'Axe 2 Règles de gestion'!$D$2:$F$146,3, FALSE)</f>
        <v>Retraite : Les périodes de congé sans traitement ne sont pas prises en compte pour la constitution du droit à pension et la liquidation de cette dernière.</v>
      </c>
      <c r="AF152" s="13" t="s">
        <v>622</v>
      </c>
      <c r="AG152" s="15" t="str">
        <f>VLOOKUP(AF152,'Axe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52" s="13" t="s">
        <v>624</v>
      </c>
      <c r="AI152" s="15" t="str">
        <f>VLOOKUP(AH152,'Axe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52" s="13" t="s">
        <v>626</v>
      </c>
      <c r="AK152" s="15" t="str">
        <f>VLOOKUP(AJ152,'Axe 2 Règles de gestion'!$D$2:$F$146,3, FALSE)</f>
        <v>Stage : Les congés sans traitement ne sont pas comptabilisés comme temps de stage. Ils reportent donc la date de fin de stage du nombre total de jours d'absence.</v>
      </c>
      <c r="AL152" s="13" t="s">
        <v>628</v>
      </c>
      <c r="AM152" s="15" t="str">
        <f>VLOOKUP(AL152,'Axe 2 Règles de gestion'!$D$2:$F$146,3, FALSE)</f>
        <v>Acte : Un acte administratif doit être produit.</v>
      </c>
      <c r="AN152" s="13"/>
      <c r="AO152" s="13"/>
    </row>
    <row r="153" spans="1:41" ht="145" x14ac:dyDescent="0.35">
      <c r="A153" s="13" t="s">
        <v>238</v>
      </c>
      <c r="B153" s="13" t="s">
        <v>109</v>
      </c>
      <c r="C153" s="14">
        <v>44368.708333333336</v>
      </c>
      <c r="D153" s="13" t="s">
        <v>78</v>
      </c>
      <c r="E153" s="15" t="s">
        <v>79</v>
      </c>
      <c r="F153" s="13" t="s">
        <v>80</v>
      </c>
      <c r="G153" s="15" t="s">
        <v>81</v>
      </c>
      <c r="H153" s="13" t="s">
        <v>339</v>
      </c>
      <c r="I153" s="15" t="s">
        <v>340</v>
      </c>
      <c r="J153" s="15" t="s">
        <v>341</v>
      </c>
      <c r="K153" s="15" t="s">
        <v>342</v>
      </c>
      <c r="L153" s="13" t="s">
        <v>345</v>
      </c>
      <c r="M153" s="15" t="s">
        <v>346</v>
      </c>
      <c r="N153" s="13" t="s">
        <v>88</v>
      </c>
      <c r="O153" s="15" t="s">
        <v>97</v>
      </c>
      <c r="P153" s="15" t="s">
        <v>98</v>
      </c>
      <c r="Q153" s="15" t="s">
        <v>110</v>
      </c>
      <c r="R153" s="13" t="s">
        <v>111</v>
      </c>
      <c r="S153" s="13" t="s">
        <v>93</v>
      </c>
      <c r="T153" s="13" t="s">
        <v>112</v>
      </c>
      <c r="U153" s="14">
        <v>40725</v>
      </c>
      <c r="V153" s="14"/>
      <c r="W153" s="15" t="s">
        <v>630</v>
      </c>
      <c r="X153" s="13" t="s">
        <v>614</v>
      </c>
      <c r="Y153" s="15" t="str">
        <f>VLOOKUP(X153,'Axe 2 Règles de gestion'!$D$2:$F$146,3, FALSE)</f>
        <v>Rémunération : L'agent ne perçoit plus son traitement.</v>
      </c>
      <c r="Z153" s="13" t="s">
        <v>616</v>
      </c>
      <c r="AA153" s="15" t="str">
        <f>VLOOKUP(Z153,'Axe 2 Règles de gestion'!$D$2:$F$146,3, FALSE)</f>
        <v>Congés annuels : L'agent ne cumule pas de droits à congé.</v>
      </c>
      <c r="AB153" s="13" t="s">
        <v>618</v>
      </c>
      <c r="AC153" s="15" t="str">
        <f>VLOOKUP(AB153,'Axe 2 Règles de gestion'!$D$2:$F$146,3, FALSE)</f>
        <v>Carrière : L'agent voit sa carrière suspendue. Il perd ses droits à l'avancement.</v>
      </c>
      <c r="AD153" s="13" t="s">
        <v>631</v>
      </c>
      <c r="AE153" s="15" t="str">
        <f>VLOOKUP(AD153,'Axe 2 Règles de gestion'!$D$2:$F$146,3, FALSE)</f>
        <v>Retraite : Les périodes de congé sans traitement ne sont pas prises en compte pour la constitution du droit à pension et la liquidation de cette dernière.</v>
      </c>
      <c r="AF153" s="13" t="s">
        <v>622</v>
      </c>
      <c r="AG153" s="15" t="str">
        <f>VLOOKUP(AF153,'Axe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53" s="13" t="s">
        <v>624</v>
      </c>
      <c r="AI153" s="15" t="str">
        <f>VLOOKUP(AH153,'Axe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53" s="13" t="s">
        <v>626</v>
      </c>
      <c r="AK153" s="15" t="str">
        <f>VLOOKUP(AJ153,'Axe 2 Règles de gestion'!$D$2:$F$146,3, FALSE)</f>
        <v>Stage : Les congés sans traitement ne sont pas comptabilisés comme temps de stage. Ils reportent donc la date de fin de stage du nombre total de jours d'absence.</v>
      </c>
      <c r="AL153" s="13" t="s">
        <v>628</v>
      </c>
      <c r="AM153" s="15" t="str">
        <f>VLOOKUP(AL153,'Axe 2 Règles de gestion'!$D$2:$F$146,3, FALSE)</f>
        <v>Acte : Un acte administratif doit être produit.</v>
      </c>
      <c r="AN153" s="13"/>
      <c r="AO153" s="13"/>
    </row>
    <row r="154" spans="1:41" ht="72.5" x14ac:dyDescent="0.35">
      <c r="A154" s="13" t="s">
        <v>165</v>
      </c>
      <c r="B154" s="13" t="s">
        <v>109</v>
      </c>
      <c r="C154" s="14">
        <v>44715.449305555558</v>
      </c>
      <c r="D154" s="13" t="s">
        <v>78</v>
      </c>
      <c r="E154" s="15" t="s">
        <v>79</v>
      </c>
      <c r="F154" s="13" t="s">
        <v>80</v>
      </c>
      <c r="G154" s="15" t="s">
        <v>81</v>
      </c>
      <c r="H154" s="13" t="s">
        <v>339</v>
      </c>
      <c r="I154" s="15" t="s">
        <v>340</v>
      </c>
      <c r="J154" s="15" t="s">
        <v>341</v>
      </c>
      <c r="K154" s="15" t="s">
        <v>342</v>
      </c>
      <c r="L154" s="13" t="s">
        <v>347</v>
      </c>
      <c r="M154" s="15" t="s">
        <v>348</v>
      </c>
      <c r="N154" s="13" t="s">
        <v>101</v>
      </c>
      <c r="O154" s="15" t="s">
        <v>102</v>
      </c>
      <c r="P154" s="15" t="s">
        <v>103</v>
      </c>
      <c r="Q154" s="15" t="s">
        <v>110</v>
      </c>
      <c r="R154" s="13" t="s">
        <v>111</v>
      </c>
      <c r="S154" s="13" t="s">
        <v>93</v>
      </c>
      <c r="T154" s="13" t="s">
        <v>112</v>
      </c>
      <c r="U154" s="14">
        <v>40725</v>
      </c>
      <c r="V154" s="14">
        <v>44633</v>
      </c>
      <c r="W154" s="15"/>
      <c r="X154" s="13"/>
      <c r="Y154" s="15"/>
      <c r="Z154" s="13"/>
      <c r="AA154" s="15"/>
      <c r="AB154" s="13"/>
      <c r="AC154" s="15"/>
      <c r="AD154" s="13"/>
      <c r="AE154" s="15"/>
      <c r="AF154" s="13"/>
      <c r="AG154" s="15"/>
      <c r="AH154" s="13"/>
      <c r="AI154" s="15"/>
      <c r="AJ154" s="13"/>
      <c r="AK154" s="15"/>
      <c r="AL154" s="13"/>
      <c r="AM154" s="15"/>
      <c r="AN154" s="13"/>
      <c r="AO154" s="13"/>
    </row>
    <row r="155" spans="1:41" ht="72.5" x14ac:dyDescent="0.35">
      <c r="A155" s="13" t="s">
        <v>165</v>
      </c>
      <c r="B155" s="13" t="s">
        <v>77</v>
      </c>
      <c r="C155" s="14">
        <v>44715.45</v>
      </c>
      <c r="D155" s="13" t="s">
        <v>78</v>
      </c>
      <c r="E155" s="15" t="s">
        <v>79</v>
      </c>
      <c r="F155" s="13" t="s">
        <v>80</v>
      </c>
      <c r="G155" s="15" t="s">
        <v>81</v>
      </c>
      <c r="H155" s="13" t="s">
        <v>339</v>
      </c>
      <c r="I155" s="15" t="s">
        <v>340</v>
      </c>
      <c r="J155" s="15" t="s">
        <v>341</v>
      </c>
      <c r="K155" s="15" t="s">
        <v>342</v>
      </c>
      <c r="L155" s="13" t="s">
        <v>347</v>
      </c>
      <c r="M155" s="15" t="s">
        <v>348</v>
      </c>
      <c r="N155" s="13" t="s">
        <v>101</v>
      </c>
      <c r="O155" s="15" t="s">
        <v>102</v>
      </c>
      <c r="P155" s="15" t="s">
        <v>103</v>
      </c>
      <c r="Q155" s="15" t="s">
        <v>110</v>
      </c>
      <c r="R155" s="13" t="s">
        <v>111</v>
      </c>
      <c r="S155" s="13" t="s">
        <v>93</v>
      </c>
      <c r="T155" s="13" t="s">
        <v>112</v>
      </c>
      <c r="U155" s="14">
        <v>44634</v>
      </c>
      <c r="V155" s="14"/>
      <c r="W155" s="15"/>
      <c r="X155" s="13"/>
      <c r="Y155" s="15"/>
      <c r="Z155" s="13"/>
      <c r="AA155" s="15"/>
      <c r="AB155" s="13"/>
      <c r="AC155" s="15"/>
      <c r="AD155" s="13"/>
      <c r="AE155" s="15"/>
      <c r="AF155" s="13"/>
      <c r="AG155" s="15"/>
      <c r="AH155" s="13"/>
      <c r="AI155" s="15"/>
      <c r="AJ155" s="13"/>
      <c r="AK155" s="15"/>
      <c r="AL155" s="13"/>
      <c r="AM155" s="15"/>
      <c r="AN155" s="13"/>
      <c r="AO155" s="13"/>
    </row>
    <row r="156" spans="1:41" ht="72.5" x14ac:dyDescent="0.35">
      <c r="A156" s="13" t="s">
        <v>76</v>
      </c>
      <c r="B156" s="13" t="s">
        <v>77</v>
      </c>
      <c r="C156" s="14">
        <v>43152.5</v>
      </c>
      <c r="D156" s="13" t="s">
        <v>78</v>
      </c>
      <c r="E156" s="15" t="s">
        <v>79</v>
      </c>
      <c r="F156" s="13" t="s">
        <v>80</v>
      </c>
      <c r="G156" s="15" t="s">
        <v>81</v>
      </c>
      <c r="H156" s="13" t="s">
        <v>339</v>
      </c>
      <c r="I156" s="15" t="s">
        <v>340</v>
      </c>
      <c r="J156" s="15" t="s">
        <v>341</v>
      </c>
      <c r="K156" s="15" t="s">
        <v>342</v>
      </c>
      <c r="L156" s="13" t="s">
        <v>343</v>
      </c>
      <c r="M156" s="15" t="s">
        <v>344</v>
      </c>
      <c r="N156" s="13" t="s">
        <v>88</v>
      </c>
      <c r="O156" s="15" t="s">
        <v>89</v>
      </c>
      <c r="P156" s="15" t="s">
        <v>90</v>
      </c>
      <c r="Q156" s="15" t="s">
        <v>175</v>
      </c>
      <c r="R156" s="13" t="s">
        <v>176</v>
      </c>
      <c r="S156" s="13" t="s">
        <v>93</v>
      </c>
      <c r="T156" s="13" t="s">
        <v>94</v>
      </c>
      <c r="U156" s="14">
        <v>40725</v>
      </c>
      <c r="V156" s="14"/>
      <c r="W156" s="15"/>
      <c r="X156" s="13"/>
      <c r="Y156" s="15"/>
      <c r="Z156" s="13"/>
      <c r="AA156" s="15"/>
      <c r="AB156" s="13"/>
      <c r="AC156" s="15"/>
      <c r="AD156" s="13"/>
      <c r="AE156" s="15"/>
      <c r="AF156" s="13"/>
      <c r="AG156" s="15"/>
      <c r="AH156" s="13"/>
      <c r="AI156" s="15"/>
      <c r="AJ156" s="13"/>
      <c r="AK156" s="15"/>
      <c r="AL156" s="13"/>
      <c r="AM156" s="15"/>
      <c r="AN156" s="13"/>
      <c r="AO156" s="13"/>
    </row>
    <row r="157" spans="1:41" ht="72.5" x14ac:dyDescent="0.35">
      <c r="A157" s="13" t="s">
        <v>76</v>
      </c>
      <c r="B157" s="13" t="s">
        <v>77</v>
      </c>
      <c r="C157" s="14">
        <v>43152.5</v>
      </c>
      <c r="D157" s="13" t="s">
        <v>78</v>
      </c>
      <c r="E157" s="15" t="s">
        <v>79</v>
      </c>
      <c r="F157" s="13" t="s">
        <v>80</v>
      </c>
      <c r="G157" s="15" t="s">
        <v>81</v>
      </c>
      <c r="H157" s="13" t="s">
        <v>339</v>
      </c>
      <c r="I157" s="15" t="s">
        <v>340</v>
      </c>
      <c r="J157" s="15" t="s">
        <v>341</v>
      </c>
      <c r="K157" s="15" t="s">
        <v>342</v>
      </c>
      <c r="L157" s="13" t="s">
        <v>345</v>
      </c>
      <c r="M157" s="15" t="s">
        <v>346</v>
      </c>
      <c r="N157" s="13" t="s">
        <v>88</v>
      </c>
      <c r="O157" s="15" t="s">
        <v>97</v>
      </c>
      <c r="P157" s="15" t="s">
        <v>98</v>
      </c>
      <c r="Q157" s="15" t="s">
        <v>175</v>
      </c>
      <c r="R157" s="13" t="s">
        <v>176</v>
      </c>
      <c r="S157" s="13" t="s">
        <v>93</v>
      </c>
      <c r="T157" s="13" t="s">
        <v>94</v>
      </c>
      <c r="U157" s="14">
        <v>40725</v>
      </c>
      <c r="V157" s="14"/>
      <c r="W157" s="15"/>
      <c r="X157" s="13"/>
      <c r="Y157" s="15"/>
      <c r="Z157" s="13"/>
      <c r="AA157" s="15"/>
      <c r="AB157" s="13"/>
      <c r="AC157" s="15"/>
      <c r="AD157" s="13"/>
      <c r="AE157" s="15"/>
      <c r="AF157" s="13"/>
      <c r="AG157" s="15"/>
      <c r="AH157" s="13"/>
      <c r="AI157" s="15"/>
      <c r="AJ157" s="13"/>
      <c r="AK157" s="15"/>
      <c r="AL157" s="13"/>
      <c r="AM157" s="15"/>
      <c r="AN157" s="13"/>
      <c r="AO157" s="13"/>
    </row>
    <row r="158" spans="1:41" ht="72.5" x14ac:dyDescent="0.35">
      <c r="A158" s="13" t="s">
        <v>76</v>
      </c>
      <c r="B158" s="13" t="s">
        <v>77</v>
      </c>
      <c r="C158" s="14">
        <v>43152.5</v>
      </c>
      <c r="D158" s="13" t="s">
        <v>78</v>
      </c>
      <c r="E158" s="15" t="s">
        <v>79</v>
      </c>
      <c r="F158" s="13" t="s">
        <v>80</v>
      </c>
      <c r="G158" s="15" t="s">
        <v>81</v>
      </c>
      <c r="H158" s="13" t="s">
        <v>339</v>
      </c>
      <c r="I158" s="15" t="s">
        <v>340</v>
      </c>
      <c r="J158" s="15" t="s">
        <v>341</v>
      </c>
      <c r="K158" s="15" t="s">
        <v>342</v>
      </c>
      <c r="L158" s="13" t="s">
        <v>347</v>
      </c>
      <c r="M158" s="15" t="s">
        <v>348</v>
      </c>
      <c r="N158" s="13" t="s">
        <v>101</v>
      </c>
      <c r="O158" s="15" t="s">
        <v>102</v>
      </c>
      <c r="P158" s="15" t="s">
        <v>103</v>
      </c>
      <c r="Q158" s="15" t="s">
        <v>175</v>
      </c>
      <c r="R158" s="13" t="s">
        <v>176</v>
      </c>
      <c r="S158" s="13" t="s">
        <v>93</v>
      </c>
      <c r="T158" s="13" t="s">
        <v>94</v>
      </c>
      <c r="U158" s="14">
        <v>40725</v>
      </c>
      <c r="V158" s="14"/>
      <c r="W158" s="15"/>
      <c r="X158" s="13"/>
      <c r="Y158" s="15"/>
      <c r="Z158" s="13"/>
      <c r="AA158" s="15"/>
      <c r="AB158" s="13"/>
      <c r="AC158" s="15"/>
      <c r="AD158" s="13"/>
      <c r="AE158" s="15"/>
      <c r="AF158" s="13"/>
      <c r="AG158" s="15"/>
      <c r="AH158" s="13"/>
      <c r="AI158" s="15"/>
      <c r="AJ158" s="13"/>
      <c r="AK158" s="15"/>
      <c r="AL158" s="13"/>
      <c r="AM158" s="15"/>
      <c r="AN158" s="13"/>
      <c r="AO158" s="13"/>
    </row>
    <row r="159" spans="1:41" ht="72.5" x14ac:dyDescent="0.35">
      <c r="A159" s="13" t="s">
        <v>238</v>
      </c>
      <c r="B159" s="13" t="s">
        <v>109</v>
      </c>
      <c r="C159" s="14">
        <v>44368.708333333336</v>
      </c>
      <c r="D159" s="13" t="s">
        <v>78</v>
      </c>
      <c r="E159" s="15" t="s">
        <v>79</v>
      </c>
      <c r="F159" s="13" t="s">
        <v>80</v>
      </c>
      <c r="G159" s="15" t="s">
        <v>81</v>
      </c>
      <c r="H159" s="13" t="s">
        <v>339</v>
      </c>
      <c r="I159" s="15" t="s">
        <v>340</v>
      </c>
      <c r="J159" s="15" t="s">
        <v>341</v>
      </c>
      <c r="K159" s="15" t="s">
        <v>342</v>
      </c>
      <c r="L159" s="13" t="s">
        <v>343</v>
      </c>
      <c r="M159" s="15" t="s">
        <v>344</v>
      </c>
      <c r="N159" s="13" t="s">
        <v>88</v>
      </c>
      <c r="O159" s="15" t="s">
        <v>89</v>
      </c>
      <c r="P159" s="15" t="s">
        <v>90</v>
      </c>
      <c r="Q159" s="15" t="s">
        <v>177</v>
      </c>
      <c r="R159" s="13" t="s">
        <v>178</v>
      </c>
      <c r="S159" s="13" t="s">
        <v>179</v>
      </c>
      <c r="T159" s="13" t="s">
        <v>112</v>
      </c>
      <c r="U159" s="14">
        <v>40725</v>
      </c>
      <c r="V159" s="14"/>
      <c r="W159" s="15"/>
      <c r="X159" s="13"/>
      <c r="Y159" s="15"/>
      <c r="Z159" s="13"/>
      <c r="AA159" s="15"/>
      <c r="AB159" s="13"/>
      <c r="AC159" s="15"/>
      <c r="AD159" s="13"/>
      <c r="AE159" s="15"/>
      <c r="AF159" s="13"/>
      <c r="AG159" s="15"/>
      <c r="AH159" s="13"/>
      <c r="AI159" s="15"/>
      <c r="AJ159" s="13"/>
      <c r="AK159" s="15"/>
      <c r="AL159" s="13"/>
      <c r="AM159" s="15"/>
      <c r="AN159" s="13"/>
      <c r="AO159" s="13"/>
    </row>
    <row r="160" spans="1:41" ht="72.5" x14ac:dyDescent="0.35">
      <c r="A160" s="13" t="s">
        <v>238</v>
      </c>
      <c r="B160" s="13" t="s">
        <v>109</v>
      </c>
      <c r="C160" s="14">
        <v>44368.708333333336</v>
      </c>
      <c r="D160" s="13" t="s">
        <v>78</v>
      </c>
      <c r="E160" s="15" t="s">
        <v>79</v>
      </c>
      <c r="F160" s="13" t="s">
        <v>80</v>
      </c>
      <c r="G160" s="15" t="s">
        <v>81</v>
      </c>
      <c r="H160" s="13" t="s">
        <v>339</v>
      </c>
      <c r="I160" s="15" t="s">
        <v>340</v>
      </c>
      <c r="J160" s="15" t="s">
        <v>341</v>
      </c>
      <c r="K160" s="15" t="s">
        <v>342</v>
      </c>
      <c r="L160" s="13" t="s">
        <v>345</v>
      </c>
      <c r="M160" s="15" t="s">
        <v>346</v>
      </c>
      <c r="N160" s="13" t="s">
        <v>88</v>
      </c>
      <c r="O160" s="15" t="s">
        <v>97</v>
      </c>
      <c r="P160" s="15" t="s">
        <v>98</v>
      </c>
      <c r="Q160" s="15" t="s">
        <v>177</v>
      </c>
      <c r="R160" s="13" t="s">
        <v>178</v>
      </c>
      <c r="S160" s="13" t="s">
        <v>179</v>
      </c>
      <c r="T160" s="13" t="s">
        <v>112</v>
      </c>
      <c r="U160" s="14">
        <v>40725</v>
      </c>
      <c r="V160" s="14"/>
      <c r="W160" s="15"/>
      <c r="X160" s="13"/>
      <c r="Y160" s="15"/>
      <c r="Z160" s="13"/>
      <c r="AA160" s="15"/>
      <c r="AB160" s="13"/>
      <c r="AC160" s="15"/>
      <c r="AD160" s="13"/>
      <c r="AE160" s="15"/>
      <c r="AF160" s="13"/>
      <c r="AG160" s="15"/>
      <c r="AH160" s="13"/>
      <c r="AI160" s="15"/>
      <c r="AJ160" s="13"/>
      <c r="AK160" s="15"/>
      <c r="AL160" s="13"/>
      <c r="AM160" s="15"/>
      <c r="AN160" s="13"/>
      <c r="AO160" s="13"/>
    </row>
    <row r="161" spans="1:41" ht="72.5" x14ac:dyDescent="0.35">
      <c r="A161" s="13" t="s">
        <v>165</v>
      </c>
      <c r="B161" s="13" t="s">
        <v>109</v>
      </c>
      <c r="C161" s="14">
        <v>44715.450694444444</v>
      </c>
      <c r="D161" s="13" t="s">
        <v>78</v>
      </c>
      <c r="E161" s="15" t="s">
        <v>79</v>
      </c>
      <c r="F161" s="13" t="s">
        <v>80</v>
      </c>
      <c r="G161" s="15" t="s">
        <v>81</v>
      </c>
      <c r="H161" s="13" t="s">
        <v>339</v>
      </c>
      <c r="I161" s="15" t="s">
        <v>340</v>
      </c>
      <c r="J161" s="15" t="s">
        <v>341</v>
      </c>
      <c r="K161" s="15" t="s">
        <v>342</v>
      </c>
      <c r="L161" s="13" t="s">
        <v>347</v>
      </c>
      <c r="M161" s="15" t="s">
        <v>348</v>
      </c>
      <c r="N161" s="13" t="s">
        <v>101</v>
      </c>
      <c r="O161" s="15" t="s">
        <v>102</v>
      </c>
      <c r="P161" s="15" t="s">
        <v>103</v>
      </c>
      <c r="Q161" s="15" t="s">
        <v>177</v>
      </c>
      <c r="R161" s="13" t="s">
        <v>178</v>
      </c>
      <c r="S161" s="13" t="s">
        <v>179</v>
      </c>
      <c r="T161" s="13" t="s">
        <v>112</v>
      </c>
      <c r="U161" s="14">
        <v>40725</v>
      </c>
      <c r="V161" s="14">
        <v>44633</v>
      </c>
      <c r="W161" s="15"/>
      <c r="X161" s="13"/>
      <c r="Y161" s="15"/>
      <c r="Z161" s="13"/>
      <c r="AA161" s="15"/>
      <c r="AB161" s="13"/>
      <c r="AC161" s="15"/>
      <c r="AD161" s="13"/>
      <c r="AE161" s="15"/>
      <c r="AF161" s="13"/>
      <c r="AG161" s="15"/>
      <c r="AH161" s="13"/>
      <c r="AI161" s="15"/>
      <c r="AJ161" s="13"/>
      <c r="AK161" s="15"/>
      <c r="AL161" s="13"/>
      <c r="AM161" s="15"/>
      <c r="AN161" s="13"/>
      <c r="AO161" s="13"/>
    </row>
    <row r="162" spans="1:41" ht="72.5" x14ac:dyDescent="0.35">
      <c r="A162" s="13" t="s">
        <v>165</v>
      </c>
      <c r="B162" s="13" t="s">
        <v>77</v>
      </c>
      <c r="C162" s="14">
        <v>44715.451388888891</v>
      </c>
      <c r="D162" s="13" t="s">
        <v>78</v>
      </c>
      <c r="E162" s="15" t="s">
        <v>79</v>
      </c>
      <c r="F162" s="13" t="s">
        <v>80</v>
      </c>
      <c r="G162" s="15" t="s">
        <v>81</v>
      </c>
      <c r="H162" s="13" t="s">
        <v>339</v>
      </c>
      <c r="I162" s="15" t="s">
        <v>340</v>
      </c>
      <c r="J162" s="15" t="s">
        <v>341</v>
      </c>
      <c r="K162" s="15" t="s">
        <v>342</v>
      </c>
      <c r="L162" s="13" t="s">
        <v>347</v>
      </c>
      <c r="M162" s="15" t="s">
        <v>348</v>
      </c>
      <c r="N162" s="13" t="s">
        <v>101</v>
      </c>
      <c r="O162" s="15" t="s">
        <v>102</v>
      </c>
      <c r="P162" s="15" t="s">
        <v>103</v>
      </c>
      <c r="Q162" s="15" t="s">
        <v>177</v>
      </c>
      <c r="R162" s="13" t="s">
        <v>178</v>
      </c>
      <c r="S162" s="13" t="s">
        <v>179</v>
      </c>
      <c r="T162" s="13" t="s">
        <v>112</v>
      </c>
      <c r="U162" s="14">
        <v>44634</v>
      </c>
      <c r="V162" s="14"/>
      <c r="W162" s="15"/>
      <c r="X162" s="13"/>
      <c r="Y162" s="15"/>
      <c r="Z162" s="13"/>
      <c r="AA162" s="15"/>
      <c r="AB162" s="13"/>
      <c r="AC162" s="15"/>
      <c r="AD162" s="13"/>
      <c r="AE162" s="15"/>
      <c r="AF162" s="13"/>
      <c r="AG162" s="15"/>
      <c r="AH162" s="13"/>
      <c r="AI162" s="15"/>
      <c r="AJ162" s="13"/>
      <c r="AK162" s="15"/>
      <c r="AL162" s="13"/>
      <c r="AM162" s="15"/>
      <c r="AN162" s="13"/>
      <c r="AO162" s="13"/>
    </row>
    <row r="163" spans="1:41" ht="72.5" x14ac:dyDescent="0.35">
      <c r="A163" s="13" t="s">
        <v>238</v>
      </c>
      <c r="B163" s="13" t="s">
        <v>109</v>
      </c>
      <c r="C163" s="14">
        <v>44368.708333333336</v>
      </c>
      <c r="D163" s="13" t="s">
        <v>78</v>
      </c>
      <c r="E163" s="15" t="s">
        <v>79</v>
      </c>
      <c r="F163" s="13" t="s">
        <v>80</v>
      </c>
      <c r="G163" s="15" t="s">
        <v>81</v>
      </c>
      <c r="H163" s="13" t="s">
        <v>339</v>
      </c>
      <c r="I163" s="15" t="s">
        <v>340</v>
      </c>
      <c r="J163" s="15" t="s">
        <v>341</v>
      </c>
      <c r="K163" s="15" t="s">
        <v>342</v>
      </c>
      <c r="L163" s="13" t="s">
        <v>343</v>
      </c>
      <c r="M163" s="15" t="s">
        <v>344</v>
      </c>
      <c r="N163" s="13" t="s">
        <v>88</v>
      </c>
      <c r="O163" s="15" t="s">
        <v>89</v>
      </c>
      <c r="P163" s="15" t="s">
        <v>90</v>
      </c>
      <c r="Q163" s="15" t="s">
        <v>201</v>
      </c>
      <c r="R163" s="13" t="s">
        <v>202</v>
      </c>
      <c r="S163" s="13" t="s">
        <v>179</v>
      </c>
      <c r="T163" s="13" t="s">
        <v>112</v>
      </c>
      <c r="U163" s="14">
        <v>40725</v>
      </c>
      <c r="V163" s="14"/>
      <c r="W163" s="15"/>
      <c r="X163" s="13"/>
      <c r="Y163" s="15"/>
      <c r="Z163" s="13"/>
      <c r="AA163" s="15"/>
      <c r="AB163" s="13"/>
      <c r="AC163" s="15"/>
      <c r="AD163" s="13"/>
      <c r="AE163" s="15"/>
      <c r="AF163" s="13"/>
      <c r="AG163" s="15"/>
      <c r="AH163" s="13"/>
      <c r="AI163" s="15"/>
      <c r="AJ163" s="13"/>
      <c r="AK163" s="15"/>
      <c r="AL163" s="13"/>
      <c r="AM163" s="15"/>
      <c r="AN163" s="13"/>
      <c r="AO163" s="13"/>
    </row>
    <row r="164" spans="1:41" ht="72.5" x14ac:dyDescent="0.35">
      <c r="A164" s="13" t="s">
        <v>238</v>
      </c>
      <c r="B164" s="13" t="s">
        <v>109</v>
      </c>
      <c r="C164" s="14">
        <v>44368.708333333336</v>
      </c>
      <c r="D164" s="13" t="s">
        <v>78</v>
      </c>
      <c r="E164" s="15" t="s">
        <v>79</v>
      </c>
      <c r="F164" s="13" t="s">
        <v>80</v>
      </c>
      <c r="G164" s="15" t="s">
        <v>81</v>
      </c>
      <c r="H164" s="13" t="s">
        <v>339</v>
      </c>
      <c r="I164" s="15" t="s">
        <v>340</v>
      </c>
      <c r="J164" s="15" t="s">
        <v>341</v>
      </c>
      <c r="K164" s="15" t="s">
        <v>342</v>
      </c>
      <c r="L164" s="13" t="s">
        <v>345</v>
      </c>
      <c r="M164" s="15" t="s">
        <v>346</v>
      </c>
      <c r="N164" s="13" t="s">
        <v>88</v>
      </c>
      <c r="O164" s="15" t="s">
        <v>97</v>
      </c>
      <c r="P164" s="15" t="s">
        <v>98</v>
      </c>
      <c r="Q164" s="15" t="s">
        <v>201</v>
      </c>
      <c r="R164" s="13" t="s">
        <v>202</v>
      </c>
      <c r="S164" s="13" t="s">
        <v>179</v>
      </c>
      <c r="T164" s="13" t="s">
        <v>112</v>
      </c>
      <c r="U164" s="14">
        <v>40725</v>
      </c>
      <c r="V164" s="14"/>
      <c r="W164" s="15"/>
      <c r="X164" s="13"/>
      <c r="Y164" s="15"/>
      <c r="Z164" s="13"/>
      <c r="AA164" s="15"/>
      <c r="AB164" s="13"/>
      <c r="AC164" s="15"/>
      <c r="AD164" s="13"/>
      <c r="AE164" s="15"/>
      <c r="AF164" s="13"/>
      <c r="AG164" s="15"/>
      <c r="AH164" s="13"/>
      <c r="AI164" s="15"/>
      <c r="AJ164" s="13"/>
      <c r="AK164" s="15"/>
      <c r="AL164" s="13"/>
      <c r="AM164" s="15"/>
      <c r="AN164" s="13"/>
      <c r="AO164" s="13"/>
    </row>
    <row r="165" spans="1:41" ht="72.5" x14ac:dyDescent="0.35">
      <c r="A165" s="13" t="s">
        <v>165</v>
      </c>
      <c r="B165" s="13" t="s">
        <v>109</v>
      </c>
      <c r="C165" s="14">
        <v>44715.45</v>
      </c>
      <c r="D165" s="13" t="s">
        <v>78</v>
      </c>
      <c r="E165" s="15" t="s">
        <v>79</v>
      </c>
      <c r="F165" s="13" t="s">
        <v>80</v>
      </c>
      <c r="G165" s="15" t="s">
        <v>81</v>
      </c>
      <c r="H165" s="13" t="s">
        <v>339</v>
      </c>
      <c r="I165" s="15" t="s">
        <v>340</v>
      </c>
      <c r="J165" s="15" t="s">
        <v>341</v>
      </c>
      <c r="K165" s="15" t="s">
        <v>342</v>
      </c>
      <c r="L165" s="13" t="s">
        <v>347</v>
      </c>
      <c r="M165" s="15" t="s">
        <v>348</v>
      </c>
      <c r="N165" s="13" t="s">
        <v>101</v>
      </c>
      <c r="O165" s="15" t="s">
        <v>102</v>
      </c>
      <c r="P165" s="15" t="s">
        <v>103</v>
      </c>
      <c r="Q165" s="15" t="s">
        <v>201</v>
      </c>
      <c r="R165" s="13" t="s">
        <v>202</v>
      </c>
      <c r="S165" s="13" t="s">
        <v>179</v>
      </c>
      <c r="T165" s="13" t="s">
        <v>112</v>
      </c>
      <c r="U165" s="14">
        <v>40725</v>
      </c>
      <c r="V165" s="14">
        <v>44633</v>
      </c>
      <c r="W165" s="15"/>
      <c r="X165" s="13"/>
      <c r="Y165" s="15"/>
      <c r="Z165" s="13"/>
      <c r="AA165" s="15"/>
      <c r="AB165" s="13"/>
      <c r="AC165" s="15"/>
      <c r="AD165" s="13"/>
      <c r="AE165" s="15"/>
      <c r="AF165" s="13"/>
      <c r="AG165" s="15"/>
      <c r="AH165" s="13"/>
      <c r="AI165" s="15"/>
      <c r="AJ165" s="13"/>
      <c r="AK165" s="15"/>
      <c r="AL165" s="13"/>
      <c r="AM165" s="15"/>
      <c r="AN165" s="13"/>
      <c r="AO165" s="13"/>
    </row>
    <row r="166" spans="1:41" ht="72.5" x14ac:dyDescent="0.35">
      <c r="A166" s="13" t="s">
        <v>165</v>
      </c>
      <c r="B166" s="13" t="s">
        <v>77</v>
      </c>
      <c r="C166" s="14">
        <v>44715.450694444444</v>
      </c>
      <c r="D166" s="13" t="s">
        <v>78</v>
      </c>
      <c r="E166" s="15" t="s">
        <v>79</v>
      </c>
      <c r="F166" s="13" t="s">
        <v>80</v>
      </c>
      <c r="G166" s="15" t="s">
        <v>81</v>
      </c>
      <c r="H166" s="13" t="s">
        <v>339</v>
      </c>
      <c r="I166" s="15" t="s">
        <v>340</v>
      </c>
      <c r="J166" s="15" t="s">
        <v>341</v>
      </c>
      <c r="K166" s="15" t="s">
        <v>342</v>
      </c>
      <c r="L166" s="13" t="s">
        <v>347</v>
      </c>
      <c r="M166" s="15" t="s">
        <v>348</v>
      </c>
      <c r="N166" s="13" t="s">
        <v>101</v>
      </c>
      <c r="O166" s="15" t="s">
        <v>102</v>
      </c>
      <c r="P166" s="15" t="s">
        <v>103</v>
      </c>
      <c r="Q166" s="15" t="s">
        <v>201</v>
      </c>
      <c r="R166" s="13" t="s">
        <v>202</v>
      </c>
      <c r="S166" s="13" t="s">
        <v>179</v>
      </c>
      <c r="T166" s="13" t="s">
        <v>112</v>
      </c>
      <c r="U166" s="14">
        <v>44634</v>
      </c>
      <c r="V166" s="14"/>
      <c r="W166" s="15"/>
      <c r="X166" s="13"/>
      <c r="Y166" s="15"/>
      <c r="Z166" s="13"/>
      <c r="AA166" s="15"/>
      <c r="AB166" s="13"/>
      <c r="AC166" s="15"/>
      <c r="AD166" s="13"/>
      <c r="AE166" s="15"/>
      <c r="AF166" s="13"/>
      <c r="AG166" s="15"/>
      <c r="AH166" s="13"/>
      <c r="AI166" s="15"/>
      <c r="AJ166" s="13"/>
      <c r="AK166" s="15"/>
      <c r="AL166" s="13"/>
      <c r="AM166" s="15"/>
      <c r="AN166" s="13"/>
      <c r="AO166" s="13"/>
    </row>
    <row r="167" spans="1:41" ht="72.5" x14ac:dyDescent="0.35">
      <c r="A167" s="13" t="s">
        <v>76</v>
      </c>
      <c r="B167" s="13" t="s">
        <v>77</v>
      </c>
      <c r="C167" s="14">
        <v>43152.5</v>
      </c>
      <c r="D167" s="13" t="s">
        <v>78</v>
      </c>
      <c r="E167" s="15" t="s">
        <v>79</v>
      </c>
      <c r="F167" s="13" t="s">
        <v>80</v>
      </c>
      <c r="G167" s="15" t="s">
        <v>81</v>
      </c>
      <c r="H167" s="13" t="s">
        <v>353</v>
      </c>
      <c r="I167" s="15" t="s">
        <v>354</v>
      </c>
      <c r="J167" s="15" t="s">
        <v>355</v>
      </c>
      <c r="K167" s="15" t="s">
        <v>356</v>
      </c>
      <c r="L167" s="13" t="s">
        <v>357</v>
      </c>
      <c r="M167" s="15" t="s">
        <v>358</v>
      </c>
      <c r="N167" s="13" t="s">
        <v>88</v>
      </c>
      <c r="O167" s="15" t="s">
        <v>89</v>
      </c>
      <c r="P167" s="15" t="s">
        <v>90</v>
      </c>
      <c r="Q167" s="15" t="s">
        <v>91</v>
      </c>
      <c r="R167" s="13" t="s">
        <v>92</v>
      </c>
      <c r="S167" s="13" t="s">
        <v>93</v>
      </c>
      <c r="T167" s="13" t="s">
        <v>94</v>
      </c>
      <c r="U167" s="14">
        <v>40725</v>
      </c>
      <c r="V167" s="14"/>
      <c r="W167" s="15"/>
      <c r="X167" s="13"/>
      <c r="Y167" s="15"/>
      <c r="Z167" s="13"/>
      <c r="AA167" s="15"/>
      <c r="AB167" s="13"/>
      <c r="AC167" s="15"/>
      <c r="AD167" s="13"/>
      <c r="AE167" s="15"/>
      <c r="AF167" s="13"/>
      <c r="AG167" s="15"/>
      <c r="AH167" s="13"/>
      <c r="AI167" s="15"/>
      <c r="AJ167" s="13"/>
      <c r="AK167" s="15"/>
      <c r="AL167" s="13"/>
      <c r="AM167" s="15"/>
      <c r="AN167" s="13"/>
      <c r="AO167" s="13"/>
    </row>
    <row r="168" spans="1:41" ht="72.5" x14ac:dyDescent="0.35">
      <c r="A168" s="13" t="s">
        <v>76</v>
      </c>
      <c r="B168" s="13" t="s">
        <v>77</v>
      </c>
      <c r="C168" s="14">
        <v>43152.5</v>
      </c>
      <c r="D168" s="13" t="s">
        <v>78</v>
      </c>
      <c r="E168" s="15" t="s">
        <v>79</v>
      </c>
      <c r="F168" s="13" t="s">
        <v>80</v>
      </c>
      <c r="G168" s="15" t="s">
        <v>81</v>
      </c>
      <c r="H168" s="13" t="s">
        <v>353</v>
      </c>
      <c r="I168" s="15" t="s">
        <v>354</v>
      </c>
      <c r="J168" s="15" t="s">
        <v>355</v>
      </c>
      <c r="K168" s="15" t="s">
        <v>356</v>
      </c>
      <c r="L168" s="13" t="s">
        <v>359</v>
      </c>
      <c r="M168" s="15" t="s">
        <v>360</v>
      </c>
      <c r="N168" s="13" t="s">
        <v>88</v>
      </c>
      <c r="O168" s="15" t="s">
        <v>97</v>
      </c>
      <c r="P168" s="15" t="s">
        <v>98</v>
      </c>
      <c r="Q168" s="15" t="s">
        <v>91</v>
      </c>
      <c r="R168" s="13" t="s">
        <v>92</v>
      </c>
      <c r="S168" s="13" t="s">
        <v>93</v>
      </c>
      <c r="T168" s="13" t="s">
        <v>94</v>
      </c>
      <c r="U168" s="14">
        <v>40725</v>
      </c>
      <c r="V168" s="14"/>
      <c r="W168" s="15"/>
      <c r="X168" s="13"/>
      <c r="Y168" s="15"/>
      <c r="Z168" s="13"/>
      <c r="AA168" s="15"/>
      <c r="AB168" s="13"/>
      <c r="AC168" s="15"/>
      <c r="AD168" s="13"/>
      <c r="AE168" s="15"/>
      <c r="AF168" s="13"/>
      <c r="AG168" s="15"/>
      <c r="AH168" s="13"/>
      <c r="AI168" s="15"/>
      <c r="AJ168" s="13"/>
      <c r="AK168" s="15"/>
      <c r="AL168" s="13"/>
      <c r="AM168" s="15"/>
      <c r="AN168" s="13"/>
      <c r="AO168" s="13"/>
    </row>
    <row r="169" spans="1:41" ht="58" x14ac:dyDescent="0.35">
      <c r="A169" s="13" t="s">
        <v>76</v>
      </c>
      <c r="B169" s="13" t="s">
        <v>77</v>
      </c>
      <c r="C169" s="14">
        <v>43152.5</v>
      </c>
      <c r="D169" s="13" t="s">
        <v>78</v>
      </c>
      <c r="E169" s="15" t="s">
        <v>79</v>
      </c>
      <c r="F169" s="13" t="s">
        <v>80</v>
      </c>
      <c r="G169" s="15" t="s">
        <v>81</v>
      </c>
      <c r="H169" s="13" t="s">
        <v>353</v>
      </c>
      <c r="I169" s="15" t="s">
        <v>354</v>
      </c>
      <c r="J169" s="15" t="s">
        <v>355</v>
      </c>
      <c r="K169" s="15" t="s">
        <v>356</v>
      </c>
      <c r="L169" s="13" t="s">
        <v>361</v>
      </c>
      <c r="M169" s="15" t="s">
        <v>362</v>
      </c>
      <c r="N169" s="13" t="s">
        <v>101</v>
      </c>
      <c r="O169" s="15" t="s">
        <v>102</v>
      </c>
      <c r="P169" s="15" t="s">
        <v>103</v>
      </c>
      <c r="Q169" s="15" t="s">
        <v>91</v>
      </c>
      <c r="R169" s="13" t="s">
        <v>92</v>
      </c>
      <c r="S169" s="13" t="s">
        <v>93</v>
      </c>
      <c r="T169" s="13" t="s">
        <v>94</v>
      </c>
      <c r="U169" s="14">
        <v>40725</v>
      </c>
      <c r="V169" s="14"/>
      <c r="W169" s="15"/>
      <c r="X169" s="13"/>
      <c r="Y169" s="15"/>
      <c r="Z169" s="13"/>
      <c r="AA169" s="15"/>
      <c r="AB169" s="13"/>
      <c r="AC169" s="15"/>
      <c r="AD169" s="13"/>
      <c r="AE169" s="15"/>
      <c r="AF169" s="13"/>
      <c r="AG169" s="15"/>
      <c r="AH169" s="13"/>
      <c r="AI169" s="15"/>
      <c r="AJ169" s="13"/>
      <c r="AK169" s="15"/>
      <c r="AL169" s="13"/>
      <c r="AM169" s="15"/>
      <c r="AN169" s="13"/>
      <c r="AO169" s="13"/>
    </row>
    <row r="170" spans="1:41" ht="72.5" x14ac:dyDescent="0.35">
      <c r="A170" s="13" t="s">
        <v>76</v>
      </c>
      <c r="B170" s="13" t="s">
        <v>77</v>
      </c>
      <c r="C170" s="14">
        <v>43152.5</v>
      </c>
      <c r="D170" s="13" t="s">
        <v>78</v>
      </c>
      <c r="E170" s="15" t="s">
        <v>79</v>
      </c>
      <c r="F170" s="13" t="s">
        <v>80</v>
      </c>
      <c r="G170" s="15" t="s">
        <v>81</v>
      </c>
      <c r="H170" s="13" t="s">
        <v>353</v>
      </c>
      <c r="I170" s="15" t="s">
        <v>354</v>
      </c>
      <c r="J170" s="15" t="s">
        <v>355</v>
      </c>
      <c r="K170" s="15" t="s">
        <v>356</v>
      </c>
      <c r="L170" s="13" t="s">
        <v>357</v>
      </c>
      <c r="M170" s="15" t="s">
        <v>358</v>
      </c>
      <c r="N170" s="13" t="s">
        <v>88</v>
      </c>
      <c r="O170" s="15" t="s">
        <v>89</v>
      </c>
      <c r="P170" s="15" t="s">
        <v>90</v>
      </c>
      <c r="Q170" s="15" t="s">
        <v>104</v>
      </c>
      <c r="R170" s="13" t="s">
        <v>105</v>
      </c>
      <c r="S170" s="13" t="s">
        <v>93</v>
      </c>
      <c r="T170" s="13" t="s">
        <v>94</v>
      </c>
      <c r="U170" s="14">
        <v>40725</v>
      </c>
      <c r="V170" s="14"/>
      <c r="W170" s="15"/>
      <c r="X170" s="13"/>
      <c r="Y170" s="15"/>
      <c r="Z170" s="13"/>
      <c r="AA170" s="15"/>
      <c r="AB170" s="13"/>
      <c r="AC170" s="15"/>
      <c r="AD170" s="13"/>
      <c r="AE170" s="15"/>
      <c r="AF170" s="13"/>
      <c r="AG170" s="15"/>
      <c r="AH170" s="13"/>
      <c r="AI170" s="15"/>
      <c r="AJ170" s="13"/>
      <c r="AK170" s="15"/>
      <c r="AL170" s="13"/>
      <c r="AM170" s="15"/>
      <c r="AN170" s="13"/>
      <c r="AO170" s="13"/>
    </row>
    <row r="171" spans="1:41" ht="72.5" x14ac:dyDescent="0.35">
      <c r="A171" s="13" t="s">
        <v>76</v>
      </c>
      <c r="B171" s="13" t="s">
        <v>77</v>
      </c>
      <c r="C171" s="14">
        <v>43152.5</v>
      </c>
      <c r="D171" s="13" t="s">
        <v>78</v>
      </c>
      <c r="E171" s="15" t="s">
        <v>79</v>
      </c>
      <c r="F171" s="13" t="s">
        <v>80</v>
      </c>
      <c r="G171" s="15" t="s">
        <v>81</v>
      </c>
      <c r="H171" s="13" t="s">
        <v>353</v>
      </c>
      <c r="I171" s="15" t="s">
        <v>354</v>
      </c>
      <c r="J171" s="15" t="s">
        <v>355</v>
      </c>
      <c r="K171" s="15" t="s">
        <v>356</v>
      </c>
      <c r="L171" s="13" t="s">
        <v>359</v>
      </c>
      <c r="M171" s="15" t="s">
        <v>360</v>
      </c>
      <c r="N171" s="13" t="s">
        <v>88</v>
      </c>
      <c r="O171" s="15" t="s">
        <v>97</v>
      </c>
      <c r="P171" s="15" t="s">
        <v>98</v>
      </c>
      <c r="Q171" s="15" t="s">
        <v>104</v>
      </c>
      <c r="R171" s="13" t="s">
        <v>105</v>
      </c>
      <c r="S171" s="13" t="s">
        <v>93</v>
      </c>
      <c r="T171" s="13" t="s">
        <v>94</v>
      </c>
      <c r="U171" s="14">
        <v>40725</v>
      </c>
      <c r="V171" s="14"/>
      <c r="W171" s="15"/>
      <c r="X171" s="13"/>
      <c r="Y171" s="15"/>
      <c r="Z171" s="13"/>
      <c r="AA171" s="15"/>
      <c r="AB171" s="13"/>
      <c r="AC171" s="15"/>
      <c r="AD171" s="13"/>
      <c r="AE171" s="15"/>
      <c r="AF171" s="13"/>
      <c r="AG171" s="15"/>
      <c r="AH171" s="13"/>
      <c r="AI171" s="15"/>
      <c r="AJ171" s="13"/>
      <c r="AK171" s="15"/>
      <c r="AL171" s="13"/>
      <c r="AM171" s="15"/>
      <c r="AN171" s="13"/>
      <c r="AO171" s="13"/>
    </row>
    <row r="172" spans="1:41" ht="58" x14ac:dyDescent="0.35">
      <c r="A172" s="13" t="s">
        <v>76</v>
      </c>
      <c r="B172" s="13" t="s">
        <v>77</v>
      </c>
      <c r="C172" s="14">
        <v>43152.5</v>
      </c>
      <c r="D172" s="13" t="s">
        <v>78</v>
      </c>
      <c r="E172" s="15" t="s">
        <v>79</v>
      </c>
      <c r="F172" s="13" t="s">
        <v>80</v>
      </c>
      <c r="G172" s="15" t="s">
        <v>81</v>
      </c>
      <c r="H172" s="13" t="s">
        <v>353</v>
      </c>
      <c r="I172" s="15" t="s">
        <v>354</v>
      </c>
      <c r="J172" s="15" t="s">
        <v>355</v>
      </c>
      <c r="K172" s="15" t="s">
        <v>356</v>
      </c>
      <c r="L172" s="13" t="s">
        <v>361</v>
      </c>
      <c r="M172" s="15" t="s">
        <v>362</v>
      </c>
      <c r="N172" s="13" t="s">
        <v>101</v>
      </c>
      <c r="O172" s="15" t="s">
        <v>102</v>
      </c>
      <c r="P172" s="15" t="s">
        <v>103</v>
      </c>
      <c r="Q172" s="15" t="s">
        <v>104</v>
      </c>
      <c r="R172" s="13" t="s">
        <v>105</v>
      </c>
      <c r="S172" s="13" t="s">
        <v>93</v>
      </c>
      <c r="T172" s="13" t="s">
        <v>94</v>
      </c>
      <c r="U172" s="14">
        <v>40725</v>
      </c>
      <c r="V172" s="14"/>
      <c r="W172" s="15"/>
      <c r="X172" s="13"/>
      <c r="Y172" s="15"/>
      <c r="Z172" s="13"/>
      <c r="AA172" s="15"/>
      <c r="AB172" s="13"/>
      <c r="AC172" s="15"/>
      <c r="AD172" s="13"/>
      <c r="AE172" s="15"/>
      <c r="AF172" s="13"/>
      <c r="AG172" s="15"/>
      <c r="AH172" s="13"/>
      <c r="AI172" s="15"/>
      <c r="AJ172" s="13"/>
      <c r="AK172" s="15"/>
      <c r="AL172" s="13"/>
      <c r="AM172" s="15"/>
      <c r="AN172" s="13"/>
      <c r="AO172" s="13"/>
    </row>
    <row r="173" spans="1:41" ht="72.5" x14ac:dyDescent="0.35">
      <c r="A173" s="13" t="s">
        <v>76</v>
      </c>
      <c r="B173" s="13" t="s">
        <v>77</v>
      </c>
      <c r="C173" s="14">
        <v>43152.5</v>
      </c>
      <c r="D173" s="13" t="s">
        <v>78</v>
      </c>
      <c r="E173" s="15" t="s">
        <v>79</v>
      </c>
      <c r="F173" s="13" t="s">
        <v>80</v>
      </c>
      <c r="G173" s="15" t="s">
        <v>81</v>
      </c>
      <c r="H173" s="13" t="s">
        <v>353</v>
      </c>
      <c r="I173" s="15" t="s">
        <v>354</v>
      </c>
      <c r="J173" s="15" t="s">
        <v>355</v>
      </c>
      <c r="K173" s="15" t="s">
        <v>356</v>
      </c>
      <c r="L173" s="13" t="s">
        <v>357</v>
      </c>
      <c r="M173" s="15" t="s">
        <v>358</v>
      </c>
      <c r="N173" s="13" t="s">
        <v>88</v>
      </c>
      <c r="O173" s="15" t="s">
        <v>89</v>
      </c>
      <c r="P173" s="15" t="s">
        <v>90</v>
      </c>
      <c r="Q173" s="15" t="s">
        <v>106</v>
      </c>
      <c r="R173" s="13" t="s">
        <v>107</v>
      </c>
      <c r="S173" s="13" t="s">
        <v>93</v>
      </c>
      <c r="T173" s="13" t="s">
        <v>94</v>
      </c>
      <c r="U173" s="14">
        <v>40725</v>
      </c>
      <c r="V173" s="14"/>
      <c r="W173" s="15"/>
      <c r="X173" s="13"/>
      <c r="Y173" s="15"/>
      <c r="Z173" s="13"/>
      <c r="AA173" s="15"/>
      <c r="AB173" s="13"/>
      <c r="AC173" s="15"/>
      <c r="AD173" s="13"/>
      <c r="AE173" s="15"/>
      <c r="AF173" s="13"/>
      <c r="AG173" s="15"/>
      <c r="AH173" s="13"/>
      <c r="AI173" s="15"/>
      <c r="AJ173" s="13"/>
      <c r="AK173" s="15"/>
      <c r="AL173" s="13"/>
      <c r="AM173" s="15"/>
      <c r="AN173" s="13"/>
      <c r="AO173" s="13"/>
    </row>
    <row r="174" spans="1:41" ht="72.5" x14ac:dyDescent="0.35">
      <c r="A174" s="13" t="s">
        <v>76</v>
      </c>
      <c r="B174" s="13" t="s">
        <v>77</v>
      </c>
      <c r="C174" s="14">
        <v>43152.5</v>
      </c>
      <c r="D174" s="13" t="s">
        <v>78</v>
      </c>
      <c r="E174" s="15" t="s">
        <v>79</v>
      </c>
      <c r="F174" s="13" t="s">
        <v>80</v>
      </c>
      <c r="G174" s="15" t="s">
        <v>81</v>
      </c>
      <c r="H174" s="13" t="s">
        <v>353</v>
      </c>
      <c r="I174" s="15" t="s">
        <v>354</v>
      </c>
      <c r="J174" s="15" t="s">
        <v>355</v>
      </c>
      <c r="K174" s="15" t="s">
        <v>356</v>
      </c>
      <c r="L174" s="13" t="s">
        <v>359</v>
      </c>
      <c r="M174" s="15" t="s">
        <v>360</v>
      </c>
      <c r="N174" s="13" t="s">
        <v>88</v>
      </c>
      <c r="O174" s="15" t="s">
        <v>97</v>
      </c>
      <c r="P174" s="15" t="s">
        <v>98</v>
      </c>
      <c r="Q174" s="15" t="s">
        <v>106</v>
      </c>
      <c r="R174" s="13" t="s">
        <v>107</v>
      </c>
      <c r="S174" s="13" t="s">
        <v>93</v>
      </c>
      <c r="T174" s="13" t="s">
        <v>94</v>
      </c>
      <c r="U174" s="14">
        <v>40725</v>
      </c>
      <c r="V174" s="14"/>
      <c r="W174" s="15"/>
      <c r="X174" s="13"/>
      <c r="Y174" s="15"/>
      <c r="Z174" s="13"/>
      <c r="AA174" s="15"/>
      <c r="AB174" s="13"/>
      <c r="AC174" s="15"/>
      <c r="AD174" s="13"/>
      <c r="AE174" s="15"/>
      <c r="AF174" s="13"/>
      <c r="AG174" s="15"/>
      <c r="AH174" s="13"/>
      <c r="AI174" s="15"/>
      <c r="AJ174" s="13"/>
      <c r="AK174" s="15"/>
      <c r="AL174" s="13"/>
      <c r="AM174" s="15"/>
      <c r="AN174" s="13"/>
      <c r="AO174" s="13"/>
    </row>
    <row r="175" spans="1:41" ht="58" x14ac:dyDescent="0.35">
      <c r="A175" s="13" t="s">
        <v>76</v>
      </c>
      <c r="B175" s="13" t="s">
        <v>77</v>
      </c>
      <c r="C175" s="14">
        <v>43152.5</v>
      </c>
      <c r="D175" s="13" t="s">
        <v>78</v>
      </c>
      <c r="E175" s="15" t="s">
        <v>79</v>
      </c>
      <c r="F175" s="13" t="s">
        <v>80</v>
      </c>
      <c r="G175" s="15" t="s">
        <v>81</v>
      </c>
      <c r="H175" s="13" t="s">
        <v>353</v>
      </c>
      <c r="I175" s="15" t="s">
        <v>354</v>
      </c>
      <c r="J175" s="15" t="s">
        <v>355</v>
      </c>
      <c r="K175" s="15" t="s">
        <v>356</v>
      </c>
      <c r="L175" s="13" t="s">
        <v>361</v>
      </c>
      <c r="M175" s="15" t="s">
        <v>362</v>
      </c>
      <c r="N175" s="13" t="s">
        <v>101</v>
      </c>
      <c r="O175" s="15" t="s">
        <v>102</v>
      </c>
      <c r="P175" s="15" t="s">
        <v>103</v>
      </c>
      <c r="Q175" s="15" t="s">
        <v>106</v>
      </c>
      <c r="R175" s="13" t="s">
        <v>107</v>
      </c>
      <c r="S175" s="13" t="s">
        <v>93</v>
      </c>
      <c r="T175" s="13" t="s">
        <v>94</v>
      </c>
      <c r="U175" s="14">
        <v>40725</v>
      </c>
      <c r="V175" s="14"/>
      <c r="W175" s="15"/>
      <c r="X175" s="13"/>
      <c r="Y175" s="15"/>
      <c r="Z175" s="13"/>
      <c r="AA175" s="15"/>
      <c r="AB175" s="13"/>
      <c r="AC175" s="15"/>
      <c r="AD175" s="13"/>
      <c r="AE175" s="15"/>
      <c r="AF175" s="13"/>
      <c r="AG175" s="15"/>
      <c r="AH175" s="13"/>
      <c r="AI175" s="15"/>
      <c r="AJ175" s="13"/>
      <c r="AK175" s="15"/>
      <c r="AL175" s="13"/>
      <c r="AM175" s="15"/>
      <c r="AN175" s="13"/>
      <c r="AO175" s="13"/>
    </row>
    <row r="176" spans="1:41" ht="145" x14ac:dyDescent="0.35">
      <c r="A176" s="13" t="s">
        <v>238</v>
      </c>
      <c r="B176" s="13" t="s">
        <v>109</v>
      </c>
      <c r="C176" s="14">
        <v>44368.708333333336</v>
      </c>
      <c r="D176" s="13" t="s">
        <v>78</v>
      </c>
      <c r="E176" s="15" t="s">
        <v>79</v>
      </c>
      <c r="F176" s="13" t="s">
        <v>80</v>
      </c>
      <c r="G176" s="15" t="s">
        <v>81</v>
      </c>
      <c r="H176" s="13" t="s">
        <v>353</v>
      </c>
      <c r="I176" s="15" t="s">
        <v>354</v>
      </c>
      <c r="J176" s="15" t="s">
        <v>355</v>
      </c>
      <c r="K176" s="15" t="s">
        <v>356</v>
      </c>
      <c r="L176" s="13" t="s">
        <v>357</v>
      </c>
      <c r="M176" s="15" t="s">
        <v>358</v>
      </c>
      <c r="N176" s="13" t="s">
        <v>88</v>
      </c>
      <c r="O176" s="15" t="s">
        <v>89</v>
      </c>
      <c r="P176" s="15" t="s">
        <v>90</v>
      </c>
      <c r="Q176" s="15" t="s">
        <v>110</v>
      </c>
      <c r="R176" s="13" t="s">
        <v>111</v>
      </c>
      <c r="S176" s="13" t="s">
        <v>93</v>
      </c>
      <c r="T176" s="13" t="s">
        <v>112</v>
      </c>
      <c r="U176" s="14">
        <v>40725</v>
      </c>
      <c r="V176" s="14"/>
      <c r="W176" s="15" t="s">
        <v>630</v>
      </c>
      <c r="X176" s="13" t="s">
        <v>614</v>
      </c>
      <c r="Y176" s="15" t="str">
        <f>VLOOKUP(X176,'Axe 2 Règles de gestion'!$D$2:$F$146,3, FALSE)</f>
        <v>Rémunération : L'agent ne perçoit plus son traitement.</v>
      </c>
      <c r="Z176" s="13" t="s">
        <v>616</v>
      </c>
      <c r="AA176" s="15" t="str">
        <f>VLOOKUP(Z176,'Axe 2 Règles de gestion'!$D$2:$F$146,3, FALSE)</f>
        <v>Congés annuels : L'agent ne cumule pas de droits à congé.</v>
      </c>
      <c r="AB176" s="13" t="s">
        <v>618</v>
      </c>
      <c r="AC176" s="15" t="str">
        <f>VLOOKUP(AB176,'Axe 2 Règles de gestion'!$D$2:$F$146,3, FALSE)</f>
        <v>Carrière : L'agent voit sa carrière suspendue. Il perd ses droits à l'avancement.</v>
      </c>
      <c r="AD176" s="13" t="s">
        <v>631</v>
      </c>
      <c r="AE176" s="15" t="str">
        <f>VLOOKUP(AD176,'Axe 2 Règles de gestion'!$D$2:$F$146,3, FALSE)</f>
        <v>Retraite : Les périodes de congé sans traitement ne sont pas prises en compte pour la constitution du droit à pension et la liquidation de cette dernière.</v>
      </c>
      <c r="AF176" s="13" t="s">
        <v>622</v>
      </c>
      <c r="AG176" s="15" t="str">
        <f>VLOOKUP(AF176,'Axe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76" s="13" t="s">
        <v>624</v>
      </c>
      <c r="AI176" s="15" t="str">
        <f>VLOOKUP(AH176,'Axe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76" s="13" t="s">
        <v>626</v>
      </c>
      <c r="AK176" s="15" t="str">
        <f>VLOOKUP(AJ176,'Axe 2 Règles de gestion'!$D$2:$F$146,3, FALSE)</f>
        <v>Stage : Les congés sans traitement ne sont pas comptabilisés comme temps de stage. Ils reportent donc la date de fin de stage du nombre total de jours d'absence.</v>
      </c>
      <c r="AL176" s="13" t="s">
        <v>628</v>
      </c>
      <c r="AM176" s="15" t="str">
        <f>VLOOKUP(AL176,'Axe 2 Règles de gestion'!$D$2:$F$146,3, FALSE)</f>
        <v>Acte : Un acte administratif doit être produit.</v>
      </c>
      <c r="AN176" s="13"/>
      <c r="AO176" s="13"/>
    </row>
    <row r="177" spans="1:41" ht="145" x14ac:dyDescent="0.35">
      <c r="A177" s="13" t="s">
        <v>238</v>
      </c>
      <c r="B177" s="13" t="s">
        <v>109</v>
      </c>
      <c r="C177" s="14">
        <v>44368.708333333336</v>
      </c>
      <c r="D177" s="13" t="s">
        <v>78</v>
      </c>
      <c r="E177" s="15" t="s">
        <v>79</v>
      </c>
      <c r="F177" s="13" t="s">
        <v>80</v>
      </c>
      <c r="G177" s="15" t="s">
        <v>81</v>
      </c>
      <c r="H177" s="13" t="s">
        <v>353</v>
      </c>
      <c r="I177" s="15" t="s">
        <v>354</v>
      </c>
      <c r="J177" s="15" t="s">
        <v>355</v>
      </c>
      <c r="K177" s="15" t="s">
        <v>356</v>
      </c>
      <c r="L177" s="13" t="s">
        <v>359</v>
      </c>
      <c r="M177" s="15" t="s">
        <v>360</v>
      </c>
      <c r="N177" s="13" t="s">
        <v>88</v>
      </c>
      <c r="O177" s="15" t="s">
        <v>97</v>
      </c>
      <c r="P177" s="15" t="s">
        <v>98</v>
      </c>
      <c r="Q177" s="15" t="s">
        <v>110</v>
      </c>
      <c r="R177" s="13" t="s">
        <v>111</v>
      </c>
      <c r="S177" s="13" t="s">
        <v>93</v>
      </c>
      <c r="T177" s="13" t="s">
        <v>112</v>
      </c>
      <c r="U177" s="14">
        <v>40725</v>
      </c>
      <c r="V177" s="14"/>
      <c r="W177" s="15" t="s">
        <v>630</v>
      </c>
      <c r="X177" s="13" t="s">
        <v>614</v>
      </c>
      <c r="Y177" s="15" t="str">
        <f>VLOOKUP(X177,'Axe 2 Règles de gestion'!$D$2:$F$146,3, FALSE)</f>
        <v>Rémunération : L'agent ne perçoit plus son traitement.</v>
      </c>
      <c r="Z177" s="13" t="s">
        <v>616</v>
      </c>
      <c r="AA177" s="15" t="str">
        <f>VLOOKUP(Z177,'Axe 2 Règles de gestion'!$D$2:$F$146,3, FALSE)</f>
        <v>Congés annuels : L'agent ne cumule pas de droits à congé.</v>
      </c>
      <c r="AB177" s="13" t="s">
        <v>618</v>
      </c>
      <c r="AC177" s="15" t="str">
        <f>VLOOKUP(AB177,'Axe 2 Règles de gestion'!$D$2:$F$146,3, FALSE)</f>
        <v>Carrière : L'agent voit sa carrière suspendue. Il perd ses droits à l'avancement.</v>
      </c>
      <c r="AD177" s="13" t="s">
        <v>631</v>
      </c>
      <c r="AE177" s="15" t="str">
        <f>VLOOKUP(AD177,'Axe 2 Règles de gestion'!$D$2:$F$146,3, FALSE)</f>
        <v>Retraite : Les périodes de congé sans traitement ne sont pas prises en compte pour la constitution du droit à pension et la liquidation de cette dernière.</v>
      </c>
      <c r="AF177" s="13" t="s">
        <v>622</v>
      </c>
      <c r="AG177" s="15" t="str">
        <f>VLOOKUP(AF177,'Axe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177" s="13" t="s">
        <v>624</v>
      </c>
      <c r="AI177" s="15" t="str">
        <f>VLOOKUP(AH177,'Axe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177" s="13" t="s">
        <v>626</v>
      </c>
      <c r="AK177" s="15" t="str">
        <f>VLOOKUP(AJ177,'Axe 2 Règles de gestion'!$D$2:$F$146,3, FALSE)</f>
        <v>Stage : Les congés sans traitement ne sont pas comptabilisés comme temps de stage. Ils reportent donc la date de fin de stage du nombre total de jours d'absence.</v>
      </c>
      <c r="AL177" s="13" t="s">
        <v>628</v>
      </c>
      <c r="AM177" s="15" t="str">
        <f>VLOOKUP(AL177,'Axe 2 Règles de gestion'!$D$2:$F$146,3, FALSE)</f>
        <v>Acte : Un acte administratif doit être produit.</v>
      </c>
      <c r="AN177" s="13"/>
      <c r="AO177" s="13"/>
    </row>
    <row r="178" spans="1:41" ht="58" x14ac:dyDescent="0.35">
      <c r="A178" s="13" t="s">
        <v>165</v>
      </c>
      <c r="B178" s="13" t="s">
        <v>109</v>
      </c>
      <c r="C178" s="14">
        <v>44715.452777777777</v>
      </c>
      <c r="D178" s="13" t="s">
        <v>78</v>
      </c>
      <c r="E178" s="15" t="s">
        <v>79</v>
      </c>
      <c r="F178" s="13" t="s">
        <v>80</v>
      </c>
      <c r="G178" s="15" t="s">
        <v>81</v>
      </c>
      <c r="H178" s="13" t="s">
        <v>353</v>
      </c>
      <c r="I178" s="15" t="s">
        <v>354</v>
      </c>
      <c r="J178" s="15" t="s">
        <v>355</v>
      </c>
      <c r="K178" s="15" t="s">
        <v>356</v>
      </c>
      <c r="L178" s="13" t="s">
        <v>361</v>
      </c>
      <c r="M178" s="15" t="s">
        <v>362</v>
      </c>
      <c r="N178" s="13" t="s">
        <v>101</v>
      </c>
      <c r="O178" s="15" t="s">
        <v>102</v>
      </c>
      <c r="P178" s="15" t="s">
        <v>103</v>
      </c>
      <c r="Q178" s="15" t="s">
        <v>110</v>
      </c>
      <c r="R178" s="13" t="s">
        <v>111</v>
      </c>
      <c r="S178" s="13" t="s">
        <v>93</v>
      </c>
      <c r="T178" s="13" t="s">
        <v>112</v>
      </c>
      <c r="U178" s="14">
        <v>40725</v>
      </c>
      <c r="V178" s="14">
        <v>44633</v>
      </c>
      <c r="W178" s="15"/>
      <c r="X178" s="13"/>
      <c r="Y178" s="15"/>
      <c r="Z178" s="13"/>
      <c r="AA178" s="15"/>
      <c r="AB178" s="13"/>
      <c r="AC178" s="15"/>
      <c r="AD178" s="13"/>
      <c r="AE178" s="15"/>
      <c r="AF178" s="13"/>
      <c r="AG178" s="15"/>
      <c r="AH178" s="13"/>
      <c r="AI178" s="15"/>
      <c r="AJ178" s="13"/>
      <c r="AK178" s="15"/>
      <c r="AL178" s="13"/>
      <c r="AM178" s="15"/>
      <c r="AN178" s="13"/>
      <c r="AO178" s="13"/>
    </row>
    <row r="179" spans="1:41" ht="58" x14ac:dyDescent="0.35">
      <c r="A179" s="13" t="s">
        <v>165</v>
      </c>
      <c r="B179" s="13" t="s">
        <v>77</v>
      </c>
      <c r="C179" s="14">
        <v>44715.453472222223</v>
      </c>
      <c r="D179" s="13" t="s">
        <v>78</v>
      </c>
      <c r="E179" s="15" t="s">
        <v>79</v>
      </c>
      <c r="F179" s="13" t="s">
        <v>80</v>
      </c>
      <c r="G179" s="15" t="s">
        <v>81</v>
      </c>
      <c r="H179" s="13" t="s">
        <v>353</v>
      </c>
      <c r="I179" s="15" t="s">
        <v>354</v>
      </c>
      <c r="J179" s="15" t="s">
        <v>355</v>
      </c>
      <c r="K179" s="15" t="s">
        <v>356</v>
      </c>
      <c r="L179" s="13" t="s">
        <v>361</v>
      </c>
      <c r="M179" s="15" t="s">
        <v>362</v>
      </c>
      <c r="N179" s="13" t="s">
        <v>101</v>
      </c>
      <c r="O179" s="15" t="s">
        <v>102</v>
      </c>
      <c r="P179" s="15" t="s">
        <v>103</v>
      </c>
      <c r="Q179" s="15" t="s">
        <v>110</v>
      </c>
      <c r="R179" s="13" t="s">
        <v>111</v>
      </c>
      <c r="S179" s="13" t="s">
        <v>93</v>
      </c>
      <c r="T179" s="13" t="s">
        <v>112</v>
      </c>
      <c r="U179" s="14">
        <v>44634</v>
      </c>
      <c r="V179" s="14"/>
      <c r="W179" s="15"/>
      <c r="X179" s="13"/>
      <c r="Y179" s="15"/>
      <c r="Z179" s="13"/>
      <c r="AA179" s="15"/>
      <c r="AB179" s="13"/>
      <c r="AC179" s="15"/>
      <c r="AD179" s="13"/>
      <c r="AE179" s="15"/>
      <c r="AF179" s="13"/>
      <c r="AG179" s="15"/>
      <c r="AH179" s="13"/>
      <c r="AI179" s="15"/>
      <c r="AJ179" s="13"/>
      <c r="AK179" s="15"/>
      <c r="AL179" s="13"/>
      <c r="AM179" s="15"/>
      <c r="AN179" s="13"/>
      <c r="AO179" s="13"/>
    </row>
    <row r="180" spans="1:41" ht="72.5" x14ac:dyDescent="0.35">
      <c r="A180" s="13" t="s">
        <v>76</v>
      </c>
      <c r="B180" s="13" t="s">
        <v>77</v>
      </c>
      <c r="C180" s="14">
        <v>43152.5</v>
      </c>
      <c r="D180" s="13" t="s">
        <v>78</v>
      </c>
      <c r="E180" s="15" t="s">
        <v>79</v>
      </c>
      <c r="F180" s="13" t="s">
        <v>80</v>
      </c>
      <c r="G180" s="15" t="s">
        <v>81</v>
      </c>
      <c r="H180" s="13" t="s">
        <v>353</v>
      </c>
      <c r="I180" s="15" t="s">
        <v>354</v>
      </c>
      <c r="J180" s="15" t="s">
        <v>355</v>
      </c>
      <c r="K180" s="15" t="s">
        <v>356</v>
      </c>
      <c r="L180" s="13" t="s">
        <v>357</v>
      </c>
      <c r="M180" s="15" t="s">
        <v>358</v>
      </c>
      <c r="N180" s="13" t="s">
        <v>88</v>
      </c>
      <c r="O180" s="15" t="s">
        <v>89</v>
      </c>
      <c r="P180" s="15" t="s">
        <v>90</v>
      </c>
      <c r="Q180" s="15" t="s">
        <v>175</v>
      </c>
      <c r="R180" s="13" t="s">
        <v>176</v>
      </c>
      <c r="S180" s="13" t="s">
        <v>93</v>
      </c>
      <c r="T180" s="13" t="s">
        <v>94</v>
      </c>
      <c r="U180" s="14">
        <v>40725</v>
      </c>
      <c r="V180" s="14"/>
      <c r="W180" s="15"/>
      <c r="X180" s="13"/>
      <c r="Y180" s="15"/>
      <c r="Z180" s="13"/>
      <c r="AA180" s="15"/>
      <c r="AB180" s="13"/>
      <c r="AC180" s="15"/>
      <c r="AD180" s="13"/>
      <c r="AE180" s="15"/>
      <c r="AF180" s="13"/>
      <c r="AG180" s="15"/>
      <c r="AH180" s="13"/>
      <c r="AI180" s="15"/>
      <c r="AJ180" s="13"/>
      <c r="AK180" s="15"/>
      <c r="AL180" s="13"/>
      <c r="AM180" s="15"/>
      <c r="AN180" s="13"/>
      <c r="AO180" s="13"/>
    </row>
    <row r="181" spans="1:41" ht="72.5" x14ac:dyDescent="0.35">
      <c r="A181" s="13" t="s">
        <v>76</v>
      </c>
      <c r="B181" s="13" t="s">
        <v>77</v>
      </c>
      <c r="C181" s="14">
        <v>43152.5</v>
      </c>
      <c r="D181" s="13" t="s">
        <v>78</v>
      </c>
      <c r="E181" s="15" t="s">
        <v>79</v>
      </c>
      <c r="F181" s="13" t="s">
        <v>80</v>
      </c>
      <c r="G181" s="15" t="s">
        <v>81</v>
      </c>
      <c r="H181" s="13" t="s">
        <v>353</v>
      </c>
      <c r="I181" s="15" t="s">
        <v>354</v>
      </c>
      <c r="J181" s="15" t="s">
        <v>355</v>
      </c>
      <c r="K181" s="15" t="s">
        <v>356</v>
      </c>
      <c r="L181" s="13" t="s">
        <v>359</v>
      </c>
      <c r="M181" s="15" t="s">
        <v>360</v>
      </c>
      <c r="N181" s="13" t="s">
        <v>88</v>
      </c>
      <c r="O181" s="15" t="s">
        <v>97</v>
      </c>
      <c r="P181" s="15" t="s">
        <v>98</v>
      </c>
      <c r="Q181" s="15" t="s">
        <v>175</v>
      </c>
      <c r="R181" s="13" t="s">
        <v>176</v>
      </c>
      <c r="S181" s="13" t="s">
        <v>93</v>
      </c>
      <c r="T181" s="13" t="s">
        <v>94</v>
      </c>
      <c r="U181" s="14">
        <v>40725</v>
      </c>
      <c r="V181" s="14"/>
      <c r="W181" s="15"/>
      <c r="X181" s="13"/>
      <c r="Y181" s="15"/>
      <c r="Z181" s="13"/>
      <c r="AA181" s="15"/>
      <c r="AB181" s="13"/>
      <c r="AC181" s="15"/>
      <c r="AD181" s="13"/>
      <c r="AE181" s="15"/>
      <c r="AF181" s="13"/>
      <c r="AG181" s="15"/>
      <c r="AH181" s="13"/>
      <c r="AI181" s="15"/>
      <c r="AJ181" s="13"/>
      <c r="AK181" s="15"/>
      <c r="AL181" s="13"/>
      <c r="AM181" s="15"/>
      <c r="AN181" s="13"/>
      <c r="AO181" s="13"/>
    </row>
    <row r="182" spans="1:41" ht="58" x14ac:dyDescent="0.35">
      <c r="A182" s="13" t="s">
        <v>76</v>
      </c>
      <c r="B182" s="13" t="s">
        <v>77</v>
      </c>
      <c r="C182" s="14">
        <v>43152.5</v>
      </c>
      <c r="D182" s="13" t="s">
        <v>78</v>
      </c>
      <c r="E182" s="15" t="s">
        <v>79</v>
      </c>
      <c r="F182" s="13" t="s">
        <v>80</v>
      </c>
      <c r="G182" s="15" t="s">
        <v>81</v>
      </c>
      <c r="H182" s="13" t="s">
        <v>353</v>
      </c>
      <c r="I182" s="15" t="s">
        <v>354</v>
      </c>
      <c r="J182" s="15" t="s">
        <v>355</v>
      </c>
      <c r="K182" s="15" t="s">
        <v>356</v>
      </c>
      <c r="L182" s="13" t="s">
        <v>361</v>
      </c>
      <c r="M182" s="15" t="s">
        <v>362</v>
      </c>
      <c r="N182" s="13" t="s">
        <v>101</v>
      </c>
      <c r="O182" s="15" t="s">
        <v>102</v>
      </c>
      <c r="P182" s="15" t="s">
        <v>103</v>
      </c>
      <c r="Q182" s="15" t="s">
        <v>175</v>
      </c>
      <c r="R182" s="13" t="s">
        <v>176</v>
      </c>
      <c r="S182" s="13" t="s">
        <v>93</v>
      </c>
      <c r="T182" s="13" t="s">
        <v>94</v>
      </c>
      <c r="U182" s="14">
        <v>40725</v>
      </c>
      <c r="V182" s="14"/>
      <c r="W182" s="15"/>
      <c r="X182" s="13"/>
      <c r="Y182" s="15"/>
      <c r="Z182" s="13"/>
      <c r="AA182" s="15"/>
      <c r="AB182" s="13"/>
      <c r="AC182" s="15"/>
      <c r="AD182" s="13"/>
      <c r="AE182" s="15"/>
      <c r="AF182" s="13"/>
      <c r="AG182" s="15"/>
      <c r="AH182" s="13"/>
      <c r="AI182" s="15"/>
      <c r="AJ182" s="13"/>
      <c r="AK182" s="15"/>
      <c r="AL182" s="13"/>
      <c r="AM182" s="15"/>
      <c r="AN182" s="13"/>
      <c r="AO182" s="13"/>
    </row>
    <row r="183" spans="1:41" ht="72.5" x14ac:dyDescent="0.35">
      <c r="A183" s="13" t="s">
        <v>238</v>
      </c>
      <c r="B183" s="13" t="s">
        <v>109</v>
      </c>
      <c r="C183" s="14">
        <v>44368.708333333336</v>
      </c>
      <c r="D183" s="13" t="s">
        <v>78</v>
      </c>
      <c r="E183" s="15" t="s">
        <v>79</v>
      </c>
      <c r="F183" s="13" t="s">
        <v>80</v>
      </c>
      <c r="G183" s="15" t="s">
        <v>81</v>
      </c>
      <c r="H183" s="13" t="s">
        <v>353</v>
      </c>
      <c r="I183" s="15" t="s">
        <v>354</v>
      </c>
      <c r="J183" s="15" t="s">
        <v>355</v>
      </c>
      <c r="K183" s="15" t="s">
        <v>356</v>
      </c>
      <c r="L183" s="13" t="s">
        <v>357</v>
      </c>
      <c r="M183" s="15" t="s">
        <v>358</v>
      </c>
      <c r="N183" s="13" t="s">
        <v>88</v>
      </c>
      <c r="O183" s="15" t="s">
        <v>89</v>
      </c>
      <c r="P183" s="15" t="s">
        <v>90</v>
      </c>
      <c r="Q183" s="15" t="s">
        <v>177</v>
      </c>
      <c r="R183" s="13" t="s">
        <v>178</v>
      </c>
      <c r="S183" s="13" t="s">
        <v>179</v>
      </c>
      <c r="T183" s="13" t="s">
        <v>112</v>
      </c>
      <c r="U183" s="14">
        <v>40725</v>
      </c>
      <c r="V183" s="14"/>
      <c r="W183" s="15"/>
      <c r="X183" s="13"/>
      <c r="Y183" s="15"/>
      <c r="Z183" s="13"/>
      <c r="AA183" s="15"/>
      <c r="AB183" s="13"/>
      <c r="AC183" s="15"/>
      <c r="AD183" s="13"/>
      <c r="AE183" s="15"/>
      <c r="AF183" s="13"/>
      <c r="AG183" s="15"/>
      <c r="AH183" s="13"/>
      <c r="AI183" s="15"/>
      <c r="AJ183" s="13"/>
      <c r="AK183" s="15"/>
      <c r="AL183" s="13"/>
      <c r="AM183" s="15"/>
      <c r="AN183" s="13"/>
      <c r="AO183" s="13"/>
    </row>
    <row r="184" spans="1:41" ht="72.5" x14ac:dyDescent="0.35">
      <c r="A184" s="13" t="s">
        <v>238</v>
      </c>
      <c r="B184" s="13" t="s">
        <v>109</v>
      </c>
      <c r="C184" s="14">
        <v>44368.708333333336</v>
      </c>
      <c r="D184" s="13" t="s">
        <v>78</v>
      </c>
      <c r="E184" s="15" t="s">
        <v>79</v>
      </c>
      <c r="F184" s="13" t="s">
        <v>80</v>
      </c>
      <c r="G184" s="15" t="s">
        <v>81</v>
      </c>
      <c r="H184" s="13" t="s">
        <v>353</v>
      </c>
      <c r="I184" s="15" t="s">
        <v>354</v>
      </c>
      <c r="J184" s="15" t="s">
        <v>355</v>
      </c>
      <c r="K184" s="15" t="s">
        <v>356</v>
      </c>
      <c r="L184" s="13" t="s">
        <v>359</v>
      </c>
      <c r="M184" s="15" t="s">
        <v>360</v>
      </c>
      <c r="N184" s="13" t="s">
        <v>88</v>
      </c>
      <c r="O184" s="15" t="s">
        <v>97</v>
      </c>
      <c r="P184" s="15" t="s">
        <v>98</v>
      </c>
      <c r="Q184" s="15" t="s">
        <v>177</v>
      </c>
      <c r="R184" s="13" t="s">
        <v>178</v>
      </c>
      <c r="S184" s="13" t="s">
        <v>179</v>
      </c>
      <c r="T184" s="13" t="s">
        <v>112</v>
      </c>
      <c r="U184" s="14">
        <v>40725</v>
      </c>
      <c r="V184" s="14"/>
      <c r="W184" s="15"/>
      <c r="X184" s="13"/>
      <c r="Y184" s="15"/>
      <c r="Z184" s="13"/>
      <c r="AA184" s="15"/>
      <c r="AB184" s="13"/>
      <c r="AC184" s="15"/>
      <c r="AD184" s="13"/>
      <c r="AE184" s="15"/>
      <c r="AF184" s="13"/>
      <c r="AG184" s="15"/>
      <c r="AH184" s="13"/>
      <c r="AI184" s="15"/>
      <c r="AJ184" s="13"/>
      <c r="AK184" s="15"/>
      <c r="AL184" s="13"/>
      <c r="AM184" s="15"/>
      <c r="AN184" s="13"/>
      <c r="AO184" s="13"/>
    </row>
    <row r="185" spans="1:41" ht="58" x14ac:dyDescent="0.35">
      <c r="A185" s="13" t="s">
        <v>165</v>
      </c>
      <c r="B185" s="13" t="s">
        <v>109</v>
      </c>
      <c r="C185" s="14">
        <v>44715.45416666667</v>
      </c>
      <c r="D185" s="13" t="s">
        <v>78</v>
      </c>
      <c r="E185" s="15" t="s">
        <v>79</v>
      </c>
      <c r="F185" s="13" t="s">
        <v>80</v>
      </c>
      <c r="G185" s="15" t="s">
        <v>81</v>
      </c>
      <c r="H185" s="13" t="s">
        <v>353</v>
      </c>
      <c r="I185" s="15" t="s">
        <v>354</v>
      </c>
      <c r="J185" s="15" t="s">
        <v>355</v>
      </c>
      <c r="K185" s="15" t="s">
        <v>356</v>
      </c>
      <c r="L185" s="13" t="s">
        <v>361</v>
      </c>
      <c r="M185" s="15" t="s">
        <v>362</v>
      </c>
      <c r="N185" s="13" t="s">
        <v>101</v>
      </c>
      <c r="O185" s="15" t="s">
        <v>102</v>
      </c>
      <c r="P185" s="15" t="s">
        <v>103</v>
      </c>
      <c r="Q185" s="15" t="s">
        <v>177</v>
      </c>
      <c r="R185" s="13" t="s">
        <v>178</v>
      </c>
      <c r="S185" s="13" t="s">
        <v>179</v>
      </c>
      <c r="T185" s="13" t="s">
        <v>112</v>
      </c>
      <c r="U185" s="14">
        <v>40725</v>
      </c>
      <c r="V185" s="14">
        <v>44633</v>
      </c>
      <c r="W185" s="15"/>
      <c r="X185" s="13"/>
      <c r="Y185" s="15"/>
      <c r="Z185" s="13"/>
      <c r="AA185" s="15"/>
      <c r="AB185" s="13"/>
      <c r="AC185" s="15"/>
      <c r="AD185" s="13"/>
      <c r="AE185" s="15"/>
      <c r="AF185" s="13"/>
      <c r="AG185" s="15"/>
      <c r="AH185" s="13"/>
      <c r="AI185" s="15"/>
      <c r="AJ185" s="13"/>
      <c r="AK185" s="15"/>
      <c r="AL185" s="13"/>
      <c r="AM185" s="15"/>
      <c r="AN185" s="13"/>
      <c r="AO185" s="13"/>
    </row>
    <row r="186" spans="1:41" ht="58" x14ac:dyDescent="0.35">
      <c r="A186" s="13" t="s">
        <v>165</v>
      </c>
      <c r="B186" s="13" t="s">
        <v>77</v>
      </c>
      <c r="C186" s="14">
        <v>44715.456944444442</v>
      </c>
      <c r="D186" s="13" t="s">
        <v>78</v>
      </c>
      <c r="E186" s="15" t="s">
        <v>79</v>
      </c>
      <c r="F186" s="13" t="s">
        <v>80</v>
      </c>
      <c r="G186" s="15" t="s">
        <v>81</v>
      </c>
      <c r="H186" s="13" t="s">
        <v>353</v>
      </c>
      <c r="I186" s="15" t="s">
        <v>354</v>
      </c>
      <c r="J186" s="15" t="s">
        <v>355</v>
      </c>
      <c r="K186" s="15" t="s">
        <v>356</v>
      </c>
      <c r="L186" s="13" t="s">
        <v>361</v>
      </c>
      <c r="M186" s="15" t="s">
        <v>362</v>
      </c>
      <c r="N186" s="13" t="s">
        <v>101</v>
      </c>
      <c r="O186" s="15" t="s">
        <v>102</v>
      </c>
      <c r="P186" s="15" t="s">
        <v>103</v>
      </c>
      <c r="Q186" s="15" t="s">
        <v>177</v>
      </c>
      <c r="R186" s="13" t="s">
        <v>178</v>
      </c>
      <c r="S186" s="13" t="s">
        <v>179</v>
      </c>
      <c r="T186" s="13" t="s">
        <v>112</v>
      </c>
      <c r="U186" s="14">
        <v>44634</v>
      </c>
      <c r="V186" s="14"/>
      <c r="W186" s="15"/>
      <c r="X186" s="13"/>
      <c r="Y186" s="15"/>
      <c r="Z186" s="13"/>
      <c r="AA186" s="15"/>
      <c r="AB186" s="13"/>
      <c r="AC186" s="15"/>
      <c r="AD186" s="13"/>
      <c r="AE186" s="15"/>
      <c r="AF186" s="13"/>
      <c r="AG186" s="15"/>
      <c r="AH186" s="13"/>
      <c r="AI186" s="15"/>
      <c r="AJ186" s="13"/>
      <c r="AK186" s="15"/>
      <c r="AL186" s="13"/>
      <c r="AM186" s="15"/>
      <c r="AN186" s="13"/>
      <c r="AO186" s="13"/>
    </row>
    <row r="187" spans="1:41" ht="58" x14ac:dyDescent="0.35">
      <c r="A187" s="13" t="s">
        <v>76</v>
      </c>
      <c r="B187" s="13" t="s">
        <v>77</v>
      </c>
      <c r="C187" s="14">
        <v>43152.5</v>
      </c>
      <c r="D187" s="13" t="s">
        <v>78</v>
      </c>
      <c r="E187" s="15" t="s">
        <v>79</v>
      </c>
      <c r="F187" s="13" t="s">
        <v>80</v>
      </c>
      <c r="G187" s="15" t="s">
        <v>81</v>
      </c>
      <c r="H187" s="13" t="s">
        <v>373</v>
      </c>
      <c r="I187" s="15" t="s">
        <v>374</v>
      </c>
      <c r="J187" s="15" t="s">
        <v>375</v>
      </c>
      <c r="K187" s="15" t="s">
        <v>376</v>
      </c>
      <c r="L187" s="13" t="s">
        <v>377</v>
      </c>
      <c r="M187" s="15" t="s">
        <v>378</v>
      </c>
      <c r="N187" s="13" t="s">
        <v>379</v>
      </c>
      <c r="O187" s="15"/>
      <c r="P187" s="15"/>
      <c r="Q187" s="15" t="s">
        <v>91</v>
      </c>
      <c r="R187" s="13" t="s">
        <v>92</v>
      </c>
      <c r="S187" s="13" t="s">
        <v>93</v>
      </c>
      <c r="T187" s="13" t="s">
        <v>94</v>
      </c>
      <c r="U187" s="14">
        <v>40725</v>
      </c>
      <c r="V187" s="14">
        <v>41517</v>
      </c>
      <c r="W187" s="15"/>
      <c r="X187" s="13"/>
      <c r="Y187" s="15"/>
      <c r="Z187" s="13"/>
      <c r="AA187" s="15"/>
      <c r="AB187" s="13"/>
      <c r="AC187" s="15"/>
      <c r="AD187" s="13"/>
      <c r="AE187" s="15"/>
      <c r="AF187" s="13"/>
      <c r="AG187" s="15"/>
      <c r="AH187" s="13"/>
      <c r="AI187" s="15"/>
      <c r="AJ187" s="13"/>
      <c r="AK187" s="15"/>
      <c r="AL187" s="13"/>
      <c r="AM187" s="15"/>
      <c r="AN187" s="13"/>
      <c r="AO187" s="13"/>
    </row>
    <row r="188" spans="1:41" ht="58" x14ac:dyDescent="0.35">
      <c r="A188" s="13" t="s">
        <v>76</v>
      </c>
      <c r="B188" s="13" t="s">
        <v>77</v>
      </c>
      <c r="C188" s="14">
        <v>43152.5</v>
      </c>
      <c r="D188" s="13" t="s">
        <v>78</v>
      </c>
      <c r="E188" s="15" t="s">
        <v>79</v>
      </c>
      <c r="F188" s="13" t="s">
        <v>80</v>
      </c>
      <c r="G188" s="15" t="s">
        <v>81</v>
      </c>
      <c r="H188" s="13" t="s">
        <v>373</v>
      </c>
      <c r="I188" s="15" t="s">
        <v>374</v>
      </c>
      <c r="J188" s="15" t="s">
        <v>375</v>
      </c>
      <c r="K188" s="15" t="s">
        <v>376</v>
      </c>
      <c r="L188" s="13" t="s">
        <v>380</v>
      </c>
      <c r="M188" s="15" t="s">
        <v>381</v>
      </c>
      <c r="N188" s="13" t="s">
        <v>101</v>
      </c>
      <c r="O188" s="15"/>
      <c r="P188" s="15"/>
      <c r="Q188" s="15" t="s">
        <v>91</v>
      </c>
      <c r="R188" s="13" t="s">
        <v>92</v>
      </c>
      <c r="S188" s="13" t="s">
        <v>93</v>
      </c>
      <c r="T188" s="13" t="s">
        <v>94</v>
      </c>
      <c r="U188" s="14">
        <v>40725</v>
      </c>
      <c r="V188" s="14"/>
      <c r="W188" s="15"/>
      <c r="X188" s="13"/>
      <c r="Y188" s="15"/>
      <c r="Z188" s="13"/>
      <c r="AA188" s="15"/>
      <c r="AB188" s="13"/>
      <c r="AC188" s="15"/>
      <c r="AD188" s="13"/>
      <c r="AE188" s="15"/>
      <c r="AF188" s="13"/>
      <c r="AG188" s="15"/>
      <c r="AH188" s="13"/>
      <c r="AI188" s="15"/>
      <c r="AJ188" s="13"/>
      <c r="AK188" s="15"/>
      <c r="AL188" s="13"/>
      <c r="AM188" s="15"/>
      <c r="AN188" s="13"/>
      <c r="AO188" s="13"/>
    </row>
    <row r="189" spans="1:41" ht="58" x14ac:dyDescent="0.35">
      <c r="A189" s="13" t="s">
        <v>76</v>
      </c>
      <c r="B189" s="13" t="s">
        <v>77</v>
      </c>
      <c r="C189" s="14">
        <v>43152.5</v>
      </c>
      <c r="D189" s="13" t="s">
        <v>78</v>
      </c>
      <c r="E189" s="15" t="s">
        <v>79</v>
      </c>
      <c r="F189" s="13" t="s">
        <v>80</v>
      </c>
      <c r="G189" s="15" t="s">
        <v>81</v>
      </c>
      <c r="H189" s="13" t="s">
        <v>373</v>
      </c>
      <c r="I189" s="15" t="s">
        <v>374</v>
      </c>
      <c r="J189" s="15" t="s">
        <v>375</v>
      </c>
      <c r="K189" s="15" t="s">
        <v>376</v>
      </c>
      <c r="L189" s="13" t="s">
        <v>377</v>
      </c>
      <c r="M189" s="15" t="s">
        <v>378</v>
      </c>
      <c r="N189" s="13" t="s">
        <v>379</v>
      </c>
      <c r="O189" s="15"/>
      <c r="P189" s="15"/>
      <c r="Q189" s="15" t="s">
        <v>104</v>
      </c>
      <c r="R189" s="13" t="s">
        <v>105</v>
      </c>
      <c r="S189" s="13" t="s">
        <v>93</v>
      </c>
      <c r="T189" s="13" t="s">
        <v>94</v>
      </c>
      <c r="U189" s="14">
        <v>40725</v>
      </c>
      <c r="V189" s="14">
        <v>41517</v>
      </c>
      <c r="W189" s="15"/>
      <c r="X189" s="13"/>
      <c r="Y189" s="15"/>
      <c r="Z189" s="13"/>
      <c r="AA189" s="15"/>
      <c r="AB189" s="13"/>
      <c r="AC189" s="15"/>
      <c r="AD189" s="13"/>
      <c r="AE189" s="15"/>
      <c r="AF189" s="13"/>
      <c r="AG189" s="15"/>
      <c r="AH189" s="13"/>
      <c r="AI189" s="15"/>
      <c r="AJ189" s="13"/>
      <c r="AK189" s="15"/>
      <c r="AL189" s="13"/>
      <c r="AM189" s="15"/>
      <c r="AN189" s="13"/>
      <c r="AO189" s="13"/>
    </row>
    <row r="190" spans="1:41" ht="58" x14ac:dyDescent="0.35">
      <c r="A190" s="13" t="s">
        <v>76</v>
      </c>
      <c r="B190" s="13" t="s">
        <v>77</v>
      </c>
      <c r="C190" s="14">
        <v>43152.5</v>
      </c>
      <c r="D190" s="13" t="s">
        <v>78</v>
      </c>
      <c r="E190" s="15" t="s">
        <v>79</v>
      </c>
      <c r="F190" s="13" t="s">
        <v>80</v>
      </c>
      <c r="G190" s="15" t="s">
        <v>81</v>
      </c>
      <c r="H190" s="13" t="s">
        <v>373</v>
      </c>
      <c r="I190" s="15" t="s">
        <v>374</v>
      </c>
      <c r="J190" s="15" t="s">
        <v>375</v>
      </c>
      <c r="K190" s="15" t="s">
        <v>376</v>
      </c>
      <c r="L190" s="13" t="s">
        <v>380</v>
      </c>
      <c r="M190" s="15" t="s">
        <v>381</v>
      </c>
      <c r="N190" s="13" t="s">
        <v>101</v>
      </c>
      <c r="O190" s="15"/>
      <c r="P190" s="15"/>
      <c r="Q190" s="15" t="s">
        <v>104</v>
      </c>
      <c r="R190" s="13" t="s">
        <v>105</v>
      </c>
      <c r="S190" s="13" t="s">
        <v>93</v>
      </c>
      <c r="T190" s="13" t="s">
        <v>94</v>
      </c>
      <c r="U190" s="14">
        <v>40725</v>
      </c>
      <c r="V190" s="14"/>
      <c r="W190" s="15"/>
      <c r="X190" s="13"/>
      <c r="Y190" s="15"/>
      <c r="Z190" s="13"/>
      <c r="AA190" s="15"/>
      <c r="AB190" s="13"/>
      <c r="AC190" s="15"/>
      <c r="AD190" s="13"/>
      <c r="AE190" s="15"/>
      <c r="AF190" s="13"/>
      <c r="AG190" s="15"/>
      <c r="AH190" s="13"/>
      <c r="AI190" s="15"/>
      <c r="AJ190" s="13"/>
      <c r="AK190" s="15"/>
      <c r="AL190" s="13"/>
      <c r="AM190" s="15"/>
      <c r="AN190" s="13"/>
      <c r="AO190" s="13"/>
    </row>
    <row r="191" spans="1:41" ht="58" x14ac:dyDescent="0.35">
      <c r="A191" s="13" t="s">
        <v>76</v>
      </c>
      <c r="B191" s="13" t="s">
        <v>77</v>
      </c>
      <c r="C191" s="14">
        <v>43152.5</v>
      </c>
      <c r="D191" s="13" t="s">
        <v>78</v>
      </c>
      <c r="E191" s="15" t="s">
        <v>79</v>
      </c>
      <c r="F191" s="13" t="s">
        <v>80</v>
      </c>
      <c r="G191" s="15" t="s">
        <v>81</v>
      </c>
      <c r="H191" s="13" t="s">
        <v>373</v>
      </c>
      <c r="I191" s="15" t="s">
        <v>374</v>
      </c>
      <c r="J191" s="15" t="s">
        <v>375</v>
      </c>
      <c r="K191" s="15" t="s">
        <v>376</v>
      </c>
      <c r="L191" s="13" t="s">
        <v>377</v>
      </c>
      <c r="M191" s="15" t="s">
        <v>378</v>
      </c>
      <c r="N191" s="13" t="s">
        <v>379</v>
      </c>
      <c r="O191" s="15"/>
      <c r="P191" s="15"/>
      <c r="Q191" s="15" t="s">
        <v>106</v>
      </c>
      <c r="R191" s="13" t="s">
        <v>107</v>
      </c>
      <c r="S191" s="13" t="s">
        <v>93</v>
      </c>
      <c r="T191" s="13" t="s">
        <v>94</v>
      </c>
      <c r="U191" s="14">
        <v>40725</v>
      </c>
      <c r="V191" s="14">
        <v>41517</v>
      </c>
      <c r="W191" s="15"/>
      <c r="X191" s="13"/>
      <c r="Y191" s="15"/>
      <c r="Z191" s="13"/>
      <c r="AA191" s="15"/>
      <c r="AB191" s="13"/>
      <c r="AC191" s="15"/>
      <c r="AD191" s="13"/>
      <c r="AE191" s="15"/>
      <c r="AF191" s="13"/>
      <c r="AG191" s="15"/>
      <c r="AH191" s="13"/>
      <c r="AI191" s="15"/>
      <c r="AJ191" s="13"/>
      <c r="AK191" s="15"/>
      <c r="AL191" s="13"/>
      <c r="AM191" s="15"/>
      <c r="AN191" s="13"/>
      <c r="AO191" s="13"/>
    </row>
    <row r="192" spans="1:41" ht="58" x14ac:dyDescent="0.35">
      <c r="A192" s="13" t="s">
        <v>76</v>
      </c>
      <c r="B192" s="13" t="s">
        <v>77</v>
      </c>
      <c r="C192" s="14">
        <v>43152.5</v>
      </c>
      <c r="D192" s="13" t="s">
        <v>78</v>
      </c>
      <c r="E192" s="15" t="s">
        <v>79</v>
      </c>
      <c r="F192" s="13" t="s">
        <v>80</v>
      </c>
      <c r="G192" s="15" t="s">
        <v>81</v>
      </c>
      <c r="H192" s="13" t="s">
        <v>373</v>
      </c>
      <c r="I192" s="15" t="s">
        <v>374</v>
      </c>
      <c r="J192" s="15" t="s">
        <v>375</v>
      </c>
      <c r="K192" s="15" t="s">
        <v>376</v>
      </c>
      <c r="L192" s="13" t="s">
        <v>380</v>
      </c>
      <c r="M192" s="15" t="s">
        <v>381</v>
      </c>
      <c r="N192" s="13" t="s">
        <v>101</v>
      </c>
      <c r="O192" s="15"/>
      <c r="P192" s="15"/>
      <c r="Q192" s="15" t="s">
        <v>106</v>
      </c>
      <c r="R192" s="13" t="s">
        <v>107</v>
      </c>
      <c r="S192" s="13" t="s">
        <v>93</v>
      </c>
      <c r="T192" s="13" t="s">
        <v>94</v>
      </c>
      <c r="U192" s="14">
        <v>40725</v>
      </c>
      <c r="V192" s="14"/>
      <c r="W192" s="15"/>
      <c r="X192" s="13"/>
      <c r="Y192" s="15"/>
      <c r="Z192" s="13"/>
      <c r="AA192" s="15"/>
      <c r="AB192" s="13"/>
      <c r="AC192" s="15"/>
      <c r="AD192" s="13"/>
      <c r="AE192" s="15"/>
      <c r="AF192" s="13"/>
      <c r="AG192" s="15"/>
      <c r="AH192" s="13"/>
      <c r="AI192" s="15"/>
      <c r="AJ192" s="13"/>
      <c r="AK192" s="15"/>
      <c r="AL192" s="13"/>
      <c r="AM192" s="15"/>
      <c r="AN192" s="13"/>
      <c r="AO192" s="13"/>
    </row>
    <row r="193" spans="1:41" ht="58" x14ac:dyDescent="0.35">
      <c r="A193" s="13" t="s">
        <v>76</v>
      </c>
      <c r="B193" s="13" t="s">
        <v>77</v>
      </c>
      <c r="C193" s="14">
        <v>43152.5</v>
      </c>
      <c r="D193" s="13" t="s">
        <v>78</v>
      </c>
      <c r="E193" s="15" t="s">
        <v>79</v>
      </c>
      <c r="F193" s="13" t="s">
        <v>80</v>
      </c>
      <c r="G193" s="15" t="s">
        <v>81</v>
      </c>
      <c r="H193" s="13" t="s">
        <v>373</v>
      </c>
      <c r="I193" s="15" t="s">
        <v>374</v>
      </c>
      <c r="J193" s="15" t="s">
        <v>375</v>
      </c>
      <c r="K193" s="15" t="s">
        <v>376</v>
      </c>
      <c r="L193" s="13" t="s">
        <v>377</v>
      </c>
      <c r="M193" s="15" t="s">
        <v>378</v>
      </c>
      <c r="N193" s="13" t="s">
        <v>379</v>
      </c>
      <c r="O193" s="15"/>
      <c r="P193" s="15"/>
      <c r="Q193" s="15" t="s">
        <v>110</v>
      </c>
      <c r="R193" s="13" t="s">
        <v>111</v>
      </c>
      <c r="S193" s="13" t="s">
        <v>93</v>
      </c>
      <c r="T193" s="13" t="s">
        <v>94</v>
      </c>
      <c r="U193" s="14">
        <v>40725</v>
      </c>
      <c r="V193" s="14">
        <v>41517</v>
      </c>
      <c r="W193" s="15"/>
      <c r="X193" s="13"/>
      <c r="Y193" s="15"/>
      <c r="Z193" s="13"/>
      <c r="AA193" s="15"/>
      <c r="AB193" s="13"/>
      <c r="AC193" s="15"/>
      <c r="AD193" s="13"/>
      <c r="AE193" s="15"/>
      <c r="AF193" s="13"/>
      <c r="AG193" s="15"/>
      <c r="AH193" s="13"/>
      <c r="AI193" s="15"/>
      <c r="AJ193" s="13"/>
      <c r="AK193" s="15"/>
      <c r="AL193" s="13"/>
      <c r="AM193" s="15"/>
      <c r="AN193" s="13"/>
      <c r="AO193" s="13"/>
    </row>
    <row r="194" spans="1:41" ht="58" x14ac:dyDescent="0.35">
      <c r="A194" s="13" t="s">
        <v>76</v>
      </c>
      <c r="B194" s="13" t="s">
        <v>77</v>
      </c>
      <c r="C194" s="14">
        <v>43152.5</v>
      </c>
      <c r="D194" s="13" t="s">
        <v>78</v>
      </c>
      <c r="E194" s="15" t="s">
        <v>79</v>
      </c>
      <c r="F194" s="13" t="s">
        <v>80</v>
      </c>
      <c r="G194" s="15" t="s">
        <v>81</v>
      </c>
      <c r="H194" s="13" t="s">
        <v>373</v>
      </c>
      <c r="I194" s="15" t="s">
        <v>374</v>
      </c>
      <c r="J194" s="15" t="s">
        <v>375</v>
      </c>
      <c r="K194" s="15" t="s">
        <v>376</v>
      </c>
      <c r="L194" s="13" t="s">
        <v>380</v>
      </c>
      <c r="M194" s="15" t="s">
        <v>381</v>
      </c>
      <c r="N194" s="13" t="s">
        <v>101</v>
      </c>
      <c r="O194" s="15"/>
      <c r="P194" s="15"/>
      <c r="Q194" s="15" t="s">
        <v>110</v>
      </c>
      <c r="R194" s="13" t="s">
        <v>111</v>
      </c>
      <c r="S194" s="13" t="s">
        <v>93</v>
      </c>
      <c r="T194" s="13" t="s">
        <v>94</v>
      </c>
      <c r="U194" s="14">
        <v>40725</v>
      </c>
      <c r="V194" s="14"/>
      <c r="W194" s="15"/>
      <c r="X194" s="13"/>
      <c r="Y194" s="15"/>
      <c r="Z194" s="13"/>
      <c r="AA194" s="15"/>
      <c r="AB194" s="13"/>
      <c r="AC194" s="15"/>
      <c r="AD194" s="13"/>
      <c r="AE194" s="15"/>
      <c r="AF194" s="13"/>
      <c r="AG194" s="15"/>
      <c r="AH194" s="13"/>
      <c r="AI194" s="15"/>
      <c r="AJ194" s="13"/>
      <c r="AK194" s="15"/>
      <c r="AL194" s="13"/>
      <c r="AM194" s="15"/>
      <c r="AN194" s="13"/>
      <c r="AO194" s="13"/>
    </row>
    <row r="195" spans="1:41" ht="58" x14ac:dyDescent="0.35">
      <c r="A195" s="13" t="s">
        <v>76</v>
      </c>
      <c r="B195" s="13" t="s">
        <v>77</v>
      </c>
      <c r="C195" s="14">
        <v>43152.5</v>
      </c>
      <c r="D195" s="13" t="s">
        <v>78</v>
      </c>
      <c r="E195" s="15" t="s">
        <v>79</v>
      </c>
      <c r="F195" s="13" t="s">
        <v>80</v>
      </c>
      <c r="G195" s="15" t="s">
        <v>81</v>
      </c>
      <c r="H195" s="13" t="s">
        <v>373</v>
      </c>
      <c r="I195" s="15" t="s">
        <v>374</v>
      </c>
      <c r="J195" s="15" t="s">
        <v>375</v>
      </c>
      <c r="K195" s="15" t="s">
        <v>376</v>
      </c>
      <c r="L195" s="13" t="s">
        <v>377</v>
      </c>
      <c r="M195" s="15" t="s">
        <v>378</v>
      </c>
      <c r="N195" s="13" t="s">
        <v>379</v>
      </c>
      <c r="O195" s="15"/>
      <c r="P195" s="15"/>
      <c r="Q195" s="15" t="s">
        <v>175</v>
      </c>
      <c r="R195" s="13" t="s">
        <v>176</v>
      </c>
      <c r="S195" s="13" t="s">
        <v>93</v>
      </c>
      <c r="T195" s="13" t="s">
        <v>94</v>
      </c>
      <c r="U195" s="14">
        <v>40725</v>
      </c>
      <c r="V195" s="14">
        <v>41517</v>
      </c>
      <c r="W195" s="15"/>
      <c r="X195" s="13"/>
      <c r="Y195" s="15"/>
      <c r="Z195" s="13"/>
      <c r="AA195" s="15"/>
      <c r="AB195" s="13"/>
      <c r="AC195" s="15"/>
      <c r="AD195" s="13"/>
      <c r="AE195" s="15"/>
      <c r="AF195" s="13"/>
      <c r="AG195" s="15"/>
      <c r="AH195" s="13"/>
      <c r="AI195" s="15"/>
      <c r="AJ195" s="13"/>
      <c r="AK195" s="15"/>
      <c r="AL195" s="13"/>
      <c r="AM195" s="15"/>
      <c r="AN195" s="13"/>
      <c r="AO195" s="13"/>
    </row>
    <row r="196" spans="1:41" ht="58" x14ac:dyDescent="0.35">
      <c r="A196" s="13" t="s">
        <v>76</v>
      </c>
      <c r="B196" s="13" t="s">
        <v>77</v>
      </c>
      <c r="C196" s="14">
        <v>43152.5</v>
      </c>
      <c r="D196" s="13" t="s">
        <v>78</v>
      </c>
      <c r="E196" s="15" t="s">
        <v>79</v>
      </c>
      <c r="F196" s="13" t="s">
        <v>80</v>
      </c>
      <c r="G196" s="15" t="s">
        <v>81</v>
      </c>
      <c r="H196" s="13" t="s">
        <v>373</v>
      </c>
      <c r="I196" s="15" t="s">
        <v>374</v>
      </c>
      <c r="J196" s="15" t="s">
        <v>375</v>
      </c>
      <c r="K196" s="15" t="s">
        <v>376</v>
      </c>
      <c r="L196" s="13" t="s">
        <v>380</v>
      </c>
      <c r="M196" s="15" t="s">
        <v>381</v>
      </c>
      <c r="N196" s="13" t="s">
        <v>101</v>
      </c>
      <c r="O196" s="15"/>
      <c r="P196" s="15"/>
      <c r="Q196" s="15" t="s">
        <v>175</v>
      </c>
      <c r="R196" s="13" t="s">
        <v>176</v>
      </c>
      <c r="S196" s="13" t="s">
        <v>93</v>
      </c>
      <c r="T196" s="13" t="s">
        <v>94</v>
      </c>
      <c r="U196" s="14">
        <v>40725</v>
      </c>
      <c r="V196" s="14"/>
      <c r="W196" s="15"/>
      <c r="X196" s="13"/>
      <c r="Y196" s="15"/>
      <c r="Z196" s="13"/>
      <c r="AA196" s="15"/>
      <c r="AB196" s="13"/>
      <c r="AC196" s="15"/>
      <c r="AD196" s="13"/>
      <c r="AE196" s="15"/>
      <c r="AF196" s="13"/>
      <c r="AG196" s="15"/>
      <c r="AH196" s="13"/>
      <c r="AI196" s="15"/>
      <c r="AJ196" s="13"/>
      <c r="AK196" s="15"/>
      <c r="AL196" s="13"/>
      <c r="AM196" s="15"/>
      <c r="AN196" s="13"/>
      <c r="AO196" s="13"/>
    </row>
    <row r="197" spans="1:41" ht="58" x14ac:dyDescent="0.35">
      <c r="A197" s="13" t="s">
        <v>76</v>
      </c>
      <c r="B197" s="13" t="s">
        <v>77</v>
      </c>
      <c r="C197" s="14">
        <v>43152.5</v>
      </c>
      <c r="D197" s="13" t="s">
        <v>78</v>
      </c>
      <c r="E197" s="15" t="s">
        <v>79</v>
      </c>
      <c r="F197" s="13" t="s">
        <v>80</v>
      </c>
      <c r="G197" s="15" t="s">
        <v>81</v>
      </c>
      <c r="H197" s="13" t="s">
        <v>373</v>
      </c>
      <c r="I197" s="15" t="s">
        <v>374</v>
      </c>
      <c r="J197" s="15" t="s">
        <v>375</v>
      </c>
      <c r="K197" s="15" t="s">
        <v>376</v>
      </c>
      <c r="L197" s="13" t="s">
        <v>377</v>
      </c>
      <c r="M197" s="15" t="s">
        <v>378</v>
      </c>
      <c r="N197" s="13" t="s">
        <v>379</v>
      </c>
      <c r="O197" s="15"/>
      <c r="P197" s="15"/>
      <c r="Q197" s="15" t="s">
        <v>382</v>
      </c>
      <c r="R197" s="13" t="s">
        <v>383</v>
      </c>
      <c r="S197" s="13" t="s">
        <v>179</v>
      </c>
      <c r="T197" s="13" t="s">
        <v>112</v>
      </c>
      <c r="U197" s="14">
        <v>40725</v>
      </c>
      <c r="V197" s="14">
        <v>41517</v>
      </c>
      <c r="W197" s="15"/>
      <c r="X197" s="13"/>
      <c r="Y197" s="15"/>
      <c r="Z197" s="13"/>
      <c r="AA197" s="15"/>
      <c r="AB197" s="13"/>
      <c r="AC197" s="15"/>
      <c r="AD197" s="13"/>
      <c r="AE197" s="15"/>
      <c r="AF197" s="13"/>
      <c r="AG197" s="15"/>
      <c r="AH197" s="13"/>
      <c r="AI197" s="15"/>
      <c r="AJ197" s="13"/>
      <c r="AK197" s="15"/>
      <c r="AL197" s="13"/>
      <c r="AM197" s="15"/>
      <c r="AN197" s="13"/>
      <c r="AO197" s="13"/>
    </row>
    <row r="198" spans="1:41" ht="58" x14ac:dyDescent="0.35">
      <c r="A198" s="13" t="s">
        <v>76</v>
      </c>
      <c r="B198" s="13" t="s">
        <v>109</v>
      </c>
      <c r="C198" s="14">
        <v>43644.438888888886</v>
      </c>
      <c r="D198" s="13" t="s">
        <v>78</v>
      </c>
      <c r="E198" s="15" t="s">
        <v>79</v>
      </c>
      <c r="F198" s="13" t="s">
        <v>80</v>
      </c>
      <c r="G198" s="15" t="s">
        <v>81</v>
      </c>
      <c r="H198" s="13" t="s">
        <v>373</v>
      </c>
      <c r="I198" s="15" t="s">
        <v>374</v>
      </c>
      <c r="J198" s="15" t="s">
        <v>375</v>
      </c>
      <c r="K198" s="15" t="s">
        <v>376</v>
      </c>
      <c r="L198" s="13" t="s">
        <v>380</v>
      </c>
      <c r="M198" s="15" t="s">
        <v>381</v>
      </c>
      <c r="N198" s="13" t="s">
        <v>101</v>
      </c>
      <c r="O198" s="15"/>
      <c r="P198" s="15"/>
      <c r="Q198" s="15" t="s">
        <v>382</v>
      </c>
      <c r="R198" s="13" t="s">
        <v>383</v>
      </c>
      <c r="S198" s="13" t="s">
        <v>179</v>
      </c>
      <c r="T198" s="13" t="s">
        <v>112</v>
      </c>
      <c r="U198" s="14">
        <v>40725</v>
      </c>
      <c r="V198" s="14">
        <v>41517</v>
      </c>
      <c r="W198" s="15"/>
      <c r="X198" s="13"/>
      <c r="Y198" s="15"/>
      <c r="Z198" s="13"/>
      <c r="AA198" s="15"/>
      <c r="AB198" s="13"/>
      <c r="AC198" s="15"/>
      <c r="AD198" s="13"/>
      <c r="AE198" s="15"/>
      <c r="AF198" s="13"/>
      <c r="AG198" s="15"/>
      <c r="AH198" s="13"/>
      <c r="AI198" s="15"/>
      <c r="AJ198" s="13"/>
      <c r="AK198" s="15"/>
      <c r="AL198" s="13"/>
      <c r="AM198" s="15"/>
      <c r="AN198" s="13"/>
      <c r="AO198" s="13"/>
    </row>
    <row r="199" spans="1:41" ht="72.5" x14ac:dyDescent="0.35">
      <c r="A199" s="13" t="s">
        <v>76</v>
      </c>
      <c r="B199" s="13" t="s">
        <v>77</v>
      </c>
      <c r="C199" s="14">
        <v>43152.5</v>
      </c>
      <c r="D199" s="13" t="s">
        <v>78</v>
      </c>
      <c r="E199" s="15" t="s">
        <v>79</v>
      </c>
      <c r="F199" s="13" t="s">
        <v>80</v>
      </c>
      <c r="G199" s="15" t="s">
        <v>81</v>
      </c>
      <c r="H199" s="13" t="s">
        <v>392</v>
      </c>
      <c r="I199" s="15" t="s">
        <v>393</v>
      </c>
      <c r="J199" s="15" t="s">
        <v>394</v>
      </c>
      <c r="K199" s="15" t="s">
        <v>395</v>
      </c>
      <c r="L199" s="13" t="s">
        <v>396</v>
      </c>
      <c r="M199" s="15" t="s">
        <v>397</v>
      </c>
      <c r="N199" s="13" t="s">
        <v>379</v>
      </c>
      <c r="O199" s="15"/>
      <c r="P199" s="15"/>
      <c r="Q199" s="15" t="s">
        <v>91</v>
      </c>
      <c r="R199" s="13" t="s">
        <v>92</v>
      </c>
      <c r="S199" s="13" t="s">
        <v>93</v>
      </c>
      <c r="T199" s="13" t="s">
        <v>94</v>
      </c>
      <c r="U199" s="14">
        <v>40725</v>
      </c>
      <c r="V199" s="14"/>
      <c r="W199" s="15"/>
      <c r="X199" s="13"/>
      <c r="Y199" s="15"/>
      <c r="Z199" s="13"/>
      <c r="AA199" s="15"/>
      <c r="AB199" s="13"/>
      <c r="AC199" s="15"/>
      <c r="AD199" s="13"/>
      <c r="AE199" s="15"/>
      <c r="AF199" s="13"/>
      <c r="AG199" s="15"/>
      <c r="AH199" s="13"/>
      <c r="AI199" s="15"/>
      <c r="AJ199" s="13"/>
      <c r="AK199" s="15"/>
      <c r="AL199" s="13"/>
      <c r="AM199" s="15"/>
      <c r="AN199" s="13"/>
      <c r="AO199" s="13"/>
    </row>
    <row r="200" spans="1:41" ht="72.5" x14ac:dyDescent="0.35">
      <c r="A200" s="13" t="s">
        <v>76</v>
      </c>
      <c r="B200" s="13" t="s">
        <v>77</v>
      </c>
      <c r="C200" s="14">
        <v>43152.5</v>
      </c>
      <c r="D200" s="13" t="s">
        <v>78</v>
      </c>
      <c r="E200" s="15" t="s">
        <v>79</v>
      </c>
      <c r="F200" s="13" t="s">
        <v>80</v>
      </c>
      <c r="G200" s="15" t="s">
        <v>81</v>
      </c>
      <c r="H200" s="13" t="s">
        <v>392</v>
      </c>
      <c r="I200" s="15" t="s">
        <v>393</v>
      </c>
      <c r="J200" s="15" t="s">
        <v>394</v>
      </c>
      <c r="K200" s="15" t="s">
        <v>395</v>
      </c>
      <c r="L200" s="13" t="s">
        <v>398</v>
      </c>
      <c r="M200" s="15" t="s">
        <v>399</v>
      </c>
      <c r="N200" s="13" t="s">
        <v>101</v>
      </c>
      <c r="O200" s="15"/>
      <c r="P200" s="15"/>
      <c r="Q200" s="15" t="s">
        <v>91</v>
      </c>
      <c r="R200" s="13" t="s">
        <v>92</v>
      </c>
      <c r="S200" s="13" t="s">
        <v>93</v>
      </c>
      <c r="T200" s="13" t="s">
        <v>94</v>
      </c>
      <c r="U200" s="14">
        <v>40725</v>
      </c>
      <c r="V200" s="14"/>
      <c r="W200" s="15"/>
      <c r="X200" s="13"/>
      <c r="Y200" s="15"/>
      <c r="Z200" s="13"/>
      <c r="AA200" s="15"/>
      <c r="AB200" s="13"/>
      <c r="AC200" s="15"/>
      <c r="AD200" s="13"/>
      <c r="AE200" s="15"/>
      <c r="AF200" s="13"/>
      <c r="AG200" s="15"/>
      <c r="AH200" s="13"/>
      <c r="AI200" s="15"/>
      <c r="AJ200" s="13"/>
      <c r="AK200" s="15"/>
      <c r="AL200" s="13"/>
      <c r="AM200" s="15"/>
      <c r="AN200" s="13"/>
      <c r="AO200" s="13"/>
    </row>
    <row r="201" spans="1:41" ht="72.5" x14ac:dyDescent="0.35">
      <c r="A201" s="13" t="s">
        <v>76</v>
      </c>
      <c r="B201" s="13" t="s">
        <v>77</v>
      </c>
      <c r="C201" s="14">
        <v>43152.5</v>
      </c>
      <c r="D201" s="13" t="s">
        <v>78</v>
      </c>
      <c r="E201" s="15" t="s">
        <v>79</v>
      </c>
      <c r="F201" s="13" t="s">
        <v>80</v>
      </c>
      <c r="G201" s="15" t="s">
        <v>81</v>
      </c>
      <c r="H201" s="13" t="s">
        <v>392</v>
      </c>
      <c r="I201" s="15" t="s">
        <v>393</v>
      </c>
      <c r="J201" s="15" t="s">
        <v>394</v>
      </c>
      <c r="K201" s="15" t="s">
        <v>395</v>
      </c>
      <c r="L201" s="13" t="s">
        <v>396</v>
      </c>
      <c r="M201" s="15" t="s">
        <v>397</v>
      </c>
      <c r="N201" s="13" t="s">
        <v>379</v>
      </c>
      <c r="O201" s="15"/>
      <c r="P201" s="15"/>
      <c r="Q201" s="15" t="s">
        <v>104</v>
      </c>
      <c r="R201" s="13" t="s">
        <v>105</v>
      </c>
      <c r="S201" s="13" t="s">
        <v>93</v>
      </c>
      <c r="T201" s="13" t="s">
        <v>94</v>
      </c>
      <c r="U201" s="14">
        <v>40725</v>
      </c>
      <c r="V201" s="14"/>
      <c r="W201" s="15"/>
      <c r="X201" s="13"/>
      <c r="Y201" s="15"/>
      <c r="Z201" s="13"/>
      <c r="AA201" s="15"/>
      <c r="AB201" s="13"/>
      <c r="AC201" s="15"/>
      <c r="AD201" s="13"/>
      <c r="AE201" s="15"/>
      <c r="AF201" s="13"/>
      <c r="AG201" s="15"/>
      <c r="AH201" s="13"/>
      <c r="AI201" s="15"/>
      <c r="AJ201" s="13"/>
      <c r="AK201" s="15"/>
      <c r="AL201" s="13"/>
      <c r="AM201" s="15"/>
      <c r="AN201" s="13"/>
      <c r="AO201" s="13"/>
    </row>
    <row r="202" spans="1:41" ht="72.5" x14ac:dyDescent="0.35">
      <c r="A202" s="13" t="s">
        <v>76</v>
      </c>
      <c r="B202" s="13" t="s">
        <v>77</v>
      </c>
      <c r="C202" s="14">
        <v>43152.5</v>
      </c>
      <c r="D202" s="13" t="s">
        <v>78</v>
      </c>
      <c r="E202" s="15" t="s">
        <v>79</v>
      </c>
      <c r="F202" s="13" t="s">
        <v>80</v>
      </c>
      <c r="G202" s="15" t="s">
        <v>81</v>
      </c>
      <c r="H202" s="13" t="s">
        <v>392</v>
      </c>
      <c r="I202" s="15" t="s">
        <v>393</v>
      </c>
      <c r="J202" s="15" t="s">
        <v>394</v>
      </c>
      <c r="K202" s="15" t="s">
        <v>395</v>
      </c>
      <c r="L202" s="13" t="s">
        <v>398</v>
      </c>
      <c r="M202" s="15" t="s">
        <v>399</v>
      </c>
      <c r="N202" s="13" t="s">
        <v>101</v>
      </c>
      <c r="O202" s="15"/>
      <c r="P202" s="15"/>
      <c r="Q202" s="15" t="s">
        <v>104</v>
      </c>
      <c r="R202" s="13" t="s">
        <v>105</v>
      </c>
      <c r="S202" s="13" t="s">
        <v>93</v>
      </c>
      <c r="T202" s="13" t="s">
        <v>94</v>
      </c>
      <c r="U202" s="14">
        <v>40725</v>
      </c>
      <c r="V202" s="14"/>
      <c r="W202" s="15"/>
      <c r="X202" s="13"/>
      <c r="Y202" s="15"/>
      <c r="Z202" s="13"/>
      <c r="AA202" s="15"/>
      <c r="AB202" s="13"/>
      <c r="AC202" s="15"/>
      <c r="AD202" s="13"/>
      <c r="AE202" s="15"/>
      <c r="AF202" s="13"/>
      <c r="AG202" s="15"/>
      <c r="AH202" s="13"/>
      <c r="AI202" s="15"/>
      <c r="AJ202" s="13"/>
      <c r="AK202" s="15"/>
      <c r="AL202" s="13"/>
      <c r="AM202" s="15"/>
      <c r="AN202" s="13"/>
      <c r="AO202" s="13"/>
    </row>
    <row r="203" spans="1:41" ht="72.5" x14ac:dyDescent="0.35">
      <c r="A203" s="13" t="s">
        <v>76</v>
      </c>
      <c r="B203" s="13" t="s">
        <v>77</v>
      </c>
      <c r="C203" s="14">
        <v>43152.5</v>
      </c>
      <c r="D203" s="13" t="s">
        <v>78</v>
      </c>
      <c r="E203" s="15" t="s">
        <v>79</v>
      </c>
      <c r="F203" s="13" t="s">
        <v>80</v>
      </c>
      <c r="G203" s="15" t="s">
        <v>81</v>
      </c>
      <c r="H203" s="13" t="s">
        <v>392</v>
      </c>
      <c r="I203" s="15" t="s">
        <v>393</v>
      </c>
      <c r="J203" s="15" t="s">
        <v>394</v>
      </c>
      <c r="K203" s="15" t="s">
        <v>395</v>
      </c>
      <c r="L203" s="13" t="s">
        <v>396</v>
      </c>
      <c r="M203" s="15" t="s">
        <v>397</v>
      </c>
      <c r="N203" s="13" t="s">
        <v>379</v>
      </c>
      <c r="O203" s="15"/>
      <c r="P203" s="15"/>
      <c r="Q203" s="15" t="s">
        <v>106</v>
      </c>
      <c r="R203" s="13" t="s">
        <v>107</v>
      </c>
      <c r="S203" s="13" t="s">
        <v>93</v>
      </c>
      <c r="T203" s="13" t="s">
        <v>94</v>
      </c>
      <c r="U203" s="14">
        <v>40725</v>
      </c>
      <c r="V203" s="14"/>
      <c r="W203" s="15"/>
      <c r="X203" s="13"/>
      <c r="Y203" s="15"/>
      <c r="Z203" s="13"/>
      <c r="AA203" s="15"/>
      <c r="AB203" s="13"/>
      <c r="AC203" s="15"/>
      <c r="AD203" s="13"/>
      <c r="AE203" s="15"/>
      <c r="AF203" s="13"/>
      <c r="AG203" s="15"/>
      <c r="AH203" s="13"/>
      <c r="AI203" s="15"/>
      <c r="AJ203" s="13"/>
      <c r="AK203" s="15"/>
      <c r="AL203" s="13"/>
      <c r="AM203" s="15"/>
      <c r="AN203" s="13"/>
      <c r="AO203" s="13"/>
    </row>
    <row r="204" spans="1:41" ht="72.5" x14ac:dyDescent="0.35">
      <c r="A204" s="13" t="s">
        <v>76</v>
      </c>
      <c r="B204" s="13" t="s">
        <v>77</v>
      </c>
      <c r="C204" s="14">
        <v>43152.5</v>
      </c>
      <c r="D204" s="13" t="s">
        <v>78</v>
      </c>
      <c r="E204" s="15" t="s">
        <v>79</v>
      </c>
      <c r="F204" s="13" t="s">
        <v>80</v>
      </c>
      <c r="G204" s="15" t="s">
        <v>81</v>
      </c>
      <c r="H204" s="13" t="s">
        <v>392</v>
      </c>
      <c r="I204" s="15" t="s">
        <v>393</v>
      </c>
      <c r="J204" s="15" t="s">
        <v>394</v>
      </c>
      <c r="K204" s="15" t="s">
        <v>395</v>
      </c>
      <c r="L204" s="13" t="s">
        <v>398</v>
      </c>
      <c r="M204" s="15" t="s">
        <v>399</v>
      </c>
      <c r="N204" s="13" t="s">
        <v>101</v>
      </c>
      <c r="O204" s="15"/>
      <c r="P204" s="15"/>
      <c r="Q204" s="15" t="s">
        <v>106</v>
      </c>
      <c r="R204" s="13" t="s">
        <v>107</v>
      </c>
      <c r="S204" s="13" t="s">
        <v>93</v>
      </c>
      <c r="T204" s="13" t="s">
        <v>94</v>
      </c>
      <c r="U204" s="14">
        <v>40725</v>
      </c>
      <c r="V204" s="14"/>
      <c r="W204" s="15"/>
      <c r="X204" s="13"/>
      <c r="Y204" s="15"/>
      <c r="Z204" s="13"/>
      <c r="AA204" s="15"/>
      <c r="AB204" s="13"/>
      <c r="AC204" s="15"/>
      <c r="AD204" s="13"/>
      <c r="AE204" s="15"/>
      <c r="AF204" s="13"/>
      <c r="AG204" s="15"/>
      <c r="AH204" s="13"/>
      <c r="AI204" s="15"/>
      <c r="AJ204" s="13"/>
      <c r="AK204" s="15"/>
      <c r="AL204" s="13"/>
      <c r="AM204" s="15"/>
      <c r="AN204" s="13"/>
      <c r="AO204" s="13"/>
    </row>
    <row r="205" spans="1:41" ht="145" x14ac:dyDescent="0.35">
      <c r="A205" s="13" t="s">
        <v>238</v>
      </c>
      <c r="B205" s="13" t="s">
        <v>109</v>
      </c>
      <c r="C205" s="14">
        <v>44368.708333333336</v>
      </c>
      <c r="D205" s="13" t="s">
        <v>78</v>
      </c>
      <c r="E205" s="15" t="s">
        <v>79</v>
      </c>
      <c r="F205" s="13" t="s">
        <v>80</v>
      </c>
      <c r="G205" s="15" t="s">
        <v>81</v>
      </c>
      <c r="H205" s="13" t="s">
        <v>392</v>
      </c>
      <c r="I205" s="15" t="s">
        <v>393</v>
      </c>
      <c r="J205" s="15" t="s">
        <v>394</v>
      </c>
      <c r="K205" s="15" t="s">
        <v>395</v>
      </c>
      <c r="L205" s="13" t="s">
        <v>396</v>
      </c>
      <c r="M205" s="15" t="s">
        <v>397</v>
      </c>
      <c r="N205" s="13" t="s">
        <v>379</v>
      </c>
      <c r="O205" s="15"/>
      <c r="P205" s="15"/>
      <c r="Q205" s="15" t="s">
        <v>110</v>
      </c>
      <c r="R205" s="13" t="s">
        <v>111</v>
      </c>
      <c r="S205" s="13" t="s">
        <v>93</v>
      </c>
      <c r="T205" s="13" t="s">
        <v>112</v>
      </c>
      <c r="U205" s="14">
        <v>40725</v>
      </c>
      <c r="V205" s="14"/>
      <c r="W205" s="15" t="s">
        <v>630</v>
      </c>
      <c r="X205" s="13" t="s">
        <v>614</v>
      </c>
      <c r="Y205" s="15" t="str">
        <f>VLOOKUP(X205,'Axe 2 Règles de gestion'!$D$2:$F$146,3, FALSE)</f>
        <v>Rémunération : L'agent ne perçoit plus son traitement.</v>
      </c>
      <c r="Z205" s="13" t="s">
        <v>616</v>
      </c>
      <c r="AA205" s="15" t="str">
        <f>VLOOKUP(Z205,'Axe 2 Règles de gestion'!$D$2:$F$146,3, FALSE)</f>
        <v>Congés annuels : L'agent ne cumule pas de droits à congé.</v>
      </c>
      <c r="AB205" s="13" t="s">
        <v>618</v>
      </c>
      <c r="AC205" s="15" t="str">
        <f>VLOOKUP(AB205,'Axe 2 Règles de gestion'!$D$2:$F$146,3, FALSE)</f>
        <v>Carrière : L'agent voit sa carrière suspendue. Il perd ses droits à l'avancement.</v>
      </c>
      <c r="AD205" s="13" t="s">
        <v>631</v>
      </c>
      <c r="AE205" s="15" t="str">
        <f>VLOOKUP(AD205,'Axe 2 Règles de gestion'!$D$2:$F$146,3, FALSE)</f>
        <v>Retraite : Les périodes de congé sans traitement ne sont pas prises en compte pour la constitution du droit à pension et la liquidation de cette dernière.</v>
      </c>
      <c r="AF205" s="13" t="s">
        <v>622</v>
      </c>
      <c r="AG205" s="15" t="str">
        <f>VLOOKUP(AF205,'Axe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05" s="13" t="s">
        <v>624</v>
      </c>
      <c r="AI205" s="15" t="str">
        <f>VLOOKUP(AH205,'Axe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05" s="13" t="s">
        <v>626</v>
      </c>
      <c r="AK205" s="15" t="str">
        <f>VLOOKUP(AJ205,'Axe 2 Règles de gestion'!$D$2:$F$146,3, FALSE)</f>
        <v>Stage : Les congés sans traitement ne sont pas comptabilisés comme temps de stage. Ils reportent donc la date de fin de stage du nombre total de jours d'absence.</v>
      </c>
      <c r="AL205" s="13" t="s">
        <v>628</v>
      </c>
      <c r="AM205" s="15" t="str">
        <f>VLOOKUP(AL205,'Axe 2 Règles de gestion'!$D$2:$F$146,3, FALSE)</f>
        <v>Acte : Un acte administratif doit être produit.</v>
      </c>
      <c r="AN205" s="13"/>
      <c r="AO205" s="13"/>
    </row>
    <row r="206" spans="1:41" ht="72.5" x14ac:dyDescent="0.35">
      <c r="A206" s="13" t="s">
        <v>238</v>
      </c>
      <c r="B206" s="13" t="s">
        <v>109</v>
      </c>
      <c r="C206" s="14">
        <v>44368.708333333336</v>
      </c>
      <c r="D206" s="13" t="s">
        <v>78</v>
      </c>
      <c r="E206" s="15" t="s">
        <v>79</v>
      </c>
      <c r="F206" s="13" t="s">
        <v>80</v>
      </c>
      <c r="G206" s="15" t="s">
        <v>81</v>
      </c>
      <c r="H206" s="13" t="s">
        <v>392</v>
      </c>
      <c r="I206" s="15" t="s">
        <v>393</v>
      </c>
      <c r="J206" s="15" t="s">
        <v>394</v>
      </c>
      <c r="K206" s="15" t="s">
        <v>395</v>
      </c>
      <c r="L206" s="13" t="s">
        <v>398</v>
      </c>
      <c r="M206" s="15" t="s">
        <v>399</v>
      </c>
      <c r="N206" s="13" t="s">
        <v>101</v>
      </c>
      <c r="O206" s="15"/>
      <c r="P206" s="15"/>
      <c r="Q206" s="15" t="s">
        <v>110</v>
      </c>
      <c r="R206" s="13" t="s">
        <v>111</v>
      </c>
      <c r="S206" s="13" t="s">
        <v>93</v>
      </c>
      <c r="T206" s="13" t="s">
        <v>112</v>
      </c>
      <c r="U206" s="14">
        <v>40725</v>
      </c>
      <c r="V206" s="14"/>
      <c r="W206" s="15"/>
      <c r="X206" s="13"/>
      <c r="Y206" s="15"/>
      <c r="Z206" s="13"/>
      <c r="AA206" s="15"/>
      <c r="AB206" s="13"/>
      <c r="AC206" s="15"/>
      <c r="AD206" s="13"/>
      <c r="AE206" s="15"/>
      <c r="AF206" s="13"/>
      <c r="AG206" s="15"/>
      <c r="AH206" s="13"/>
      <c r="AI206" s="15"/>
      <c r="AJ206" s="13"/>
      <c r="AK206" s="15"/>
      <c r="AL206" s="13"/>
      <c r="AM206" s="15"/>
      <c r="AN206" s="13"/>
      <c r="AO206" s="13"/>
    </row>
    <row r="207" spans="1:41" ht="72.5" x14ac:dyDescent="0.35">
      <c r="A207" s="13" t="s">
        <v>76</v>
      </c>
      <c r="B207" s="13" t="s">
        <v>77</v>
      </c>
      <c r="C207" s="14">
        <v>43152.5</v>
      </c>
      <c r="D207" s="13" t="s">
        <v>78</v>
      </c>
      <c r="E207" s="15" t="s">
        <v>79</v>
      </c>
      <c r="F207" s="13" t="s">
        <v>80</v>
      </c>
      <c r="G207" s="15" t="s">
        <v>81</v>
      </c>
      <c r="H207" s="13" t="s">
        <v>392</v>
      </c>
      <c r="I207" s="15" t="s">
        <v>393</v>
      </c>
      <c r="J207" s="15" t="s">
        <v>394</v>
      </c>
      <c r="K207" s="15" t="s">
        <v>395</v>
      </c>
      <c r="L207" s="13" t="s">
        <v>396</v>
      </c>
      <c r="M207" s="15" t="s">
        <v>397</v>
      </c>
      <c r="N207" s="13" t="s">
        <v>379</v>
      </c>
      <c r="O207" s="15"/>
      <c r="P207" s="15"/>
      <c r="Q207" s="15" t="s">
        <v>175</v>
      </c>
      <c r="R207" s="13" t="s">
        <v>176</v>
      </c>
      <c r="S207" s="13" t="s">
        <v>93</v>
      </c>
      <c r="T207" s="13" t="s">
        <v>94</v>
      </c>
      <c r="U207" s="14">
        <v>40725</v>
      </c>
      <c r="V207" s="14"/>
      <c r="W207" s="15"/>
      <c r="X207" s="13"/>
      <c r="Y207" s="15"/>
      <c r="Z207" s="13"/>
      <c r="AA207" s="15"/>
      <c r="AB207" s="13"/>
      <c r="AC207" s="15"/>
      <c r="AD207" s="13"/>
      <c r="AE207" s="15"/>
      <c r="AF207" s="13"/>
      <c r="AG207" s="15"/>
      <c r="AH207" s="13"/>
      <c r="AI207" s="15"/>
      <c r="AJ207" s="13"/>
      <c r="AK207" s="15"/>
      <c r="AL207" s="13"/>
      <c r="AM207" s="15"/>
      <c r="AN207" s="13"/>
      <c r="AO207" s="13"/>
    </row>
    <row r="208" spans="1:41" ht="72.5" x14ac:dyDescent="0.35">
      <c r="A208" s="13" t="s">
        <v>76</v>
      </c>
      <c r="B208" s="13" t="s">
        <v>77</v>
      </c>
      <c r="C208" s="14">
        <v>43152.5</v>
      </c>
      <c r="D208" s="13" t="s">
        <v>78</v>
      </c>
      <c r="E208" s="15" t="s">
        <v>79</v>
      </c>
      <c r="F208" s="13" t="s">
        <v>80</v>
      </c>
      <c r="G208" s="15" t="s">
        <v>81</v>
      </c>
      <c r="H208" s="13" t="s">
        <v>392</v>
      </c>
      <c r="I208" s="15" t="s">
        <v>393</v>
      </c>
      <c r="J208" s="15" t="s">
        <v>394</v>
      </c>
      <c r="K208" s="15" t="s">
        <v>395</v>
      </c>
      <c r="L208" s="13" t="s">
        <v>398</v>
      </c>
      <c r="M208" s="15" t="s">
        <v>399</v>
      </c>
      <c r="N208" s="13" t="s">
        <v>101</v>
      </c>
      <c r="O208" s="15"/>
      <c r="P208" s="15"/>
      <c r="Q208" s="15" t="s">
        <v>175</v>
      </c>
      <c r="R208" s="13" t="s">
        <v>176</v>
      </c>
      <c r="S208" s="13" t="s">
        <v>93</v>
      </c>
      <c r="T208" s="13" t="s">
        <v>94</v>
      </c>
      <c r="U208" s="14">
        <v>40725</v>
      </c>
      <c r="V208" s="14"/>
      <c r="W208" s="15"/>
      <c r="X208" s="13"/>
      <c r="Y208" s="15"/>
      <c r="Z208" s="13"/>
      <c r="AA208" s="15"/>
      <c r="AB208" s="13"/>
      <c r="AC208" s="15"/>
      <c r="AD208" s="13"/>
      <c r="AE208" s="15"/>
      <c r="AF208" s="13"/>
      <c r="AG208" s="15"/>
      <c r="AH208" s="13"/>
      <c r="AI208" s="15"/>
      <c r="AJ208" s="13"/>
      <c r="AK208" s="15"/>
      <c r="AL208" s="13"/>
      <c r="AM208" s="15"/>
      <c r="AN208" s="13"/>
      <c r="AO208" s="13"/>
    </row>
    <row r="209" spans="1:41" ht="72.5" x14ac:dyDescent="0.35">
      <c r="A209" s="13" t="s">
        <v>76</v>
      </c>
      <c r="B209" s="13" t="s">
        <v>77</v>
      </c>
      <c r="C209" s="14">
        <v>43152.5</v>
      </c>
      <c r="D209" s="13" t="s">
        <v>78</v>
      </c>
      <c r="E209" s="15" t="s">
        <v>79</v>
      </c>
      <c r="F209" s="13" t="s">
        <v>80</v>
      </c>
      <c r="G209" s="15" t="s">
        <v>81</v>
      </c>
      <c r="H209" s="13" t="s">
        <v>392</v>
      </c>
      <c r="I209" s="15" t="s">
        <v>393</v>
      </c>
      <c r="J209" s="15" t="s">
        <v>394</v>
      </c>
      <c r="K209" s="15" t="s">
        <v>395</v>
      </c>
      <c r="L209" s="13" t="s">
        <v>396</v>
      </c>
      <c r="M209" s="15" t="s">
        <v>397</v>
      </c>
      <c r="N209" s="13" t="s">
        <v>379</v>
      </c>
      <c r="O209" s="15"/>
      <c r="P209" s="15"/>
      <c r="Q209" s="15" t="s">
        <v>177</v>
      </c>
      <c r="R209" s="13" t="s">
        <v>178</v>
      </c>
      <c r="S209" s="13" t="s">
        <v>179</v>
      </c>
      <c r="T209" s="13" t="s">
        <v>94</v>
      </c>
      <c r="U209" s="14">
        <v>40725</v>
      </c>
      <c r="V209" s="14"/>
      <c r="W209" s="15"/>
      <c r="X209" s="13"/>
      <c r="Y209" s="15"/>
      <c r="Z209" s="13"/>
      <c r="AA209" s="15"/>
      <c r="AB209" s="13"/>
      <c r="AC209" s="15"/>
      <c r="AD209" s="13"/>
      <c r="AE209" s="15"/>
      <c r="AF209" s="13"/>
      <c r="AG209" s="15"/>
      <c r="AH209" s="13"/>
      <c r="AI209" s="15"/>
      <c r="AJ209" s="13"/>
      <c r="AK209" s="15"/>
      <c r="AL209" s="13"/>
      <c r="AM209" s="15"/>
      <c r="AN209" s="13"/>
      <c r="AO209" s="13"/>
    </row>
    <row r="210" spans="1:41" ht="72.5" x14ac:dyDescent="0.35">
      <c r="A210" s="13" t="s">
        <v>76</v>
      </c>
      <c r="B210" s="13" t="s">
        <v>77</v>
      </c>
      <c r="C210" s="14">
        <v>43152.5</v>
      </c>
      <c r="D210" s="13" t="s">
        <v>78</v>
      </c>
      <c r="E210" s="15" t="s">
        <v>79</v>
      </c>
      <c r="F210" s="13" t="s">
        <v>80</v>
      </c>
      <c r="G210" s="15" t="s">
        <v>81</v>
      </c>
      <c r="H210" s="13" t="s">
        <v>392</v>
      </c>
      <c r="I210" s="15" t="s">
        <v>393</v>
      </c>
      <c r="J210" s="15" t="s">
        <v>394</v>
      </c>
      <c r="K210" s="15" t="s">
        <v>395</v>
      </c>
      <c r="L210" s="13" t="s">
        <v>398</v>
      </c>
      <c r="M210" s="15" t="s">
        <v>399</v>
      </c>
      <c r="N210" s="13" t="s">
        <v>101</v>
      </c>
      <c r="O210" s="15"/>
      <c r="P210" s="15"/>
      <c r="Q210" s="15" t="s">
        <v>177</v>
      </c>
      <c r="R210" s="13" t="s">
        <v>178</v>
      </c>
      <c r="S210" s="13" t="s">
        <v>179</v>
      </c>
      <c r="T210" s="13" t="s">
        <v>94</v>
      </c>
      <c r="U210" s="14">
        <v>40725</v>
      </c>
      <c r="V210" s="14"/>
      <c r="W210" s="15"/>
      <c r="X210" s="13"/>
      <c r="Y210" s="15"/>
      <c r="Z210" s="13"/>
      <c r="AA210" s="15"/>
      <c r="AB210" s="13"/>
      <c r="AC210" s="15"/>
      <c r="AD210" s="13"/>
      <c r="AE210" s="15"/>
      <c r="AF210" s="13"/>
      <c r="AG210" s="15"/>
      <c r="AH210" s="13"/>
      <c r="AI210" s="15"/>
      <c r="AJ210" s="13"/>
      <c r="AK210" s="15"/>
      <c r="AL210" s="13"/>
      <c r="AM210" s="15"/>
      <c r="AN210" s="13"/>
      <c r="AO210" s="13"/>
    </row>
    <row r="211" spans="1:41" ht="72.5" x14ac:dyDescent="0.35">
      <c r="A211" s="13" t="s">
        <v>238</v>
      </c>
      <c r="B211" s="13" t="s">
        <v>109</v>
      </c>
      <c r="C211" s="14">
        <v>44368.708333333336</v>
      </c>
      <c r="D211" s="13" t="s">
        <v>78</v>
      </c>
      <c r="E211" s="15" t="s">
        <v>79</v>
      </c>
      <c r="F211" s="13" t="s">
        <v>80</v>
      </c>
      <c r="G211" s="15" t="s">
        <v>81</v>
      </c>
      <c r="H211" s="13" t="s">
        <v>392</v>
      </c>
      <c r="I211" s="15" t="s">
        <v>393</v>
      </c>
      <c r="J211" s="15" t="s">
        <v>394</v>
      </c>
      <c r="K211" s="15" t="s">
        <v>395</v>
      </c>
      <c r="L211" s="13" t="s">
        <v>396</v>
      </c>
      <c r="M211" s="15" t="s">
        <v>397</v>
      </c>
      <c r="N211" s="13" t="s">
        <v>379</v>
      </c>
      <c r="O211" s="15"/>
      <c r="P211" s="15"/>
      <c r="Q211" s="15" t="s">
        <v>201</v>
      </c>
      <c r="R211" s="13" t="s">
        <v>202</v>
      </c>
      <c r="S211" s="13" t="s">
        <v>179</v>
      </c>
      <c r="T211" s="13" t="s">
        <v>112</v>
      </c>
      <c r="U211" s="14">
        <v>40725</v>
      </c>
      <c r="V211" s="14"/>
      <c r="W211" s="15"/>
      <c r="X211" s="13"/>
      <c r="Y211" s="15"/>
      <c r="Z211" s="13"/>
      <c r="AA211" s="15"/>
      <c r="AB211" s="13"/>
      <c r="AC211" s="15"/>
      <c r="AD211" s="13"/>
      <c r="AE211" s="15"/>
      <c r="AF211" s="13"/>
      <c r="AG211" s="15"/>
      <c r="AH211" s="13"/>
      <c r="AI211" s="15"/>
      <c r="AJ211" s="13"/>
      <c r="AK211" s="15"/>
      <c r="AL211" s="13"/>
      <c r="AM211" s="15"/>
      <c r="AN211" s="13"/>
      <c r="AO211" s="13"/>
    </row>
    <row r="212" spans="1:41" ht="72.5" x14ac:dyDescent="0.35">
      <c r="A212" s="13" t="s">
        <v>238</v>
      </c>
      <c r="B212" s="13" t="s">
        <v>109</v>
      </c>
      <c r="C212" s="14">
        <v>44368.708333333336</v>
      </c>
      <c r="D212" s="13" t="s">
        <v>78</v>
      </c>
      <c r="E212" s="15" t="s">
        <v>79</v>
      </c>
      <c r="F212" s="13" t="s">
        <v>80</v>
      </c>
      <c r="G212" s="15" t="s">
        <v>81</v>
      </c>
      <c r="H212" s="13" t="s">
        <v>392</v>
      </c>
      <c r="I212" s="15" t="s">
        <v>393</v>
      </c>
      <c r="J212" s="15" t="s">
        <v>394</v>
      </c>
      <c r="K212" s="15" t="s">
        <v>395</v>
      </c>
      <c r="L212" s="13" t="s">
        <v>398</v>
      </c>
      <c r="M212" s="15" t="s">
        <v>399</v>
      </c>
      <c r="N212" s="13" t="s">
        <v>101</v>
      </c>
      <c r="O212" s="15"/>
      <c r="P212" s="15"/>
      <c r="Q212" s="15" t="s">
        <v>201</v>
      </c>
      <c r="R212" s="13" t="s">
        <v>202</v>
      </c>
      <c r="S212" s="13" t="s">
        <v>179</v>
      </c>
      <c r="T212" s="13" t="s">
        <v>112</v>
      </c>
      <c r="U212" s="14">
        <v>40725</v>
      </c>
      <c r="V212" s="14"/>
      <c r="W212" s="15"/>
      <c r="X212" s="13"/>
      <c r="Y212" s="15"/>
      <c r="Z212" s="13"/>
      <c r="AA212" s="15"/>
      <c r="AB212" s="13"/>
      <c r="AC212" s="15"/>
      <c r="AD212" s="13"/>
      <c r="AE212" s="15"/>
      <c r="AF212" s="13"/>
      <c r="AG212" s="15"/>
      <c r="AH212" s="13"/>
      <c r="AI212" s="15"/>
      <c r="AJ212" s="13"/>
      <c r="AK212" s="15"/>
      <c r="AL212" s="13"/>
      <c r="AM212" s="15"/>
      <c r="AN212" s="13"/>
      <c r="AO212" s="13"/>
    </row>
    <row r="213" spans="1:41" ht="43.5" x14ac:dyDescent="0.35">
      <c r="A213" s="13" t="s">
        <v>76</v>
      </c>
      <c r="B213" s="13" t="s">
        <v>77</v>
      </c>
      <c r="C213" s="14">
        <v>43152.5</v>
      </c>
      <c r="D213" s="13" t="s">
        <v>78</v>
      </c>
      <c r="E213" s="15" t="s">
        <v>79</v>
      </c>
      <c r="F213" s="13" t="s">
        <v>80</v>
      </c>
      <c r="G213" s="15" t="s">
        <v>81</v>
      </c>
      <c r="H213" s="13" t="s">
        <v>413</v>
      </c>
      <c r="I213" s="15" t="s">
        <v>414</v>
      </c>
      <c r="J213" s="15" t="s">
        <v>415</v>
      </c>
      <c r="K213" s="15" t="s">
        <v>416</v>
      </c>
      <c r="L213" s="13" t="s">
        <v>417</v>
      </c>
      <c r="M213" s="15" t="s">
        <v>418</v>
      </c>
      <c r="N213" s="13" t="s">
        <v>379</v>
      </c>
      <c r="O213" s="15"/>
      <c r="P213" s="15"/>
      <c r="Q213" s="15" t="s">
        <v>91</v>
      </c>
      <c r="R213" s="13" t="s">
        <v>92</v>
      </c>
      <c r="S213" s="13" t="s">
        <v>93</v>
      </c>
      <c r="T213" s="13" t="s">
        <v>94</v>
      </c>
      <c r="U213" s="14">
        <v>40725</v>
      </c>
      <c r="V213" s="14"/>
      <c r="W213" s="15"/>
      <c r="X213" s="13"/>
      <c r="Y213" s="15"/>
      <c r="Z213" s="13"/>
      <c r="AA213" s="15"/>
      <c r="AB213" s="13"/>
      <c r="AC213" s="15"/>
      <c r="AD213" s="13"/>
      <c r="AE213" s="15"/>
      <c r="AF213" s="13"/>
      <c r="AG213" s="15"/>
      <c r="AH213" s="13"/>
      <c r="AI213" s="15"/>
      <c r="AJ213" s="13"/>
      <c r="AK213" s="15"/>
      <c r="AL213" s="13"/>
      <c r="AM213" s="15"/>
      <c r="AN213" s="13"/>
      <c r="AO213" s="13"/>
    </row>
    <row r="214" spans="1:41" ht="43.5" x14ac:dyDescent="0.35">
      <c r="A214" s="13" t="s">
        <v>76</v>
      </c>
      <c r="B214" s="13" t="s">
        <v>77</v>
      </c>
      <c r="C214" s="14">
        <v>43152.5</v>
      </c>
      <c r="D214" s="13" t="s">
        <v>78</v>
      </c>
      <c r="E214" s="15" t="s">
        <v>79</v>
      </c>
      <c r="F214" s="13" t="s">
        <v>80</v>
      </c>
      <c r="G214" s="15" t="s">
        <v>81</v>
      </c>
      <c r="H214" s="13" t="s">
        <v>413</v>
      </c>
      <c r="I214" s="15" t="s">
        <v>414</v>
      </c>
      <c r="J214" s="15" t="s">
        <v>415</v>
      </c>
      <c r="K214" s="15" t="s">
        <v>416</v>
      </c>
      <c r="L214" s="13" t="s">
        <v>419</v>
      </c>
      <c r="M214" s="15" t="s">
        <v>420</v>
      </c>
      <c r="N214" s="13" t="s">
        <v>101</v>
      </c>
      <c r="O214" s="15"/>
      <c r="P214" s="15"/>
      <c r="Q214" s="15" t="s">
        <v>91</v>
      </c>
      <c r="R214" s="13" t="s">
        <v>92</v>
      </c>
      <c r="S214" s="13" t="s">
        <v>93</v>
      </c>
      <c r="T214" s="13" t="s">
        <v>94</v>
      </c>
      <c r="U214" s="14">
        <v>40725</v>
      </c>
      <c r="V214" s="14"/>
      <c r="W214" s="15"/>
      <c r="X214" s="13"/>
      <c r="Y214" s="15"/>
      <c r="Z214" s="13"/>
      <c r="AA214" s="15"/>
      <c r="AB214" s="13"/>
      <c r="AC214" s="15"/>
      <c r="AD214" s="13"/>
      <c r="AE214" s="15"/>
      <c r="AF214" s="13"/>
      <c r="AG214" s="15"/>
      <c r="AH214" s="13"/>
      <c r="AI214" s="15"/>
      <c r="AJ214" s="13"/>
      <c r="AK214" s="15"/>
      <c r="AL214" s="13"/>
      <c r="AM214" s="15"/>
      <c r="AN214" s="13"/>
      <c r="AO214" s="13"/>
    </row>
    <row r="215" spans="1:41" ht="43.5" x14ac:dyDescent="0.35">
      <c r="A215" s="13" t="s">
        <v>76</v>
      </c>
      <c r="B215" s="13" t="s">
        <v>77</v>
      </c>
      <c r="C215" s="14">
        <v>43152.5</v>
      </c>
      <c r="D215" s="13" t="s">
        <v>78</v>
      </c>
      <c r="E215" s="15" t="s">
        <v>79</v>
      </c>
      <c r="F215" s="13" t="s">
        <v>80</v>
      </c>
      <c r="G215" s="15" t="s">
        <v>81</v>
      </c>
      <c r="H215" s="13" t="s">
        <v>413</v>
      </c>
      <c r="I215" s="15" t="s">
        <v>414</v>
      </c>
      <c r="J215" s="15" t="s">
        <v>415</v>
      </c>
      <c r="K215" s="15" t="s">
        <v>416</v>
      </c>
      <c r="L215" s="13" t="s">
        <v>417</v>
      </c>
      <c r="M215" s="15" t="s">
        <v>418</v>
      </c>
      <c r="N215" s="13" t="s">
        <v>379</v>
      </c>
      <c r="O215" s="15"/>
      <c r="P215" s="15"/>
      <c r="Q215" s="15" t="s">
        <v>104</v>
      </c>
      <c r="R215" s="13" t="s">
        <v>105</v>
      </c>
      <c r="S215" s="13" t="s">
        <v>93</v>
      </c>
      <c r="T215" s="13" t="s">
        <v>94</v>
      </c>
      <c r="U215" s="14">
        <v>40725</v>
      </c>
      <c r="V215" s="14"/>
      <c r="W215" s="15"/>
      <c r="X215" s="13"/>
      <c r="Y215" s="15"/>
      <c r="Z215" s="13"/>
      <c r="AA215" s="15"/>
      <c r="AB215" s="13"/>
      <c r="AC215" s="15"/>
      <c r="AD215" s="13"/>
      <c r="AE215" s="15"/>
      <c r="AF215" s="13"/>
      <c r="AG215" s="15"/>
      <c r="AH215" s="13"/>
      <c r="AI215" s="15"/>
      <c r="AJ215" s="13"/>
      <c r="AK215" s="15"/>
      <c r="AL215" s="13"/>
      <c r="AM215" s="15"/>
      <c r="AN215" s="13"/>
      <c r="AO215" s="13"/>
    </row>
    <row r="216" spans="1:41" ht="43.5" x14ac:dyDescent="0.35">
      <c r="A216" s="13" t="s">
        <v>76</v>
      </c>
      <c r="B216" s="13" t="s">
        <v>77</v>
      </c>
      <c r="C216" s="14">
        <v>43152.5</v>
      </c>
      <c r="D216" s="13" t="s">
        <v>78</v>
      </c>
      <c r="E216" s="15" t="s">
        <v>79</v>
      </c>
      <c r="F216" s="13" t="s">
        <v>80</v>
      </c>
      <c r="G216" s="15" t="s">
        <v>81</v>
      </c>
      <c r="H216" s="13" t="s">
        <v>413</v>
      </c>
      <c r="I216" s="15" t="s">
        <v>414</v>
      </c>
      <c r="J216" s="15" t="s">
        <v>415</v>
      </c>
      <c r="K216" s="15" t="s">
        <v>416</v>
      </c>
      <c r="L216" s="13" t="s">
        <v>419</v>
      </c>
      <c r="M216" s="15" t="s">
        <v>420</v>
      </c>
      <c r="N216" s="13" t="s">
        <v>101</v>
      </c>
      <c r="O216" s="15"/>
      <c r="P216" s="15"/>
      <c r="Q216" s="15" t="s">
        <v>104</v>
      </c>
      <c r="R216" s="13" t="s">
        <v>105</v>
      </c>
      <c r="S216" s="13" t="s">
        <v>93</v>
      </c>
      <c r="T216" s="13" t="s">
        <v>94</v>
      </c>
      <c r="U216" s="14">
        <v>40725</v>
      </c>
      <c r="V216" s="14"/>
      <c r="W216" s="15"/>
      <c r="X216" s="13"/>
      <c r="Y216" s="15"/>
      <c r="Z216" s="13"/>
      <c r="AA216" s="15"/>
      <c r="AB216" s="13"/>
      <c r="AC216" s="15"/>
      <c r="AD216" s="13"/>
      <c r="AE216" s="15"/>
      <c r="AF216" s="13"/>
      <c r="AG216" s="15"/>
      <c r="AH216" s="13"/>
      <c r="AI216" s="15"/>
      <c r="AJ216" s="13"/>
      <c r="AK216" s="15"/>
      <c r="AL216" s="13"/>
      <c r="AM216" s="15"/>
      <c r="AN216" s="13"/>
      <c r="AO216" s="13"/>
    </row>
    <row r="217" spans="1:41" ht="43.5" x14ac:dyDescent="0.35">
      <c r="A217" s="13" t="s">
        <v>76</v>
      </c>
      <c r="B217" s="13" t="s">
        <v>77</v>
      </c>
      <c r="C217" s="14">
        <v>43152.5</v>
      </c>
      <c r="D217" s="13" t="s">
        <v>78</v>
      </c>
      <c r="E217" s="15" t="s">
        <v>79</v>
      </c>
      <c r="F217" s="13" t="s">
        <v>80</v>
      </c>
      <c r="G217" s="15" t="s">
        <v>81</v>
      </c>
      <c r="H217" s="13" t="s">
        <v>413</v>
      </c>
      <c r="I217" s="15" t="s">
        <v>414</v>
      </c>
      <c r="J217" s="15" t="s">
        <v>415</v>
      </c>
      <c r="K217" s="15" t="s">
        <v>416</v>
      </c>
      <c r="L217" s="13" t="s">
        <v>417</v>
      </c>
      <c r="M217" s="15" t="s">
        <v>418</v>
      </c>
      <c r="N217" s="13" t="s">
        <v>379</v>
      </c>
      <c r="O217" s="15"/>
      <c r="P217" s="15"/>
      <c r="Q217" s="15" t="s">
        <v>106</v>
      </c>
      <c r="R217" s="13" t="s">
        <v>107</v>
      </c>
      <c r="S217" s="13" t="s">
        <v>93</v>
      </c>
      <c r="T217" s="13" t="s">
        <v>94</v>
      </c>
      <c r="U217" s="14">
        <v>40725</v>
      </c>
      <c r="V217" s="14"/>
      <c r="W217" s="15"/>
      <c r="X217" s="13"/>
      <c r="Y217" s="15"/>
      <c r="Z217" s="13"/>
      <c r="AA217" s="15"/>
      <c r="AB217" s="13"/>
      <c r="AC217" s="15"/>
      <c r="AD217" s="13"/>
      <c r="AE217" s="15"/>
      <c r="AF217" s="13"/>
      <c r="AG217" s="15"/>
      <c r="AH217" s="13"/>
      <c r="AI217" s="15"/>
      <c r="AJ217" s="13"/>
      <c r="AK217" s="15"/>
      <c r="AL217" s="13"/>
      <c r="AM217" s="15"/>
      <c r="AN217" s="13"/>
      <c r="AO217" s="13"/>
    </row>
    <row r="218" spans="1:41" ht="43.5" x14ac:dyDescent="0.35">
      <c r="A218" s="13" t="s">
        <v>76</v>
      </c>
      <c r="B218" s="13" t="s">
        <v>77</v>
      </c>
      <c r="C218" s="14">
        <v>43152.5</v>
      </c>
      <c r="D218" s="13" t="s">
        <v>78</v>
      </c>
      <c r="E218" s="15" t="s">
        <v>79</v>
      </c>
      <c r="F218" s="13" t="s">
        <v>80</v>
      </c>
      <c r="G218" s="15" t="s">
        <v>81</v>
      </c>
      <c r="H218" s="13" t="s">
        <v>413</v>
      </c>
      <c r="I218" s="15" t="s">
        <v>414</v>
      </c>
      <c r="J218" s="15" t="s">
        <v>415</v>
      </c>
      <c r="K218" s="15" t="s">
        <v>416</v>
      </c>
      <c r="L218" s="13" t="s">
        <v>419</v>
      </c>
      <c r="M218" s="15" t="s">
        <v>420</v>
      </c>
      <c r="N218" s="13" t="s">
        <v>101</v>
      </c>
      <c r="O218" s="15"/>
      <c r="P218" s="15"/>
      <c r="Q218" s="15" t="s">
        <v>106</v>
      </c>
      <c r="R218" s="13" t="s">
        <v>107</v>
      </c>
      <c r="S218" s="13" t="s">
        <v>93</v>
      </c>
      <c r="T218" s="13" t="s">
        <v>94</v>
      </c>
      <c r="U218" s="14">
        <v>40725</v>
      </c>
      <c r="V218" s="14"/>
      <c r="W218" s="15"/>
      <c r="X218" s="13"/>
      <c r="Y218" s="15"/>
      <c r="Z218" s="13"/>
      <c r="AA218" s="15"/>
      <c r="AB218" s="13"/>
      <c r="AC218" s="15"/>
      <c r="AD218" s="13"/>
      <c r="AE218" s="15"/>
      <c r="AF218" s="13"/>
      <c r="AG218" s="15"/>
      <c r="AH218" s="13"/>
      <c r="AI218" s="15"/>
      <c r="AJ218" s="13"/>
      <c r="AK218" s="15"/>
      <c r="AL218" s="13"/>
      <c r="AM218" s="15"/>
      <c r="AN218" s="13"/>
      <c r="AO218" s="13"/>
    </row>
    <row r="219" spans="1:41" ht="145" x14ac:dyDescent="0.35">
      <c r="A219" s="13" t="s">
        <v>421</v>
      </c>
      <c r="B219" s="13" t="s">
        <v>109</v>
      </c>
      <c r="C219" s="14">
        <v>44889.48333333333</v>
      </c>
      <c r="D219" s="13" t="s">
        <v>78</v>
      </c>
      <c r="E219" s="15" t="s">
        <v>79</v>
      </c>
      <c r="F219" s="13" t="s">
        <v>80</v>
      </c>
      <c r="G219" s="15" t="s">
        <v>81</v>
      </c>
      <c r="H219" s="13" t="s">
        <v>413</v>
      </c>
      <c r="I219" s="15" t="s">
        <v>414</v>
      </c>
      <c r="J219" s="15" t="s">
        <v>415</v>
      </c>
      <c r="K219" s="15" t="s">
        <v>416</v>
      </c>
      <c r="L219" s="13" t="s">
        <v>417</v>
      </c>
      <c r="M219" s="15" t="s">
        <v>418</v>
      </c>
      <c r="N219" s="13" t="s">
        <v>379</v>
      </c>
      <c r="O219" s="15"/>
      <c r="P219" s="15"/>
      <c r="Q219" s="15" t="s">
        <v>110</v>
      </c>
      <c r="R219" s="13" t="s">
        <v>111</v>
      </c>
      <c r="S219" s="13" t="s">
        <v>93</v>
      </c>
      <c r="T219" s="13" t="s">
        <v>112</v>
      </c>
      <c r="U219" s="14">
        <v>40725</v>
      </c>
      <c r="V219" s="14"/>
      <c r="W219" s="15" t="s">
        <v>630</v>
      </c>
      <c r="X219" s="13" t="s">
        <v>614</v>
      </c>
      <c r="Y219" s="15" t="str">
        <f>VLOOKUP(X219,'Axe 2 Règles de gestion'!$D$2:$F$146,3, FALSE)</f>
        <v>Rémunération : L'agent ne perçoit plus son traitement.</v>
      </c>
      <c r="Z219" s="13" t="s">
        <v>616</v>
      </c>
      <c r="AA219" s="15" t="str">
        <f>VLOOKUP(Z219,'Axe 2 Règles de gestion'!$D$2:$F$146,3, FALSE)</f>
        <v>Congés annuels : L'agent ne cumule pas de droits à congé.</v>
      </c>
      <c r="AB219" s="13" t="s">
        <v>618</v>
      </c>
      <c r="AC219" s="15" t="str">
        <f>VLOOKUP(AB219,'Axe 2 Règles de gestion'!$D$2:$F$146,3, FALSE)</f>
        <v>Carrière : L'agent voit sa carrière suspendue. Il perd ses droits à l'avancement.</v>
      </c>
      <c r="AD219" s="13" t="s">
        <v>631</v>
      </c>
      <c r="AE219" s="15" t="str">
        <f>VLOOKUP(AD219,'Axe 2 Règles de gestion'!$D$2:$F$146,3, FALSE)</f>
        <v>Retraite : Les périodes de congé sans traitement ne sont pas prises en compte pour la constitution du droit à pension et la liquidation de cette dernière.</v>
      </c>
      <c r="AF219" s="13" t="s">
        <v>622</v>
      </c>
      <c r="AG219" s="15" t="str">
        <f>VLOOKUP(AF219,'Axe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19" s="13" t="s">
        <v>624</v>
      </c>
      <c r="AI219" s="15" t="str">
        <f>VLOOKUP(AH219,'Axe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19" s="13" t="s">
        <v>626</v>
      </c>
      <c r="AK219" s="15" t="str">
        <f>VLOOKUP(AJ219,'Axe 2 Règles de gestion'!$D$2:$F$146,3, FALSE)</f>
        <v>Stage : Les congés sans traitement ne sont pas comptabilisés comme temps de stage. Ils reportent donc la date de fin de stage du nombre total de jours d'absence.</v>
      </c>
      <c r="AL219" s="13" t="s">
        <v>628</v>
      </c>
      <c r="AM219" s="15" t="str">
        <f>VLOOKUP(AL219,'Axe 2 Règles de gestion'!$D$2:$F$146,3, FALSE)</f>
        <v>Acte : Un acte administratif doit être produit.</v>
      </c>
      <c r="AN219" s="13"/>
      <c r="AO219" s="13"/>
    </row>
    <row r="220" spans="1:41" ht="43.5" x14ac:dyDescent="0.35">
      <c r="A220" s="13" t="s">
        <v>421</v>
      </c>
      <c r="B220" s="13" t="s">
        <v>109</v>
      </c>
      <c r="C220" s="14">
        <v>44889.484722222223</v>
      </c>
      <c r="D220" s="13" t="s">
        <v>78</v>
      </c>
      <c r="E220" s="15" t="s">
        <v>79</v>
      </c>
      <c r="F220" s="13" t="s">
        <v>80</v>
      </c>
      <c r="G220" s="15" t="s">
        <v>81</v>
      </c>
      <c r="H220" s="13" t="s">
        <v>413</v>
      </c>
      <c r="I220" s="15" t="s">
        <v>414</v>
      </c>
      <c r="J220" s="15" t="s">
        <v>415</v>
      </c>
      <c r="K220" s="15" t="s">
        <v>416</v>
      </c>
      <c r="L220" s="13" t="s">
        <v>419</v>
      </c>
      <c r="M220" s="15" t="s">
        <v>420</v>
      </c>
      <c r="N220" s="13" t="s">
        <v>101</v>
      </c>
      <c r="O220" s="15"/>
      <c r="P220" s="15"/>
      <c r="Q220" s="15" t="s">
        <v>110</v>
      </c>
      <c r="R220" s="13" t="s">
        <v>111</v>
      </c>
      <c r="S220" s="13" t="s">
        <v>93</v>
      </c>
      <c r="T220" s="13" t="s">
        <v>112</v>
      </c>
      <c r="U220" s="14">
        <v>40725</v>
      </c>
      <c r="V220" s="14"/>
      <c r="W220" s="15"/>
      <c r="X220" s="13"/>
      <c r="Y220" s="15"/>
      <c r="Z220" s="13"/>
      <c r="AA220" s="15"/>
      <c r="AB220" s="13"/>
      <c r="AC220" s="15"/>
      <c r="AD220" s="13"/>
      <c r="AE220" s="15"/>
      <c r="AF220" s="13"/>
      <c r="AG220" s="15"/>
      <c r="AH220" s="13"/>
      <c r="AI220" s="15"/>
      <c r="AJ220" s="13"/>
      <c r="AK220" s="15"/>
      <c r="AL220" s="13"/>
      <c r="AM220" s="15"/>
      <c r="AN220" s="13"/>
      <c r="AO220" s="13"/>
    </row>
    <row r="221" spans="1:41" ht="43.5" x14ac:dyDescent="0.35">
      <c r="A221" s="13" t="s">
        <v>76</v>
      </c>
      <c r="B221" s="13" t="s">
        <v>77</v>
      </c>
      <c r="C221" s="14">
        <v>43152.5</v>
      </c>
      <c r="D221" s="13" t="s">
        <v>78</v>
      </c>
      <c r="E221" s="15" t="s">
        <v>79</v>
      </c>
      <c r="F221" s="13" t="s">
        <v>80</v>
      </c>
      <c r="G221" s="15" t="s">
        <v>81</v>
      </c>
      <c r="H221" s="13" t="s">
        <v>413</v>
      </c>
      <c r="I221" s="15" t="s">
        <v>414</v>
      </c>
      <c r="J221" s="15" t="s">
        <v>415</v>
      </c>
      <c r="K221" s="15" t="s">
        <v>416</v>
      </c>
      <c r="L221" s="13" t="s">
        <v>417</v>
      </c>
      <c r="M221" s="15" t="s">
        <v>418</v>
      </c>
      <c r="N221" s="13" t="s">
        <v>379</v>
      </c>
      <c r="O221" s="15"/>
      <c r="P221" s="15"/>
      <c r="Q221" s="15" t="s">
        <v>175</v>
      </c>
      <c r="R221" s="13" t="s">
        <v>176</v>
      </c>
      <c r="S221" s="13" t="s">
        <v>93</v>
      </c>
      <c r="T221" s="13" t="s">
        <v>94</v>
      </c>
      <c r="U221" s="14">
        <v>40725</v>
      </c>
      <c r="V221" s="14"/>
      <c r="W221" s="15"/>
      <c r="X221" s="13"/>
      <c r="Y221" s="15"/>
      <c r="Z221" s="13"/>
      <c r="AA221" s="15"/>
      <c r="AB221" s="13"/>
      <c r="AC221" s="15"/>
      <c r="AD221" s="13"/>
      <c r="AE221" s="15"/>
      <c r="AF221" s="13"/>
      <c r="AG221" s="15"/>
      <c r="AH221" s="13"/>
      <c r="AI221" s="15"/>
      <c r="AJ221" s="13"/>
      <c r="AK221" s="15"/>
      <c r="AL221" s="13"/>
      <c r="AM221" s="15"/>
      <c r="AN221" s="13"/>
      <c r="AO221" s="13"/>
    </row>
    <row r="222" spans="1:41" ht="43.5" x14ac:dyDescent="0.35">
      <c r="A222" s="13" t="s">
        <v>76</v>
      </c>
      <c r="B222" s="13" t="s">
        <v>77</v>
      </c>
      <c r="C222" s="14">
        <v>43152.5</v>
      </c>
      <c r="D222" s="13" t="s">
        <v>78</v>
      </c>
      <c r="E222" s="15" t="s">
        <v>79</v>
      </c>
      <c r="F222" s="13" t="s">
        <v>80</v>
      </c>
      <c r="G222" s="15" t="s">
        <v>81</v>
      </c>
      <c r="H222" s="13" t="s">
        <v>413</v>
      </c>
      <c r="I222" s="15" t="s">
        <v>414</v>
      </c>
      <c r="J222" s="15" t="s">
        <v>415</v>
      </c>
      <c r="K222" s="15" t="s">
        <v>416</v>
      </c>
      <c r="L222" s="13" t="s">
        <v>419</v>
      </c>
      <c r="M222" s="15" t="s">
        <v>420</v>
      </c>
      <c r="N222" s="13" t="s">
        <v>101</v>
      </c>
      <c r="O222" s="15"/>
      <c r="P222" s="15"/>
      <c r="Q222" s="15" t="s">
        <v>175</v>
      </c>
      <c r="R222" s="13" t="s">
        <v>176</v>
      </c>
      <c r="S222" s="13" t="s">
        <v>93</v>
      </c>
      <c r="T222" s="13" t="s">
        <v>94</v>
      </c>
      <c r="U222" s="14">
        <v>40725</v>
      </c>
      <c r="V222" s="14"/>
      <c r="W222" s="15"/>
      <c r="X222" s="13"/>
      <c r="Y222" s="15"/>
      <c r="Z222" s="13"/>
      <c r="AA222" s="15"/>
      <c r="AB222" s="13"/>
      <c r="AC222" s="15"/>
      <c r="AD222" s="13"/>
      <c r="AE222" s="15"/>
      <c r="AF222" s="13"/>
      <c r="AG222" s="15"/>
      <c r="AH222" s="13"/>
      <c r="AI222" s="15"/>
      <c r="AJ222" s="13"/>
      <c r="AK222" s="15"/>
      <c r="AL222" s="13"/>
      <c r="AM222" s="15"/>
      <c r="AN222" s="13"/>
      <c r="AO222" s="13"/>
    </row>
    <row r="223" spans="1:41" ht="43.5" x14ac:dyDescent="0.35">
      <c r="A223" s="13" t="s">
        <v>238</v>
      </c>
      <c r="B223" s="13" t="s">
        <v>109</v>
      </c>
      <c r="C223" s="14">
        <v>44368.708333333336</v>
      </c>
      <c r="D223" s="13" t="s">
        <v>78</v>
      </c>
      <c r="E223" s="15" t="s">
        <v>79</v>
      </c>
      <c r="F223" s="13" t="s">
        <v>80</v>
      </c>
      <c r="G223" s="15" t="s">
        <v>81</v>
      </c>
      <c r="H223" s="13" t="s">
        <v>413</v>
      </c>
      <c r="I223" s="15" t="s">
        <v>414</v>
      </c>
      <c r="J223" s="15" t="s">
        <v>415</v>
      </c>
      <c r="K223" s="15" t="s">
        <v>416</v>
      </c>
      <c r="L223" s="13" t="s">
        <v>417</v>
      </c>
      <c r="M223" s="15" t="s">
        <v>418</v>
      </c>
      <c r="N223" s="13" t="s">
        <v>379</v>
      </c>
      <c r="O223" s="15"/>
      <c r="P223" s="15"/>
      <c r="Q223" s="15" t="s">
        <v>177</v>
      </c>
      <c r="R223" s="13" t="s">
        <v>178</v>
      </c>
      <c r="S223" s="13" t="s">
        <v>179</v>
      </c>
      <c r="T223" s="13" t="s">
        <v>112</v>
      </c>
      <c r="U223" s="14">
        <v>40725</v>
      </c>
      <c r="V223" s="14"/>
      <c r="W223" s="15"/>
      <c r="X223" s="13"/>
      <c r="Y223" s="15"/>
      <c r="Z223" s="13"/>
      <c r="AA223" s="15"/>
      <c r="AB223" s="13"/>
      <c r="AC223" s="15"/>
      <c r="AD223" s="13"/>
      <c r="AE223" s="15"/>
      <c r="AF223" s="13"/>
      <c r="AG223" s="15"/>
      <c r="AH223" s="13"/>
      <c r="AI223" s="15"/>
      <c r="AJ223" s="13"/>
      <c r="AK223" s="15"/>
      <c r="AL223" s="13"/>
      <c r="AM223" s="15"/>
      <c r="AN223" s="13"/>
      <c r="AO223" s="13"/>
    </row>
    <row r="224" spans="1:41" ht="43.5" x14ac:dyDescent="0.35">
      <c r="A224" s="13" t="s">
        <v>238</v>
      </c>
      <c r="B224" s="13" t="s">
        <v>109</v>
      </c>
      <c r="C224" s="14">
        <v>44368.708333333336</v>
      </c>
      <c r="D224" s="13" t="s">
        <v>78</v>
      </c>
      <c r="E224" s="15" t="s">
        <v>79</v>
      </c>
      <c r="F224" s="13" t="s">
        <v>80</v>
      </c>
      <c r="G224" s="15" t="s">
        <v>81</v>
      </c>
      <c r="H224" s="13" t="s">
        <v>413</v>
      </c>
      <c r="I224" s="15" t="s">
        <v>414</v>
      </c>
      <c r="J224" s="15" t="s">
        <v>415</v>
      </c>
      <c r="K224" s="15" t="s">
        <v>416</v>
      </c>
      <c r="L224" s="13" t="s">
        <v>419</v>
      </c>
      <c r="M224" s="15" t="s">
        <v>420</v>
      </c>
      <c r="N224" s="13" t="s">
        <v>101</v>
      </c>
      <c r="O224" s="15"/>
      <c r="P224" s="15"/>
      <c r="Q224" s="15" t="s">
        <v>177</v>
      </c>
      <c r="R224" s="13" t="s">
        <v>178</v>
      </c>
      <c r="S224" s="13" t="s">
        <v>179</v>
      </c>
      <c r="T224" s="13" t="s">
        <v>112</v>
      </c>
      <c r="U224" s="14">
        <v>40725</v>
      </c>
      <c r="V224" s="14"/>
      <c r="W224" s="15"/>
      <c r="X224" s="13"/>
      <c r="Y224" s="15"/>
      <c r="Z224" s="13"/>
      <c r="AA224" s="15"/>
      <c r="AB224" s="13"/>
      <c r="AC224" s="15"/>
      <c r="AD224" s="13"/>
      <c r="AE224" s="15"/>
      <c r="AF224" s="13"/>
      <c r="AG224" s="15"/>
      <c r="AH224" s="13"/>
      <c r="AI224" s="15"/>
      <c r="AJ224" s="13"/>
      <c r="AK224" s="15"/>
      <c r="AL224" s="13"/>
      <c r="AM224" s="15"/>
      <c r="AN224" s="13"/>
      <c r="AO224" s="13"/>
    </row>
    <row r="225" spans="1:41" ht="58" x14ac:dyDescent="0.35">
      <c r="A225" s="13" t="s">
        <v>238</v>
      </c>
      <c r="B225" s="13" t="s">
        <v>109</v>
      </c>
      <c r="C225" s="14">
        <v>44368.708333333336</v>
      </c>
      <c r="D225" s="13" t="s">
        <v>78</v>
      </c>
      <c r="E225" s="15" t="s">
        <v>79</v>
      </c>
      <c r="F225" s="13" t="s">
        <v>80</v>
      </c>
      <c r="G225" s="15" t="s">
        <v>81</v>
      </c>
      <c r="H225" s="13" t="s">
        <v>413</v>
      </c>
      <c r="I225" s="15" t="s">
        <v>414</v>
      </c>
      <c r="J225" s="15" t="s">
        <v>415</v>
      </c>
      <c r="K225" s="15" t="s">
        <v>416</v>
      </c>
      <c r="L225" s="13" t="s">
        <v>417</v>
      </c>
      <c r="M225" s="15" t="s">
        <v>418</v>
      </c>
      <c r="N225" s="13" t="s">
        <v>379</v>
      </c>
      <c r="O225" s="15"/>
      <c r="P225" s="15"/>
      <c r="Q225" s="15" t="s">
        <v>201</v>
      </c>
      <c r="R225" s="13" t="s">
        <v>202</v>
      </c>
      <c r="S225" s="13" t="s">
        <v>179</v>
      </c>
      <c r="T225" s="13" t="s">
        <v>112</v>
      </c>
      <c r="U225" s="14">
        <v>40725</v>
      </c>
      <c r="V225" s="14"/>
      <c r="W225" s="15"/>
      <c r="X225" s="13"/>
      <c r="Y225" s="15"/>
      <c r="Z225" s="13"/>
      <c r="AA225" s="15"/>
      <c r="AB225" s="13"/>
      <c r="AC225" s="15"/>
      <c r="AD225" s="13"/>
      <c r="AE225" s="15"/>
      <c r="AF225" s="13"/>
      <c r="AG225" s="15"/>
      <c r="AH225" s="13"/>
      <c r="AI225" s="15"/>
      <c r="AJ225" s="13"/>
      <c r="AK225" s="15"/>
      <c r="AL225" s="13"/>
      <c r="AM225" s="15"/>
      <c r="AN225" s="13"/>
      <c r="AO225" s="13"/>
    </row>
    <row r="226" spans="1:41" ht="58" x14ac:dyDescent="0.35">
      <c r="A226" s="13" t="s">
        <v>238</v>
      </c>
      <c r="B226" s="13" t="s">
        <v>109</v>
      </c>
      <c r="C226" s="14">
        <v>44368.708333333336</v>
      </c>
      <c r="D226" s="13" t="s">
        <v>78</v>
      </c>
      <c r="E226" s="15" t="s">
        <v>79</v>
      </c>
      <c r="F226" s="13" t="s">
        <v>80</v>
      </c>
      <c r="G226" s="15" t="s">
        <v>81</v>
      </c>
      <c r="H226" s="13" t="s">
        <v>413</v>
      </c>
      <c r="I226" s="15" t="s">
        <v>414</v>
      </c>
      <c r="J226" s="15" t="s">
        <v>415</v>
      </c>
      <c r="K226" s="15" t="s">
        <v>416</v>
      </c>
      <c r="L226" s="13" t="s">
        <v>419</v>
      </c>
      <c r="M226" s="15" t="s">
        <v>420</v>
      </c>
      <c r="N226" s="13" t="s">
        <v>101</v>
      </c>
      <c r="O226" s="15"/>
      <c r="P226" s="15"/>
      <c r="Q226" s="15" t="s">
        <v>201</v>
      </c>
      <c r="R226" s="13" t="s">
        <v>202</v>
      </c>
      <c r="S226" s="13" t="s">
        <v>179</v>
      </c>
      <c r="T226" s="13" t="s">
        <v>112</v>
      </c>
      <c r="U226" s="14">
        <v>40725</v>
      </c>
      <c r="V226" s="14"/>
      <c r="W226" s="15"/>
      <c r="X226" s="13"/>
      <c r="Y226" s="15"/>
      <c r="Z226" s="13"/>
      <c r="AA226" s="15"/>
      <c r="AB226" s="13"/>
      <c r="AC226" s="15"/>
      <c r="AD226" s="13"/>
      <c r="AE226" s="15"/>
      <c r="AF226" s="13"/>
      <c r="AG226" s="15"/>
      <c r="AH226" s="13"/>
      <c r="AI226" s="15"/>
      <c r="AJ226" s="13"/>
      <c r="AK226" s="15"/>
      <c r="AL226" s="13"/>
      <c r="AM226" s="15"/>
      <c r="AN226" s="13"/>
      <c r="AO226" s="13"/>
    </row>
    <row r="227" spans="1:41" ht="87" x14ac:dyDescent="0.35">
      <c r="A227" s="13" t="s">
        <v>76</v>
      </c>
      <c r="B227" s="13" t="s">
        <v>77</v>
      </c>
      <c r="C227" s="14">
        <v>43152.5</v>
      </c>
      <c r="D227" s="13" t="s">
        <v>78</v>
      </c>
      <c r="E227" s="15" t="s">
        <v>79</v>
      </c>
      <c r="F227" s="13" t="s">
        <v>80</v>
      </c>
      <c r="G227" s="15" t="s">
        <v>81</v>
      </c>
      <c r="H227" s="13" t="s">
        <v>448</v>
      </c>
      <c r="I227" s="15" t="s">
        <v>449</v>
      </c>
      <c r="J227" s="15" t="s">
        <v>450</v>
      </c>
      <c r="K227" s="15" t="s">
        <v>451</v>
      </c>
      <c r="L227" s="13" t="s">
        <v>452</v>
      </c>
      <c r="M227" s="15" t="s">
        <v>453</v>
      </c>
      <c r="N227" s="13" t="s">
        <v>379</v>
      </c>
      <c r="O227" s="15"/>
      <c r="P227" s="15"/>
      <c r="Q227" s="15" t="s">
        <v>91</v>
      </c>
      <c r="R227" s="13" t="s">
        <v>92</v>
      </c>
      <c r="S227" s="13" t="s">
        <v>93</v>
      </c>
      <c r="T227" s="13" t="s">
        <v>94</v>
      </c>
      <c r="U227" s="14">
        <v>40725</v>
      </c>
      <c r="V227" s="14"/>
      <c r="W227" s="15"/>
      <c r="X227" s="13"/>
      <c r="Y227" s="15"/>
      <c r="Z227" s="13"/>
      <c r="AA227" s="15"/>
      <c r="AB227" s="13"/>
      <c r="AC227" s="15"/>
      <c r="AD227" s="13"/>
      <c r="AE227" s="15"/>
      <c r="AF227" s="13"/>
      <c r="AG227" s="15"/>
      <c r="AH227" s="13"/>
      <c r="AI227" s="15"/>
      <c r="AJ227" s="13"/>
      <c r="AK227" s="15"/>
      <c r="AL227" s="13"/>
      <c r="AM227" s="15"/>
      <c r="AN227" s="13"/>
      <c r="AO227" s="13"/>
    </row>
    <row r="228" spans="1:41" ht="101.5" x14ac:dyDescent="0.35">
      <c r="A228" s="13" t="s">
        <v>76</v>
      </c>
      <c r="B228" s="13" t="s">
        <v>77</v>
      </c>
      <c r="C228" s="14">
        <v>43152.5</v>
      </c>
      <c r="D228" s="13" t="s">
        <v>78</v>
      </c>
      <c r="E228" s="15" t="s">
        <v>79</v>
      </c>
      <c r="F228" s="13" t="s">
        <v>80</v>
      </c>
      <c r="G228" s="15" t="s">
        <v>81</v>
      </c>
      <c r="H228" s="13" t="s">
        <v>448</v>
      </c>
      <c r="I228" s="15" t="s">
        <v>449</v>
      </c>
      <c r="J228" s="15" t="s">
        <v>450</v>
      </c>
      <c r="K228" s="15" t="s">
        <v>451</v>
      </c>
      <c r="L228" s="13" t="s">
        <v>454</v>
      </c>
      <c r="M228" s="15" t="s">
        <v>455</v>
      </c>
      <c r="N228" s="13" t="s">
        <v>101</v>
      </c>
      <c r="O228" s="15"/>
      <c r="P228" s="15"/>
      <c r="Q228" s="15" t="s">
        <v>91</v>
      </c>
      <c r="R228" s="13" t="s">
        <v>92</v>
      </c>
      <c r="S228" s="13" t="s">
        <v>93</v>
      </c>
      <c r="T228" s="13" t="s">
        <v>94</v>
      </c>
      <c r="U228" s="14">
        <v>40725</v>
      </c>
      <c r="V228" s="14"/>
      <c r="W228" s="15"/>
      <c r="X228" s="13"/>
      <c r="Y228" s="15"/>
      <c r="Z228" s="13"/>
      <c r="AA228" s="15"/>
      <c r="AB228" s="13"/>
      <c r="AC228" s="15"/>
      <c r="AD228" s="13"/>
      <c r="AE228" s="15"/>
      <c r="AF228" s="13"/>
      <c r="AG228" s="15"/>
      <c r="AH228" s="13"/>
      <c r="AI228" s="15"/>
      <c r="AJ228" s="13"/>
      <c r="AK228" s="15"/>
      <c r="AL228" s="13"/>
      <c r="AM228" s="15"/>
      <c r="AN228" s="13"/>
      <c r="AO228" s="13"/>
    </row>
    <row r="229" spans="1:41" ht="87" x14ac:dyDescent="0.35">
      <c r="A229" s="13" t="s">
        <v>76</v>
      </c>
      <c r="B229" s="13" t="s">
        <v>77</v>
      </c>
      <c r="C229" s="14">
        <v>43152.5</v>
      </c>
      <c r="D229" s="13" t="s">
        <v>78</v>
      </c>
      <c r="E229" s="15" t="s">
        <v>79</v>
      </c>
      <c r="F229" s="13" t="s">
        <v>80</v>
      </c>
      <c r="G229" s="15" t="s">
        <v>81</v>
      </c>
      <c r="H229" s="13" t="s">
        <v>448</v>
      </c>
      <c r="I229" s="15" t="s">
        <v>449</v>
      </c>
      <c r="J229" s="15" t="s">
        <v>450</v>
      </c>
      <c r="K229" s="15" t="s">
        <v>451</v>
      </c>
      <c r="L229" s="13" t="s">
        <v>452</v>
      </c>
      <c r="M229" s="15" t="s">
        <v>453</v>
      </c>
      <c r="N229" s="13" t="s">
        <v>379</v>
      </c>
      <c r="O229" s="15"/>
      <c r="P229" s="15"/>
      <c r="Q229" s="15" t="s">
        <v>104</v>
      </c>
      <c r="R229" s="13" t="s">
        <v>105</v>
      </c>
      <c r="S229" s="13" t="s">
        <v>93</v>
      </c>
      <c r="T229" s="13" t="s">
        <v>94</v>
      </c>
      <c r="U229" s="14">
        <v>40725</v>
      </c>
      <c r="V229" s="14"/>
      <c r="W229" s="15"/>
      <c r="X229" s="13"/>
      <c r="Y229" s="15"/>
      <c r="Z229" s="13"/>
      <c r="AA229" s="15"/>
      <c r="AB229" s="13"/>
      <c r="AC229" s="15"/>
      <c r="AD229" s="13"/>
      <c r="AE229" s="15"/>
      <c r="AF229" s="13"/>
      <c r="AG229" s="15"/>
      <c r="AH229" s="13"/>
      <c r="AI229" s="15"/>
      <c r="AJ229" s="13"/>
      <c r="AK229" s="15"/>
      <c r="AL229" s="13"/>
      <c r="AM229" s="15"/>
      <c r="AN229" s="13"/>
      <c r="AO229" s="13"/>
    </row>
    <row r="230" spans="1:41" ht="101.5" x14ac:dyDescent="0.35">
      <c r="A230" s="13" t="s">
        <v>76</v>
      </c>
      <c r="B230" s="13" t="s">
        <v>77</v>
      </c>
      <c r="C230" s="14">
        <v>43152.5</v>
      </c>
      <c r="D230" s="13" t="s">
        <v>78</v>
      </c>
      <c r="E230" s="15" t="s">
        <v>79</v>
      </c>
      <c r="F230" s="13" t="s">
        <v>80</v>
      </c>
      <c r="G230" s="15" t="s">
        <v>81</v>
      </c>
      <c r="H230" s="13" t="s">
        <v>448</v>
      </c>
      <c r="I230" s="15" t="s">
        <v>449</v>
      </c>
      <c r="J230" s="15" t="s">
        <v>450</v>
      </c>
      <c r="K230" s="15" t="s">
        <v>451</v>
      </c>
      <c r="L230" s="13" t="s">
        <v>454</v>
      </c>
      <c r="M230" s="15" t="s">
        <v>455</v>
      </c>
      <c r="N230" s="13" t="s">
        <v>101</v>
      </c>
      <c r="O230" s="15"/>
      <c r="P230" s="15"/>
      <c r="Q230" s="15" t="s">
        <v>104</v>
      </c>
      <c r="R230" s="13" t="s">
        <v>105</v>
      </c>
      <c r="S230" s="13" t="s">
        <v>93</v>
      </c>
      <c r="T230" s="13" t="s">
        <v>94</v>
      </c>
      <c r="U230" s="14">
        <v>40725</v>
      </c>
      <c r="V230" s="14"/>
      <c r="W230" s="15"/>
      <c r="X230" s="13"/>
      <c r="Y230" s="15"/>
      <c r="Z230" s="13"/>
      <c r="AA230" s="15"/>
      <c r="AB230" s="13"/>
      <c r="AC230" s="15"/>
      <c r="AD230" s="13"/>
      <c r="AE230" s="15"/>
      <c r="AF230" s="13"/>
      <c r="AG230" s="15"/>
      <c r="AH230" s="13"/>
      <c r="AI230" s="15"/>
      <c r="AJ230" s="13"/>
      <c r="AK230" s="15"/>
      <c r="AL230" s="13"/>
      <c r="AM230" s="15"/>
      <c r="AN230" s="13"/>
      <c r="AO230" s="13"/>
    </row>
    <row r="231" spans="1:41" ht="87" x14ac:dyDescent="0.35">
      <c r="A231" s="13" t="s">
        <v>76</v>
      </c>
      <c r="B231" s="13" t="s">
        <v>77</v>
      </c>
      <c r="C231" s="14">
        <v>43152.5</v>
      </c>
      <c r="D231" s="13" t="s">
        <v>78</v>
      </c>
      <c r="E231" s="15" t="s">
        <v>79</v>
      </c>
      <c r="F231" s="13" t="s">
        <v>80</v>
      </c>
      <c r="G231" s="15" t="s">
        <v>81</v>
      </c>
      <c r="H231" s="13" t="s">
        <v>448</v>
      </c>
      <c r="I231" s="15" t="s">
        <v>449</v>
      </c>
      <c r="J231" s="15" t="s">
        <v>450</v>
      </c>
      <c r="K231" s="15" t="s">
        <v>451</v>
      </c>
      <c r="L231" s="13" t="s">
        <v>452</v>
      </c>
      <c r="M231" s="15" t="s">
        <v>453</v>
      </c>
      <c r="N231" s="13" t="s">
        <v>379</v>
      </c>
      <c r="O231" s="15"/>
      <c r="P231" s="15"/>
      <c r="Q231" s="15" t="s">
        <v>106</v>
      </c>
      <c r="R231" s="13" t="s">
        <v>107</v>
      </c>
      <c r="S231" s="13" t="s">
        <v>93</v>
      </c>
      <c r="T231" s="13" t="s">
        <v>94</v>
      </c>
      <c r="U231" s="14">
        <v>40725</v>
      </c>
      <c r="V231" s="14"/>
      <c r="W231" s="15"/>
      <c r="X231" s="13"/>
      <c r="Y231" s="15"/>
      <c r="Z231" s="13"/>
      <c r="AA231" s="15"/>
      <c r="AB231" s="13"/>
      <c r="AC231" s="15"/>
      <c r="AD231" s="13"/>
      <c r="AE231" s="15"/>
      <c r="AF231" s="13"/>
      <c r="AG231" s="15"/>
      <c r="AH231" s="13"/>
      <c r="AI231" s="15"/>
      <c r="AJ231" s="13"/>
      <c r="AK231" s="15"/>
      <c r="AL231" s="13"/>
      <c r="AM231" s="15"/>
      <c r="AN231" s="13"/>
      <c r="AO231" s="13"/>
    </row>
    <row r="232" spans="1:41" ht="101.5" x14ac:dyDescent="0.35">
      <c r="A232" s="13" t="s">
        <v>76</v>
      </c>
      <c r="B232" s="13" t="s">
        <v>77</v>
      </c>
      <c r="C232" s="14">
        <v>43152.5</v>
      </c>
      <c r="D232" s="13" t="s">
        <v>78</v>
      </c>
      <c r="E232" s="15" t="s">
        <v>79</v>
      </c>
      <c r="F232" s="13" t="s">
        <v>80</v>
      </c>
      <c r="G232" s="15" t="s">
        <v>81</v>
      </c>
      <c r="H232" s="13" t="s">
        <v>448</v>
      </c>
      <c r="I232" s="15" t="s">
        <v>449</v>
      </c>
      <c r="J232" s="15" t="s">
        <v>450</v>
      </c>
      <c r="K232" s="15" t="s">
        <v>451</v>
      </c>
      <c r="L232" s="13" t="s">
        <v>454</v>
      </c>
      <c r="M232" s="15" t="s">
        <v>455</v>
      </c>
      <c r="N232" s="13" t="s">
        <v>101</v>
      </c>
      <c r="O232" s="15"/>
      <c r="P232" s="15"/>
      <c r="Q232" s="15" t="s">
        <v>106</v>
      </c>
      <c r="R232" s="13" t="s">
        <v>107</v>
      </c>
      <c r="S232" s="13" t="s">
        <v>93</v>
      </c>
      <c r="T232" s="13" t="s">
        <v>94</v>
      </c>
      <c r="U232" s="14">
        <v>40725</v>
      </c>
      <c r="V232" s="14"/>
      <c r="W232" s="15"/>
      <c r="X232" s="13"/>
      <c r="Y232" s="15"/>
      <c r="Z232" s="13"/>
      <c r="AA232" s="15"/>
      <c r="AB232" s="13"/>
      <c r="AC232" s="15"/>
      <c r="AD232" s="13"/>
      <c r="AE232" s="15"/>
      <c r="AF232" s="13"/>
      <c r="AG232" s="15"/>
      <c r="AH232" s="13"/>
      <c r="AI232" s="15"/>
      <c r="AJ232" s="13"/>
      <c r="AK232" s="15"/>
      <c r="AL232" s="13"/>
      <c r="AM232" s="15"/>
      <c r="AN232" s="13"/>
      <c r="AO232" s="13"/>
    </row>
    <row r="233" spans="1:41" ht="87" x14ac:dyDescent="0.35">
      <c r="A233" s="13" t="s">
        <v>76</v>
      </c>
      <c r="B233" s="13" t="s">
        <v>77</v>
      </c>
      <c r="C233" s="14">
        <v>43152.5</v>
      </c>
      <c r="D233" s="13" t="s">
        <v>78</v>
      </c>
      <c r="E233" s="15" t="s">
        <v>79</v>
      </c>
      <c r="F233" s="13" t="s">
        <v>80</v>
      </c>
      <c r="G233" s="15" t="s">
        <v>81</v>
      </c>
      <c r="H233" s="13" t="s">
        <v>448</v>
      </c>
      <c r="I233" s="15" t="s">
        <v>449</v>
      </c>
      <c r="J233" s="15" t="s">
        <v>450</v>
      </c>
      <c r="K233" s="15" t="s">
        <v>451</v>
      </c>
      <c r="L233" s="13" t="s">
        <v>452</v>
      </c>
      <c r="M233" s="15" t="s">
        <v>453</v>
      </c>
      <c r="N233" s="13" t="s">
        <v>379</v>
      </c>
      <c r="O233" s="15"/>
      <c r="P233" s="15"/>
      <c r="Q233" s="15" t="s">
        <v>110</v>
      </c>
      <c r="R233" s="13" t="s">
        <v>111</v>
      </c>
      <c r="S233" s="13" t="s">
        <v>93</v>
      </c>
      <c r="T233" s="13" t="s">
        <v>94</v>
      </c>
      <c r="U233" s="14">
        <v>40725</v>
      </c>
      <c r="V233" s="14"/>
      <c r="W233" s="15"/>
      <c r="X233" s="13"/>
      <c r="Y233" s="15"/>
      <c r="Z233" s="13"/>
      <c r="AA233" s="15"/>
      <c r="AB233" s="13"/>
      <c r="AC233" s="15"/>
      <c r="AD233" s="13"/>
      <c r="AE233" s="15"/>
      <c r="AF233" s="13"/>
      <c r="AG233" s="15"/>
      <c r="AH233" s="13"/>
      <c r="AI233" s="15"/>
      <c r="AJ233" s="13"/>
      <c r="AK233" s="15"/>
      <c r="AL233" s="13"/>
      <c r="AM233" s="15"/>
      <c r="AN233" s="13"/>
      <c r="AO233" s="13"/>
    </row>
    <row r="234" spans="1:41" ht="101.5" x14ac:dyDescent="0.35">
      <c r="A234" s="13" t="s">
        <v>76</v>
      </c>
      <c r="B234" s="13" t="s">
        <v>77</v>
      </c>
      <c r="C234" s="14">
        <v>43152.5</v>
      </c>
      <c r="D234" s="13" t="s">
        <v>78</v>
      </c>
      <c r="E234" s="15" t="s">
        <v>79</v>
      </c>
      <c r="F234" s="13" t="s">
        <v>80</v>
      </c>
      <c r="G234" s="15" t="s">
        <v>81</v>
      </c>
      <c r="H234" s="13" t="s">
        <v>448</v>
      </c>
      <c r="I234" s="15" t="s">
        <v>449</v>
      </c>
      <c r="J234" s="15" t="s">
        <v>450</v>
      </c>
      <c r="K234" s="15" t="s">
        <v>451</v>
      </c>
      <c r="L234" s="13" t="s">
        <v>454</v>
      </c>
      <c r="M234" s="15" t="s">
        <v>455</v>
      </c>
      <c r="N234" s="13" t="s">
        <v>101</v>
      </c>
      <c r="O234" s="15"/>
      <c r="P234" s="15"/>
      <c r="Q234" s="15" t="s">
        <v>110</v>
      </c>
      <c r="R234" s="13" t="s">
        <v>111</v>
      </c>
      <c r="S234" s="13" t="s">
        <v>93</v>
      </c>
      <c r="T234" s="13" t="s">
        <v>94</v>
      </c>
      <c r="U234" s="14">
        <v>40725</v>
      </c>
      <c r="V234" s="14"/>
      <c r="W234" s="15"/>
      <c r="X234" s="13"/>
      <c r="Y234" s="15"/>
      <c r="Z234" s="13"/>
      <c r="AA234" s="15"/>
      <c r="AB234" s="13"/>
      <c r="AC234" s="15"/>
      <c r="AD234" s="13"/>
      <c r="AE234" s="15"/>
      <c r="AF234" s="13"/>
      <c r="AG234" s="15"/>
      <c r="AH234" s="13"/>
      <c r="AI234" s="15"/>
      <c r="AJ234" s="13"/>
      <c r="AK234" s="15"/>
      <c r="AL234" s="13"/>
      <c r="AM234" s="15"/>
      <c r="AN234" s="13"/>
      <c r="AO234" s="13"/>
    </row>
    <row r="235" spans="1:41" ht="87" x14ac:dyDescent="0.35">
      <c r="A235" s="13" t="s">
        <v>76</v>
      </c>
      <c r="B235" s="13" t="s">
        <v>77</v>
      </c>
      <c r="C235" s="14">
        <v>43152.5</v>
      </c>
      <c r="D235" s="13" t="s">
        <v>78</v>
      </c>
      <c r="E235" s="15" t="s">
        <v>79</v>
      </c>
      <c r="F235" s="13" t="s">
        <v>80</v>
      </c>
      <c r="G235" s="15" t="s">
        <v>81</v>
      </c>
      <c r="H235" s="13" t="s">
        <v>448</v>
      </c>
      <c r="I235" s="15" t="s">
        <v>449</v>
      </c>
      <c r="J235" s="15" t="s">
        <v>450</v>
      </c>
      <c r="K235" s="15" t="s">
        <v>451</v>
      </c>
      <c r="L235" s="13" t="s">
        <v>452</v>
      </c>
      <c r="M235" s="15" t="s">
        <v>453</v>
      </c>
      <c r="N235" s="13" t="s">
        <v>379</v>
      </c>
      <c r="O235" s="15"/>
      <c r="P235" s="15"/>
      <c r="Q235" s="15" t="s">
        <v>175</v>
      </c>
      <c r="R235" s="13" t="s">
        <v>176</v>
      </c>
      <c r="S235" s="13" t="s">
        <v>93</v>
      </c>
      <c r="T235" s="13" t="s">
        <v>94</v>
      </c>
      <c r="U235" s="14">
        <v>40725</v>
      </c>
      <c r="V235" s="14"/>
      <c r="W235" s="15"/>
      <c r="X235" s="13"/>
      <c r="Y235" s="15"/>
      <c r="Z235" s="13"/>
      <c r="AA235" s="15"/>
      <c r="AB235" s="13"/>
      <c r="AC235" s="15"/>
      <c r="AD235" s="13"/>
      <c r="AE235" s="15"/>
      <c r="AF235" s="13"/>
      <c r="AG235" s="15"/>
      <c r="AH235" s="13"/>
      <c r="AI235" s="15"/>
      <c r="AJ235" s="13"/>
      <c r="AK235" s="15"/>
      <c r="AL235" s="13"/>
      <c r="AM235" s="15"/>
      <c r="AN235" s="13"/>
      <c r="AO235" s="13"/>
    </row>
    <row r="236" spans="1:41" ht="101.5" x14ac:dyDescent="0.35">
      <c r="A236" s="13" t="s">
        <v>76</v>
      </c>
      <c r="B236" s="13" t="s">
        <v>77</v>
      </c>
      <c r="C236" s="14">
        <v>43152.5</v>
      </c>
      <c r="D236" s="13" t="s">
        <v>78</v>
      </c>
      <c r="E236" s="15" t="s">
        <v>79</v>
      </c>
      <c r="F236" s="13" t="s">
        <v>80</v>
      </c>
      <c r="G236" s="15" t="s">
        <v>81</v>
      </c>
      <c r="H236" s="13" t="s">
        <v>448</v>
      </c>
      <c r="I236" s="15" t="s">
        <v>449</v>
      </c>
      <c r="J236" s="15" t="s">
        <v>450</v>
      </c>
      <c r="K236" s="15" t="s">
        <v>451</v>
      </c>
      <c r="L236" s="13" t="s">
        <v>454</v>
      </c>
      <c r="M236" s="15" t="s">
        <v>455</v>
      </c>
      <c r="N236" s="13" t="s">
        <v>101</v>
      </c>
      <c r="O236" s="15"/>
      <c r="P236" s="15"/>
      <c r="Q236" s="15" t="s">
        <v>175</v>
      </c>
      <c r="R236" s="13" t="s">
        <v>176</v>
      </c>
      <c r="S236" s="13" t="s">
        <v>93</v>
      </c>
      <c r="T236" s="13" t="s">
        <v>94</v>
      </c>
      <c r="U236" s="14">
        <v>40725</v>
      </c>
      <c r="V236" s="14"/>
      <c r="W236" s="15"/>
      <c r="X236" s="13"/>
      <c r="Y236" s="15"/>
      <c r="Z236" s="13"/>
      <c r="AA236" s="15"/>
      <c r="AB236" s="13"/>
      <c r="AC236" s="15"/>
      <c r="AD236" s="13"/>
      <c r="AE236" s="15"/>
      <c r="AF236" s="13"/>
      <c r="AG236" s="15"/>
      <c r="AH236" s="13"/>
      <c r="AI236" s="15"/>
      <c r="AJ236" s="13"/>
      <c r="AK236" s="15"/>
      <c r="AL236" s="13"/>
      <c r="AM236" s="15"/>
      <c r="AN236" s="13"/>
      <c r="AO236" s="13"/>
    </row>
    <row r="237" spans="1:41" ht="87" x14ac:dyDescent="0.35">
      <c r="A237" s="13" t="s">
        <v>238</v>
      </c>
      <c r="B237" s="13" t="s">
        <v>109</v>
      </c>
      <c r="C237" s="14">
        <v>44368.708333333336</v>
      </c>
      <c r="D237" s="13" t="s">
        <v>78</v>
      </c>
      <c r="E237" s="15" t="s">
        <v>79</v>
      </c>
      <c r="F237" s="13" t="s">
        <v>80</v>
      </c>
      <c r="G237" s="15" t="s">
        <v>81</v>
      </c>
      <c r="H237" s="13" t="s">
        <v>448</v>
      </c>
      <c r="I237" s="15" t="s">
        <v>449</v>
      </c>
      <c r="J237" s="15" t="s">
        <v>450</v>
      </c>
      <c r="K237" s="15" t="s">
        <v>451</v>
      </c>
      <c r="L237" s="13" t="s">
        <v>452</v>
      </c>
      <c r="M237" s="15" t="s">
        <v>453</v>
      </c>
      <c r="N237" s="13" t="s">
        <v>379</v>
      </c>
      <c r="O237" s="15"/>
      <c r="P237" s="15"/>
      <c r="Q237" s="15" t="s">
        <v>456</v>
      </c>
      <c r="R237" s="13" t="s">
        <v>457</v>
      </c>
      <c r="S237" s="13" t="s">
        <v>179</v>
      </c>
      <c r="T237" s="13" t="s">
        <v>112</v>
      </c>
      <c r="U237" s="14">
        <v>40725</v>
      </c>
      <c r="V237" s="14"/>
      <c r="W237" s="15"/>
      <c r="X237" s="13"/>
      <c r="Y237" s="15"/>
      <c r="Z237" s="13"/>
      <c r="AA237" s="15"/>
      <c r="AB237" s="13"/>
      <c r="AC237" s="15"/>
      <c r="AD237" s="13"/>
      <c r="AE237" s="15"/>
      <c r="AF237" s="13"/>
      <c r="AG237" s="15"/>
      <c r="AH237" s="13"/>
      <c r="AI237" s="15"/>
      <c r="AJ237" s="13"/>
      <c r="AK237" s="15"/>
      <c r="AL237" s="13"/>
      <c r="AM237" s="15"/>
      <c r="AN237" s="13"/>
      <c r="AO237" s="13"/>
    </row>
    <row r="238" spans="1:41" ht="101.5" x14ac:dyDescent="0.35">
      <c r="A238" s="13" t="s">
        <v>238</v>
      </c>
      <c r="B238" s="13" t="s">
        <v>109</v>
      </c>
      <c r="C238" s="14">
        <v>44368.708333333336</v>
      </c>
      <c r="D238" s="13" t="s">
        <v>78</v>
      </c>
      <c r="E238" s="15" t="s">
        <v>79</v>
      </c>
      <c r="F238" s="13" t="s">
        <v>80</v>
      </c>
      <c r="G238" s="15" t="s">
        <v>81</v>
      </c>
      <c r="H238" s="13" t="s">
        <v>448</v>
      </c>
      <c r="I238" s="15" t="s">
        <v>449</v>
      </c>
      <c r="J238" s="15" t="s">
        <v>450</v>
      </c>
      <c r="K238" s="15" t="s">
        <v>451</v>
      </c>
      <c r="L238" s="13" t="s">
        <v>454</v>
      </c>
      <c r="M238" s="15" t="s">
        <v>455</v>
      </c>
      <c r="N238" s="13" t="s">
        <v>101</v>
      </c>
      <c r="O238" s="15"/>
      <c r="P238" s="15"/>
      <c r="Q238" s="15" t="s">
        <v>456</v>
      </c>
      <c r="R238" s="13" t="s">
        <v>457</v>
      </c>
      <c r="S238" s="13" t="s">
        <v>179</v>
      </c>
      <c r="T238" s="13" t="s">
        <v>112</v>
      </c>
      <c r="U238" s="14">
        <v>40725</v>
      </c>
      <c r="V238" s="14"/>
      <c r="W238" s="15"/>
      <c r="X238" s="13"/>
      <c r="Y238" s="15"/>
      <c r="Z238" s="13"/>
      <c r="AA238" s="15"/>
      <c r="AB238" s="13"/>
      <c r="AC238" s="15"/>
      <c r="AD238" s="13"/>
      <c r="AE238" s="15"/>
      <c r="AF238" s="13"/>
      <c r="AG238" s="15"/>
      <c r="AH238" s="13"/>
      <c r="AI238" s="15"/>
      <c r="AJ238" s="13"/>
      <c r="AK238" s="15"/>
      <c r="AL238" s="13"/>
      <c r="AM238" s="15"/>
      <c r="AN238" s="13"/>
      <c r="AO238" s="13"/>
    </row>
    <row r="239" spans="1:41" ht="43.5" x14ac:dyDescent="0.35">
      <c r="A239" s="13" t="s">
        <v>76</v>
      </c>
      <c r="B239" s="13" t="s">
        <v>77</v>
      </c>
      <c r="C239" s="14">
        <v>43152.5</v>
      </c>
      <c r="D239" s="13" t="s">
        <v>78</v>
      </c>
      <c r="E239" s="15" t="s">
        <v>79</v>
      </c>
      <c r="F239" s="13" t="s">
        <v>80</v>
      </c>
      <c r="G239" s="15" t="s">
        <v>81</v>
      </c>
      <c r="H239" s="13" t="s">
        <v>471</v>
      </c>
      <c r="I239" s="15" t="s">
        <v>472</v>
      </c>
      <c r="J239" s="15" t="s">
        <v>473</v>
      </c>
      <c r="K239" s="15" t="s">
        <v>474</v>
      </c>
      <c r="L239" s="13" t="s">
        <v>475</v>
      </c>
      <c r="M239" s="15" t="s">
        <v>476</v>
      </c>
      <c r="N239" s="13" t="s">
        <v>379</v>
      </c>
      <c r="O239" s="15"/>
      <c r="P239" s="15"/>
      <c r="Q239" s="15" t="s">
        <v>91</v>
      </c>
      <c r="R239" s="13" t="s">
        <v>92</v>
      </c>
      <c r="S239" s="13" t="s">
        <v>93</v>
      </c>
      <c r="T239" s="13" t="s">
        <v>94</v>
      </c>
      <c r="U239" s="14">
        <v>40725</v>
      </c>
      <c r="V239" s="14">
        <v>42481</v>
      </c>
      <c r="W239" s="15"/>
      <c r="X239" s="13"/>
      <c r="Y239" s="15"/>
      <c r="Z239" s="13"/>
      <c r="AA239" s="15"/>
      <c r="AB239" s="13"/>
      <c r="AC239" s="15"/>
      <c r="AD239" s="13"/>
      <c r="AE239" s="15"/>
      <c r="AF239" s="13"/>
      <c r="AG239" s="15"/>
      <c r="AH239" s="13"/>
      <c r="AI239" s="15"/>
      <c r="AJ239" s="13"/>
      <c r="AK239" s="15"/>
      <c r="AL239" s="13"/>
      <c r="AM239" s="15"/>
      <c r="AN239" s="13"/>
      <c r="AO239" s="13"/>
    </row>
    <row r="240" spans="1:41" ht="43.5" x14ac:dyDescent="0.35">
      <c r="A240" s="13" t="s">
        <v>76</v>
      </c>
      <c r="B240" s="13" t="s">
        <v>77</v>
      </c>
      <c r="C240" s="14">
        <v>43152.5</v>
      </c>
      <c r="D240" s="13" t="s">
        <v>78</v>
      </c>
      <c r="E240" s="15" t="s">
        <v>79</v>
      </c>
      <c r="F240" s="13" t="s">
        <v>80</v>
      </c>
      <c r="G240" s="15" t="s">
        <v>81</v>
      </c>
      <c r="H240" s="13" t="s">
        <v>471</v>
      </c>
      <c r="I240" s="15" t="s">
        <v>472</v>
      </c>
      <c r="J240" s="15" t="s">
        <v>473</v>
      </c>
      <c r="K240" s="15" t="s">
        <v>474</v>
      </c>
      <c r="L240" s="13" t="s">
        <v>477</v>
      </c>
      <c r="M240" s="15" t="s">
        <v>478</v>
      </c>
      <c r="N240" s="13" t="s">
        <v>101</v>
      </c>
      <c r="O240" s="15"/>
      <c r="P240" s="15"/>
      <c r="Q240" s="15" t="s">
        <v>91</v>
      </c>
      <c r="R240" s="13" t="s">
        <v>92</v>
      </c>
      <c r="S240" s="13" t="s">
        <v>93</v>
      </c>
      <c r="T240" s="13" t="s">
        <v>94</v>
      </c>
      <c r="U240" s="14">
        <v>40725</v>
      </c>
      <c r="V240" s="14">
        <v>42481</v>
      </c>
      <c r="W240" s="15"/>
      <c r="X240" s="13"/>
      <c r="Y240" s="15"/>
      <c r="Z240" s="13"/>
      <c r="AA240" s="15"/>
      <c r="AB240" s="13"/>
      <c r="AC240" s="15"/>
      <c r="AD240" s="13"/>
      <c r="AE240" s="15"/>
      <c r="AF240" s="13"/>
      <c r="AG240" s="15"/>
      <c r="AH240" s="13"/>
      <c r="AI240" s="15"/>
      <c r="AJ240" s="13"/>
      <c r="AK240" s="15"/>
      <c r="AL240" s="13"/>
      <c r="AM240" s="15"/>
      <c r="AN240" s="13"/>
      <c r="AO240" s="13"/>
    </row>
    <row r="241" spans="1:41" ht="43.5" x14ac:dyDescent="0.35">
      <c r="A241" s="13" t="s">
        <v>76</v>
      </c>
      <c r="B241" s="13" t="s">
        <v>77</v>
      </c>
      <c r="C241" s="14">
        <v>43152.5</v>
      </c>
      <c r="D241" s="13" t="s">
        <v>78</v>
      </c>
      <c r="E241" s="15" t="s">
        <v>79</v>
      </c>
      <c r="F241" s="13" t="s">
        <v>80</v>
      </c>
      <c r="G241" s="15" t="s">
        <v>81</v>
      </c>
      <c r="H241" s="13" t="s">
        <v>471</v>
      </c>
      <c r="I241" s="15" t="s">
        <v>472</v>
      </c>
      <c r="J241" s="15" t="s">
        <v>473</v>
      </c>
      <c r="K241" s="15" t="s">
        <v>474</v>
      </c>
      <c r="L241" s="13" t="s">
        <v>475</v>
      </c>
      <c r="M241" s="15" t="s">
        <v>476</v>
      </c>
      <c r="N241" s="13" t="s">
        <v>379</v>
      </c>
      <c r="O241" s="15"/>
      <c r="P241" s="15"/>
      <c r="Q241" s="15" t="s">
        <v>104</v>
      </c>
      <c r="R241" s="13" t="s">
        <v>105</v>
      </c>
      <c r="S241" s="13" t="s">
        <v>93</v>
      </c>
      <c r="T241" s="13" t="s">
        <v>94</v>
      </c>
      <c r="U241" s="14">
        <v>40725</v>
      </c>
      <c r="V241" s="14">
        <v>42481</v>
      </c>
      <c r="W241" s="15"/>
      <c r="X241" s="13"/>
      <c r="Y241" s="15"/>
      <c r="Z241" s="13"/>
      <c r="AA241" s="15"/>
      <c r="AB241" s="13"/>
      <c r="AC241" s="15"/>
      <c r="AD241" s="13"/>
      <c r="AE241" s="15"/>
      <c r="AF241" s="13"/>
      <c r="AG241" s="15"/>
      <c r="AH241" s="13"/>
      <c r="AI241" s="15"/>
      <c r="AJ241" s="13"/>
      <c r="AK241" s="15"/>
      <c r="AL241" s="13"/>
      <c r="AM241" s="15"/>
      <c r="AN241" s="13"/>
      <c r="AO241" s="13"/>
    </row>
    <row r="242" spans="1:41" ht="43.5" x14ac:dyDescent="0.35">
      <c r="A242" s="13" t="s">
        <v>76</v>
      </c>
      <c r="B242" s="13" t="s">
        <v>77</v>
      </c>
      <c r="C242" s="14">
        <v>43152.5</v>
      </c>
      <c r="D242" s="13" t="s">
        <v>78</v>
      </c>
      <c r="E242" s="15" t="s">
        <v>79</v>
      </c>
      <c r="F242" s="13" t="s">
        <v>80</v>
      </c>
      <c r="G242" s="15" t="s">
        <v>81</v>
      </c>
      <c r="H242" s="13" t="s">
        <v>471</v>
      </c>
      <c r="I242" s="15" t="s">
        <v>472</v>
      </c>
      <c r="J242" s="15" t="s">
        <v>473</v>
      </c>
      <c r="K242" s="15" t="s">
        <v>474</v>
      </c>
      <c r="L242" s="13" t="s">
        <v>477</v>
      </c>
      <c r="M242" s="15" t="s">
        <v>478</v>
      </c>
      <c r="N242" s="13" t="s">
        <v>101</v>
      </c>
      <c r="O242" s="15"/>
      <c r="P242" s="15"/>
      <c r="Q242" s="15" t="s">
        <v>104</v>
      </c>
      <c r="R242" s="13" t="s">
        <v>105</v>
      </c>
      <c r="S242" s="13" t="s">
        <v>93</v>
      </c>
      <c r="T242" s="13" t="s">
        <v>94</v>
      </c>
      <c r="U242" s="14">
        <v>40725</v>
      </c>
      <c r="V242" s="14">
        <v>42481</v>
      </c>
      <c r="W242" s="15"/>
      <c r="X242" s="13"/>
      <c r="Y242" s="15"/>
      <c r="Z242" s="13"/>
      <c r="AA242" s="15"/>
      <c r="AB242" s="13"/>
      <c r="AC242" s="15"/>
      <c r="AD242" s="13"/>
      <c r="AE242" s="15"/>
      <c r="AF242" s="13"/>
      <c r="AG242" s="15"/>
      <c r="AH242" s="13"/>
      <c r="AI242" s="15"/>
      <c r="AJ242" s="13"/>
      <c r="AK242" s="15"/>
      <c r="AL242" s="13"/>
      <c r="AM242" s="15"/>
      <c r="AN242" s="13"/>
      <c r="AO242" s="13"/>
    </row>
    <row r="243" spans="1:41" ht="43.5" x14ac:dyDescent="0.35">
      <c r="A243" s="13" t="s">
        <v>76</v>
      </c>
      <c r="B243" s="13" t="s">
        <v>77</v>
      </c>
      <c r="C243" s="14">
        <v>43152.5</v>
      </c>
      <c r="D243" s="13" t="s">
        <v>78</v>
      </c>
      <c r="E243" s="15" t="s">
        <v>79</v>
      </c>
      <c r="F243" s="13" t="s">
        <v>80</v>
      </c>
      <c r="G243" s="15" t="s">
        <v>81</v>
      </c>
      <c r="H243" s="13" t="s">
        <v>471</v>
      </c>
      <c r="I243" s="15" t="s">
        <v>472</v>
      </c>
      <c r="J243" s="15" t="s">
        <v>473</v>
      </c>
      <c r="K243" s="15" t="s">
        <v>474</v>
      </c>
      <c r="L243" s="13" t="s">
        <v>475</v>
      </c>
      <c r="M243" s="15" t="s">
        <v>476</v>
      </c>
      <c r="N243" s="13" t="s">
        <v>379</v>
      </c>
      <c r="O243" s="15"/>
      <c r="P243" s="15"/>
      <c r="Q243" s="15" t="s">
        <v>106</v>
      </c>
      <c r="R243" s="13" t="s">
        <v>107</v>
      </c>
      <c r="S243" s="13" t="s">
        <v>93</v>
      </c>
      <c r="T243" s="13" t="s">
        <v>94</v>
      </c>
      <c r="U243" s="14">
        <v>40725</v>
      </c>
      <c r="V243" s="14">
        <v>42481</v>
      </c>
      <c r="W243" s="15"/>
      <c r="X243" s="13"/>
      <c r="Y243" s="15"/>
      <c r="Z243" s="13"/>
      <c r="AA243" s="15"/>
      <c r="AB243" s="13"/>
      <c r="AC243" s="15"/>
      <c r="AD243" s="13"/>
      <c r="AE243" s="15"/>
      <c r="AF243" s="13"/>
      <c r="AG243" s="15"/>
      <c r="AH243" s="13"/>
      <c r="AI243" s="15"/>
      <c r="AJ243" s="13"/>
      <c r="AK243" s="15"/>
      <c r="AL243" s="13"/>
      <c r="AM243" s="15"/>
      <c r="AN243" s="13"/>
      <c r="AO243" s="13"/>
    </row>
    <row r="244" spans="1:41" ht="43.5" x14ac:dyDescent="0.35">
      <c r="A244" s="13" t="s">
        <v>76</v>
      </c>
      <c r="B244" s="13" t="s">
        <v>77</v>
      </c>
      <c r="C244" s="14">
        <v>43152.5</v>
      </c>
      <c r="D244" s="13" t="s">
        <v>78</v>
      </c>
      <c r="E244" s="15" t="s">
        <v>79</v>
      </c>
      <c r="F244" s="13" t="s">
        <v>80</v>
      </c>
      <c r="G244" s="15" t="s">
        <v>81</v>
      </c>
      <c r="H244" s="13" t="s">
        <v>471</v>
      </c>
      <c r="I244" s="15" t="s">
        <v>472</v>
      </c>
      <c r="J244" s="15" t="s">
        <v>473</v>
      </c>
      <c r="K244" s="15" t="s">
        <v>474</v>
      </c>
      <c r="L244" s="13" t="s">
        <v>477</v>
      </c>
      <c r="M244" s="15" t="s">
        <v>478</v>
      </c>
      <c r="N244" s="13" t="s">
        <v>101</v>
      </c>
      <c r="O244" s="15"/>
      <c r="P244" s="15"/>
      <c r="Q244" s="15" t="s">
        <v>106</v>
      </c>
      <c r="R244" s="13" t="s">
        <v>107</v>
      </c>
      <c r="S244" s="13" t="s">
        <v>93</v>
      </c>
      <c r="T244" s="13" t="s">
        <v>94</v>
      </c>
      <c r="U244" s="14">
        <v>40725</v>
      </c>
      <c r="V244" s="14">
        <v>42481</v>
      </c>
      <c r="W244" s="15"/>
      <c r="X244" s="13"/>
      <c r="Y244" s="15"/>
      <c r="Z244" s="13"/>
      <c r="AA244" s="15"/>
      <c r="AB244" s="13"/>
      <c r="AC244" s="15"/>
      <c r="AD244" s="13"/>
      <c r="AE244" s="15"/>
      <c r="AF244" s="13"/>
      <c r="AG244" s="15"/>
      <c r="AH244" s="13"/>
      <c r="AI244" s="15"/>
      <c r="AJ244" s="13"/>
      <c r="AK244" s="15"/>
      <c r="AL244" s="13"/>
      <c r="AM244" s="15"/>
      <c r="AN244" s="13"/>
      <c r="AO244" s="13"/>
    </row>
    <row r="245" spans="1:41" ht="145" x14ac:dyDescent="0.35">
      <c r="A245" s="13" t="s">
        <v>76</v>
      </c>
      <c r="B245" s="13" t="s">
        <v>77</v>
      </c>
      <c r="C245" s="14">
        <v>43152.5</v>
      </c>
      <c r="D245" s="13" t="s">
        <v>78</v>
      </c>
      <c r="E245" s="15" t="s">
        <v>79</v>
      </c>
      <c r="F245" s="13" t="s">
        <v>80</v>
      </c>
      <c r="G245" s="15" t="s">
        <v>81</v>
      </c>
      <c r="H245" s="13" t="s">
        <v>471</v>
      </c>
      <c r="I245" s="15" t="s">
        <v>472</v>
      </c>
      <c r="J245" s="15" t="s">
        <v>473</v>
      </c>
      <c r="K245" s="15" t="s">
        <v>474</v>
      </c>
      <c r="L245" s="13" t="s">
        <v>475</v>
      </c>
      <c r="M245" s="15" t="s">
        <v>476</v>
      </c>
      <c r="N245" s="13" t="s">
        <v>379</v>
      </c>
      <c r="O245" s="15"/>
      <c r="P245" s="15"/>
      <c r="Q245" s="15" t="s">
        <v>110</v>
      </c>
      <c r="R245" s="13" t="s">
        <v>111</v>
      </c>
      <c r="S245" s="13" t="s">
        <v>93</v>
      </c>
      <c r="T245" s="13" t="s">
        <v>112</v>
      </c>
      <c r="U245" s="14">
        <v>40725</v>
      </c>
      <c r="V245" s="14">
        <v>42481</v>
      </c>
      <c r="W245" s="15" t="s">
        <v>630</v>
      </c>
      <c r="X245" s="13" t="s">
        <v>614</v>
      </c>
      <c r="Y245" s="15" t="str">
        <f>VLOOKUP(X245,'Axe 2 Règles de gestion'!$D$2:$F$146,3, FALSE)</f>
        <v>Rémunération : L'agent ne perçoit plus son traitement.</v>
      </c>
      <c r="Z245" s="13" t="s">
        <v>616</v>
      </c>
      <c r="AA245" s="15" t="str">
        <f>VLOOKUP(Z245,'Axe 2 Règles de gestion'!$D$2:$F$146,3, FALSE)</f>
        <v>Congés annuels : L'agent ne cumule pas de droits à congé.</v>
      </c>
      <c r="AB245" s="13" t="s">
        <v>618</v>
      </c>
      <c r="AC245" s="15" t="str">
        <f>VLOOKUP(AB245,'Axe 2 Règles de gestion'!$D$2:$F$146,3, FALSE)</f>
        <v>Carrière : L'agent voit sa carrière suspendue. Il perd ses droits à l'avancement.</v>
      </c>
      <c r="AD245" s="13" t="s">
        <v>631</v>
      </c>
      <c r="AE245" s="15" t="str">
        <f>VLOOKUP(AD245,'Axe 2 Règles de gestion'!$D$2:$F$146,3, FALSE)</f>
        <v>Retraite : Les périodes de congé sans traitement ne sont pas prises en compte pour la constitution du droit à pension et la liquidation de cette dernière.</v>
      </c>
      <c r="AF245" s="13" t="s">
        <v>622</v>
      </c>
      <c r="AG245" s="15" t="str">
        <f>VLOOKUP(AF245,'Axe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45" s="13" t="s">
        <v>624</v>
      </c>
      <c r="AI245" s="15" t="str">
        <f>VLOOKUP(AH245,'Axe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45" s="13" t="s">
        <v>626</v>
      </c>
      <c r="AK245" s="15" t="str">
        <f>VLOOKUP(AJ245,'Axe 2 Règles de gestion'!$D$2:$F$146,3, FALSE)</f>
        <v>Stage : Les congés sans traitement ne sont pas comptabilisés comme temps de stage. Ils reportent donc la date de fin de stage du nombre total de jours d'absence.</v>
      </c>
      <c r="AL245" s="13" t="s">
        <v>628</v>
      </c>
      <c r="AM245" s="15" t="str">
        <f>VLOOKUP(AL245,'Axe 2 Règles de gestion'!$D$2:$F$146,3, FALSE)</f>
        <v>Acte : Un acte administratif doit être produit.</v>
      </c>
      <c r="AN245" s="13"/>
      <c r="AO245" s="13"/>
    </row>
    <row r="246" spans="1:41" ht="43.5" x14ac:dyDescent="0.35">
      <c r="A246" s="13" t="s">
        <v>76</v>
      </c>
      <c r="B246" s="13" t="s">
        <v>77</v>
      </c>
      <c r="C246" s="14">
        <v>43152.5</v>
      </c>
      <c r="D246" s="13" t="s">
        <v>78</v>
      </c>
      <c r="E246" s="15" t="s">
        <v>79</v>
      </c>
      <c r="F246" s="13" t="s">
        <v>80</v>
      </c>
      <c r="G246" s="15" t="s">
        <v>81</v>
      </c>
      <c r="H246" s="13" t="s">
        <v>471</v>
      </c>
      <c r="I246" s="15" t="s">
        <v>472</v>
      </c>
      <c r="J246" s="15" t="s">
        <v>473</v>
      </c>
      <c r="K246" s="15" t="s">
        <v>474</v>
      </c>
      <c r="L246" s="13" t="s">
        <v>477</v>
      </c>
      <c r="M246" s="15" t="s">
        <v>478</v>
      </c>
      <c r="N246" s="13" t="s">
        <v>101</v>
      </c>
      <c r="O246" s="15"/>
      <c r="P246" s="15"/>
      <c r="Q246" s="15" t="s">
        <v>110</v>
      </c>
      <c r="R246" s="13" t="s">
        <v>111</v>
      </c>
      <c r="S246" s="13" t="s">
        <v>93</v>
      </c>
      <c r="T246" s="13" t="s">
        <v>112</v>
      </c>
      <c r="U246" s="14">
        <v>40725</v>
      </c>
      <c r="V246" s="14">
        <v>42481</v>
      </c>
      <c r="W246" s="15"/>
      <c r="X246" s="13"/>
      <c r="Y246" s="15"/>
      <c r="Z246" s="13"/>
      <c r="AA246" s="15"/>
      <c r="AB246" s="13"/>
      <c r="AC246" s="15"/>
      <c r="AD246" s="13"/>
      <c r="AE246" s="15"/>
      <c r="AF246" s="13"/>
      <c r="AG246" s="15"/>
      <c r="AH246" s="13"/>
      <c r="AI246" s="15"/>
      <c r="AJ246" s="13"/>
      <c r="AK246" s="15"/>
      <c r="AL246" s="13"/>
      <c r="AM246" s="15"/>
      <c r="AN246" s="13"/>
      <c r="AO246" s="13"/>
    </row>
    <row r="247" spans="1:41" ht="43.5" x14ac:dyDescent="0.35">
      <c r="A247" s="13" t="s">
        <v>76</v>
      </c>
      <c r="B247" s="13" t="s">
        <v>77</v>
      </c>
      <c r="C247" s="14">
        <v>43152.5</v>
      </c>
      <c r="D247" s="13" t="s">
        <v>78</v>
      </c>
      <c r="E247" s="15" t="s">
        <v>79</v>
      </c>
      <c r="F247" s="13" t="s">
        <v>80</v>
      </c>
      <c r="G247" s="15" t="s">
        <v>81</v>
      </c>
      <c r="H247" s="13" t="s">
        <v>471</v>
      </c>
      <c r="I247" s="15" t="s">
        <v>472</v>
      </c>
      <c r="J247" s="15" t="s">
        <v>473</v>
      </c>
      <c r="K247" s="15" t="s">
        <v>474</v>
      </c>
      <c r="L247" s="13" t="s">
        <v>475</v>
      </c>
      <c r="M247" s="15" t="s">
        <v>476</v>
      </c>
      <c r="N247" s="13" t="s">
        <v>379</v>
      </c>
      <c r="O247" s="15"/>
      <c r="P247" s="15"/>
      <c r="Q247" s="15" t="s">
        <v>175</v>
      </c>
      <c r="R247" s="13" t="s">
        <v>176</v>
      </c>
      <c r="S247" s="13" t="s">
        <v>93</v>
      </c>
      <c r="T247" s="13" t="s">
        <v>94</v>
      </c>
      <c r="U247" s="14">
        <v>40725</v>
      </c>
      <c r="V247" s="14">
        <v>42481</v>
      </c>
      <c r="W247" s="15"/>
      <c r="X247" s="13"/>
      <c r="Y247" s="15"/>
      <c r="Z247" s="13"/>
      <c r="AA247" s="15"/>
      <c r="AB247" s="13"/>
      <c r="AC247" s="15"/>
      <c r="AD247" s="13"/>
      <c r="AE247" s="15"/>
      <c r="AF247" s="13"/>
      <c r="AG247" s="15"/>
      <c r="AH247" s="13"/>
      <c r="AI247" s="15"/>
      <c r="AJ247" s="13"/>
      <c r="AK247" s="15"/>
      <c r="AL247" s="13"/>
      <c r="AM247" s="15"/>
      <c r="AN247" s="13"/>
      <c r="AO247" s="13"/>
    </row>
    <row r="248" spans="1:41" ht="43.5" x14ac:dyDescent="0.35">
      <c r="A248" s="13" t="s">
        <v>76</v>
      </c>
      <c r="B248" s="13" t="s">
        <v>77</v>
      </c>
      <c r="C248" s="14">
        <v>43152.5</v>
      </c>
      <c r="D248" s="13" t="s">
        <v>78</v>
      </c>
      <c r="E248" s="15" t="s">
        <v>79</v>
      </c>
      <c r="F248" s="13" t="s">
        <v>80</v>
      </c>
      <c r="G248" s="15" t="s">
        <v>81</v>
      </c>
      <c r="H248" s="13" t="s">
        <v>471</v>
      </c>
      <c r="I248" s="15" t="s">
        <v>472</v>
      </c>
      <c r="J248" s="15" t="s">
        <v>473</v>
      </c>
      <c r="K248" s="15" t="s">
        <v>474</v>
      </c>
      <c r="L248" s="13" t="s">
        <v>477</v>
      </c>
      <c r="M248" s="15" t="s">
        <v>478</v>
      </c>
      <c r="N248" s="13" t="s">
        <v>101</v>
      </c>
      <c r="O248" s="15"/>
      <c r="P248" s="15"/>
      <c r="Q248" s="15" t="s">
        <v>175</v>
      </c>
      <c r="R248" s="13" t="s">
        <v>176</v>
      </c>
      <c r="S248" s="13" t="s">
        <v>93</v>
      </c>
      <c r="T248" s="13" t="s">
        <v>94</v>
      </c>
      <c r="U248" s="14">
        <v>40725</v>
      </c>
      <c r="V248" s="14">
        <v>42481</v>
      </c>
      <c r="W248" s="15"/>
      <c r="X248" s="13"/>
      <c r="Y248" s="15"/>
      <c r="Z248" s="13"/>
      <c r="AA248" s="15"/>
      <c r="AB248" s="13"/>
      <c r="AC248" s="15"/>
      <c r="AD248" s="13"/>
      <c r="AE248" s="15"/>
      <c r="AF248" s="13"/>
      <c r="AG248" s="15"/>
      <c r="AH248" s="13"/>
      <c r="AI248" s="15"/>
      <c r="AJ248" s="13"/>
      <c r="AK248" s="15"/>
      <c r="AL248" s="13"/>
      <c r="AM248" s="15"/>
      <c r="AN248" s="13"/>
      <c r="AO248" s="13"/>
    </row>
    <row r="249" spans="1:41" ht="43.5" x14ac:dyDescent="0.35">
      <c r="A249" s="13" t="s">
        <v>76</v>
      </c>
      <c r="B249" s="13" t="s">
        <v>77</v>
      </c>
      <c r="C249" s="14">
        <v>43152.5</v>
      </c>
      <c r="D249" s="13" t="s">
        <v>78</v>
      </c>
      <c r="E249" s="15" t="s">
        <v>79</v>
      </c>
      <c r="F249" s="13" t="s">
        <v>80</v>
      </c>
      <c r="G249" s="15" t="s">
        <v>81</v>
      </c>
      <c r="H249" s="13" t="s">
        <v>471</v>
      </c>
      <c r="I249" s="15" t="s">
        <v>472</v>
      </c>
      <c r="J249" s="15" t="s">
        <v>473</v>
      </c>
      <c r="K249" s="15" t="s">
        <v>474</v>
      </c>
      <c r="L249" s="13" t="s">
        <v>475</v>
      </c>
      <c r="M249" s="15" t="s">
        <v>476</v>
      </c>
      <c r="N249" s="13" t="s">
        <v>379</v>
      </c>
      <c r="O249" s="15"/>
      <c r="P249" s="15"/>
      <c r="Q249" s="15" t="s">
        <v>177</v>
      </c>
      <c r="R249" s="13" t="s">
        <v>178</v>
      </c>
      <c r="S249" s="13" t="s">
        <v>179</v>
      </c>
      <c r="T249" s="13" t="s">
        <v>94</v>
      </c>
      <c r="U249" s="14">
        <v>40725</v>
      </c>
      <c r="V249" s="14">
        <v>42481</v>
      </c>
      <c r="W249" s="15"/>
      <c r="X249" s="13"/>
      <c r="Y249" s="15"/>
      <c r="Z249" s="13"/>
      <c r="AA249" s="15"/>
      <c r="AB249" s="13"/>
      <c r="AC249" s="15"/>
      <c r="AD249" s="13"/>
      <c r="AE249" s="15"/>
      <c r="AF249" s="13"/>
      <c r="AG249" s="15"/>
      <c r="AH249" s="13"/>
      <c r="AI249" s="15"/>
      <c r="AJ249" s="13"/>
      <c r="AK249" s="15"/>
      <c r="AL249" s="13"/>
      <c r="AM249" s="15"/>
      <c r="AN249" s="13"/>
      <c r="AO249" s="13"/>
    </row>
    <row r="250" spans="1:41" ht="43.5" x14ac:dyDescent="0.35">
      <c r="A250" s="13" t="s">
        <v>76</v>
      </c>
      <c r="B250" s="13" t="s">
        <v>77</v>
      </c>
      <c r="C250" s="14">
        <v>43152.5</v>
      </c>
      <c r="D250" s="13" t="s">
        <v>78</v>
      </c>
      <c r="E250" s="15" t="s">
        <v>79</v>
      </c>
      <c r="F250" s="13" t="s">
        <v>80</v>
      </c>
      <c r="G250" s="15" t="s">
        <v>81</v>
      </c>
      <c r="H250" s="13" t="s">
        <v>471</v>
      </c>
      <c r="I250" s="15" t="s">
        <v>472</v>
      </c>
      <c r="J250" s="15" t="s">
        <v>473</v>
      </c>
      <c r="K250" s="15" t="s">
        <v>474</v>
      </c>
      <c r="L250" s="13" t="s">
        <v>477</v>
      </c>
      <c r="M250" s="15" t="s">
        <v>478</v>
      </c>
      <c r="N250" s="13" t="s">
        <v>101</v>
      </c>
      <c r="O250" s="15"/>
      <c r="P250" s="15"/>
      <c r="Q250" s="15" t="s">
        <v>177</v>
      </c>
      <c r="R250" s="13" t="s">
        <v>178</v>
      </c>
      <c r="S250" s="13" t="s">
        <v>179</v>
      </c>
      <c r="T250" s="13" t="s">
        <v>94</v>
      </c>
      <c r="U250" s="14">
        <v>40725</v>
      </c>
      <c r="V250" s="14">
        <v>42481</v>
      </c>
      <c r="W250" s="15"/>
      <c r="X250" s="13"/>
      <c r="Y250" s="15"/>
      <c r="Z250" s="13"/>
      <c r="AA250" s="15"/>
      <c r="AB250" s="13"/>
      <c r="AC250" s="15"/>
      <c r="AD250" s="13"/>
      <c r="AE250" s="15"/>
      <c r="AF250" s="13"/>
      <c r="AG250" s="15"/>
      <c r="AH250" s="13"/>
      <c r="AI250" s="15"/>
      <c r="AJ250" s="13"/>
      <c r="AK250" s="15"/>
      <c r="AL250" s="13"/>
      <c r="AM250" s="15"/>
      <c r="AN250" s="13"/>
      <c r="AO250" s="13"/>
    </row>
    <row r="251" spans="1:41" ht="58" x14ac:dyDescent="0.35">
      <c r="A251" s="13" t="s">
        <v>76</v>
      </c>
      <c r="B251" s="13" t="s">
        <v>77</v>
      </c>
      <c r="C251" s="14">
        <v>43152.5</v>
      </c>
      <c r="D251" s="13" t="s">
        <v>78</v>
      </c>
      <c r="E251" s="15" t="s">
        <v>79</v>
      </c>
      <c r="F251" s="13" t="s">
        <v>80</v>
      </c>
      <c r="G251" s="15" t="s">
        <v>81</v>
      </c>
      <c r="H251" s="13" t="s">
        <v>471</v>
      </c>
      <c r="I251" s="15" t="s">
        <v>472</v>
      </c>
      <c r="J251" s="15" t="s">
        <v>473</v>
      </c>
      <c r="K251" s="15" t="s">
        <v>474</v>
      </c>
      <c r="L251" s="13" t="s">
        <v>475</v>
      </c>
      <c r="M251" s="15" t="s">
        <v>476</v>
      </c>
      <c r="N251" s="13" t="s">
        <v>379</v>
      </c>
      <c r="O251" s="15"/>
      <c r="P251" s="15"/>
      <c r="Q251" s="15" t="s">
        <v>201</v>
      </c>
      <c r="R251" s="13" t="s">
        <v>202</v>
      </c>
      <c r="S251" s="13" t="s">
        <v>179</v>
      </c>
      <c r="T251" s="13" t="s">
        <v>112</v>
      </c>
      <c r="U251" s="14">
        <v>40725</v>
      </c>
      <c r="V251" s="14">
        <v>42481</v>
      </c>
      <c r="W251" s="15"/>
      <c r="X251" s="13"/>
      <c r="Y251" s="15"/>
      <c r="Z251" s="13"/>
      <c r="AA251" s="15"/>
      <c r="AB251" s="13"/>
      <c r="AC251" s="15"/>
      <c r="AD251" s="13"/>
      <c r="AE251" s="15"/>
      <c r="AF251" s="13"/>
      <c r="AG251" s="15"/>
      <c r="AH251" s="13"/>
      <c r="AI251" s="15"/>
      <c r="AJ251" s="13"/>
      <c r="AK251" s="15"/>
      <c r="AL251" s="13"/>
      <c r="AM251" s="15"/>
      <c r="AN251" s="13"/>
      <c r="AO251" s="13"/>
    </row>
    <row r="252" spans="1:41" ht="58" x14ac:dyDescent="0.35">
      <c r="A252" s="13" t="s">
        <v>76</v>
      </c>
      <c r="B252" s="13" t="s">
        <v>77</v>
      </c>
      <c r="C252" s="14">
        <v>43152.5</v>
      </c>
      <c r="D252" s="13" t="s">
        <v>78</v>
      </c>
      <c r="E252" s="15" t="s">
        <v>79</v>
      </c>
      <c r="F252" s="13" t="s">
        <v>80</v>
      </c>
      <c r="G252" s="15" t="s">
        <v>81</v>
      </c>
      <c r="H252" s="13" t="s">
        <v>471</v>
      </c>
      <c r="I252" s="15" t="s">
        <v>472</v>
      </c>
      <c r="J252" s="15" t="s">
        <v>473</v>
      </c>
      <c r="K252" s="15" t="s">
        <v>474</v>
      </c>
      <c r="L252" s="13" t="s">
        <v>477</v>
      </c>
      <c r="M252" s="15" t="s">
        <v>478</v>
      </c>
      <c r="N252" s="13" t="s">
        <v>101</v>
      </c>
      <c r="O252" s="15"/>
      <c r="P252" s="15"/>
      <c r="Q252" s="15" t="s">
        <v>201</v>
      </c>
      <c r="R252" s="13" t="s">
        <v>202</v>
      </c>
      <c r="S252" s="13" t="s">
        <v>179</v>
      </c>
      <c r="T252" s="13" t="s">
        <v>112</v>
      </c>
      <c r="U252" s="14">
        <v>40725</v>
      </c>
      <c r="V252" s="14">
        <v>42481</v>
      </c>
      <c r="W252" s="15"/>
      <c r="X252" s="13"/>
      <c r="Y252" s="15"/>
      <c r="Z252" s="13"/>
      <c r="AA252" s="15"/>
      <c r="AB252" s="13"/>
      <c r="AC252" s="15"/>
      <c r="AD252" s="13"/>
      <c r="AE252" s="15"/>
      <c r="AF252" s="13"/>
      <c r="AG252" s="15"/>
      <c r="AH252" s="13"/>
      <c r="AI252" s="15"/>
      <c r="AJ252" s="13"/>
      <c r="AK252" s="15"/>
      <c r="AL252" s="13"/>
      <c r="AM252" s="15"/>
      <c r="AN252" s="13"/>
      <c r="AO252" s="13"/>
    </row>
    <row r="253" spans="1:41" ht="72.5" x14ac:dyDescent="0.35">
      <c r="A253" s="13" t="s">
        <v>76</v>
      </c>
      <c r="B253" s="13" t="s">
        <v>77</v>
      </c>
      <c r="C253" s="14">
        <v>43152.5</v>
      </c>
      <c r="D253" s="13" t="s">
        <v>78</v>
      </c>
      <c r="E253" s="15" t="s">
        <v>79</v>
      </c>
      <c r="F253" s="13" t="s">
        <v>80</v>
      </c>
      <c r="G253" s="15" t="s">
        <v>81</v>
      </c>
      <c r="H253" s="13" t="s">
        <v>483</v>
      </c>
      <c r="I253" s="15" t="s">
        <v>484</v>
      </c>
      <c r="J253" s="15" t="s">
        <v>485</v>
      </c>
      <c r="K253" s="15" t="s">
        <v>486</v>
      </c>
      <c r="L253" s="13" t="s">
        <v>487</v>
      </c>
      <c r="M253" s="15" t="s">
        <v>488</v>
      </c>
      <c r="N253" s="13" t="s">
        <v>88</v>
      </c>
      <c r="O253" s="15" t="s">
        <v>89</v>
      </c>
      <c r="P253" s="15" t="s">
        <v>90</v>
      </c>
      <c r="Q253" s="15" t="s">
        <v>91</v>
      </c>
      <c r="R253" s="13" t="s">
        <v>92</v>
      </c>
      <c r="S253" s="13" t="s">
        <v>93</v>
      </c>
      <c r="T253" s="13" t="s">
        <v>94</v>
      </c>
      <c r="U253" s="14">
        <v>40725</v>
      </c>
      <c r="V253" s="14"/>
      <c r="W253" s="15"/>
      <c r="X253" s="13"/>
      <c r="Y253" s="15"/>
      <c r="Z253" s="13"/>
      <c r="AA253" s="15"/>
      <c r="AB253" s="13"/>
      <c r="AC253" s="15"/>
      <c r="AD253" s="13"/>
      <c r="AE253" s="15"/>
      <c r="AF253" s="13"/>
      <c r="AG253" s="15"/>
      <c r="AH253" s="13"/>
      <c r="AI253" s="15"/>
      <c r="AJ253" s="13"/>
      <c r="AK253" s="15"/>
      <c r="AL253" s="13"/>
      <c r="AM253" s="15"/>
      <c r="AN253" s="13"/>
      <c r="AO253" s="13"/>
    </row>
    <row r="254" spans="1:41" ht="72.5" x14ac:dyDescent="0.35">
      <c r="A254" s="13" t="s">
        <v>76</v>
      </c>
      <c r="B254" s="13" t="s">
        <v>77</v>
      </c>
      <c r="C254" s="14">
        <v>43152.5</v>
      </c>
      <c r="D254" s="13" t="s">
        <v>78</v>
      </c>
      <c r="E254" s="15" t="s">
        <v>79</v>
      </c>
      <c r="F254" s="13" t="s">
        <v>80</v>
      </c>
      <c r="G254" s="15" t="s">
        <v>81</v>
      </c>
      <c r="H254" s="13" t="s">
        <v>483</v>
      </c>
      <c r="I254" s="15" t="s">
        <v>484</v>
      </c>
      <c r="J254" s="15" t="s">
        <v>485</v>
      </c>
      <c r="K254" s="15" t="s">
        <v>486</v>
      </c>
      <c r="L254" s="13" t="s">
        <v>489</v>
      </c>
      <c r="M254" s="15" t="s">
        <v>490</v>
      </c>
      <c r="N254" s="13" t="s">
        <v>88</v>
      </c>
      <c r="O254" s="15" t="s">
        <v>97</v>
      </c>
      <c r="P254" s="15" t="s">
        <v>98</v>
      </c>
      <c r="Q254" s="15" t="s">
        <v>91</v>
      </c>
      <c r="R254" s="13" t="s">
        <v>92</v>
      </c>
      <c r="S254" s="13" t="s">
        <v>93</v>
      </c>
      <c r="T254" s="13" t="s">
        <v>94</v>
      </c>
      <c r="U254" s="14">
        <v>40725</v>
      </c>
      <c r="V254" s="14"/>
      <c r="W254" s="15"/>
      <c r="X254" s="13"/>
      <c r="Y254" s="15"/>
      <c r="Z254" s="13"/>
      <c r="AA254" s="15"/>
      <c r="AB254" s="13"/>
      <c r="AC254" s="15"/>
      <c r="AD254" s="13"/>
      <c r="AE254" s="15"/>
      <c r="AF254" s="13"/>
      <c r="AG254" s="15"/>
      <c r="AH254" s="13"/>
      <c r="AI254" s="15"/>
      <c r="AJ254" s="13"/>
      <c r="AK254" s="15"/>
      <c r="AL254" s="13"/>
      <c r="AM254" s="15"/>
      <c r="AN254" s="13"/>
      <c r="AO254" s="13"/>
    </row>
    <row r="255" spans="1:41" ht="43.5" x14ac:dyDescent="0.35">
      <c r="A255" s="13" t="s">
        <v>76</v>
      </c>
      <c r="B255" s="13" t="s">
        <v>77</v>
      </c>
      <c r="C255" s="14">
        <v>43152.5</v>
      </c>
      <c r="D255" s="13" t="s">
        <v>78</v>
      </c>
      <c r="E255" s="15" t="s">
        <v>79</v>
      </c>
      <c r="F255" s="13" t="s">
        <v>80</v>
      </c>
      <c r="G255" s="15" t="s">
        <v>81</v>
      </c>
      <c r="H255" s="13" t="s">
        <v>483</v>
      </c>
      <c r="I255" s="15" t="s">
        <v>484</v>
      </c>
      <c r="J255" s="15" t="s">
        <v>485</v>
      </c>
      <c r="K255" s="15" t="s">
        <v>486</v>
      </c>
      <c r="L255" s="13" t="s">
        <v>491</v>
      </c>
      <c r="M255" s="15" t="s">
        <v>492</v>
      </c>
      <c r="N255" s="13" t="s">
        <v>101</v>
      </c>
      <c r="O255" s="15" t="s">
        <v>102</v>
      </c>
      <c r="P255" s="15" t="s">
        <v>103</v>
      </c>
      <c r="Q255" s="15" t="s">
        <v>91</v>
      </c>
      <c r="R255" s="13" t="s">
        <v>92</v>
      </c>
      <c r="S255" s="13" t="s">
        <v>93</v>
      </c>
      <c r="T255" s="13" t="s">
        <v>94</v>
      </c>
      <c r="U255" s="14">
        <v>40725</v>
      </c>
      <c r="V255" s="14"/>
      <c r="W255" s="15"/>
      <c r="X255" s="13"/>
      <c r="Y255" s="15"/>
      <c r="Z255" s="13"/>
      <c r="AA255" s="15"/>
      <c r="AB255" s="13"/>
      <c r="AC255" s="15"/>
      <c r="AD255" s="13"/>
      <c r="AE255" s="15"/>
      <c r="AF255" s="13"/>
      <c r="AG255" s="15"/>
      <c r="AH255" s="13"/>
      <c r="AI255" s="15"/>
      <c r="AJ255" s="13"/>
      <c r="AK255" s="15"/>
      <c r="AL255" s="13"/>
      <c r="AM255" s="15"/>
      <c r="AN255" s="13"/>
      <c r="AO255" s="13"/>
    </row>
    <row r="256" spans="1:41" ht="72.5" x14ac:dyDescent="0.35">
      <c r="A256" s="13" t="s">
        <v>76</v>
      </c>
      <c r="B256" s="13" t="s">
        <v>77</v>
      </c>
      <c r="C256" s="14">
        <v>43152.5</v>
      </c>
      <c r="D256" s="13" t="s">
        <v>78</v>
      </c>
      <c r="E256" s="15" t="s">
        <v>79</v>
      </c>
      <c r="F256" s="13" t="s">
        <v>80</v>
      </c>
      <c r="G256" s="15" t="s">
        <v>81</v>
      </c>
      <c r="H256" s="13" t="s">
        <v>483</v>
      </c>
      <c r="I256" s="15" t="s">
        <v>484</v>
      </c>
      <c r="J256" s="15" t="s">
        <v>485</v>
      </c>
      <c r="K256" s="15" t="s">
        <v>486</v>
      </c>
      <c r="L256" s="13" t="s">
        <v>487</v>
      </c>
      <c r="M256" s="15" t="s">
        <v>488</v>
      </c>
      <c r="N256" s="13" t="s">
        <v>88</v>
      </c>
      <c r="O256" s="15" t="s">
        <v>89</v>
      </c>
      <c r="P256" s="15" t="s">
        <v>90</v>
      </c>
      <c r="Q256" s="15" t="s">
        <v>104</v>
      </c>
      <c r="R256" s="13" t="s">
        <v>105</v>
      </c>
      <c r="S256" s="13" t="s">
        <v>93</v>
      </c>
      <c r="T256" s="13" t="s">
        <v>94</v>
      </c>
      <c r="U256" s="14">
        <v>40725</v>
      </c>
      <c r="V256" s="14"/>
      <c r="W256" s="15"/>
      <c r="X256" s="13"/>
      <c r="Y256" s="15"/>
      <c r="Z256" s="13"/>
      <c r="AA256" s="15"/>
      <c r="AB256" s="13"/>
      <c r="AC256" s="15"/>
      <c r="AD256" s="13"/>
      <c r="AE256" s="15"/>
      <c r="AF256" s="13"/>
      <c r="AG256" s="15"/>
      <c r="AH256" s="13"/>
      <c r="AI256" s="15"/>
      <c r="AJ256" s="13"/>
      <c r="AK256" s="15"/>
      <c r="AL256" s="13"/>
      <c r="AM256" s="15"/>
      <c r="AN256" s="13"/>
      <c r="AO256" s="13"/>
    </row>
    <row r="257" spans="1:41" ht="72.5" x14ac:dyDescent="0.35">
      <c r="A257" s="13" t="s">
        <v>76</v>
      </c>
      <c r="B257" s="13" t="s">
        <v>77</v>
      </c>
      <c r="C257" s="14">
        <v>43152.5</v>
      </c>
      <c r="D257" s="13" t="s">
        <v>78</v>
      </c>
      <c r="E257" s="15" t="s">
        <v>79</v>
      </c>
      <c r="F257" s="13" t="s">
        <v>80</v>
      </c>
      <c r="G257" s="15" t="s">
        <v>81</v>
      </c>
      <c r="H257" s="13" t="s">
        <v>483</v>
      </c>
      <c r="I257" s="15" t="s">
        <v>484</v>
      </c>
      <c r="J257" s="15" t="s">
        <v>485</v>
      </c>
      <c r="K257" s="15" t="s">
        <v>486</v>
      </c>
      <c r="L257" s="13" t="s">
        <v>489</v>
      </c>
      <c r="M257" s="15" t="s">
        <v>490</v>
      </c>
      <c r="N257" s="13" t="s">
        <v>88</v>
      </c>
      <c r="O257" s="15" t="s">
        <v>97</v>
      </c>
      <c r="P257" s="15" t="s">
        <v>98</v>
      </c>
      <c r="Q257" s="15" t="s">
        <v>104</v>
      </c>
      <c r="R257" s="13" t="s">
        <v>105</v>
      </c>
      <c r="S257" s="13" t="s">
        <v>93</v>
      </c>
      <c r="T257" s="13" t="s">
        <v>94</v>
      </c>
      <c r="U257" s="14">
        <v>40725</v>
      </c>
      <c r="V257" s="14"/>
      <c r="W257" s="15"/>
      <c r="X257" s="13"/>
      <c r="Y257" s="15"/>
      <c r="Z257" s="13"/>
      <c r="AA257" s="15"/>
      <c r="AB257" s="13"/>
      <c r="AC257" s="15"/>
      <c r="AD257" s="13"/>
      <c r="AE257" s="15"/>
      <c r="AF257" s="13"/>
      <c r="AG257" s="15"/>
      <c r="AH257" s="13"/>
      <c r="AI257" s="15"/>
      <c r="AJ257" s="13"/>
      <c r="AK257" s="15"/>
      <c r="AL257" s="13"/>
      <c r="AM257" s="15"/>
      <c r="AN257" s="13"/>
      <c r="AO257" s="13"/>
    </row>
    <row r="258" spans="1:41" ht="43.5" x14ac:dyDescent="0.35">
      <c r="A258" s="13" t="s">
        <v>76</v>
      </c>
      <c r="B258" s="13" t="s">
        <v>77</v>
      </c>
      <c r="C258" s="14">
        <v>43152.5</v>
      </c>
      <c r="D258" s="13" t="s">
        <v>78</v>
      </c>
      <c r="E258" s="15" t="s">
        <v>79</v>
      </c>
      <c r="F258" s="13" t="s">
        <v>80</v>
      </c>
      <c r="G258" s="15" t="s">
        <v>81</v>
      </c>
      <c r="H258" s="13" t="s">
        <v>483</v>
      </c>
      <c r="I258" s="15" t="s">
        <v>484</v>
      </c>
      <c r="J258" s="15" t="s">
        <v>485</v>
      </c>
      <c r="K258" s="15" t="s">
        <v>486</v>
      </c>
      <c r="L258" s="13" t="s">
        <v>491</v>
      </c>
      <c r="M258" s="15" t="s">
        <v>492</v>
      </c>
      <c r="N258" s="13" t="s">
        <v>101</v>
      </c>
      <c r="O258" s="15" t="s">
        <v>102</v>
      </c>
      <c r="P258" s="15" t="s">
        <v>103</v>
      </c>
      <c r="Q258" s="15" t="s">
        <v>104</v>
      </c>
      <c r="R258" s="13" t="s">
        <v>105</v>
      </c>
      <c r="S258" s="13" t="s">
        <v>93</v>
      </c>
      <c r="T258" s="13" t="s">
        <v>94</v>
      </c>
      <c r="U258" s="14">
        <v>40725</v>
      </c>
      <c r="V258" s="14"/>
      <c r="W258" s="15"/>
      <c r="X258" s="13"/>
      <c r="Y258" s="15"/>
      <c r="Z258" s="13"/>
      <c r="AA258" s="15"/>
      <c r="AB258" s="13"/>
      <c r="AC258" s="15"/>
      <c r="AD258" s="13"/>
      <c r="AE258" s="15"/>
      <c r="AF258" s="13"/>
      <c r="AG258" s="15"/>
      <c r="AH258" s="13"/>
      <c r="AI258" s="15"/>
      <c r="AJ258" s="13"/>
      <c r="AK258" s="15"/>
      <c r="AL258" s="13"/>
      <c r="AM258" s="15"/>
      <c r="AN258" s="13"/>
      <c r="AO258" s="13"/>
    </row>
    <row r="259" spans="1:41" ht="72.5" x14ac:dyDescent="0.35">
      <c r="A259" s="13" t="s">
        <v>76</v>
      </c>
      <c r="B259" s="13" t="s">
        <v>77</v>
      </c>
      <c r="C259" s="14">
        <v>43152.5</v>
      </c>
      <c r="D259" s="13" t="s">
        <v>78</v>
      </c>
      <c r="E259" s="15" t="s">
        <v>79</v>
      </c>
      <c r="F259" s="13" t="s">
        <v>80</v>
      </c>
      <c r="G259" s="15" t="s">
        <v>81</v>
      </c>
      <c r="H259" s="13" t="s">
        <v>483</v>
      </c>
      <c r="I259" s="15" t="s">
        <v>484</v>
      </c>
      <c r="J259" s="15" t="s">
        <v>485</v>
      </c>
      <c r="K259" s="15" t="s">
        <v>486</v>
      </c>
      <c r="L259" s="13" t="s">
        <v>487</v>
      </c>
      <c r="M259" s="15" t="s">
        <v>488</v>
      </c>
      <c r="N259" s="13" t="s">
        <v>88</v>
      </c>
      <c r="O259" s="15" t="s">
        <v>89</v>
      </c>
      <c r="P259" s="15" t="s">
        <v>90</v>
      </c>
      <c r="Q259" s="15" t="s">
        <v>106</v>
      </c>
      <c r="R259" s="13" t="s">
        <v>107</v>
      </c>
      <c r="S259" s="13" t="s">
        <v>93</v>
      </c>
      <c r="T259" s="13" t="s">
        <v>94</v>
      </c>
      <c r="U259" s="14">
        <v>40725</v>
      </c>
      <c r="V259" s="14"/>
      <c r="W259" s="15"/>
      <c r="X259" s="13"/>
      <c r="Y259" s="15"/>
      <c r="Z259" s="13"/>
      <c r="AA259" s="15"/>
      <c r="AB259" s="13"/>
      <c r="AC259" s="15"/>
      <c r="AD259" s="13"/>
      <c r="AE259" s="15"/>
      <c r="AF259" s="13"/>
      <c r="AG259" s="15"/>
      <c r="AH259" s="13"/>
      <c r="AI259" s="15"/>
      <c r="AJ259" s="13"/>
      <c r="AK259" s="15"/>
      <c r="AL259" s="13"/>
      <c r="AM259" s="15"/>
      <c r="AN259" s="13"/>
      <c r="AO259" s="13"/>
    </row>
    <row r="260" spans="1:41" ht="72.5" x14ac:dyDescent="0.35">
      <c r="A260" s="13" t="s">
        <v>76</v>
      </c>
      <c r="B260" s="13" t="s">
        <v>77</v>
      </c>
      <c r="C260" s="14">
        <v>43152.5</v>
      </c>
      <c r="D260" s="13" t="s">
        <v>78</v>
      </c>
      <c r="E260" s="15" t="s">
        <v>79</v>
      </c>
      <c r="F260" s="13" t="s">
        <v>80</v>
      </c>
      <c r="G260" s="15" t="s">
        <v>81</v>
      </c>
      <c r="H260" s="13" t="s">
        <v>483</v>
      </c>
      <c r="I260" s="15" t="s">
        <v>484</v>
      </c>
      <c r="J260" s="15" t="s">
        <v>485</v>
      </c>
      <c r="K260" s="15" t="s">
        <v>486</v>
      </c>
      <c r="L260" s="13" t="s">
        <v>489</v>
      </c>
      <c r="M260" s="15" t="s">
        <v>490</v>
      </c>
      <c r="N260" s="13" t="s">
        <v>88</v>
      </c>
      <c r="O260" s="15" t="s">
        <v>97</v>
      </c>
      <c r="P260" s="15" t="s">
        <v>98</v>
      </c>
      <c r="Q260" s="15" t="s">
        <v>106</v>
      </c>
      <c r="R260" s="13" t="s">
        <v>107</v>
      </c>
      <c r="S260" s="13" t="s">
        <v>93</v>
      </c>
      <c r="T260" s="13" t="s">
        <v>94</v>
      </c>
      <c r="U260" s="14">
        <v>40725</v>
      </c>
      <c r="V260" s="14"/>
      <c r="W260" s="15"/>
      <c r="X260" s="13"/>
      <c r="Y260" s="15"/>
      <c r="Z260" s="13"/>
      <c r="AA260" s="15"/>
      <c r="AB260" s="13"/>
      <c r="AC260" s="15"/>
      <c r="AD260" s="13"/>
      <c r="AE260" s="15"/>
      <c r="AF260" s="13"/>
      <c r="AG260" s="15"/>
      <c r="AH260" s="13"/>
      <c r="AI260" s="15"/>
      <c r="AJ260" s="13"/>
      <c r="AK260" s="15"/>
      <c r="AL260" s="13"/>
      <c r="AM260" s="15"/>
      <c r="AN260" s="13"/>
      <c r="AO260" s="13"/>
    </row>
    <row r="261" spans="1:41" ht="43.5" x14ac:dyDescent="0.35">
      <c r="A261" s="13" t="s">
        <v>76</v>
      </c>
      <c r="B261" s="13" t="s">
        <v>77</v>
      </c>
      <c r="C261" s="14">
        <v>43152.5</v>
      </c>
      <c r="D261" s="13" t="s">
        <v>78</v>
      </c>
      <c r="E261" s="15" t="s">
        <v>79</v>
      </c>
      <c r="F261" s="13" t="s">
        <v>80</v>
      </c>
      <c r="G261" s="15" t="s">
        <v>81</v>
      </c>
      <c r="H261" s="13" t="s">
        <v>483</v>
      </c>
      <c r="I261" s="15" t="s">
        <v>484</v>
      </c>
      <c r="J261" s="15" t="s">
        <v>485</v>
      </c>
      <c r="K261" s="15" t="s">
        <v>486</v>
      </c>
      <c r="L261" s="13" t="s">
        <v>491</v>
      </c>
      <c r="M261" s="15" t="s">
        <v>492</v>
      </c>
      <c r="N261" s="13" t="s">
        <v>101</v>
      </c>
      <c r="O261" s="15" t="s">
        <v>102</v>
      </c>
      <c r="P261" s="15" t="s">
        <v>103</v>
      </c>
      <c r="Q261" s="15" t="s">
        <v>106</v>
      </c>
      <c r="R261" s="13" t="s">
        <v>107</v>
      </c>
      <c r="S261" s="13" t="s">
        <v>93</v>
      </c>
      <c r="T261" s="13" t="s">
        <v>94</v>
      </c>
      <c r="U261" s="14">
        <v>40725</v>
      </c>
      <c r="V261" s="14"/>
      <c r="W261" s="15"/>
      <c r="X261" s="13"/>
      <c r="Y261" s="15"/>
      <c r="Z261" s="13"/>
      <c r="AA261" s="15"/>
      <c r="AB261" s="13"/>
      <c r="AC261" s="15"/>
      <c r="AD261" s="13"/>
      <c r="AE261" s="15"/>
      <c r="AF261" s="13"/>
      <c r="AG261" s="15"/>
      <c r="AH261" s="13"/>
      <c r="AI261" s="15"/>
      <c r="AJ261" s="13"/>
      <c r="AK261" s="15"/>
      <c r="AL261" s="13"/>
      <c r="AM261" s="15"/>
      <c r="AN261" s="13"/>
      <c r="AO261" s="13"/>
    </row>
    <row r="262" spans="1:41" ht="145" x14ac:dyDescent="0.35">
      <c r="A262" s="13" t="s">
        <v>165</v>
      </c>
      <c r="B262" s="13" t="s">
        <v>109</v>
      </c>
      <c r="C262" s="14">
        <v>44715.457638888889</v>
      </c>
      <c r="D262" s="13" t="s">
        <v>78</v>
      </c>
      <c r="E262" s="15" t="s">
        <v>79</v>
      </c>
      <c r="F262" s="13" t="s">
        <v>80</v>
      </c>
      <c r="G262" s="15" t="s">
        <v>81</v>
      </c>
      <c r="H262" s="13" t="s">
        <v>483</v>
      </c>
      <c r="I262" s="15" t="s">
        <v>484</v>
      </c>
      <c r="J262" s="15" t="s">
        <v>485</v>
      </c>
      <c r="K262" s="15" t="s">
        <v>486</v>
      </c>
      <c r="L262" s="13" t="s">
        <v>487</v>
      </c>
      <c r="M262" s="15" t="s">
        <v>488</v>
      </c>
      <c r="N262" s="13" t="s">
        <v>88</v>
      </c>
      <c r="O262" s="15" t="s">
        <v>89</v>
      </c>
      <c r="P262" s="15" t="s">
        <v>90</v>
      </c>
      <c r="Q262" s="15" t="s">
        <v>110</v>
      </c>
      <c r="R262" s="13" t="s">
        <v>111</v>
      </c>
      <c r="S262" s="13" t="s">
        <v>93</v>
      </c>
      <c r="T262" s="13" t="s">
        <v>112</v>
      </c>
      <c r="U262" s="14">
        <v>40725</v>
      </c>
      <c r="V262" s="14">
        <v>44633</v>
      </c>
      <c r="W262" s="15" t="s">
        <v>630</v>
      </c>
      <c r="X262" s="13" t="s">
        <v>614</v>
      </c>
      <c r="Y262" s="15" t="str">
        <f>VLOOKUP(X262,'Axe 2 Règles de gestion'!$D$2:$F$146,3, FALSE)</f>
        <v>Rémunération : L'agent ne perçoit plus son traitement.</v>
      </c>
      <c r="Z262" s="13" t="s">
        <v>616</v>
      </c>
      <c r="AA262" s="15" t="str">
        <f>VLOOKUP(Z262,'Axe 2 Règles de gestion'!$D$2:$F$146,3, FALSE)</f>
        <v>Congés annuels : L'agent ne cumule pas de droits à congé.</v>
      </c>
      <c r="AB262" s="13" t="s">
        <v>618</v>
      </c>
      <c r="AC262" s="15" t="str">
        <f>VLOOKUP(AB262,'Axe 2 Règles de gestion'!$D$2:$F$146,3, FALSE)</f>
        <v>Carrière : L'agent voit sa carrière suspendue. Il perd ses droits à l'avancement.</v>
      </c>
      <c r="AD262" s="13" t="s">
        <v>631</v>
      </c>
      <c r="AE262" s="15" t="str">
        <f>VLOOKUP(AD262,'Axe 2 Règles de gestion'!$D$2:$F$146,3, FALSE)</f>
        <v>Retraite : Les périodes de congé sans traitement ne sont pas prises en compte pour la constitution du droit à pension et la liquidation de cette dernière.</v>
      </c>
      <c r="AF262" s="13" t="s">
        <v>622</v>
      </c>
      <c r="AG262" s="15" t="str">
        <f>VLOOKUP(AF262,'Axe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62" s="13" t="s">
        <v>624</v>
      </c>
      <c r="AI262" s="15" t="str">
        <f>VLOOKUP(AH262,'Axe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62" s="13" t="s">
        <v>626</v>
      </c>
      <c r="AK262" s="15" t="str">
        <f>VLOOKUP(AJ262,'Axe 2 Règles de gestion'!$D$2:$F$146,3, FALSE)</f>
        <v>Stage : Les congés sans traitement ne sont pas comptabilisés comme temps de stage. Ils reportent donc la date de fin de stage du nombre total de jours d'absence.</v>
      </c>
      <c r="AL262" s="13" t="s">
        <v>628</v>
      </c>
      <c r="AM262" s="15" t="str">
        <f>VLOOKUP(AL262,'Axe 2 Règles de gestion'!$D$2:$F$146,3, FALSE)</f>
        <v>Acte : Un acte administratif doit être produit.</v>
      </c>
      <c r="AN262" s="13"/>
      <c r="AO262" s="13"/>
    </row>
    <row r="263" spans="1:41" ht="145" x14ac:dyDescent="0.35">
      <c r="A263" s="13" t="s">
        <v>165</v>
      </c>
      <c r="B263" s="13" t="s">
        <v>109</v>
      </c>
      <c r="C263" s="14">
        <v>44727.614583333336</v>
      </c>
      <c r="D263" s="13" t="s">
        <v>78</v>
      </c>
      <c r="E263" s="15" t="s">
        <v>79</v>
      </c>
      <c r="F263" s="13" t="s">
        <v>80</v>
      </c>
      <c r="G263" s="15" t="s">
        <v>81</v>
      </c>
      <c r="H263" s="13" t="s">
        <v>483</v>
      </c>
      <c r="I263" s="15" t="s">
        <v>484</v>
      </c>
      <c r="J263" s="15" t="s">
        <v>485</v>
      </c>
      <c r="K263" s="15" t="s">
        <v>486</v>
      </c>
      <c r="L263" s="13" t="s">
        <v>487</v>
      </c>
      <c r="M263" s="15" t="s">
        <v>488</v>
      </c>
      <c r="N263" s="13" t="s">
        <v>88</v>
      </c>
      <c r="O263" s="15" t="s">
        <v>89</v>
      </c>
      <c r="P263" s="15" t="s">
        <v>90</v>
      </c>
      <c r="Q263" s="15" t="s">
        <v>110</v>
      </c>
      <c r="R263" s="13" t="s">
        <v>111</v>
      </c>
      <c r="S263" s="13" t="s">
        <v>93</v>
      </c>
      <c r="T263" s="13" t="s">
        <v>112</v>
      </c>
      <c r="U263" s="14">
        <v>44634</v>
      </c>
      <c r="V263" s="14"/>
      <c r="W263" s="15" t="s">
        <v>630</v>
      </c>
      <c r="X263" s="13" t="s">
        <v>614</v>
      </c>
      <c r="Y263" s="15" t="str">
        <f>VLOOKUP(X263,'Axe 2 Règles de gestion'!$D$2:$F$146,3, FALSE)</f>
        <v>Rémunération : L'agent ne perçoit plus son traitement.</v>
      </c>
      <c r="Z263" s="13" t="s">
        <v>616</v>
      </c>
      <c r="AA263" s="15" t="str">
        <f>VLOOKUP(Z263,'Axe 2 Règles de gestion'!$D$2:$F$146,3, FALSE)</f>
        <v>Congés annuels : L'agent ne cumule pas de droits à congé.</v>
      </c>
      <c r="AB263" s="13" t="s">
        <v>618</v>
      </c>
      <c r="AC263" s="15" t="str">
        <f>VLOOKUP(AB263,'Axe 2 Règles de gestion'!$D$2:$F$146,3, FALSE)</f>
        <v>Carrière : L'agent voit sa carrière suspendue. Il perd ses droits à l'avancement.</v>
      </c>
      <c r="AD263" s="13" t="s">
        <v>631</v>
      </c>
      <c r="AE263" s="15" t="str">
        <f>VLOOKUP(AD263,'Axe 2 Règles de gestion'!$D$2:$F$146,3, FALSE)</f>
        <v>Retraite : Les périodes de congé sans traitement ne sont pas prises en compte pour la constitution du droit à pension et la liquidation de cette dernière.</v>
      </c>
      <c r="AF263" s="13" t="s">
        <v>622</v>
      </c>
      <c r="AG263" s="15" t="str">
        <f>VLOOKUP(AF263,'Axe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63" s="13" t="s">
        <v>624</v>
      </c>
      <c r="AI263" s="15" t="str">
        <f>VLOOKUP(AH263,'Axe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63" s="13" t="s">
        <v>626</v>
      </c>
      <c r="AK263" s="15" t="str">
        <f>VLOOKUP(AJ263,'Axe 2 Règles de gestion'!$D$2:$F$146,3, FALSE)</f>
        <v>Stage : Les congés sans traitement ne sont pas comptabilisés comme temps de stage. Ils reportent donc la date de fin de stage du nombre total de jours d'absence.</v>
      </c>
      <c r="AL263" s="13" t="s">
        <v>628</v>
      </c>
      <c r="AM263" s="15" t="str">
        <f>VLOOKUP(AL263,'Axe 2 Règles de gestion'!$D$2:$F$146,3, FALSE)</f>
        <v>Acte : Un acte administratif doit être produit.</v>
      </c>
      <c r="AN263" s="13"/>
      <c r="AO263" s="13"/>
    </row>
    <row r="264" spans="1:41" ht="145" x14ac:dyDescent="0.35">
      <c r="A264" s="13" t="s">
        <v>165</v>
      </c>
      <c r="B264" s="13" t="s">
        <v>109</v>
      </c>
      <c r="C264" s="14">
        <v>44715.462500000001</v>
      </c>
      <c r="D264" s="13" t="s">
        <v>78</v>
      </c>
      <c r="E264" s="15" t="s">
        <v>79</v>
      </c>
      <c r="F264" s="13" t="s">
        <v>80</v>
      </c>
      <c r="G264" s="15" t="s">
        <v>81</v>
      </c>
      <c r="H264" s="13" t="s">
        <v>483</v>
      </c>
      <c r="I264" s="15" t="s">
        <v>484</v>
      </c>
      <c r="J264" s="15" t="s">
        <v>485</v>
      </c>
      <c r="K264" s="15" t="s">
        <v>486</v>
      </c>
      <c r="L264" s="13" t="s">
        <v>489</v>
      </c>
      <c r="M264" s="15" t="s">
        <v>490</v>
      </c>
      <c r="N264" s="13" t="s">
        <v>88</v>
      </c>
      <c r="O264" s="15" t="s">
        <v>97</v>
      </c>
      <c r="P264" s="15" t="s">
        <v>98</v>
      </c>
      <c r="Q264" s="15" t="s">
        <v>110</v>
      </c>
      <c r="R264" s="13" t="s">
        <v>111</v>
      </c>
      <c r="S264" s="13" t="s">
        <v>93</v>
      </c>
      <c r="T264" s="13" t="s">
        <v>112</v>
      </c>
      <c r="U264" s="14">
        <v>40725</v>
      </c>
      <c r="V264" s="14">
        <v>44633</v>
      </c>
      <c r="W264" s="15" t="s">
        <v>630</v>
      </c>
      <c r="X264" s="13" t="s">
        <v>614</v>
      </c>
      <c r="Y264" s="15" t="str">
        <f>VLOOKUP(X264,'Axe 2 Règles de gestion'!$D$2:$F$146,3, FALSE)</f>
        <v>Rémunération : L'agent ne perçoit plus son traitement.</v>
      </c>
      <c r="Z264" s="13" t="s">
        <v>616</v>
      </c>
      <c r="AA264" s="15" t="str">
        <f>VLOOKUP(Z264,'Axe 2 Règles de gestion'!$D$2:$F$146,3, FALSE)</f>
        <v>Congés annuels : L'agent ne cumule pas de droits à congé.</v>
      </c>
      <c r="AB264" s="13" t="s">
        <v>618</v>
      </c>
      <c r="AC264" s="15" t="str">
        <f>VLOOKUP(AB264,'Axe 2 Règles de gestion'!$D$2:$F$146,3, FALSE)</f>
        <v>Carrière : L'agent voit sa carrière suspendue. Il perd ses droits à l'avancement.</v>
      </c>
      <c r="AD264" s="13" t="s">
        <v>631</v>
      </c>
      <c r="AE264" s="15" t="str">
        <f>VLOOKUP(AD264,'Axe 2 Règles de gestion'!$D$2:$F$146,3, FALSE)</f>
        <v>Retraite : Les périodes de congé sans traitement ne sont pas prises en compte pour la constitution du droit à pension et la liquidation de cette dernière.</v>
      </c>
      <c r="AF264" s="13" t="s">
        <v>622</v>
      </c>
      <c r="AG264" s="15" t="str">
        <f>VLOOKUP(AF264,'Axe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64" s="13" t="s">
        <v>624</v>
      </c>
      <c r="AI264" s="15" t="str">
        <f>VLOOKUP(AH264,'Axe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64" s="13" t="s">
        <v>626</v>
      </c>
      <c r="AK264" s="15" t="str">
        <f>VLOOKUP(AJ264,'Axe 2 Règles de gestion'!$D$2:$F$146,3, FALSE)</f>
        <v>Stage : Les congés sans traitement ne sont pas comptabilisés comme temps de stage. Ils reportent donc la date de fin de stage du nombre total de jours d'absence.</v>
      </c>
      <c r="AL264" s="13" t="s">
        <v>628</v>
      </c>
      <c r="AM264" s="15" t="str">
        <f>VLOOKUP(AL264,'Axe 2 Règles de gestion'!$D$2:$F$146,3, FALSE)</f>
        <v>Acte : Un acte administratif doit être produit.</v>
      </c>
      <c r="AN264" s="13"/>
      <c r="AO264" s="13"/>
    </row>
    <row r="265" spans="1:41" ht="145" x14ac:dyDescent="0.35">
      <c r="A265" s="13" t="s">
        <v>165</v>
      </c>
      <c r="B265" s="13" t="s">
        <v>109</v>
      </c>
      <c r="C265" s="14">
        <v>44727.615972222222</v>
      </c>
      <c r="D265" s="13" t="s">
        <v>78</v>
      </c>
      <c r="E265" s="15" t="s">
        <v>79</v>
      </c>
      <c r="F265" s="13" t="s">
        <v>80</v>
      </c>
      <c r="G265" s="15" t="s">
        <v>81</v>
      </c>
      <c r="H265" s="13" t="s">
        <v>483</v>
      </c>
      <c r="I265" s="15" t="s">
        <v>484</v>
      </c>
      <c r="J265" s="15" t="s">
        <v>485</v>
      </c>
      <c r="K265" s="15" t="s">
        <v>486</v>
      </c>
      <c r="L265" s="13" t="s">
        <v>489</v>
      </c>
      <c r="M265" s="15" t="s">
        <v>490</v>
      </c>
      <c r="N265" s="13" t="s">
        <v>88</v>
      </c>
      <c r="O265" s="15" t="s">
        <v>97</v>
      </c>
      <c r="P265" s="15" t="s">
        <v>98</v>
      </c>
      <c r="Q265" s="15" t="s">
        <v>110</v>
      </c>
      <c r="R265" s="13" t="s">
        <v>111</v>
      </c>
      <c r="S265" s="13" t="s">
        <v>93</v>
      </c>
      <c r="T265" s="13" t="s">
        <v>112</v>
      </c>
      <c r="U265" s="14">
        <v>44634</v>
      </c>
      <c r="V265" s="14"/>
      <c r="W265" s="15" t="s">
        <v>630</v>
      </c>
      <c r="X265" s="13" t="s">
        <v>614</v>
      </c>
      <c r="Y265" s="15" t="str">
        <f>VLOOKUP(X265,'Axe 2 Règles de gestion'!$D$2:$F$146,3, FALSE)</f>
        <v>Rémunération : L'agent ne perçoit plus son traitement.</v>
      </c>
      <c r="Z265" s="13" t="s">
        <v>616</v>
      </c>
      <c r="AA265" s="15" t="str">
        <f>VLOOKUP(Z265,'Axe 2 Règles de gestion'!$D$2:$F$146,3, FALSE)</f>
        <v>Congés annuels : L'agent ne cumule pas de droits à congé.</v>
      </c>
      <c r="AB265" s="13" t="s">
        <v>618</v>
      </c>
      <c r="AC265" s="15" t="str">
        <f>VLOOKUP(AB265,'Axe 2 Règles de gestion'!$D$2:$F$146,3, FALSE)</f>
        <v>Carrière : L'agent voit sa carrière suspendue. Il perd ses droits à l'avancement.</v>
      </c>
      <c r="AD265" s="13" t="s">
        <v>631</v>
      </c>
      <c r="AE265" s="15" t="str">
        <f>VLOOKUP(AD265,'Axe 2 Règles de gestion'!$D$2:$F$146,3, FALSE)</f>
        <v>Retraite : Les périodes de congé sans traitement ne sont pas prises en compte pour la constitution du droit à pension et la liquidation de cette dernière.</v>
      </c>
      <c r="AF265" s="13" t="s">
        <v>622</v>
      </c>
      <c r="AG265" s="15" t="str">
        <f>VLOOKUP(AF265,'Axe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265" s="13" t="s">
        <v>624</v>
      </c>
      <c r="AI265" s="15" t="str">
        <f>VLOOKUP(AH265,'Axe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265" s="13" t="s">
        <v>626</v>
      </c>
      <c r="AK265" s="15" t="str">
        <f>VLOOKUP(AJ265,'Axe 2 Règles de gestion'!$D$2:$F$146,3, FALSE)</f>
        <v>Stage : Les congés sans traitement ne sont pas comptabilisés comme temps de stage. Ils reportent donc la date de fin de stage du nombre total de jours d'absence.</v>
      </c>
      <c r="AL265" s="13" t="s">
        <v>628</v>
      </c>
      <c r="AM265" s="15" t="str">
        <f>VLOOKUP(AL265,'Axe 2 Règles de gestion'!$D$2:$F$146,3, FALSE)</f>
        <v>Acte : Un acte administratif doit être produit.</v>
      </c>
      <c r="AN265" s="13"/>
      <c r="AO265" s="13"/>
    </row>
    <row r="266" spans="1:41" ht="43.5" x14ac:dyDescent="0.35">
      <c r="A266" s="13" t="s">
        <v>165</v>
      </c>
      <c r="B266" s="13" t="s">
        <v>109</v>
      </c>
      <c r="C266" s="14">
        <v>44715.469444444447</v>
      </c>
      <c r="D266" s="13" t="s">
        <v>78</v>
      </c>
      <c r="E266" s="15" t="s">
        <v>79</v>
      </c>
      <c r="F266" s="13" t="s">
        <v>80</v>
      </c>
      <c r="G266" s="15" t="s">
        <v>81</v>
      </c>
      <c r="H266" s="13" t="s">
        <v>483</v>
      </c>
      <c r="I266" s="15" t="s">
        <v>484</v>
      </c>
      <c r="J266" s="15" t="s">
        <v>485</v>
      </c>
      <c r="K266" s="15" t="s">
        <v>486</v>
      </c>
      <c r="L266" s="13" t="s">
        <v>491</v>
      </c>
      <c r="M266" s="15" t="s">
        <v>492</v>
      </c>
      <c r="N266" s="13" t="s">
        <v>101</v>
      </c>
      <c r="O266" s="15" t="s">
        <v>102</v>
      </c>
      <c r="P266" s="15" t="s">
        <v>103</v>
      </c>
      <c r="Q266" s="15" t="s">
        <v>110</v>
      </c>
      <c r="R266" s="13" t="s">
        <v>111</v>
      </c>
      <c r="S266" s="13" t="s">
        <v>93</v>
      </c>
      <c r="T266" s="13" t="s">
        <v>112</v>
      </c>
      <c r="U266" s="14">
        <v>40725</v>
      </c>
      <c r="V266" s="14">
        <v>44633</v>
      </c>
      <c r="W266" s="15"/>
      <c r="X266" s="13"/>
      <c r="Y266" s="15"/>
      <c r="Z266" s="13"/>
      <c r="AA266" s="15"/>
      <c r="AB266" s="13"/>
      <c r="AC266" s="15"/>
      <c r="AD266" s="13"/>
      <c r="AE266" s="15"/>
      <c r="AF266" s="13"/>
      <c r="AG266" s="15"/>
      <c r="AH266" s="13"/>
      <c r="AI266" s="15"/>
      <c r="AJ266" s="13"/>
      <c r="AK266" s="15"/>
      <c r="AL266" s="13"/>
      <c r="AM266" s="15"/>
      <c r="AN266" s="13"/>
      <c r="AO266" s="13"/>
    </row>
    <row r="267" spans="1:41" ht="43.5" x14ac:dyDescent="0.35">
      <c r="A267" s="13" t="s">
        <v>165</v>
      </c>
      <c r="B267" s="13" t="s">
        <v>77</v>
      </c>
      <c r="C267" s="14">
        <v>44715.470138888886</v>
      </c>
      <c r="D267" s="13" t="s">
        <v>78</v>
      </c>
      <c r="E267" s="15" t="s">
        <v>79</v>
      </c>
      <c r="F267" s="13" t="s">
        <v>80</v>
      </c>
      <c r="G267" s="15" t="s">
        <v>81</v>
      </c>
      <c r="H267" s="13" t="s">
        <v>483</v>
      </c>
      <c r="I267" s="15" t="s">
        <v>484</v>
      </c>
      <c r="J267" s="15" t="s">
        <v>485</v>
      </c>
      <c r="K267" s="15" t="s">
        <v>486</v>
      </c>
      <c r="L267" s="13" t="s">
        <v>491</v>
      </c>
      <c r="M267" s="15" t="s">
        <v>492</v>
      </c>
      <c r="N267" s="13" t="s">
        <v>101</v>
      </c>
      <c r="O267" s="15" t="s">
        <v>102</v>
      </c>
      <c r="P267" s="15" t="s">
        <v>103</v>
      </c>
      <c r="Q267" s="15" t="s">
        <v>110</v>
      </c>
      <c r="R267" s="13" t="s">
        <v>111</v>
      </c>
      <c r="S267" s="13" t="s">
        <v>93</v>
      </c>
      <c r="T267" s="13" t="s">
        <v>112</v>
      </c>
      <c r="U267" s="14">
        <v>44634</v>
      </c>
      <c r="V267" s="14"/>
      <c r="W267" s="15"/>
      <c r="X267" s="13"/>
      <c r="Y267" s="15"/>
      <c r="Z267" s="13"/>
      <c r="AA267" s="15"/>
      <c r="AB267" s="13"/>
      <c r="AC267" s="15"/>
      <c r="AD267" s="13"/>
      <c r="AE267" s="15"/>
      <c r="AF267" s="13"/>
      <c r="AG267" s="15"/>
      <c r="AH267" s="13"/>
      <c r="AI267" s="15"/>
      <c r="AJ267" s="13"/>
      <c r="AK267" s="15"/>
      <c r="AL267" s="13"/>
      <c r="AM267" s="15"/>
      <c r="AN267" s="13"/>
      <c r="AO267" s="13"/>
    </row>
    <row r="268" spans="1:41" ht="72.5" x14ac:dyDescent="0.35">
      <c r="A268" s="13" t="s">
        <v>76</v>
      </c>
      <c r="B268" s="13" t="s">
        <v>77</v>
      </c>
      <c r="C268" s="14">
        <v>43152.5</v>
      </c>
      <c r="D268" s="13" t="s">
        <v>78</v>
      </c>
      <c r="E268" s="15" t="s">
        <v>79</v>
      </c>
      <c r="F268" s="13" t="s">
        <v>80</v>
      </c>
      <c r="G268" s="15" t="s">
        <v>81</v>
      </c>
      <c r="H268" s="13" t="s">
        <v>483</v>
      </c>
      <c r="I268" s="15" t="s">
        <v>484</v>
      </c>
      <c r="J268" s="15" t="s">
        <v>485</v>
      </c>
      <c r="K268" s="15" t="s">
        <v>486</v>
      </c>
      <c r="L268" s="13" t="s">
        <v>487</v>
      </c>
      <c r="M268" s="15" t="s">
        <v>488</v>
      </c>
      <c r="N268" s="13" t="s">
        <v>88</v>
      </c>
      <c r="O268" s="15" t="s">
        <v>89</v>
      </c>
      <c r="P268" s="15" t="s">
        <v>90</v>
      </c>
      <c r="Q268" s="15" t="s">
        <v>175</v>
      </c>
      <c r="R268" s="13" t="s">
        <v>176</v>
      </c>
      <c r="S268" s="13" t="s">
        <v>93</v>
      </c>
      <c r="T268" s="13" t="s">
        <v>94</v>
      </c>
      <c r="U268" s="14">
        <v>40725</v>
      </c>
      <c r="V268" s="14"/>
      <c r="W268" s="15"/>
      <c r="X268" s="13"/>
      <c r="Y268" s="15"/>
      <c r="Z268" s="13"/>
      <c r="AA268" s="15"/>
      <c r="AB268" s="13"/>
      <c r="AC268" s="15"/>
      <c r="AD268" s="13"/>
      <c r="AE268" s="15"/>
      <c r="AF268" s="13"/>
      <c r="AG268" s="15"/>
      <c r="AH268" s="13"/>
      <c r="AI268" s="15"/>
      <c r="AJ268" s="13"/>
      <c r="AK268" s="15"/>
      <c r="AL268" s="13"/>
      <c r="AM268" s="15"/>
      <c r="AN268" s="13"/>
      <c r="AO268" s="13"/>
    </row>
    <row r="269" spans="1:41" ht="72.5" x14ac:dyDescent="0.35">
      <c r="A269" s="13" t="s">
        <v>76</v>
      </c>
      <c r="B269" s="13" t="s">
        <v>77</v>
      </c>
      <c r="C269" s="14">
        <v>43152.5</v>
      </c>
      <c r="D269" s="13" t="s">
        <v>78</v>
      </c>
      <c r="E269" s="15" t="s">
        <v>79</v>
      </c>
      <c r="F269" s="13" t="s">
        <v>80</v>
      </c>
      <c r="G269" s="15" t="s">
        <v>81</v>
      </c>
      <c r="H269" s="13" t="s">
        <v>483</v>
      </c>
      <c r="I269" s="15" t="s">
        <v>484</v>
      </c>
      <c r="J269" s="15" t="s">
        <v>485</v>
      </c>
      <c r="K269" s="15" t="s">
        <v>486</v>
      </c>
      <c r="L269" s="13" t="s">
        <v>489</v>
      </c>
      <c r="M269" s="15" t="s">
        <v>490</v>
      </c>
      <c r="N269" s="13" t="s">
        <v>88</v>
      </c>
      <c r="O269" s="15" t="s">
        <v>97</v>
      </c>
      <c r="P269" s="15" t="s">
        <v>98</v>
      </c>
      <c r="Q269" s="15" t="s">
        <v>175</v>
      </c>
      <c r="R269" s="13" t="s">
        <v>176</v>
      </c>
      <c r="S269" s="13" t="s">
        <v>93</v>
      </c>
      <c r="T269" s="13" t="s">
        <v>94</v>
      </c>
      <c r="U269" s="14">
        <v>40725</v>
      </c>
      <c r="V269" s="14"/>
      <c r="W269" s="15"/>
      <c r="X269" s="13"/>
      <c r="Y269" s="15"/>
      <c r="Z269" s="13"/>
      <c r="AA269" s="15"/>
      <c r="AB269" s="13"/>
      <c r="AC269" s="15"/>
      <c r="AD269" s="13"/>
      <c r="AE269" s="15"/>
      <c r="AF269" s="13"/>
      <c r="AG269" s="15"/>
      <c r="AH269" s="13"/>
      <c r="AI269" s="15"/>
      <c r="AJ269" s="13"/>
      <c r="AK269" s="15"/>
      <c r="AL269" s="13"/>
      <c r="AM269" s="15"/>
      <c r="AN269" s="13"/>
      <c r="AO269" s="13"/>
    </row>
    <row r="270" spans="1:41" ht="43.5" x14ac:dyDescent="0.35">
      <c r="A270" s="13" t="s">
        <v>76</v>
      </c>
      <c r="B270" s="13" t="s">
        <v>77</v>
      </c>
      <c r="C270" s="14">
        <v>43152.5</v>
      </c>
      <c r="D270" s="13" t="s">
        <v>78</v>
      </c>
      <c r="E270" s="15" t="s">
        <v>79</v>
      </c>
      <c r="F270" s="13" t="s">
        <v>80</v>
      </c>
      <c r="G270" s="15" t="s">
        <v>81</v>
      </c>
      <c r="H270" s="13" t="s">
        <v>483</v>
      </c>
      <c r="I270" s="15" t="s">
        <v>484</v>
      </c>
      <c r="J270" s="15" t="s">
        <v>485</v>
      </c>
      <c r="K270" s="15" t="s">
        <v>486</v>
      </c>
      <c r="L270" s="13" t="s">
        <v>491</v>
      </c>
      <c r="M270" s="15" t="s">
        <v>492</v>
      </c>
      <c r="N270" s="13" t="s">
        <v>101</v>
      </c>
      <c r="O270" s="15" t="s">
        <v>102</v>
      </c>
      <c r="P270" s="15" t="s">
        <v>103</v>
      </c>
      <c r="Q270" s="15" t="s">
        <v>175</v>
      </c>
      <c r="R270" s="13" t="s">
        <v>176</v>
      </c>
      <c r="S270" s="13" t="s">
        <v>93</v>
      </c>
      <c r="T270" s="13" t="s">
        <v>94</v>
      </c>
      <c r="U270" s="14">
        <v>40725</v>
      </c>
      <c r="V270" s="14"/>
      <c r="W270" s="15"/>
      <c r="X270" s="13"/>
      <c r="Y270" s="15"/>
      <c r="Z270" s="13"/>
      <c r="AA270" s="15"/>
      <c r="AB270" s="13"/>
      <c r="AC270" s="15"/>
      <c r="AD270" s="13"/>
      <c r="AE270" s="15"/>
      <c r="AF270" s="13"/>
      <c r="AG270" s="15"/>
      <c r="AH270" s="13"/>
      <c r="AI270" s="15"/>
      <c r="AJ270" s="13"/>
      <c r="AK270" s="15"/>
      <c r="AL270" s="13"/>
      <c r="AM270" s="15"/>
      <c r="AN270" s="13"/>
      <c r="AO270" s="13"/>
    </row>
    <row r="271" spans="1:41" ht="72.5" x14ac:dyDescent="0.35">
      <c r="A271" s="13" t="s">
        <v>165</v>
      </c>
      <c r="B271" s="13" t="s">
        <v>109</v>
      </c>
      <c r="C271" s="14">
        <v>44715.459027777775</v>
      </c>
      <c r="D271" s="13" t="s">
        <v>78</v>
      </c>
      <c r="E271" s="15" t="s">
        <v>79</v>
      </c>
      <c r="F271" s="13" t="s">
        <v>80</v>
      </c>
      <c r="G271" s="15" t="s">
        <v>81</v>
      </c>
      <c r="H271" s="13" t="s">
        <v>483</v>
      </c>
      <c r="I271" s="15" t="s">
        <v>484</v>
      </c>
      <c r="J271" s="15" t="s">
        <v>485</v>
      </c>
      <c r="K271" s="15" t="s">
        <v>486</v>
      </c>
      <c r="L271" s="13" t="s">
        <v>487</v>
      </c>
      <c r="M271" s="15" t="s">
        <v>488</v>
      </c>
      <c r="N271" s="13" t="s">
        <v>88</v>
      </c>
      <c r="O271" s="15" t="s">
        <v>89</v>
      </c>
      <c r="P271" s="15" t="s">
        <v>90</v>
      </c>
      <c r="Q271" s="15" t="s">
        <v>177</v>
      </c>
      <c r="R271" s="13" t="s">
        <v>178</v>
      </c>
      <c r="S271" s="13" t="s">
        <v>179</v>
      </c>
      <c r="T271" s="13" t="s">
        <v>112</v>
      </c>
      <c r="U271" s="14">
        <v>40725</v>
      </c>
      <c r="V271" s="14">
        <v>44633</v>
      </c>
      <c r="W271" s="15"/>
      <c r="X271" s="13"/>
      <c r="Y271" s="15"/>
      <c r="Z271" s="13"/>
      <c r="AA271" s="15"/>
      <c r="AB271" s="13"/>
      <c r="AC271" s="15"/>
      <c r="AD271" s="13"/>
      <c r="AE271" s="15"/>
      <c r="AF271" s="13"/>
      <c r="AG271" s="15"/>
      <c r="AH271" s="13"/>
      <c r="AI271" s="15"/>
      <c r="AJ271" s="13"/>
      <c r="AK271" s="15"/>
      <c r="AL271" s="13"/>
      <c r="AM271" s="15"/>
      <c r="AN271" s="13"/>
      <c r="AO271" s="13"/>
    </row>
    <row r="272" spans="1:41" ht="72.5" x14ac:dyDescent="0.35">
      <c r="A272" s="13" t="s">
        <v>165</v>
      </c>
      <c r="B272" s="13" t="s">
        <v>77</v>
      </c>
      <c r="C272" s="14">
        <v>44715.461805555555</v>
      </c>
      <c r="D272" s="13" t="s">
        <v>78</v>
      </c>
      <c r="E272" s="15" t="s">
        <v>79</v>
      </c>
      <c r="F272" s="13" t="s">
        <v>80</v>
      </c>
      <c r="G272" s="15" t="s">
        <v>81</v>
      </c>
      <c r="H272" s="13" t="s">
        <v>483</v>
      </c>
      <c r="I272" s="15" t="s">
        <v>484</v>
      </c>
      <c r="J272" s="15" t="s">
        <v>485</v>
      </c>
      <c r="K272" s="15" t="s">
        <v>486</v>
      </c>
      <c r="L272" s="13" t="s">
        <v>487</v>
      </c>
      <c r="M272" s="15" t="s">
        <v>488</v>
      </c>
      <c r="N272" s="13" t="s">
        <v>88</v>
      </c>
      <c r="O272" s="15" t="s">
        <v>89</v>
      </c>
      <c r="P272" s="15" t="s">
        <v>90</v>
      </c>
      <c r="Q272" s="15" t="s">
        <v>177</v>
      </c>
      <c r="R272" s="13" t="s">
        <v>178</v>
      </c>
      <c r="S272" s="13" t="s">
        <v>179</v>
      </c>
      <c r="T272" s="13" t="s">
        <v>112</v>
      </c>
      <c r="U272" s="14">
        <v>44634</v>
      </c>
      <c r="V272" s="14"/>
      <c r="W272" s="15"/>
      <c r="X272" s="13"/>
      <c r="Y272" s="15"/>
      <c r="Z272" s="13"/>
      <c r="AA272" s="15"/>
      <c r="AB272" s="13"/>
      <c r="AC272" s="15"/>
      <c r="AD272" s="13"/>
      <c r="AE272" s="15"/>
      <c r="AF272" s="13"/>
      <c r="AG272" s="15"/>
      <c r="AH272" s="13"/>
      <c r="AI272" s="15"/>
      <c r="AJ272" s="13"/>
      <c r="AK272" s="15"/>
      <c r="AL272" s="13"/>
      <c r="AM272" s="15"/>
      <c r="AN272" s="13"/>
      <c r="AO272" s="13"/>
    </row>
    <row r="273" spans="1:41" ht="72.5" x14ac:dyDescent="0.35">
      <c r="A273" s="13" t="s">
        <v>165</v>
      </c>
      <c r="B273" s="13" t="s">
        <v>109</v>
      </c>
      <c r="C273" s="14">
        <v>44715.467361111114</v>
      </c>
      <c r="D273" s="13" t="s">
        <v>78</v>
      </c>
      <c r="E273" s="15" t="s">
        <v>79</v>
      </c>
      <c r="F273" s="13" t="s">
        <v>80</v>
      </c>
      <c r="G273" s="15" t="s">
        <v>81</v>
      </c>
      <c r="H273" s="13" t="s">
        <v>483</v>
      </c>
      <c r="I273" s="15" t="s">
        <v>484</v>
      </c>
      <c r="J273" s="15" t="s">
        <v>485</v>
      </c>
      <c r="K273" s="15" t="s">
        <v>486</v>
      </c>
      <c r="L273" s="13" t="s">
        <v>489</v>
      </c>
      <c r="M273" s="15" t="s">
        <v>490</v>
      </c>
      <c r="N273" s="13" t="s">
        <v>88</v>
      </c>
      <c r="O273" s="15" t="s">
        <v>97</v>
      </c>
      <c r="P273" s="15" t="s">
        <v>98</v>
      </c>
      <c r="Q273" s="15" t="s">
        <v>177</v>
      </c>
      <c r="R273" s="13" t="s">
        <v>178</v>
      </c>
      <c r="S273" s="13" t="s">
        <v>179</v>
      </c>
      <c r="T273" s="13" t="s">
        <v>112</v>
      </c>
      <c r="U273" s="14">
        <v>40725</v>
      </c>
      <c r="V273" s="14">
        <v>44633</v>
      </c>
      <c r="W273" s="15"/>
      <c r="X273" s="13"/>
      <c r="Y273" s="15"/>
      <c r="Z273" s="13"/>
      <c r="AA273" s="15"/>
      <c r="AB273" s="13"/>
      <c r="AC273" s="15"/>
      <c r="AD273" s="13"/>
      <c r="AE273" s="15"/>
      <c r="AF273" s="13"/>
      <c r="AG273" s="15"/>
      <c r="AH273" s="13"/>
      <c r="AI273" s="15"/>
      <c r="AJ273" s="13"/>
      <c r="AK273" s="15"/>
      <c r="AL273" s="13"/>
      <c r="AM273" s="15"/>
      <c r="AN273" s="13"/>
      <c r="AO273" s="13"/>
    </row>
    <row r="274" spans="1:41" ht="72.5" x14ac:dyDescent="0.35">
      <c r="A274" s="13" t="s">
        <v>165</v>
      </c>
      <c r="B274" s="13" t="s">
        <v>77</v>
      </c>
      <c r="C274" s="14">
        <v>44715.468055555553</v>
      </c>
      <c r="D274" s="13" t="s">
        <v>78</v>
      </c>
      <c r="E274" s="15" t="s">
        <v>79</v>
      </c>
      <c r="F274" s="13" t="s">
        <v>80</v>
      </c>
      <c r="G274" s="15" t="s">
        <v>81</v>
      </c>
      <c r="H274" s="13" t="s">
        <v>483</v>
      </c>
      <c r="I274" s="15" t="s">
        <v>484</v>
      </c>
      <c r="J274" s="15" t="s">
        <v>485</v>
      </c>
      <c r="K274" s="15" t="s">
        <v>486</v>
      </c>
      <c r="L274" s="13" t="s">
        <v>489</v>
      </c>
      <c r="M274" s="15" t="s">
        <v>490</v>
      </c>
      <c r="N274" s="13" t="s">
        <v>88</v>
      </c>
      <c r="O274" s="15" t="s">
        <v>97</v>
      </c>
      <c r="P274" s="15" t="s">
        <v>98</v>
      </c>
      <c r="Q274" s="15" t="s">
        <v>177</v>
      </c>
      <c r="R274" s="13" t="s">
        <v>178</v>
      </c>
      <c r="S274" s="13" t="s">
        <v>179</v>
      </c>
      <c r="T274" s="13" t="s">
        <v>112</v>
      </c>
      <c r="U274" s="14">
        <v>44634</v>
      </c>
      <c r="V274" s="14"/>
      <c r="W274" s="15"/>
      <c r="X274" s="13"/>
      <c r="Y274" s="15"/>
      <c r="Z274" s="13"/>
      <c r="AA274" s="15"/>
      <c r="AB274" s="13"/>
      <c r="AC274" s="15"/>
      <c r="AD274" s="13"/>
      <c r="AE274" s="15"/>
      <c r="AF274" s="13"/>
      <c r="AG274" s="15"/>
      <c r="AH274" s="13"/>
      <c r="AI274" s="15"/>
      <c r="AJ274" s="13"/>
      <c r="AK274" s="15"/>
      <c r="AL274" s="13"/>
      <c r="AM274" s="15"/>
      <c r="AN274" s="13"/>
      <c r="AO274" s="13"/>
    </row>
    <row r="275" spans="1:41" ht="43.5" x14ac:dyDescent="0.35">
      <c r="A275" s="13" t="s">
        <v>165</v>
      </c>
      <c r="B275" s="13" t="s">
        <v>109</v>
      </c>
      <c r="C275" s="14">
        <v>44715.477777777778</v>
      </c>
      <c r="D275" s="13" t="s">
        <v>78</v>
      </c>
      <c r="E275" s="15" t="s">
        <v>79</v>
      </c>
      <c r="F275" s="13" t="s">
        <v>80</v>
      </c>
      <c r="G275" s="15" t="s">
        <v>81</v>
      </c>
      <c r="H275" s="13" t="s">
        <v>483</v>
      </c>
      <c r="I275" s="15" t="s">
        <v>484</v>
      </c>
      <c r="J275" s="15" t="s">
        <v>485</v>
      </c>
      <c r="K275" s="15" t="s">
        <v>486</v>
      </c>
      <c r="L275" s="13" t="s">
        <v>491</v>
      </c>
      <c r="M275" s="15" t="s">
        <v>492</v>
      </c>
      <c r="N275" s="13" t="s">
        <v>101</v>
      </c>
      <c r="O275" s="15" t="s">
        <v>102</v>
      </c>
      <c r="P275" s="15" t="s">
        <v>103</v>
      </c>
      <c r="Q275" s="15" t="s">
        <v>177</v>
      </c>
      <c r="R275" s="13" t="s">
        <v>178</v>
      </c>
      <c r="S275" s="13" t="s">
        <v>179</v>
      </c>
      <c r="T275" s="13" t="s">
        <v>112</v>
      </c>
      <c r="U275" s="14">
        <v>40725</v>
      </c>
      <c r="V275" s="14">
        <v>44633</v>
      </c>
      <c r="W275" s="15"/>
      <c r="X275" s="13"/>
      <c r="Y275" s="15"/>
      <c r="Z275" s="13"/>
      <c r="AA275" s="15"/>
      <c r="AB275" s="13"/>
      <c r="AC275" s="15"/>
      <c r="AD275" s="13"/>
      <c r="AE275" s="15"/>
      <c r="AF275" s="13"/>
      <c r="AG275" s="15"/>
      <c r="AH275" s="13"/>
      <c r="AI275" s="15"/>
      <c r="AJ275" s="13"/>
      <c r="AK275" s="15"/>
      <c r="AL275" s="13"/>
      <c r="AM275" s="15"/>
      <c r="AN275" s="13"/>
      <c r="AO275" s="13"/>
    </row>
    <row r="276" spans="1:41" ht="43.5" x14ac:dyDescent="0.35">
      <c r="A276" s="13" t="s">
        <v>165</v>
      </c>
      <c r="B276" s="13" t="s">
        <v>77</v>
      </c>
      <c r="C276" s="14">
        <v>44715.478472222225</v>
      </c>
      <c r="D276" s="13" t="s">
        <v>78</v>
      </c>
      <c r="E276" s="15" t="s">
        <v>79</v>
      </c>
      <c r="F276" s="13" t="s">
        <v>80</v>
      </c>
      <c r="G276" s="15" t="s">
        <v>81</v>
      </c>
      <c r="H276" s="13" t="s">
        <v>483</v>
      </c>
      <c r="I276" s="15" t="s">
        <v>484</v>
      </c>
      <c r="J276" s="15" t="s">
        <v>485</v>
      </c>
      <c r="K276" s="15" t="s">
        <v>486</v>
      </c>
      <c r="L276" s="13" t="s">
        <v>491</v>
      </c>
      <c r="M276" s="15" t="s">
        <v>492</v>
      </c>
      <c r="N276" s="13" t="s">
        <v>101</v>
      </c>
      <c r="O276" s="15" t="s">
        <v>102</v>
      </c>
      <c r="P276" s="15" t="s">
        <v>103</v>
      </c>
      <c r="Q276" s="15" t="s">
        <v>177</v>
      </c>
      <c r="R276" s="13" t="s">
        <v>178</v>
      </c>
      <c r="S276" s="13" t="s">
        <v>179</v>
      </c>
      <c r="T276" s="13" t="s">
        <v>112</v>
      </c>
      <c r="U276" s="14">
        <v>44634</v>
      </c>
      <c r="V276" s="14"/>
      <c r="W276" s="15"/>
      <c r="X276" s="13"/>
      <c r="Y276" s="15"/>
      <c r="Z276" s="13"/>
      <c r="AA276" s="15"/>
      <c r="AB276" s="13"/>
      <c r="AC276" s="15"/>
      <c r="AD276" s="13"/>
      <c r="AE276" s="15"/>
      <c r="AF276" s="13"/>
      <c r="AG276" s="15"/>
      <c r="AH276" s="13"/>
      <c r="AI276" s="15"/>
      <c r="AJ276" s="13"/>
      <c r="AK276" s="15"/>
      <c r="AL276" s="13"/>
      <c r="AM276" s="15"/>
      <c r="AN276" s="13"/>
      <c r="AO276" s="13"/>
    </row>
    <row r="277" spans="1:41" ht="72.5" x14ac:dyDescent="0.35">
      <c r="A277" s="13" t="s">
        <v>165</v>
      </c>
      <c r="B277" s="13" t="s">
        <v>109</v>
      </c>
      <c r="C277" s="14">
        <v>44715.458333333336</v>
      </c>
      <c r="D277" s="13" t="s">
        <v>78</v>
      </c>
      <c r="E277" s="15" t="s">
        <v>79</v>
      </c>
      <c r="F277" s="13" t="s">
        <v>80</v>
      </c>
      <c r="G277" s="15" t="s">
        <v>81</v>
      </c>
      <c r="H277" s="13" t="s">
        <v>483</v>
      </c>
      <c r="I277" s="15" t="s">
        <v>484</v>
      </c>
      <c r="J277" s="15" t="s">
        <v>485</v>
      </c>
      <c r="K277" s="15" t="s">
        <v>486</v>
      </c>
      <c r="L277" s="13" t="s">
        <v>487</v>
      </c>
      <c r="M277" s="15" t="s">
        <v>488</v>
      </c>
      <c r="N277" s="13" t="s">
        <v>88</v>
      </c>
      <c r="O277" s="15" t="s">
        <v>89</v>
      </c>
      <c r="P277" s="15" t="s">
        <v>90</v>
      </c>
      <c r="Q277" s="15" t="s">
        <v>201</v>
      </c>
      <c r="R277" s="13" t="s">
        <v>202</v>
      </c>
      <c r="S277" s="13" t="s">
        <v>179</v>
      </c>
      <c r="T277" s="13" t="s">
        <v>112</v>
      </c>
      <c r="U277" s="14">
        <v>40725</v>
      </c>
      <c r="V277" s="14">
        <v>44633</v>
      </c>
      <c r="W277" s="15"/>
      <c r="X277" s="13"/>
      <c r="Y277" s="15"/>
      <c r="Z277" s="13"/>
      <c r="AA277" s="15"/>
      <c r="AB277" s="13"/>
      <c r="AC277" s="15"/>
      <c r="AD277" s="13"/>
      <c r="AE277" s="15"/>
      <c r="AF277" s="13"/>
      <c r="AG277" s="15"/>
      <c r="AH277" s="13"/>
      <c r="AI277" s="15"/>
      <c r="AJ277" s="13"/>
      <c r="AK277" s="15"/>
      <c r="AL277" s="13"/>
      <c r="AM277" s="15"/>
      <c r="AN277" s="13"/>
      <c r="AO277" s="13"/>
    </row>
    <row r="278" spans="1:41" ht="72.5" x14ac:dyDescent="0.35">
      <c r="A278" s="13" t="s">
        <v>165</v>
      </c>
      <c r="B278" s="13" t="s">
        <v>77</v>
      </c>
      <c r="C278" s="14">
        <v>44715.459027777775</v>
      </c>
      <c r="D278" s="13" t="s">
        <v>78</v>
      </c>
      <c r="E278" s="15" t="s">
        <v>79</v>
      </c>
      <c r="F278" s="13" t="s">
        <v>80</v>
      </c>
      <c r="G278" s="15" t="s">
        <v>81</v>
      </c>
      <c r="H278" s="13" t="s">
        <v>483</v>
      </c>
      <c r="I278" s="15" t="s">
        <v>484</v>
      </c>
      <c r="J278" s="15" t="s">
        <v>485</v>
      </c>
      <c r="K278" s="15" t="s">
        <v>486</v>
      </c>
      <c r="L278" s="13" t="s">
        <v>487</v>
      </c>
      <c r="M278" s="15" t="s">
        <v>488</v>
      </c>
      <c r="N278" s="13" t="s">
        <v>88</v>
      </c>
      <c r="O278" s="15" t="s">
        <v>89</v>
      </c>
      <c r="P278" s="15" t="s">
        <v>90</v>
      </c>
      <c r="Q278" s="15" t="s">
        <v>201</v>
      </c>
      <c r="R278" s="13" t="s">
        <v>202</v>
      </c>
      <c r="S278" s="13" t="s">
        <v>179</v>
      </c>
      <c r="T278" s="13" t="s">
        <v>112</v>
      </c>
      <c r="U278" s="14">
        <v>44634</v>
      </c>
      <c r="V278" s="14"/>
      <c r="W278" s="15"/>
      <c r="X278" s="13"/>
      <c r="Y278" s="15"/>
      <c r="Z278" s="13"/>
      <c r="AA278" s="15"/>
      <c r="AB278" s="13"/>
      <c r="AC278" s="15"/>
      <c r="AD278" s="13"/>
      <c r="AE278" s="15"/>
      <c r="AF278" s="13"/>
      <c r="AG278" s="15"/>
      <c r="AH278" s="13"/>
      <c r="AI278" s="15"/>
      <c r="AJ278" s="13"/>
      <c r="AK278" s="15"/>
      <c r="AL278" s="13"/>
      <c r="AM278" s="15"/>
      <c r="AN278" s="13"/>
      <c r="AO278" s="13"/>
    </row>
    <row r="279" spans="1:41" ht="72.5" x14ac:dyDescent="0.35">
      <c r="A279" s="13" t="s">
        <v>165</v>
      </c>
      <c r="B279" s="13" t="s">
        <v>109</v>
      </c>
      <c r="C279" s="14">
        <v>44715.463194444441</v>
      </c>
      <c r="D279" s="13" t="s">
        <v>78</v>
      </c>
      <c r="E279" s="15" t="s">
        <v>79</v>
      </c>
      <c r="F279" s="13" t="s">
        <v>80</v>
      </c>
      <c r="G279" s="15" t="s">
        <v>81</v>
      </c>
      <c r="H279" s="13" t="s">
        <v>483</v>
      </c>
      <c r="I279" s="15" t="s">
        <v>484</v>
      </c>
      <c r="J279" s="15" t="s">
        <v>485</v>
      </c>
      <c r="K279" s="15" t="s">
        <v>486</v>
      </c>
      <c r="L279" s="13" t="s">
        <v>489</v>
      </c>
      <c r="M279" s="15" t="s">
        <v>490</v>
      </c>
      <c r="N279" s="13" t="s">
        <v>88</v>
      </c>
      <c r="O279" s="15" t="s">
        <v>97</v>
      </c>
      <c r="P279" s="15" t="s">
        <v>98</v>
      </c>
      <c r="Q279" s="15" t="s">
        <v>201</v>
      </c>
      <c r="R279" s="13" t="s">
        <v>202</v>
      </c>
      <c r="S279" s="13" t="s">
        <v>179</v>
      </c>
      <c r="T279" s="13" t="s">
        <v>112</v>
      </c>
      <c r="U279" s="14">
        <v>40725</v>
      </c>
      <c r="V279" s="14">
        <v>44633</v>
      </c>
      <c r="W279" s="15"/>
      <c r="X279" s="13"/>
      <c r="Y279" s="15"/>
      <c r="Z279" s="13"/>
      <c r="AA279" s="15"/>
      <c r="AB279" s="13"/>
      <c r="AC279" s="15"/>
      <c r="AD279" s="13"/>
      <c r="AE279" s="15"/>
      <c r="AF279" s="13"/>
      <c r="AG279" s="15"/>
      <c r="AH279" s="13"/>
      <c r="AI279" s="15"/>
      <c r="AJ279" s="13"/>
      <c r="AK279" s="15"/>
      <c r="AL279" s="13"/>
      <c r="AM279" s="15"/>
      <c r="AN279" s="13"/>
      <c r="AO279" s="13"/>
    </row>
    <row r="280" spans="1:41" ht="72.5" x14ac:dyDescent="0.35">
      <c r="A280" s="13" t="s">
        <v>165</v>
      </c>
      <c r="B280" s="13" t="s">
        <v>77</v>
      </c>
      <c r="C280" s="14">
        <v>44715.466666666667</v>
      </c>
      <c r="D280" s="13" t="s">
        <v>78</v>
      </c>
      <c r="E280" s="15" t="s">
        <v>79</v>
      </c>
      <c r="F280" s="13" t="s">
        <v>80</v>
      </c>
      <c r="G280" s="15" t="s">
        <v>81</v>
      </c>
      <c r="H280" s="13" t="s">
        <v>483</v>
      </c>
      <c r="I280" s="15" t="s">
        <v>484</v>
      </c>
      <c r="J280" s="15" t="s">
        <v>485</v>
      </c>
      <c r="K280" s="15" t="s">
        <v>486</v>
      </c>
      <c r="L280" s="13" t="s">
        <v>489</v>
      </c>
      <c r="M280" s="15" t="s">
        <v>490</v>
      </c>
      <c r="N280" s="13" t="s">
        <v>88</v>
      </c>
      <c r="O280" s="15" t="s">
        <v>97</v>
      </c>
      <c r="P280" s="15" t="s">
        <v>98</v>
      </c>
      <c r="Q280" s="15" t="s">
        <v>201</v>
      </c>
      <c r="R280" s="13" t="s">
        <v>202</v>
      </c>
      <c r="S280" s="13" t="s">
        <v>179</v>
      </c>
      <c r="T280" s="13" t="s">
        <v>112</v>
      </c>
      <c r="U280" s="14">
        <v>44634</v>
      </c>
      <c r="V280" s="14"/>
      <c r="W280" s="15"/>
      <c r="X280" s="13"/>
      <c r="Y280" s="15"/>
      <c r="Z280" s="13"/>
      <c r="AA280" s="15"/>
      <c r="AB280" s="13"/>
      <c r="AC280" s="15"/>
      <c r="AD280" s="13"/>
      <c r="AE280" s="15"/>
      <c r="AF280" s="13"/>
      <c r="AG280" s="15"/>
      <c r="AH280" s="13"/>
      <c r="AI280" s="15"/>
      <c r="AJ280" s="13"/>
      <c r="AK280" s="15"/>
      <c r="AL280" s="13"/>
      <c r="AM280" s="15"/>
      <c r="AN280" s="13"/>
      <c r="AO280" s="13"/>
    </row>
    <row r="281" spans="1:41" ht="58" x14ac:dyDescent="0.35">
      <c r="A281" s="13" t="s">
        <v>165</v>
      </c>
      <c r="B281" s="13" t="s">
        <v>109</v>
      </c>
      <c r="C281" s="14">
        <v>44715.470138888886</v>
      </c>
      <c r="D281" s="13" t="s">
        <v>78</v>
      </c>
      <c r="E281" s="15" t="s">
        <v>79</v>
      </c>
      <c r="F281" s="13" t="s">
        <v>80</v>
      </c>
      <c r="G281" s="15" t="s">
        <v>81</v>
      </c>
      <c r="H281" s="13" t="s">
        <v>483</v>
      </c>
      <c r="I281" s="15" t="s">
        <v>484</v>
      </c>
      <c r="J281" s="15" t="s">
        <v>485</v>
      </c>
      <c r="K281" s="15" t="s">
        <v>486</v>
      </c>
      <c r="L281" s="13" t="s">
        <v>491</v>
      </c>
      <c r="M281" s="15" t="s">
        <v>492</v>
      </c>
      <c r="N281" s="13" t="s">
        <v>101</v>
      </c>
      <c r="O281" s="15" t="s">
        <v>102</v>
      </c>
      <c r="P281" s="15" t="s">
        <v>103</v>
      </c>
      <c r="Q281" s="15" t="s">
        <v>201</v>
      </c>
      <c r="R281" s="13" t="s">
        <v>202</v>
      </c>
      <c r="S281" s="13" t="s">
        <v>179</v>
      </c>
      <c r="T281" s="13" t="s">
        <v>112</v>
      </c>
      <c r="U281" s="14">
        <v>40725</v>
      </c>
      <c r="V281" s="14">
        <v>44633</v>
      </c>
      <c r="W281" s="15"/>
      <c r="X281" s="13"/>
      <c r="Y281" s="15"/>
      <c r="Z281" s="13"/>
      <c r="AA281" s="15"/>
      <c r="AB281" s="13"/>
      <c r="AC281" s="15"/>
      <c r="AD281" s="13"/>
      <c r="AE281" s="15"/>
      <c r="AF281" s="13"/>
      <c r="AG281" s="15"/>
      <c r="AH281" s="13"/>
      <c r="AI281" s="15"/>
      <c r="AJ281" s="13"/>
      <c r="AK281" s="15"/>
      <c r="AL281" s="13"/>
      <c r="AM281" s="15"/>
      <c r="AN281" s="13"/>
      <c r="AO281" s="13"/>
    </row>
    <row r="282" spans="1:41" ht="58" x14ac:dyDescent="0.35">
      <c r="A282" s="13" t="s">
        <v>165</v>
      </c>
      <c r="B282" s="13" t="s">
        <v>77</v>
      </c>
      <c r="C282" s="14">
        <v>44715.477777777778</v>
      </c>
      <c r="D282" s="13" t="s">
        <v>78</v>
      </c>
      <c r="E282" s="15" t="s">
        <v>79</v>
      </c>
      <c r="F282" s="13" t="s">
        <v>80</v>
      </c>
      <c r="G282" s="15" t="s">
        <v>81</v>
      </c>
      <c r="H282" s="13" t="s">
        <v>483</v>
      </c>
      <c r="I282" s="15" t="s">
        <v>484</v>
      </c>
      <c r="J282" s="15" t="s">
        <v>485</v>
      </c>
      <c r="K282" s="15" t="s">
        <v>486</v>
      </c>
      <c r="L282" s="13" t="s">
        <v>491</v>
      </c>
      <c r="M282" s="15" t="s">
        <v>492</v>
      </c>
      <c r="N282" s="13" t="s">
        <v>101</v>
      </c>
      <c r="O282" s="15" t="s">
        <v>102</v>
      </c>
      <c r="P282" s="15" t="s">
        <v>103</v>
      </c>
      <c r="Q282" s="15" t="s">
        <v>201</v>
      </c>
      <c r="R282" s="13" t="s">
        <v>202</v>
      </c>
      <c r="S282" s="13" t="s">
        <v>179</v>
      </c>
      <c r="T282" s="13" t="s">
        <v>112</v>
      </c>
      <c r="U282" s="14">
        <v>44634</v>
      </c>
      <c r="V282" s="14"/>
      <c r="W282" s="15"/>
      <c r="X282" s="13"/>
      <c r="Y282" s="15"/>
      <c r="Z282" s="13"/>
      <c r="AA282" s="15"/>
      <c r="AB282" s="13"/>
      <c r="AC282" s="15"/>
      <c r="AD282" s="13"/>
      <c r="AE282" s="15"/>
      <c r="AF282" s="13"/>
      <c r="AG282" s="15"/>
      <c r="AH282" s="13"/>
      <c r="AI282" s="15"/>
      <c r="AJ282" s="13"/>
      <c r="AK282" s="15"/>
      <c r="AL282" s="13"/>
      <c r="AM282" s="15"/>
      <c r="AN282" s="13"/>
      <c r="AO282" s="13"/>
    </row>
    <row r="283" spans="1:41" ht="43.5" x14ac:dyDescent="0.35">
      <c r="A283" s="13" t="s">
        <v>76</v>
      </c>
      <c r="B283" s="13" t="s">
        <v>77</v>
      </c>
      <c r="C283" s="14">
        <v>43152.5</v>
      </c>
      <c r="D283" s="13" t="s">
        <v>78</v>
      </c>
      <c r="E283" s="15" t="s">
        <v>79</v>
      </c>
      <c r="F283" s="13" t="s">
        <v>80</v>
      </c>
      <c r="G283" s="15" t="s">
        <v>81</v>
      </c>
      <c r="H283" s="13" t="s">
        <v>560</v>
      </c>
      <c r="I283" s="15" t="s">
        <v>561</v>
      </c>
      <c r="J283" s="15" t="s">
        <v>562</v>
      </c>
      <c r="K283" s="15" t="s">
        <v>563</v>
      </c>
      <c r="L283" s="13" t="s">
        <v>564</v>
      </c>
      <c r="M283" s="15" t="s">
        <v>565</v>
      </c>
      <c r="N283" s="13" t="s">
        <v>379</v>
      </c>
      <c r="O283" s="15"/>
      <c r="P283" s="15"/>
      <c r="Q283" s="15" t="s">
        <v>91</v>
      </c>
      <c r="R283" s="13" t="s">
        <v>92</v>
      </c>
      <c r="S283" s="13" t="s">
        <v>93</v>
      </c>
      <c r="T283" s="13" t="s">
        <v>94</v>
      </c>
      <c r="U283" s="14">
        <v>40725</v>
      </c>
      <c r="V283" s="14"/>
      <c r="W283" s="15"/>
      <c r="X283" s="13"/>
      <c r="Y283" s="15"/>
      <c r="Z283" s="13"/>
      <c r="AA283" s="15"/>
      <c r="AB283" s="13"/>
      <c r="AC283" s="15"/>
      <c r="AD283" s="13"/>
      <c r="AE283" s="15"/>
      <c r="AF283" s="13"/>
      <c r="AG283" s="15"/>
      <c r="AH283" s="13"/>
      <c r="AI283" s="15"/>
      <c r="AJ283" s="13"/>
      <c r="AK283" s="15"/>
      <c r="AL283" s="13"/>
      <c r="AM283" s="15"/>
      <c r="AN283" s="13"/>
      <c r="AO283" s="13"/>
    </row>
    <row r="284" spans="1:41" ht="43.5" x14ac:dyDescent="0.35">
      <c r="A284" s="13" t="s">
        <v>76</v>
      </c>
      <c r="B284" s="13" t="s">
        <v>77</v>
      </c>
      <c r="C284" s="14">
        <v>43152.5</v>
      </c>
      <c r="D284" s="13" t="s">
        <v>78</v>
      </c>
      <c r="E284" s="15" t="s">
        <v>79</v>
      </c>
      <c r="F284" s="13" t="s">
        <v>80</v>
      </c>
      <c r="G284" s="15" t="s">
        <v>81</v>
      </c>
      <c r="H284" s="13" t="s">
        <v>560</v>
      </c>
      <c r="I284" s="15" t="s">
        <v>561</v>
      </c>
      <c r="J284" s="15" t="s">
        <v>562</v>
      </c>
      <c r="K284" s="15" t="s">
        <v>563</v>
      </c>
      <c r="L284" s="13" t="s">
        <v>566</v>
      </c>
      <c r="M284" s="15" t="s">
        <v>567</v>
      </c>
      <c r="N284" s="13" t="s">
        <v>101</v>
      </c>
      <c r="O284" s="15"/>
      <c r="P284" s="15"/>
      <c r="Q284" s="15" t="s">
        <v>91</v>
      </c>
      <c r="R284" s="13" t="s">
        <v>92</v>
      </c>
      <c r="S284" s="13" t="s">
        <v>93</v>
      </c>
      <c r="T284" s="13" t="s">
        <v>94</v>
      </c>
      <c r="U284" s="14">
        <v>40725</v>
      </c>
      <c r="V284" s="14"/>
      <c r="W284" s="15"/>
      <c r="X284" s="13"/>
      <c r="Y284" s="15"/>
      <c r="Z284" s="13"/>
      <c r="AA284" s="15"/>
      <c r="AB284" s="13"/>
      <c r="AC284" s="15"/>
      <c r="AD284" s="13"/>
      <c r="AE284" s="15"/>
      <c r="AF284" s="13"/>
      <c r="AG284" s="15"/>
      <c r="AH284" s="13"/>
      <c r="AI284" s="15"/>
      <c r="AJ284" s="13"/>
      <c r="AK284" s="15"/>
      <c r="AL284" s="13"/>
      <c r="AM284" s="15"/>
      <c r="AN284" s="13"/>
      <c r="AO284" s="13"/>
    </row>
    <row r="285" spans="1:41" ht="43.5" x14ac:dyDescent="0.35">
      <c r="A285" s="13" t="s">
        <v>76</v>
      </c>
      <c r="B285" s="13" t="s">
        <v>77</v>
      </c>
      <c r="C285" s="14">
        <v>43152.5</v>
      </c>
      <c r="D285" s="13" t="s">
        <v>78</v>
      </c>
      <c r="E285" s="15" t="s">
        <v>79</v>
      </c>
      <c r="F285" s="13" t="s">
        <v>80</v>
      </c>
      <c r="G285" s="15" t="s">
        <v>81</v>
      </c>
      <c r="H285" s="13" t="s">
        <v>560</v>
      </c>
      <c r="I285" s="15" t="s">
        <v>561</v>
      </c>
      <c r="J285" s="15" t="s">
        <v>562</v>
      </c>
      <c r="K285" s="15" t="s">
        <v>563</v>
      </c>
      <c r="L285" s="13" t="s">
        <v>564</v>
      </c>
      <c r="M285" s="15" t="s">
        <v>565</v>
      </c>
      <c r="N285" s="13" t="s">
        <v>379</v>
      </c>
      <c r="O285" s="15"/>
      <c r="P285" s="15"/>
      <c r="Q285" s="15" t="s">
        <v>104</v>
      </c>
      <c r="R285" s="13" t="s">
        <v>105</v>
      </c>
      <c r="S285" s="13" t="s">
        <v>93</v>
      </c>
      <c r="T285" s="13" t="s">
        <v>94</v>
      </c>
      <c r="U285" s="14">
        <v>40725</v>
      </c>
      <c r="V285" s="14"/>
      <c r="W285" s="15"/>
      <c r="X285" s="13"/>
      <c r="Y285" s="15"/>
      <c r="Z285" s="13"/>
      <c r="AA285" s="15"/>
      <c r="AB285" s="13"/>
      <c r="AC285" s="15"/>
      <c r="AD285" s="13"/>
      <c r="AE285" s="15"/>
      <c r="AF285" s="13"/>
      <c r="AG285" s="15"/>
      <c r="AH285" s="13"/>
      <c r="AI285" s="15"/>
      <c r="AJ285" s="13"/>
      <c r="AK285" s="15"/>
      <c r="AL285" s="13"/>
      <c r="AM285" s="15"/>
      <c r="AN285" s="13"/>
      <c r="AO285" s="13"/>
    </row>
    <row r="286" spans="1:41" ht="43.5" x14ac:dyDescent="0.35">
      <c r="A286" s="13" t="s">
        <v>76</v>
      </c>
      <c r="B286" s="13" t="s">
        <v>77</v>
      </c>
      <c r="C286" s="14">
        <v>43152.5</v>
      </c>
      <c r="D286" s="13" t="s">
        <v>78</v>
      </c>
      <c r="E286" s="15" t="s">
        <v>79</v>
      </c>
      <c r="F286" s="13" t="s">
        <v>80</v>
      </c>
      <c r="G286" s="15" t="s">
        <v>81</v>
      </c>
      <c r="H286" s="13" t="s">
        <v>560</v>
      </c>
      <c r="I286" s="15" t="s">
        <v>561</v>
      </c>
      <c r="J286" s="15" t="s">
        <v>562</v>
      </c>
      <c r="K286" s="15" t="s">
        <v>563</v>
      </c>
      <c r="L286" s="13" t="s">
        <v>566</v>
      </c>
      <c r="M286" s="15" t="s">
        <v>567</v>
      </c>
      <c r="N286" s="13" t="s">
        <v>101</v>
      </c>
      <c r="O286" s="15"/>
      <c r="P286" s="15"/>
      <c r="Q286" s="15" t="s">
        <v>104</v>
      </c>
      <c r="R286" s="13" t="s">
        <v>105</v>
      </c>
      <c r="S286" s="13" t="s">
        <v>93</v>
      </c>
      <c r="T286" s="13" t="s">
        <v>94</v>
      </c>
      <c r="U286" s="14">
        <v>40725</v>
      </c>
      <c r="V286" s="14"/>
      <c r="W286" s="15"/>
      <c r="X286" s="13"/>
      <c r="Y286" s="15"/>
      <c r="Z286" s="13"/>
      <c r="AA286" s="15"/>
      <c r="AB286" s="13"/>
      <c r="AC286" s="15"/>
      <c r="AD286" s="13"/>
      <c r="AE286" s="15"/>
      <c r="AF286" s="13"/>
      <c r="AG286" s="15"/>
      <c r="AH286" s="13"/>
      <c r="AI286" s="15"/>
      <c r="AJ286" s="13"/>
      <c r="AK286" s="15"/>
      <c r="AL286" s="13"/>
      <c r="AM286" s="15"/>
      <c r="AN286" s="13"/>
      <c r="AO286" s="13"/>
    </row>
    <row r="287" spans="1:41" ht="43.5" x14ac:dyDescent="0.35">
      <c r="A287" s="13" t="s">
        <v>76</v>
      </c>
      <c r="B287" s="13" t="s">
        <v>77</v>
      </c>
      <c r="C287" s="14">
        <v>43152.5</v>
      </c>
      <c r="D287" s="13" t="s">
        <v>78</v>
      </c>
      <c r="E287" s="15" t="s">
        <v>79</v>
      </c>
      <c r="F287" s="13" t="s">
        <v>80</v>
      </c>
      <c r="G287" s="15" t="s">
        <v>81</v>
      </c>
      <c r="H287" s="13" t="s">
        <v>560</v>
      </c>
      <c r="I287" s="15" t="s">
        <v>561</v>
      </c>
      <c r="J287" s="15" t="s">
        <v>562</v>
      </c>
      <c r="K287" s="15" t="s">
        <v>563</v>
      </c>
      <c r="L287" s="13" t="s">
        <v>564</v>
      </c>
      <c r="M287" s="15" t="s">
        <v>565</v>
      </c>
      <c r="N287" s="13" t="s">
        <v>379</v>
      </c>
      <c r="O287" s="15"/>
      <c r="P287" s="15"/>
      <c r="Q287" s="15" t="s">
        <v>106</v>
      </c>
      <c r="R287" s="13" t="s">
        <v>107</v>
      </c>
      <c r="S287" s="13" t="s">
        <v>93</v>
      </c>
      <c r="T287" s="13" t="s">
        <v>94</v>
      </c>
      <c r="U287" s="14">
        <v>40725</v>
      </c>
      <c r="V287" s="14"/>
      <c r="W287" s="15"/>
      <c r="X287" s="13"/>
      <c r="Y287" s="15"/>
      <c r="Z287" s="13"/>
      <c r="AA287" s="15"/>
      <c r="AB287" s="13"/>
      <c r="AC287" s="15"/>
      <c r="AD287" s="13"/>
      <c r="AE287" s="15"/>
      <c r="AF287" s="13"/>
      <c r="AG287" s="15"/>
      <c r="AH287" s="13"/>
      <c r="AI287" s="15"/>
      <c r="AJ287" s="13"/>
      <c r="AK287" s="15"/>
      <c r="AL287" s="13"/>
      <c r="AM287" s="15"/>
      <c r="AN287" s="13"/>
      <c r="AO287" s="13"/>
    </row>
    <row r="288" spans="1:41" ht="43.5" x14ac:dyDescent="0.35">
      <c r="A288" s="13" t="s">
        <v>76</v>
      </c>
      <c r="B288" s="13" t="s">
        <v>77</v>
      </c>
      <c r="C288" s="14">
        <v>43152.5</v>
      </c>
      <c r="D288" s="13" t="s">
        <v>78</v>
      </c>
      <c r="E288" s="15" t="s">
        <v>79</v>
      </c>
      <c r="F288" s="13" t="s">
        <v>80</v>
      </c>
      <c r="G288" s="15" t="s">
        <v>81</v>
      </c>
      <c r="H288" s="13" t="s">
        <v>560</v>
      </c>
      <c r="I288" s="15" t="s">
        <v>561</v>
      </c>
      <c r="J288" s="15" t="s">
        <v>562</v>
      </c>
      <c r="K288" s="15" t="s">
        <v>563</v>
      </c>
      <c r="L288" s="13" t="s">
        <v>566</v>
      </c>
      <c r="M288" s="15" t="s">
        <v>567</v>
      </c>
      <c r="N288" s="13" t="s">
        <v>101</v>
      </c>
      <c r="O288" s="15"/>
      <c r="P288" s="15"/>
      <c r="Q288" s="15" t="s">
        <v>106</v>
      </c>
      <c r="R288" s="13" t="s">
        <v>107</v>
      </c>
      <c r="S288" s="13" t="s">
        <v>93</v>
      </c>
      <c r="T288" s="13" t="s">
        <v>94</v>
      </c>
      <c r="U288" s="14">
        <v>40725</v>
      </c>
      <c r="V288" s="14"/>
      <c r="W288" s="15"/>
      <c r="X288" s="13"/>
      <c r="Y288" s="15"/>
      <c r="Z288" s="13"/>
      <c r="AA288" s="15"/>
      <c r="AB288" s="13"/>
      <c r="AC288" s="15"/>
      <c r="AD288" s="13"/>
      <c r="AE288" s="15"/>
      <c r="AF288" s="13"/>
      <c r="AG288" s="15"/>
      <c r="AH288" s="13"/>
      <c r="AI288" s="15"/>
      <c r="AJ288" s="13"/>
      <c r="AK288" s="15"/>
      <c r="AL288" s="13"/>
      <c r="AM288" s="15"/>
      <c r="AN288" s="13"/>
      <c r="AO288" s="13"/>
    </row>
    <row r="289" spans="1:41" ht="43.5" x14ac:dyDescent="0.35">
      <c r="A289" s="13" t="s">
        <v>76</v>
      </c>
      <c r="B289" s="13" t="s">
        <v>77</v>
      </c>
      <c r="C289" s="14">
        <v>43152.5</v>
      </c>
      <c r="D289" s="13" t="s">
        <v>78</v>
      </c>
      <c r="E289" s="15" t="s">
        <v>79</v>
      </c>
      <c r="F289" s="13" t="s">
        <v>80</v>
      </c>
      <c r="G289" s="15" t="s">
        <v>81</v>
      </c>
      <c r="H289" s="13" t="s">
        <v>560</v>
      </c>
      <c r="I289" s="15" t="s">
        <v>561</v>
      </c>
      <c r="J289" s="15" t="s">
        <v>562</v>
      </c>
      <c r="K289" s="15" t="s">
        <v>563</v>
      </c>
      <c r="L289" s="13" t="s">
        <v>564</v>
      </c>
      <c r="M289" s="15" t="s">
        <v>565</v>
      </c>
      <c r="N289" s="13" t="s">
        <v>379</v>
      </c>
      <c r="O289" s="15"/>
      <c r="P289" s="15"/>
      <c r="Q289" s="15" t="s">
        <v>110</v>
      </c>
      <c r="R289" s="13" t="s">
        <v>111</v>
      </c>
      <c r="S289" s="13" t="s">
        <v>93</v>
      </c>
      <c r="T289" s="13" t="s">
        <v>94</v>
      </c>
      <c r="U289" s="14">
        <v>41518</v>
      </c>
      <c r="V289" s="14"/>
      <c r="W289" s="15"/>
      <c r="X289" s="13"/>
      <c r="Y289" s="15"/>
      <c r="Z289" s="13"/>
      <c r="AA289" s="15"/>
      <c r="AB289" s="13"/>
      <c r="AC289" s="15"/>
      <c r="AD289" s="13"/>
      <c r="AE289" s="15"/>
      <c r="AF289" s="13"/>
      <c r="AG289" s="15"/>
      <c r="AH289" s="13"/>
      <c r="AI289" s="15"/>
      <c r="AJ289" s="13"/>
      <c r="AK289" s="15"/>
      <c r="AL289" s="13"/>
      <c r="AM289" s="15"/>
      <c r="AN289" s="13"/>
      <c r="AO289" s="13"/>
    </row>
    <row r="290" spans="1:41" ht="43.5" x14ac:dyDescent="0.35">
      <c r="A290" s="13" t="s">
        <v>76</v>
      </c>
      <c r="B290" s="13" t="s">
        <v>77</v>
      </c>
      <c r="C290" s="14">
        <v>43152.5</v>
      </c>
      <c r="D290" s="13" t="s">
        <v>78</v>
      </c>
      <c r="E290" s="15" t="s">
        <v>79</v>
      </c>
      <c r="F290" s="13" t="s">
        <v>80</v>
      </c>
      <c r="G290" s="15" t="s">
        <v>81</v>
      </c>
      <c r="H290" s="13" t="s">
        <v>560</v>
      </c>
      <c r="I290" s="15" t="s">
        <v>561</v>
      </c>
      <c r="J290" s="15" t="s">
        <v>562</v>
      </c>
      <c r="K290" s="15" t="s">
        <v>563</v>
      </c>
      <c r="L290" s="13" t="s">
        <v>566</v>
      </c>
      <c r="M290" s="15" t="s">
        <v>567</v>
      </c>
      <c r="N290" s="13" t="s">
        <v>101</v>
      </c>
      <c r="O290" s="15"/>
      <c r="P290" s="15"/>
      <c r="Q290" s="15" t="s">
        <v>110</v>
      </c>
      <c r="R290" s="13" t="s">
        <v>111</v>
      </c>
      <c r="S290" s="13" t="s">
        <v>93</v>
      </c>
      <c r="T290" s="13" t="s">
        <v>94</v>
      </c>
      <c r="U290" s="14">
        <v>41518</v>
      </c>
      <c r="V290" s="14"/>
      <c r="W290" s="15"/>
      <c r="X290" s="13"/>
      <c r="Y290" s="15"/>
      <c r="Z290" s="13"/>
      <c r="AA290" s="15"/>
      <c r="AB290" s="13"/>
      <c r="AC290" s="15"/>
      <c r="AD290" s="13"/>
      <c r="AE290" s="15"/>
      <c r="AF290" s="13"/>
      <c r="AG290" s="15"/>
      <c r="AH290" s="13"/>
      <c r="AI290" s="15"/>
      <c r="AJ290" s="13"/>
      <c r="AK290" s="15"/>
      <c r="AL290" s="13"/>
      <c r="AM290" s="15"/>
      <c r="AN290" s="13"/>
      <c r="AO290" s="13"/>
    </row>
    <row r="291" spans="1:41" ht="43.5" x14ac:dyDescent="0.35">
      <c r="A291" s="13" t="s">
        <v>76</v>
      </c>
      <c r="B291" s="13" t="s">
        <v>77</v>
      </c>
      <c r="C291" s="14">
        <v>43152.5</v>
      </c>
      <c r="D291" s="13" t="s">
        <v>78</v>
      </c>
      <c r="E291" s="15" t="s">
        <v>79</v>
      </c>
      <c r="F291" s="13" t="s">
        <v>80</v>
      </c>
      <c r="G291" s="15" t="s">
        <v>81</v>
      </c>
      <c r="H291" s="13" t="s">
        <v>560</v>
      </c>
      <c r="I291" s="15" t="s">
        <v>561</v>
      </c>
      <c r="J291" s="15" t="s">
        <v>562</v>
      </c>
      <c r="K291" s="15" t="s">
        <v>563</v>
      </c>
      <c r="L291" s="13" t="s">
        <v>564</v>
      </c>
      <c r="M291" s="15" t="s">
        <v>565</v>
      </c>
      <c r="N291" s="13" t="s">
        <v>379</v>
      </c>
      <c r="O291" s="15"/>
      <c r="P291" s="15"/>
      <c r="Q291" s="15" t="s">
        <v>175</v>
      </c>
      <c r="R291" s="13" t="s">
        <v>176</v>
      </c>
      <c r="S291" s="13" t="s">
        <v>93</v>
      </c>
      <c r="T291" s="13" t="s">
        <v>94</v>
      </c>
      <c r="U291" s="14">
        <v>40725</v>
      </c>
      <c r="V291" s="14"/>
      <c r="W291" s="15"/>
      <c r="X291" s="13"/>
      <c r="Y291" s="15"/>
      <c r="Z291" s="13"/>
      <c r="AA291" s="15"/>
      <c r="AB291" s="13"/>
      <c r="AC291" s="15"/>
      <c r="AD291" s="13"/>
      <c r="AE291" s="15"/>
      <c r="AF291" s="13"/>
      <c r="AG291" s="15"/>
      <c r="AH291" s="13"/>
      <c r="AI291" s="15"/>
      <c r="AJ291" s="13"/>
      <c r="AK291" s="15"/>
      <c r="AL291" s="13"/>
      <c r="AM291" s="15"/>
      <c r="AN291" s="13"/>
      <c r="AO291" s="13"/>
    </row>
    <row r="292" spans="1:41" ht="43.5" x14ac:dyDescent="0.35">
      <c r="A292" s="13" t="s">
        <v>76</v>
      </c>
      <c r="B292" s="13" t="s">
        <v>77</v>
      </c>
      <c r="C292" s="14">
        <v>43152.5</v>
      </c>
      <c r="D292" s="13" t="s">
        <v>78</v>
      </c>
      <c r="E292" s="15" t="s">
        <v>79</v>
      </c>
      <c r="F292" s="13" t="s">
        <v>80</v>
      </c>
      <c r="G292" s="15" t="s">
        <v>81</v>
      </c>
      <c r="H292" s="13" t="s">
        <v>560</v>
      </c>
      <c r="I292" s="15" t="s">
        <v>561</v>
      </c>
      <c r="J292" s="15" t="s">
        <v>562</v>
      </c>
      <c r="K292" s="15" t="s">
        <v>563</v>
      </c>
      <c r="L292" s="13" t="s">
        <v>566</v>
      </c>
      <c r="M292" s="15" t="s">
        <v>567</v>
      </c>
      <c r="N292" s="13" t="s">
        <v>101</v>
      </c>
      <c r="O292" s="15"/>
      <c r="P292" s="15"/>
      <c r="Q292" s="15" t="s">
        <v>175</v>
      </c>
      <c r="R292" s="13" t="s">
        <v>176</v>
      </c>
      <c r="S292" s="13" t="s">
        <v>93</v>
      </c>
      <c r="T292" s="13" t="s">
        <v>94</v>
      </c>
      <c r="U292" s="14">
        <v>40725</v>
      </c>
      <c r="V292" s="14"/>
      <c r="W292" s="15"/>
      <c r="X292" s="13"/>
      <c r="Y292" s="15"/>
      <c r="Z292" s="13"/>
      <c r="AA292" s="15"/>
      <c r="AB292" s="13"/>
      <c r="AC292" s="15"/>
      <c r="AD292" s="13"/>
      <c r="AE292" s="15"/>
      <c r="AF292" s="13"/>
      <c r="AG292" s="15"/>
      <c r="AH292" s="13"/>
      <c r="AI292" s="15"/>
      <c r="AJ292" s="13"/>
      <c r="AK292" s="15"/>
      <c r="AL292" s="13"/>
      <c r="AM292" s="15"/>
      <c r="AN292" s="13"/>
      <c r="AO292" s="13"/>
    </row>
    <row r="293" spans="1:41" ht="43.5" x14ac:dyDescent="0.35">
      <c r="A293" s="13" t="s">
        <v>238</v>
      </c>
      <c r="B293" s="13" t="s">
        <v>109</v>
      </c>
      <c r="C293" s="14">
        <v>44368.708333333336</v>
      </c>
      <c r="D293" s="13" t="s">
        <v>78</v>
      </c>
      <c r="E293" s="15" t="s">
        <v>79</v>
      </c>
      <c r="F293" s="13" t="s">
        <v>80</v>
      </c>
      <c r="G293" s="15" t="s">
        <v>81</v>
      </c>
      <c r="H293" s="13" t="s">
        <v>560</v>
      </c>
      <c r="I293" s="15" t="s">
        <v>561</v>
      </c>
      <c r="J293" s="15" t="s">
        <v>562</v>
      </c>
      <c r="K293" s="15" t="s">
        <v>563</v>
      </c>
      <c r="L293" s="13" t="s">
        <v>564</v>
      </c>
      <c r="M293" s="15" t="s">
        <v>565</v>
      </c>
      <c r="N293" s="13" t="s">
        <v>379</v>
      </c>
      <c r="O293" s="15"/>
      <c r="P293" s="15"/>
      <c r="Q293" s="15" t="s">
        <v>382</v>
      </c>
      <c r="R293" s="13" t="s">
        <v>383</v>
      </c>
      <c r="S293" s="13" t="s">
        <v>179</v>
      </c>
      <c r="T293" s="13" t="s">
        <v>112</v>
      </c>
      <c r="U293" s="14">
        <v>41518</v>
      </c>
      <c r="V293" s="14"/>
      <c r="W293" s="15"/>
      <c r="X293" s="13"/>
      <c r="Y293" s="15"/>
      <c r="Z293" s="13"/>
      <c r="AA293" s="15"/>
      <c r="AB293" s="13"/>
      <c r="AC293" s="15"/>
      <c r="AD293" s="13"/>
      <c r="AE293" s="15"/>
      <c r="AF293" s="13"/>
      <c r="AG293" s="15"/>
      <c r="AH293" s="13"/>
      <c r="AI293" s="15"/>
      <c r="AJ293" s="13"/>
      <c r="AK293" s="15"/>
      <c r="AL293" s="13"/>
      <c r="AM293" s="15"/>
      <c r="AN293" s="13"/>
      <c r="AO293" s="13"/>
    </row>
    <row r="294" spans="1:41" ht="43.5" x14ac:dyDescent="0.35">
      <c r="A294" s="13" t="s">
        <v>238</v>
      </c>
      <c r="B294" s="13" t="s">
        <v>109</v>
      </c>
      <c r="C294" s="14">
        <v>44368.708333333336</v>
      </c>
      <c r="D294" s="13" t="s">
        <v>78</v>
      </c>
      <c r="E294" s="15" t="s">
        <v>79</v>
      </c>
      <c r="F294" s="13" t="s">
        <v>80</v>
      </c>
      <c r="G294" s="15" t="s">
        <v>81</v>
      </c>
      <c r="H294" s="13" t="s">
        <v>560</v>
      </c>
      <c r="I294" s="15" t="s">
        <v>561</v>
      </c>
      <c r="J294" s="15" t="s">
        <v>562</v>
      </c>
      <c r="K294" s="15" t="s">
        <v>563</v>
      </c>
      <c r="L294" s="13" t="s">
        <v>566</v>
      </c>
      <c r="M294" s="15" t="s">
        <v>567</v>
      </c>
      <c r="N294" s="13" t="s">
        <v>101</v>
      </c>
      <c r="O294" s="15"/>
      <c r="P294" s="15"/>
      <c r="Q294" s="15" t="s">
        <v>382</v>
      </c>
      <c r="R294" s="13" t="s">
        <v>383</v>
      </c>
      <c r="S294" s="13" t="s">
        <v>179</v>
      </c>
      <c r="T294" s="13" t="s">
        <v>112</v>
      </c>
      <c r="U294" s="14">
        <v>41518</v>
      </c>
      <c r="V294" s="14"/>
      <c r="W294" s="15"/>
      <c r="X294" s="13"/>
      <c r="Y294" s="15"/>
      <c r="Z294" s="13"/>
      <c r="AA294" s="15"/>
      <c r="AB294" s="13"/>
      <c r="AC294" s="15"/>
      <c r="AD294" s="13"/>
      <c r="AE294" s="15"/>
      <c r="AF294" s="13"/>
      <c r="AG294" s="15"/>
      <c r="AH294" s="13"/>
      <c r="AI294" s="15"/>
      <c r="AJ294" s="13"/>
      <c r="AK294" s="15"/>
      <c r="AL294" s="13"/>
      <c r="AM294" s="15"/>
      <c r="AN294" s="13"/>
      <c r="AO294" s="13"/>
    </row>
    <row r="295" spans="1:41" ht="72.5" x14ac:dyDescent="0.35">
      <c r="A295" s="13" t="s">
        <v>76</v>
      </c>
      <c r="B295" s="13" t="s">
        <v>77</v>
      </c>
      <c r="C295" s="14">
        <v>43152.5</v>
      </c>
      <c r="D295" s="13" t="s">
        <v>78</v>
      </c>
      <c r="E295" s="15" t="s">
        <v>79</v>
      </c>
      <c r="F295" s="13" t="s">
        <v>80</v>
      </c>
      <c r="G295" s="15" t="s">
        <v>81</v>
      </c>
      <c r="H295" s="13" t="s">
        <v>577</v>
      </c>
      <c r="I295" s="15" t="s">
        <v>578</v>
      </c>
      <c r="J295" s="15" t="s">
        <v>579</v>
      </c>
      <c r="K295" s="15" t="s">
        <v>580</v>
      </c>
      <c r="L295" s="13" t="s">
        <v>581</v>
      </c>
      <c r="M295" s="15" t="s">
        <v>582</v>
      </c>
      <c r="N295" s="13" t="s">
        <v>88</v>
      </c>
      <c r="O295" s="15" t="s">
        <v>89</v>
      </c>
      <c r="P295" s="15" t="s">
        <v>583</v>
      </c>
      <c r="Q295" s="15" t="s">
        <v>91</v>
      </c>
      <c r="R295" s="13" t="s">
        <v>92</v>
      </c>
      <c r="S295" s="13" t="s">
        <v>93</v>
      </c>
      <c r="T295" s="13" t="s">
        <v>94</v>
      </c>
      <c r="U295" s="14">
        <v>40725</v>
      </c>
      <c r="V295" s="14"/>
      <c r="W295" s="15"/>
      <c r="X295" s="13"/>
      <c r="Y295" s="15"/>
      <c r="Z295" s="13"/>
      <c r="AA295" s="15"/>
      <c r="AB295" s="13"/>
      <c r="AC295" s="15"/>
      <c r="AD295" s="13"/>
      <c r="AE295" s="15"/>
      <c r="AF295" s="13"/>
      <c r="AG295" s="15"/>
      <c r="AH295" s="13"/>
      <c r="AI295" s="15"/>
      <c r="AJ295" s="13"/>
      <c r="AK295" s="15"/>
      <c r="AL295" s="13"/>
      <c r="AM295" s="15"/>
      <c r="AN295" s="13"/>
      <c r="AO295" s="13"/>
    </row>
    <row r="296" spans="1:41" ht="72.5" x14ac:dyDescent="0.35">
      <c r="A296" s="13" t="s">
        <v>76</v>
      </c>
      <c r="B296" s="13" t="s">
        <v>77</v>
      </c>
      <c r="C296" s="14">
        <v>43152.5</v>
      </c>
      <c r="D296" s="13" t="s">
        <v>78</v>
      </c>
      <c r="E296" s="15" t="s">
        <v>79</v>
      </c>
      <c r="F296" s="13" t="s">
        <v>80</v>
      </c>
      <c r="G296" s="15" t="s">
        <v>81</v>
      </c>
      <c r="H296" s="13" t="s">
        <v>577</v>
      </c>
      <c r="I296" s="15" t="s">
        <v>578</v>
      </c>
      <c r="J296" s="15" t="s">
        <v>579</v>
      </c>
      <c r="K296" s="15" t="s">
        <v>580</v>
      </c>
      <c r="L296" s="13" t="s">
        <v>584</v>
      </c>
      <c r="M296" s="15" t="s">
        <v>585</v>
      </c>
      <c r="N296" s="13" t="s">
        <v>88</v>
      </c>
      <c r="O296" s="15" t="s">
        <v>97</v>
      </c>
      <c r="P296" s="15" t="s">
        <v>586</v>
      </c>
      <c r="Q296" s="15" t="s">
        <v>91</v>
      </c>
      <c r="R296" s="13" t="s">
        <v>92</v>
      </c>
      <c r="S296" s="13" t="s">
        <v>93</v>
      </c>
      <c r="T296" s="13" t="s">
        <v>94</v>
      </c>
      <c r="U296" s="14">
        <v>40725</v>
      </c>
      <c r="V296" s="14"/>
      <c r="W296" s="15"/>
      <c r="X296" s="13"/>
      <c r="Y296" s="15"/>
      <c r="Z296" s="13"/>
      <c r="AA296" s="15"/>
      <c r="AB296" s="13"/>
      <c r="AC296" s="15"/>
      <c r="AD296" s="13"/>
      <c r="AE296" s="15"/>
      <c r="AF296" s="13"/>
      <c r="AG296" s="15"/>
      <c r="AH296" s="13"/>
      <c r="AI296" s="15"/>
      <c r="AJ296" s="13"/>
      <c r="AK296" s="15"/>
      <c r="AL296" s="13"/>
      <c r="AM296" s="15"/>
      <c r="AN296" s="13"/>
      <c r="AO296" s="13"/>
    </row>
    <row r="297" spans="1:41" ht="72.5" x14ac:dyDescent="0.35">
      <c r="A297" s="13" t="s">
        <v>76</v>
      </c>
      <c r="B297" s="13" t="s">
        <v>77</v>
      </c>
      <c r="C297" s="14">
        <v>43152.5</v>
      </c>
      <c r="D297" s="13" t="s">
        <v>78</v>
      </c>
      <c r="E297" s="15" t="s">
        <v>79</v>
      </c>
      <c r="F297" s="13" t="s">
        <v>80</v>
      </c>
      <c r="G297" s="15" t="s">
        <v>81</v>
      </c>
      <c r="H297" s="13" t="s">
        <v>577</v>
      </c>
      <c r="I297" s="15" t="s">
        <v>578</v>
      </c>
      <c r="J297" s="15" t="s">
        <v>579</v>
      </c>
      <c r="K297" s="15" t="s">
        <v>580</v>
      </c>
      <c r="L297" s="13" t="s">
        <v>587</v>
      </c>
      <c r="M297" s="15" t="s">
        <v>588</v>
      </c>
      <c r="N297" s="13" t="s">
        <v>101</v>
      </c>
      <c r="O297" s="15" t="s">
        <v>102</v>
      </c>
      <c r="P297" s="15" t="s">
        <v>103</v>
      </c>
      <c r="Q297" s="15" t="s">
        <v>91</v>
      </c>
      <c r="R297" s="13" t="s">
        <v>92</v>
      </c>
      <c r="S297" s="13" t="s">
        <v>93</v>
      </c>
      <c r="T297" s="13" t="s">
        <v>94</v>
      </c>
      <c r="U297" s="14">
        <v>40725</v>
      </c>
      <c r="V297" s="14"/>
      <c r="W297" s="15"/>
      <c r="X297" s="13"/>
      <c r="Y297" s="15"/>
      <c r="Z297" s="13"/>
      <c r="AA297" s="15"/>
      <c r="AB297" s="13"/>
      <c r="AC297" s="15"/>
      <c r="AD297" s="13"/>
      <c r="AE297" s="15"/>
      <c r="AF297" s="13"/>
      <c r="AG297" s="15"/>
      <c r="AH297" s="13"/>
      <c r="AI297" s="15"/>
      <c r="AJ297" s="13"/>
      <c r="AK297" s="15"/>
      <c r="AL297" s="13"/>
      <c r="AM297" s="15"/>
      <c r="AN297" s="13"/>
      <c r="AO297" s="13"/>
    </row>
    <row r="298" spans="1:41" ht="72.5" x14ac:dyDescent="0.35">
      <c r="A298" s="13" t="s">
        <v>76</v>
      </c>
      <c r="B298" s="13" t="s">
        <v>77</v>
      </c>
      <c r="C298" s="14">
        <v>43152.5</v>
      </c>
      <c r="D298" s="13" t="s">
        <v>78</v>
      </c>
      <c r="E298" s="15" t="s">
        <v>79</v>
      </c>
      <c r="F298" s="13" t="s">
        <v>80</v>
      </c>
      <c r="G298" s="15" t="s">
        <v>81</v>
      </c>
      <c r="H298" s="13" t="s">
        <v>577</v>
      </c>
      <c r="I298" s="15" t="s">
        <v>578</v>
      </c>
      <c r="J298" s="15" t="s">
        <v>579</v>
      </c>
      <c r="K298" s="15" t="s">
        <v>580</v>
      </c>
      <c r="L298" s="13" t="s">
        <v>581</v>
      </c>
      <c r="M298" s="15" t="s">
        <v>582</v>
      </c>
      <c r="N298" s="13" t="s">
        <v>88</v>
      </c>
      <c r="O298" s="15" t="s">
        <v>89</v>
      </c>
      <c r="P298" s="15" t="s">
        <v>583</v>
      </c>
      <c r="Q298" s="15" t="s">
        <v>104</v>
      </c>
      <c r="R298" s="13" t="s">
        <v>105</v>
      </c>
      <c r="S298" s="13" t="s">
        <v>93</v>
      </c>
      <c r="T298" s="13" t="s">
        <v>94</v>
      </c>
      <c r="U298" s="14">
        <v>40725</v>
      </c>
      <c r="V298" s="14"/>
      <c r="W298" s="15"/>
      <c r="X298" s="13"/>
      <c r="Y298" s="15"/>
      <c r="Z298" s="13"/>
      <c r="AA298" s="15"/>
      <c r="AB298" s="13"/>
      <c r="AC298" s="15"/>
      <c r="AD298" s="13"/>
      <c r="AE298" s="15"/>
      <c r="AF298" s="13"/>
      <c r="AG298" s="15"/>
      <c r="AH298" s="13"/>
      <c r="AI298" s="15"/>
      <c r="AJ298" s="13"/>
      <c r="AK298" s="15"/>
      <c r="AL298" s="13"/>
      <c r="AM298" s="15"/>
      <c r="AN298" s="13"/>
      <c r="AO298" s="13"/>
    </row>
    <row r="299" spans="1:41" ht="72.5" x14ac:dyDescent="0.35">
      <c r="A299" s="13" t="s">
        <v>76</v>
      </c>
      <c r="B299" s="13" t="s">
        <v>77</v>
      </c>
      <c r="C299" s="14">
        <v>43152.5</v>
      </c>
      <c r="D299" s="13" t="s">
        <v>78</v>
      </c>
      <c r="E299" s="15" t="s">
        <v>79</v>
      </c>
      <c r="F299" s="13" t="s">
        <v>80</v>
      </c>
      <c r="G299" s="15" t="s">
        <v>81</v>
      </c>
      <c r="H299" s="13" t="s">
        <v>577</v>
      </c>
      <c r="I299" s="15" t="s">
        <v>578</v>
      </c>
      <c r="J299" s="15" t="s">
        <v>579</v>
      </c>
      <c r="K299" s="15" t="s">
        <v>580</v>
      </c>
      <c r="L299" s="13" t="s">
        <v>584</v>
      </c>
      <c r="M299" s="15" t="s">
        <v>585</v>
      </c>
      <c r="N299" s="13" t="s">
        <v>88</v>
      </c>
      <c r="O299" s="15" t="s">
        <v>97</v>
      </c>
      <c r="P299" s="15" t="s">
        <v>586</v>
      </c>
      <c r="Q299" s="15" t="s">
        <v>104</v>
      </c>
      <c r="R299" s="13" t="s">
        <v>105</v>
      </c>
      <c r="S299" s="13" t="s">
        <v>93</v>
      </c>
      <c r="T299" s="13" t="s">
        <v>94</v>
      </c>
      <c r="U299" s="14">
        <v>40725</v>
      </c>
      <c r="V299" s="14"/>
      <c r="W299" s="15"/>
      <c r="X299" s="13"/>
      <c r="Y299" s="15"/>
      <c r="Z299" s="13"/>
      <c r="AA299" s="15"/>
      <c r="AB299" s="13"/>
      <c r="AC299" s="15"/>
      <c r="AD299" s="13"/>
      <c r="AE299" s="15"/>
      <c r="AF299" s="13"/>
      <c r="AG299" s="15"/>
      <c r="AH299" s="13"/>
      <c r="AI299" s="15"/>
      <c r="AJ299" s="13"/>
      <c r="AK299" s="15"/>
      <c r="AL299" s="13"/>
      <c r="AM299" s="15"/>
      <c r="AN299" s="13"/>
      <c r="AO299" s="13"/>
    </row>
    <row r="300" spans="1:41" ht="72.5" x14ac:dyDescent="0.35">
      <c r="A300" s="13" t="s">
        <v>76</v>
      </c>
      <c r="B300" s="13" t="s">
        <v>77</v>
      </c>
      <c r="C300" s="14">
        <v>43152.5</v>
      </c>
      <c r="D300" s="13" t="s">
        <v>78</v>
      </c>
      <c r="E300" s="15" t="s">
        <v>79</v>
      </c>
      <c r="F300" s="13" t="s">
        <v>80</v>
      </c>
      <c r="G300" s="15" t="s">
        <v>81</v>
      </c>
      <c r="H300" s="13" t="s">
        <v>577</v>
      </c>
      <c r="I300" s="15" t="s">
        <v>578</v>
      </c>
      <c r="J300" s="15" t="s">
        <v>579</v>
      </c>
      <c r="K300" s="15" t="s">
        <v>580</v>
      </c>
      <c r="L300" s="13" t="s">
        <v>587</v>
      </c>
      <c r="M300" s="15" t="s">
        <v>588</v>
      </c>
      <c r="N300" s="13" t="s">
        <v>101</v>
      </c>
      <c r="O300" s="15" t="s">
        <v>102</v>
      </c>
      <c r="P300" s="15" t="s">
        <v>103</v>
      </c>
      <c r="Q300" s="15" t="s">
        <v>104</v>
      </c>
      <c r="R300" s="13" t="s">
        <v>105</v>
      </c>
      <c r="S300" s="13" t="s">
        <v>93</v>
      </c>
      <c r="T300" s="13" t="s">
        <v>94</v>
      </c>
      <c r="U300" s="14">
        <v>40725</v>
      </c>
      <c r="V300" s="14"/>
      <c r="W300" s="15"/>
      <c r="X300" s="13"/>
      <c r="Y300" s="15"/>
      <c r="Z300" s="13"/>
      <c r="AA300" s="15"/>
      <c r="AB300" s="13"/>
      <c r="AC300" s="15"/>
      <c r="AD300" s="13"/>
      <c r="AE300" s="15"/>
      <c r="AF300" s="13"/>
      <c r="AG300" s="15"/>
      <c r="AH300" s="13"/>
      <c r="AI300" s="15"/>
      <c r="AJ300" s="13"/>
      <c r="AK300" s="15"/>
      <c r="AL300" s="13"/>
      <c r="AM300" s="15"/>
      <c r="AN300" s="13"/>
      <c r="AO300" s="13"/>
    </row>
    <row r="301" spans="1:41" ht="72.5" x14ac:dyDescent="0.35">
      <c r="A301" s="13" t="s">
        <v>76</v>
      </c>
      <c r="B301" s="13" t="s">
        <v>77</v>
      </c>
      <c r="C301" s="14">
        <v>43152.5</v>
      </c>
      <c r="D301" s="13" t="s">
        <v>78</v>
      </c>
      <c r="E301" s="15" t="s">
        <v>79</v>
      </c>
      <c r="F301" s="13" t="s">
        <v>80</v>
      </c>
      <c r="G301" s="15" t="s">
        <v>81</v>
      </c>
      <c r="H301" s="13" t="s">
        <v>577</v>
      </c>
      <c r="I301" s="15" t="s">
        <v>578</v>
      </c>
      <c r="J301" s="15" t="s">
        <v>579</v>
      </c>
      <c r="K301" s="15" t="s">
        <v>580</v>
      </c>
      <c r="L301" s="13" t="s">
        <v>581</v>
      </c>
      <c r="M301" s="15" t="s">
        <v>582</v>
      </c>
      <c r="N301" s="13" t="s">
        <v>88</v>
      </c>
      <c r="O301" s="15" t="s">
        <v>89</v>
      </c>
      <c r="P301" s="15" t="s">
        <v>583</v>
      </c>
      <c r="Q301" s="15" t="s">
        <v>106</v>
      </c>
      <c r="R301" s="13" t="s">
        <v>107</v>
      </c>
      <c r="S301" s="13" t="s">
        <v>93</v>
      </c>
      <c r="T301" s="13" t="s">
        <v>94</v>
      </c>
      <c r="U301" s="14">
        <v>40725</v>
      </c>
      <c r="V301" s="14"/>
      <c r="W301" s="15"/>
      <c r="X301" s="13"/>
      <c r="Y301" s="15"/>
      <c r="Z301" s="13"/>
      <c r="AA301" s="15"/>
      <c r="AB301" s="13"/>
      <c r="AC301" s="15"/>
      <c r="AD301" s="13"/>
      <c r="AE301" s="15"/>
      <c r="AF301" s="13"/>
      <c r="AG301" s="15"/>
      <c r="AH301" s="13"/>
      <c r="AI301" s="15"/>
      <c r="AJ301" s="13"/>
      <c r="AK301" s="15"/>
      <c r="AL301" s="13"/>
      <c r="AM301" s="15"/>
      <c r="AN301" s="13"/>
      <c r="AO301" s="13"/>
    </row>
    <row r="302" spans="1:41" ht="72.5" x14ac:dyDescent="0.35">
      <c r="A302" s="13" t="s">
        <v>76</v>
      </c>
      <c r="B302" s="13" t="s">
        <v>77</v>
      </c>
      <c r="C302" s="14">
        <v>43152.5</v>
      </c>
      <c r="D302" s="13" t="s">
        <v>78</v>
      </c>
      <c r="E302" s="15" t="s">
        <v>79</v>
      </c>
      <c r="F302" s="13" t="s">
        <v>80</v>
      </c>
      <c r="G302" s="15" t="s">
        <v>81</v>
      </c>
      <c r="H302" s="13" t="s">
        <v>577</v>
      </c>
      <c r="I302" s="15" t="s">
        <v>578</v>
      </c>
      <c r="J302" s="15" t="s">
        <v>579</v>
      </c>
      <c r="K302" s="15" t="s">
        <v>580</v>
      </c>
      <c r="L302" s="13" t="s">
        <v>584</v>
      </c>
      <c r="M302" s="15" t="s">
        <v>585</v>
      </c>
      <c r="N302" s="13" t="s">
        <v>88</v>
      </c>
      <c r="O302" s="15" t="s">
        <v>97</v>
      </c>
      <c r="P302" s="15" t="s">
        <v>586</v>
      </c>
      <c r="Q302" s="15" t="s">
        <v>106</v>
      </c>
      <c r="R302" s="13" t="s">
        <v>107</v>
      </c>
      <c r="S302" s="13" t="s">
        <v>93</v>
      </c>
      <c r="T302" s="13" t="s">
        <v>94</v>
      </c>
      <c r="U302" s="14">
        <v>40725</v>
      </c>
      <c r="V302" s="14"/>
      <c r="W302" s="15"/>
      <c r="X302" s="13"/>
      <c r="Y302" s="15"/>
      <c r="Z302" s="13"/>
      <c r="AA302" s="15"/>
      <c r="AB302" s="13"/>
      <c r="AC302" s="15"/>
      <c r="AD302" s="13"/>
      <c r="AE302" s="15"/>
      <c r="AF302" s="13"/>
      <c r="AG302" s="15"/>
      <c r="AH302" s="13"/>
      <c r="AI302" s="15"/>
      <c r="AJ302" s="13"/>
      <c r="AK302" s="15"/>
      <c r="AL302" s="13"/>
      <c r="AM302" s="15"/>
      <c r="AN302" s="13"/>
      <c r="AO302" s="13"/>
    </row>
    <row r="303" spans="1:41" ht="72.5" x14ac:dyDescent="0.35">
      <c r="A303" s="13" t="s">
        <v>76</v>
      </c>
      <c r="B303" s="13" t="s">
        <v>77</v>
      </c>
      <c r="C303" s="14">
        <v>43152.5</v>
      </c>
      <c r="D303" s="13" t="s">
        <v>78</v>
      </c>
      <c r="E303" s="15" t="s">
        <v>79</v>
      </c>
      <c r="F303" s="13" t="s">
        <v>80</v>
      </c>
      <c r="G303" s="15" t="s">
        <v>81</v>
      </c>
      <c r="H303" s="13" t="s">
        <v>577</v>
      </c>
      <c r="I303" s="15" t="s">
        <v>578</v>
      </c>
      <c r="J303" s="15" t="s">
        <v>579</v>
      </c>
      <c r="K303" s="15" t="s">
        <v>580</v>
      </c>
      <c r="L303" s="13" t="s">
        <v>587</v>
      </c>
      <c r="M303" s="15" t="s">
        <v>588</v>
      </c>
      <c r="N303" s="13" t="s">
        <v>101</v>
      </c>
      <c r="O303" s="15" t="s">
        <v>102</v>
      </c>
      <c r="P303" s="15" t="s">
        <v>103</v>
      </c>
      <c r="Q303" s="15" t="s">
        <v>106</v>
      </c>
      <c r="R303" s="13" t="s">
        <v>107</v>
      </c>
      <c r="S303" s="13" t="s">
        <v>93</v>
      </c>
      <c r="T303" s="13" t="s">
        <v>94</v>
      </c>
      <c r="U303" s="14">
        <v>40725</v>
      </c>
      <c r="V303" s="14"/>
      <c r="W303" s="15"/>
      <c r="X303" s="13"/>
      <c r="Y303" s="15"/>
      <c r="Z303" s="13"/>
      <c r="AA303" s="15"/>
      <c r="AB303" s="13"/>
      <c r="AC303" s="15"/>
      <c r="AD303" s="13"/>
      <c r="AE303" s="15"/>
      <c r="AF303" s="13"/>
      <c r="AG303" s="15"/>
      <c r="AH303" s="13"/>
      <c r="AI303" s="15"/>
      <c r="AJ303" s="13"/>
      <c r="AK303" s="15"/>
      <c r="AL303" s="13"/>
      <c r="AM303" s="15"/>
      <c r="AN303" s="13"/>
      <c r="AO303" s="13"/>
    </row>
    <row r="304" spans="1:41" ht="145" x14ac:dyDescent="0.35">
      <c r="A304" s="13" t="s">
        <v>238</v>
      </c>
      <c r="B304" s="13" t="s">
        <v>109</v>
      </c>
      <c r="C304" s="14">
        <v>44368.708333333336</v>
      </c>
      <c r="D304" s="13" t="s">
        <v>78</v>
      </c>
      <c r="E304" s="15" t="s">
        <v>79</v>
      </c>
      <c r="F304" s="13" t="s">
        <v>80</v>
      </c>
      <c r="G304" s="15" t="s">
        <v>81</v>
      </c>
      <c r="H304" s="13" t="s">
        <v>577</v>
      </c>
      <c r="I304" s="15" t="s">
        <v>578</v>
      </c>
      <c r="J304" s="15" t="s">
        <v>579</v>
      </c>
      <c r="K304" s="15" t="s">
        <v>580</v>
      </c>
      <c r="L304" s="13" t="s">
        <v>581</v>
      </c>
      <c r="M304" s="15" t="s">
        <v>582</v>
      </c>
      <c r="N304" s="13" t="s">
        <v>88</v>
      </c>
      <c r="O304" s="15" t="s">
        <v>89</v>
      </c>
      <c r="P304" s="15" t="s">
        <v>583</v>
      </c>
      <c r="Q304" s="15" t="s">
        <v>110</v>
      </c>
      <c r="R304" s="13" t="s">
        <v>111</v>
      </c>
      <c r="S304" s="13" t="s">
        <v>93</v>
      </c>
      <c r="T304" s="13" t="s">
        <v>112</v>
      </c>
      <c r="U304" s="14">
        <v>41640</v>
      </c>
      <c r="V304" s="14"/>
      <c r="W304" s="15" t="s">
        <v>630</v>
      </c>
      <c r="X304" s="13" t="s">
        <v>614</v>
      </c>
      <c r="Y304" s="15" t="str">
        <f>VLOOKUP(X304,'Axe 2 Règles de gestion'!$D$2:$F$146,3, FALSE)</f>
        <v>Rémunération : L'agent ne perçoit plus son traitement.</v>
      </c>
      <c r="Z304" s="13" t="s">
        <v>616</v>
      </c>
      <c r="AA304" s="15" t="str">
        <f>VLOOKUP(Z304,'Axe 2 Règles de gestion'!$D$2:$F$146,3, FALSE)</f>
        <v>Congés annuels : L'agent ne cumule pas de droits à congé.</v>
      </c>
      <c r="AB304" s="13" t="s">
        <v>618</v>
      </c>
      <c r="AC304" s="15" t="str">
        <f>VLOOKUP(AB304,'Axe 2 Règles de gestion'!$D$2:$F$146,3, FALSE)</f>
        <v>Carrière : L'agent voit sa carrière suspendue. Il perd ses droits à l'avancement.</v>
      </c>
      <c r="AD304" s="13" t="s">
        <v>631</v>
      </c>
      <c r="AE304" s="15" t="str">
        <f>VLOOKUP(AD304,'Axe 2 Règles de gestion'!$D$2:$F$146,3, FALSE)</f>
        <v>Retraite : Les périodes de congé sans traitement ne sont pas prises en compte pour la constitution du droit à pension et la liquidation de cette dernière.</v>
      </c>
      <c r="AF304" s="13" t="s">
        <v>622</v>
      </c>
      <c r="AG304" s="15" t="str">
        <f>VLOOKUP(AF304,'Axe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304" s="13" t="s">
        <v>624</v>
      </c>
      <c r="AI304" s="15" t="str">
        <f>VLOOKUP(AH304,'Axe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304" s="13" t="s">
        <v>626</v>
      </c>
      <c r="AK304" s="15" t="str">
        <f>VLOOKUP(AJ304,'Axe 2 Règles de gestion'!$D$2:$F$146,3, FALSE)</f>
        <v>Stage : Les congés sans traitement ne sont pas comptabilisés comme temps de stage. Ils reportent donc la date de fin de stage du nombre total de jours d'absence.</v>
      </c>
      <c r="AL304" s="13" t="s">
        <v>628</v>
      </c>
      <c r="AM304" s="15" t="str">
        <f>VLOOKUP(AL304,'Axe 2 Règles de gestion'!$D$2:$F$146,3, FALSE)</f>
        <v>Acte : Un acte administratif doit être produit.</v>
      </c>
      <c r="AN304" s="13"/>
      <c r="AO304" s="13"/>
    </row>
    <row r="305" spans="1:41" ht="145" x14ac:dyDescent="0.35">
      <c r="A305" s="13" t="s">
        <v>238</v>
      </c>
      <c r="B305" s="13" t="s">
        <v>109</v>
      </c>
      <c r="C305" s="14">
        <v>44368.708333333336</v>
      </c>
      <c r="D305" s="13" t="s">
        <v>78</v>
      </c>
      <c r="E305" s="15" t="s">
        <v>79</v>
      </c>
      <c r="F305" s="13" t="s">
        <v>80</v>
      </c>
      <c r="G305" s="15" t="s">
        <v>81</v>
      </c>
      <c r="H305" s="13" t="s">
        <v>577</v>
      </c>
      <c r="I305" s="15" t="s">
        <v>578</v>
      </c>
      <c r="J305" s="15" t="s">
        <v>579</v>
      </c>
      <c r="K305" s="15" t="s">
        <v>580</v>
      </c>
      <c r="L305" s="13" t="s">
        <v>584</v>
      </c>
      <c r="M305" s="15" t="s">
        <v>585</v>
      </c>
      <c r="N305" s="13" t="s">
        <v>88</v>
      </c>
      <c r="O305" s="15" t="s">
        <v>97</v>
      </c>
      <c r="P305" s="15" t="s">
        <v>586</v>
      </c>
      <c r="Q305" s="15" t="s">
        <v>110</v>
      </c>
      <c r="R305" s="13" t="s">
        <v>111</v>
      </c>
      <c r="S305" s="13" t="s">
        <v>93</v>
      </c>
      <c r="T305" s="13" t="s">
        <v>112</v>
      </c>
      <c r="U305" s="14">
        <v>41640</v>
      </c>
      <c r="V305" s="14"/>
      <c r="W305" s="15" t="s">
        <v>630</v>
      </c>
      <c r="X305" s="13" t="s">
        <v>614</v>
      </c>
      <c r="Y305" s="15" t="str">
        <f>VLOOKUP(X305,'Axe 2 Règles de gestion'!$D$2:$F$146,3, FALSE)</f>
        <v>Rémunération : L'agent ne perçoit plus son traitement.</v>
      </c>
      <c r="Z305" s="13" t="s">
        <v>616</v>
      </c>
      <c r="AA305" s="15" t="str">
        <f>VLOOKUP(Z305,'Axe 2 Règles de gestion'!$D$2:$F$146,3, FALSE)</f>
        <v>Congés annuels : L'agent ne cumule pas de droits à congé.</v>
      </c>
      <c r="AB305" s="13" t="s">
        <v>618</v>
      </c>
      <c r="AC305" s="15" t="str">
        <f>VLOOKUP(AB305,'Axe 2 Règles de gestion'!$D$2:$F$146,3, FALSE)</f>
        <v>Carrière : L'agent voit sa carrière suspendue. Il perd ses droits à l'avancement.</v>
      </c>
      <c r="AD305" s="13" t="s">
        <v>631</v>
      </c>
      <c r="AE305" s="15" t="str">
        <f>VLOOKUP(AD305,'Axe 2 Règles de gestion'!$D$2:$F$146,3, FALSE)</f>
        <v>Retraite : Les périodes de congé sans traitement ne sont pas prises en compte pour la constitution du droit à pension et la liquidation de cette dernière.</v>
      </c>
      <c r="AF305" s="13" t="s">
        <v>622</v>
      </c>
      <c r="AG305" s="15" t="str">
        <f>VLOOKUP(AF305,'Axe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H305" s="13" t="s">
        <v>624</v>
      </c>
      <c r="AI305" s="15" t="str">
        <f>VLOOKUP(AH305,'Axe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J305" s="13" t="s">
        <v>626</v>
      </c>
      <c r="AK305" s="15" t="str">
        <f>VLOOKUP(AJ305,'Axe 2 Règles de gestion'!$D$2:$F$146,3, FALSE)</f>
        <v>Stage : Les congés sans traitement ne sont pas comptabilisés comme temps de stage. Ils reportent donc la date de fin de stage du nombre total de jours d'absence.</v>
      </c>
      <c r="AL305" s="13" t="s">
        <v>628</v>
      </c>
      <c r="AM305" s="15" t="str">
        <f>VLOOKUP(AL305,'Axe 2 Règles de gestion'!$D$2:$F$146,3, FALSE)</f>
        <v>Acte : Un acte administratif doit être produit.</v>
      </c>
      <c r="AN305" s="13"/>
      <c r="AO305" s="13"/>
    </row>
    <row r="306" spans="1:41" ht="72.5" x14ac:dyDescent="0.35">
      <c r="A306" s="13" t="s">
        <v>238</v>
      </c>
      <c r="B306" s="13" t="s">
        <v>109</v>
      </c>
      <c r="C306" s="14">
        <v>44368.708333333336</v>
      </c>
      <c r="D306" s="13" t="s">
        <v>78</v>
      </c>
      <c r="E306" s="15" t="s">
        <v>79</v>
      </c>
      <c r="F306" s="13" t="s">
        <v>80</v>
      </c>
      <c r="G306" s="15" t="s">
        <v>81</v>
      </c>
      <c r="H306" s="13" t="s">
        <v>577</v>
      </c>
      <c r="I306" s="15" t="s">
        <v>578</v>
      </c>
      <c r="J306" s="15" t="s">
        <v>579</v>
      </c>
      <c r="K306" s="15" t="s">
        <v>580</v>
      </c>
      <c r="L306" s="13" t="s">
        <v>587</v>
      </c>
      <c r="M306" s="15" t="s">
        <v>588</v>
      </c>
      <c r="N306" s="13" t="s">
        <v>101</v>
      </c>
      <c r="O306" s="15" t="s">
        <v>102</v>
      </c>
      <c r="P306" s="15" t="s">
        <v>103</v>
      </c>
      <c r="Q306" s="15" t="s">
        <v>110</v>
      </c>
      <c r="R306" s="13" t="s">
        <v>111</v>
      </c>
      <c r="S306" s="13" t="s">
        <v>93</v>
      </c>
      <c r="T306" s="13" t="s">
        <v>112</v>
      </c>
      <c r="U306" s="14">
        <v>41640</v>
      </c>
      <c r="V306" s="14"/>
      <c r="W306" s="15"/>
      <c r="X306" s="13"/>
      <c r="Y306" s="15"/>
      <c r="Z306" s="13"/>
      <c r="AA306" s="15"/>
      <c r="AB306" s="13"/>
      <c r="AC306" s="15"/>
      <c r="AD306" s="13"/>
      <c r="AE306" s="15"/>
      <c r="AF306" s="13"/>
      <c r="AG306" s="15"/>
      <c r="AH306" s="13"/>
      <c r="AI306" s="15"/>
      <c r="AJ306" s="13"/>
      <c r="AK306" s="15"/>
      <c r="AL306" s="13"/>
      <c r="AM306" s="15"/>
      <c r="AN306" s="13"/>
      <c r="AO306" s="13"/>
    </row>
    <row r="307" spans="1:41" ht="72.5" x14ac:dyDescent="0.35">
      <c r="A307" s="13" t="s">
        <v>76</v>
      </c>
      <c r="B307" s="13" t="s">
        <v>77</v>
      </c>
      <c r="C307" s="14">
        <v>43152.5</v>
      </c>
      <c r="D307" s="13" t="s">
        <v>78</v>
      </c>
      <c r="E307" s="15" t="s">
        <v>79</v>
      </c>
      <c r="F307" s="13" t="s">
        <v>80</v>
      </c>
      <c r="G307" s="15" t="s">
        <v>81</v>
      </c>
      <c r="H307" s="13" t="s">
        <v>577</v>
      </c>
      <c r="I307" s="15" t="s">
        <v>578</v>
      </c>
      <c r="J307" s="15" t="s">
        <v>579</v>
      </c>
      <c r="K307" s="15" t="s">
        <v>580</v>
      </c>
      <c r="L307" s="13" t="s">
        <v>581</v>
      </c>
      <c r="M307" s="15" t="s">
        <v>582</v>
      </c>
      <c r="N307" s="13" t="s">
        <v>88</v>
      </c>
      <c r="O307" s="15" t="s">
        <v>89</v>
      </c>
      <c r="P307" s="15" t="s">
        <v>583</v>
      </c>
      <c r="Q307" s="15" t="s">
        <v>175</v>
      </c>
      <c r="R307" s="13" t="s">
        <v>176</v>
      </c>
      <c r="S307" s="13" t="s">
        <v>93</v>
      </c>
      <c r="T307" s="13" t="s">
        <v>94</v>
      </c>
      <c r="U307" s="14">
        <v>40725</v>
      </c>
      <c r="V307" s="14"/>
      <c r="W307" s="15"/>
      <c r="X307" s="13"/>
      <c r="Y307" s="15"/>
      <c r="Z307" s="13"/>
      <c r="AA307" s="15"/>
      <c r="AB307" s="13"/>
      <c r="AC307" s="15"/>
      <c r="AD307" s="13"/>
      <c r="AE307" s="15"/>
      <c r="AF307" s="13"/>
      <c r="AG307" s="15"/>
      <c r="AH307" s="13"/>
      <c r="AI307" s="15"/>
      <c r="AJ307" s="13"/>
      <c r="AK307" s="15"/>
      <c r="AL307" s="13"/>
      <c r="AM307" s="15"/>
      <c r="AN307" s="13"/>
      <c r="AO307" s="13"/>
    </row>
    <row r="308" spans="1:41" ht="72.5" x14ac:dyDescent="0.35">
      <c r="A308" s="13" t="s">
        <v>76</v>
      </c>
      <c r="B308" s="13" t="s">
        <v>77</v>
      </c>
      <c r="C308" s="14">
        <v>43152.5</v>
      </c>
      <c r="D308" s="13" t="s">
        <v>78</v>
      </c>
      <c r="E308" s="15" t="s">
        <v>79</v>
      </c>
      <c r="F308" s="13" t="s">
        <v>80</v>
      </c>
      <c r="G308" s="15" t="s">
        <v>81</v>
      </c>
      <c r="H308" s="13" t="s">
        <v>577</v>
      </c>
      <c r="I308" s="15" t="s">
        <v>578</v>
      </c>
      <c r="J308" s="15" t="s">
        <v>579</v>
      </c>
      <c r="K308" s="15" t="s">
        <v>580</v>
      </c>
      <c r="L308" s="13" t="s">
        <v>584</v>
      </c>
      <c r="M308" s="15" t="s">
        <v>585</v>
      </c>
      <c r="N308" s="13" t="s">
        <v>88</v>
      </c>
      <c r="O308" s="15" t="s">
        <v>97</v>
      </c>
      <c r="P308" s="15" t="s">
        <v>586</v>
      </c>
      <c r="Q308" s="15" t="s">
        <v>175</v>
      </c>
      <c r="R308" s="13" t="s">
        <v>176</v>
      </c>
      <c r="S308" s="13" t="s">
        <v>93</v>
      </c>
      <c r="T308" s="13" t="s">
        <v>94</v>
      </c>
      <c r="U308" s="14">
        <v>40725</v>
      </c>
      <c r="V308" s="14"/>
      <c r="W308" s="15"/>
      <c r="X308" s="13"/>
      <c r="Y308" s="15"/>
      <c r="Z308" s="13"/>
      <c r="AA308" s="15"/>
      <c r="AB308" s="13"/>
      <c r="AC308" s="15"/>
      <c r="AD308" s="13"/>
      <c r="AE308" s="15"/>
      <c r="AF308" s="13"/>
      <c r="AG308" s="15"/>
      <c r="AH308" s="13"/>
      <c r="AI308" s="15"/>
      <c r="AJ308" s="13"/>
      <c r="AK308" s="15"/>
      <c r="AL308" s="13"/>
      <c r="AM308" s="15"/>
      <c r="AN308" s="13"/>
      <c r="AO308" s="13"/>
    </row>
    <row r="309" spans="1:41" ht="72.5" x14ac:dyDescent="0.35">
      <c r="A309" s="13" t="s">
        <v>76</v>
      </c>
      <c r="B309" s="13" t="s">
        <v>77</v>
      </c>
      <c r="C309" s="14">
        <v>43152.5</v>
      </c>
      <c r="D309" s="13" t="s">
        <v>78</v>
      </c>
      <c r="E309" s="15" t="s">
        <v>79</v>
      </c>
      <c r="F309" s="13" t="s">
        <v>80</v>
      </c>
      <c r="G309" s="15" t="s">
        <v>81</v>
      </c>
      <c r="H309" s="13" t="s">
        <v>577</v>
      </c>
      <c r="I309" s="15" t="s">
        <v>578</v>
      </c>
      <c r="J309" s="15" t="s">
        <v>579</v>
      </c>
      <c r="K309" s="15" t="s">
        <v>580</v>
      </c>
      <c r="L309" s="13" t="s">
        <v>587</v>
      </c>
      <c r="M309" s="15" t="s">
        <v>588</v>
      </c>
      <c r="N309" s="13" t="s">
        <v>101</v>
      </c>
      <c r="O309" s="15" t="s">
        <v>102</v>
      </c>
      <c r="P309" s="15" t="s">
        <v>103</v>
      </c>
      <c r="Q309" s="15" t="s">
        <v>175</v>
      </c>
      <c r="R309" s="13" t="s">
        <v>176</v>
      </c>
      <c r="S309" s="13" t="s">
        <v>93</v>
      </c>
      <c r="T309" s="13" t="s">
        <v>94</v>
      </c>
      <c r="U309" s="14">
        <v>40725</v>
      </c>
      <c r="V309" s="14"/>
      <c r="W309" s="15"/>
      <c r="X309" s="13"/>
      <c r="Y309" s="15"/>
      <c r="Z309" s="13"/>
      <c r="AA309" s="15"/>
      <c r="AB309" s="13"/>
      <c r="AC309" s="15"/>
      <c r="AD309" s="13"/>
      <c r="AE309" s="15"/>
      <c r="AF309" s="13"/>
      <c r="AG309" s="15"/>
      <c r="AH309" s="13"/>
      <c r="AI309" s="15"/>
      <c r="AJ309" s="13"/>
      <c r="AK309" s="15"/>
      <c r="AL309" s="13"/>
      <c r="AM309" s="15"/>
      <c r="AN309" s="13"/>
      <c r="AO309" s="13"/>
    </row>
    <row r="310" spans="1:41" x14ac:dyDescent="0.35">
      <c r="C310" s="16"/>
      <c r="U310" s="16"/>
      <c r="V310" s="16"/>
    </row>
    <row r="311" spans="1:41" x14ac:dyDescent="0.35">
      <c r="C311" s="16"/>
      <c r="U311" s="16"/>
      <c r="V311" s="16"/>
    </row>
    <row r="312" spans="1:41" x14ac:dyDescent="0.35">
      <c r="C312" s="16"/>
      <c r="U312" s="16"/>
      <c r="V312" s="16"/>
    </row>
    <row r="313" spans="1:41" x14ac:dyDescent="0.35">
      <c r="C313" s="16"/>
      <c r="U313" s="16"/>
      <c r="V313" s="16"/>
    </row>
    <row r="314" spans="1:41" x14ac:dyDescent="0.35">
      <c r="C314" s="16"/>
      <c r="U314" s="16"/>
      <c r="V314" s="16"/>
    </row>
    <row r="315" spans="1:41" x14ac:dyDescent="0.35">
      <c r="C315" s="16"/>
      <c r="U315" s="16"/>
      <c r="V315" s="16"/>
    </row>
    <row r="316" spans="1:41" x14ac:dyDescent="0.35">
      <c r="C316" s="16"/>
      <c r="U316" s="16"/>
      <c r="V316" s="16"/>
    </row>
    <row r="317" spans="1:41" x14ac:dyDescent="0.35">
      <c r="C317" s="16"/>
      <c r="U317" s="16"/>
      <c r="V317" s="16"/>
    </row>
    <row r="318" spans="1:41" x14ac:dyDescent="0.35">
      <c r="C318" s="16"/>
      <c r="U318" s="16"/>
      <c r="V318" s="16"/>
    </row>
    <row r="319" spans="1:41" x14ac:dyDescent="0.35">
      <c r="C319" s="16"/>
      <c r="U319" s="16"/>
      <c r="V319" s="16"/>
    </row>
    <row r="320" spans="1:41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  <row r="448" spans="3:22" x14ac:dyDescent="0.35">
      <c r="C448" s="16"/>
      <c r="U448" s="16"/>
      <c r="V448" s="16"/>
    </row>
    <row r="449" spans="3:22" x14ac:dyDescent="0.35">
      <c r="C449" s="16"/>
      <c r="U449" s="16"/>
      <c r="V449" s="16"/>
    </row>
    <row r="450" spans="3:22" x14ac:dyDescent="0.35">
      <c r="C450" s="16"/>
      <c r="U450" s="16"/>
      <c r="V450" s="16"/>
    </row>
    <row r="451" spans="3:22" x14ac:dyDescent="0.35">
      <c r="C451" s="16"/>
      <c r="U451" s="16"/>
      <c r="V451" s="16"/>
    </row>
    <row r="452" spans="3:22" x14ac:dyDescent="0.35">
      <c r="C452" s="16"/>
      <c r="U452" s="16"/>
      <c r="V452" s="16"/>
    </row>
    <row r="453" spans="3:22" x14ac:dyDescent="0.35">
      <c r="C453" s="16"/>
      <c r="U453" s="16"/>
      <c r="V453" s="16"/>
    </row>
    <row r="454" spans="3:22" x14ac:dyDescent="0.35">
      <c r="C454" s="16"/>
      <c r="U454" s="16"/>
      <c r="V454" s="16"/>
    </row>
    <row r="455" spans="3:22" x14ac:dyDescent="0.35">
      <c r="C455" s="16"/>
      <c r="U455" s="16"/>
      <c r="V455" s="16"/>
    </row>
    <row r="456" spans="3:22" x14ac:dyDescent="0.35">
      <c r="C456" s="16"/>
      <c r="U456" s="16"/>
      <c r="V456" s="16"/>
    </row>
    <row r="457" spans="3:22" x14ac:dyDescent="0.35">
      <c r="C457" s="16"/>
      <c r="U457" s="16"/>
      <c r="V457" s="16"/>
    </row>
    <row r="458" spans="3:22" x14ac:dyDescent="0.35">
      <c r="C458" s="16"/>
      <c r="U458" s="16"/>
      <c r="V458" s="16"/>
    </row>
    <row r="459" spans="3:22" x14ac:dyDescent="0.35">
      <c r="C459" s="16"/>
      <c r="U459" s="16"/>
      <c r="V459" s="16"/>
    </row>
    <row r="460" spans="3:22" x14ac:dyDescent="0.35">
      <c r="C460" s="16"/>
      <c r="U460" s="16"/>
      <c r="V460" s="16"/>
    </row>
    <row r="461" spans="3:22" x14ac:dyDescent="0.35">
      <c r="C461" s="16"/>
      <c r="U461" s="16"/>
      <c r="V461" s="16"/>
    </row>
    <row r="462" spans="3:22" x14ac:dyDescent="0.35">
      <c r="C462" s="16"/>
      <c r="U462" s="16"/>
      <c r="V462" s="16"/>
    </row>
    <row r="463" spans="3:22" x14ac:dyDescent="0.35">
      <c r="C463" s="16"/>
      <c r="U463" s="16"/>
      <c r="V463" s="16"/>
    </row>
    <row r="464" spans="3:22" x14ac:dyDescent="0.35">
      <c r="C464" s="16"/>
      <c r="U464" s="16"/>
      <c r="V464" s="16"/>
    </row>
    <row r="465" spans="3:22" x14ac:dyDescent="0.35">
      <c r="C465" s="16"/>
      <c r="U465" s="16"/>
      <c r="V465" s="16"/>
    </row>
    <row r="466" spans="3:22" x14ac:dyDescent="0.35">
      <c r="C466" s="16"/>
      <c r="U466" s="16"/>
      <c r="V466" s="16"/>
    </row>
    <row r="467" spans="3:22" x14ac:dyDescent="0.35">
      <c r="C467" s="16"/>
      <c r="U467" s="16"/>
      <c r="V467" s="16"/>
    </row>
    <row r="468" spans="3:22" x14ac:dyDescent="0.35">
      <c r="C468" s="16"/>
      <c r="U468" s="16"/>
      <c r="V468" s="16"/>
    </row>
    <row r="469" spans="3:22" x14ac:dyDescent="0.35">
      <c r="C469" s="16"/>
      <c r="U469" s="16"/>
      <c r="V469" s="16"/>
    </row>
    <row r="470" spans="3:22" x14ac:dyDescent="0.35">
      <c r="C470" s="16"/>
      <c r="U470" s="16"/>
      <c r="V470" s="16"/>
    </row>
    <row r="471" spans="3:22" x14ac:dyDescent="0.35">
      <c r="C471" s="16"/>
      <c r="U471" s="16"/>
      <c r="V471" s="16"/>
    </row>
    <row r="472" spans="3:22" x14ac:dyDescent="0.35">
      <c r="C472" s="16"/>
      <c r="U472" s="16"/>
      <c r="V472" s="16"/>
    </row>
    <row r="473" spans="3:22" x14ac:dyDescent="0.35">
      <c r="C473" s="16"/>
      <c r="U473" s="16"/>
      <c r="V473" s="16"/>
    </row>
    <row r="474" spans="3:22" x14ac:dyDescent="0.35">
      <c r="C474" s="16"/>
      <c r="U474" s="16"/>
      <c r="V474" s="16"/>
    </row>
    <row r="475" spans="3:22" x14ac:dyDescent="0.35">
      <c r="C475" s="16"/>
      <c r="U475" s="16"/>
      <c r="V475" s="16"/>
    </row>
    <row r="476" spans="3:22" x14ac:dyDescent="0.35">
      <c r="C476" s="16"/>
      <c r="U476" s="16"/>
      <c r="V476" s="16"/>
    </row>
    <row r="477" spans="3:22" x14ac:dyDescent="0.35">
      <c r="C477" s="16"/>
      <c r="U477" s="16"/>
      <c r="V477" s="16"/>
    </row>
    <row r="478" spans="3:22" x14ac:dyDescent="0.35">
      <c r="C478" s="16"/>
      <c r="U478" s="16"/>
      <c r="V478" s="16"/>
    </row>
    <row r="479" spans="3:22" x14ac:dyDescent="0.35">
      <c r="C479" s="16"/>
      <c r="U479" s="16"/>
      <c r="V479" s="16"/>
    </row>
    <row r="480" spans="3:22" x14ac:dyDescent="0.35">
      <c r="C480" s="16"/>
      <c r="U480" s="16"/>
      <c r="V480" s="16"/>
    </row>
    <row r="481" spans="3:22" x14ac:dyDescent="0.35">
      <c r="C481" s="16"/>
      <c r="U481" s="16"/>
      <c r="V481" s="16"/>
    </row>
    <row r="482" spans="3:22" x14ac:dyDescent="0.35">
      <c r="C482" s="16"/>
      <c r="U482" s="16"/>
      <c r="V482" s="16"/>
    </row>
    <row r="483" spans="3:22" x14ac:dyDescent="0.35">
      <c r="C483" s="16"/>
      <c r="U483" s="16"/>
      <c r="V483" s="16"/>
    </row>
    <row r="484" spans="3:22" x14ac:dyDescent="0.35">
      <c r="C484" s="16"/>
      <c r="U484" s="16"/>
      <c r="V484" s="16"/>
    </row>
    <row r="485" spans="3:22" x14ac:dyDescent="0.35">
      <c r="C485" s="16"/>
      <c r="U485" s="16"/>
      <c r="V485" s="16"/>
    </row>
    <row r="486" spans="3:22" x14ac:dyDescent="0.35">
      <c r="C486" s="16"/>
      <c r="U486" s="16"/>
      <c r="V486" s="16"/>
    </row>
    <row r="487" spans="3:22" x14ac:dyDescent="0.35">
      <c r="C487" s="16"/>
      <c r="U487" s="16"/>
      <c r="V487" s="16"/>
    </row>
    <row r="488" spans="3:22" x14ac:dyDescent="0.35">
      <c r="C488" s="16"/>
      <c r="U488" s="16"/>
      <c r="V488" s="16"/>
    </row>
    <row r="489" spans="3:22" x14ac:dyDescent="0.35">
      <c r="C489" s="16"/>
      <c r="U489" s="16"/>
      <c r="V489" s="16"/>
    </row>
    <row r="490" spans="3:22" x14ac:dyDescent="0.35">
      <c r="C490" s="16"/>
      <c r="U490" s="16"/>
      <c r="V490" s="16"/>
    </row>
    <row r="491" spans="3:22" x14ac:dyDescent="0.35">
      <c r="C491" s="16"/>
      <c r="U491" s="16"/>
      <c r="V491" s="16"/>
    </row>
    <row r="492" spans="3:22" x14ac:dyDescent="0.35">
      <c r="C492" s="16"/>
      <c r="U492" s="16"/>
      <c r="V492" s="16"/>
    </row>
    <row r="493" spans="3:22" x14ac:dyDescent="0.35">
      <c r="C493" s="16"/>
      <c r="U493" s="16"/>
      <c r="V493" s="16"/>
    </row>
    <row r="494" spans="3:22" x14ac:dyDescent="0.35">
      <c r="C494" s="16"/>
      <c r="U494" s="16"/>
      <c r="V494" s="16"/>
    </row>
    <row r="495" spans="3:22" x14ac:dyDescent="0.35">
      <c r="C495" s="16"/>
      <c r="U495" s="16"/>
      <c r="V495" s="16"/>
    </row>
    <row r="496" spans="3:22" x14ac:dyDescent="0.35">
      <c r="C496" s="16"/>
      <c r="U496" s="16"/>
      <c r="V496" s="16"/>
    </row>
    <row r="497" spans="3:22" x14ac:dyDescent="0.35">
      <c r="C497" s="16"/>
      <c r="U497" s="16"/>
      <c r="V497" s="16"/>
    </row>
    <row r="498" spans="3:22" x14ac:dyDescent="0.35">
      <c r="C498" s="16"/>
      <c r="U498" s="16"/>
      <c r="V498" s="16"/>
    </row>
    <row r="499" spans="3:22" x14ac:dyDescent="0.35">
      <c r="C499" s="16"/>
      <c r="U499" s="16"/>
      <c r="V499" s="16"/>
    </row>
    <row r="500" spans="3:22" x14ac:dyDescent="0.35">
      <c r="C500" s="16"/>
      <c r="U500" s="16"/>
      <c r="V500" s="16"/>
    </row>
    <row r="501" spans="3:22" x14ac:dyDescent="0.35">
      <c r="C501" s="16"/>
      <c r="U501" s="16"/>
      <c r="V501" s="16"/>
    </row>
    <row r="502" spans="3:22" x14ac:dyDescent="0.35">
      <c r="C502" s="16"/>
      <c r="U502" s="16"/>
      <c r="V502" s="16"/>
    </row>
    <row r="503" spans="3:22" x14ac:dyDescent="0.35">
      <c r="C503" s="16"/>
      <c r="U503" s="16"/>
      <c r="V503" s="16"/>
    </row>
    <row r="504" spans="3:22" x14ac:dyDescent="0.35">
      <c r="C504" s="16"/>
      <c r="U504" s="16"/>
      <c r="V504" s="16"/>
    </row>
    <row r="505" spans="3:22" x14ac:dyDescent="0.35">
      <c r="C505" s="16"/>
      <c r="U505" s="16"/>
      <c r="V505" s="16"/>
    </row>
    <row r="506" spans="3:22" x14ac:dyDescent="0.35">
      <c r="C506" s="16"/>
      <c r="U506" s="16"/>
      <c r="V506" s="16"/>
    </row>
    <row r="507" spans="3:22" x14ac:dyDescent="0.35">
      <c r="C507" s="16"/>
      <c r="U507" s="16"/>
      <c r="V507" s="16"/>
    </row>
    <row r="508" spans="3:22" x14ac:dyDescent="0.35">
      <c r="C508" s="16"/>
      <c r="U508" s="16"/>
      <c r="V508" s="16"/>
    </row>
    <row r="509" spans="3:22" x14ac:dyDescent="0.35">
      <c r="C509" s="16"/>
      <c r="U509" s="16"/>
      <c r="V509" s="16"/>
    </row>
    <row r="510" spans="3:22" x14ac:dyDescent="0.35">
      <c r="C510" s="16"/>
      <c r="U510" s="16"/>
      <c r="V510" s="16"/>
    </row>
    <row r="511" spans="3:22" x14ac:dyDescent="0.35">
      <c r="C511" s="16"/>
      <c r="U511" s="16"/>
      <c r="V511" s="16"/>
    </row>
    <row r="512" spans="3:22" x14ac:dyDescent="0.35">
      <c r="C512" s="16"/>
      <c r="U512" s="16"/>
      <c r="V512" s="16"/>
    </row>
    <row r="513" spans="3:22" x14ac:dyDescent="0.35">
      <c r="C513" s="16"/>
      <c r="U513" s="16"/>
      <c r="V513" s="16"/>
    </row>
    <row r="514" spans="3:22" x14ac:dyDescent="0.35">
      <c r="C514" s="16"/>
      <c r="U514" s="16"/>
      <c r="V514" s="16"/>
    </row>
    <row r="515" spans="3:22" x14ac:dyDescent="0.35">
      <c r="C515" s="16"/>
      <c r="U515" s="16"/>
      <c r="V515" s="16"/>
    </row>
    <row r="516" spans="3:22" x14ac:dyDescent="0.35">
      <c r="C516" s="16"/>
      <c r="U516" s="16"/>
      <c r="V516" s="16"/>
    </row>
    <row r="517" spans="3:22" x14ac:dyDescent="0.35">
      <c r="C517" s="16"/>
      <c r="U517" s="16"/>
      <c r="V517" s="16"/>
    </row>
    <row r="518" spans="3:22" x14ac:dyDescent="0.35">
      <c r="C518" s="16"/>
      <c r="U518" s="16"/>
      <c r="V518" s="16"/>
    </row>
    <row r="519" spans="3:22" x14ac:dyDescent="0.35">
      <c r="C519" s="16"/>
      <c r="U519" s="16"/>
      <c r="V519" s="16"/>
    </row>
    <row r="520" spans="3:22" x14ac:dyDescent="0.35">
      <c r="C520" s="16"/>
      <c r="U520" s="16"/>
      <c r="V520" s="16"/>
    </row>
    <row r="521" spans="3:22" x14ac:dyDescent="0.35">
      <c r="C521" s="16"/>
      <c r="U521" s="16"/>
      <c r="V521" s="16"/>
    </row>
    <row r="522" spans="3:22" x14ac:dyDescent="0.35">
      <c r="C522" s="16"/>
      <c r="U522" s="16"/>
      <c r="V522" s="16"/>
    </row>
    <row r="523" spans="3:22" x14ac:dyDescent="0.35">
      <c r="C523" s="16"/>
      <c r="U523" s="16"/>
      <c r="V523" s="16"/>
    </row>
    <row r="524" spans="3:22" x14ac:dyDescent="0.35">
      <c r="C524" s="16"/>
      <c r="U524" s="16"/>
      <c r="V524" s="16"/>
    </row>
    <row r="525" spans="3:22" x14ac:dyDescent="0.35">
      <c r="C525" s="16"/>
      <c r="U525" s="16"/>
      <c r="V525" s="16"/>
    </row>
    <row r="526" spans="3:22" x14ac:dyDescent="0.35">
      <c r="C526" s="16"/>
      <c r="U526" s="16"/>
      <c r="V526" s="16"/>
    </row>
    <row r="527" spans="3:22" x14ac:dyDescent="0.35">
      <c r="C527" s="16"/>
      <c r="U527" s="16"/>
      <c r="V527" s="16"/>
    </row>
    <row r="528" spans="3:22" x14ac:dyDescent="0.35">
      <c r="C528" s="16"/>
      <c r="U528" s="16"/>
      <c r="V528" s="16"/>
    </row>
    <row r="529" spans="3:22" x14ac:dyDescent="0.35">
      <c r="C529" s="16"/>
      <c r="U529" s="16"/>
      <c r="V529" s="16"/>
    </row>
    <row r="530" spans="3:22" x14ac:dyDescent="0.35">
      <c r="C530" s="16"/>
      <c r="U530" s="16"/>
      <c r="V530" s="16"/>
    </row>
    <row r="531" spans="3:22" x14ac:dyDescent="0.35">
      <c r="C531" s="16"/>
      <c r="U531" s="16"/>
      <c r="V531" s="16"/>
    </row>
    <row r="532" spans="3:22" x14ac:dyDescent="0.35">
      <c r="C532" s="16"/>
      <c r="U532" s="16"/>
      <c r="V532" s="16"/>
    </row>
    <row r="533" spans="3:22" x14ac:dyDescent="0.35">
      <c r="C533" s="16"/>
      <c r="U533" s="16"/>
      <c r="V533" s="16"/>
    </row>
    <row r="534" spans="3:22" x14ac:dyDescent="0.35">
      <c r="C534" s="16"/>
      <c r="U534" s="16"/>
      <c r="V534" s="16"/>
    </row>
    <row r="535" spans="3:22" x14ac:dyDescent="0.35">
      <c r="C535" s="16"/>
      <c r="U535" s="16"/>
      <c r="V535" s="16"/>
    </row>
    <row r="536" spans="3:22" x14ac:dyDescent="0.35">
      <c r="C536" s="16"/>
      <c r="U536" s="16"/>
      <c r="V536" s="16"/>
    </row>
    <row r="537" spans="3:22" x14ac:dyDescent="0.35">
      <c r="C537" s="16"/>
      <c r="U537" s="16"/>
      <c r="V537" s="16"/>
    </row>
    <row r="538" spans="3:22" x14ac:dyDescent="0.35">
      <c r="C538" s="16"/>
      <c r="U538" s="16"/>
      <c r="V538" s="16"/>
    </row>
    <row r="539" spans="3:22" x14ac:dyDescent="0.35">
      <c r="C539" s="16"/>
      <c r="U539" s="16"/>
      <c r="V539" s="16"/>
    </row>
    <row r="540" spans="3:22" x14ac:dyDescent="0.35">
      <c r="C540" s="16"/>
      <c r="U540" s="16"/>
      <c r="V540" s="16"/>
    </row>
    <row r="541" spans="3:22" x14ac:dyDescent="0.35">
      <c r="C541" s="16"/>
      <c r="U541" s="16"/>
      <c r="V541" s="16"/>
    </row>
    <row r="542" spans="3:22" x14ac:dyDescent="0.35">
      <c r="C542" s="16"/>
      <c r="U542" s="16"/>
      <c r="V542" s="16"/>
    </row>
    <row r="543" spans="3:22" x14ac:dyDescent="0.35">
      <c r="C543" s="16"/>
      <c r="U543" s="16"/>
      <c r="V543" s="16"/>
    </row>
    <row r="544" spans="3:22" x14ac:dyDescent="0.35">
      <c r="C544" s="16"/>
      <c r="U544" s="16"/>
      <c r="V544" s="16"/>
    </row>
    <row r="545" spans="3:22" x14ac:dyDescent="0.35">
      <c r="C545" s="16"/>
      <c r="U545" s="16"/>
      <c r="V545" s="16"/>
    </row>
    <row r="546" spans="3:22" x14ac:dyDescent="0.35">
      <c r="C546" s="16"/>
      <c r="U546" s="16"/>
      <c r="V546" s="16"/>
    </row>
    <row r="547" spans="3:22" x14ac:dyDescent="0.35">
      <c r="C547" s="16"/>
      <c r="U547" s="16"/>
      <c r="V547" s="16"/>
    </row>
    <row r="548" spans="3:22" x14ac:dyDescent="0.35">
      <c r="C548" s="16"/>
      <c r="U548" s="16"/>
      <c r="V548" s="16"/>
    </row>
    <row r="549" spans="3:22" x14ac:dyDescent="0.35">
      <c r="C549" s="16"/>
      <c r="U549" s="16"/>
      <c r="V549" s="16"/>
    </row>
    <row r="550" spans="3:22" x14ac:dyDescent="0.35">
      <c r="C550" s="16"/>
      <c r="U550" s="16"/>
      <c r="V550" s="16"/>
    </row>
    <row r="551" spans="3:22" x14ac:dyDescent="0.35">
      <c r="C551" s="16"/>
      <c r="U551" s="16"/>
      <c r="V551" s="16"/>
    </row>
    <row r="552" spans="3:22" x14ac:dyDescent="0.35">
      <c r="C552" s="16"/>
      <c r="U552" s="16"/>
      <c r="V552" s="16"/>
    </row>
    <row r="553" spans="3:22" x14ac:dyDescent="0.35">
      <c r="C553" s="16"/>
      <c r="U553" s="16"/>
      <c r="V553" s="16"/>
    </row>
    <row r="554" spans="3:22" x14ac:dyDescent="0.35">
      <c r="C554" s="16"/>
      <c r="U554" s="16"/>
      <c r="V554" s="16"/>
    </row>
    <row r="555" spans="3:22" x14ac:dyDescent="0.35">
      <c r="C555" s="16"/>
      <c r="U555" s="16"/>
      <c r="V555" s="16"/>
    </row>
    <row r="556" spans="3:22" x14ac:dyDescent="0.35">
      <c r="C556" s="16"/>
      <c r="U556" s="16"/>
      <c r="V556" s="16"/>
    </row>
    <row r="557" spans="3:22" x14ac:dyDescent="0.35">
      <c r="C557" s="16"/>
      <c r="U557" s="16"/>
      <c r="V557" s="16"/>
    </row>
    <row r="558" spans="3:22" x14ac:dyDescent="0.35">
      <c r="C558" s="16"/>
      <c r="U558" s="16"/>
      <c r="V558" s="16"/>
    </row>
    <row r="559" spans="3:22" x14ac:dyDescent="0.35">
      <c r="C559" s="16"/>
      <c r="U559" s="16"/>
      <c r="V559" s="16"/>
    </row>
    <row r="560" spans="3:22" x14ac:dyDescent="0.35">
      <c r="C560" s="16"/>
      <c r="U560" s="16"/>
      <c r="V560" s="16"/>
    </row>
    <row r="561" spans="3:22" x14ac:dyDescent="0.35">
      <c r="C561" s="16"/>
      <c r="U561" s="16"/>
      <c r="V561" s="16"/>
    </row>
    <row r="562" spans="3:22" x14ac:dyDescent="0.35">
      <c r="C562" s="16"/>
      <c r="U562" s="16"/>
      <c r="V562" s="16"/>
    </row>
    <row r="563" spans="3:22" x14ac:dyDescent="0.35">
      <c r="C563" s="16"/>
      <c r="U563" s="16"/>
      <c r="V563" s="16"/>
    </row>
    <row r="564" spans="3:22" x14ac:dyDescent="0.35">
      <c r="C564" s="16"/>
      <c r="U564" s="16"/>
      <c r="V564" s="16"/>
    </row>
    <row r="565" spans="3:22" x14ac:dyDescent="0.35">
      <c r="C565" s="16"/>
      <c r="U565" s="16"/>
      <c r="V565" s="16"/>
    </row>
    <row r="566" spans="3:22" x14ac:dyDescent="0.35">
      <c r="C566" s="16"/>
      <c r="U566" s="16"/>
      <c r="V566" s="16"/>
    </row>
    <row r="567" spans="3:22" x14ac:dyDescent="0.35">
      <c r="C567" s="16"/>
      <c r="U567" s="16"/>
      <c r="V567" s="16"/>
    </row>
    <row r="568" spans="3:22" x14ac:dyDescent="0.35">
      <c r="C568" s="16"/>
      <c r="U568" s="16"/>
      <c r="V568" s="16"/>
    </row>
    <row r="569" spans="3:22" x14ac:dyDescent="0.35">
      <c r="C569" s="16"/>
      <c r="U569" s="16"/>
      <c r="V569" s="16"/>
    </row>
    <row r="570" spans="3:22" x14ac:dyDescent="0.35">
      <c r="C570" s="16"/>
      <c r="U570" s="16"/>
      <c r="V570" s="16"/>
    </row>
    <row r="571" spans="3:22" x14ac:dyDescent="0.35">
      <c r="C571" s="16"/>
      <c r="U571" s="16"/>
      <c r="V571" s="16"/>
    </row>
    <row r="572" spans="3:22" x14ac:dyDescent="0.35">
      <c r="C572" s="16"/>
      <c r="U572" s="16"/>
      <c r="V572" s="16"/>
    </row>
    <row r="573" spans="3:22" x14ac:dyDescent="0.35">
      <c r="C573" s="16"/>
      <c r="U573" s="16"/>
      <c r="V573" s="16"/>
    </row>
    <row r="574" spans="3:22" x14ac:dyDescent="0.35">
      <c r="C574" s="16"/>
      <c r="U574" s="16"/>
      <c r="V574" s="16"/>
    </row>
    <row r="575" spans="3:22" x14ac:dyDescent="0.35">
      <c r="C575" s="16"/>
      <c r="U575" s="16"/>
      <c r="V575" s="16"/>
    </row>
    <row r="576" spans="3:22" x14ac:dyDescent="0.35">
      <c r="C576" s="16"/>
      <c r="U576" s="16"/>
      <c r="V576" s="16"/>
    </row>
    <row r="577" spans="3:22" x14ac:dyDescent="0.35">
      <c r="C577" s="16"/>
      <c r="U577" s="16"/>
      <c r="V577" s="16"/>
    </row>
    <row r="578" spans="3:22" x14ac:dyDescent="0.35">
      <c r="C578" s="16"/>
      <c r="U578" s="16"/>
      <c r="V578" s="16"/>
    </row>
    <row r="579" spans="3:22" x14ac:dyDescent="0.35">
      <c r="C579" s="16"/>
      <c r="U579" s="16"/>
      <c r="V579" s="16"/>
    </row>
    <row r="580" spans="3:22" x14ac:dyDescent="0.35">
      <c r="C580" s="16"/>
      <c r="U580" s="16"/>
      <c r="V580" s="16"/>
    </row>
    <row r="581" spans="3:22" x14ac:dyDescent="0.35">
      <c r="C581" s="16"/>
      <c r="U581" s="16"/>
      <c r="V581" s="16"/>
    </row>
    <row r="582" spans="3:22" x14ac:dyDescent="0.35">
      <c r="C582" s="16"/>
      <c r="U582" s="16"/>
      <c r="V582" s="16"/>
    </row>
    <row r="583" spans="3:22" x14ac:dyDescent="0.35">
      <c r="C583" s="16"/>
      <c r="U583" s="16"/>
      <c r="V583" s="16"/>
    </row>
    <row r="584" spans="3:22" x14ac:dyDescent="0.35">
      <c r="C584" s="16"/>
      <c r="U584" s="16"/>
      <c r="V584" s="16"/>
    </row>
    <row r="585" spans="3:22" x14ac:dyDescent="0.35">
      <c r="C585" s="16"/>
      <c r="U585" s="16"/>
      <c r="V585" s="16"/>
    </row>
    <row r="586" spans="3:22" x14ac:dyDescent="0.35">
      <c r="C586" s="16"/>
      <c r="U586" s="16"/>
      <c r="V586" s="16"/>
    </row>
    <row r="587" spans="3:22" x14ac:dyDescent="0.35">
      <c r="C587" s="16"/>
      <c r="U587" s="16"/>
      <c r="V587" s="16"/>
    </row>
    <row r="588" spans="3:22" x14ac:dyDescent="0.35">
      <c r="C588" s="16"/>
      <c r="U588" s="16"/>
      <c r="V588" s="16"/>
    </row>
    <row r="589" spans="3:22" x14ac:dyDescent="0.35">
      <c r="C589" s="16"/>
      <c r="U589" s="16"/>
      <c r="V589" s="16"/>
    </row>
    <row r="590" spans="3:22" x14ac:dyDescent="0.35">
      <c r="C590" s="16"/>
      <c r="U590" s="16"/>
      <c r="V590" s="16"/>
    </row>
    <row r="591" spans="3:22" x14ac:dyDescent="0.35">
      <c r="C591" s="16"/>
      <c r="U591" s="16"/>
      <c r="V591" s="16"/>
    </row>
    <row r="592" spans="3:22" x14ac:dyDescent="0.35">
      <c r="C592" s="16"/>
      <c r="U592" s="16"/>
      <c r="V592" s="16"/>
    </row>
    <row r="593" spans="3:22" x14ac:dyDescent="0.35">
      <c r="C593" s="16"/>
      <c r="U593" s="16"/>
      <c r="V593" s="16"/>
    </row>
    <row r="594" spans="3:22" x14ac:dyDescent="0.35">
      <c r="C594" s="16"/>
      <c r="U594" s="16"/>
      <c r="V594" s="16"/>
    </row>
    <row r="595" spans="3:22" x14ac:dyDescent="0.35">
      <c r="C595" s="16"/>
      <c r="U595" s="16"/>
      <c r="V595" s="16"/>
    </row>
    <row r="596" spans="3:22" x14ac:dyDescent="0.35">
      <c r="C596" s="16"/>
      <c r="U596" s="16"/>
      <c r="V596" s="16"/>
    </row>
    <row r="597" spans="3:22" x14ac:dyDescent="0.35">
      <c r="C597" s="16"/>
      <c r="U597" s="16"/>
      <c r="V597" s="16"/>
    </row>
    <row r="598" spans="3:22" x14ac:dyDescent="0.35">
      <c r="C598" s="16"/>
      <c r="U598" s="16"/>
      <c r="V598" s="16"/>
    </row>
    <row r="599" spans="3:22" x14ac:dyDescent="0.35">
      <c r="C599" s="16"/>
      <c r="U599" s="16"/>
      <c r="V599" s="16"/>
    </row>
    <row r="600" spans="3:22" x14ac:dyDescent="0.35">
      <c r="C600" s="16"/>
      <c r="U600" s="16"/>
      <c r="V600" s="16"/>
    </row>
    <row r="601" spans="3:22" x14ac:dyDescent="0.35">
      <c r="C601" s="16"/>
      <c r="U601" s="16"/>
      <c r="V601" s="16"/>
    </row>
    <row r="602" spans="3:22" x14ac:dyDescent="0.35">
      <c r="C602" s="16"/>
      <c r="U602" s="16"/>
      <c r="V602" s="16"/>
    </row>
    <row r="603" spans="3:22" x14ac:dyDescent="0.35">
      <c r="C603" s="16"/>
      <c r="U603" s="16"/>
      <c r="V603" s="16"/>
    </row>
    <row r="604" spans="3:22" x14ac:dyDescent="0.35">
      <c r="C604" s="16"/>
      <c r="U604" s="16"/>
      <c r="V604" s="16"/>
    </row>
    <row r="605" spans="3:22" x14ac:dyDescent="0.35">
      <c r="C605" s="16"/>
      <c r="U605" s="16"/>
      <c r="V605" s="16"/>
    </row>
    <row r="606" spans="3:22" x14ac:dyDescent="0.35">
      <c r="C606" s="16"/>
      <c r="U606" s="16"/>
      <c r="V606" s="16"/>
    </row>
    <row r="607" spans="3:22" x14ac:dyDescent="0.35">
      <c r="C607" s="16"/>
      <c r="U607" s="16"/>
      <c r="V607" s="16"/>
    </row>
    <row r="608" spans="3:22" x14ac:dyDescent="0.35">
      <c r="C608" s="16"/>
      <c r="U608" s="16"/>
      <c r="V608" s="16"/>
    </row>
    <row r="609" spans="3:22" x14ac:dyDescent="0.35">
      <c r="C609" s="16"/>
      <c r="U609" s="16"/>
      <c r="V609" s="16"/>
    </row>
    <row r="610" spans="3:22" x14ac:dyDescent="0.35">
      <c r="C610" s="16"/>
      <c r="U610" s="16"/>
      <c r="V610" s="16"/>
    </row>
    <row r="611" spans="3:22" x14ac:dyDescent="0.35">
      <c r="C611" s="16"/>
      <c r="U611" s="16"/>
      <c r="V611" s="16"/>
    </row>
    <row r="612" spans="3:22" x14ac:dyDescent="0.35">
      <c r="C612" s="16"/>
      <c r="U612" s="16"/>
      <c r="V612" s="16"/>
    </row>
    <row r="613" spans="3:22" x14ac:dyDescent="0.35">
      <c r="C613" s="16"/>
      <c r="U613" s="16"/>
      <c r="V613" s="16"/>
    </row>
    <row r="614" spans="3:22" x14ac:dyDescent="0.35">
      <c r="C614" s="16"/>
      <c r="U614" s="16"/>
      <c r="V614" s="16"/>
    </row>
    <row r="615" spans="3:22" x14ac:dyDescent="0.35">
      <c r="C615" s="16"/>
      <c r="U615" s="16"/>
      <c r="V615" s="16"/>
    </row>
    <row r="616" spans="3:22" x14ac:dyDescent="0.35">
      <c r="C616" s="16"/>
      <c r="U616" s="16"/>
      <c r="V616" s="16"/>
    </row>
    <row r="617" spans="3:22" x14ac:dyDescent="0.35">
      <c r="C617" s="16"/>
      <c r="U617" s="16"/>
      <c r="V617" s="16"/>
    </row>
    <row r="618" spans="3:22" x14ac:dyDescent="0.35">
      <c r="C618" s="16"/>
      <c r="U618" s="16"/>
      <c r="V618" s="16"/>
    </row>
    <row r="619" spans="3:22" x14ac:dyDescent="0.35">
      <c r="C619" s="16"/>
      <c r="U619" s="16"/>
      <c r="V619" s="16"/>
    </row>
    <row r="620" spans="3:22" x14ac:dyDescent="0.35">
      <c r="C620" s="16"/>
      <c r="U620" s="16"/>
      <c r="V620" s="16"/>
    </row>
    <row r="621" spans="3:22" x14ac:dyDescent="0.35">
      <c r="C621" s="16"/>
      <c r="U621" s="16"/>
      <c r="V621" s="16"/>
    </row>
    <row r="622" spans="3:22" x14ac:dyDescent="0.35">
      <c r="C622" s="16"/>
      <c r="U622" s="16"/>
      <c r="V622" s="16"/>
    </row>
    <row r="623" spans="3:22" x14ac:dyDescent="0.35">
      <c r="C623" s="16"/>
      <c r="U623" s="16"/>
      <c r="V623" s="16"/>
    </row>
    <row r="624" spans="3:22" x14ac:dyDescent="0.35">
      <c r="C624" s="16"/>
      <c r="U624" s="16"/>
      <c r="V624" s="16"/>
    </row>
    <row r="625" spans="3:22" x14ac:dyDescent="0.35">
      <c r="C625" s="16"/>
      <c r="U625" s="16"/>
      <c r="V625" s="16"/>
    </row>
    <row r="626" spans="3:22" x14ac:dyDescent="0.35">
      <c r="C626" s="16"/>
      <c r="U626" s="16"/>
      <c r="V626" s="16"/>
    </row>
    <row r="627" spans="3:22" x14ac:dyDescent="0.35">
      <c r="C627" s="16"/>
      <c r="U627" s="16"/>
      <c r="V627" s="16"/>
    </row>
    <row r="628" spans="3:22" x14ac:dyDescent="0.35">
      <c r="C628" s="16"/>
      <c r="U628" s="16"/>
      <c r="V628" s="16"/>
    </row>
    <row r="629" spans="3:22" x14ac:dyDescent="0.35">
      <c r="C629" s="16"/>
      <c r="U629" s="16"/>
      <c r="V629" s="16"/>
    </row>
    <row r="630" spans="3:22" x14ac:dyDescent="0.35">
      <c r="C630" s="16"/>
      <c r="U630" s="16"/>
      <c r="V630" s="16"/>
    </row>
    <row r="631" spans="3:22" x14ac:dyDescent="0.35">
      <c r="C631" s="16"/>
      <c r="U631" s="16"/>
      <c r="V631" s="16"/>
    </row>
    <row r="632" spans="3:22" x14ac:dyDescent="0.35">
      <c r="C632" s="16"/>
      <c r="U632" s="16"/>
      <c r="V632" s="16"/>
    </row>
    <row r="633" spans="3:22" x14ac:dyDescent="0.35">
      <c r="C633" s="16"/>
      <c r="U633" s="16"/>
      <c r="V633" s="16"/>
    </row>
    <row r="634" spans="3:22" x14ac:dyDescent="0.35">
      <c r="C634" s="16"/>
      <c r="U634" s="16"/>
      <c r="V634" s="16"/>
    </row>
    <row r="635" spans="3:22" x14ac:dyDescent="0.35">
      <c r="C635" s="16"/>
      <c r="U635" s="16"/>
      <c r="V635" s="16"/>
    </row>
    <row r="636" spans="3:22" x14ac:dyDescent="0.35">
      <c r="C636" s="16"/>
      <c r="U636" s="16"/>
      <c r="V636" s="16"/>
    </row>
    <row r="637" spans="3:22" x14ac:dyDescent="0.35">
      <c r="C637" s="16"/>
      <c r="U637" s="16"/>
      <c r="V637" s="16"/>
    </row>
    <row r="638" spans="3:22" x14ac:dyDescent="0.35">
      <c r="C638" s="16"/>
      <c r="U638" s="16"/>
      <c r="V638" s="16"/>
    </row>
    <row r="639" spans="3:22" x14ac:dyDescent="0.35">
      <c r="C639" s="16"/>
      <c r="U639" s="16"/>
      <c r="V639" s="16"/>
    </row>
    <row r="640" spans="3:22" x14ac:dyDescent="0.35">
      <c r="C640" s="16"/>
      <c r="U640" s="16"/>
      <c r="V640" s="16"/>
    </row>
    <row r="641" spans="3:22" x14ac:dyDescent="0.35">
      <c r="C641" s="16"/>
      <c r="U641" s="16"/>
      <c r="V641" s="16"/>
    </row>
    <row r="642" spans="3:22" x14ac:dyDescent="0.35">
      <c r="C642" s="16"/>
      <c r="U642" s="16"/>
      <c r="V642" s="16"/>
    </row>
    <row r="643" spans="3:22" x14ac:dyDescent="0.35">
      <c r="C643" s="16"/>
      <c r="U643" s="16"/>
      <c r="V643" s="16"/>
    </row>
    <row r="644" spans="3:22" x14ac:dyDescent="0.35">
      <c r="C644" s="16"/>
      <c r="U644" s="16"/>
      <c r="V644" s="16"/>
    </row>
    <row r="645" spans="3:22" x14ac:dyDescent="0.35">
      <c r="C645" s="16"/>
      <c r="U645" s="16"/>
      <c r="V645" s="16"/>
    </row>
    <row r="646" spans="3:22" x14ac:dyDescent="0.35">
      <c r="C646" s="16"/>
      <c r="U646" s="16"/>
      <c r="V646" s="16"/>
    </row>
    <row r="647" spans="3:22" x14ac:dyDescent="0.35">
      <c r="C647" s="16"/>
      <c r="U647" s="16"/>
      <c r="V647" s="16"/>
    </row>
    <row r="648" spans="3:22" x14ac:dyDescent="0.35">
      <c r="C648" s="16"/>
      <c r="U648" s="16"/>
      <c r="V648" s="16"/>
    </row>
    <row r="649" spans="3:22" x14ac:dyDescent="0.35">
      <c r="C649" s="16"/>
      <c r="U649" s="16"/>
      <c r="V649" s="16"/>
    </row>
    <row r="650" spans="3:22" x14ac:dyDescent="0.35">
      <c r="C650" s="16"/>
      <c r="U650" s="16"/>
      <c r="V650" s="16"/>
    </row>
    <row r="651" spans="3:22" x14ac:dyDescent="0.35">
      <c r="C651" s="16"/>
      <c r="U651" s="16"/>
      <c r="V651" s="16"/>
    </row>
    <row r="652" spans="3:22" x14ac:dyDescent="0.35">
      <c r="C652" s="16"/>
      <c r="U652" s="16"/>
      <c r="V652" s="16"/>
    </row>
    <row r="653" spans="3:22" x14ac:dyDescent="0.35">
      <c r="C653" s="16"/>
      <c r="U653" s="16"/>
      <c r="V653" s="16"/>
    </row>
    <row r="654" spans="3:22" x14ac:dyDescent="0.35">
      <c r="C654" s="16"/>
      <c r="U654" s="16"/>
      <c r="V654" s="16"/>
    </row>
    <row r="655" spans="3:22" x14ac:dyDescent="0.35">
      <c r="C655" s="16"/>
      <c r="U655" s="16"/>
      <c r="V655" s="16"/>
    </row>
    <row r="656" spans="3:22" x14ac:dyDescent="0.35">
      <c r="C656" s="16"/>
      <c r="U656" s="16"/>
      <c r="V656" s="16"/>
    </row>
    <row r="657" spans="3:22" x14ac:dyDescent="0.35">
      <c r="C657" s="16"/>
      <c r="U657" s="16"/>
      <c r="V657" s="16"/>
    </row>
    <row r="658" spans="3:22" x14ac:dyDescent="0.35">
      <c r="C658" s="16"/>
      <c r="U658" s="16"/>
      <c r="V658" s="16"/>
    </row>
    <row r="659" spans="3:22" x14ac:dyDescent="0.35">
      <c r="C659" s="16"/>
      <c r="U659" s="16"/>
      <c r="V659" s="16"/>
    </row>
    <row r="660" spans="3:22" x14ac:dyDescent="0.35">
      <c r="C660" s="16"/>
      <c r="U660" s="16"/>
      <c r="V660" s="16"/>
    </row>
    <row r="661" spans="3:22" x14ac:dyDescent="0.35">
      <c r="C661" s="16"/>
      <c r="U661" s="16"/>
      <c r="V661" s="16"/>
    </row>
    <row r="662" spans="3:22" x14ac:dyDescent="0.35">
      <c r="C662" s="16"/>
      <c r="U662" s="16"/>
      <c r="V662" s="16"/>
    </row>
    <row r="663" spans="3:22" x14ac:dyDescent="0.35">
      <c r="C663" s="16"/>
      <c r="U663" s="16"/>
      <c r="V663" s="16"/>
    </row>
    <row r="664" spans="3:22" x14ac:dyDescent="0.35">
      <c r="C664" s="16"/>
      <c r="U664" s="16"/>
      <c r="V664" s="16"/>
    </row>
    <row r="665" spans="3:22" x14ac:dyDescent="0.35">
      <c r="C665" s="16"/>
      <c r="U665" s="16"/>
      <c r="V665" s="16"/>
    </row>
    <row r="666" spans="3:22" x14ac:dyDescent="0.35">
      <c r="C666" s="16"/>
      <c r="U666" s="16"/>
      <c r="V666" s="16"/>
    </row>
    <row r="667" spans="3:22" x14ac:dyDescent="0.35">
      <c r="C667" s="16"/>
      <c r="U667" s="16"/>
      <c r="V667" s="16"/>
    </row>
    <row r="668" spans="3:22" x14ac:dyDescent="0.35">
      <c r="C668" s="16"/>
      <c r="U668" s="16"/>
      <c r="V668" s="16"/>
    </row>
    <row r="669" spans="3:22" x14ac:dyDescent="0.35">
      <c r="C669" s="16"/>
      <c r="U669" s="16"/>
      <c r="V669" s="16"/>
    </row>
    <row r="670" spans="3:22" x14ac:dyDescent="0.35">
      <c r="C670" s="16"/>
      <c r="U670" s="16"/>
      <c r="V670" s="16"/>
    </row>
    <row r="671" spans="3:22" x14ac:dyDescent="0.35">
      <c r="C671" s="16"/>
      <c r="U671" s="16"/>
      <c r="V671" s="16"/>
    </row>
    <row r="672" spans="3:22" x14ac:dyDescent="0.35">
      <c r="C672" s="16"/>
      <c r="U672" s="16"/>
      <c r="V672" s="16"/>
    </row>
    <row r="673" spans="3:22" x14ac:dyDescent="0.35">
      <c r="C673" s="16"/>
      <c r="U673" s="16"/>
      <c r="V673" s="16"/>
    </row>
    <row r="674" spans="3:22" x14ac:dyDescent="0.35">
      <c r="C674" s="16"/>
      <c r="U674" s="16"/>
      <c r="V674" s="16"/>
    </row>
    <row r="675" spans="3:22" x14ac:dyDescent="0.35">
      <c r="C675" s="16"/>
      <c r="U675" s="16"/>
      <c r="V675" s="16"/>
    </row>
    <row r="676" spans="3:22" x14ac:dyDescent="0.35">
      <c r="C676" s="16"/>
      <c r="U676" s="16"/>
      <c r="V676" s="16"/>
    </row>
    <row r="677" spans="3:22" x14ac:dyDescent="0.35">
      <c r="C677" s="16"/>
      <c r="U677" s="16"/>
      <c r="V677" s="16"/>
    </row>
    <row r="678" spans="3:22" x14ac:dyDescent="0.35">
      <c r="C678" s="16"/>
      <c r="U678" s="16"/>
      <c r="V678" s="16"/>
    </row>
    <row r="679" spans="3:22" x14ac:dyDescent="0.35">
      <c r="C679" s="16"/>
      <c r="U679" s="16"/>
      <c r="V679" s="16"/>
    </row>
    <row r="680" spans="3:22" x14ac:dyDescent="0.35">
      <c r="C680" s="16"/>
      <c r="U680" s="16"/>
      <c r="V680" s="16"/>
    </row>
    <row r="681" spans="3:22" x14ac:dyDescent="0.35">
      <c r="C681" s="16"/>
      <c r="U681" s="16"/>
      <c r="V681" s="16"/>
    </row>
    <row r="682" spans="3:22" x14ac:dyDescent="0.35">
      <c r="C682" s="16"/>
      <c r="U682" s="16"/>
      <c r="V682" s="16"/>
    </row>
    <row r="683" spans="3:22" x14ac:dyDescent="0.35">
      <c r="C683" s="16"/>
      <c r="U683" s="16"/>
      <c r="V683" s="16"/>
    </row>
    <row r="684" spans="3:22" x14ac:dyDescent="0.35">
      <c r="C684" s="16"/>
      <c r="U684" s="16"/>
      <c r="V684" s="16"/>
    </row>
    <row r="685" spans="3:22" x14ac:dyDescent="0.35">
      <c r="C685" s="16"/>
      <c r="U685" s="16"/>
      <c r="V685" s="16"/>
    </row>
    <row r="686" spans="3:22" x14ac:dyDescent="0.35">
      <c r="C686" s="16"/>
      <c r="U686" s="16"/>
      <c r="V686" s="16"/>
    </row>
    <row r="687" spans="3:22" x14ac:dyDescent="0.35">
      <c r="C687" s="16"/>
      <c r="U687" s="16"/>
      <c r="V687" s="16"/>
    </row>
    <row r="688" spans="3:22" x14ac:dyDescent="0.35">
      <c r="C688" s="16"/>
      <c r="U688" s="16"/>
      <c r="V688" s="16"/>
    </row>
    <row r="689" spans="3:22" x14ac:dyDescent="0.35">
      <c r="C689" s="16"/>
      <c r="U689" s="16"/>
      <c r="V689" s="16"/>
    </row>
    <row r="690" spans="3:22" x14ac:dyDescent="0.35">
      <c r="C690" s="16"/>
      <c r="U690" s="16"/>
      <c r="V690" s="16"/>
    </row>
    <row r="691" spans="3:22" x14ac:dyDescent="0.35">
      <c r="C691" s="16"/>
      <c r="U691" s="16"/>
      <c r="V691" s="16"/>
    </row>
    <row r="692" spans="3:22" x14ac:dyDescent="0.35">
      <c r="C692" s="16"/>
      <c r="U692" s="16"/>
      <c r="V692" s="16"/>
    </row>
    <row r="693" spans="3:22" x14ac:dyDescent="0.35">
      <c r="C693" s="16"/>
      <c r="U693" s="16"/>
      <c r="V693" s="16"/>
    </row>
    <row r="694" spans="3:22" x14ac:dyDescent="0.35">
      <c r="C694" s="16"/>
      <c r="U694" s="16"/>
      <c r="V694" s="16"/>
    </row>
    <row r="695" spans="3:22" x14ac:dyDescent="0.35">
      <c r="C695" s="16"/>
      <c r="U695" s="16"/>
      <c r="V695" s="16"/>
    </row>
    <row r="696" spans="3:22" x14ac:dyDescent="0.35">
      <c r="C696" s="16"/>
      <c r="U696" s="16"/>
      <c r="V696" s="16"/>
    </row>
    <row r="697" spans="3:22" x14ac:dyDescent="0.35">
      <c r="C697" s="16"/>
      <c r="U697" s="16"/>
      <c r="V697" s="16"/>
    </row>
    <row r="698" spans="3:22" x14ac:dyDescent="0.35">
      <c r="C698" s="16"/>
      <c r="U698" s="16"/>
      <c r="V698" s="16"/>
    </row>
    <row r="699" spans="3:22" x14ac:dyDescent="0.35">
      <c r="C699" s="16"/>
      <c r="U699" s="16"/>
      <c r="V699" s="16"/>
    </row>
    <row r="700" spans="3:22" x14ac:dyDescent="0.35">
      <c r="C700" s="16"/>
      <c r="U700" s="16"/>
      <c r="V700" s="16"/>
    </row>
    <row r="701" spans="3:22" x14ac:dyDescent="0.35">
      <c r="C701" s="16"/>
      <c r="U701" s="16"/>
      <c r="V701" s="16"/>
    </row>
    <row r="702" spans="3:22" x14ac:dyDescent="0.35">
      <c r="C702" s="16"/>
      <c r="U702" s="16"/>
      <c r="V702" s="16"/>
    </row>
    <row r="703" spans="3:22" x14ac:dyDescent="0.35">
      <c r="C703" s="16"/>
      <c r="U703" s="16"/>
      <c r="V703" s="16"/>
    </row>
    <row r="704" spans="3:22" x14ac:dyDescent="0.35">
      <c r="C704" s="16"/>
      <c r="U704" s="16"/>
      <c r="V704" s="16"/>
    </row>
    <row r="705" spans="3:22" x14ac:dyDescent="0.35">
      <c r="C705" s="16"/>
      <c r="U705" s="16"/>
      <c r="V705" s="16"/>
    </row>
    <row r="706" spans="3:22" x14ac:dyDescent="0.35">
      <c r="C706" s="16"/>
      <c r="U706" s="16"/>
      <c r="V706" s="16"/>
    </row>
    <row r="707" spans="3:22" x14ac:dyDescent="0.35">
      <c r="C707" s="16"/>
      <c r="U707" s="16"/>
      <c r="V707" s="16"/>
    </row>
    <row r="708" spans="3:22" x14ac:dyDescent="0.35">
      <c r="C708" s="16"/>
      <c r="U708" s="16"/>
      <c r="V708" s="16"/>
    </row>
    <row r="709" spans="3:22" x14ac:dyDescent="0.35">
      <c r="C709" s="16"/>
      <c r="U709" s="16"/>
      <c r="V709" s="16"/>
    </row>
    <row r="710" spans="3:22" x14ac:dyDescent="0.35">
      <c r="C710" s="16"/>
      <c r="U710" s="16"/>
      <c r="V710" s="16"/>
    </row>
    <row r="711" spans="3:22" x14ac:dyDescent="0.35">
      <c r="C711" s="16"/>
      <c r="U711" s="16"/>
      <c r="V711" s="16"/>
    </row>
    <row r="712" spans="3:22" x14ac:dyDescent="0.35">
      <c r="C712" s="16"/>
      <c r="U712" s="16"/>
      <c r="V712" s="16"/>
    </row>
    <row r="713" spans="3:22" x14ac:dyDescent="0.35">
      <c r="C713" s="16"/>
      <c r="U713" s="16"/>
      <c r="V713" s="16"/>
    </row>
    <row r="714" spans="3:22" x14ac:dyDescent="0.35">
      <c r="C714" s="16"/>
      <c r="U714" s="16"/>
      <c r="V714" s="16"/>
    </row>
    <row r="715" spans="3:22" x14ac:dyDescent="0.35">
      <c r="C715" s="16"/>
      <c r="U715" s="16"/>
      <c r="V715" s="16"/>
    </row>
    <row r="716" spans="3:22" x14ac:dyDescent="0.35">
      <c r="C716" s="16"/>
      <c r="U716" s="16"/>
      <c r="V716" s="16"/>
    </row>
    <row r="717" spans="3:22" x14ac:dyDescent="0.35">
      <c r="C717" s="16"/>
      <c r="U717" s="16"/>
      <c r="V717" s="16"/>
    </row>
    <row r="718" spans="3:22" x14ac:dyDescent="0.35">
      <c r="C718" s="16"/>
      <c r="U718" s="16"/>
      <c r="V718" s="16"/>
    </row>
    <row r="719" spans="3:22" x14ac:dyDescent="0.35">
      <c r="C719" s="16"/>
      <c r="U719" s="16"/>
      <c r="V719" s="16"/>
    </row>
    <row r="720" spans="3:22" x14ac:dyDescent="0.35">
      <c r="C720" s="16"/>
      <c r="U720" s="16"/>
      <c r="V720" s="16"/>
    </row>
    <row r="721" spans="3:22" x14ac:dyDescent="0.35">
      <c r="C721" s="16"/>
      <c r="U721" s="16"/>
      <c r="V721" s="16"/>
    </row>
    <row r="722" spans="3:22" x14ac:dyDescent="0.35">
      <c r="C722" s="16"/>
      <c r="U722" s="16"/>
      <c r="V722" s="16"/>
    </row>
    <row r="723" spans="3:22" x14ac:dyDescent="0.35">
      <c r="C723" s="16"/>
      <c r="U723" s="16"/>
      <c r="V723" s="16"/>
    </row>
    <row r="724" spans="3:22" x14ac:dyDescent="0.35">
      <c r="C724" s="16"/>
      <c r="U724" s="16"/>
      <c r="V724" s="16"/>
    </row>
    <row r="725" spans="3:22" x14ac:dyDescent="0.35">
      <c r="C725" s="16"/>
      <c r="U725" s="16"/>
      <c r="V725" s="16"/>
    </row>
    <row r="726" spans="3:22" x14ac:dyDescent="0.35">
      <c r="C726" s="16"/>
      <c r="U726" s="16"/>
      <c r="V726" s="16"/>
    </row>
    <row r="727" spans="3:22" x14ac:dyDescent="0.35">
      <c r="C727" s="16"/>
      <c r="U727" s="16"/>
      <c r="V727" s="16"/>
    </row>
    <row r="728" spans="3:22" x14ac:dyDescent="0.35">
      <c r="C728" s="16"/>
      <c r="U728" s="16"/>
      <c r="V728" s="16"/>
    </row>
    <row r="729" spans="3:22" x14ac:dyDescent="0.35">
      <c r="C729" s="16"/>
      <c r="U729" s="16"/>
      <c r="V729" s="16"/>
    </row>
    <row r="730" spans="3:22" x14ac:dyDescent="0.35">
      <c r="C730" s="16"/>
      <c r="U730" s="16"/>
      <c r="V730" s="16"/>
    </row>
    <row r="731" spans="3:22" x14ac:dyDescent="0.35">
      <c r="C731" s="16"/>
      <c r="U731" s="16"/>
      <c r="V731" s="16"/>
    </row>
    <row r="732" spans="3:22" x14ac:dyDescent="0.35">
      <c r="C732" s="16"/>
      <c r="U732" s="16"/>
      <c r="V732" s="16"/>
    </row>
    <row r="733" spans="3:22" x14ac:dyDescent="0.35">
      <c r="C733" s="16"/>
      <c r="U733" s="16"/>
      <c r="V733" s="16"/>
    </row>
    <row r="734" spans="3:22" x14ac:dyDescent="0.35">
      <c r="C734" s="16"/>
      <c r="U734" s="16"/>
      <c r="V734" s="16"/>
    </row>
    <row r="735" spans="3:22" x14ac:dyDescent="0.35">
      <c r="C735" s="16"/>
      <c r="U735" s="16"/>
      <c r="V735" s="16"/>
    </row>
    <row r="736" spans="3:22" x14ac:dyDescent="0.35">
      <c r="C736" s="16"/>
      <c r="U736" s="16"/>
      <c r="V736" s="16"/>
    </row>
    <row r="737" spans="3:22" x14ac:dyDescent="0.35">
      <c r="C737" s="16"/>
      <c r="U737" s="16"/>
      <c r="V737" s="16"/>
    </row>
    <row r="738" spans="3:22" x14ac:dyDescent="0.35">
      <c r="C738" s="16"/>
      <c r="U738" s="16"/>
      <c r="V738" s="16"/>
    </row>
    <row r="739" spans="3:22" x14ac:dyDescent="0.35">
      <c r="C739" s="16"/>
      <c r="U739" s="16"/>
      <c r="V739" s="16"/>
    </row>
    <row r="740" spans="3:22" x14ac:dyDescent="0.35">
      <c r="C740" s="16"/>
      <c r="U740" s="16"/>
      <c r="V740" s="16"/>
    </row>
    <row r="741" spans="3:22" x14ac:dyDescent="0.35">
      <c r="C741" s="16"/>
      <c r="U741" s="16"/>
      <c r="V741" s="16"/>
    </row>
    <row r="742" spans="3:22" x14ac:dyDescent="0.35">
      <c r="C742" s="16"/>
      <c r="U742" s="16"/>
      <c r="V742" s="16"/>
    </row>
    <row r="743" spans="3:22" x14ac:dyDescent="0.35">
      <c r="C743" s="16"/>
      <c r="U743" s="16"/>
      <c r="V743" s="16"/>
    </row>
    <row r="744" spans="3:22" x14ac:dyDescent="0.35">
      <c r="C744" s="16"/>
      <c r="U744" s="16"/>
      <c r="V744" s="16"/>
    </row>
    <row r="745" spans="3:22" x14ac:dyDescent="0.35">
      <c r="C745" s="16"/>
      <c r="U745" s="16"/>
      <c r="V745" s="16"/>
    </row>
    <row r="746" spans="3:22" x14ac:dyDescent="0.35">
      <c r="C746" s="16"/>
      <c r="U746" s="16"/>
      <c r="V746" s="16"/>
    </row>
    <row r="747" spans="3:22" x14ac:dyDescent="0.35">
      <c r="C747" s="16"/>
      <c r="U747" s="16"/>
      <c r="V747" s="16"/>
    </row>
    <row r="748" spans="3:22" x14ac:dyDescent="0.35">
      <c r="C748" s="16"/>
      <c r="U748" s="16"/>
      <c r="V748" s="16"/>
    </row>
    <row r="749" spans="3:22" x14ac:dyDescent="0.35">
      <c r="C749" s="16"/>
      <c r="U749" s="16"/>
      <c r="V749" s="16"/>
    </row>
    <row r="750" spans="3:22" x14ac:dyDescent="0.35">
      <c r="C750" s="16"/>
      <c r="U750" s="16"/>
      <c r="V750" s="16"/>
    </row>
    <row r="751" spans="3:22" x14ac:dyDescent="0.35">
      <c r="C751" s="16"/>
      <c r="U751" s="16"/>
      <c r="V751" s="16"/>
    </row>
    <row r="752" spans="3:22" x14ac:dyDescent="0.35">
      <c r="C752" s="16"/>
      <c r="U752" s="16"/>
      <c r="V752" s="16"/>
    </row>
    <row r="753" spans="3:22" x14ac:dyDescent="0.35">
      <c r="C753" s="16"/>
      <c r="U753" s="16"/>
      <c r="V753" s="16"/>
    </row>
    <row r="754" spans="3:22" x14ac:dyDescent="0.35">
      <c r="C754" s="16"/>
      <c r="U754" s="16"/>
      <c r="V754" s="16"/>
    </row>
    <row r="755" spans="3:22" x14ac:dyDescent="0.35">
      <c r="C755" s="16"/>
      <c r="U755" s="16"/>
      <c r="V755" s="16"/>
    </row>
    <row r="756" spans="3:22" x14ac:dyDescent="0.35">
      <c r="C756" s="16"/>
      <c r="U756" s="16"/>
      <c r="V756" s="16"/>
    </row>
    <row r="757" spans="3:22" x14ac:dyDescent="0.35">
      <c r="C757" s="16"/>
      <c r="U757" s="16"/>
      <c r="V757" s="16"/>
    </row>
    <row r="758" spans="3:22" x14ac:dyDescent="0.35">
      <c r="C758" s="16"/>
      <c r="U758" s="16"/>
      <c r="V758" s="16"/>
    </row>
    <row r="759" spans="3:22" x14ac:dyDescent="0.35">
      <c r="C759" s="16"/>
      <c r="U759" s="16"/>
      <c r="V759" s="16"/>
    </row>
    <row r="760" spans="3:22" x14ac:dyDescent="0.35">
      <c r="C760" s="16"/>
      <c r="U760" s="16"/>
      <c r="V760" s="16"/>
    </row>
    <row r="761" spans="3:22" x14ac:dyDescent="0.35">
      <c r="C761" s="16"/>
      <c r="U761" s="16"/>
      <c r="V761" s="16"/>
    </row>
    <row r="762" spans="3:22" x14ac:dyDescent="0.35">
      <c r="C762" s="16"/>
      <c r="U762" s="16"/>
      <c r="V762" s="16"/>
    </row>
    <row r="763" spans="3:22" x14ac:dyDescent="0.35">
      <c r="C763" s="16"/>
      <c r="U763" s="16"/>
      <c r="V763" s="16"/>
    </row>
    <row r="764" spans="3:22" x14ac:dyDescent="0.35">
      <c r="C764" s="16"/>
      <c r="U764" s="16"/>
      <c r="V764" s="16"/>
    </row>
    <row r="765" spans="3:22" x14ac:dyDescent="0.35">
      <c r="C765" s="16"/>
      <c r="U765" s="16"/>
      <c r="V765" s="16"/>
    </row>
    <row r="766" spans="3:22" x14ac:dyDescent="0.35">
      <c r="C766" s="16"/>
      <c r="U766" s="16"/>
      <c r="V766" s="16"/>
    </row>
    <row r="767" spans="3:22" x14ac:dyDescent="0.35">
      <c r="C767" s="16"/>
      <c r="U767" s="16"/>
      <c r="V767" s="16"/>
    </row>
    <row r="768" spans="3:22" x14ac:dyDescent="0.35">
      <c r="C768" s="16"/>
      <c r="U768" s="16"/>
      <c r="V768" s="16"/>
    </row>
    <row r="769" spans="3:22" x14ac:dyDescent="0.35">
      <c r="C769" s="16"/>
      <c r="U769" s="16"/>
      <c r="V769" s="16"/>
    </row>
    <row r="770" spans="3:22" x14ac:dyDescent="0.35">
      <c r="C770" s="16"/>
      <c r="U770" s="16"/>
      <c r="V770" s="16"/>
    </row>
    <row r="771" spans="3:22" x14ac:dyDescent="0.35">
      <c r="C771" s="16"/>
      <c r="U771" s="16"/>
      <c r="V771" s="16"/>
    </row>
    <row r="772" spans="3:22" x14ac:dyDescent="0.35">
      <c r="C772" s="16"/>
      <c r="U772" s="16"/>
      <c r="V772" s="16"/>
    </row>
    <row r="773" spans="3:22" x14ac:dyDescent="0.35">
      <c r="C773" s="16"/>
      <c r="U773" s="16"/>
      <c r="V773" s="16"/>
    </row>
    <row r="774" spans="3:22" x14ac:dyDescent="0.35">
      <c r="C774" s="16"/>
      <c r="U774" s="16"/>
      <c r="V774" s="16"/>
    </row>
    <row r="775" spans="3:22" x14ac:dyDescent="0.35">
      <c r="C775" s="16"/>
      <c r="U775" s="16"/>
      <c r="V775" s="16"/>
    </row>
    <row r="776" spans="3:22" x14ac:dyDescent="0.35">
      <c r="C776" s="16"/>
      <c r="U776" s="16"/>
      <c r="V776" s="16"/>
    </row>
    <row r="777" spans="3:22" x14ac:dyDescent="0.35">
      <c r="C777" s="16"/>
      <c r="U777" s="16"/>
      <c r="V777" s="16"/>
    </row>
    <row r="778" spans="3:22" x14ac:dyDescent="0.35">
      <c r="C778" s="16"/>
      <c r="U778" s="16"/>
      <c r="V778" s="16"/>
    </row>
    <row r="779" spans="3:22" x14ac:dyDescent="0.35">
      <c r="C779" s="16"/>
      <c r="U779" s="16"/>
      <c r="V779" s="16"/>
    </row>
    <row r="780" spans="3:22" x14ac:dyDescent="0.35">
      <c r="C780" s="16"/>
      <c r="U780" s="16"/>
      <c r="V780" s="16"/>
    </row>
    <row r="781" spans="3:22" x14ac:dyDescent="0.35">
      <c r="C781" s="16"/>
      <c r="U781" s="16"/>
      <c r="V781" s="16"/>
    </row>
    <row r="782" spans="3:22" x14ac:dyDescent="0.35">
      <c r="C782" s="16"/>
      <c r="U782" s="16"/>
      <c r="V782" s="16"/>
    </row>
    <row r="783" spans="3:22" x14ac:dyDescent="0.35">
      <c r="C783" s="16"/>
      <c r="U783" s="16"/>
      <c r="V783" s="16"/>
    </row>
    <row r="784" spans="3:22" x14ac:dyDescent="0.35">
      <c r="C784" s="16"/>
      <c r="U784" s="16"/>
      <c r="V784" s="16"/>
    </row>
    <row r="785" spans="3:22" x14ac:dyDescent="0.35">
      <c r="C785" s="16"/>
      <c r="U785" s="16"/>
      <c r="V785" s="16"/>
    </row>
    <row r="786" spans="3:22" x14ac:dyDescent="0.35">
      <c r="C786" s="16"/>
      <c r="U786" s="16"/>
      <c r="V786" s="16"/>
    </row>
    <row r="787" spans="3:22" x14ac:dyDescent="0.35">
      <c r="C787" s="16"/>
      <c r="U787" s="16"/>
      <c r="V787" s="16"/>
    </row>
    <row r="788" spans="3:22" x14ac:dyDescent="0.35">
      <c r="C788" s="16"/>
      <c r="U788" s="16"/>
      <c r="V788" s="16"/>
    </row>
    <row r="789" spans="3:22" x14ac:dyDescent="0.35">
      <c r="C789" s="16"/>
      <c r="U789" s="16"/>
      <c r="V789" s="16"/>
    </row>
    <row r="790" spans="3:22" x14ac:dyDescent="0.35">
      <c r="C790" s="16"/>
      <c r="U790" s="16"/>
      <c r="V790" s="16"/>
    </row>
    <row r="791" spans="3:22" x14ac:dyDescent="0.35">
      <c r="C791" s="16"/>
      <c r="U791" s="16"/>
      <c r="V791" s="16"/>
    </row>
    <row r="792" spans="3:22" x14ac:dyDescent="0.35">
      <c r="C792" s="16"/>
      <c r="U792" s="16"/>
      <c r="V792" s="16"/>
    </row>
    <row r="793" spans="3:22" x14ac:dyDescent="0.35">
      <c r="C793" s="16"/>
      <c r="U793" s="16"/>
      <c r="V793" s="16"/>
    </row>
    <row r="794" spans="3:22" x14ac:dyDescent="0.35">
      <c r="C794" s="16"/>
      <c r="U794" s="16"/>
      <c r="V794" s="16"/>
    </row>
    <row r="795" spans="3:22" x14ac:dyDescent="0.35">
      <c r="C795" s="16"/>
      <c r="U795" s="16"/>
      <c r="V795" s="16"/>
    </row>
    <row r="796" spans="3:22" x14ac:dyDescent="0.35">
      <c r="C796" s="16"/>
      <c r="U796" s="16"/>
      <c r="V796" s="16"/>
    </row>
    <row r="797" spans="3:22" x14ac:dyDescent="0.35">
      <c r="C797" s="16"/>
      <c r="U797" s="16"/>
      <c r="V797" s="16"/>
    </row>
    <row r="798" spans="3:22" x14ac:dyDescent="0.35">
      <c r="C798" s="16"/>
      <c r="U798" s="16"/>
      <c r="V798" s="16"/>
    </row>
    <row r="799" spans="3:22" x14ac:dyDescent="0.35">
      <c r="C799" s="16"/>
      <c r="U799" s="16"/>
      <c r="V799" s="16"/>
    </row>
    <row r="800" spans="3:22" x14ac:dyDescent="0.35">
      <c r="C800" s="16"/>
      <c r="U800" s="16"/>
      <c r="V800" s="16"/>
    </row>
    <row r="801" spans="3:22" x14ac:dyDescent="0.35">
      <c r="C801" s="16"/>
      <c r="U801" s="16"/>
      <c r="V801" s="16"/>
    </row>
    <row r="802" spans="3:22" x14ac:dyDescent="0.35">
      <c r="C802" s="16"/>
      <c r="U802" s="16"/>
      <c r="V802" s="16"/>
    </row>
    <row r="803" spans="3:22" x14ac:dyDescent="0.35">
      <c r="C803" s="16"/>
      <c r="U803" s="16"/>
      <c r="V803" s="16"/>
    </row>
    <row r="804" spans="3:22" x14ac:dyDescent="0.35">
      <c r="C804" s="16"/>
      <c r="U804" s="16"/>
      <c r="V804" s="16"/>
    </row>
    <row r="805" spans="3:22" x14ac:dyDescent="0.35">
      <c r="C805" s="16"/>
      <c r="U805" s="16"/>
      <c r="V805" s="16"/>
    </row>
    <row r="806" spans="3:22" x14ac:dyDescent="0.35">
      <c r="C806" s="16"/>
      <c r="U806" s="16"/>
      <c r="V806" s="16"/>
    </row>
    <row r="807" spans="3:22" x14ac:dyDescent="0.35">
      <c r="C807" s="16"/>
      <c r="U807" s="16"/>
      <c r="V807" s="16"/>
    </row>
    <row r="808" spans="3:22" x14ac:dyDescent="0.35">
      <c r="C808" s="16"/>
      <c r="U808" s="16"/>
      <c r="V808" s="16"/>
    </row>
    <row r="809" spans="3:22" x14ac:dyDescent="0.35">
      <c r="C809" s="16"/>
      <c r="U809" s="16"/>
      <c r="V809" s="16"/>
    </row>
    <row r="810" spans="3:22" x14ac:dyDescent="0.35">
      <c r="C810" s="16"/>
      <c r="U810" s="16"/>
      <c r="V810" s="16"/>
    </row>
    <row r="811" spans="3:22" x14ac:dyDescent="0.35">
      <c r="C811" s="16"/>
      <c r="U811" s="16"/>
      <c r="V811" s="16"/>
    </row>
    <row r="812" spans="3:22" x14ac:dyDescent="0.35">
      <c r="C812" s="16"/>
      <c r="U812" s="16"/>
      <c r="V812" s="16"/>
    </row>
    <row r="813" spans="3:22" x14ac:dyDescent="0.35">
      <c r="C813" s="16"/>
      <c r="U813" s="16"/>
      <c r="V813" s="16"/>
    </row>
    <row r="814" spans="3:22" x14ac:dyDescent="0.35">
      <c r="C814" s="16"/>
      <c r="U814" s="16"/>
      <c r="V814" s="16"/>
    </row>
    <row r="815" spans="3:22" x14ac:dyDescent="0.35">
      <c r="C815" s="16"/>
      <c r="U815" s="16"/>
      <c r="V815" s="16"/>
    </row>
    <row r="816" spans="3:22" x14ac:dyDescent="0.35">
      <c r="C816" s="16"/>
      <c r="U816" s="16"/>
      <c r="V816" s="16"/>
    </row>
    <row r="817" spans="3:22" x14ac:dyDescent="0.35">
      <c r="C817" s="16"/>
      <c r="U817" s="16"/>
      <c r="V817" s="16"/>
    </row>
    <row r="818" spans="3:22" x14ac:dyDescent="0.35">
      <c r="C818" s="16"/>
      <c r="U818" s="16"/>
      <c r="V818" s="16"/>
    </row>
    <row r="819" spans="3:22" x14ac:dyDescent="0.35">
      <c r="C819" s="16"/>
      <c r="U819" s="16"/>
      <c r="V819" s="16"/>
    </row>
    <row r="820" spans="3:22" x14ac:dyDescent="0.35">
      <c r="C820" s="16"/>
      <c r="U820" s="16"/>
      <c r="V820" s="16"/>
    </row>
    <row r="821" spans="3:22" x14ac:dyDescent="0.35">
      <c r="C821" s="16"/>
      <c r="U821" s="16"/>
      <c r="V821" s="16"/>
    </row>
    <row r="822" spans="3:22" x14ac:dyDescent="0.35">
      <c r="C822" s="16"/>
      <c r="U822" s="16"/>
      <c r="V822" s="16"/>
    </row>
    <row r="823" spans="3:22" x14ac:dyDescent="0.35">
      <c r="C823" s="16"/>
      <c r="U823" s="16"/>
      <c r="V823" s="16"/>
    </row>
    <row r="824" spans="3:22" x14ac:dyDescent="0.35">
      <c r="C824" s="16"/>
      <c r="U824" s="16"/>
      <c r="V824" s="16"/>
    </row>
    <row r="825" spans="3:22" x14ac:dyDescent="0.35">
      <c r="C825" s="16"/>
      <c r="U825" s="16"/>
      <c r="V825" s="16"/>
    </row>
    <row r="826" spans="3:22" x14ac:dyDescent="0.35">
      <c r="C826" s="16"/>
      <c r="U826" s="16"/>
      <c r="V826" s="16"/>
    </row>
    <row r="827" spans="3:22" x14ac:dyDescent="0.35">
      <c r="C827" s="16"/>
      <c r="U827" s="16"/>
      <c r="V827" s="16"/>
    </row>
    <row r="828" spans="3:22" x14ac:dyDescent="0.35">
      <c r="C828" s="16"/>
      <c r="U828" s="16"/>
      <c r="V828" s="16"/>
    </row>
    <row r="829" spans="3:22" x14ac:dyDescent="0.35">
      <c r="C829" s="16"/>
      <c r="U829" s="16"/>
      <c r="V829" s="16"/>
    </row>
    <row r="830" spans="3:22" x14ac:dyDescent="0.35">
      <c r="C830" s="16"/>
      <c r="U830" s="16"/>
      <c r="V830" s="16"/>
    </row>
    <row r="831" spans="3:22" x14ac:dyDescent="0.35">
      <c r="C831" s="16"/>
      <c r="U831" s="16"/>
      <c r="V831" s="16"/>
    </row>
    <row r="832" spans="3:22" x14ac:dyDescent="0.35">
      <c r="C832" s="16"/>
      <c r="U832" s="16"/>
      <c r="V832" s="16"/>
    </row>
    <row r="833" spans="3:22" x14ac:dyDescent="0.35">
      <c r="C833" s="16"/>
      <c r="U833" s="16"/>
      <c r="V833" s="16"/>
    </row>
    <row r="834" spans="3:22" x14ac:dyDescent="0.35">
      <c r="C834" s="16"/>
      <c r="U834" s="16"/>
      <c r="V834" s="16"/>
    </row>
    <row r="835" spans="3:22" x14ac:dyDescent="0.35">
      <c r="C835" s="16"/>
      <c r="U835" s="16"/>
      <c r="V835" s="16"/>
    </row>
    <row r="836" spans="3:22" x14ac:dyDescent="0.35">
      <c r="C836" s="16"/>
      <c r="U836" s="16"/>
      <c r="V836" s="16"/>
    </row>
    <row r="837" spans="3:22" x14ac:dyDescent="0.35">
      <c r="C837" s="16"/>
      <c r="U837" s="16"/>
      <c r="V837" s="16"/>
    </row>
    <row r="838" spans="3:22" x14ac:dyDescent="0.35">
      <c r="C838" s="16"/>
      <c r="U838" s="16"/>
      <c r="V838" s="16"/>
    </row>
    <row r="839" spans="3:22" x14ac:dyDescent="0.35">
      <c r="C839" s="16"/>
      <c r="U839" s="16"/>
      <c r="V839" s="16"/>
    </row>
    <row r="840" spans="3:22" x14ac:dyDescent="0.35">
      <c r="C840" s="16"/>
      <c r="U840" s="16"/>
      <c r="V840" s="16"/>
    </row>
    <row r="841" spans="3:22" x14ac:dyDescent="0.35">
      <c r="C841" s="16"/>
      <c r="U841" s="16"/>
      <c r="V841" s="16"/>
    </row>
    <row r="842" spans="3:22" x14ac:dyDescent="0.35">
      <c r="C842" s="16"/>
      <c r="U842" s="16"/>
      <c r="V842" s="16"/>
    </row>
    <row r="843" spans="3:22" x14ac:dyDescent="0.35">
      <c r="C843" s="16"/>
      <c r="U843" s="16"/>
      <c r="V843" s="16"/>
    </row>
    <row r="844" spans="3:22" x14ac:dyDescent="0.35">
      <c r="C844" s="16"/>
      <c r="U844" s="16"/>
      <c r="V844" s="16"/>
    </row>
    <row r="845" spans="3:22" x14ac:dyDescent="0.35">
      <c r="C845" s="16"/>
      <c r="U845" s="16"/>
      <c r="V845" s="16"/>
    </row>
    <row r="846" spans="3:22" x14ac:dyDescent="0.35">
      <c r="C846" s="16"/>
      <c r="U846" s="16"/>
      <c r="V846" s="16"/>
    </row>
    <row r="847" spans="3:22" x14ac:dyDescent="0.35">
      <c r="C847" s="16"/>
      <c r="U847" s="16"/>
      <c r="V847" s="16"/>
    </row>
    <row r="848" spans="3:22" x14ac:dyDescent="0.35">
      <c r="C848" s="16"/>
      <c r="U848" s="16"/>
      <c r="V848" s="16"/>
    </row>
  </sheetData>
  <autoFilter ref="A1:OJ1" xr:uid="{D0503BAC-7746-4BAC-B9E5-EF396BFDFF3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DC7D-BB42-4A6F-B20D-0510EF54DD5B}">
  <dimension ref="A1:AO30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633</v>
      </c>
      <c r="X1" s="10" t="s">
        <v>634</v>
      </c>
      <c r="Y1" s="10" t="s">
        <v>635</v>
      </c>
      <c r="Z1" s="10" t="s">
        <v>636</v>
      </c>
      <c r="AA1" s="10" t="s">
        <v>637</v>
      </c>
      <c r="AB1" s="10" t="s">
        <v>638</v>
      </c>
      <c r="AC1" s="10" t="s">
        <v>639</v>
      </c>
      <c r="AD1" s="10" t="s">
        <v>640</v>
      </c>
      <c r="AE1" s="10" t="s">
        <v>641</v>
      </c>
      <c r="AF1" s="10" t="s">
        <v>642</v>
      </c>
      <c r="AG1" s="10" t="s">
        <v>643</v>
      </c>
      <c r="AH1" s="10" t="s">
        <v>644</v>
      </c>
      <c r="AI1" s="10" t="s">
        <v>645</v>
      </c>
      <c r="AJ1" s="10" t="s">
        <v>646</v>
      </c>
      <c r="AK1" s="10" t="s">
        <v>647</v>
      </c>
      <c r="AL1" s="10" t="s">
        <v>648</v>
      </c>
      <c r="AM1" s="10" t="s">
        <v>649</v>
      </c>
      <c r="AN1" s="10" t="s">
        <v>74</v>
      </c>
      <c r="AO1" s="10" t="s">
        <v>75</v>
      </c>
    </row>
    <row r="2" spans="1:41" ht="72.5" x14ac:dyDescent="0.35">
      <c r="A2" s="13" t="s">
        <v>76</v>
      </c>
      <c r="B2" s="13" t="s">
        <v>77</v>
      </c>
      <c r="C2" s="14">
        <v>43152.5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 t="s">
        <v>89</v>
      </c>
      <c r="P2" s="15" t="s">
        <v>90</v>
      </c>
      <c r="Q2" s="15" t="s">
        <v>91</v>
      </c>
      <c r="R2" s="13" t="s">
        <v>92</v>
      </c>
      <c r="S2" s="13" t="s">
        <v>93</v>
      </c>
      <c r="T2" s="13" t="s">
        <v>94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76</v>
      </c>
      <c r="B3" s="13" t="s">
        <v>77</v>
      </c>
      <c r="C3" s="14">
        <v>43152.5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95</v>
      </c>
      <c r="M3" s="15" t="s">
        <v>96</v>
      </c>
      <c r="N3" s="13" t="s">
        <v>88</v>
      </c>
      <c r="O3" s="15" t="s">
        <v>97</v>
      </c>
      <c r="P3" s="15" t="s">
        <v>98</v>
      </c>
      <c r="Q3" s="15" t="s">
        <v>91</v>
      </c>
      <c r="R3" s="13" t="s">
        <v>92</v>
      </c>
      <c r="S3" s="13" t="s">
        <v>93</v>
      </c>
      <c r="T3" s="13" t="s">
        <v>94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76</v>
      </c>
      <c r="B4" s="13" t="s">
        <v>77</v>
      </c>
      <c r="C4" s="14">
        <v>43152.5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99</v>
      </c>
      <c r="M4" s="15" t="s">
        <v>100</v>
      </c>
      <c r="N4" s="13" t="s">
        <v>101</v>
      </c>
      <c r="O4" s="15" t="s">
        <v>102</v>
      </c>
      <c r="P4" s="15" t="s">
        <v>103</v>
      </c>
      <c r="Q4" s="15" t="s">
        <v>91</v>
      </c>
      <c r="R4" s="13" t="s">
        <v>92</v>
      </c>
      <c r="S4" s="13" t="s">
        <v>93</v>
      </c>
      <c r="T4" s="13" t="s">
        <v>94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76</v>
      </c>
      <c r="B5" s="13" t="s">
        <v>77</v>
      </c>
      <c r="C5" s="14">
        <v>43152.5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86</v>
      </c>
      <c r="M5" s="15" t="s">
        <v>87</v>
      </c>
      <c r="N5" s="13" t="s">
        <v>88</v>
      </c>
      <c r="O5" s="15" t="s">
        <v>89</v>
      </c>
      <c r="P5" s="15" t="s">
        <v>90</v>
      </c>
      <c r="Q5" s="15" t="s">
        <v>104</v>
      </c>
      <c r="R5" s="13" t="s">
        <v>105</v>
      </c>
      <c r="S5" s="13" t="s">
        <v>93</v>
      </c>
      <c r="T5" s="13" t="s">
        <v>94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76</v>
      </c>
      <c r="B6" s="13" t="s">
        <v>77</v>
      </c>
      <c r="C6" s="14">
        <v>43152.5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95</v>
      </c>
      <c r="M6" s="15" t="s">
        <v>96</v>
      </c>
      <c r="N6" s="13" t="s">
        <v>88</v>
      </c>
      <c r="O6" s="15" t="s">
        <v>97</v>
      </c>
      <c r="P6" s="15" t="s">
        <v>98</v>
      </c>
      <c r="Q6" s="15" t="s">
        <v>104</v>
      </c>
      <c r="R6" s="13" t="s">
        <v>105</v>
      </c>
      <c r="S6" s="13" t="s">
        <v>93</v>
      </c>
      <c r="T6" s="13" t="s">
        <v>94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76</v>
      </c>
      <c r="B7" s="13" t="s">
        <v>77</v>
      </c>
      <c r="C7" s="14">
        <v>43152.5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99</v>
      </c>
      <c r="M7" s="15" t="s">
        <v>100</v>
      </c>
      <c r="N7" s="13" t="s">
        <v>101</v>
      </c>
      <c r="O7" s="15" t="s">
        <v>102</v>
      </c>
      <c r="P7" s="15" t="s">
        <v>103</v>
      </c>
      <c r="Q7" s="15" t="s">
        <v>104</v>
      </c>
      <c r="R7" s="13" t="s">
        <v>105</v>
      </c>
      <c r="S7" s="13" t="s">
        <v>93</v>
      </c>
      <c r="T7" s="13" t="s">
        <v>94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76</v>
      </c>
      <c r="B8" s="13" t="s">
        <v>77</v>
      </c>
      <c r="C8" s="14">
        <v>43152.5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 t="s">
        <v>89</v>
      </c>
      <c r="P8" s="15" t="s">
        <v>90</v>
      </c>
      <c r="Q8" s="15" t="s">
        <v>106</v>
      </c>
      <c r="R8" s="13" t="s">
        <v>107</v>
      </c>
      <c r="S8" s="13" t="s">
        <v>93</v>
      </c>
      <c r="T8" s="13" t="s">
        <v>94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76</v>
      </c>
      <c r="B9" s="13" t="s">
        <v>77</v>
      </c>
      <c r="C9" s="14">
        <v>43152.5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95</v>
      </c>
      <c r="M9" s="15" t="s">
        <v>96</v>
      </c>
      <c r="N9" s="13" t="s">
        <v>88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93</v>
      </c>
      <c r="T9" s="13" t="s">
        <v>94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76</v>
      </c>
      <c r="B10" s="13" t="s">
        <v>77</v>
      </c>
      <c r="C10" s="14">
        <v>43152.5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99</v>
      </c>
      <c r="M10" s="15" t="s">
        <v>100</v>
      </c>
      <c r="N10" s="13" t="s">
        <v>101</v>
      </c>
      <c r="O10" s="15" t="s">
        <v>102</v>
      </c>
      <c r="P10" s="15" t="s">
        <v>103</v>
      </c>
      <c r="Q10" s="15" t="s">
        <v>106</v>
      </c>
      <c r="R10" s="13" t="s">
        <v>107</v>
      </c>
      <c r="S10" s="13" t="s">
        <v>93</v>
      </c>
      <c r="T10" s="13" t="s">
        <v>94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108</v>
      </c>
      <c r="B11" s="13" t="s">
        <v>109</v>
      </c>
      <c r="C11" s="14">
        <v>45805.656944444447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86</v>
      </c>
      <c r="M11" s="15" t="s">
        <v>87</v>
      </c>
      <c r="N11" s="13" t="s">
        <v>88</v>
      </c>
      <c r="O11" s="15" t="s">
        <v>89</v>
      </c>
      <c r="P11" s="15" t="s">
        <v>90</v>
      </c>
      <c r="Q11" s="15" t="s">
        <v>110</v>
      </c>
      <c r="R11" s="13" t="s">
        <v>111</v>
      </c>
      <c r="S11" s="13" t="s">
        <v>93</v>
      </c>
      <c r="T11" s="13" t="s">
        <v>112</v>
      </c>
      <c r="U11" s="14">
        <v>40725</v>
      </c>
      <c r="V11" s="14">
        <v>45781</v>
      </c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108</v>
      </c>
      <c r="B12" s="13" t="s">
        <v>77</v>
      </c>
      <c r="C12" s="14">
        <v>45805.657638888886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 t="s">
        <v>89</v>
      </c>
      <c r="P12" s="15" t="s">
        <v>90</v>
      </c>
      <c r="Q12" s="15" t="s">
        <v>110</v>
      </c>
      <c r="R12" s="13" t="s">
        <v>111</v>
      </c>
      <c r="S12" s="13" t="s">
        <v>93</v>
      </c>
      <c r="T12" s="13" t="s">
        <v>112</v>
      </c>
      <c r="U12" s="14">
        <v>45782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72.5" x14ac:dyDescent="0.35">
      <c r="A13" s="13" t="s">
        <v>108</v>
      </c>
      <c r="B13" s="13" t="s">
        <v>109</v>
      </c>
      <c r="C13" s="14">
        <v>45805.659722222219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95</v>
      </c>
      <c r="M13" s="15" t="s">
        <v>96</v>
      </c>
      <c r="N13" s="13" t="s">
        <v>88</v>
      </c>
      <c r="O13" s="15" t="s">
        <v>97</v>
      </c>
      <c r="P13" s="15" t="s">
        <v>98</v>
      </c>
      <c r="Q13" s="15" t="s">
        <v>110</v>
      </c>
      <c r="R13" s="13" t="s">
        <v>111</v>
      </c>
      <c r="S13" s="13" t="s">
        <v>93</v>
      </c>
      <c r="T13" s="13" t="s">
        <v>112</v>
      </c>
      <c r="U13" s="14">
        <v>40725</v>
      </c>
      <c r="V13" s="14">
        <v>45781</v>
      </c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108</v>
      </c>
      <c r="B14" s="13" t="s">
        <v>77</v>
      </c>
      <c r="C14" s="14">
        <v>45805.659722222219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95</v>
      </c>
      <c r="M14" s="15" t="s">
        <v>96</v>
      </c>
      <c r="N14" s="13" t="s">
        <v>88</v>
      </c>
      <c r="O14" s="15" t="s">
        <v>97</v>
      </c>
      <c r="P14" s="15" t="s">
        <v>98</v>
      </c>
      <c r="Q14" s="15" t="s">
        <v>110</v>
      </c>
      <c r="R14" s="13" t="s">
        <v>111</v>
      </c>
      <c r="S14" s="13" t="s">
        <v>93</v>
      </c>
      <c r="T14" s="13" t="s">
        <v>112</v>
      </c>
      <c r="U14" s="14">
        <v>45782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165</v>
      </c>
      <c r="B15" s="13" t="s">
        <v>109</v>
      </c>
      <c r="C15" s="14">
        <v>44714.706944444442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99</v>
      </c>
      <c r="M15" s="15" t="s">
        <v>100</v>
      </c>
      <c r="N15" s="13" t="s">
        <v>101</v>
      </c>
      <c r="O15" s="15" t="s">
        <v>102</v>
      </c>
      <c r="P15" s="15" t="s">
        <v>103</v>
      </c>
      <c r="Q15" s="15" t="s">
        <v>110</v>
      </c>
      <c r="R15" s="13" t="s">
        <v>111</v>
      </c>
      <c r="S15" s="13" t="s">
        <v>93</v>
      </c>
      <c r="T15" s="13" t="s">
        <v>112</v>
      </c>
      <c r="U15" s="14">
        <v>40725</v>
      </c>
      <c r="V15" s="14">
        <v>44633</v>
      </c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108</v>
      </c>
      <c r="B16" s="13" t="s">
        <v>109</v>
      </c>
      <c r="C16" s="14">
        <v>45805.663194444445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99</v>
      </c>
      <c r="M16" s="15" t="s">
        <v>100</v>
      </c>
      <c r="N16" s="13" t="s">
        <v>101</v>
      </c>
      <c r="O16" s="15" t="s">
        <v>102</v>
      </c>
      <c r="P16" s="15" t="s">
        <v>103</v>
      </c>
      <c r="Q16" s="15" t="s">
        <v>110</v>
      </c>
      <c r="R16" s="13" t="s">
        <v>111</v>
      </c>
      <c r="S16" s="13" t="s">
        <v>93</v>
      </c>
      <c r="T16" s="13" t="s">
        <v>112</v>
      </c>
      <c r="U16" s="14">
        <v>44634</v>
      </c>
      <c r="V16" s="14">
        <v>45781</v>
      </c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108</v>
      </c>
      <c r="B17" s="13" t="s">
        <v>77</v>
      </c>
      <c r="C17" s="14">
        <v>45805.663194444445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99</v>
      </c>
      <c r="M17" s="15" t="s">
        <v>100</v>
      </c>
      <c r="N17" s="13" t="s">
        <v>101</v>
      </c>
      <c r="O17" s="15" t="s">
        <v>102</v>
      </c>
      <c r="P17" s="15" t="s">
        <v>103</v>
      </c>
      <c r="Q17" s="15" t="s">
        <v>110</v>
      </c>
      <c r="R17" s="13" t="s">
        <v>111</v>
      </c>
      <c r="S17" s="13" t="s">
        <v>93</v>
      </c>
      <c r="T17" s="13" t="s">
        <v>112</v>
      </c>
      <c r="U17" s="14">
        <v>45782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76</v>
      </c>
      <c r="B18" s="13" t="s">
        <v>77</v>
      </c>
      <c r="C18" s="14">
        <v>43152.5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82</v>
      </c>
      <c r="I18" s="15" t="s">
        <v>83</v>
      </c>
      <c r="J18" s="15" t="s">
        <v>84</v>
      </c>
      <c r="K18" s="15" t="s">
        <v>85</v>
      </c>
      <c r="L18" s="13" t="s">
        <v>86</v>
      </c>
      <c r="M18" s="15" t="s">
        <v>87</v>
      </c>
      <c r="N18" s="13" t="s">
        <v>88</v>
      </c>
      <c r="O18" s="15" t="s">
        <v>89</v>
      </c>
      <c r="P18" s="15" t="s">
        <v>90</v>
      </c>
      <c r="Q18" s="15" t="s">
        <v>175</v>
      </c>
      <c r="R18" s="13" t="s">
        <v>176</v>
      </c>
      <c r="S18" s="13" t="s">
        <v>93</v>
      </c>
      <c r="T18" s="13" t="s">
        <v>94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72.5" x14ac:dyDescent="0.35">
      <c r="A19" s="13" t="s">
        <v>76</v>
      </c>
      <c r="B19" s="13" t="s">
        <v>77</v>
      </c>
      <c r="C19" s="14">
        <v>43152.5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82</v>
      </c>
      <c r="I19" s="15" t="s">
        <v>83</v>
      </c>
      <c r="J19" s="15" t="s">
        <v>84</v>
      </c>
      <c r="K19" s="15" t="s">
        <v>85</v>
      </c>
      <c r="L19" s="13" t="s">
        <v>95</v>
      </c>
      <c r="M19" s="15" t="s">
        <v>96</v>
      </c>
      <c r="N19" s="13" t="s">
        <v>88</v>
      </c>
      <c r="O19" s="15" t="s">
        <v>97</v>
      </c>
      <c r="P19" s="15" t="s">
        <v>98</v>
      </c>
      <c r="Q19" s="15" t="s">
        <v>175</v>
      </c>
      <c r="R19" s="13" t="s">
        <v>176</v>
      </c>
      <c r="S19" s="13" t="s">
        <v>93</v>
      </c>
      <c r="T19" s="13" t="s">
        <v>94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76</v>
      </c>
      <c r="B20" s="13" t="s">
        <v>77</v>
      </c>
      <c r="C20" s="14">
        <v>43152.5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82</v>
      </c>
      <c r="I20" s="15" t="s">
        <v>83</v>
      </c>
      <c r="J20" s="15" t="s">
        <v>84</v>
      </c>
      <c r="K20" s="15" t="s">
        <v>85</v>
      </c>
      <c r="L20" s="13" t="s">
        <v>99</v>
      </c>
      <c r="M20" s="15" t="s">
        <v>100</v>
      </c>
      <c r="N20" s="13" t="s">
        <v>101</v>
      </c>
      <c r="O20" s="15" t="s">
        <v>102</v>
      </c>
      <c r="P20" s="15" t="s">
        <v>103</v>
      </c>
      <c r="Q20" s="15" t="s">
        <v>175</v>
      </c>
      <c r="R20" s="13" t="s">
        <v>176</v>
      </c>
      <c r="S20" s="13" t="s">
        <v>93</v>
      </c>
      <c r="T20" s="13" t="s">
        <v>94</v>
      </c>
      <c r="U20" s="14">
        <v>40725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108</v>
      </c>
      <c r="B21" s="13" t="s">
        <v>109</v>
      </c>
      <c r="C21" s="14">
        <v>45805.675000000003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82</v>
      </c>
      <c r="I21" s="15" t="s">
        <v>83</v>
      </c>
      <c r="J21" s="15" t="s">
        <v>84</v>
      </c>
      <c r="K21" s="15" t="s">
        <v>85</v>
      </c>
      <c r="L21" s="13" t="s">
        <v>86</v>
      </c>
      <c r="M21" s="15" t="s">
        <v>87</v>
      </c>
      <c r="N21" s="13" t="s">
        <v>88</v>
      </c>
      <c r="O21" s="15" t="s">
        <v>89</v>
      </c>
      <c r="P21" s="15" t="s">
        <v>90</v>
      </c>
      <c r="Q21" s="15" t="s">
        <v>177</v>
      </c>
      <c r="R21" s="13" t="s">
        <v>178</v>
      </c>
      <c r="S21" s="13" t="s">
        <v>179</v>
      </c>
      <c r="T21" s="13" t="s">
        <v>112</v>
      </c>
      <c r="U21" s="14">
        <v>40725</v>
      </c>
      <c r="V21" s="14">
        <v>45781</v>
      </c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72.5" x14ac:dyDescent="0.35">
      <c r="A22" s="13" t="s">
        <v>108</v>
      </c>
      <c r="B22" s="13" t="s">
        <v>77</v>
      </c>
      <c r="C22" s="14">
        <v>45805.675000000003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82</v>
      </c>
      <c r="I22" s="15" t="s">
        <v>83</v>
      </c>
      <c r="J22" s="15" t="s">
        <v>84</v>
      </c>
      <c r="K22" s="15" t="s">
        <v>85</v>
      </c>
      <c r="L22" s="13" t="s">
        <v>86</v>
      </c>
      <c r="M22" s="15" t="s">
        <v>87</v>
      </c>
      <c r="N22" s="13" t="s">
        <v>88</v>
      </c>
      <c r="O22" s="15" t="s">
        <v>89</v>
      </c>
      <c r="P22" s="15" t="s">
        <v>90</v>
      </c>
      <c r="Q22" s="15" t="s">
        <v>177</v>
      </c>
      <c r="R22" s="13" t="s">
        <v>178</v>
      </c>
      <c r="S22" s="13" t="s">
        <v>179</v>
      </c>
      <c r="T22" s="13" t="s">
        <v>112</v>
      </c>
      <c r="U22" s="14">
        <v>45782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108</v>
      </c>
      <c r="B23" s="13" t="s">
        <v>109</v>
      </c>
      <c r="C23" s="14">
        <v>45805.677083333336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82</v>
      </c>
      <c r="I23" s="15" t="s">
        <v>83</v>
      </c>
      <c r="J23" s="15" t="s">
        <v>84</v>
      </c>
      <c r="K23" s="15" t="s">
        <v>85</v>
      </c>
      <c r="L23" s="13" t="s">
        <v>95</v>
      </c>
      <c r="M23" s="15" t="s">
        <v>96</v>
      </c>
      <c r="N23" s="13" t="s">
        <v>88</v>
      </c>
      <c r="O23" s="15" t="s">
        <v>97</v>
      </c>
      <c r="P23" s="15" t="s">
        <v>98</v>
      </c>
      <c r="Q23" s="15" t="s">
        <v>177</v>
      </c>
      <c r="R23" s="13" t="s">
        <v>178</v>
      </c>
      <c r="S23" s="13" t="s">
        <v>179</v>
      </c>
      <c r="T23" s="13" t="s">
        <v>112</v>
      </c>
      <c r="U23" s="14">
        <v>40725</v>
      </c>
      <c r="V23" s="14">
        <v>45781</v>
      </c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72.5" x14ac:dyDescent="0.35">
      <c r="A24" s="13" t="s">
        <v>108</v>
      </c>
      <c r="B24" s="13" t="s">
        <v>77</v>
      </c>
      <c r="C24" s="14">
        <v>45805.677083333336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82</v>
      </c>
      <c r="I24" s="15" t="s">
        <v>83</v>
      </c>
      <c r="J24" s="15" t="s">
        <v>84</v>
      </c>
      <c r="K24" s="15" t="s">
        <v>85</v>
      </c>
      <c r="L24" s="13" t="s">
        <v>95</v>
      </c>
      <c r="M24" s="15" t="s">
        <v>96</v>
      </c>
      <c r="N24" s="13" t="s">
        <v>88</v>
      </c>
      <c r="O24" s="15" t="s">
        <v>97</v>
      </c>
      <c r="P24" s="15" t="s">
        <v>98</v>
      </c>
      <c r="Q24" s="15" t="s">
        <v>177</v>
      </c>
      <c r="R24" s="13" t="s">
        <v>178</v>
      </c>
      <c r="S24" s="13" t="s">
        <v>179</v>
      </c>
      <c r="T24" s="13" t="s">
        <v>112</v>
      </c>
      <c r="U24" s="14">
        <v>45782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165</v>
      </c>
      <c r="B25" s="13" t="s">
        <v>109</v>
      </c>
      <c r="C25" s="14">
        <v>44714.711805555555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82</v>
      </c>
      <c r="I25" s="15" t="s">
        <v>83</v>
      </c>
      <c r="J25" s="15" t="s">
        <v>84</v>
      </c>
      <c r="K25" s="15" t="s">
        <v>85</v>
      </c>
      <c r="L25" s="13" t="s">
        <v>99</v>
      </c>
      <c r="M25" s="15" t="s">
        <v>100</v>
      </c>
      <c r="N25" s="13" t="s">
        <v>101</v>
      </c>
      <c r="O25" s="15" t="s">
        <v>102</v>
      </c>
      <c r="P25" s="15" t="s">
        <v>103</v>
      </c>
      <c r="Q25" s="15" t="s">
        <v>177</v>
      </c>
      <c r="R25" s="13" t="s">
        <v>178</v>
      </c>
      <c r="S25" s="13" t="s">
        <v>179</v>
      </c>
      <c r="T25" s="13" t="s">
        <v>112</v>
      </c>
      <c r="U25" s="14">
        <v>40725</v>
      </c>
      <c r="V25" s="14">
        <v>44633</v>
      </c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108</v>
      </c>
      <c r="B26" s="13" t="s">
        <v>109</v>
      </c>
      <c r="C26" s="14">
        <v>45805.681250000001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82</v>
      </c>
      <c r="I26" s="15" t="s">
        <v>83</v>
      </c>
      <c r="J26" s="15" t="s">
        <v>84</v>
      </c>
      <c r="K26" s="15" t="s">
        <v>85</v>
      </c>
      <c r="L26" s="13" t="s">
        <v>99</v>
      </c>
      <c r="M26" s="15" t="s">
        <v>100</v>
      </c>
      <c r="N26" s="13" t="s">
        <v>101</v>
      </c>
      <c r="O26" s="15" t="s">
        <v>102</v>
      </c>
      <c r="P26" s="15" t="s">
        <v>103</v>
      </c>
      <c r="Q26" s="15" t="s">
        <v>177</v>
      </c>
      <c r="R26" s="13" t="s">
        <v>178</v>
      </c>
      <c r="S26" s="13" t="s">
        <v>179</v>
      </c>
      <c r="T26" s="13" t="s">
        <v>112</v>
      </c>
      <c r="U26" s="14">
        <v>44634</v>
      </c>
      <c r="V26" s="14">
        <v>45781</v>
      </c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43.5" x14ac:dyDescent="0.35">
      <c r="A27" s="13" t="s">
        <v>108</v>
      </c>
      <c r="B27" s="13" t="s">
        <v>77</v>
      </c>
      <c r="C27" s="14">
        <v>45805.681250000001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82</v>
      </c>
      <c r="I27" s="15" t="s">
        <v>83</v>
      </c>
      <c r="J27" s="15" t="s">
        <v>84</v>
      </c>
      <c r="K27" s="15" t="s">
        <v>85</v>
      </c>
      <c r="L27" s="13" t="s">
        <v>99</v>
      </c>
      <c r="M27" s="15" t="s">
        <v>100</v>
      </c>
      <c r="N27" s="13" t="s">
        <v>101</v>
      </c>
      <c r="O27" s="15" t="s">
        <v>102</v>
      </c>
      <c r="P27" s="15" t="s">
        <v>103</v>
      </c>
      <c r="Q27" s="15" t="s">
        <v>177</v>
      </c>
      <c r="R27" s="13" t="s">
        <v>178</v>
      </c>
      <c r="S27" s="13" t="s">
        <v>179</v>
      </c>
      <c r="T27" s="13" t="s">
        <v>112</v>
      </c>
      <c r="U27" s="14">
        <v>45782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72.5" x14ac:dyDescent="0.35">
      <c r="A28" s="13" t="s">
        <v>108</v>
      </c>
      <c r="B28" s="13" t="s">
        <v>109</v>
      </c>
      <c r="C28" s="14">
        <v>45805.675694444442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82</v>
      </c>
      <c r="I28" s="15" t="s">
        <v>83</v>
      </c>
      <c r="J28" s="15" t="s">
        <v>84</v>
      </c>
      <c r="K28" s="15" t="s">
        <v>85</v>
      </c>
      <c r="L28" s="13" t="s">
        <v>86</v>
      </c>
      <c r="M28" s="15" t="s">
        <v>87</v>
      </c>
      <c r="N28" s="13" t="s">
        <v>88</v>
      </c>
      <c r="O28" s="15" t="s">
        <v>89</v>
      </c>
      <c r="P28" s="15" t="s">
        <v>90</v>
      </c>
      <c r="Q28" s="15" t="s">
        <v>201</v>
      </c>
      <c r="R28" s="13" t="s">
        <v>202</v>
      </c>
      <c r="S28" s="13" t="s">
        <v>179</v>
      </c>
      <c r="T28" s="13" t="s">
        <v>112</v>
      </c>
      <c r="U28" s="14">
        <v>40725</v>
      </c>
      <c r="V28" s="14">
        <v>45781</v>
      </c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108</v>
      </c>
      <c r="B29" s="13" t="s">
        <v>77</v>
      </c>
      <c r="C29" s="14">
        <v>45805.675694444442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82</v>
      </c>
      <c r="I29" s="15" t="s">
        <v>83</v>
      </c>
      <c r="J29" s="15" t="s">
        <v>84</v>
      </c>
      <c r="K29" s="15" t="s">
        <v>85</v>
      </c>
      <c r="L29" s="13" t="s">
        <v>86</v>
      </c>
      <c r="M29" s="15" t="s">
        <v>87</v>
      </c>
      <c r="N29" s="13" t="s">
        <v>88</v>
      </c>
      <c r="O29" s="15" t="s">
        <v>89</v>
      </c>
      <c r="P29" s="15" t="s">
        <v>90</v>
      </c>
      <c r="Q29" s="15" t="s">
        <v>201</v>
      </c>
      <c r="R29" s="13" t="s">
        <v>202</v>
      </c>
      <c r="S29" s="13" t="s">
        <v>179</v>
      </c>
      <c r="T29" s="13" t="s">
        <v>112</v>
      </c>
      <c r="U29" s="14">
        <v>45782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72.5" x14ac:dyDescent="0.35">
      <c r="A30" s="13" t="s">
        <v>108</v>
      </c>
      <c r="B30" s="13" t="s">
        <v>109</v>
      </c>
      <c r="C30" s="14">
        <v>45805.677777777775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82</v>
      </c>
      <c r="I30" s="15" t="s">
        <v>83</v>
      </c>
      <c r="J30" s="15" t="s">
        <v>84</v>
      </c>
      <c r="K30" s="15" t="s">
        <v>85</v>
      </c>
      <c r="L30" s="13" t="s">
        <v>95</v>
      </c>
      <c r="M30" s="15" t="s">
        <v>96</v>
      </c>
      <c r="N30" s="13" t="s">
        <v>88</v>
      </c>
      <c r="O30" s="15" t="s">
        <v>97</v>
      </c>
      <c r="P30" s="15" t="s">
        <v>98</v>
      </c>
      <c r="Q30" s="15" t="s">
        <v>201</v>
      </c>
      <c r="R30" s="13" t="s">
        <v>202</v>
      </c>
      <c r="S30" s="13" t="s">
        <v>179</v>
      </c>
      <c r="T30" s="13" t="s">
        <v>112</v>
      </c>
      <c r="U30" s="14">
        <v>40725</v>
      </c>
      <c r="V30" s="14">
        <v>45781</v>
      </c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72.5" x14ac:dyDescent="0.35">
      <c r="A31" s="13" t="s">
        <v>108</v>
      </c>
      <c r="B31" s="13" t="s">
        <v>77</v>
      </c>
      <c r="C31" s="14">
        <v>45805.677777777775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82</v>
      </c>
      <c r="I31" s="15" t="s">
        <v>83</v>
      </c>
      <c r="J31" s="15" t="s">
        <v>84</v>
      </c>
      <c r="K31" s="15" t="s">
        <v>85</v>
      </c>
      <c r="L31" s="13" t="s">
        <v>95</v>
      </c>
      <c r="M31" s="15" t="s">
        <v>96</v>
      </c>
      <c r="N31" s="13" t="s">
        <v>88</v>
      </c>
      <c r="O31" s="15" t="s">
        <v>97</v>
      </c>
      <c r="P31" s="15" t="s">
        <v>98</v>
      </c>
      <c r="Q31" s="15" t="s">
        <v>201</v>
      </c>
      <c r="R31" s="13" t="s">
        <v>202</v>
      </c>
      <c r="S31" s="13" t="s">
        <v>179</v>
      </c>
      <c r="T31" s="13" t="s">
        <v>112</v>
      </c>
      <c r="U31" s="14">
        <v>45782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58" x14ac:dyDescent="0.35">
      <c r="A32" s="13" t="s">
        <v>165</v>
      </c>
      <c r="B32" s="13" t="s">
        <v>109</v>
      </c>
      <c r="C32" s="14">
        <v>44714.711111111108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82</v>
      </c>
      <c r="I32" s="15" t="s">
        <v>83</v>
      </c>
      <c r="J32" s="15" t="s">
        <v>84</v>
      </c>
      <c r="K32" s="15" t="s">
        <v>85</v>
      </c>
      <c r="L32" s="13" t="s">
        <v>99</v>
      </c>
      <c r="M32" s="15" t="s">
        <v>100</v>
      </c>
      <c r="N32" s="13" t="s">
        <v>101</v>
      </c>
      <c r="O32" s="15" t="s">
        <v>102</v>
      </c>
      <c r="P32" s="15" t="s">
        <v>103</v>
      </c>
      <c r="Q32" s="15" t="s">
        <v>201</v>
      </c>
      <c r="R32" s="13" t="s">
        <v>202</v>
      </c>
      <c r="S32" s="13" t="s">
        <v>179</v>
      </c>
      <c r="T32" s="13" t="s">
        <v>112</v>
      </c>
      <c r="U32" s="14">
        <v>40725</v>
      </c>
      <c r="V32" s="14">
        <v>44633</v>
      </c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58" x14ac:dyDescent="0.35">
      <c r="A33" s="13" t="s">
        <v>108</v>
      </c>
      <c r="B33" s="13" t="s">
        <v>109</v>
      </c>
      <c r="C33" s="14">
        <v>45805.682638888888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82</v>
      </c>
      <c r="I33" s="15" t="s">
        <v>83</v>
      </c>
      <c r="J33" s="15" t="s">
        <v>84</v>
      </c>
      <c r="K33" s="15" t="s">
        <v>85</v>
      </c>
      <c r="L33" s="13" t="s">
        <v>99</v>
      </c>
      <c r="M33" s="15" t="s">
        <v>100</v>
      </c>
      <c r="N33" s="13" t="s">
        <v>101</v>
      </c>
      <c r="O33" s="15" t="s">
        <v>102</v>
      </c>
      <c r="P33" s="15" t="s">
        <v>103</v>
      </c>
      <c r="Q33" s="15" t="s">
        <v>201</v>
      </c>
      <c r="R33" s="13" t="s">
        <v>202</v>
      </c>
      <c r="S33" s="13" t="s">
        <v>179</v>
      </c>
      <c r="T33" s="13" t="s">
        <v>112</v>
      </c>
      <c r="U33" s="14">
        <v>44634</v>
      </c>
      <c r="V33" s="14">
        <v>45781</v>
      </c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58" x14ac:dyDescent="0.35">
      <c r="A34" s="13" t="s">
        <v>108</v>
      </c>
      <c r="B34" s="13" t="s">
        <v>77</v>
      </c>
      <c r="C34" s="14">
        <v>45805.682638888888</v>
      </c>
      <c r="D34" s="13" t="s">
        <v>78</v>
      </c>
      <c r="E34" s="15" t="s">
        <v>79</v>
      </c>
      <c r="F34" s="13" t="s">
        <v>80</v>
      </c>
      <c r="G34" s="15" t="s">
        <v>81</v>
      </c>
      <c r="H34" s="13" t="s">
        <v>82</v>
      </c>
      <c r="I34" s="15" t="s">
        <v>83</v>
      </c>
      <c r="J34" s="15" t="s">
        <v>84</v>
      </c>
      <c r="K34" s="15" t="s">
        <v>85</v>
      </c>
      <c r="L34" s="13" t="s">
        <v>99</v>
      </c>
      <c r="M34" s="15" t="s">
        <v>100</v>
      </c>
      <c r="N34" s="13" t="s">
        <v>101</v>
      </c>
      <c r="O34" s="15" t="s">
        <v>102</v>
      </c>
      <c r="P34" s="15" t="s">
        <v>103</v>
      </c>
      <c r="Q34" s="15" t="s">
        <v>201</v>
      </c>
      <c r="R34" s="13" t="s">
        <v>202</v>
      </c>
      <c r="S34" s="13" t="s">
        <v>179</v>
      </c>
      <c r="T34" s="13" t="s">
        <v>112</v>
      </c>
      <c r="U34" s="14">
        <v>45782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72.5" x14ac:dyDescent="0.35">
      <c r="A35" s="13" t="s">
        <v>76</v>
      </c>
      <c r="B35" s="13" t="s">
        <v>77</v>
      </c>
      <c r="C35" s="14">
        <v>43152.5</v>
      </c>
      <c r="D35" s="13" t="s">
        <v>78</v>
      </c>
      <c r="E35" s="15" t="s">
        <v>79</v>
      </c>
      <c r="F35" s="13" t="s">
        <v>80</v>
      </c>
      <c r="G35" s="15" t="s">
        <v>81</v>
      </c>
      <c r="H35" s="13" t="s">
        <v>228</v>
      </c>
      <c r="I35" s="15" t="s">
        <v>229</v>
      </c>
      <c r="J35" s="15" t="s">
        <v>230</v>
      </c>
      <c r="K35" s="15" t="s">
        <v>231</v>
      </c>
      <c r="L35" s="13" t="s">
        <v>232</v>
      </c>
      <c r="M35" s="15" t="s">
        <v>233</v>
      </c>
      <c r="N35" s="13" t="s">
        <v>88</v>
      </c>
      <c r="O35" s="15" t="s">
        <v>89</v>
      </c>
      <c r="P35" s="15" t="s">
        <v>90</v>
      </c>
      <c r="Q35" s="15" t="s">
        <v>91</v>
      </c>
      <c r="R35" s="13" t="s">
        <v>92</v>
      </c>
      <c r="S35" s="13" t="s">
        <v>93</v>
      </c>
      <c r="T35" s="13" t="s">
        <v>94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72.5" x14ac:dyDescent="0.35">
      <c r="A36" s="13" t="s">
        <v>76</v>
      </c>
      <c r="B36" s="13" t="s">
        <v>77</v>
      </c>
      <c r="C36" s="14">
        <v>43152.5</v>
      </c>
      <c r="D36" s="13" t="s">
        <v>78</v>
      </c>
      <c r="E36" s="15" t="s">
        <v>79</v>
      </c>
      <c r="F36" s="13" t="s">
        <v>80</v>
      </c>
      <c r="G36" s="15" t="s">
        <v>81</v>
      </c>
      <c r="H36" s="13" t="s">
        <v>228</v>
      </c>
      <c r="I36" s="15" t="s">
        <v>229</v>
      </c>
      <c r="J36" s="15" t="s">
        <v>230</v>
      </c>
      <c r="K36" s="15" t="s">
        <v>231</v>
      </c>
      <c r="L36" s="13" t="s">
        <v>234</v>
      </c>
      <c r="M36" s="15" t="s">
        <v>235</v>
      </c>
      <c r="N36" s="13" t="s">
        <v>88</v>
      </c>
      <c r="O36" s="15" t="s">
        <v>97</v>
      </c>
      <c r="P36" s="15" t="s">
        <v>98</v>
      </c>
      <c r="Q36" s="15" t="s">
        <v>91</v>
      </c>
      <c r="R36" s="13" t="s">
        <v>92</v>
      </c>
      <c r="S36" s="13" t="s">
        <v>93</v>
      </c>
      <c r="T36" s="13" t="s">
        <v>94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72.5" x14ac:dyDescent="0.35">
      <c r="A37" s="13" t="s">
        <v>76</v>
      </c>
      <c r="B37" s="13" t="s">
        <v>77</v>
      </c>
      <c r="C37" s="14">
        <v>43152.5</v>
      </c>
      <c r="D37" s="13" t="s">
        <v>78</v>
      </c>
      <c r="E37" s="15" t="s">
        <v>79</v>
      </c>
      <c r="F37" s="13" t="s">
        <v>80</v>
      </c>
      <c r="G37" s="15" t="s">
        <v>81</v>
      </c>
      <c r="H37" s="13" t="s">
        <v>228</v>
      </c>
      <c r="I37" s="15" t="s">
        <v>229</v>
      </c>
      <c r="J37" s="15" t="s">
        <v>230</v>
      </c>
      <c r="K37" s="15" t="s">
        <v>231</v>
      </c>
      <c r="L37" s="13" t="s">
        <v>236</v>
      </c>
      <c r="M37" s="15" t="s">
        <v>237</v>
      </c>
      <c r="N37" s="13" t="s">
        <v>101</v>
      </c>
      <c r="O37" s="15" t="s">
        <v>102</v>
      </c>
      <c r="P37" s="15" t="s">
        <v>103</v>
      </c>
      <c r="Q37" s="15" t="s">
        <v>91</v>
      </c>
      <c r="R37" s="13" t="s">
        <v>92</v>
      </c>
      <c r="S37" s="13" t="s">
        <v>93</v>
      </c>
      <c r="T37" s="13" t="s">
        <v>94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72.5" x14ac:dyDescent="0.35">
      <c r="A38" s="13" t="s">
        <v>76</v>
      </c>
      <c r="B38" s="13" t="s">
        <v>77</v>
      </c>
      <c r="C38" s="14">
        <v>43152.5</v>
      </c>
      <c r="D38" s="13" t="s">
        <v>78</v>
      </c>
      <c r="E38" s="15" t="s">
        <v>79</v>
      </c>
      <c r="F38" s="13" t="s">
        <v>80</v>
      </c>
      <c r="G38" s="15" t="s">
        <v>81</v>
      </c>
      <c r="H38" s="13" t="s">
        <v>228</v>
      </c>
      <c r="I38" s="15" t="s">
        <v>229</v>
      </c>
      <c r="J38" s="15" t="s">
        <v>230</v>
      </c>
      <c r="K38" s="15" t="s">
        <v>231</v>
      </c>
      <c r="L38" s="13" t="s">
        <v>232</v>
      </c>
      <c r="M38" s="15" t="s">
        <v>233</v>
      </c>
      <c r="N38" s="13" t="s">
        <v>88</v>
      </c>
      <c r="O38" s="15" t="s">
        <v>89</v>
      </c>
      <c r="P38" s="15" t="s">
        <v>90</v>
      </c>
      <c r="Q38" s="15" t="s">
        <v>104</v>
      </c>
      <c r="R38" s="13" t="s">
        <v>105</v>
      </c>
      <c r="S38" s="13" t="s">
        <v>93</v>
      </c>
      <c r="T38" s="13" t="s">
        <v>94</v>
      </c>
      <c r="U38" s="14">
        <v>40725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72.5" x14ac:dyDescent="0.35">
      <c r="A39" s="13" t="s">
        <v>76</v>
      </c>
      <c r="B39" s="13" t="s">
        <v>77</v>
      </c>
      <c r="C39" s="14">
        <v>43152.5</v>
      </c>
      <c r="D39" s="13" t="s">
        <v>78</v>
      </c>
      <c r="E39" s="15" t="s">
        <v>79</v>
      </c>
      <c r="F39" s="13" t="s">
        <v>80</v>
      </c>
      <c r="G39" s="15" t="s">
        <v>81</v>
      </c>
      <c r="H39" s="13" t="s">
        <v>228</v>
      </c>
      <c r="I39" s="15" t="s">
        <v>229</v>
      </c>
      <c r="J39" s="15" t="s">
        <v>230</v>
      </c>
      <c r="K39" s="15" t="s">
        <v>231</v>
      </c>
      <c r="L39" s="13" t="s">
        <v>234</v>
      </c>
      <c r="M39" s="15" t="s">
        <v>235</v>
      </c>
      <c r="N39" s="13" t="s">
        <v>88</v>
      </c>
      <c r="O39" s="15" t="s">
        <v>97</v>
      </c>
      <c r="P39" s="15" t="s">
        <v>98</v>
      </c>
      <c r="Q39" s="15" t="s">
        <v>104</v>
      </c>
      <c r="R39" s="13" t="s">
        <v>105</v>
      </c>
      <c r="S39" s="13" t="s">
        <v>93</v>
      </c>
      <c r="T39" s="13" t="s">
        <v>94</v>
      </c>
      <c r="U39" s="14">
        <v>40725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72.5" x14ac:dyDescent="0.35">
      <c r="A40" s="13" t="s">
        <v>76</v>
      </c>
      <c r="B40" s="13" t="s">
        <v>77</v>
      </c>
      <c r="C40" s="14">
        <v>43152.5</v>
      </c>
      <c r="D40" s="13" t="s">
        <v>78</v>
      </c>
      <c r="E40" s="15" t="s">
        <v>79</v>
      </c>
      <c r="F40" s="13" t="s">
        <v>80</v>
      </c>
      <c r="G40" s="15" t="s">
        <v>81</v>
      </c>
      <c r="H40" s="13" t="s">
        <v>228</v>
      </c>
      <c r="I40" s="15" t="s">
        <v>229</v>
      </c>
      <c r="J40" s="15" t="s">
        <v>230</v>
      </c>
      <c r="K40" s="15" t="s">
        <v>231</v>
      </c>
      <c r="L40" s="13" t="s">
        <v>236</v>
      </c>
      <c r="M40" s="15" t="s">
        <v>237</v>
      </c>
      <c r="N40" s="13" t="s">
        <v>101</v>
      </c>
      <c r="O40" s="15" t="s">
        <v>102</v>
      </c>
      <c r="P40" s="15" t="s">
        <v>103</v>
      </c>
      <c r="Q40" s="15" t="s">
        <v>104</v>
      </c>
      <c r="R40" s="13" t="s">
        <v>105</v>
      </c>
      <c r="S40" s="13" t="s">
        <v>93</v>
      </c>
      <c r="T40" s="13" t="s">
        <v>94</v>
      </c>
      <c r="U40" s="14">
        <v>40725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72.5" x14ac:dyDescent="0.35">
      <c r="A41" s="13" t="s">
        <v>76</v>
      </c>
      <c r="B41" s="13" t="s">
        <v>77</v>
      </c>
      <c r="C41" s="14">
        <v>43152.5</v>
      </c>
      <c r="D41" s="13" t="s">
        <v>78</v>
      </c>
      <c r="E41" s="15" t="s">
        <v>79</v>
      </c>
      <c r="F41" s="13" t="s">
        <v>80</v>
      </c>
      <c r="G41" s="15" t="s">
        <v>81</v>
      </c>
      <c r="H41" s="13" t="s">
        <v>228</v>
      </c>
      <c r="I41" s="15" t="s">
        <v>229</v>
      </c>
      <c r="J41" s="15" t="s">
        <v>230</v>
      </c>
      <c r="K41" s="15" t="s">
        <v>231</v>
      </c>
      <c r="L41" s="13" t="s">
        <v>232</v>
      </c>
      <c r="M41" s="15" t="s">
        <v>233</v>
      </c>
      <c r="N41" s="13" t="s">
        <v>88</v>
      </c>
      <c r="O41" s="15" t="s">
        <v>89</v>
      </c>
      <c r="P41" s="15" t="s">
        <v>90</v>
      </c>
      <c r="Q41" s="15" t="s">
        <v>106</v>
      </c>
      <c r="R41" s="13" t="s">
        <v>107</v>
      </c>
      <c r="S41" s="13" t="s">
        <v>93</v>
      </c>
      <c r="T41" s="13" t="s">
        <v>94</v>
      </c>
      <c r="U41" s="14">
        <v>40725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72.5" x14ac:dyDescent="0.35">
      <c r="A42" s="13" t="s">
        <v>76</v>
      </c>
      <c r="B42" s="13" t="s">
        <v>77</v>
      </c>
      <c r="C42" s="14">
        <v>43152.5</v>
      </c>
      <c r="D42" s="13" t="s">
        <v>78</v>
      </c>
      <c r="E42" s="15" t="s">
        <v>79</v>
      </c>
      <c r="F42" s="13" t="s">
        <v>80</v>
      </c>
      <c r="G42" s="15" t="s">
        <v>81</v>
      </c>
      <c r="H42" s="13" t="s">
        <v>228</v>
      </c>
      <c r="I42" s="15" t="s">
        <v>229</v>
      </c>
      <c r="J42" s="15" t="s">
        <v>230</v>
      </c>
      <c r="K42" s="15" t="s">
        <v>231</v>
      </c>
      <c r="L42" s="13" t="s">
        <v>234</v>
      </c>
      <c r="M42" s="15" t="s">
        <v>235</v>
      </c>
      <c r="N42" s="13" t="s">
        <v>88</v>
      </c>
      <c r="O42" s="15" t="s">
        <v>97</v>
      </c>
      <c r="P42" s="15" t="s">
        <v>98</v>
      </c>
      <c r="Q42" s="15" t="s">
        <v>106</v>
      </c>
      <c r="R42" s="13" t="s">
        <v>107</v>
      </c>
      <c r="S42" s="13" t="s">
        <v>93</v>
      </c>
      <c r="T42" s="13" t="s">
        <v>94</v>
      </c>
      <c r="U42" s="14">
        <v>40725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72.5" x14ac:dyDescent="0.35">
      <c r="A43" s="13" t="s">
        <v>76</v>
      </c>
      <c r="B43" s="13" t="s">
        <v>77</v>
      </c>
      <c r="C43" s="14">
        <v>43152.5</v>
      </c>
      <c r="D43" s="13" t="s">
        <v>78</v>
      </c>
      <c r="E43" s="15" t="s">
        <v>79</v>
      </c>
      <c r="F43" s="13" t="s">
        <v>80</v>
      </c>
      <c r="G43" s="15" t="s">
        <v>81</v>
      </c>
      <c r="H43" s="13" t="s">
        <v>228</v>
      </c>
      <c r="I43" s="15" t="s">
        <v>229</v>
      </c>
      <c r="J43" s="15" t="s">
        <v>230</v>
      </c>
      <c r="K43" s="15" t="s">
        <v>231</v>
      </c>
      <c r="L43" s="13" t="s">
        <v>236</v>
      </c>
      <c r="M43" s="15" t="s">
        <v>237</v>
      </c>
      <c r="N43" s="13" t="s">
        <v>101</v>
      </c>
      <c r="O43" s="15" t="s">
        <v>102</v>
      </c>
      <c r="P43" s="15" t="s">
        <v>103</v>
      </c>
      <c r="Q43" s="15" t="s">
        <v>106</v>
      </c>
      <c r="R43" s="13" t="s">
        <v>107</v>
      </c>
      <c r="S43" s="13" t="s">
        <v>93</v>
      </c>
      <c r="T43" s="13" t="s">
        <v>94</v>
      </c>
      <c r="U43" s="14">
        <v>40725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72.5" x14ac:dyDescent="0.35">
      <c r="A44" s="13" t="s">
        <v>238</v>
      </c>
      <c r="B44" s="13" t="s">
        <v>109</v>
      </c>
      <c r="C44" s="14">
        <v>44368.708333333336</v>
      </c>
      <c r="D44" s="13" t="s">
        <v>78</v>
      </c>
      <c r="E44" s="15" t="s">
        <v>79</v>
      </c>
      <c r="F44" s="13" t="s">
        <v>80</v>
      </c>
      <c r="G44" s="15" t="s">
        <v>81</v>
      </c>
      <c r="H44" s="13" t="s">
        <v>228</v>
      </c>
      <c r="I44" s="15" t="s">
        <v>229</v>
      </c>
      <c r="J44" s="15" t="s">
        <v>230</v>
      </c>
      <c r="K44" s="15" t="s">
        <v>231</v>
      </c>
      <c r="L44" s="13" t="s">
        <v>232</v>
      </c>
      <c r="M44" s="15" t="s">
        <v>233</v>
      </c>
      <c r="N44" s="13" t="s">
        <v>88</v>
      </c>
      <c r="O44" s="15" t="s">
        <v>89</v>
      </c>
      <c r="P44" s="15" t="s">
        <v>90</v>
      </c>
      <c r="Q44" s="15" t="s">
        <v>110</v>
      </c>
      <c r="R44" s="13" t="s">
        <v>111</v>
      </c>
      <c r="S44" s="13" t="s">
        <v>93</v>
      </c>
      <c r="T44" s="13" t="s">
        <v>112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72.5" x14ac:dyDescent="0.35">
      <c r="A45" s="13" t="s">
        <v>238</v>
      </c>
      <c r="B45" s="13" t="s">
        <v>109</v>
      </c>
      <c r="C45" s="14">
        <v>44368.708333333336</v>
      </c>
      <c r="D45" s="13" t="s">
        <v>78</v>
      </c>
      <c r="E45" s="15" t="s">
        <v>79</v>
      </c>
      <c r="F45" s="13" t="s">
        <v>80</v>
      </c>
      <c r="G45" s="15" t="s">
        <v>81</v>
      </c>
      <c r="H45" s="13" t="s">
        <v>228</v>
      </c>
      <c r="I45" s="15" t="s">
        <v>229</v>
      </c>
      <c r="J45" s="15" t="s">
        <v>230</v>
      </c>
      <c r="K45" s="15" t="s">
        <v>231</v>
      </c>
      <c r="L45" s="13" t="s">
        <v>234</v>
      </c>
      <c r="M45" s="15" t="s">
        <v>235</v>
      </c>
      <c r="N45" s="13" t="s">
        <v>88</v>
      </c>
      <c r="O45" s="15" t="s">
        <v>97</v>
      </c>
      <c r="P45" s="15" t="s">
        <v>98</v>
      </c>
      <c r="Q45" s="15" t="s">
        <v>110</v>
      </c>
      <c r="R45" s="13" t="s">
        <v>111</v>
      </c>
      <c r="S45" s="13" t="s">
        <v>93</v>
      </c>
      <c r="T45" s="13" t="s">
        <v>112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72.5" x14ac:dyDescent="0.35">
      <c r="A46" s="13" t="s">
        <v>165</v>
      </c>
      <c r="B46" s="13" t="s">
        <v>109</v>
      </c>
      <c r="C46" s="14">
        <v>44714.720138888886</v>
      </c>
      <c r="D46" s="13" t="s">
        <v>78</v>
      </c>
      <c r="E46" s="15" t="s">
        <v>79</v>
      </c>
      <c r="F46" s="13" t="s">
        <v>80</v>
      </c>
      <c r="G46" s="15" t="s">
        <v>81</v>
      </c>
      <c r="H46" s="13" t="s">
        <v>228</v>
      </c>
      <c r="I46" s="15" t="s">
        <v>229</v>
      </c>
      <c r="J46" s="15" t="s">
        <v>230</v>
      </c>
      <c r="K46" s="15" t="s">
        <v>231</v>
      </c>
      <c r="L46" s="13" t="s">
        <v>236</v>
      </c>
      <c r="M46" s="15" t="s">
        <v>237</v>
      </c>
      <c r="N46" s="13" t="s">
        <v>101</v>
      </c>
      <c r="O46" s="15" t="s">
        <v>102</v>
      </c>
      <c r="P46" s="15" t="s">
        <v>103</v>
      </c>
      <c r="Q46" s="15" t="s">
        <v>110</v>
      </c>
      <c r="R46" s="13" t="s">
        <v>111</v>
      </c>
      <c r="S46" s="13" t="s">
        <v>93</v>
      </c>
      <c r="T46" s="13" t="s">
        <v>112</v>
      </c>
      <c r="U46" s="14">
        <v>40725</v>
      </c>
      <c r="V46" s="14">
        <v>44633</v>
      </c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72.5" x14ac:dyDescent="0.35">
      <c r="A47" s="13" t="s">
        <v>165</v>
      </c>
      <c r="B47" s="13" t="s">
        <v>77</v>
      </c>
      <c r="C47" s="14">
        <v>44714.728472222225</v>
      </c>
      <c r="D47" s="13" t="s">
        <v>78</v>
      </c>
      <c r="E47" s="15" t="s">
        <v>79</v>
      </c>
      <c r="F47" s="13" t="s">
        <v>80</v>
      </c>
      <c r="G47" s="15" t="s">
        <v>81</v>
      </c>
      <c r="H47" s="13" t="s">
        <v>228</v>
      </c>
      <c r="I47" s="15" t="s">
        <v>229</v>
      </c>
      <c r="J47" s="15" t="s">
        <v>230</v>
      </c>
      <c r="K47" s="15" t="s">
        <v>231</v>
      </c>
      <c r="L47" s="13" t="s">
        <v>236</v>
      </c>
      <c r="M47" s="15" t="s">
        <v>237</v>
      </c>
      <c r="N47" s="13" t="s">
        <v>101</v>
      </c>
      <c r="O47" s="15" t="s">
        <v>102</v>
      </c>
      <c r="P47" s="15" t="s">
        <v>103</v>
      </c>
      <c r="Q47" s="15" t="s">
        <v>110</v>
      </c>
      <c r="R47" s="13" t="s">
        <v>111</v>
      </c>
      <c r="S47" s="13" t="s">
        <v>93</v>
      </c>
      <c r="T47" s="13" t="s">
        <v>112</v>
      </c>
      <c r="U47" s="14">
        <v>44634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72.5" x14ac:dyDescent="0.35">
      <c r="A48" s="13" t="s">
        <v>76</v>
      </c>
      <c r="B48" s="13" t="s">
        <v>77</v>
      </c>
      <c r="C48" s="14">
        <v>43152.5</v>
      </c>
      <c r="D48" s="13" t="s">
        <v>78</v>
      </c>
      <c r="E48" s="15" t="s">
        <v>79</v>
      </c>
      <c r="F48" s="13" t="s">
        <v>80</v>
      </c>
      <c r="G48" s="15" t="s">
        <v>81</v>
      </c>
      <c r="H48" s="13" t="s">
        <v>228</v>
      </c>
      <c r="I48" s="15" t="s">
        <v>229</v>
      </c>
      <c r="J48" s="15" t="s">
        <v>230</v>
      </c>
      <c r="K48" s="15" t="s">
        <v>231</v>
      </c>
      <c r="L48" s="13" t="s">
        <v>232</v>
      </c>
      <c r="M48" s="15" t="s">
        <v>233</v>
      </c>
      <c r="N48" s="13" t="s">
        <v>88</v>
      </c>
      <c r="O48" s="15" t="s">
        <v>89</v>
      </c>
      <c r="P48" s="15" t="s">
        <v>90</v>
      </c>
      <c r="Q48" s="15" t="s">
        <v>175</v>
      </c>
      <c r="R48" s="13" t="s">
        <v>176</v>
      </c>
      <c r="S48" s="13" t="s">
        <v>93</v>
      </c>
      <c r="T48" s="13" t="s">
        <v>94</v>
      </c>
      <c r="U48" s="14">
        <v>40725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72.5" x14ac:dyDescent="0.35">
      <c r="A49" s="13" t="s">
        <v>76</v>
      </c>
      <c r="B49" s="13" t="s">
        <v>77</v>
      </c>
      <c r="C49" s="14">
        <v>43152.5</v>
      </c>
      <c r="D49" s="13" t="s">
        <v>78</v>
      </c>
      <c r="E49" s="15" t="s">
        <v>79</v>
      </c>
      <c r="F49" s="13" t="s">
        <v>80</v>
      </c>
      <c r="G49" s="15" t="s">
        <v>81</v>
      </c>
      <c r="H49" s="13" t="s">
        <v>228</v>
      </c>
      <c r="I49" s="15" t="s">
        <v>229</v>
      </c>
      <c r="J49" s="15" t="s">
        <v>230</v>
      </c>
      <c r="K49" s="15" t="s">
        <v>231</v>
      </c>
      <c r="L49" s="13" t="s">
        <v>234</v>
      </c>
      <c r="M49" s="15" t="s">
        <v>235</v>
      </c>
      <c r="N49" s="13" t="s">
        <v>88</v>
      </c>
      <c r="O49" s="15" t="s">
        <v>97</v>
      </c>
      <c r="P49" s="15" t="s">
        <v>98</v>
      </c>
      <c r="Q49" s="15" t="s">
        <v>175</v>
      </c>
      <c r="R49" s="13" t="s">
        <v>176</v>
      </c>
      <c r="S49" s="13" t="s">
        <v>93</v>
      </c>
      <c r="T49" s="13" t="s">
        <v>94</v>
      </c>
      <c r="U49" s="14">
        <v>40725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72.5" x14ac:dyDescent="0.35">
      <c r="A50" s="13" t="s">
        <v>76</v>
      </c>
      <c r="B50" s="13" t="s">
        <v>77</v>
      </c>
      <c r="C50" s="14">
        <v>43152.5</v>
      </c>
      <c r="D50" s="13" t="s">
        <v>78</v>
      </c>
      <c r="E50" s="15" t="s">
        <v>79</v>
      </c>
      <c r="F50" s="13" t="s">
        <v>80</v>
      </c>
      <c r="G50" s="15" t="s">
        <v>81</v>
      </c>
      <c r="H50" s="13" t="s">
        <v>228</v>
      </c>
      <c r="I50" s="15" t="s">
        <v>229</v>
      </c>
      <c r="J50" s="15" t="s">
        <v>230</v>
      </c>
      <c r="K50" s="15" t="s">
        <v>231</v>
      </c>
      <c r="L50" s="13" t="s">
        <v>236</v>
      </c>
      <c r="M50" s="15" t="s">
        <v>237</v>
      </c>
      <c r="N50" s="13" t="s">
        <v>101</v>
      </c>
      <c r="O50" s="15" t="s">
        <v>102</v>
      </c>
      <c r="P50" s="15" t="s">
        <v>103</v>
      </c>
      <c r="Q50" s="15" t="s">
        <v>175</v>
      </c>
      <c r="R50" s="13" t="s">
        <v>176</v>
      </c>
      <c r="S50" s="13" t="s">
        <v>93</v>
      </c>
      <c r="T50" s="13" t="s">
        <v>94</v>
      </c>
      <c r="U50" s="14">
        <v>40725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72.5" x14ac:dyDescent="0.35">
      <c r="A51" s="13" t="s">
        <v>238</v>
      </c>
      <c r="B51" s="13" t="s">
        <v>109</v>
      </c>
      <c r="C51" s="14">
        <v>44368.708333333336</v>
      </c>
      <c r="D51" s="13" t="s">
        <v>78</v>
      </c>
      <c r="E51" s="15" t="s">
        <v>79</v>
      </c>
      <c r="F51" s="13" t="s">
        <v>80</v>
      </c>
      <c r="G51" s="15" t="s">
        <v>81</v>
      </c>
      <c r="H51" s="13" t="s">
        <v>228</v>
      </c>
      <c r="I51" s="15" t="s">
        <v>229</v>
      </c>
      <c r="J51" s="15" t="s">
        <v>230</v>
      </c>
      <c r="K51" s="15" t="s">
        <v>231</v>
      </c>
      <c r="L51" s="13" t="s">
        <v>232</v>
      </c>
      <c r="M51" s="15" t="s">
        <v>233</v>
      </c>
      <c r="N51" s="13" t="s">
        <v>88</v>
      </c>
      <c r="O51" s="15" t="s">
        <v>89</v>
      </c>
      <c r="P51" s="15" t="s">
        <v>90</v>
      </c>
      <c r="Q51" s="15" t="s">
        <v>177</v>
      </c>
      <c r="R51" s="13" t="s">
        <v>178</v>
      </c>
      <c r="S51" s="13" t="s">
        <v>179</v>
      </c>
      <c r="T51" s="13" t="s">
        <v>112</v>
      </c>
      <c r="U51" s="14">
        <v>40725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72.5" x14ac:dyDescent="0.35">
      <c r="A52" s="13" t="s">
        <v>238</v>
      </c>
      <c r="B52" s="13" t="s">
        <v>109</v>
      </c>
      <c r="C52" s="14">
        <v>44368.708333333336</v>
      </c>
      <c r="D52" s="13" t="s">
        <v>78</v>
      </c>
      <c r="E52" s="15" t="s">
        <v>79</v>
      </c>
      <c r="F52" s="13" t="s">
        <v>80</v>
      </c>
      <c r="G52" s="15" t="s">
        <v>81</v>
      </c>
      <c r="H52" s="13" t="s">
        <v>228</v>
      </c>
      <c r="I52" s="15" t="s">
        <v>229</v>
      </c>
      <c r="J52" s="15" t="s">
        <v>230</v>
      </c>
      <c r="K52" s="15" t="s">
        <v>231</v>
      </c>
      <c r="L52" s="13" t="s">
        <v>234</v>
      </c>
      <c r="M52" s="15" t="s">
        <v>235</v>
      </c>
      <c r="N52" s="13" t="s">
        <v>88</v>
      </c>
      <c r="O52" s="15" t="s">
        <v>97</v>
      </c>
      <c r="P52" s="15" t="s">
        <v>98</v>
      </c>
      <c r="Q52" s="15" t="s">
        <v>177</v>
      </c>
      <c r="R52" s="13" t="s">
        <v>178</v>
      </c>
      <c r="S52" s="13" t="s">
        <v>179</v>
      </c>
      <c r="T52" s="13" t="s">
        <v>112</v>
      </c>
      <c r="U52" s="14">
        <v>40725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72.5" x14ac:dyDescent="0.35">
      <c r="A53" s="13" t="s">
        <v>165</v>
      </c>
      <c r="B53" s="13" t="s">
        <v>109</v>
      </c>
      <c r="C53" s="14">
        <v>44714.729166666664</v>
      </c>
      <c r="D53" s="13" t="s">
        <v>78</v>
      </c>
      <c r="E53" s="15" t="s">
        <v>79</v>
      </c>
      <c r="F53" s="13" t="s">
        <v>80</v>
      </c>
      <c r="G53" s="15" t="s">
        <v>81</v>
      </c>
      <c r="H53" s="13" t="s">
        <v>228</v>
      </c>
      <c r="I53" s="15" t="s">
        <v>229</v>
      </c>
      <c r="J53" s="15" t="s">
        <v>230</v>
      </c>
      <c r="K53" s="15" t="s">
        <v>231</v>
      </c>
      <c r="L53" s="13" t="s">
        <v>236</v>
      </c>
      <c r="M53" s="15" t="s">
        <v>237</v>
      </c>
      <c r="N53" s="13" t="s">
        <v>101</v>
      </c>
      <c r="O53" s="15" t="s">
        <v>102</v>
      </c>
      <c r="P53" s="15" t="s">
        <v>103</v>
      </c>
      <c r="Q53" s="15" t="s">
        <v>177</v>
      </c>
      <c r="R53" s="13" t="s">
        <v>178</v>
      </c>
      <c r="S53" s="13" t="s">
        <v>179</v>
      </c>
      <c r="T53" s="13" t="s">
        <v>112</v>
      </c>
      <c r="U53" s="14">
        <v>40725</v>
      </c>
      <c r="V53" s="14">
        <v>44633</v>
      </c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72.5" x14ac:dyDescent="0.35">
      <c r="A54" s="13" t="s">
        <v>165</v>
      </c>
      <c r="B54" s="13" t="s">
        <v>77</v>
      </c>
      <c r="C54" s="14">
        <v>44714.730555555558</v>
      </c>
      <c r="D54" s="13" t="s">
        <v>78</v>
      </c>
      <c r="E54" s="15" t="s">
        <v>79</v>
      </c>
      <c r="F54" s="13" t="s">
        <v>80</v>
      </c>
      <c r="G54" s="15" t="s">
        <v>81</v>
      </c>
      <c r="H54" s="13" t="s">
        <v>228</v>
      </c>
      <c r="I54" s="15" t="s">
        <v>229</v>
      </c>
      <c r="J54" s="15" t="s">
        <v>230</v>
      </c>
      <c r="K54" s="15" t="s">
        <v>231</v>
      </c>
      <c r="L54" s="13" t="s">
        <v>236</v>
      </c>
      <c r="M54" s="15" t="s">
        <v>237</v>
      </c>
      <c r="N54" s="13" t="s">
        <v>101</v>
      </c>
      <c r="O54" s="15" t="s">
        <v>102</v>
      </c>
      <c r="P54" s="15" t="s">
        <v>103</v>
      </c>
      <c r="Q54" s="15" t="s">
        <v>177</v>
      </c>
      <c r="R54" s="13" t="s">
        <v>178</v>
      </c>
      <c r="S54" s="13" t="s">
        <v>179</v>
      </c>
      <c r="T54" s="13" t="s">
        <v>112</v>
      </c>
      <c r="U54" s="14">
        <v>44634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72.5" x14ac:dyDescent="0.35">
      <c r="A55" s="13" t="s">
        <v>76</v>
      </c>
      <c r="B55" s="13" t="s">
        <v>77</v>
      </c>
      <c r="C55" s="14">
        <v>43152.5</v>
      </c>
      <c r="D55" s="13" t="s">
        <v>78</v>
      </c>
      <c r="E55" s="15" t="s">
        <v>79</v>
      </c>
      <c r="F55" s="13" t="s">
        <v>80</v>
      </c>
      <c r="G55" s="15" t="s">
        <v>81</v>
      </c>
      <c r="H55" s="13" t="s">
        <v>250</v>
      </c>
      <c r="I55" s="15" t="s">
        <v>251</v>
      </c>
      <c r="J55" s="15" t="s">
        <v>252</v>
      </c>
      <c r="K55" s="15" t="s">
        <v>253</v>
      </c>
      <c r="L55" s="13" t="s">
        <v>254</v>
      </c>
      <c r="M55" s="15" t="s">
        <v>255</v>
      </c>
      <c r="N55" s="13" t="s">
        <v>88</v>
      </c>
      <c r="O55" s="15" t="s">
        <v>89</v>
      </c>
      <c r="P55" s="15" t="s">
        <v>90</v>
      </c>
      <c r="Q55" s="15" t="s">
        <v>91</v>
      </c>
      <c r="R55" s="13" t="s">
        <v>92</v>
      </c>
      <c r="S55" s="13" t="s">
        <v>93</v>
      </c>
      <c r="T55" s="13" t="s">
        <v>94</v>
      </c>
      <c r="U55" s="14">
        <v>40725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72.5" x14ac:dyDescent="0.35">
      <c r="A56" s="13" t="s">
        <v>76</v>
      </c>
      <c r="B56" s="13" t="s">
        <v>77</v>
      </c>
      <c r="C56" s="14">
        <v>43152.5</v>
      </c>
      <c r="D56" s="13" t="s">
        <v>78</v>
      </c>
      <c r="E56" s="15" t="s">
        <v>79</v>
      </c>
      <c r="F56" s="13" t="s">
        <v>80</v>
      </c>
      <c r="G56" s="15" t="s">
        <v>81</v>
      </c>
      <c r="H56" s="13" t="s">
        <v>250</v>
      </c>
      <c r="I56" s="15" t="s">
        <v>251</v>
      </c>
      <c r="J56" s="15" t="s">
        <v>252</v>
      </c>
      <c r="K56" s="15" t="s">
        <v>253</v>
      </c>
      <c r="L56" s="13" t="s">
        <v>256</v>
      </c>
      <c r="M56" s="15" t="s">
        <v>257</v>
      </c>
      <c r="N56" s="13" t="s">
        <v>88</v>
      </c>
      <c r="O56" s="15" t="s">
        <v>97</v>
      </c>
      <c r="P56" s="15" t="s">
        <v>98</v>
      </c>
      <c r="Q56" s="15" t="s">
        <v>91</v>
      </c>
      <c r="R56" s="13" t="s">
        <v>92</v>
      </c>
      <c r="S56" s="13" t="s">
        <v>93</v>
      </c>
      <c r="T56" s="13" t="s">
        <v>94</v>
      </c>
      <c r="U56" s="14">
        <v>40725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58" x14ac:dyDescent="0.35">
      <c r="A57" s="13" t="s">
        <v>76</v>
      </c>
      <c r="B57" s="13" t="s">
        <v>77</v>
      </c>
      <c r="C57" s="14">
        <v>43152.5</v>
      </c>
      <c r="D57" s="13" t="s">
        <v>78</v>
      </c>
      <c r="E57" s="15" t="s">
        <v>79</v>
      </c>
      <c r="F57" s="13" t="s">
        <v>80</v>
      </c>
      <c r="G57" s="15" t="s">
        <v>81</v>
      </c>
      <c r="H57" s="13" t="s">
        <v>250</v>
      </c>
      <c r="I57" s="15" t="s">
        <v>251</v>
      </c>
      <c r="J57" s="15" t="s">
        <v>252</v>
      </c>
      <c r="K57" s="15" t="s">
        <v>253</v>
      </c>
      <c r="L57" s="13" t="s">
        <v>258</v>
      </c>
      <c r="M57" s="15" t="s">
        <v>259</v>
      </c>
      <c r="N57" s="13" t="s">
        <v>101</v>
      </c>
      <c r="O57" s="15" t="s">
        <v>102</v>
      </c>
      <c r="P57" s="15" t="s">
        <v>103</v>
      </c>
      <c r="Q57" s="15" t="s">
        <v>91</v>
      </c>
      <c r="R57" s="13" t="s">
        <v>92</v>
      </c>
      <c r="S57" s="13" t="s">
        <v>93</v>
      </c>
      <c r="T57" s="13" t="s">
        <v>94</v>
      </c>
      <c r="U57" s="14">
        <v>40725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72.5" x14ac:dyDescent="0.35">
      <c r="A58" s="13" t="s">
        <v>76</v>
      </c>
      <c r="B58" s="13" t="s">
        <v>77</v>
      </c>
      <c r="C58" s="14">
        <v>43152.5</v>
      </c>
      <c r="D58" s="13" t="s">
        <v>78</v>
      </c>
      <c r="E58" s="15" t="s">
        <v>79</v>
      </c>
      <c r="F58" s="13" t="s">
        <v>80</v>
      </c>
      <c r="G58" s="15" t="s">
        <v>81</v>
      </c>
      <c r="H58" s="13" t="s">
        <v>250</v>
      </c>
      <c r="I58" s="15" t="s">
        <v>251</v>
      </c>
      <c r="J58" s="15" t="s">
        <v>252</v>
      </c>
      <c r="K58" s="15" t="s">
        <v>253</v>
      </c>
      <c r="L58" s="13" t="s">
        <v>254</v>
      </c>
      <c r="M58" s="15" t="s">
        <v>255</v>
      </c>
      <c r="N58" s="13" t="s">
        <v>88</v>
      </c>
      <c r="O58" s="15" t="s">
        <v>89</v>
      </c>
      <c r="P58" s="15" t="s">
        <v>90</v>
      </c>
      <c r="Q58" s="15" t="s">
        <v>104</v>
      </c>
      <c r="R58" s="13" t="s">
        <v>105</v>
      </c>
      <c r="S58" s="13" t="s">
        <v>93</v>
      </c>
      <c r="T58" s="13" t="s">
        <v>94</v>
      </c>
      <c r="U58" s="14">
        <v>40725</v>
      </c>
      <c r="V58" s="14"/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72.5" x14ac:dyDescent="0.35">
      <c r="A59" s="13" t="s">
        <v>76</v>
      </c>
      <c r="B59" s="13" t="s">
        <v>77</v>
      </c>
      <c r="C59" s="14">
        <v>43152.5</v>
      </c>
      <c r="D59" s="13" t="s">
        <v>78</v>
      </c>
      <c r="E59" s="15" t="s">
        <v>79</v>
      </c>
      <c r="F59" s="13" t="s">
        <v>80</v>
      </c>
      <c r="G59" s="15" t="s">
        <v>81</v>
      </c>
      <c r="H59" s="13" t="s">
        <v>250</v>
      </c>
      <c r="I59" s="15" t="s">
        <v>251</v>
      </c>
      <c r="J59" s="15" t="s">
        <v>252</v>
      </c>
      <c r="K59" s="15" t="s">
        <v>253</v>
      </c>
      <c r="L59" s="13" t="s">
        <v>256</v>
      </c>
      <c r="M59" s="15" t="s">
        <v>257</v>
      </c>
      <c r="N59" s="13" t="s">
        <v>88</v>
      </c>
      <c r="O59" s="15" t="s">
        <v>97</v>
      </c>
      <c r="P59" s="15" t="s">
        <v>98</v>
      </c>
      <c r="Q59" s="15" t="s">
        <v>104</v>
      </c>
      <c r="R59" s="13" t="s">
        <v>105</v>
      </c>
      <c r="S59" s="13" t="s">
        <v>93</v>
      </c>
      <c r="T59" s="13" t="s">
        <v>94</v>
      </c>
      <c r="U59" s="14">
        <v>40725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58" x14ac:dyDescent="0.35">
      <c r="A60" s="13" t="s">
        <v>76</v>
      </c>
      <c r="B60" s="13" t="s">
        <v>77</v>
      </c>
      <c r="C60" s="14">
        <v>43152.5</v>
      </c>
      <c r="D60" s="13" t="s">
        <v>78</v>
      </c>
      <c r="E60" s="15" t="s">
        <v>79</v>
      </c>
      <c r="F60" s="13" t="s">
        <v>80</v>
      </c>
      <c r="G60" s="15" t="s">
        <v>81</v>
      </c>
      <c r="H60" s="13" t="s">
        <v>250</v>
      </c>
      <c r="I60" s="15" t="s">
        <v>251</v>
      </c>
      <c r="J60" s="15" t="s">
        <v>252</v>
      </c>
      <c r="K60" s="15" t="s">
        <v>253</v>
      </c>
      <c r="L60" s="13" t="s">
        <v>258</v>
      </c>
      <c r="M60" s="15" t="s">
        <v>259</v>
      </c>
      <c r="N60" s="13" t="s">
        <v>101</v>
      </c>
      <c r="O60" s="15" t="s">
        <v>102</v>
      </c>
      <c r="P60" s="15" t="s">
        <v>103</v>
      </c>
      <c r="Q60" s="15" t="s">
        <v>104</v>
      </c>
      <c r="R60" s="13" t="s">
        <v>105</v>
      </c>
      <c r="S60" s="13" t="s">
        <v>93</v>
      </c>
      <c r="T60" s="13" t="s">
        <v>94</v>
      </c>
      <c r="U60" s="14">
        <v>40725</v>
      </c>
      <c r="V60" s="14"/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72.5" x14ac:dyDescent="0.35">
      <c r="A61" s="13" t="s">
        <v>76</v>
      </c>
      <c r="B61" s="13" t="s">
        <v>77</v>
      </c>
      <c r="C61" s="14">
        <v>43152.5</v>
      </c>
      <c r="D61" s="13" t="s">
        <v>78</v>
      </c>
      <c r="E61" s="15" t="s">
        <v>79</v>
      </c>
      <c r="F61" s="13" t="s">
        <v>80</v>
      </c>
      <c r="G61" s="15" t="s">
        <v>81</v>
      </c>
      <c r="H61" s="13" t="s">
        <v>250</v>
      </c>
      <c r="I61" s="15" t="s">
        <v>251</v>
      </c>
      <c r="J61" s="15" t="s">
        <v>252</v>
      </c>
      <c r="K61" s="15" t="s">
        <v>253</v>
      </c>
      <c r="L61" s="13" t="s">
        <v>254</v>
      </c>
      <c r="M61" s="15" t="s">
        <v>255</v>
      </c>
      <c r="N61" s="13" t="s">
        <v>88</v>
      </c>
      <c r="O61" s="15" t="s">
        <v>89</v>
      </c>
      <c r="P61" s="15" t="s">
        <v>90</v>
      </c>
      <c r="Q61" s="15" t="s">
        <v>106</v>
      </c>
      <c r="R61" s="13" t="s">
        <v>107</v>
      </c>
      <c r="S61" s="13" t="s">
        <v>93</v>
      </c>
      <c r="T61" s="13" t="s">
        <v>94</v>
      </c>
      <c r="U61" s="14">
        <v>40725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72.5" x14ac:dyDescent="0.35">
      <c r="A62" s="13" t="s">
        <v>76</v>
      </c>
      <c r="B62" s="13" t="s">
        <v>77</v>
      </c>
      <c r="C62" s="14">
        <v>43152.5</v>
      </c>
      <c r="D62" s="13" t="s">
        <v>78</v>
      </c>
      <c r="E62" s="15" t="s">
        <v>79</v>
      </c>
      <c r="F62" s="13" t="s">
        <v>80</v>
      </c>
      <c r="G62" s="15" t="s">
        <v>81</v>
      </c>
      <c r="H62" s="13" t="s">
        <v>250</v>
      </c>
      <c r="I62" s="15" t="s">
        <v>251</v>
      </c>
      <c r="J62" s="15" t="s">
        <v>252</v>
      </c>
      <c r="K62" s="15" t="s">
        <v>253</v>
      </c>
      <c r="L62" s="13" t="s">
        <v>256</v>
      </c>
      <c r="M62" s="15" t="s">
        <v>257</v>
      </c>
      <c r="N62" s="13" t="s">
        <v>88</v>
      </c>
      <c r="O62" s="15" t="s">
        <v>97</v>
      </c>
      <c r="P62" s="15" t="s">
        <v>98</v>
      </c>
      <c r="Q62" s="15" t="s">
        <v>106</v>
      </c>
      <c r="R62" s="13" t="s">
        <v>107</v>
      </c>
      <c r="S62" s="13" t="s">
        <v>93</v>
      </c>
      <c r="T62" s="13" t="s">
        <v>94</v>
      </c>
      <c r="U62" s="14">
        <v>40725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58" x14ac:dyDescent="0.35">
      <c r="A63" s="13" t="s">
        <v>76</v>
      </c>
      <c r="B63" s="13" t="s">
        <v>77</v>
      </c>
      <c r="C63" s="14">
        <v>43152.5</v>
      </c>
      <c r="D63" s="13" t="s">
        <v>78</v>
      </c>
      <c r="E63" s="15" t="s">
        <v>79</v>
      </c>
      <c r="F63" s="13" t="s">
        <v>80</v>
      </c>
      <c r="G63" s="15" t="s">
        <v>81</v>
      </c>
      <c r="H63" s="13" t="s">
        <v>250</v>
      </c>
      <c r="I63" s="15" t="s">
        <v>251</v>
      </c>
      <c r="J63" s="15" t="s">
        <v>252</v>
      </c>
      <c r="K63" s="15" t="s">
        <v>253</v>
      </c>
      <c r="L63" s="13" t="s">
        <v>258</v>
      </c>
      <c r="M63" s="15" t="s">
        <v>259</v>
      </c>
      <c r="N63" s="13" t="s">
        <v>101</v>
      </c>
      <c r="O63" s="15" t="s">
        <v>102</v>
      </c>
      <c r="P63" s="15" t="s">
        <v>103</v>
      </c>
      <c r="Q63" s="15" t="s">
        <v>106</v>
      </c>
      <c r="R63" s="13" t="s">
        <v>107</v>
      </c>
      <c r="S63" s="13" t="s">
        <v>93</v>
      </c>
      <c r="T63" s="13" t="s">
        <v>94</v>
      </c>
      <c r="U63" s="14">
        <v>40725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72.5" x14ac:dyDescent="0.35">
      <c r="A64" s="13" t="s">
        <v>238</v>
      </c>
      <c r="B64" s="13" t="s">
        <v>109</v>
      </c>
      <c r="C64" s="14">
        <v>44368.708333333336</v>
      </c>
      <c r="D64" s="13" t="s">
        <v>78</v>
      </c>
      <c r="E64" s="15" t="s">
        <v>79</v>
      </c>
      <c r="F64" s="13" t="s">
        <v>80</v>
      </c>
      <c r="G64" s="15" t="s">
        <v>81</v>
      </c>
      <c r="H64" s="13" t="s">
        <v>250</v>
      </c>
      <c r="I64" s="15" t="s">
        <v>251</v>
      </c>
      <c r="J64" s="15" t="s">
        <v>252</v>
      </c>
      <c r="K64" s="15" t="s">
        <v>253</v>
      </c>
      <c r="L64" s="13" t="s">
        <v>254</v>
      </c>
      <c r="M64" s="15" t="s">
        <v>255</v>
      </c>
      <c r="N64" s="13" t="s">
        <v>88</v>
      </c>
      <c r="O64" s="15" t="s">
        <v>89</v>
      </c>
      <c r="P64" s="15" t="s">
        <v>90</v>
      </c>
      <c r="Q64" s="15" t="s">
        <v>110</v>
      </c>
      <c r="R64" s="13" t="s">
        <v>111</v>
      </c>
      <c r="S64" s="13" t="s">
        <v>93</v>
      </c>
      <c r="T64" s="13" t="s">
        <v>112</v>
      </c>
      <c r="U64" s="14">
        <v>40725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72.5" x14ac:dyDescent="0.35">
      <c r="A65" s="13" t="s">
        <v>238</v>
      </c>
      <c r="B65" s="13" t="s">
        <v>109</v>
      </c>
      <c r="C65" s="14">
        <v>44368.708333333336</v>
      </c>
      <c r="D65" s="13" t="s">
        <v>78</v>
      </c>
      <c r="E65" s="15" t="s">
        <v>79</v>
      </c>
      <c r="F65" s="13" t="s">
        <v>80</v>
      </c>
      <c r="G65" s="15" t="s">
        <v>81</v>
      </c>
      <c r="H65" s="13" t="s">
        <v>250</v>
      </c>
      <c r="I65" s="15" t="s">
        <v>251</v>
      </c>
      <c r="J65" s="15" t="s">
        <v>252</v>
      </c>
      <c r="K65" s="15" t="s">
        <v>253</v>
      </c>
      <c r="L65" s="13" t="s">
        <v>256</v>
      </c>
      <c r="M65" s="15" t="s">
        <v>257</v>
      </c>
      <c r="N65" s="13" t="s">
        <v>88</v>
      </c>
      <c r="O65" s="15" t="s">
        <v>97</v>
      </c>
      <c r="P65" s="15" t="s">
        <v>98</v>
      </c>
      <c r="Q65" s="15" t="s">
        <v>110</v>
      </c>
      <c r="R65" s="13" t="s">
        <v>111</v>
      </c>
      <c r="S65" s="13" t="s">
        <v>93</v>
      </c>
      <c r="T65" s="13" t="s">
        <v>112</v>
      </c>
      <c r="U65" s="14">
        <v>40725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58" x14ac:dyDescent="0.35">
      <c r="A66" s="13" t="s">
        <v>165</v>
      </c>
      <c r="B66" s="13" t="s">
        <v>109</v>
      </c>
      <c r="C66" s="14">
        <v>44715.397916666669</v>
      </c>
      <c r="D66" s="13" t="s">
        <v>78</v>
      </c>
      <c r="E66" s="15" t="s">
        <v>79</v>
      </c>
      <c r="F66" s="13" t="s">
        <v>80</v>
      </c>
      <c r="G66" s="15" t="s">
        <v>81</v>
      </c>
      <c r="H66" s="13" t="s">
        <v>250</v>
      </c>
      <c r="I66" s="15" t="s">
        <v>251</v>
      </c>
      <c r="J66" s="15" t="s">
        <v>252</v>
      </c>
      <c r="K66" s="15" t="s">
        <v>253</v>
      </c>
      <c r="L66" s="13" t="s">
        <v>258</v>
      </c>
      <c r="M66" s="15" t="s">
        <v>259</v>
      </c>
      <c r="N66" s="13" t="s">
        <v>101</v>
      </c>
      <c r="O66" s="15" t="s">
        <v>102</v>
      </c>
      <c r="P66" s="15" t="s">
        <v>103</v>
      </c>
      <c r="Q66" s="15" t="s">
        <v>110</v>
      </c>
      <c r="R66" s="13" t="s">
        <v>111</v>
      </c>
      <c r="S66" s="13" t="s">
        <v>93</v>
      </c>
      <c r="T66" s="13" t="s">
        <v>112</v>
      </c>
      <c r="U66" s="14">
        <v>40725</v>
      </c>
      <c r="V66" s="14">
        <v>44633</v>
      </c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58" x14ac:dyDescent="0.35">
      <c r="A67" s="13" t="s">
        <v>165</v>
      </c>
      <c r="B67" s="13" t="s">
        <v>77</v>
      </c>
      <c r="C67" s="14">
        <v>44715.398611111108</v>
      </c>
      <c r="D67" s="13" t="s">
        <v>78</v>
      </c>
      <c r="E67" s="15" t="s">
        <v>79</v>
      </c>
      <c r="F67" s="13" t="s">
        <v>80</v>
      </c>
      <c r="G67" s="15" t="s">
        <v>81</v>
      </c>
      <c r="H67" s="13" t="s">
        <v>250</v>
      </c>
      <c r="I67" s="15" t="s">
        <v>251</v>
      </c>
      <c r="J67" s="15" t="s">
        <v>252</v>
      </c>
      <c r="K67" s="15" t="s">
        <v>253</v>
      </c>
      <c r="L67" s="13" t="s">
        <v>258</v>
      </c>
      <c r="M67" s="15" t="s">
        <v>259</v>
      </c>
      <c r="N67" s="13" t="s">
        <v>101</v>
      </c>
      <c r="O67" s="15" t="s">
        <v>102</v>
      </c>
      <c r="P67" s="15" t="s">
        <v>103</v>
      </c>
      <c r="Q67" s="15" t="s">
        <v>110</v>
      </c>
      <c r="R67" s="13" t="s">
        <v>111</v>
      </c>
      <c r="S67" s="13" t="s">
        <v>93</v>
      </c>
      <c r="T67" s="13" t="s">
        <v>112</v>
      </c>
      <c r="U67" s="14">
        <v>44634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72.5" x14ac:dyDescent="0.35">
      <c r="A68" s="13" t="s">
        <v>76</v>
      </c>
      <c r="B68" s="13" t="s">
        <v>77</v>
      </c>
      <c r="C68" s="14">
        <v>43152.5</v>
      </c>
      <c r="D68" s="13" t="s">
        <v>78</v>
      </c>
      <c r="E68" s="15" t="s">
        <v>79</v>
      </c>
      <c r="F68" s="13" t="s">
        <v>80</v>
      </c>
      <c r="G68" s="15" t="s">
        <v>81</v>
      </c>
      <c r="H68" s="13" t="s">
        <v>250</v>
      </c>
      <c r="I68" s="15" t="s">
        <v>251</v>
      </c>
      <c r="J68" s="15" t="s">
        <v>252</v>
      </c>
      <c r="K68" s="15" t="s">
        <v>253</v>
      </c>
      <c r="L68" s="13" t="s">
        <v>254</v>
      </c>
      <c r="M68" s="15" t="s">
        <v>255</v>
      </c>
      <c r="N68" s="13" t="s">
        <v>88</v>
      </c>
      <c r="O68" s="15" t="s">
        <v>89</v>
      </c>
      <c r="P68" s="15" t="s">
        <v>90</v>
      </c>
      <c r="Q68" s="15" t="s">
        <v>175</v>
      </c>
      <c r="R68" s="13" t="s">
        <v>176</v>
      </c>
      <c r="S68" s="13" t="s">
        <v>93</v>
      </c>
      <c r="T68" s="13" t="s">
        <v>94</v>
      </c>
      <c r="U68" s="14">
        <v>40725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72.5" x14ac:dyDescent="0.35">
      <c r="A69" s="13" t="s">
        <v>76</v>
      </c>
      <c r="B69" s="13" t="s">
        <v>77</v>
      </c>
      <c r="C69" s="14">
        <v>43152.5</v>
      </c>
      <c r="D69" s="13" t="s">
        <v>78</v>
      </c>
      <c r="E69" s="15" t="s">
        <v>79</v>
      </c>
      <c r="F69" s="13" t="s">
        <v>80</v>
      </c>
      <c r="G69" s="15" t="s">
        <v>81</v>
      </c>
      <c r="H69" s="13" t="s">
        <v>250</v>
      </c>
      <c r="I69" s="15" t="s">
        <v>251</v>
      </c>
      <c r="J69" s="15" t="s">
        <v>252</v>
      </c>
      <c r="K69" s="15" t="s">
        <v>253</v>
      </c>
      <c r="L69" s="13" t="s">
        <v>256</v>
      </c>
      <c r="M69" s="15" t="s">
        <v>257</v>
      </c>
      <c r="N69" s="13" t="s">
        <v>88</v>
      </c>
      <c r="O69" s="15" t="s">
        <v>97</v>
      </c>
      <c r="P69" s="15" t="s">
        <v>98</v>
      </c>
      <c r="Q69" s="15" t="s">
        <v>175</v>
      </c>
      <c r="R69" s="13" t="s">
        <v>176</v>
      </c>
      <c r="S69" s="13" t="s">
        <v>93</v>
      </c>
      <c r="T69" s="13" t="s">
        <v>94</v>
      </c>
      <c r="U69" s="14">
        <v>40725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58" x14ac:dyDescent="0.35">
      <c r="A70" s="13" t="s">
        <v>76</v>
      </c>
      <c r="B70" s="13" t="s">
        <v>77</v>
      </c>
      <c r="C70" s="14">
        <v>43152.5</v>
      </c>
      <c r="D70" s="13" t="s">
        <v>78</v>
      </c>
      <c r="E70" s="15" t="s">
        <v>79</v>
      </c>
      <c r="F70" s="13" t="s">
        <v>80</v>
      </c>
      <c r="G70" s="15" t="s">
        <v>81</v>
      </c>
      <c r="H70" s="13" t="s">
        <v>250</v>
      </c>
      <c r="I70" s="15" t="s">
        <v>251</v>
      </c>
      <c r="J70" s="15" t="s">
        <v>252</v>
      </c>
      <c r="K70" s="15" t="s">
        <v>253</v>
      </c>
      <c r="L70" s="13" t="s">
        <v>258</v>
      </c>
      <c r="M70" s="15" t="s">
        <v>259</v>
      </c>
      <c r="N70" s="13" t="s">
        <v>101</v>
      </c>
      <c r="O70" s="15" t="s">
        <v>102</v>
      </c>
      <c r="P70" s="15" t="s">
        <v>103</v>
      </c>
      <c r="Q70" s="15" t="s">
        <v>175</v>
      </c>
      <c r="R70" s="13" t="s">
        <v>176</v>
      </c>
      <c r="S70" s="13" t="s">
        <v>93</v>
      </c>
      <c r="T70" s="13" t="s">
        <v>94</v>
      </c>
      <c r="U70" s="14">
        <v>40725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72.5" x14ac:dyDescent="0.35">
      <c r="A71" s="13" t="s">
        <v>238</v>
      </c>
      <c r="B71" s="13" t="s">
        <v>109</v>
      </c>
      <c r="C71" s="14">
        <v>44368.708333333336</v>
      </c>
      <c r="D71" s="13" t="s">
        <v>78</v>
      </c>
      <c r="E71" s="15" t="s">
        <v>79</v>
      </c>
      <c r="F71" s="13" t="s">
        <v>80</v>
      </c>
      <c r="G71" s="15" t="s">
        <v>81</v>
      </c>
      <c r="H71" s="13" t="s">
        <v>250</v>
      </c>
      <c r="I71" s="15" t="s">
        <v>251</v>
      </c>
      <c r="J71" s="15" t="s">
        <v>252</v>
      </c>
      <c r="K71" s="15" t="s">
        <v>253</v>
      </c>
      <c r="L71" s="13" t="s">
        <v>254</v>
      </c>
      <c r="M71" s="15" t="s">
        <v>255</v>
      </c>
      <c r="N71" s="13" t="s">
        <v>88</v>
      </c>
      <c r="O71" s="15" t="s">
        <v>89</v>
      </c>
      <c r="P71" s="15" t="s">
        <v>90</v>
      </c>
      <c r="Q71" s="15" t="s">
        <v>177</v>
      </c>
      <c r="R71" s="13" t="s">
        <v>178</v>
      </c>
      <c r="S71" s="13" t="s">
        <v>179</v>
      </c>
      <c r="T71" s="13" t="s">
        <v>112</v>
      </c>
      <c r="U71" s="14">
        <v>40725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72.5" x14ac:dyDescent="0.35">
      <c r="A72" s="13" t="s">
        <v>238</v>
      </c>
      <c r="B72" s="13" t="s">
        <v>109</v>
      </c>
      <c r="C72" s="14">
        <v>44368.708333333336</v>
      </c>
      <c r="D72" s="13" t="s">
        <v>78</v>
      </c>
      <c r="E72" s="15" t="s">
        <v>79</v>
      </c>
      <c r="F72" s="13" t="s">
        <v>80</v>
      </c>
      <c r="G72" s="15" t="s">
        <v>81</v>
      </c>
      <c r="H72" s="13" t="s">
        <v>250</v>
      </c>
      <c r="I72" s="15" t="s">
        <v>251</v>
      </c>
      <c r="J72" s="15" t="s">
        <v>252</v>
      </c>
      <c r="K72" s="15" t="s">
        <v>253</v>
      </c>
      <c r="L72" s="13" t="s">
        <v>256</v>
      </c>
      <c r="M72" s="15" t="s">
        <v>257</v>
      </c>
      <c r="N72" s="13" t="s">
        <v>88</v>
      </c>
      <c r="O72" s="15" t="s">
        <v>97</v>
      </c>
      <c r="P72" s="15" t="s">
        <v>98</v>
      </c>
      <c r="Q72" s="15" t="s">
        <v>177</v>
      </c>
      <c r="R72" s="13" t="s">
        <v>178</v>
      </c>
      <c r="S72" s="13" t="s">
        <v>179</v>
      </c>
      <c r="T72" s="13" t="s">
        <v>112</v>
      </c>
      <c r="U72" s="14">
        <v>40725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58" x14ac:dyDescent="0.35">
      <c r="A73" s="13" t="s">
        <v>165</v>
      </c>
      <c r="B73" s="13" t="s">
        <v>109</v>
      </c>
      <c r="C73" s="14">
        <v>44715.4</v>
      </c>
      <c r="D73" s="13" t="s">
        <v>78</v>
      </c>
      <c r="E73" s="15" t="s">
        <v>79</v>
      </c>
      <c r="F73" s="13" t="s">
        <v>80</v>
      </c>
      <c r="G73" s="15" t="s">
        <v>81</v>
      </c>
      <c r="H73" s="13" t="s">
        <v>250</v>
      </c>
      <c r="I73" s="15" t="s">
        <v>251</v>
      </c>
      <c r="J73" s="15" t="s">
        <v>252</v>
      </c>
      <c r="K73" s="15" t="s">
        <v>253</v>
      </c>
      <c r="L73" s="13" t="s">
        <v>258</v>
      </c>
      <c r="M73" s="15" t="s">
        <v>259</v>
      </c>
      <c r="N73" s="13" t="s">
        <v>101</v>
      </c>
      <c r="O73" s="15" t="s">
        <v>102</v>
      </c>
      <c r="P73" s="15" t="s">
        <v>103</v>
      </c>
      <c r="Q73" s="15" t="s">
        <v>177</v>
      </c>
      <c r="R73" s="13" t="s">
        <v>178</v>
      </c>
      <c r="S73" s="13" t="s">
        <v>179</v>
      </c>
      <c r="T73" s="13" t="s">
        <v>112</v>
      </c>
      <c r="U73" s="14">
        <v>40725</v>
      </c>
      <c r="V73" s="14">
        <v>44633</v>
      </c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58" x14ac:dyDescent="0.35">
      <c r="A74" s="13" t="s">
        <v>165</v>
      </c>
      <c r="B74" s="13" t="s">
        <v>77</v>
      </c>
      <c r="C74" s="14">
        <v>44715.400694444441</v>
      </c>
      <c r="D74" s="13" t="s">
        <v>78</v>
      </c>
      <c r="E74" s="15" t="s">
        <v>79</v>
      </c>
      <c r="F74" s="13" t="s">
        <v>80</v>
      </c>
      <c r="G74" s="15" t="s">
        <v>81</v>
      </c>
      <c r="H74" s="13" t="s">
        <v>250</v>
      </c>
      <c r="I74" s="15" t="s">
        <v>251</v>
      </c>
      <c r="J74" s="15" t="s">
        <v>252</v>
      </c>
      <c r="K74" s="15" t="s">
        <v>253</v>
      </c>
      <c r="L74" s="13" t="s">
        <v>258</v>
      </c>
      <c r="M74" s="15" t="s">
        <v>259</v>
      </c>
      <c r="N74" s="13" t="s">
        <v>101</v>
      </c>
      <c r="O74" s="15" t="s">
        <v>102</v>
      </c>
      <c r="P74" s="15" t="s">
        <v>103</v>
      </c>
      <c r="Q74" s="15" t="s">
        <v>177</v>
      </c>
      <c r="R74" s="13" t="s">
        <v>178</v>
      </c>
      <c r="S74" s="13" t="s">
        <v>179</v>
      </c>
      <c r="T74" s="13" t="s">
        <v>112</v>
      </c>
      <c r="U74" s="14">
        <v>44634</v>
      </c>
      <c r="V74" s="14"/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72.5" x14ac:dyDescent="0.35">
      <c r="A75" s="13" t="s">
        <v>76</v>
      </c>
      <c r="B75" s="13" t="s">
        <v>77</v>
      </c>
      <c r="C75" s="14">
        <v>43152.5</v>
      </c>
      <c r="D75" s="13" t="s">
        <v>78</v>
      </c>
      <c r="E75" s="15" t="s">
        <v>79</v>
      </c>
      <c r="F75" s="13" t="s">
        <v>80</v>
      </c>
      <c r="G75" s="15" t="s">
        <v>81</v>
      </c>
      <c r="H75" s="13" t="s">
        <v>268</v>
      </c>
      <c r="I75" s="15" t="s">
        <v>269</v>
      </c>
      <c r="J75" s="15" t="s">
        <v>270</v>
      </c>
      <c r="K75" s="15" t="s">
        <v>271</v>
      </c>
      <c r="L75" s="13" t="s">
        <v>272</v>
      </c>
      <c r="M75" s="15" t="s">
        <v>273</v>
      </c>
      <c r="N75" s="13" t="s">
        <v>88</v>
      </c>
      <c r="O75" s="15" t="s">
        <v>89</v>
      </c>
      <c r="P75" s="15" t="s">
        <v>90</v>
      </c>
      <c r="Q75" s="15" t="s">
        <v>91</v>
      </c>
      <c r="R75" s="13" t="s">
        <v>92</v>
      </c>
      <c r="S75" s="13" t="s">
        <v>93</v>
      </c>
      <c r="T75" s="13" t="s">
        <v>94</v>
      </c>
      <c r="U75" s="14">
        <v>40725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72.5" x14ac:dyDescent="0.35">
      <c r="A76" s="13" t="s">
        <v>76</v>
      </c>
      <c r="B76" s="13" t="s">
        <v>77</v>
      </c>
      <c r="C76" s="14">
        <v>43152.5</v>
      </c>
      <c r="D76" s="13" t="s">
        <v>78</v>
      </c>
      <c r="E76" s="15" t="s">
        <v>79</v>
      </c>
      <c r="F76" s="13" t="s">
        <v>80</v>
      </c>
      <c r="G76" s="15" t="s">
        <v>81</v>
      </c>
      <c r="H76" s="13" t="s">
        <v>268</v>
      </c>
      <c r="I76" s="15" t="s">
        <v>269</v>
      </c>
      <c r="J76" s="15" t="s">
        <v>270</v>
      </c>
      <c r="K76" s="15" t="s">
        <v>271</v>
      </c>
      <c r="L76" s="13" t="s">
        <v>274</v>
      </c>
      <c r="M76" s="15" t="s">
        <v>275</v>
      </c>
      <c r="N76" s="13" t="s">
        <v>88</v>
      </c>
      <c r="O76" s="15" t="s">
        <v>97</v>
      </c>
      <c r="P76" s="15" t="s">
        <v>98</v>
      </c>
      <c r="Q76" s="15" t="s">
        <v>91</v>
      </c>
      <c r="R76" s="13" t="s">
        <v>92</v>
      </c>
      <c r="S76" s="13" t="s">
        <v>93</v>
      </c>
      <c r="T76" s="13" t="s">
        <v>94</v>
      </c>
      <c r="U76" s="14">
        <v>40725</v>
      </c>
      <c r="V76" s="14"/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58" x14ac:dyDescent="0.35">
      <c r="A77" s="13" t="s">
        <v>76</v>
      </c>
      <c r="B77" s="13" t="s">
        <v>77</v>
      </c>
      <c r="C77" s="14">
        <v>43152.5</v>
      </c>
      <c r="D77" s="13" t="s">
        <v>78</v>
      </c>
      <c r="E77" s="15" t="s">
        <v>79</v>
      </c>
      <c r="F77" s="13" t="s">
        <v>80</v>
      </c>
      <c r="G77" s="15" t="s">
        <v>81</v>
      </c>
      <c r="H77" s="13" t="s">
        <v>268</v>
      </c>
      <c r="I77" s="15" t="s">
        <v>269</v>
      </c>
      <c r="J77" s="15" t="s">
        <v>270</v>
      </c>
      <c r="K77" s="15" t="s">
        <v>271</v>
      </c>
      <c r="L77" s="13" t="s">
        <v>276</v>
      </c>
      <c r="M77" s="15" t="s">
        <v>277</v>
      </c>
      <c r="N77" s="13" t="s">
        <v>101</v>
      </c>
      <c r="O77" s="15" t="s">
        <v>102</v>
      </c>
      <c r="P77" s="15" t="s">
        <v>103</v>
      </c>
      <c r="Q77" s="15" t="s">
        <v>91</v>
      </c>
      <c r="R77" s="13" t="s">
        <v>92</v>
      </c>
      <c r="S77" s="13" t="s">
        <v>93</v>
      </c>
      <c r="T77" s="13" t="s">
        <v>94</v>
      </c>
      <c r="U77" s="14">
        <v>40725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72.5" x14ac:dyDescent="0.35">
      <c r="A78" s="13" t="s">
        <v>76</v>
      </c>
      <c r="B78" s="13" t="s">
        <v>77</v>
      </c>
      <c r="C78" s="14">
        <v>43152.5</v>
      </c>
      <c r="D78" s="13" t="s">
        <v>78</v>
      </c>
      <c r="E78" s="15" t="s">
        <v>79</v>
      </c>
      <c r="F78" s="13" t="s">
        <v>80</v>
      </c>
      <c r="G78" s="15" t="s">
        <v>81</v>
      </c>
      <c r="H78" s="13" t="s">
        <v>268</v>
      </c>
      <c r="I78" s="15" t="s">
        <v>269</v>
      </c>
      <c r="J78" s="15" t="s">
        <v>270</v>
      </c>
      <c r="K78" s="15" t="s">
        <v>271</v>
      </c>
      <c r="L78" s="13" t="s">
        <v>272</v>
      </c>
      <c r="M78" s="15" t="s">
        <v>273</v>
      </c>
      <c r="N78" s="13" t="s">
        <v>88</v>
      </c>
      <c r="O78" s="15" t="s">
        <v>89</v>
      </c>
      <c r="P78" s="15" t="s">
        <v>90</v>
      </c>
      <c r="Q78" s="15" t="s">
        <v>104</v>
      </c>
      <c r="R78" s="13" t="s">
        <v>105</v>
      </c>
      <c r="S78" s="13" t="s">
        <v>93</v>
      </c>
      <c r="T78" s="13" t="s">
        <v>94</v>
      </c>
      <c r="U78" s="14">
        <v>40725</v>
      </c>
      <c r="V78" s="14"/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  <row r="79" spans="1:41" ht="72.5" x14ac:dyDescent="0.35">
      <c r="A79" s="13" t="s">
        <v>76</v>
      </c>
      <c r="B79" s="13" t="s">
        <v>77</v>
      </c>
      <c r="C79" s="14">
        <v>43152.5</v>
      </c>
      <c r="D79" s="13" t="s">
        <v>78</v>
      </c>
      <c r="E79" s="15" t="s">
        <v>79</v>
      </c>
      <c r="F79" s="13" t="s">
        <v>80</v>
      </c>
      <c r="G79" s="15" t="s">
        <v>81</v>
      </c>
      <c r="H79" s="13" t="s">
        <v>268</v>
      </c>
      <c r="I79" s="15" t="s">
        <v>269</v>
      </c>
      <c r="J79" s="15" t="s">
        <v>270</v>
      </c>
      <c r="K79" s="15" t="s">
        <v>271</v>
      </c>
      <c r="L79" s="13" t="s">
        <v>274</v>
      </c>
      <c r="M79" s="15" t="s">
        <v>275</v>
      </c>
      <c r="N79" s="13" t="s">
        <v>88</v>
      </c>
      <c r="O79" s="15" t="s">
        <v>97</v>
      </c>
      <c r="P79" s="15" t="s">
        <v>98</v>
      </c>
      <c r="Q79" s="15" t="s">
        <v>104</v>
      </c>
      <c r="R79" s="13" t="s">
        <v>105</v>
      </c>
      <c r="S79" s="13" t="s">
        <v>93</v>
      </c>
      <c r="T79" s="13" t="s">
        <v>94</v>
      </c>
      <c r="U79" s="14">
        <v>40725</v>
      </c>
      <c r="V79" s="14"/>
      <c r="W79" s="15"/>
      <c r="X79" s="15"/>
      <c r="Y79" s="13"/>
      <c r="Z79" s="15"/>
      <c r="AA79" s="15"/>
      <c r="AB79" s="15"/>
      <c r="AC79" s="13"/>
      <c r="AD79" s="15"/>
      <c r="AE79" s="15"/>
      <c r="AF79" s="15"/>
      <c r="AG79" s="13"/>
      <c r="AH79" s="15"/>
      <c r="AI79" s="15"/>
      <c r="AJ79" s="15"/>
      <c r="AK79" s="13"/>
      <c r="AL79" s="15"/>
      <c r="AM79" s="15"/>
      <c r="AN79" s="13"/>
      <c r="AO79" s="13"/>
    </row>
    <row r="80" spans="1:41" ht="58" x14ac:dyDescent="0.35">
      <c r="A80" s="13" t="s">
        <v>76</v>
      </c>
      <c r="B80" s="13" t="s">
        <v>77</v>
      </c>
      <c r="C80" s="14">
        <v>43152.5</v>
      </c>
      <c r="D80" s="13" t="s">
        <v>78</v>
      </c>
      <c r="E80" s="15" t="s">
        <v>79</v>
      </c>
      <c r="F80" s="13" t="s">
        <v>80</v>
      </c>
      <c r="G80" s="15" t="s">
        <v>81</v>
      </c>
      <c r="H80" s="13" t="s">
        <v>268</v>
      </c>
      <c r="I80" s="15" t="s">
        <v>269</v>
      </c>
      <c r="J80" s="15" t="s">
        <v>270</v>
      </c>
      <c r="K80" s="15" t="s">
        <v>271</v>
      </c>
      <c r="L80" s="13" t="s">
        <v>276</v>
      </c>
      <c r="M80" s="15" t="s">
        <v>277</v>
      </c>
      <c r="N80" s="13" t="s">
        <v>101</v>
      </c>
      <c r="O80" s="15" t="s">
        <v>102</v>
      </c>
      <c r="P80" s="15" t="s">
        <v>103</v>
      </c>
      <c r="Q80" s="15" t="s">
        <v>104</v>
      </c>
      <c r="R80" s="13" t="s">
        <v>105</v>
      </c>
      <c r="S80" s="13" t="s">
        <v>93</v>
      </c>
      <c r="T80" s="13" t="s">
        <v>94</v>
      </c>
      <c r="U80" s="14">
        <v>40725</v>
      </c>
      <c r="V80" s="14"/>
      <c r="W80" s="15"/>
      <c r="X80" s="15"/>
      <c r="Y80" s="13"/>
      <c r="Z80" s="15"/>
      <c r="AA80" s="15"/>
      <c r="AB80" s="15"/>
      <c r="AC80" s="13"/>
      <c r="AD80" s="15"/>
      <c r="AE80" s="15"/>
      <c r="AF80" s="15"/>
      <c r="AG80" s="13"/>
      <c r="AH80" s="15"/>
      <c r="AI80" s="15"/>
      <c r="AJ80" s="15"/>
      <c r="AK80" s="13"/>
      <c r="AL80" s="15"/>
      <c r="AM80" s="15"/>
      <c r="AN80" s="13"/>
      <c r="AO80" s="13"/>
    </row>
    <row r="81" spans="1:41" ht="72.5" x14ac:dyDescent="0.35">
      <c r="A81" s="13" t="s">
        <v>76</v>
      </c>
      <c r="B81" s="13" t="s">
        <v>77</v>
      </c>
      <c r="C81" s="14">
        <v>43152.5</v>
      </c>
      <c r="D81" s="13" t="s">
        <v>78</v>
      </c>
      <c r="E81" s="15" t="s">
        <v>79</v>
      </c>
      <c r="F81" s="13" t="s">
        <v>80</v>
      </c>
      <c r="G81" s="15" t="s">
        <v>81</v>
      </c>
      <c r="H81" s="13" t="s">
        <v>268</v>
      </c>
      <c r="I81" s="15" t="s">
        <v>269</v>
      </c>
      <c r="J81" s="15" t="s">
        <v>270</v>
      </c>
      <c r="K81" s="15" t="s">
        <v>271</v>
      </c>
      <c r="L81" s="13" t="s">
        <v>272</v>
      </c>
      <c r="M81" s="15" t="s">
        <v>273</v>
      </c>
      <c r="N81" s="13" t="s">
        <v>88</v>
      </c>
      <c r="O81" s="15" t="s">
        <v>89</v>
      </c>
      <c r="P81" s="15" t="s">
        <v>90</v>
      </c>
      <c r="Q81" s="15" t="s">
        <v>106</v>
      </c>
      <c r="R81" s="13" t="s">
        <v>107</v>
      </c>
      <c r="S81" s="13" t="s">
        <v>93</v>
      </c>
      <c r="T81" s="13" t="s">
        <v>94</v>
      </c>
      <c r="U81" s="14">
        <v>40725</v>
      </c>
      <c r="V81" s="14"/>
      <c r="W81" s="15"/>
      <c r="X81" s="15"/>
      <c r="Y81" s="13"/>
      <c r="Z81" s="15"/>
      <c r="AA81" s="15"/>
      <c r="AB81" s="15"/>
      <c r="AC81" s="13"/>
      <c r="AD81" s="15"/>
      <c r="AE81" s="15"/>
      <c r="AF81" s="15"/>
      <c r="AG81" s="13"/>
      <c r="AH81" s="15"/>
      <c r="AI81" s="15"/>
      <c r="AJ81" s="15"/>
      <c r="AK81" s="13"/>
      <c r="AL81" s="15"/>
      <c r="AM81" s="15"/>
      <c r="AN81" s="13"/>
      <c r="AO81" s="13"/>
    </row>
    <row r="82" spans="1:41" ht="72.5" x14ac:dyDescent="0.35">
      <c r="A82" s="13" t="s">
        <v>76</v>
      </c>
      <c r="B82" s="13" t="s">
        <v>77</v>
      </c>
      <c r="C82" s="14">
        <v>43152.5</v>
      </c>
      <c r="D82" s="13" t="s">
        <v>78</v>
      </c>
      <c r="E82" s="15" t="s">
        <v>79</v>
      </c>
      <c r="F82" s="13" t="s">
        <v>80</v>
      </c>
      <c r="G82" s="15" t="s">
        <v>81</v>
      </c>
      <c r="H82" s="13" t="s">
        <v>268</v>
      </c>
      <c r="I82" s="15" t="s">
        <v>269</v>
      </c>
      <c r="J82" s="15" t="s">
        <v>270</v>
      </c>
      <c r="K82" s="15" t="s">
        <v>271</v>
      </c>
      <c r="L82" s="13" t="s">
        <v>274</v>
      </c>
      <c r="M82" s="15" t="s">
        <v>275</v>
      </c>
      <c r="N82" s="13" t="s">
        <v>88</v>
      </c>
      <c r="O82" s="15" t="s">
        <v>97</v>
      </c>
      <c r="P82" s="15" t="s">
        <v>98</v>
      </c>
      <c r="Q82" s="15" t="s">
        <v>106</v>
      </c>
      <c r="R82" s="13" t="s">
        <v>107</v>
      </c>
      <c r="S82" s="13" t="s">
        <v>93</v>
      </c>
      <c r="T82" s="13" t="s">
        <v>94</v>
      </c>
      <c r="U82" s="14">
        <v>40725</v>
      </c>
      <c r="V82" s="14"/>
      <c r="W82" s="15"/>
      <c r="X82" s="15"/>
      <c r="Y82" s="13"/>
      <c r="Z82" s="15"/>
      <c r="AA82" s="15"/>
      <c r="AB82" s="15"/>
      <c r="AC82" s="13"/>
      <c r="AD82" s="15"/>
      <c r="AE82" s="15"/>
      <c r="AF82" s="15"/>
      <c r="AG82" s="13"/>
      <c r="AH82" s="15"/>
      <c r="AI82" s="15"/>
      <c r="AJ82" s="15"/>
      <c r="AK82" s="13"/>
      <c r="AL82" s="15"/>
      <c r="AM82" s="15"/>
      <c r="AN82" s="13"/>
      <c r="AO82" s="13"/>
    </row>
    <row r="83" spans="1:41" ht="58" x14ac:dyDescent="0.35">
      <c r="A83" s="13" t="s">
        <v>76</v>
      </c>
      <c r="B83" s="13" t="s">
        <v>77</v>
      </c>
      <c r="C83" s="14">
        <v>43152.5</v>
      </c>
      <c r="D83" s="13" t="s">
        <v>78</v>
      </c>
      <c r="E83" s="15" t="s">
        <v>79</v>
      </c>
      <c r="F83" s="13" t="s">
        <v>80</v>
      </c>
      <c r="G83" s="15" t="s">
        <v>81</v>
      </c>
      <c r="H83" s="13" t="s">
        <v>268</v>
      </c>
      <c r="I83" s="15" t="s">
        <v>269</v>
      </c>
      <c r="J83" s="15" t="s">
        <v>270</v>
      </c>
      <c r="K83" s="15" t="s">
        <v>271</v>
      </c>
      <c r="L83" s="13" t="s">
        <v>276</v>
      </c>
      <c r="M83" s="15" t="s">
        <v>277</v>
      </c>
      <c r="N83" s="13" t="s">
        <v>101</v>
      </c>
      <c r="O83" s="15" t="s">
        <v>102</v>
      </c>
      <c r="P83" s="15" t="s">
        <v>103</v>
      </c>
      <c r="Q83" s="15" t="s">
        <v>106</v>
      </c>
      <c r="R83" s="13" t="s">
        <v>107</v>
      </c>
      <c r="S83" s="13" t="s">
        <v>93</v>
      </c>
      <c r="T83" s="13" t="s">
        <v>94</v>
      </c>
      <c r="U83" s="14">
        <v>40725</v>
      </c>
      <c r="V83" s="14"/>
      <c r="W83" s="15"/>
      <c r="X83" s="15"/>
      <c r="Y83" s="13"/>
      <c r="Z83" s="15"/>
      <c r="AA83" s="15"/>
      <c r="AB83" s="15"/>
      <c r="AC83" s="13"/>
      <c r="AD83" s="15"/>
      <c r="AE83" s="15"/>
      <c r="AF83" s="15"/>
      <c r="AG83" s="13"/>
      <c r="AH83" s="15"/>
      <c r="AI83" s="15"/>
      <c r="AJ83" s="15"/>
      <c r="AK83" s="13"/>
      <c r="AL83" s="15"/>
      <c r="AM83" s="15"/>
      <c r="AN83" s="13"/>
      <c r="AO83" s="13"/>
    </row>
    <row r="84" spans="1:41" ht="72.5" x14ac:dyDescent="0.35">
      <c r="A84" s="13" t="s">
        <v>238</v>
      </c>
      <c r="B84" s="13" t="s">
        <v>109</v>
      </c>
      <c r="C84" s="14">
        <v>44368.708333333336</v>
      </c>
      <c r="D84" s="13" t="s">
        <v>78</v>
      </c>
      <c r="E84" s="15" t="s">
        <v>79</v>
      </c>
      <c r="F84" s="13" t="s">
        <v>80</v>
      </c>
      <c r="G84" s="15" t="s">
        <v>81</v>
      </c>
      <c r="H84" s="13" t="s">
        <v>268</v>
      </c>
      <c r="I84" s="15" t="s">
        <v>269</v>
      </c>
      <c r="J84" s="15" t="s">
        <v>270</v>
      </c>
      <c r="K84" s="15" t="s">
        <v>271</v>
      </c>
      <c r="L84" s="13" t="s">
        <v>272</v>
      </c>
      <c r="M84" s="15" t="s">
        <v>273</v>
      </c>
      <c r="N84" s="13" t="s">
        <v>88</v>
      </c>
      <c r="O84" s="15" t="s">
        <v>89</v>
      </c>
      <c r="P84" s="15" t="s">
        <v>90</v>
      </c>
      <c r="Q84" s="15" t="s">
        <v>110</v>
      </c>
      <c r="R84" s="13" t="s">
        <v>111</v>
      </c>
      <c r="S84" s="13" t="s">
        <v>93</v>
      </c>
      <c r="T84" s="13" t="s">
        <v>112</v>
      </c>
      <c r="U84" s="14">
        <v>40725</v>
      </c>
      <c r="V84" s="14"/>
      <c r="W84" s="15"/>
      <c r="X84" s="15"/>
      <c r="Y84" s="13"/>
      <c r="Z84" s="15"/>
      <c r="AA84" s="15"/>
      <c r="AB84" s="15"/>
      <c r="AC84" s="13"/>
      <c r="AD84" s="15"/>
      <c r="AE84" s="15"/>
      <c r="AF84" s="15"/>
      <c r="AG84" s="13"/>
      <c r="AH84" s="15"/>
      <c r="AI84" s="15"/>
      <c r="AJ84" s="15"/>
      <c r="AK84" s="13"/>
      <c r="AL84" s="15"/>
      <c r="AM84" s="15"/>
      <c r="AN84" s="13"/>
      <c r="AO84" s="13"/>
    </row>
    <row r="85" spans="1:41" ht="72.5" x14ac:dyDescent="0.35">
      <c r="A85" s="13" t="s">
        <v>238</v>
      </c>
      <c r="B85" s="13" t="s">
        <v>109</v>
      </c>
      <c r="C85" s="14">
        <v>44368.708333333336</v>
      </c>
      <c r="D85" s="13" t="s">
        <v>78</v>
      </c>
      <c r="E85" s="15" t="s">
        <v>79</v>
      </c>
      <c r="F85" s="13" t="s">
        <v>80</v>
      </c>
      <c r="G85" s="15" t="s">
        <v>81</v>
      </c>
      <c r="H85" s="13" t="s">
        <v>268</v>
      </c>
      <c r="I85" s="15" t="s">
        <v>269</v>
      </c>
      <c r="J85" s="15" t="s">
        <v>270</v>
      </c>
      <c r="K85" s="15" t="s">
        <v>271</v>
      </c>
      <c r="L85" s="13" t="s">
        <v>274</v>
      </c>
      <c r="M85" s="15" t="s">
        <v>275</v>
      </c>
      <c r="N85" s="13" t="s">
        <v>88</v>
      </c>
      <c r="O85" s="15" t="s">
        <v>97</v>
      </c>
      <c r="P85" s="15" t="s">
        <v>98</v>
      </c>
      <c r="Q85" s="15" t="s">
        <v>110</v>
      </c>
      <c r="R85" s="13" t="s">
        <v>111</v>
      </c>
      <c r="S85" s="13" t="s">
        <v>93</v>
      </c>
      <c r="T85" s="13" t="s">
        <v>112</v>
      </c>
      <c r="U85" s="14">
        <v>40725</v>
      </c>
      <c r="V85" s="14"/>
      <c r="W85" s="15"/>
      <c r="X85" s="15"/>
      <c r="Y85" s="13"/>
      <c r="Z85" s="15"/>
      <c r="AA85" s="15"/>
      <c r="AB85" s="15"/>
      <c r="AC85" s="13"/>
      <c r="AD85" s="15"/>
      <c r="AE85" s="15"/>
      <c r="AF85" s="15"/>
      <c r="AG85" s="13"/>
      <c r="AH85" s="15"/>
      <c r="AI85" s="15"/>
      <c r="AJ85" s="15"/>
      <c r="AK85" s="13"/>
      <c r="AL85" s="15"/>
      <c r="AM85" s="15"/>
      <c r="AN85" s="13"/>
      <c r="AO85" s="13"/>
    </row>
    <row r="86" spans="1:41" ht="58" x14ac:dyDescent="0.35">
      <c r="A86" s="13" t="s">
        <v>165</v>
      </c>
      <c r="B86" s="13" t="s">
        <v>109</v>
      </c>
      <c r="C86" s="14">
        <v>44715.631944444445</v>
      </c>
      <c r="D86" s="13" t="s">
        <v>78</v>
      </c>
      <c r="E86" s="15" t="s">
        <v>79</v>
      </c>
      <c r="F86" s="13" t="s">
        <v>80</v>
      </c>
      <c r="G86" s="15" t="s">
        <v>81</v>
      </c>
      <c r="H86" s="13" t="s">
        <v>268</v>
      </c>
      <c r="I86" s="15" t="s">
        <v>269</v>
      </c>
      <c r="J86" s="15" t="s">
        <v>270</v>
      </c>
      <c r="K86" s="15" t="s">
        <v>271</v>
      </c>
      <c r="L86" s="13" t="s">
        <v>276</v>
      </c>
      <c r="M86" s="15" t="s">
        <v>277</v>
      </c>
      <c r="N86" s="13" t="s">
        <v>101</v>
      </c>
      <c r="O86" s="15" t="s">
        <v>102</v>
      </c>
      <c r="P86" s="15" t="s">
        <v>103</v>
      </c>
      <c r="Q86" s="15" t="s">
        <v>110</v>
      </c>
      <c r="R86" s="13" t="s">
        <v>111</v>
      </c>
      <c r="S86" s="13" t="s">
        <v>93</v>
      </c>
      <c r="T86" s="13" t="s">
        <v>112</v>
      </c>
      <c r="U86" s="14">
        <v>40725</v>
      </c>
      <c r="V86" s="14">
        <v>44633</v>
      </c>
      <c r="W86" s="15"/>
      <c r="X86" s="15"/>
      <c r="Y86" s="13"/>
      <c r="Z86" s="15"/>
      <c r="AA86" s="15"/>
      <c r="AB86" s="15"/>
      <c r="AC86" s="13"/>
      <c r="AD86" s="15"/>
      <c r="AE86" s="15"/>
      <c r="AF86" s="15"/>
      <c r="AG86" s="13"/>
      <c r="AH86" s="15"/>
      <c r="AI86" s="15"/>
      <c r="AJ86" s="15"/>
      <c r="AK86" s="13"/>
      <c r="AL86" s="15"/>
      <c r="AM86" s="15"/>
      <c r="AN86" s="13"/>
      <c r="AO86" s="13"/>
    </row>
    <row r="87" spans="1:41" ht="58" x14ac:dyDescent="0.35">
      <c r="A87" s="13" t="s">
        <v>165</v>
      </c>
      <c r="B87" s="13" t="s">
        <v>77</v>
      </c>
      <c r="C87" s="14">
        <v>44715.632638888892</v>
      </c>
      <c r="D87" s="13" t="s">
        <v>78</v>
      </c>
      <c r="E87" s="15" t="s">
        <v>79</v>
      </c>
      <c r="F87" s="13" t="s">
        <v>80</v>
      </c>
      <c r="G87" s="15" t="s">
        <v>81</v>
      </c>
      <c r="H87" s="13" t="s">
        <v>268</v>
      </c>
      <c r="I87" s="15" t="s">
        <v>269</v>
      </c>
      <c r="J87" s="15" t="s">
        <v>270</v>
      </c>
      <c r="K87" s="15" t="s">
        <v>271</v>
      </c>
      <c r="L87" s="13" t="s">
        <v>276</v>
      </c>
      <c r="M87" s="15" t="s">
        <v>277</v>
      </c>
      <c r="N87" s="13" t="s">
        <v>101</v>
      </c>
      <c r="O87" s="15" t="s">
        <v>102</v>
      </c>
      <c r="P87" s="15" t="s">
        <v>103</v>
      </c>
      <c r="Q87" s="15" t="s">
        <v>110</v>
      </c>
      <c r="R87" s="13" t="s">
        <v>111</v>
      </c>
      <c r="S87" s="13" t="s">
        <v>93</v>
      </c>
      <c r="T87" s="13" t="s">
        <v>112</v>
      </c>
      <c r="U87" s="14">
        <v>44634</v>
      </c>
      <c r="V87" s="14"/>
      <c r="W87" s="15"/>
      <c r="X87" s="15"/>
      <c r="Y87" s="13"/>
      <c r="Z87" s="15"/>
      <c r="AA87" s="15"/>
      <c r="AB87" s="15"/>
      <c r="AC87" s="13"/>
      <c r="AD87" s="15"/>
      <c r="AE87" s="15"/>
      <c r="AF87" s="15"/>
      <c r="AG87" s="13"/>
      <c r="AH87" s="15"/>
      <c r="AI87" s="15"/>
      <c r="AJ87" s="15"/>
      <c r="AK87" s="13"/>
      <c r="AL87" s="15"/>
      <c r="AM87" s="15"/>
      <c r="AN87" s="13"/>
      <c r="AO87" s="13"/>
    </row>
    <row r="88" spans="1:41" ht="72.5" x14ac:dyDescent="0.35">
      <c r="A88" s="13" t="s">
        <v>76</v>
      </c>
      <c r="B88" s="13" t="s">
        <v>77</v>
      </c>
      <c r="C88" s="14">
        <v>43152.5</v>
      </c>
      <c r="D88" s="13" t="s">
        <v>78</v>
      </c>
      <c r="E88" s="15" t="s">
        <v>79</v>
      </c>
      <c r="F88" s="13" t="s">
        <v>80</v>
      </c>
      <c r="G88" s="15" t="s">
        <v>81</v>
      </c>
      <c r="H88" s="13" t="s">
        <v>268</v>
      </c>
      <c r="I88" s="15" t="s">
        <v>269</v>
      </c>
      <c r="J88" s="15" t="s">
        <v>270</v>
      </c>
      <c r="K88" s="15" t="s">
        <v>271</v>
      </c>
      <c r="L88" s="13" t="s">
        <v>272</v>
      </c>
      <c r="M88" s="15" t="s">
        <v>273</v>
      </c>
      <c r="N88" s="13" t="s">
        <v>88</v>
      </c>
      <c r="O88" s="15" t="s">
        <v>89</v>
      </c>
      <c r="P88" s="15" t="s">
        <v>90</v>
      </c>
      <c r="Q88" s="15" t="s">
        <v>175</v>
      </c>
      <c r="R88" s="13" t="s">
        <v>176</v>
      </c>
      <c r="S88" s="13" t="s">
        <v>93</v>
      </c>
      <c r="T88" s="13" t="s">
        <v>94</v>
      </c>
      <c r="U88" s="14">
        <v>40725</v>
      </c>
      <c r="V88" s="14"/>
      <c r="W88" s="15"/>
      <c r="X88" s="15"/>
      <c r="Y88" s="13"/>
      <c r="Z88" s="15"/>
      <c r="AA88" s="15"/>
      <c r="AB88" s="15"/>
      <c r="AC88" s="13"/>
      <c r="AD88" s="15"/>
      <c r="AE88" s="15"/>
      <c r="AF88" s="15"/>
      <c r="AG88" s="13"/>
      <c r="AH88" s="15"/>
      <c r="AI88" s="15"/>
      <c r="AJ88" s="15"/>
      <c r="AK88" s="13"/>
      <c r="AL88" s="15"/>
      <c r="AM88" s="15"/>
      <c r="AN88" s="13"/>
      <c r="AO88" s="13"/>
    </row>
    <row r="89" spans="1:41" ht="72.5" x14ac:dyDescent="0.35">
      <c r="A89" s="13" t="s">
        <v>76</v>
      </c>
      <c r="B89" s="13" t="s">
        <v>77</v>
      </c>
      <c r="C89" s="14">
        <v>43152.5</v>
      </c>
      <c r="D89" s="13" t="s">
        <v>78</v>
      </c>
      <c r="E89" s="15" t="s">
        <v>79</v>
      </c>
      <c r="F89" s="13" t="s">
        <v>80</v>
      </c>
      <c r="G89" s="15" t="s">
        <v>81</v>
      </c>
      <c r="H89" s="13" t="s">
        <v>268</v>
      </c>
      <c r="I89" s="15" t="s">
        <v>269</v>
      </c>
      <c r="J89" s="15" t="s">
        <v>270</v>
      </c>
      <c r="K89" s="15" t="s">
        <v>271</v>
      </c>
      <c r="L89" s="13" t="s">
        <v>274</v>
      </c>
      <c r="M89" s="15" t="s">
        <v>275</v>
      </c>
      <c r="N89" s="13" t="s">
        <v>88</v>
      </c>
      <c r="O89" s="15" t="s">
        <v>97</v>
      </c>
      <c r="P89" s="15" t="s">
        <v>98</v>
      </c>
      <c r="Q89" s="15" t="s">
        <v>175</v>
      </c>
      <c r="R89" s="13" t="s">
        <v>176</v>
      </c>
      <c r="S89" s="13" t="s">
        <v>93</v>
      </c>
      <c r="T89" s="13" t="s">
        <v>94</v>
      </c>
      <c r="U89" s="14">
        <v>40725</v>
      </c>
      <c r="V89" s="14"/>
      <c r="W89" s="15"/>
      <c r="X89" s="15"/>
      <c r="Y89" s="13"/>
      <c r="Z89" s="15"/>
      <c r="AA89" s="15"/>
      <c r="AB89" s="15"/>
      <c r="AC89" s="13"/>
      <c r="AD89" s="15"/>
      <c r="AE89" s="15"/>
      <c r="AF89" s="15"/>
      <c r="AG89" s="13"/>
      <c r="AH89" s="15"/>
      <c r="AI89" s="15"/>
      <c r="AJ89" s="15"/>
      <c r="AK89" s="13"/>
      <c r="AL89" s="15"/>
      <c r="AM89" s="15"/>
      <c r="AN89" s="13"/>
      <c r="AO89" s="13"/>
    </row>
    <row r="90" spans="1:41" ht="58" x14ac:dyDescent="0.35">
      <c r="A90" s="13" t="s">
        <v>76</v>
      </c>
      <c r="B90" s="13" t="s">
        <v>77</v>
      </c>
      <c r="C90" s="14">
        <v>43152.5</v>
      </c>
      <c r="D90" s="13" t="s">
        <v>78</v>
      </c>
      <c r="E90" s="15" t="s">
        <v>79</v>
      </c>
      <c r="F90" s="13" t="s">
        <v>80</v>
      </c>
      <c r="G90" s="15" t="s">
        <v>81</v>
      </c>
      <c r="H90" s="13" t="s">
        <v>268</v>
      </c>
      <c r="I90" s="15" t="s">
        <v>269</v>
      </c>
      <c r="J90" s="15" t="s">
        <v>270</v>
      </c>
      <c r="K90" s="15" t="s">
        <v>271</v>
      </c>
      <c r="L90" s="13" t="s">
        <v>276</v>
      </c>
      <c r="M90" s="15" t="s">
        <v>277</v>
      </c>
      <c r="N90" s="13" t="s">
        <v>101</v>
      </c>
      <c r="O90" s="15" t="s">
        <v>102</v>
      </c>
      <c r="P90" s="15" t="s">
        <v>103</v>
      </c>
      <c r="Q90" s="15" t="s">
        <v>175</v>
      </c>
      <c r="R90" s="13" t="s">
        <v>176</v>
      </c>
      <c r="S90" s="13" t="s">
        <v>93</v>
      </c>
      <c r="T90" s="13" t="s">
        <v>94</v>
      </c>
      <c r="U90" s="14">
        <v>40725</v>
      </c>
      <c r="V90" s="14"/>
      <c r="W90" s="15"/>
      <c r="X90" s="15"/>
      <c r="Y90" s="13"/>
      <c r="Z90" s="15"/>
      <c r="AA90" s="15"/>
      <c r="AB90" s="15"/>
      <c r="AC90" s="13"/>
      <c r="AD90" s="15"/>
      <c r="AE90" s="15"/>
      <c r="AF90" s="15"/>
      <c r="AG90" s="13"/>
      <c r="AH90" s="15"/>
      <c r="AI90" s="15"/>
      <c r="AJ90" s="15"/>
      <c r="AK90" s="13"/>
      <c r="AL90" s="15"/>
      <c r="AM90" s="15"/>
      <c r="AN90" s="13"/>
      <c r="AO90" s="13"/>
    </row>
    <row r="91" spans="1:41" ht="72.5" x14ac:dyDescent="0.35">
      <c r="A91" s="13" t="s">
        <v>238</v>
      </c>
      <c r="B91" s="13" t="s">
        <v>109</v>
      </c>
      <c r="C91" s="14">
        <v>44368.708333333336</v>
      </c>
      <c r="D91" s="13" t="s">
        <v>78</v>
      </c>
      <c r="E91" s="15" t="s">
        <v>79</v>
      </c>
      <c r="F91" s="13" t="s">
        <v>80</v>
      </c>
      <c r="G91" s="15" t="s">
        <v>81</v>
      </c>
      <c r="H91" s="13" t="s">
        <v>268</v>
      </c>
      <c r="I91" s="15" t="s">
        <v>269</v>
      </c>
      <c r="J91" s="15" t="s">
        <v>270</v>
      </c>
      <c r="K91" s="15" t="s">
        <v>271</v>
      </c>
      <c r="L91" s="13" t="s">
        <v>272</v>
      </c>
      <c r="M91" s="15" t="s">
        <v>273</v>
      </c>
      <c r="N91" s="13" t="s">
        <v>88</v>
      </c>
      <c r="O91" s="15" t="s">
        <v>89</v>
      </c>
      <c r="P91" s="15" t="s">
        <v>90</v>
      </c>
      <c r="Q91" s="15" t="s">
        <v>177</v>
      </c>
      <c r="R91" s="13" t="s">
        <v>178</v>
      </c>
      <c r="S91" s="13" t="s">
        <v>179</v>
      </c>
      <c r="T91" s="13" t="s">
        <v>112</v>
      </c>
      <c r="U91" s="14">
        <v>40725</v>
      </c>
      <c r="V91" s="14"/>
      <c r="W91" s="15"/>
      <c r="X91" s="15"/>
      <c r="Y91" s="13"/>
      <c r="Z91" s="15"/>
      <c r="AA91" s="15"/>
      <c r="AB91" s="15"/>
      <c r="AC91" s="13"/>
      <c r="AD91" s="15"/>
      <c r="AE91" s="15"/>
      <c r="AF91" s="15"/>
      <c r="AG91" s="13"/>
      <c r="AH91" s="15"/>
      <c r="AI91" s="15"/>
      <c r="AJ91" s="15"/>
      <c r="AK91" s="13"/>
      <c r="AL91" s="15"/>
      <c r="AM91" s="15"/>
      <c r="AN91" s="13"/>
      <c r="AO91" s="13"/>
    </row>
    <row r="92" spans="1:41" ht="72.5" x14ac:dyDescent="0.35">
      <c r="A92" s="13" t="s">
        <v>238</v>
      </c>
      <c r="B92" s="13" t="s">
        <v>109</v>
      </c>
      <c r="C92" s="14">
        <v>44368.708333333336</v>
      </c>
      <c r="D92" s="13" t="s">
        <v>78</v>
      </c>
      <c r="E92" s="15" t="s">
        <v>79</v>
      </c>
      <c r="F92" s="13" t="s">
        <v>80</v>
      </c>
      <c r="G92" s="15" t="s">
        <v>81</v>
      </c>
      <c r="H92" s="13" t="s">
        <v>268</v>
      </c>
      <c r="I92" s="15" t="s">
        <v>269</v>
      </c>
      <c r="J92" s="15" t="s">
        <v>270</v>
      </c>
      <c r="K92" s="15" t="s">
        <v>271</v>
      </c>
      <c r="L92" s="13" t="s">
        <v>274</v>
      </c>
      <c r="M92" s="15" t="s">
        <v>275</v>
      </c>
      <c r="N92" s="13" t="s">
        <v>88</v>
      </c>
      <c r="O92" s="15" t="s">
        <v>97</v>
      </c>
      <c r="P92" s="15" t="s">
        <v>98</v>
      </c>
      <c r="Q92" s="15" t="s">
        <v>177</v>
      </c>
      <c r="R92" s="13" t="s">
        <v>178</v>
      </c>
      <c r="S92" s="13" t="s">
        <v>179</v>
      </c>
      <c r="T92" s="13" t="s">
        <v>112</v>
      </c>
      <c r="U92" s="14">
        <v>40725</v>
      </c>
      <c r="V92" s="14"/>
      <c r="W92" s="15"/>
      <c r="X92" s="15"/>
      <c r="Y92" s="13"/>
      <c r="Z92" s="15"/>
      <c r="AA92" s="15"/>
      <c r="AB92" s="15"/>
      <c r="AC92" s="13"/>
      <c r="AD92" s="15"/>
      <c r="AE92" s="15"/>
      <c r="AF92" s="15"/>
      <c r="AG92" s="13"/>
      <c r="AH92" s="15"/>
      <c r="AI92" s="15"/>
      <c r="AJ92" s="15"/>
      <c r="AK92" s="13"/>
      <c r="AL92" s="15"/>
      <c r="AM92" s="15"/>
      <c r="AN92" s="13"/>
      <c r="AO92" s="13"/>
    </row>
    <row r="93" spans="1:41" ht="58" x14ac:dyDescent="0.35">
      <c r="A93" s="13" t="s">
        <v>165</v>
      </c>
      <c r="B93" s="13" t="s">
        <v>109</v>
      </c>
      <c r="C93" s="14">
        <v>44715.633333333331</v>
      </c>
      <c r="D93" s="13" t="s">
        <v>78</v>
      </c>
      <c r="E93" s="15" t="s">
        <v>79</v>
      </c>
      <c r="F93" s="13" t="s">
        <v>80</v>
      </c>
      <c r="G93" s="15" t="s">
        <v>81</v>
      </c>
      <c r="H93" s="13" t="s">
        <v>268</v>
      </c>
      <c r="I93" s="15" t="s">
        <v>269</v>
      </c>
      <c r="J93" s="15" t="s">
        <v>270</v>
      </c>
      <c r="K93" s="15" t="s">
        <v>271</v>
      </c>
      <c r="L93" s="13" t="s">
        <v>276</v>
      </c>
      <c r="M93" s="15" t="s">
        <v>277</v>
      </c>
      <c r="N93" s="13" t="s">
        <v>101</v>
      </c>
      <c r="O93" s="15" t="s">
        <v>102</v>
      </c>
      <c r="P93" s="15" t="s">
        <v>103</v>
      </c>
      <c r="Q93" s="15" t="s">
        <v>177</v>
      </c>
      <c r="R93" s="13" t="s">
        <v>178</v>
      </c>
      <c r="S93" s="13" t="s">
        <v>179</v>
      </c>
      <c r="T93" s="13" t="s">
        <v>112</v>
      </c>
      <c r="U93" s="14">
        <v>40725</v>
      </c>
      <c r="V93" s="14">
        <v>44633</v>
      </c>
      <c r="W93" s="15"/>
      <c r="X93" s="15"/>
      <c r="Y93" s="13"/>
      <c r="Z93" s="15"/>
      <c r="AA93" s="15"/>
      <c r="AB93" s="15"/>
      <c r="AC93" s="13"/>
      <c r="AD93" s="15"/>
      <c r="AE93" s="15"/>
      <c r="AF93" s="15"/>
      <c r="AG93" s="13"/>
      <c r="AH93" s="15"/>
      <c r="AI93" s="15"/>
      <c r="AJ93" s="15"/>
      <c r="AK93" s="13"/>
      <c r="AL93" s="15"/>
      <c r="AM93" s="15"/>
      <c r="AN93" s="13"/>
      <c r="AO93" s="13"/>
    </row>
    <row r="94" spans="1:41" ht="58" x14ac:dyDescent="0.35">
      <c r="A94" s="13" t="s">
        <v>165</v>
      </c>
      <c r="B94" s="13" t="s">
        <v>77</v>
      </c>
      <c r="C94" s="14">
        <v>44715.634027777778</v>
      </c>
      <c r="D94" s="13" t="s">
        <v>78</v>
      </c>
      <c r="E94" s="15" t="s">
        <v>79</v>
      </c>
      <c r="F94" s="13" t="s">
        <v>80</v>
      </c>
      <c r="G94" s="15" t="s">
        <v>81</v>
      </c>
      <c r="H94" s="13" t="s">
        <v>268</v>
      </c>
      <c r="I94" s="15" t="s">
        <v>269</v>
      </c>
      <c r="J94" s="15" t="s">
        <v>270</v>
      </c>
      <c r="K94" s="15" t="s">
        <v>271</v>
      </c>
      <c r="L94" s="13" t="s">
        <v>276</v>
      </c>
      <c r="M94" s="15" t="s">
        <v>277</v>
      </c>
      <c r="N94" s="13" t="s">
        <v>101</v>
      </c>
      <c r="O94" s="15" t="s">
        <v>102</v>
      </c>
      <c r="P94" s="15" t="s">
        <v>103</v>
      </c>
      <c r="Q94" s="15" t="s">
        <v>177</v>
      </c>
      <c r="R94" s="13" t="s">
        <v>178</v>
      </c>
      <c r="S94" s="13" t="s">
        <v>179</v>
      </c>
      <c r="T94" s="13" t="s">
        <v>112</v>
      </c>
      <c r="U94" s="14">
        <v>44634</v>
      </c>
      <c r="V94" s="14"/>
      <c r="W94" s="15"/>
      <c r="X94" s="15"/>
      <c r="Y94" s="13"/>
      <c r="Z94" s="15"/>
      <c r="AA94" s="15"/>
      <c r="AB94" s="15"/>
      <c r="AC94" s="13"/>
      <c r="AD94" s="15"/>
      <c r="AE94" s="15"/>
      <c r="AF94" s="15"/>
      <c r="AG94" s="13"/>
      <c r="AH94" s="15"/>
      <c r="AI94" s="15"/>
      <c r="AJ94" s="15"/>
      <c r="AK94" s="13"/>
      <c r="AL94" s="15"/>
      <c r="AM94" s="15"/>
      <c r="AN94" s="13"/>
      <c r="AO94" s="13"/>
    </row>
    <row r="95" spans="1:41" ht="87" x14ac:dyDescent="0.35">
      <c r="A95" s="13" t="s">
        <v>76</v>
      </c>
      <c r="B95" s="13" t="s">
        <v>77</v>
      </c>
      <c r="C95" s="14">
        <v>43152.5</v>
      </c>
      <c r="D95" s="13" t="s">
        <v>78</v>
      </c>
      <c r="E95" s="15" t="s">
        <v>79</v>
      </c>
      <c r="F95" s="13" t="s">
        <v>80</v>
      </c>
      <c r="G95" s="15" t="s">
        <v>81</v>
      </c>
      <c r="H95" s="13" t="s">
        <v>289</v>
      </c>
      <c r="I95" s="15" t="s">
        <v>290</v>
      </c>
      <c r="J95" s="15" t="s">
        <v>291</v>
      </c>
      <c r="K95" s="15" t="s">
        <v>292</v>
      </c>
      <c r="L95" s="13" t="s">
        <v>293</v>
      </c>
      <c r="M95" s="15" t="s">
        <v>294</v>
      </c>
      <c r="N95" s="13" t="s">
        <v>88</v>
      </c>
      <c r="O95" s="15" t="s">
        <v>89</v>
      </c>
      <c r="P95" s="15" t="s">
        <v>90</v>
      </c>
      <c r="Q95" s="15" t="s">
        <v>91</v>
      </c>
      <c r="R95" s="13" t="s">
        <v>92</v>
      </c>
      <c r="S95" s="13" t="s">
        <v>93</v>
      </c>
      <c r="T95" s="13" t="s">
        <v>94</v>
      </c>
      <c r="U95" s="14">
        <v>40725</v>
      </c>
      <c r="V95" s="14"/>
      <c r="W95" s="15"/>
      <c r="X95" s="15"/>
      <c r="Y95" s="13"/>
      <c r="Z95" s="15"/>
      <c r="AA95" s="15"/>
      <c r="AB95" s="15"/>
      <c r="AC95" s="13"/>
      <c r="AD95" s="15"/>
      <c r="AE95" s="15"/>
      <c r="AF95" s="15"/>
      <c r="AG95" s="13"/>
      <c r="AH95" s="15"/>
      <c r="AI95" s="15"/>
      <c r="AJ95" s="15"/>
      <c r="AK95" s="13"/>
      <c r="AL95" s="15"/>
      <c r="AM95" s="15"/>
      <c r="AN95" s="13"/>
      <c r="AO95" s="13"/>
    </row>
    <row r="96" spans="1:41" ht="87" x14ac:dyDescent="0.35">
      <c r="A96" s="13" t="s">
        <v>76</v>
      </c>
      <c r="B96" s="13" t="s">
        <v>77</v>
      </c>
      <c r="C96" s="14">
        <v>43152.5</v>
      </c>
      <c r="D96" s="13" t="s">
        <v>78</v>
      </c>
      <c r="E96" s="15" t="s">
        <v>79</v>
      </c>
      <c r="F96" s="13" t="s">
        <v>80</v>
      </c>
      <c r="G96" s="15" t="s">
        <v>81</v>
      </c>
      <c r="H96" s="13" t="s">
        <v>289</v>
      </c>
      <c r="I96" s="15" t="s">
        <v>290</v>
      </c>
      <c r="J96" s="15" t="s">
        <v>291</v>
      </c>
      <c r="K96" s="15" t="s">
        <v>292</v>
      </c>
      <c r="L96" s="13" t="s">
        <v>295</v>
      </c>
      <c r="M96" s="15" t="s">
        <v>296</v>
      </c>
      <c r="N96" s="13" t="s">
        <v>88</v>
      </c>
      <c r="O96" s="15" t="s">
        <v>97</v>
      </c>
      <c r="P96" s="15" t="s">
        <v>98</v>
      </c>
      <c r="Q96" s="15" t="s">
        <v>91</v>
      </c>
      <c r="R96" s="13" t="s">
        <v>92</v>
      </c>
      <c r="S96" s="13" t="s">
        <v>93</v>
      </c>
      <c r="T96" s="13" t="s">
        <v>94</v>
      </c>
      <c r="U96" s="14">
        <v>40725</v>
      </c>
      <c r="V96" s="14"/>
      <c r="W96" s="15"/>
      <c r="X96" s="15"/>
      <c r="Y96" s="13"/>
      <c r="Z96" s="15"/>
      <c r="AA96" s="15"/>
      <c r="AB96" s="15"/>
      <c r="AC96" s="13"/>
      <c r="AD96" s="15"/>
      <c r="AE96" s="15"/>
      <c r="AF96" s="15"/>
      <c r="AG96" s="13"/>
      <c r="AH96" s="15"/>
      <c r="AI96" s="15"/>
      <c r="AJ96" s="15"/>
      <c r="AK96" s="13"/>
      <c r="AL96" s="15"/>
      <c r="AM96" s="15"/>
      <c r="AN96" s="13"/>
      <c r="AO96" s="13"/>
    </row>
    <row r="97" spans="1:41" ht="87" x14ac:dyDescent="0.35">
      <c r="A97" s="13" t="s">
        <v>76</v>
      </c>
      <c r="B97" s="13" t="s">
        <v>77</v>
      </c>
      <c r="C97" s="14">
        <v>43152.5</v>
      </c>
      <c r="D97" s="13" t="s">
        <v>78</v>
      </c>
      <c r="E97" s="15" t="s">
        <v>79</v>
      </c>
      <c r="F97" s="13" t="s">
        <v>80</v>
      </c>
      <c r="G97" s="15" t="s">
        <v>81</v>
      </c>
      <c r="H97" s="13" t="s">
        <v>289</v>
      </c>
      <c r="I97" s="15" t="s">
        <v>290</v>
      </c>
      <c r="J97" s="15" t="s">
        <v>291</v>
      </c>
      <c r="K97" s="15" t="s">
        <v>292</v>
      </c>
      <c r="L97" s="13" t="s">
        <v>297</v>
      </c>
      <c r="M97" s="15" t="s">
        <v>298</v>
      </c>
      <c r="N97" s="13" t="s">
        <v>101</v>
      </c>
      <c r="O97" s="15" t="s">
        <v>102</v>
      </c>
      <c r="P97" s="15" t="s">
        <v>103</v>
      </c>
      <c r="Q97" s="15" t="s">
        <v>91</v>
      </c>
      <c r="R97" s="13" t="s">
        <v>92</v>
      </c>
      <c r="S97" s="13" t="s">
        <v>93</v>
      </c>
      <c r="T97" s="13" t="s">
        <v>94</v>
      </c>
      <c r="U97" s="14">
        <v>40725</v>
      </c>
      <c r="V97" s="14"/>
      <c r="W97" s="15"/>
      <c r="X97" s="15"/>
      <c r="Y97" s="13"/>
      <c r="Z97" s="15"/>
      <c r="AA97" s="15"/>
      <c r="AB97" s="15"/>
      <c r="AC97" s="13"/>
      <c r="AD97" s="15"/>
      <c r="AE97" s="15"/>
      <c r="AF97" s="15"/>
      <c r="AG97" s="13"/>
      <c r="AH97" s="15"/>
      <c r="AI97" s="15"/>
      <c r="AJ97" s="15"/>
      <c r="AK97" s="13"/>
      <c r="AL97" s="15"/>
      <c r="AM97" s="15"/>
      <c r="AN97" s="13"/>
      <c r="AO97" s="13"/>
    </row>
    <row r="98" spans="1:41" ht="87" x14ac:dyDescent="0.35">
      <c r="A98" s="13" t="s">
        <v>76</v>
      </c>
      <c r="B98" s="13" t="s">
        <v>77</v>
      </c>
      <c r="C98" s="14">
        <v>43152.5</v>
      </c>
      <c r="D98" s="13" t="s">
        <v>78</v>
      </c>
      <c r="E98" s="15" t="s">
        <v>79</v>
      </c>
      <c r="F98" s="13" t="s">
        <v>80</v>
      </c>
      <c r="G98" s="15" t="s">
        <v>81</v>
      </c>
      <c r="H98" s="13" t="s">
        <v>289</v>
      </c>
      <c r="I98" s="15" t="s">
        <v>290</v>
      </c>
      <c r="J98" s="15" t="s">
        <v>291</v>
      </c>
      <c r="K98" s="15" t="s">
        <v>292</v>
      </c>
      <c r="L98" s="13" t="s">
        <v>293</v>
      </c>
      <c r="M98" s="15" t="s">
        <v>294</v>
      </c>
      <c r="N98" s="13" t="s">
        <v>88</v>
      </c>
      <c r="O98" s="15" t="s">
        <v>89</v>
      </c>
      <c r="P98" s="15" t="s">
        <v>90</v>
      </c>
      <c r="Q98" s="15" t="s">
        <v>104</v>
      </c>
      <c r="R98" s="13" t="s">
        <v>105</v>
      </c>
      <c r="S98" s="13" t="s">
        <v>93</v>
      </c>
      <c r="T98" s="13" t="s">
        <v>94</v>
      </c>
      <c r="U98" s="14">
        <v>40725</v>
      </c>
      <c r="V98" s="14"/>
      <c r="W98" s="15"/>
      <c r="X98" s="15"/>
      <c r="Y98" s="13"/>
      <c r="Z98" s="15"/>
      <c r="AA98" s="15"/>
      <c r="AB98" s="15"/>
      <c r="AC98" s="13"/>
      <c r="AD98" s="15"/>
      <c r="AE98" s="15"/>
      <c r="AF98" s="15"/>
      <c r="AG98" s="13"/>
      <c r="AH98" s="15"/>
      <c r="AI98" s="15"/>
      <c r="AJ98" s="15"/>
      <c r="AK98" s="13"/>
      <c r="AL98" s="15"/>
      <c r="AM98" s="15"/>
      <c r="AN98" s="13"/>
      <c r="AO98" s="13"/>
    </row>
    <row r="99" spans="1:41" ht="87" x14ac:dyDescent="0.35">
      <c r="A99" s="13" t="s">
        <v>76</v>
      </c>
      <c r="B99" s="13" t="s">
        <v>77</v>
      </c>
      <c r="C99" s="14">
        <v>43152.5</v>
      </c>
      <c r="D99" s="13" t="s">
        <v>78</v>
      </c>
      <c r="E99" s="15" t="s">
        <v>79</v>
      </c>
      <c r="F99" s="13" t="s">
        <v>80</v>
      </c>
      <c r="G99" s="15" t="s">
        <v>81</v>
      </c>
      <c r="H99" s="13" t="s">
        <v>289</v>
      </c>
      <c r="I99" s="15" t="s">
        <v>290</v>
      </c>
      <c r="J99" s="15" t="s">
        <v>291</v>
      </c>
      <c r="K99" s="15" t="s">
        <v>292</v>
      </c>
      <c r="L99" s="13" t="s">
        <v>295</v>
      </c>
      <c r="M99" s="15" t="s">
        <v>296</v>
      </c>
      <c r="N99" s="13" t="s">
        <v>88</v>
      </c>
      <c r="O99" s="15" t="s">
        <v>97</v>
      </c>
      <c r="P99" s="15" t="s">
        <v>98</v>
      </c>
      <c r="Q99" s="15" t="s">
        <v>104</v>
      </c>
      <c r="R99" s="13" t="s">
        <v>105</v>
      </c>
      <c r="S99" s="13" t="s">
        <v>93</v>
      </c>
      <c r="T99" s="13" t="s">
        <v>94</v>
      </c>
      <c r="U99" s="14">
        <v>40725</v>
      </c>
      <c r="V99" s="14"/>
      <c r="W99" s="15"/>
      <c r="X99" s="15"/>
      <c r="Y99" s="13"/>
      <c r="Z99" s="15"/>
      <c r="AA99" s="15"/>
      <c r="AB99" s="15"/>
      <c r="AC99" s="13"/>
      <c r="AD99" s="15"/>
      <c r="AE99" s="15"/>
      <c r="AF99" s="15"/>
      <c r="AG99" s="13"/>
      <c r="AH99" s="15"/>
      <c r="AI99" s="15"/>
      <c r="AJ99" s="15"/>
      <c r="AK99" s="13"/>
      <c r="AL99" s="15"/>
      <c r="AM99" s="15"/>
      <c r="AN99" s="13"/>
      <c r="AO99" s="13"/>
    </row>
    <row r="100" spans="1:41" ht="87" x14ac:dyDescent="0.35">
      <c r="A100" s="13" t="s">
        <v>76</v>
      </c>
      <c r="B100" s="13" t="s">
        <v>77</v>
      </c>
      <c r="C100" s="14">
        <v>43152.5</v>
      </c>
      <c r="D100" s="13" t="s">
        <v>78</v>
      </c>
      <c r="E100" s="15" t="s">
        <v>79</v>
      </c>
      <c r="F100" s="13" t="s">
        <v>80</v>
      </c>
      <c r="G100" s="15" t="s">
        <v>81</v>
      </c>
      <c r="H100" s="13" t="s">
        <v>289</v>
      </c>
      <c r="I100" s="15" t="s">
        <v>290</v>
      </c>
      <c r="J100" s="15" t="s">
        <v>291</v>
      </c>
      <c r="K100" s="15" t="s">
        <v>292</v>
      </c>
      <c r="L100" s="13" t="s">
        <v>297</v>
      </c>
      <c r="M100" s="15" t="s">
        <v>298</v>
      </c>
      <c r="N100" s="13" t="s">
        <v>101</v>
      </c>
      <c r="O100" s="15" t="s">
        <v>102</v>
      </c>
      <c r="P100" s="15" t="s">
        <v>103</v>
      </c>
      <c r="Q100" s="15" t="s">
        <v>104</v>
      </c>
      <c r="R100" s="13" t="s">
        <v>105</v>
      </c>
      <c r="S100" s="13" t="s">
        <v>93</v>
      </c>
      <c r="T100" s="13" t="s">
        <v>94</v>
      </c>
      <c r="U100" s="14">
        <v>40725</v>
      </c>
      <c r="V100" s="14"/>
      <c r="W100" s="15"/>
      <c r="X100" s="15"/>
      <c r="Y100" s="13"/>
      <c r="Z100" s="15"/>
      <c r="AA100" s="15"/>
      <c r="AB100" s="15"/>
      <c r="AC100" s="13"/>
      <c r="AD100" s="15"/>
      <c r="AE100" s="15"/>
      <c r="AF100" s="15"/>
      <c r="AG100" s="13"/>
      <c r="AH100" s="15"/>
      <c r="AI100" s="15"/>
      <c r="AJ100" s="15"/>
      <c r="AK100" s="13"/>
      <c r="AL100" s="15"/>
      <c r="AM100" s="15"/>
      <c r="AN100" s="13"/>
      <c r="AO100" s="13"/>
    </row>
    <row r="101" spans="1:41" ht="87" x14ac:dyDescent="0.35">
      <c r="A101" s="13" t="s">
        <v>76</v>
      </c>
      <c r="B101" s="13" t="s">
        <v>77</v>
      </c>
      <c r="C101" s="14">
        <v>43152.5</v>
      </c>
      <c r="D101" s="13" t="s">
        <v>78</v>
      </c>
      <c r="E101" s="15" t="s">
        <v>79</v>
      </c>
      <c r="F101" s="13" t="s">
        <v>80</v>
      </c>
      <c r="G101" s="15" t="s">
        <v>81</v>
      </c>
      <c r="H101" s="13" t="s">
        <v>289</v>
      </c>
      <c r="I101" s="15" t="s">
        <v>290</v>
      </c>
      <c r="J101" s="15" t="s">
        <v>291</v>
      </c>
      <c r="K101" s="15" t="s">
        <v>292</v>
      </c>
      <c r="L101" s="13" t="s">
        <v>293</v>
      </c>
      <c r="M101" s="15" t="s">
        <v>294</v>
      </c>
      <c r="N101" s="13" t="s">
        <v>88</v>
      </c>
      <c r="O101" s="15" t="s">
        <v>89</v>
      </c>
      <c r="P101" s="15" t="s">
        <v>90</v>
      </c>
      <c r="Q101" s="15" t="s">
        <v>106</v>
      </c>
      <c r="R101" s="13" t="s">
        <v>107</v>
      </c>
      <c r="S101" s="13" t="s">
        <v>93</v>
      </c>
      <c r="T101" s="13" t="s">
        <v>94</v>
      </c>
      <c r="U101" s="14">
        <v>40725</v>
      </c>
      <c r="V101" s="14"/>
      <c r="W101" s="15"/>
      <c r="X101" s="15"/>
      <c r="Y101" s="13"/>
      <c r="Z101" s="15"/>
      <c r="AA101" s="15"/>
      <c r="AB101" s="15"/>
      <c r="AC101" s="13"/>
      <c r="AD101" s="15"/>
      <c r="AE101" s="15"/>
      <c r="AF101" s="15"/>
      <c r="AG101" s="13"/>
      <c r="AH101" s="15"/>
      <c r="AI101" s="15"/>
      <c r="AJ101" s="15"/>
      <c r="AK101" s="13"/>
      <c r="AL101" s="15"/>
      <c r="AM101" s="15"/>
      <c r="AN101" s="13"/>
      <c r="AO101" s="13"/>
    </row>
    <row r="102" spans="1:41" ht="87" x14ac:dyDescent="0.35">
      <c r="A102" s="13" t="s">
        <v>76</v>
      </c>
      <c r="B102" s="13" t="s">
        <v>77</v>
      </c>
      <c r="C102" s="14">
        <v>43152.5</v>
      </c>
      <c r="D102" s="13" t="s">
        <v>78</v>
      </c>
      <c r="E102" s="15" t="s">
        <v>79</v>
      </c>
      <c r="F102" s="13" t="s">
        <v>80</v>
      </c>
      <c r="G102" s="15" t="s">
        <v>81</v>
      </c>
      <c r="H102" s="13" t="s">
        <v>289</v>
      </c>
      <c r="I102" s="15" t="s">
        <v>290</v>
      </c>
      <c r="J102" s="15" t="s">
        <v>291</v>
      </c>
      <c r="K102" s="15" t="s">
        <v>292</v>
      </c>
      <c r="L102" s="13" t="s">
        <v>295</v>
      </c>
      <c r="M102" s="15" t="s">
        <v>296</v>
      </c>
      <c r="N102" s="13" t="s">
        <v>88</v>
      </c>
      <c r="O102" s="15" t="s">
        <v>97</v>
      </c>
      <c r="P102" s="15" t="s">
        <v>98</v>
      </c>
      <c r="Q102" s="15" t="s">
        <v>106</v>
      </c>
      <c r="R102" s="13" t="s">
        <v>107</v>
      </c>
      <c r="S102" s="13" t="s">
        <v>93</v>
      </c>
      <c r="T102" s="13" t="s">
        <v>94</v>
      </c>
      <c r="U102" s="14">
        <v>40725</v>
      </c>
      <c r="V102" s="14"/>
      <c r="W102" s="15"/>
      <c r="X102" s="15"/>
      <c r="Y102" s="13"/>
      <c r="Z102" s="15"/>
      <c r="AA102" s="15"/>
      <c r="AB102" s="15"/>
      <c r="AC102" s="13"/>
      <c r="AD102" s="15"/>
      <c r="AE102" s="15"/>
      <c r="AF102" s="15"/>
      <c r="AG102" s="13"/>
      <c r="AH102" s="15"/>
      <c r="AI102" s="15"/>
      <c r="AJ102" s="15"/>
      <c r="AK102" s="13"/>
      <c r="AL102" s="15"/>
      <c r="AM102" s="15"/>
      <c r="AN102" s="13"/>
      <c r="AO102" s="13"/>
    </row>
    <row r="103" spans="1:41" ht="87" x14ac:dyDescent="0.35">
      <c r="A103" s="13" t="s">
        <v>76</v>
      </c>
      <c r="B103" s="13" t="s">
        <v>77</v>
      </c>
      <c r="C103" s="14">
        <v>43152.5</v>
      </c>
      <c r="D103" s="13" t="s">
        <v>78</v>
      </c>
      <c r="E103" s="15" t="s">
        <v>79</v>
      </c>
      <c r="F103" s="13" t="s">
        <v>80</v>
      </c>
      <c r="G103" s="15" t="s">
        <v>81</v>
      </c>
      <c r="H103" s="13" t="s">
        <v>289</v>
      </c>
      <c r="I103" s="15" t="s">
        <v>290</v>
      </c>
      <c r="J103" s="15" t="s">
        <v>291</v>
      </c>
      <c r="K103" s="15" t="s">
        <v>292</v>
      </c>
      <c r="L103" s="13" t="s">
        <v>297</v>
      </c>
      <c r="M103" s="15" t="s">
        <v>298</v>
      </c>
      <c r="N103" s="13" t="s">
        <v>101</v>
      </c>
      <c r="O103" s="15" t="s">
        <v>102</v>
      </c>
      <c r="P103" s="15" t="s">
        <v>103</v>
      </c>
      <c r="Q103" s="15" t="s">
        <v>106</v>
      </c>
      <c r="R103" s="13" t="s">
        <v>107</v>
      </c>
      <c r="S103" s="13" t="s">
        <v>93</v>
      </c>
      <c r="T103" s="13" t="s">
        <v>94</v>
      </c>
      <c r="U103" s="14">
        <v>40725</v>
      </c>
      <c r="V103" s="14"/>
      <c r="W103" s="15"/>
      <c r="X103" s="15"/>
      <c r="Y103" s="13"/>
      <c r="Z103" s="15"/>
      <c r="AA103" s="15"/>
      <c r="AB103" s="15"/>
      <c r="AC103" s="13"/>
      <c r="AD103" s="15"/>
      <c r="AE103" s="15"/>
      <c r="AF103" s="15"/>
      <c r="AG103" s="13"/>
      <c r="AH103" s="15"/>
      <c r="AI103" s="15"/>
      <c r="AJ103" s="15"/>
      <c r="AK103" s="13"/>
      <c r="AL103" s="15"/>
      <c r="AM103" s="15"/>
      <c r="AN103" s="13"/>
      <c r="AO103" s="13"/>
    </row>
    <row r="104" spans="1:41" ht="87" x14ac:dyDescent="0.35">
      <c r="A104" s="13" t="s">
        <v>238</v>
      </c>
      <c r="B104" s="13" t="s">
        <v>109</v>
      </c>
      <c r="C104" s="14">
        <v>44368.708333333336</v>
      </c>
      <c r="D104" s="13" t="s">
        <v>78</v>
      </c>
      <c r="E104" s="15" t="s">
        <v>79</v>
      </c>
      <c r="F104" s="13" t="s">
        <v>80</v>
      </c>
      <c r="G104" s="15" t="s">
        <v>81</v>
      </c>
      <c r="H104" s="13" t="s">
        <v>289</v>
      </c>
      <c r="I104" s="15" t="s">
        <v>290</v>
      </c>
      <c r="J104" s="15" t="s">
        <v>291</v>
      </c>
      <c r="K104" s="15" t="s">
        <v>292</v>
      </c>
      <c r="L104" s="13" t="s">
        <v>293</v>
      </c>
      <c r="M104" s="15" t="s">
        <v>294</v>
      </c>
      <c r="N104" s="13" t="s">
        <v>88</v>
      </c>
      <c r="O104" s="15" t="s">
        <v>89</v>
      </c>
      <c r="P104" s="15" t="s">
        <v>90</v>
      </c>
      <c r="Q104" s="15" t="s">
        <v>110</v>
      </c>
      <c r="R104" s="13" t="s">
        <v>111</v>
      </c>
      <c r="S104" s="13" t="s">
        <v>93</v>
      </c>
      <c r="T104" s="13" t="s">
        <v>112</v>
      </c>
      <c r="U104" s="14">
        <v>40725</v>
      </c>
      <c r="V104" s="14"/>
      <c r="W104" s="15"/>
      <c r="X104" s="15"/>
      <c r="Y104" s="13"/>
      <c r="Z104" s="15"/>
      <c r="AA104" s="15"/>
      <c r="AB104" s="15"/>
      <c r="AC104" s="13"/>
      <c r="AD104" s="15"/>
      <c r="AE104" s="15"/>
      <c r="AF104" s="15"/>
      <c r="AG104" s="13"/>
      <c r="AH104" s="15"/>
      <c r="AI104" s="15"/>
      <c r="AJ104" s="15"/>
      <c r="AK104" s="13"/>
      <c r="AL104" s="15"/>
      <c r="AM104" s="15"/>
      <c r="AN104" s="13"/>
      <c r="AO104" s="13"/>
    </row>
    <row r="105" spans="1:41" ht="87" x14ac:dyDescent="0.35">
      <c r="A105" s="13" t="s">
        <v>238</v>
      </c>
      <c r="B105" s="13" t="s">
        <v>109</v>
      </c>
      <c r="C105" s="14">
        <v>44368.708333333336</v>
      </c>
      <c r="D105" s="13" t="s">
        <v>78</v>
      </c>
      <c r="E105" s="15" t="s">
        <v>79</v>
      </c>
      <c r="F105" s="13" t="s">
        <v>80</v>
      </c>
      <c r="G105" s="15" t="s">
        <v>81</v>
      </c>
      <c r="H105" s="13" t="s">
        <v>289</v>
      </c>
      <c r="I105" s="15" t="s">
        <v>290</v>
      </c>
      <c r="J105" s="15" t="s">
        <v>291</v>
      </c>
      <c r="K105" s="15" t="s">
        <v>292</v>
      </c>
      <c r="L105" s="13" t="s">
        <v>295</v>
      </c>
      <c r="M105" s="15" t="s">
        <v>296</v>
      </c>
      <c r="N105" s="13" t="s">
        <v>88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93</v>
      </c>
      <c r="T105" s="13" t="s">
        <v>112</v>
      </c>
      <c r="U105" s="14">
        <v>40725</v>
      </c>
      <c r="V105" s="14"/>
      <c r="W105" s="15"/>
      <c r="X105" s="15"/>
      <c r="Y105" s="13"/>
      <c r="Z105" s="15"/>
      <c r="AA105" s="15"/>
      <c r="AB105" s="15"/>
      <c r="AC105" s="13"/>
      <c r="AD105" s="15"/>
      <c r="AE105" s="15"/>
      <c r="AF105" s="15"/>
      <c r="AG105" s="13"/>
      <c r="AH105" s="15"/>
      <c r="AI105" s="15"/>
      <c r="AJ105" s="15"/>
      <c r="AK105" s="13"/>
      <c r="AL105" s="15"/>
      <c r="AM105" s="15"/>
      <c r="AN105" s="13"/>
      <c r="AO105" s="13"/>
    </row>
    <row r="106" spans="1:41" ht="87" x14ac:dyDescent="0.35">
      <c r="A106" s="13" t="s">
        <v>165</v>
      </c>
      <c r="B106" s="13" t="s">
        <v>109</v>
      </c>
      <c r="C106" s="14">
        <v>44715.40347222222</v>
      </c>
      <c r="D106" s="13" t="s">
        <v>78</v>
      </c>
      <c r="E106" s="15" t="s">
        <v>79</v>
      </c>
      <c r="F106" s="13" t="s">
        <v>80</v>
      </c>
      <c r="G106" s="15" t="s">
        <v>81</v>
      </c>
      <c r="H106" s="13" t="s">
        <v>289</v>
      </c>
      <c r="I106" s="15" t="s">
        <v>290</v>
      </c>
      <c r="J106" s="15" t="s">
        <v>291</v>
      </c>
      <c r="K106" s="15" t="s">
        <v>292</v>
      </c>
      <c r="L106" s="13" t="s">
        <v>297</v>
      </c>
      <c r="M106" s="15" t="s">
        <v>298</v>
      </c>
      <c r="N106" s="13" t="s">
        <v>101</v>
      </c>
      <c r="O106" s="15" t="s">
        <v>102</v>
      </c>
      <c r="P106" s="15" t="s">
        <v>103</v>
      </c>
      <c r="Q106" s="15" t="s">
        <v>110</v>
      </c>
      <c r="R106" s="13" t="s">
        <v>111</v>
      </c>
      <c r="S106" s="13" t="s">
        <v>93</v>
      </c>
      <c r="T106" s="13" t="s">
        <v>112</v>
      </c>
      <c r="U106" s="14">
        <v>40725</v>
      </c>
      <c r="V106" s="14">
        <v>44633</v>
      </c>
      <c r="W106" s="15"/>
      <c r="X106" s="15"/>
      <c r="Y106" s="13"/>
      <c r="Z106" s="15"/>
      <c r="AA106" s="15"/>
      <c r="AB106" s="15"/>
      <c r="AC106" s="13"/>
      <c r="AD106" s="15"/>
      <c r="AE106" s="15"/>
      <c r="AF106" s="15"/>
      <c r="AG106" s="13"/>
      <c r="AH106" s="15"/>
      <c r="AI106" s="15"/>
      <c r="AJ106" s="15"/>
      <c r="AK106" s="13"/>
      <c r="AL106" s="15"/>
      <c r="AM106" s="15"/>
      <c r="AN106" s="13"/>
      <c r="AO106" s="13"/>
    </row>
    <row r="107" spans="1:41" ht="87" x14ac:dyDescent="0.35">
      <c r="A107" s="13" t="s">
        <v>165</v>
      </c>
      <c r="B107" s="13" t="s">
        <v>77</v>
      </c>
      <c r="C107" s="14">
        <v>44715.404166666667</v>
      </c>
      <c r="D107" s="13" t="s">
        <v>78</v>
      </c>
      <c r="E107" s="15" t="s">
        <v>79</v>
      </c>
      <c r="F107" s="13" t="s">
        <v>80</v>
      </c>
      <c r="G107" s="15" t="s">
        <v>81</v>
      </c>
      <c r="H107" s="13" t="s">
        <v>289</v>
      </c>
      <c r="I107" s="15" t="s">
        <v>290</v>
      </c>
      <c r="J107" s="15" t="s">
        <v>291</v>
      </c>
      <c r="K107" s="15" t="s">
        <v>292</v>
      </c>
      <c r="L107" s="13" t="s">
        <v>297</v>
      </c>
      <c r="M107" s="15" t="s">
        <v>298</v>
      </c>
      <c r="N107" s="13" t="s">
        <v>101</v>
      </c>
      <c r="O107" s="15" t="s">
        <v>102</v>
      </c>
      <c r="P107" s="15" t="s">
        <v>103</v>
      </c>
      <c r="Q107" s="15" t="s">
        <v>110</v>
      </c>
      <c r="R107" s="13" t="s">
        <v>111</v>
      </c>
      <c r="S107" s="13" t="s">
        <v>93</v>
      </c>
      <c r="T107" s="13" t="s">
        <v>112</v>
      </c>
      <c r="U107" s="14">
        <v>44634</v>
      </c>
      <c r="V107" s="14"/>
      <c r="W107" s="15"/>
      <c r="X107" s="15"/>
      <c r="Y107" s="13"/>
      <c r="Z107" s="15"/>
      <c r="AA107" s="15"/>
      <c r="AB107" s="15"/>
      <c r="AC107" s="13"/>
      <c r="AD107" s="15"/>
      <c r="AE107" s="15"/>
      <c r="AF107" s="15"/>
      <c r="AG107" s="13"/>
      <c r="AH107" s="15"/>
      <c r="AI107" s="15"/>
      <c r="AJ107" s="15"/>
      <c r="AK107" s="13"/>
      <c r="AL107" s="15"/>
      <c r="AM107" s="15"/>
      <c r="AN107" s="13"/>
      <c r="AO107" s="13"/>
    </row>
    <row r="108" spans="1:41" ht="87" x14ac:dyDescent="0.35">
      <c r="A108" s="13" t="s">
        <v>76</v>
      </c>
      <c r="B108" s="13" t="s">
        <v>77</v>
      </c>
      <c r="C108" s="14">
        <v>43152.5</v>
      </c>
      <c r="D108" s="13" t="s">
        <v>78</v>
      </c>
      <c r="E108" s="15" t="s">
        <v>79</v>
      </c>
      <c r="F108" s="13" t="s">
        <v>80</v>
      </c>
      <c r="G108" s="15" t="s">
        <v>81</v>
      </c>
      <c r="H108" s="13" t="s">
        <v>289</v>
      </c>
      <c r="I108" s="15" t="s">
        <v>290</v>
      </c>
      <c r="J108" s="15" t="s">
        <v>291</v>
      </c>
      <c r="K108" s="15" t="s">
        <v>292</v>
      </c>
      <c r="L108" s="13" t="s">
        <v>293</v>
      </c>
      <c r="M108" s="15" t="s">
        <v>294</v>
      </c>
      <c r="N108" s="13" t="s">
        <v>88</v>
      </c>
      <c r="O108" s="15" t="s">
        <v>89</v>
      </c>
      <c r="P108" s="15" t="s">
        <v>90</v>
      </c>
      <c r="Q108" s="15" t="s">
        <v>175</v>
      </c>
      <c r="R108" s="13" t="s">
        <v>176</v>
      </c>
      <c r="S108" s="13" t="s">
        <v>93</v>
      </c>
      <c r="T108" s="13" t="s">
        <v>94</v>
      </c>
      <c r="U108" s="14">
        <v>40725</v>
      </c>
      <c r="V108" s="14"/>
      <c r="W108" s="15"/>
      <c r="X108" s="15"/>
      <c r="Y108" s="13"/>
      <c r="Z108" s="15"/>
      <c r="AA108" s="15"/>
      <c r="AB108" s="15"/>
      <c r="AC108" s="13"/>
      <c r="AD108" s="15"/>
      <c r="AE108" s="15"/>
      <c r="AF108" s="15"/>
      <c r="AG108" s="13"/>
      <c r="AH108" s="15"/>
      <c r="AI108" s="15"/>
      <c r="AJ108" s="15"/>
      <c r="AK108" s="13"/>
      <c r="AL108" s="15"/>
      <c r="AM108" s="15"/>
      <c r="AN108" s="13"/>
      <c r="AO108" s="13"/>
    </row>
    <row r="109" spans="1:41" ht="87" x14ac:dyDescent="0.35">
      <c r="A109" s="13" t="s">
        <v>76</v>
      </c>
      <c r="B109" s="13" t="s">
        <v>77</v>
      </c>
      <c r="C109" s="14">
        <v>43152.5</v>
      </c>
      <c r="D109" s="13" t="s">
        <v>78</v>
      </c>
      <c r="E109" s="15" t="s">
        <v>79</v>
      </c>
      <c r="F109" s="13" t="s">
        <v>80</v>
      </c>
      <c r="G109" s="15" t="s">
        <v>81</v>
      </c>
      <c r="H109" s="13" t="s">
        <v>289</v>
      </c>
      <c r="I109" s="15" t="s">
        <v>290</v>
      </c>
      <c r="J109" s="15" t="s">
        <v>291</v>
      </c>
      <c r="K109" s="15" t="s">
        <v>292</v>
      </c>
      <c r="L109" s="13" t="s">
        <v>295</v>
      </c>
      <c r="M109" s="15" t="s">
        <v>296</v>
      </c>
      <c r="N109" s="13" t="s">
        <v>88</v>
      </c>
      <c r="O109" s="15" t="s">
        <v>97</v>
      </c>
      <c r="P109" s="15" t="s">
        <v>98</v>
      </c>
      <c r="Q109" s="15" t="s">
        <v>175</v>
      </c>
      <c r="R109" s="13" t="s">
        <v>176</v>
      </c>
      <c r="S109" s="13" t="s">
        <v>93</v>
      </c>
      <c r="T109" s="13" t="s">
        <v>94</v>
      </c>
      <c r="U109" s="14">
        <v>40725</v>
      </c>
      <c r="V109" s="14"/>
      <c r="W109" s="15"/>
      <c r="X109" s="15"/>
      <c r="Y109" s="13"/>
      <c r="Z109" s="15"/>
      <c r="AA109" s="15"/>
      <c r="AB109" s="15"/>
      <c r="AC109" s="13"/>
      <c r="AD109" s="15"/>
      <c r="AE109" s="15"/>
      <c r="AF109" s="15"/>
      <c r="AG109" s="13"/>
      <c r="AH109" s="15"/>
      <c r="AI109" s="15"/>
      <c r="AJ109" s="15"/>
      <c r="AK109" s="13"/>
      <c r="AL109" s="15"/>
      <c r="AM109" s="15"/>
      <c r="AN109" s="13"/>
      <c r="AO109" s="13"/>
    </row>
    <row r="110" spans="1:41" ht="87" x14ac:dyDescent="0.35">
      <c r="A110" s="13" t="s">
        <v>76</v>
      </c>
      <c r="B110" s="13" t="s">
        <v>77</v>
      </c>
      <c r="C110" s="14">
        <v>43152.5</v>
      </c>
      <c r="D110" s="13" t="s">
        <v>78</v>
      </c>
      <c r="E110" s="15" t="s">
        <v>79</v>
      </c>
      <c r="F110" s="13" t="s">
        <v>80</v>
      </c>
      <c r="G110" s="15" t="s">
        <v>81</v>
      </c>
      <c r="H110" s="13" t="s">
        <v>289</v>
      </c>
      <c r="I110" s="15" t="s">
        <v>290</v>
      </c>
      <c r="J110" s="15" t="s">
        <v>291</v>
      </c>
      <c r="K110" s="15" t="s">
        <v>292</v>
      </c>
      <c r="L110" s="13" t="s">
        <v>297</v>
      </c>
      <c r="M110" s="15" t="s">
        <v>298</v>
      </c>
      <c r="N110" s="13" t="s">
        <v>101</v>
      </c>
      <c r="O110" s="15" t="s">
        <v>102</v>
      </c>
      <c r="P110" s="15" t="s">
        <v>103</v>
      </c>
      <c r="Q110" s="15" t="s">
        <v>175</v>
      </c>
      <c r="R110" s="13" t="s">
        <v>176</v>
      </c>
      <c r="S110" s="13" t="s">
        <v>93</v>
      </c>
      <c r="T110" s="13" t="s">
        <v>94</v>
      </c>
      <c r="U110" s="14">
        <v>40725</v>
      </c>
      <c r="V110" s="14"/>
      <c r="W110" s="15"/>
      <c r="X110" s="15"/>
      <c r="Y110" s="13"/>
      <c r="Z110" s="15"/>
      <c r="AA110" s="15"/>
      <c r="AB110" s="15"/>
      <c r="AC110" s="13"/>
      <c r="AD110" s="15"/>
      <c r="AE110" s="15"/>
      <c r="AF110" s="15"/>
      <c r="AG110" s="13"/>
      <c r="AH110" s="15"/>
      <c r="AI110" s="15"/>
      <c r="AJ110" s="15"/>
      <c r="AK110" s="13"/>
      <c r="AL110" s="15"/>
      <c r="AM110" s="15"/>
      <c r="AN110" s="13"/>
      <c r="AO110" s="13"/>
    </row>
    <row r="111" spans="1:41" ht="87" x14ac:dyDescent="0.35">
      <c r="A111" s="13" t="s">
        <v>238</v>
      </c>
      <c r="B111" s="13" t="s">
        <v>109</v>
      </c>
      <c r="C111" s="14">
        <v>44368.708333333336</v>
      </c>
      <c r="D111" s="13" t="s">
        <v>78</v>
      </c>
      <c r="E111" s="15" t="s">
        <v>79</v>
      </c>
      <c r="F111" s="13" t="s">
        <v>80</v>
      </c>
      <c r="G111" s="15" t="s">
        <v>81</v>
      </c>
      <c r="H111" s="13" t="s">
        <v>289</v>
      </c>
      <c r="I111" s="15" t="s">
        <v>290</v>
      </c>
      <c r="J111" s="15" t="s">
        <v>291</v>
      </c>
      <c r="K111" s="15" t="s">
        <v>292</v>
      </c>
      <c r="L111" s="13" t="s">
        <v>293</v>
      </c>
      <c r="M111" s="15" t="s">
        <v>294</v>
      </c>
      <c r="N111" s="13" t="s">
        <v>88</v>
      </c>
      <c r="O111" s="15" t="s">
        <v>89</v>
      </c>
      <c r="P111" s="15" t="s">
        <v>90</v>
      </c>
      <c r="Q111" s="15" t="s">
        <v>177</v>
      </c>
      <c r="R111" s="13" t="s">
        <v>178</v>
      </c>
      <c r="S111" s="13" t="s">
        <v>179</v>
      </c>
      <c r="T111" s="13" t="s">
        <v>112</v>
      </c>
      <c r="U111" s="14">
        <v>40725</v>
      </c>
      <c r="V111" s="14"/>
      <c r="W111" s="15"/>
      <c r="X111" s="15"/>
      <c r="Y111" s="13"/>
      <c r="Z111" s="15"/>
      <c r="AA111" s="15"/>
      <c r="AB111" s="15"/>
      <c r="AC111" s="13"/>
      <c r="AD111" s="15"/>
      <c r="AE111" s="15"/>
      <c r="AF111" s="15"/>
      <c r="AG111" s="13"/>
      <c r="AH111" s="15"/>
      <c r="AI111" s="15"/>
      <c r="AJ111" s="15"/>
      <c r="AK111" s="13"/>
      <c r="AL111" s="15"/>
      <c r="AM111" s="15"/>
      <c r="AN111" s="13"/>
      <c r="AO111" s="13"/>
    </row>
    <row r="112" spans="1:41" ht="87" x14ac:dyDescent="0.35">
      <c r="A112" s="13" t="s">
        <v>238</v>
      </c>
      <c r="B112" s="13" t="s">
        <v>109</v>
      </c>
      <c r="C112" s="14">
        <v>44368.708333333336</v>
      </c>
      <c r="D112" s="13" t="s">
        <v>78</v>
      </c>
      <c r="E112" s="15" t="s">
        <v>79</v>
      </c>
      <c r="F112" s="13" t="s">
        <v>80</v>
      </c>
      <c r="G112" s="15" t="s">
        <v>81</v>
      </c>
      <c r="H112" s="13" t="s">
        <v>289</v>
      </c>
      <c r="I112" s="15" t="s">
        <v>290</v>
      </c>
      <c r="J112" s="15" t="s">
        <v>291</v>
      </c>
      <c r="K112" s="15" t="s">
        <v>292</v>
      </c>
      <c r="L112" s="13" t="s">
        <v>295</v>
      </c>
      <c r="M112" s="15" t="s">
        <v>296</v>
      </c>
      <c r="N112" s="13" t="s">
        <v>88</v>
      </c>
      <c r="O112" s="15" t="s">
        <v>97</v>
      </c>
      <c r="P112" s="15" t="s">
        <v>98</v>
      </c>
      <c r="Q112" s="15" t="s">
        <v>177</v>
      </c>
      <c r="R112" s="13" t="s">
        <v>178</v>
      </c>
      <c r="S112" s="13" t="s">
        <v>179</v>
      </c>
      <c r="T112" s="13" t="s">
        <v>112</v>
      </c>
      <c r="U112" s="14">
        <v>40725</v>
      </c>
      <c r="V112" s="14"/>
      <c r="W112" s="15"/>
      <c r="X112" s="15"/>
      <c r="Y112" s="13"/>
      <c r="Z112" s="15"/>
      <c r="AA112" s="15"/>
      <c r="AB112" s="15"/>
      <c r="AC112" s="13"/>
      <c r="AD112" s="15"/>
      <c r="AE112" s="15"/>
      <c r="AF112" s="15"/>
      <c r="AG112" s="13"/>
      <c r="AH112" s="15"/>
      <c r="AI112" s="15"/>
      <c r="AJ112" s="15"/>
      <c r="AK112" s="13"/>
      <c r="AL112" s="15"/>
      <c r="AM112" s="15"/>
      <c r="AN112" s="13"/>
      <c r="AO112" s="13"/>
    </row>
    <row r="113" spans="1:41" ht="87" x14ac:dyDescent="0.35">
      <c r="A113" s="13" t="s">
        <v>165</v>
      </c>
      <c r="B113" s="13" t="s">
        <v>109</v>
      </c>
      <c r="C113" s="14">
        <v>44715.407638888886</v>
      </c>
      <c r="D113" s="13" t="s">
        <v>78</v>
      </c>
      <c r="E113" s="15" t="s">
        <v>79</v>
      </c>
      <c r="F113" s="13" t="s">
        <v>80</v>
      </c>
      <c r="G113" s="15" t="s">
        <v>81</v>
      </c>
      <c r="H113" s="13" t="s">
        <v>289</v>
      </c>
      <c r="I113" s="15" t="s">
        <v>290</v>
      </c>
      <c r="J113" s="15" t="s">
        <v>291</v>
      </c>
      <c r="K113" s="15" t="s">
        <v>292</v>
      </c>
      <c r="L113" s="13" t="s">
        <v>297</v>
      </c>
      <c r="M113" s="15" t="s">
        <v>298</v>
      </c>
      <c r="N113" s="13" t="s">
        <v>101</v>
      </c>
      <c r="O113" s="15" t="s">
        <v>102</v>
      </c>
      <c r="P113" s="15" t="s">
        <v>103</v>
      </c>
      <c r="Q113" s="15" t="s">
        <v>177</v>
      </c>
      <c r="R113" s="13" t="s">
        <v>178</v>
      </c>
      <c r="S113" s="13" t="s">
        <v>179</v>
      </c>
      <c r="T113" s="13" t="s">
        <v>112</v>
      </c>
      <c r="U113" s="14">
        <v>40725</v>
      </c>
      <c r="V113" s="14">
        <v>44633</v>
      </c>
      <c r="W113" s="15"/>
      <c r="X113" s="15"/>
      <c r="Y113" s="13"/>
      <c r="Z113" s="15"/>
      <c r="AA113" s="15"/>
      <c r="AB113" s="15"/>
      <c r="AC113" s="13"/>
      <c r="AD113" s="15"/>
      <c r="AE113" s="15"/>
      <c r="AF113" s="15"/>
      <c r="AG113" s="13"/>
      <c r="AH113" s="15"/>
      <c r="AI113" s="15"/>
      <c r="AJ113" s="15"/>
      <c r="AK113" s="13"/>
      <c r="AL113" s="15"/>
      <c r="AM113" s="15"/>
      <c r="AN113" s="13"/>
      <c r="AO113" s="13"/>
    </row>
    <row r="114" spans="1:41" ht="87" x14ac:dyDescent="0.35">
      <c r="A114" s="13" t="s">
        <v>165</v>
      </c>
      <c r="B114" s="13" t="s">
        <v>77</v>
      </c>
      <c r="C114" s="14">
        <v>44715.408333333333</v>
      </c>
      <c r="D114" s="13" t="s">
        <v>78</v>
      </c>
      <c r="E114" s="15" t="s">
        <v>79</v>
      </c>
      <c r="F114" s="13" t="s">
        <v>80</v>
      </c>
      <c r="G114" s="15" t="s">
        <v>81</v>
      </c>
      <c r="H114" s="13" t="s">
        <v>289</v>
      </c>
      <c r="I114" s="15" t="s">
        <v>290</v>
      </c>
      <c r="J114" s="15" t="s">
        <v>291</v>
      </c>
      <c r="K114" s="15" t="s">
        <v>292</v>
      </c>
      <c r="L114" s="13" t="s">
        <v>297</v>
      </c>
      <c r="M114" s="15" t="s">
        <v>298</v>
      </c>
      <c r="N114" s="13" t="s">
        <v>101</v>
      </c>
      <c r="O114" s="15" t="s">
        <v>102</v>
      </c>
      <c r="P114" s="15" t="s">
        <v>103</v>
      </c>
      <c r="Q114" s="15" t="s">
        <v>177</v>
      </c>
      <c r="R114" s="13" t="s">
        <v>178</v>
      </c>
      <c r="S114" s="13" t="s">
        <v>179</v>
      </c>
      <c r="T114" s="13" t="s">
        <v>112</v>
      </c>
      <c r="U114" s="14">
        <v>44634</v>
      </c>
      <c r="V114" s="14"/>
      <c r="W114" s="15"/>
      <c r="X114" s="15"/>
      <c r="Y114" s="13"/>
      <c r="Z114" s="15"/>
      <c r="AA114" s="15"/>
      <c r="AB114" s="15"/>
      <c r="AC114" s="13"/>
      <c r="AD114" s="15"/>
      <c r="AE114" s="15"/>
      <c r="AF114" s="15"/>
      <c r="AG114" s="13"/>
      <c r="AH114" s="15"/>
      <c r="AI114" s="15"/>
      <c r="AJ114" s="15"/>
      <c r="AK114" s="13"/>
      <c r="AL114" s="15"/>
      <c r="AM114" s="15"/>
      <c r="AN114" s="13"/>
      <c r="AO114" s="13"/>
    </row>
    <row r="115" spans="1:41" ht="87" x14ac:dyDescent="0.35">
      <c r="A115" s="13" t="s">
        <v>238</v>
      </c>
      <c r="B115" s="13" t="s">
        <v>109</v>
      </c>
      <c r="C115" s="14">
        <v>44368.708333333336</v>
      </c>
      <c r="D115" s="13" t="s">
        <v>78</v>
      </c>
      <c r="E115" s="15" t="s">
        <v>79</v>
      </c>
      <c r="F115" s="13" t="s">
        <v>80</v>
      </c>
      <c r="G115" s="15" t="s">
        <v>81</v>
      </c>
      <c r="H115" s="13" t="s">
        <v>289</v>
      </c>
      <c r="I115" s="15" t="s">
        <v>290</v>
      </c>
      <c r="J115" s="15" t="s">
        <v>291</v>
      </c>
      <c r="K115" s="15" t="s">
        <v>292</v>
      </c>
      <c r="L115" s="13" t="s">
        <v>293</v>
      </c>
      <c r="M115" s="15" t="s">
        <v>294</v>
      </c>
      <c r="N115" s="13" t="s">
        <v>88</v>
      </c>
      <c r="O115" s="15" t="s">
        <v>89</v>
      </c>
      <c r="P115" s="15" t="s">
        <v>90</v>
      </c>
      <c r="Q115" s="15" t="s">
        <v>201</v>
      </c>
      <c r="R115" s="13" t="s">
        <v>202</v>
      </c>
      <c r="S115" s="13" t="s">
        <v>179</v>
      </c>
      <c r="T115" s="13" t="s">
        <v>112</v>
      </c>
      <c r="U115" s="14">
        <v>40725</v>
      </c>
      <c r="V115" s="14"/>
      <c r="W115" s="15"/>
      <c r="X115" s="15"/>
      <c r="Y115" s="13"/>
      <c r="Z115" s="15"/>
      <c r="AA115" s="15"/>
      <c r="AB115" s="15"/>
      <c r="AC115" s="13"/>
      <c r="AD115" s="15"/>
      <c r="AE115" s="15"/>
      <c r="AF115" s="15"/>
      <c r="AG115" s="13"/>
      <c r="AH115" s="15"/>
      <c r="AI115" s="15"/>
      <c r="AJ115" s="15"/>
      <c r="AK115" s="13"/>
      <c r="AL115" s="15"/>
      <c r="AM115" s="15"/>
      <c r="AN115" s="13"/>
      <c r="AO115" s="13"/>
    </row>
    <row r="116" spans="1:41" ht="87" x14ac:dyDescent="0.35">
      <c r="A116" s="13" t="s">
        <v>238</v>
      </c>
      <c r="B116" s="13" t="s">
        <v>109</v>
      </c>
      <c r="C116" s="14">
        <v>44368.708333333336</v>
      </c>
      <c r="D116" s="13" t="s">
        <v>78</v>
      </c>
      <c r="E116" s="15" t="s">
        <v>79</v>
      </c>
      <c r="F116" s="13" t="s">
        <v>80</v>
      </c>
      <c r="G116" s="15" t="s">
        <v>81</v>
      </c>
      <c r="H116" s="13" t="s">
        <v>289</v>
      </c>
      <c r="I116" s="15" t="s">
        <v>290</v>
      </c>
      <c r="J116" s="15" t="s">
        <v>291</v>
      </c>
      <c r="K116" s="15" t="s">
        <v>292</v>
      </c>
      <c r="L116" s="13" t="s">
        <v>295</v>
      </c>
      <c r="M116" s="15" t="s">
        <v>296</v>
      </c>
      <c r="N116" s="13" t="s">
        <v>88</v>
      </c>
      <c r="O116" s="15" t="s">
        <v>97</v>
      </c>
      <c r="P116" s="15" t="s">
        <v>98</v>
      </c>
      <c r="Q116" s="15" t="s">
        <v>201</v>
      </c>
      <c r="R116" s="13" t="s">
        <v>202</v>
      </c>
      <c r="S116" s="13" t="s">
        <v>179</v>
      </c>
      <c r="T116" s="13" t="s">
        <v>112</v>
      </c>
      <c r="U116" s="14">
        <v>40725</v>
      </c>
      <c r="V116" s="14"/>
      <c r="W116" s="15"/>
      <c r="X116" s="15"/>
      <c r="Y116" s="13"/>
      <c r="Z116" s="15"/>
      <c r="AA116" s="15"/>
      <c r="AB116" s="15"/>
      <c r="AC116" s="13"/>
      <c r="AD116" s="15"/>
      <c r="AE116" s="15"/>
      <c r="AF116" s="15"/>
      <c r="AG116" s="13"/>
      <c r="AH116" s="15"/>
      <c r="AI116" s="15"/>
      <c r="AJ116" s="15"/>
      <c r="AK116" s="13"/>
      <c r="AL116" s="15"/>
      <c r="AM116" s="15"/>
      <c r="AN116" s="13"/>
      <c r="AO116" s="13"/>
    </row>
    <row r="117" spans="1:41" ht="87" x14ac:dyDescent="0.35">
      <c r="A117" s="13" t="s">
        <v>165</v>
      </c>
      <c r="B117" s="13" t="s">
        <v>109</v>
      </c>
      <c r="C117" s="14">
        <v>44715.404861111114</v>
      </c>
      <c r="D117" s="13" t="s">
        <v>78</v>
      </c>
      <c r="E117" s="15" t="s">
        <v>79</v>
      </c>
      <c r="F117" s="13" t="s">
        <v>80</v>
      </c>
      <c r="G117" s="15" t="s">
        <v>81</v>
      </c>
      <c r="H117" s="13" t="s">
        <v>289</v>
      </c>
      <c r="I117" s="15" t="s">
        <v>290</v>
      </c>
      <c r="J117" s="15" t="s">
        <v>291</v>
      </c>
      <c r="K117" s="15" t="s">
        <v>292</v>
      </c>
      <c r="L117" s="13" t="s">
        <v>297</v>
      </c>
      <c r="M117" s="15" t="s">
        <v>298</v>
      </c>
      <c r="N117" s="13" t="s">
        <v>101</v>
      </c>
      <c r="O117" s="15" t="s">
        <v>102</v>
      </c>
      <c r="P117" s="15" t="s">
        <v>103</v>
      </c>
      <c r="Q117" s="15" t="s">
        <v>201</v>
      </c>
      <c r="R117" s="13" t="s">
        <v>202</v>
      </c>
      <c r="S117" s="13" t="s">
        <v>179</v>
      </c>
      <c r="T117" s="13" t="s">
        <v>112</v>
      </c>
      <c r="U117" s="14">
        <v>40725</v>
      </c>
      <c r="V117" s="14">
        <v>44633</v>
      </c>
      <c r="W117" s="15"/>
      <c r="X117" s="15"/>
      <c r="Y117" s="13"/>
      <c r="Z117" s="15"/>
      <c r="AA117" s="15"/>
      <c r="AB117" s="15"/>
      <c r="AC117" s="13"/>
      <c r="AD117" s="15"/>
      <c r="AE117" s="15"/>
      <c r="AF117" s="15"/>
      <c r="AG117" s="13"/>
      <c r="AH117" s="15"/>
      <c r="AI117" s="15"/>
      <c r="AJ117" s="15"/>
      <c r="AK117" s="13"/>
      <c r="AL117" s="15"/>
      <c r="AM117" s="15"/>
      <c r="AN117" s="13"/>
      <c r="AO117" s="13"/>
    </row>
    <row r="118" spans="1:41" ht="87" x14ac:dyDescent="0.35">
      <c r="A118" s="13" t="s">
        <v>165</v>
      </c>
      <c r="B118" s="13" t="s">
        <v>77</v>
      </c>
      <c r="C118" s="14">
        <v>44715.406944444447</v>
      </c>
      <c r="D118" s="13" t="s">
        <v>78</v>
      </c>
      <c r="E118" s="15" t="s">
        <v>79</v>
      </c>
      <c r="F118" s="13" t="s">
        <v>80</v>
      </c>
      <c r="G118" s="15" t="s">
        <v>81</v>
      </c>
      <c r="H118" s="13" t="s">
        <v>289</v>
      </c>
      <c r="I118" s="15" t="s">
        <v>290</v>
      </c>
      <c r="J118" s="15" t="s">
        <v>291</v>
      </c>
      <c r="K118" s="15" t="s">
        <v>292</v>
      </c>
      <c r="L118" s="13" t="s">
        <v>297</v>
      </c>
      <c r="M118" s="15" t="s">
        <v>298</v>
      </c>
      <c r="N118" s="13" t="s">
        <v>101</v>
      </c>
      <c r="O118" s="15" t="s">
        <v>102</v>
      </c>
      <c r="P118" s="15" t="s">
        <v>103</v>
      </c>
      <c r="Q118" s="15" t="s">
        <v>201</v>
      </c>
      <c r="R118" s="13" t="s">
        <v>202</v>
      </c>
      <c r="S118" s="13" t="s">
        <v>179</v>
      </c>
      <c r="T118" s="13" t="s">
        <v>112</v>
      </c>
      <c r="U118" s="14">
        <v>44634</v>
      </c>
      <c r="V118" s="14"/>
      <c r="W118" s="15"/>
      <c r="X118" s="15"/>
      <c r="Y118" s="13"/>
      <c r="Z118" s="15"/>
      <c r="AA118" s="15"/>
      <c r="AB118" s="15"/>
      <c r="AC118" s="13"/>
      <c r="AD118" s="15"/>
      <c r="AE118" s="15"/>
      <c r="AF118" s="15"/>
      <c r="AG118" s="13"/>
      <c r="AH118" s="15"/>
      <c r="AI118" s="15"/>
      <c r="AJ118" s="15"/>
      <c r="AK118" s="13"/>
      <c r="AL118" s="15"/>
      <c r="AM118" s="15"/>
      <c r="AN118" s="13"/>
      <c r="AO118" s="13"/>
    </row>
    <row r="119" spans="1:41" ht="72.5" x14ac:dyDescent="0.35">
      <c r="A119" s="13" t="s">
        <v>76</v>
      </c>
      <c r="B119" s="13" t="s">
        <v>77</v>
      </c>
      <c r="C119" s="14">
        <v>43152.5</v>
      </c>
      <c r="D119" s="13" t="s">
        <v>78</v>
      </c>
      <c r="E119" s="15" t="s">
        <v>79</v>
      </c>
      <c r="F119" s="13" t="s">
        <v>80</v>
      </c>
      <c r="G119" s="15" t="s">
        <v>81</v>
      </c>
      <c r="H119" s="13" t="s">
        <v>314</v>
      </c>
      <c r="I119" s="15" t="s">
        <v>315</v>
      </c>
      <c r="J119" s="15" t="s">
        <v>316</v>
      </c>
      <c r="K119" s="15" t="s">
        <v>317</v>
      </c>
      <c r="L119" s="13" t="s">
        <v>318</v>
      </c>
      <c r="M119" s="15" t="s">
        <v>319</v>
      </c>
      <c r="N119" s="13" t="s">
        <v>88</v>
      </c>
      <c r="O119" s="15" t="s">
        <v>89</v>
      </c>
      <c r="P119" s="15" t="s">
        <v>90</v>
      </c>
      <c r="Q119" s="15" t="s">
        <v>91</v>
      </c>
      <c r="R119" s="13" t="s">
        <v>92</v>
      </c>
      <c r="S119" s="13" t="s">
        <v>93</v>
      </c>
      <c r="T119" s="13" t="s">
        <v>94</v>
      </c>
      <c r="U119" s="14">
        <v>40725</v>
      </c>
      <c r="V119" s="14"/>
      <c r="W119" s="15"/>
      <c r="X119" s="15"/>
      <c r="Y119" s="13"/>
      <c r="Z119" s="15"/>
      <c r="AA119" s="15"/>
      <c r="AB119" s="15"/>
      <c r="AC119" s="13"/>
      <c r="AD119" s="15"/>
      <c r="AE119" s="15"/>
      <c r="AF119" s="15"/>
      <c r="AG119" s="13"/>
      <c r="AH119" s="15"/>
      <c r="AI119" s="15"/>
      <c r="AJ119" s="15"/>
      <c r="AK119" s="13"/>
      <c r="AL119" s="15"/>
      <c r="AM119" s="15"/>
      <c r="AN119" s="13"/>
      <c r="AO119" s="13"/>
    </row>
    <row r="120" spans="1:41" ht="72.5" x14ac:dyDescent="0.35">
      <c r="A120" s="13" t="s">
        <v>76</v>
      </c>
      <c r="B120" s="13" t="s">
        <v>77</v>
      </c>
      <c r="C120" s="14">
        <v>43152.5</v>
      </c>
      <c r="D120" s="13" t="s">
        <v>78</v>
      </c>
      <c r="E120" s="15" t="s">
        <v>79</v>
      </c>
      <c r="F120" s="13" t="s">
        <v>80</v>
      </c>
      <c r="G120" s="15" t="s">
        <v>81</v>
      </c>
      <c r="H120" s="13" t="s">
        <v>314</v>
      </c>
      <c r="I120" s="15" t="s">
        <v>315</v>
      </c>
      <c r="J120" s="15" t="s">
        <v>316</v>
      </c>
      <c r="K120" s="15" t="s">
        <v>317</v>
      </c>
      <c r="L120" s="13" t="s">
        <v>320</v>
      </c>
      <c r="M120" s="15" t="s">
        <v>321</v>
      </c>
      <c r="N120" s="13" t="s">
        <v>88</v>
      </c>
      <c r="O120" s="15" t="s">
        <v>97</v>
      </c>
      <c r="P120" s="15" t="s">
        <v>98</v>
      </c>
      <c r="Q120" s="15" t="s">
        <v>91</v>
      </c>
      <c r="R120" s="13" t="s">
        <v>92</v>
      </c>
      <c r="S120" s="13" t="s">
        <v>93</v>
      </c>
      <c r="T120" s="13" t="s">
        <v>94</v>
      </c>
      <c r="U120" s="14">
        <v>40725</v>
      </c>
      <c r="V120" s="14"/>
      <c r="W120" s="15"/>
      <c r="X120" s="15"/>
      <c r="Y120" s="13"/>
      <c r="Z120" s="15"/>
      <c r="AA120" s="15"/>
      <c r="AB120" s="15"/>
      <c r="AC120" s="13"/>
      <c r="AD120" s="15"/>
      <c r="AE120" s="15"/>
      <c r="AF120" s="15"/>
      <c r="AG120" s="13"/>
      <c r="AH120" s="15"/>
      <c r="AI120" s="15"/>
      <c r="AJ120" s="15"/>
      <c r="AK120" s="13"/>
      <c r="AL120" s="15"/>
      <c r="AM120" s="15"/>
      <c r="AN120" s="13"/>
      <c r="AO120" s="13"/>
    </row>
    <row r="121" spans="1:41" ht="72.5" x14ac:dyDescent="0.35">
      <c r="A121" s="13" t="s">
        <v>76</v>
      </c>
      <c r="B121" s="13" t="s">
        <v>77</v>
      </c>
      <c r="C121" s="14">
        <v>43152.5</v>
      </c>
      <c r="D121" s="13" t="s">
        <v>78</v>
      </c>
      <c r="E121" s="15" t="s">
        <v>79</v>
      </c>
      <c r="F121" s="13" t="s">
        <v>80</v>
      </c>
      <c r="G121" s="15" t="s">
        <v>81</v>
      </c>
      <c r="H121" s="13" t="s">
        <v>314</v>
      </c>
      <c r="I121" s="15" t="s">
        <v>315</v>
      </c>
      <c r="J121" s="15" t="s">
        <v>316</v>
      </c>
      <c r="K121" s="15" t="s">
        <v>317</v>
      </c>
      <c r="L121" s="13" t="s">
        <v>322</v>
      </c>
      <c r="M121" s="15" t="s">
        <v>323</v>
      </c>
      <c r="N121" s="13" t="s">
        <v>101</v>
      </c>
      <c r="O121" s="15" t="s">
        <v>102</v>
      </c>
      <c r="P121" s="15" t="s">
        <v>103</v>
      </c>
      <c r="Q121" s="15" t="s">
        <v>91</v>
      </c>
      <c r="R121" s="13" t="s">
        <v>92</v>
      </c>
      <c r="S121" s="13" t="s">
        <v>93</v>
      </c>
      <c r="T121" s="13" t="s">
        <v>94</v>
      </c>
      <c r="U121" s="14">
        <v>40725</v>
      </c>
      <c r="V121" s="14"/>
      <c r="W121" s="15"/>
      <c r="X121" s="15"/>
      <c r="Y121" s="13"/>
      <c r="Z121" s="15"/>
      <c r="AA121" s="15"/>
      <c r="AB121" s="15"/>
      <c r="AC121" s="13"/>
      <c r="AD121" s="15"/>
      <c r="AE121" s="15"/>
      <c r="AF121" s="15"/>
      <c r="AG121" s="13"/>
      <c r="AH121" s="15"/>
      <c r="AI121" s="15"/>
      <c r="AJ121" s="15"/>
      <c r="AK121" s="13"/>
      <c r="AL121" s="15"/>
      <c r="AM121" s="15"/>
      <c r="AN121" s="13"/>
      <c r="AO121" s="13"/>
    </row>
    <row r="122" spans="1:41" ht="72.5" x14ac:dyDescent="0.35">
      <c r="A122" s="13" t="s">
        <v>76</v>
      </c>
      <c r="B122" s="13" t="s">
        <v>77</v>
      </c>
      <c r="C122" s="14">
        <v>43152.5</v>
      </c>
      <c r="D122" s="13" t="s">
        <v>78</v>
      </c>
      <c r="E122" s="15" t="s">
        <v>79</v>
      </c>
      <c r="F122" s="13" t="s">
        <v>80</v>
      </c>
      <c r="G122" s="15" t="s">
        <v>81</v>
      </c>
      <c r="H122" s="13" t="s">
        <v>314</v>
      </c>
      <c r="I122" s="15" t="s">
        <v>315</v>
      </c>
      <c r="J122" s="15" t="s">
        <v>316</v>
      </c>
      <c r="K122" s="15" t="s">
        <v>317</v>
      </c>
      <c r="L122" s="13" t="s">
        <v>318</v>
      </c>
      <c r="M122" s="15" t="s">
        <v>319</v>
      </c>
      <c r="N122" s="13" t="s">
        <v>88</v>
      </c>
      <c r="O122" s="15" t="s">
        <v>89</v>
      </c>
      <c r="P122" s="15" t="s">
        <v>90</v>
      </c>
      <c r="Q122" s="15" t="s">
        <v>104</v>
      </c>
      <c r="R122" s="13" t="s">
        <v>105</v>
      </c>
      <c r="S122" s="13" t="s">
        <v>93</v>
      </c>
      <c r="T122" s="13" t="s">
        <v>94</v>
      </c>
      <c r="U122" s="14">
        <v>40725</v>
      </c>
      <c r="V122" s="14"/>
      <c r="W122" s="15"/>
      <c r="X122" s="15"/>
      <c r="Y122" s="13"/>
      <c r="Z122" s="15"/>
      <c r="AA122" s="15"/>
      <c r="AB122" s="15"/>
      <c r="AC122" s="13"/>
      <c r="AD122" s="15"/>
      <c r="AE122" s="15"/>
      <c r="AF122" s="15"/>
      <c r="AG122" s="13"/>
      <c r="AH122" s="15"/>
      <c r="AI122" s="15"/>
      <c r="AJ122" s="15"/>
      <c r="AK122" s="13"/>
      <c r="AL122" s="15"/>
      <c r="AM122" s="15"/>
      <c r="AN122" s="13"/>
      <c r="AO122" s="13"/>
    </row>
    <row r="123" spans="1:41" ht="72.5" x14ac:dyDescent="0.35">
      <c r="A123" s="13" t="s">
        <v>76</v>
      </c>
      <c r="B123" s="13" t="s">
        <v>77</v>
      </c>
      <c r="C123" s="14">
        <v>43152.5</v>
      </c>
      <c r="D123" s="13" t="s">
        <v>78</v>
      </c>
      <c r="E123" s="15" t="s">
        <v>79</v>
      </c>
      <c r="F123" s="13" t="s">
        <v>80</v>
      </c>
      <c r="G123" s="15" t="s">
        <v>81</v>
      </c>
      <c r="H123" s="13" t="s">
        <v>314</v>
      </c>
      <c r="I123" s="15" t="s">
        <v>315</v>
      </c>
      <c r="J123" s="15" t="s">
        <v>316</v>
      </c>
      <c r="K123" s="15" t="s">
        <v>317</v>
      </c>
      <c r="L123" s="13" t="s">
        <v>320</v>
      </c>
      <c r="M123" s="15" t="s">
        <v>321</v>
      </c>
      <c r="N123" s="13" t="s">
        <v>88</v>
      </c>
      <c r="O123" s="15" t="s">
        <v>97</v>
      </c>
      <c r="P123" s="15" t="s">
        <v>98</v>
      </c>
      <c r="Q123" s="15" t="s">
        <v>104</v>
      </c>
      <c r="R123" s="13" t="s">
        <v>105</v>
      </c>
      <c r="S123" s="13" t="s">
        <v>93</v>
      </c>
      <c r="T123" s="13" t="s">
        <v>94</v>
      </c>
      <c r="U123" s="14">
        <v>40725</v>
      </c>
      <c r="V123" s="14"/>
      <c r="W123" s="15"/>
      <c r="X123" s="15"/>
      <c r="Y123" s="13"/>
      <c r="Z123" s="15"/>
      <c r="AA123" s="15"/>
      <c r="AB123" s="15"/>
      <c r="AC123" s="13"/>
      <c r="AD123" s="15"/>
      <c r="AE123" s="15"/>
      <c r="AF123" s="15"/>
      <c r="AG123" s="13"/>
      <c r="AH123" s="15"/>
      <c r="AI123" s="15"/>
      <c r="AJ123" s="15"/>
      <c r="AK123" s="13"/>
      <c r="AL123" s="15"/>
      <c r="AM123" s="15"/>
      <c r="AN123" s="13"/>
      <c r="AO123" s="13"/>
    </row>
    <row r="124" spans="1:41" ht="72.5" x14ac:dyDescent="0.35">
      <c r="A124" s="13" t="s">
        <v>76</v>
      </c>
      <c r="B124" s="13" t="s">
        <v>77</v>
      </c>
      <c r="C124" s="14">
        <v>43152.5</v>
      </c>
      <c r="D124" s="13" t="s">
        <v>78</v>
      </c>
      <c r="E124" s="15" t="s">
        <v>79</v>
      </c>
      <c r="F124" s="13" t="s">
        <v>80</v>
      </c>
      <c r="G124" s="15" t="s">
        <v>81</v>
      </c>
      <c r="H124" s="13" t="s">
        <v>314</v>
      </c>
      <c r="I124" s="15" t="s">
        <v>315</v>
      </c>
      <c r="J124" s="15" t="s">
        <v>316</v>
      </c>
      <c r="K124" s="15" t="s">
        <v>317</v>
      </c>
      <c r="L124" s="13" t="s">
        <v>322</v>
      </c>
      <c r="M124" s="15" t="s">
        <v>323</v>
      </c>
      <c r="N124" s="13" t="s">
        <v>101</v>
      </c>
      <c r="O124" s="15" t="s">
        <v>102</v>
      </c>
      <c r="P124" s="15" t="s">
        <v>103</v>
      </c>
      <c r="Q124" s="15" t="s">
        <v>104</v>
      </c>
      <c r="R124" s="13" t="s">
        <v>105</v>
      </c>
      <c r="S124" s="13" t="s">
        <v>93</v>
      </c>
      <c r="T124" s="13" t="s">
        <v>94</v>
      </c>
      <c r="U124" s="14">
        <v>40725</v>
      </c>
      <c r="V124" s="14"/>
      <c r="W124" s="15"/>
      <c r="X124" s="15"/>
      <c r="Y124" s="13"/>
      <c r="Z124" s="15"/>
      <c r="AA124" s="15"/>
      <c r="AB124" s="15"/>
      <c r="AC124" s="13"/>
      <c r="AD124" s="15"/>
      <c r="AE124" s="15"/>
      <c r="AF124" s="15"/>
      <c r="AG124" s="13"/>
      <c r="AH124" s="15"/>
      <c r="AI124" s="15"/>
      <c r="AJ124" s="15"/>
      <c r="AK124" s="13"/>
      <c r="AL124" s="15"/>
      <c r="AM124" s="15"/>
      <c r="AN124" s="13"/>
      <c r="AO124" s="13"/>
    </row>
    <row r="125" spans="1:41" ht="72.5" x14ac:dyDescent="0.35">
      <c r="A125" s="13" t="s">
        <v>76</v>
      </c>
      <c r="B125" s="13" t="s">
        <v>77</v>
      </c>
      <c r="C125" s="14">
        <v>43152.5</v>
      </c>
      <c r="D125" s="13" t="s">
        <v>78</v>
      </c>
      <c r="E125" s="15" t="s">
        <v>79</v>
      </c>
      <c r="F125" s="13" t="s">
        <v>80</v>
      </c>
      <c r="G125" s="15" t="s">
        <v>81</v>
      </c>
      <c r="H125" s="13" t="s">
        <v>314</v>
      </c>
      <c r="I125" s="15" t="s">
        <v>315</v>
      </c>
      <c r="J125" s="15" t="s">
        <v>316</v>
      </c>
      <c r="K125" s="15" t="s">
        <v>317</v>
      </c>
      <c r="L125" s="13" t="s">
        <v>318</v>
      </c>
      <c r="M125" s="15" t="s">
        <v>319</v>
      </c>
      <c r="N125" s="13" t="s">
        <v>88</v>
      </c>
      <c r="O125" s="15" t="s">
        <v>89</v>
      </c>
      <c r="P125" s="15" t="s">
        <v>90</v>
      </c>
      <c r="Q125" s="15" t="s">
        <v>106</v>
      </c>
      <c r="R125" s="13" t="s">
        <v>107</v>
      </c>
      <c r="S125" s="13" t="s">
        <v>93</v>
      </c>
      <c r="T125" s="13" t="s">
        <v>94</v>
      </c>
      <c r="U125" s="14">
        <v>40725</v>
      </c>
      <c r="V125" s="14"/>
      <c r="W125" s="15"/>
      <c r="X125" s="15"/>
      <c r="Y125" s="13"/>
      <c r="Z125" s="15"/>
      <c r="AA125" s="15"/>
      <c r="AB125" s="15"/>
      <c r="AC125" s="13"/>
      <c r="AD125" s="15"/>
      <c r="AE125" s="15"/>
      <c r="AF125" s="15"/>
      <c r="AG125" s="13"/>
      <c r="AH125" s="15"/>
      <c r="AI125" s="15"/>
      <c r="AJ125" s="15"/>
      <c r="AK125" s="13"/>
      <c r="AL125" s="15"/>
      <c r="AM125" s="15"/>
      <c r="AN125" s="13"/>
      <c r="AO125" s="13"/>
    </row>
    <row r="126" spans="1:41" ht="72.5" x14ac:dyDescent="0.35">
      <c r="A126" s="13" t="s">
        <v>76</v>
      </c>
      <c r="B126" s="13" t="s">
        <v>77</v>
      </c>
      <c r="C126" s="14">
        <v>43152.5</v>
      </c>
      <c r="D126" s="13" t="s">
        <v>78</v>
      </c>
      <c r="E126" s="15" t="s">
        <v>79</v>
      </c>
      <c r="F126" s="13" t="s">
        <v>80</v>
      </c>
      <c r="G126" s="15" t="s">
        <v>81</v>
      </c>
      <c r="H126" s="13" t="s">
        <v>314</v>
      </c>
      <c r="I126" s="15" t="s">
        <v>315</v>
      </c>
      <c r="J126" s="15" t="s">
        <v>316</v>
      </c>
      <c r="K126" s="15" t="s">
        <v>317</v>
      </c>
      <c r="L126" s="13" t="s">
        <v>320</v>
      </c>
      <c r="M126" s="15" t="s">
        <v>321</v>
      </c>
      <c r="N126" s="13" t="s">
        <v>88</v>
      </c>
      <c r="O126" s="15" t="s">
        <v>97</v>
      </c>
      <c r="P126" s="15" t="s">
        <v>98</v>
      </c>
      <c r="Q126" s="15" t="s">
        <v>106</v>
      </c>
      <c r="R126" s="13" t="s">
        <v>107</v>
      </c>
      <c r="S126" s="13" t="s">
        <v>93</v>
      </c>
      <c r="T126" s="13" t="s">
        <v>94</v>
      </c>
      <c r="U126" s="14">
        <v>40725</v>
      </c>
      <c r="V126" s="14"/>
      <c r="W126" s="15"/>
      <c r="X126" s="15"/>
      <c r="Y126" s="13"/>
      <c r="Z126" s="15"/>
      <c r="AA126" s="15"/>
      <c r="AB126" s="15"/>
      <c r="AC126" s="13"/>
      <c r="AD126" s="15"/>
      <c r="AE126" s="15"/>
      <c r="AF126" s="15"/>
      <c r="AG126" s="13"/>
      <c r="AH126" s="15"/>
      <c r="AI126" s="15"/>
      <c r="AJ126" s="15"/>
      <c r="AK126" s="13"/>
      <c r="AL126" s="15"/>
      <c r="AM126" s="15"/>
      <c r="AN126" s="13"/>
      <c r="AO126" s="13"/>
    </row>
    <row r="127" spans="1:41" ht="72.5" x14ac:dyDescent="0.35">
      <c r="A127" s="13" t="s">
        <v>76</v>
      </c>
      <c r="B127" s="13" t="s">
        <v>77</v>
      </c>
      <c r="C127" s="14">
        <v>43152.5</v>
      </c>
      <c r="D127" s="13" t="s">
        <v>78</v>
      </c>
      <c r="E127" s="15" t="s">
        <v>79</v>
      </c>
      <c r="F127" s="13" t="s">
        <v>80</v>
      </c>
      <c r="G127" s="15" t="s">
        <v>81</v>
      </c>
      <c r="H127" s="13" t="s">
        <v>314</v>
      </c>
      <c r="I127" s="15" t="s">
        <v>315</v>
      </c>
      <c r="J127" s="15" t="s">
        <v>316</v>
      </c>
      <c r="K127" s="15" t="s">
        <v>317</v>
      </c>
      <c r="L127" s="13" t="s">
        <v>322</v>
      </c>
      <c r="M127" s="15" t="s">
        <v>323</v>
      </c>
      <c r="N127" s="13" t="s">
        <v>101</v>
      </c>
      <c r="O127" s="15" t="s">
        <v>102</v>
      </c>
      <c r="P127" s="15" t="s">
        <v>103</v>
      </c>
      <c r="Q127" s="15" t="s">
        <v>106</v>
      </c>
      <c r="R127" s="13" t="s">
        <v>107</v>
      </c>
      <c r="S127" s="13" t="s">
        <v>93</v>
      </c>
      <c r="T127" s="13" t="s">
        <v>94</v>
      </c>
      <c r="U127" s="14">
        <v>40725</v>
      </c>
      <c r="V127" s="14"/>
      <c r="W127" s="15"/>
      <c r="X127" s="15"/>
      <c r="Y127" s="13"/>
      <c r="Z127" s="15"/>
      <c r="AA127" s="15"/>
      <c r="AB127" s="15"/>
      <c r="AC127" s="13"/>
      <c r="AD127" s="15"/>
      <c r="AE127" s="15"/>
      <c r="AF127" s="15"/>
      <c r="AG127" s="13"/>
      <c r="AH127" s="15"/>
      <c r="AI127" s="15"/>
      <c r="AJ127" s="15"/>
      <c r="AK127" s="13"/>
      <c r="AL127" s="15"/>
      <c r="AM127" s="15"/>
      <c r="AN127" s="13"/>
      <c r="AO127" s="13"/>
    </row>
    <row r="128" spans="1:41" ht="72.5" x14ac:dyDescent="0.35">
      <c r="A128" s="13" t="s">
        <v>238</v>
      </c>
      <c r="B128" s="13" t="s">
        <v>109</v>
      </c>
      <c r="C128" s="14">
        <v>44368.708333333336</v>
      </c>
      <c r="D128" s="13" t="s">
        <v>78</v>
      </c>
      <c r="E128" s="15" t="s">
        <v>79</v>
      </c>
      <c r="F128" s="13" t="s">
        <v>80</v>
      </c>
      <c r="G128" s="15" t="s">
        <v>81</v>
      </c>
      <c r="H128" s="13" t="s">
        <v>314</v>
      </c>
      <c r="I128" s="15" t="s">
        <v>315</v>
      </c>
      <c r="J128" s="15" t="s">
        <v>316</v>
      </c>
      <c r="K128" s="15" t="s">
        <v>317</v>
      </c>
      <c r="L128" s="13" t="s">
        <v>318</v>
      </c>
      <c r="M128" s="15" t="s">
        <v>319</v>
      </c>
      <c r="N128" s="13" t="s">
        <v>88</v>
      </c>
      <c r="O128" s="15" t="s">
        <v>89</v>
      </c>
      <c r="P128" s="15" t="s">
        <v>90</v>
      </c>
      <c r="Q128" s="15" t="s">
        <v>110</v>
      </c>
      <c r="R128" s="13" t="s">
        <v>111</v>
      </c>
      <c r="S128" s="13" t="s">
        <v>93</v>
      </c>
      <c r="T128" s="13" t="s">
        <v>112</v>
      </c>
      <c r="U128" s="14">
        <v>40725</v>
      </c>
      <c r="V128" s="14"/>
      <c r="W128" s="15"/>
      <c r="X128" s="15"/>
      <c r="Y128" s="13"/>
      <c r="Z128" s="15"/>
      <c r="AA128" s="15"/>
      <c r="AB128" s="15"/>
      <c r="AC128" s="13"/>
      <c r="AD128" s="15"/>
      <c r="AE128" s="15"/>
      <c r="AF128" s="15"/>
      <c r="AG128" s="13"/>
      <c r="AH128" s="15"/>
      <c r="AI128" s="15"/>
      <c r="AJ128" s="15"/>
      <c r="AK128" s="13"/>
      <c r="AL128" s="15"/>
      <c r="AM128" s="15"/>
      <c r="AN128" s="13"/>
      <c r="AO128" s="13"/>
    </row>
    <row r="129" spans="1:41" ht="72.5" x14ac:dyDescent="0.35">
      <c r="A129" s="13" t="s">
        <v>238</v>
      </c>
      <c r="B129" s="13" t="s">
        <v>109</v>
      </c>
      <c r="C129" s="14">
        <v>44368.708333333336</v>
      </c>
      <c r="D129" s="13" t="s">
        <v>78</v>
      </c>
      <c r="E129" s="15" t="s">
        <v>79</v>
      </c>
      <c r="F129" s="13" t="s">
        <v>80</v>
      </c>
      <c r="G129" s="15" t="s">
        <v>81</v>
      </c>
      <c r="H129" s="13" t="s">
        <v>314</v>
      </c>
      <c r="I129" s="15" t="s">
        <v>315</v>
      </c>
      <c r="J129" s="15" t="s">
        <v>316</v>
      </c>
      <c r="K129" s="15" t="s">
        <v>317</v>
      </c>
      <c r="L129" s="13" t="s">
        <v>320</v>
      </c>
      <c r="M129" s="15" t="s">
        <v>321</v>
      </c>
      <c r="N129" s="13" t="s">
        <v>88</v>
      </c>
      <c r="O129" s="15" t="s">
        <v>97</v>
      </c>
      <c r="P129" s="15" t="s">
        <v>98</v>
      </c>
      <c r="Q129" s="15" t="s">
        <v>110</v>
      </c>
      <c r="R129" s="13" t="s">
        <v>111</v>
      </c>
      <c r="S129" s="13" t="s">
        <v>93</v>
      </c>
      <c r="T129" s="13" t="s">
        <v>112</v>
      </c>
      <c r="U129" s="14">
        <v>40725</v>
      </c>
      <c r="V129" s="14"/>
      <c r="W129" s="15"/>
      <c r="X129" s="15"/>
      <c r="Y129" s="13"/>
      <c r="Z129" s="15"/>
      <c r="AA129" s="15"/>
      <c r="AB129" s="15"/>
      <c r="AC129" s="13"/>
      <c r="AD129" s="15"/>
      <c r="AE129" s="15"/>
      <c r="AF129" s="15"/>
      <c r="AG129" s="13"/>
      <c r="AH129" s="15"/>
      <c r="AI129" s="15"/>
      <c r="AJ129" s="15"/>
      <c r="AK129" s="13"/>
      <c r="AL129" s="15"/>
      <c r="AM129" s="15"/>
      <c r="AN129" s="13"/>
      <c r="AO129" s="13"/>
    </row>
    <row r="130" spans="1:41" ht="72.5" x14ac:dyDescent="0.35">
      <c r="A130" s="13" t="s">
        <v>165</v>
      </c>
      <c r="B130" s="13" t="s">
        <v>109</v>
      </c>
      <c r="C130" s="14">
        <v>44715.446527777778</v>
      </c>
      <c r="D130" s="13" t="s">
        <v>78</v>
      </c>
      <c r="E130" s="15" t="s">
        <v>79</v>
      </c>
      <c r="F130" s="13" t="s">
        <v>80</v>
      </c>
      <c r="G130" s="15" t="s">
        <v>81</v>
      </c>
      <c r="H130" s="13" t="s">
        <v>314</v>
      </c>
      <c r="I130" s="15" t="s">
        <v>315</v>
      </c>
      <c r="J130" s="15" t="s">
        <v>316</v>
      </c>
      <c r="K130" s="15" t="s">
        <v>317</v>
      </c>
      <c r="L130" s="13" t="s">
        <v>322</v>
      </c>
      <c r="M130" s="15" t="s">
        <v>323</v>
      </c>
      <c r="N130" s="13" t="s">
        <v>101</v>
      </c>
      <c r="O130" s="15" t="s">
        <v>102</v>
      </c>
      <c r="P130" s="15" t="s">
        <v>103</v>
      </c>
      <c r="Q130" s="15" t="s">
        <v>110</v>
      </c>
      <c r="R130" s="13" t="s">
        <v>111</v>
      </c>
      <c r="S130" s="13" t="s">
        <v>93</v>
      </c>
      <c r="T130" s="13" t="s">
        <v>112</v>
      </c>
      <c r="U130" s="14">
        <v>40725</v>
      </c>
      <c r="V130" s="14">
        <v>44633</v>
      </c>
      <c r="W130" s="15"/>
      <c r="X130" s="15"/>
      <c r="Y130" s="13"/>
      <c r="Z130" s="15"/>
      <c r="AA130" s="15"/>
      <c r="AB130" s="15"/>
      <c r="AC130" s="13"/>
      <c r="AD130" s="15"/>
      <c r="AE130" s="15"/>
      <c r="AF130" s="15"/>
      <c r="AG130" s="13"/>
      <c r="AH130" s="15"/>
      <c r="AI130" s="15"/>
      <c r="AJ130" s="15"/>
      <c r="AK130" s="13"/>
      <c r="AL130" s="15"/>
      <c r="AM130" s="15"/>
      <c r="AN130" s="13"/>
      <c r="AO130" s="13"/>
    </row>
    <row r="131" spans="1:41" ht="72.5" x14ac:dyDescent="0.35">
      <c r="A131" s="13" t="s">
        <v>165</v>
      </c>
      <c r="B131" s="13" t="s">
        <v>77</v>
      </c>
      <c r="C131" s="14">
        <v>44715.447222222225</v>
      </c>
      <c r="D131" s="13" t="s">
        <v>78</v>
      </c>
      <c r="E131" s="15" t="s">
        <v>79</v>
      </c>
      <c r="F131" s="13" t="s">
        <v>80</v>
      </c>
      <c r="G131" s="15" t="s">
        <v>81</v>
      </c>
      <c r="H131" s="13" t="s">
        <v>314</v>
      </c>
      <c r="I131" s="15" t="s">
        <v>315</v>
      </c>
      <c r="J131" s="15" t="s">
        <v>316</v>
      </c>
      <c r="K131" s="15" t="s">
        <v>317</v>
      </c>
      <c r="L131" s="13" t="s">
        <v>322</v>
      </c>
      <c r="M131" s="15" t="s">
        <v>323</v>
      </c>
      <c r="N131" s="13" t="s">
        <v>101</v>
      </c>
      <c r="O131" s="15" t="s">
        <v>102</v>
      </c>
      <c r="P131" s="15" t="s">
        <v>103</v>
      </c>
      <c r="Q131" s="15" t="s">
        <v>110</v>
      </c>
      <c r="R131" s="13" t="s">
        <v>111</v>
      </c>
      <c r="S131" s="13" t="s">
        <v>93</v>
      </c>
      <c r="T131" s="13" t="s">
        <v>112</v>
      </c>
      <c r="U131" s="14">
        <v>44634</v>
      </c>
      <c r="V131" s="14"/>
      <c r="W131" s="15"/>
      <c r="X131" s="15"/>
      <c r="Y131" s="13"/>
      <c r="Z131" s="15"/>
      <c r="AA131" s="15"/>
      <c r="AB131" s="15"/>
      <c r="AC131" s="13"/>
      <c r="AD131" s="15"/>
      <c r="AE131" s="15"/>
      <c r="AF131" s="15"/>
      <c r="AG131" s="13"/>
      <c r="AH131" s="15"/>
      <c r="AI131" s="15"/>
      <c r="AJ131" s="15"/>
      <c r="AK131" s="13"/>
      <c r="AL131" s="15"/>
      <c r="AM131" s="15"/>
      <c r="AN131" s="13"/>
      <c r="AO131" s="13"/>
    </row>
    <row r="132" spans="1:41" ht="72.5" x14ac:dyDescent="0.35">
      <c r="A132" s="13" t="s">
        <v>76</v>
      </c>
      <c r="B132" s="13" t="s">
        <v>77</v>
      </c>
      <c r="C132" s="14">
        <v>43152.5</v>
      </c>
      <c r="D132" s="13" t="s">
        <v>78</v>
      </c>
      <c r="E132" s="15" t="s">
        <v>79</v>
      </c>
      <c r="F132" s="13" t="s">
        <v>80</v>
      </c>
      <c r="G132" s="15" t="s">
        <v>81</v>
      </c>
      <c r="H132" s="13" t="s">
        <v>314</v>
      </c>
      <c r="I132" s="15" t="s">
        <v>315</v>
      </c>
      <c r="J132" s="15" t="s">
        <v>316</v>
      </c>
      <c r="K132" s="15" t="s">
        <v>317</v>
      </c>
      <c r="L132" s="13" t="s">
        <v>318</v>
      </c>
      <c r="M132" s="15" t="s">
        <v>319</v>
      </c>
      <c r="N132" s="13" t="s">
        <v>88</v>
      </c>
      <c r="O132" s="15" t="s">
        <v>89</v>
      </c>
      <c r="P132" s="15" t="s">
        <v>90</v>
      </c>
      <c r="Q132" s="15" t="s">
        <v>175</v>
      </c>
      <c r="R132" s="13" t="s">
        <v>176</v>
      </c>
      <c r="S132" s="13" t="s">
        <v>93</v>
      </c>
      <c r="T132" s="13" t="s">
        <v>94</v>
      </c>
      <c r="U132" s="14">
        <v>40725</v>
      </c>
      <c r="V132" s="14"/>
      <c r="W132" s="15"/>
      <c r="X132" s="15"/>
      <c r="Y132" s="13"/>
      <c r="Z132" s="15"/>
      <c r="AA132" s="15"/>
      <c r="AB132" s="15"/>
      <c r="AC132" s="13"/>
      <c r="AD132" s="15"/>
      <c r="AE132" s="15"/>
      <c r="AF132" s="15"/>
      <c r="AG132" s="13"/>
      <c r="AH132" s="15"/>
      <c r="AI132" s="15"/>
      <c r="AJ132" s="15"/>
      <c r="AK132" s="13"/>
      <c r="AL132" s="15"/>
      <c r="AM132" s="15"/>
      <c r="AN132" s="13"/>
      <c r="AO132" s="13"/>
    </row>
    <row r="133" spans="1:41" ht="72.5" x14ac:dyDescent="0.35">
      <c r="A133" s="13" t="s">
        <v>76</v>
      </c>
      <c r="B133" s="13" t="s">
        <v>77</v>
      </c>
      <c r="C133" s="14">
        <v>43152.5</v>
      </c>
      <c r="D133" s="13" t="s">
        <v>78</v>
      </c>
      <c r="E133" s="15" t="s">
        <v>79</v>
      </c>
      <c r="F133" s="13" t="s">
        <v>80</v>
      </c>
      <c r="G133" s="15" t="s">
        <v>81</v>
      </c>
      <c r="H133" s="13" t="s">
        <v>314</v>
      </c>
      <c r="I133" s="15" t="s">
        <v>315</v>
      </c>
      <c r="J133" s="15" t="s">
        <v>316</v>
      </c>
      <c r="K133" s="15" t="s">
        <v>317</v>
      </c>
      <c r="L133" s="13" t="s">
        <v>320</v>
      </c>
      <c r="M133" s="15" t="s">
        <v>321</v>
      </c>
      <c r="N133" s="13" t="s">
        <v>88</v>
      </c>
      <c r="O133" s="15" t="s">
        <v>97</v>
      </c>
      <c r="P133" s="15" t="s">
        <v>98</v>
      </c>
      <c r="Q133" s="15" t="s">
        <v>175</v>
      </c>
      <c r="R133" s="13" t="s">
        <v>176</v>
      </c>
      <c r="S133" s="13" t="s">
        <v>93</v>
      </c>
      <c r="T133" s="13" t="s">
        <v>94</v>
      </c>
      <c r="U133" s="14">
        <v>40725</v>
      </c>
      <c r="V133" s="14"/>
      <c r="W133" s="15"/>
      <c r="X133" s="15"/>
      <c r="Y133" s="13"/>
      <c r="Z133" s="15"/>
      <c r="AA133" s="15"/>
      <c r="AB133" s="15"/>
      <c r="AC133" s="13"/>
      <c r="AD133" s="15"/>
      <c r="AE133" s="15"/>
      <c r="AF133" s="15"/>
      <c r="AG133" s="13"/>
      <c r="AH133" s="15"/>
      <c r="AI133" s="15"/>
      <c r="AJ133" s="15"/>
      <c r="AK133" s="13"/>
      <c r="AL133" s="15"/>
      <c r="AM133" s="15"/>
      <c r="AN133" s="13"/>
      <c r="AO133" s="13"/>
    </row>
    <row r="134" spans="1:41" ht="72.5" x14ac:dyDescent="0.35">
      <c r="A134" s="13" t="s">
        <v>76</v>
      </c>
      <c r="B134" s="13" t="s">
        <v>77</v>
      </c>
      <c r="C134" s="14">
        <v>43152.5</v>
      </c>
      <c r="D134" s="13" t="s">
        <v>78</v>
      </c>
      <c r="E134" s="15" t="s">
        <v>79</v>
      </c>
      <c r="F134" s="13" t="s">
        <v>80</v>
      </c>
      <c r="G134" s="15" t="s">
        <v>81</v>
      </c>
      <c r="H134" s="13" t="s">
        <v>314</v>
      </c>
      <c r="I134" s="15" t="s">
        <v>315</v>
      </c>
      <c r="J134" s="15" t="s">
        <v>316</v>
      </c>
      <c r="K134" s="15" t="s">
        <v>317</v>
      </c>
      <c r="L134" s="13" t="s">
        <v>322</v>
      </c>
      <c r="M134" s="15" t="s">
        <v>323</v>
      </c>
      <c r="N134" s="13" t="s">
        <v>101</v>
      </c>
      <c r="O134" s="15" t="s">
        <v>102</v>
      </c>
      <c r="P134" s="15" t="s">
        <v>103</v>
      </c>
      <c r="Q134" s="15" t="s">
        <v>175</v>
      </c>
      <c r="R134" s="13" t="s">
        <v>176</v>
      </c>
      <c r="S134" s="13" t="s">
        <v>93</v>
      </c>
      <c r="T134" s="13" t="s">
        <v>94</v>
      </c>
      <c r="U134" s="14">
        <v>40725</v>
      </c>
      <c r="V134" s="14"/>
      <c r="W134" s="15"/>
      <c r="X134" s="15"/>
      <c r="Y134" s="13"/>
      <c r="Z134" s="15"/>
      <c r="AA134" s="15"/>
      <c r="AB134" s="15"/>
      <c r="AC134" s="13"/>
      <c r="AD134" s="15"/>
      <c r="AE134" s="15"/>
      <c r="AF134" s="15"/>
      <c r="AG134" s="13"/>
      <c r="AH134" s="15"/>
      <c r="AI134" s="15"/>
      <c r="AJ134" s="15"/>
      <c r="AK134" s="13"/>
      <c r="AL134" s="15"/>
      <c r="AM134" s="15"/>
      <c r="AN134" s="13"/>
      <c r="AO134" s="13"/>
    </row>
    <row r="135" spans="1:41" ht="72.5" x14ac:dyDescent="0.35">
      <c r="A135" s="13" t="s">
        <v>238</v>
      </c>
      <c r="B135" s="13" t="s">
        <v>109</v>
      </c>
      <c r="C135" s="14">
        <v>44368.708333333336</v>
      </c>
      <c r="D135" s="13" t="s">
        <v>78</v>
      </c>
      <c r="E135" s="15" t="s">
        <v>79</v>
      </c>
      <c r="F135" s="13" t="s">
        <v>80</v>
      </c>
      <c r="G135" s="15" t="s">
        <v>81</v>
      </c>
      <c r="H135" s="13" t="s">
        <v>314</v>
      </c>
      <c r="I135" s="15" t="s">
        <v>315</v>
      </c>
      <c r="J135" s="15" t="s">
        <v>316</v>
      </c>
      <c r="K135" s="15" t="s">
        <v>317</v>
      </c>
      <c r="L135" s="13" t="s">
        <v>318</v>
      </c>
      <c r="M135" s="15" t="s">
        <v>319</v>
      </c>
      <c r="N135" s="13" t="s">
        <v>88</v>
      </c>
      <c r="O135" s="15" t="s">
        <v>89</v>
      </c>
      <c r="P135" s="15" t="s">
        <v>90</v>
      </c>
      <c r="Q135" s="15" t="s">
        <v>177</v>
      </c>
      <c r="R135" s="13" t="s">
        <v>178</v>
      </c>
      <c r="S135" s="13" t="s">
        <v>179</v>
      </c>
      <c r="T135" s="13" t="s">
        <v>112</v>
      </c>
      <c r="U135" s="14">
        <v>40725</v>
      </c>
      <c r="V135" s="14"/>
      <c r="W135" s="15"/>
      <c r="X135" s="15"/>
      <c r="Y135" s="13"/>
      <c r="Z135" s="15"/>
      <c r="AA135" s="15"/>
      <c r="AB135" s="15"/>
      <c r="AC135" s="13"/>
      <c r="AD135" s="15"/>
      <c r="AE135" s="15"/>
      <c r="AF135" s="15"/>
      <c r="AG135" s="13"/>
      <c r="AH135" s="15"/>
      <c r="AI135" s="15"/>
      <c r="AJ135" s="15"/>
      <c r="AK135" s="13"/>
      <c r="AL135" s="15"/>
      <c r="AM135" s="15"/>
      <c r="AN135" s="13"/>
      <c r="AO135" s="13"/>
    </row>
    <row r="136" spans="1:41" ht="72.5" x14ac:dyDescent="0.35">
      <c r="A136" s="13" t="s">
        <v>238</v>
      </c>
      <c r="B136" s="13" t="s">
        <v>109</v>
      </c>
      <c r="C136" s="14">
        <v>44368.708333333336</v>
      </c>
      <c r="D136" s="13" t="s">
        <v>78</v>
      </c>
      <c r="E136" s="15" t="s">
        <v>79</v>
      </c>
      <c r="F136" s="13" t="s">
        <v>80</v>
      </c>
      <c r="G136" s="15" t="s">
        <v>81</v>
      </c>
      <c r="H136" s="13" t="s">
        <v>314</v>
      </c>
      <c r="I136" s="15" t="s">
        <v>315</v>
      </c>
      <c r="J136" s="15" t="s">
        <v>316</v>
      </c>
      <c r="K136" s="15" t="s">
        <v>317</v>
      </c>
      <c r="L136" s="13" t="s">
        <v>320</v>
      </c>
      <c r="M136" s="15" t="s">
        <v>321</v>
      </c>
      <c r="N136" s="13" t="s">
        <v>88</v>
      </c>
      <c r="O136" s="15" t="s">
        <v>97</v>
      </c>
      <c r="P136" s="15" t="s">
        <v>98</v>
      </c>
      <c r="Q136" s="15" t="s">
        <v>177</v>
      </c>
      <c r="R136" s="13" t="s">
        <v>178</v>
      </c>
      <c r="S136" s="13" t="s">
        <v>179</v>
      </c>
      <c r="T136" s="13" t="s">
        <v>112</v>
      </c>
      <c r="U136" s="14">
        <v>40725</v>
      </c>
      <c r="V136" s="14"/>
      <c r="W136" s="15"/>
      <c r="X136" s="15"/>
      <c r="Y136" s="13"/>
      <c r="Z136" s="15"/>
      <c r="AA136" s="15"/>
      <c r="AB136" s="15"/>
      <c r="AC136" s="13"/>
      <c r="AD136" s="15"/>
      <c r="AE136" s="15"/>
      <c r="AF136" s="15"/>
      <c r="AG136" s="13"/>
      <c r="AH136" s="15"/>
      <c r="AI136" s="15"/>
      <c r="AJ136" s="15"/>
      <c r="AK136" s="13"/>
      <c r="AL136" s="15"/>
      <c r="AM136" s="15"/>
      <c r="AN136" s="13"/>
      <c r="AO136" s="13"/>
    </row>
    <row r="137" spans="1:41" ht="72.5" x14ac:dyDescent="0.35">
      <c r="A137" s="13" t="s">
        <v>165</v>
      </c>
      <c r="B137" s="13" t="s">
        <v>109</v>
      </c>
      <c r="C137" s="14">
        <v>44715.447916666664</v>
      </c>
      <c r="D137" s="13" t="s">
        <v>78</v>
      </c>
      <c r="E137" s="15" t="s">
        <v>79</v>
      </c>
      <c r="F137" s="13" t="s">
        <v>80</v>
      </c>
      <c r="G137" s="15" t="s">
        <v>81</v>
      </c>
      <c r="H137" s="13" t="s">
        <v>314</v>
      </c>
      <c r="I137" s="15" t="s">
        <v>315</v>
      </c>
      <c r="J137" s="15" t="s">
        <v>316</v>
      </c>
      <c r="K137" s="15" t="s">
        <v>317</v>
      </c>
      <c r="L137" s="13" t="s">
        <v>322</v>
      </c>
      <c r="M137" s="15" t="s">
        <v>323</v>
      </c>
      <c r="N137" s="13" t="s">
        <v>101</v>
      </c>
      <c r="O137" s="15" t="s">
        <v>102</v>
      </c>
      <c r="P137" s="15" t="s">
        <v>103</v>
      </c>
      <c r="Q137" s="15" t="s">
        <v>177</v>
      </c>
      <c r="R137" s="13" t="s">
        <v>178</v>
      </c>
      <c r="S137" s="13" t="s">
        <v>179</v>
      </c>
      <c r="T137" s="13" t="s">
        <v>112</v>
      </c>
      <c r="U137" s="14">
        <v>40725</v>
      </c>
      <c r="V137" s="14">
        <v>44633</v>
      </c>
      <c r="W137" s="15"/>
      <c r="X137" s="15"/>
      <c r="Y137" s="13"/>
      <c r="Z137" s="15"/>
      <c r="AA137" s="15"/>
      <c r="AB137" s="15"/>
      <c r="AC137" s="13"/>
      <c r="AD137" s="15"/>
      <c r="AE137" s="15"/>
      <c r="AF137" s="15"/>
      <c r="AG137" s="13"/>
      <c r="AH137" s="15"/>
      <c r="AI137" s="15"/>
      <c r="AJ137" s="15"/>
      <c r="AK137" s="13"/>
      <c r="AL137" s="15"/>
      <c r="AM137" s="15"/>
      <c r="AN137" s="13"/>
      <c r="AO137" s="13"/>
    </row>
    <row r="138" spans="1:41" ht="72.5" x14ac:dyDescent="0.35">
      <c r="A138" s="13" t="s">
        <v>165</v>
      </c>
      <c r="B138" s="13" t="s">
        <v>77</v>
      </c>
      <c r="C138" s="14">
        <v>44715.448611111111</v>
      </c>
      <c r="D138" s="13" t="s">
        <v>78</v>
      </c>
      <c r="E138" s="15" t="s">
        <v>79</v>
      </c>
      <c r="F138" s="13" t="s">
        <v>80</v>
      </c>
      <c r="G138" s="15" t="s">
        <v>81</v>
      </c>
      <c r="H138" s="13" t="s">
        <v>314</v>
      </c>
      <c r="I138" s="15" t="s">
        <v>315</v>
      </c>
      <c r="J138" s="15" t="s">
        <v>316</v>
      </c>
      <c r="K138" s="15" t="s">
        <v>317</v>
      </c>
      <c r="L138" s="13" t="s">
        <v>322</v>
      </c>
      <c r="M138" s="15" t="s">
        <v>323</v>
      </c>
      <c r="N138" s="13" t="s">
        <v>101</v>
      </c>
      <c r="O138" s="15" t="s">
        <v>102</v>
      </c>
      <c r="P138" s="15" t="s">
        <v>103</v>
      </c>
      <c r="Q138" s="15" t="s">
        <v>177</v>
      </c>
      <c r="R138" s="13" t="s">
        <v>178</v>
      </c>
      <c r="S138" s="13" t="s">
        <v>179</v>
      </c>
      <c r="T138" s="13" t="s">
        <v>112</v>
      </c>
      <c r="U138" s="14">
        <v>44634</v>
      </c>
      <c r="V138" s="14"/>
      <c r="W138" s="15"/>
      <c r="X138" s="15"/>
      <c r="Y138" s="13"/>
      <c r="Z138" s="15"/>
      <c r="AA138" s="15"/>
      <c r="AB138" s="15"/>
      <c r="AC138" s="13"/>
      <c r="AD138" s="15"/>
      <c r="AE138" s="15"/>
      <c r="AF138" s="15"/>
      <c r="AG138" s="13"/>
      <c r="AH138" s="15"/>
      <c r="AI138" s="15"/>
      <c r="AJ138" s="15"/>
      <c r="AK138" s="13"/>
      <c r="AL138" s="15"/>
      <c r="AM138" s="15"/>
      <c r="AN138" s="13"/>
      <c r="AO138" s="13"/>
    </row>
    <row r="139" spans="1:41" ht="72.5" x14ac:dyDescent="0.35">
      <c r="A139" s="13" t="s">
        <v>238</v>
      </c>
      <c r="B139" s="13" t="s">
        <v>109</v>
      </c>
      <c r="C139" s="14">
        <v>44368.708333333336</v>
      </c>
      <c r="D139" s="13" t="s">
        <v>78</v>
      </c>
      <c r="E139" s="15" t="s">
        <v>79</v>
      </c>
      <c r="F139" s="13" t="s">
        <v>80</v>
      </c>
      <c r="G139" s="15" t="s">
        <v>81</v>
      </c>
      <c r="H139" s="13" t="s">
        <v>314</v>
      </c>
      <c r="I139" s="15" t="s">
        <v>315</v>
      </c>
      <c r="J139" s="15" t="s">
        <v>316</v>
      </c>
      <c r="K139" s="15" t="s">
        <v>317</v>
      </c>
      <c r="L139" s="13" t="s">
        <v>318</v>
      </c>
      <c r="M139" s="15" t="s">
        <v>319</v>
      </c>
      <c r="N139" s="13" t="s">
        <v>88</v>
      </c>
      <c r="O139" s="15" t="s">
        <v>89</v>
      </c>
      <c r="P139" s="15" t="s">
        <v>90</v>
      </c>
      <c r="Q139" s="15" t="s">
        <v>201</v>
      </c>
      <c r="R139" s="13" t="s">
        <v>202</v>
      </c>
      <c r="S139" s="13" t="s">
        <v>179</v>
      </c>
      <c r="T139" s="13" t="s">
        <v>112</v>
      </c>
      <c r="U139" s="14">
        <v>40725</v>
      </c>
      <c r="V139" s="14"/>
      <c r="W139" s="15"/>
      <c r="X139" s="15"/>
      <c r="Y139" s="13"/>
      <c r="Z139" s="15"/>
      <c r="AA139" s="15"/>
      <c r="AB139" s="15"/>
      <c r="AC139" s="13"/>
      <c r="AD139" s="15"/>
      <c r="AE139" s="15"/>
      <c r="AF139" s="15"/>
      <c r="AG139" s="13"/>
      <c r="AH139" s="15"/>
      <c r="AI139" s="15"/>
      <c r="AJ139" s="15"/>
      <c r="AK139" s="13"/>
      <c r="AL139" s="15"/>
      <c r="AM139" s="15"/>
      <c r="AN139" s="13"/>
      <c r="AO139" s="13"/>
    </row>
    <row r="140" spans="1:41" ht="72.5" x14ac:dyDescent="0.35">
      <c r="A140" s="13" t="s">
        <v>238</v>
      </c>
      <c r="B140" s="13" t="s">
        <v>109</v>
      </c>
      <c r="C140" s="14">
        <v>44368.708333333336</v>
      </c>
      <c r="D140" s="13" t="s">
        <v>78</v>
      </c>
      <c r="E140" s="15" t="s">
        <v>79</v>
      </c>
      <c r="F140" s="13" t="s">
        <v>80</v>
      </c>
      <c r="G140" s="15" t="s">
        <v>81</v>
      </c>
      <c r="H140" s="13" t="s">
        <v>314</v>
      </c>
      <c r="I140" s="15" t="s">
        <v>315</v>
      </c>
      <c r="J140" s="15" t="s">
        <v>316</v>
      </c>
      <c r="K140" s="15" t="s">
        <v>317</v>
      </c>
      <c r="L140" s="13" t="s">
        <v>320</v>
      </c>
      <c r="M140" s="15" t="s">
        <v>321</v>
      </c>
      <c r="N140" s="13" t="s">
        <v>88</v>
      </c>
      <c r="O140" s="15" t="s">
        <v>97</v>
      </c>
      <c r="P140" s="15" t="s">
        <v>98</v>
      </c>
      <c r="Q140" s="15" t="s">
        <v>201</v>
      </c>
      <c r="R140" s="13" t="s">
        <v>202</v>
      </c>
      <c r="S140" s="13" t="s">
        <v>179</v>
      </c>
      <c r="T140" s="13" t="s">
        <v>112</v>
      </c>
      <c r="U140" s="14">
        <v>40725</v>
      </c>
      <c r="V140" s="14"/>
      <c r="W140" s="15"/>
      <c r="X140" s="15"/>
      <c r="Y140" s="13"/>
      <c r="Z140" s="15"/>
      <c r="AA140" s="15"/>
      <c r="AB140" s="15"/>
      <c r="AC140" s="13"/>
      <c r="AD140" s="15"/>
      <c r="AE140" s="15"/>
      <c r="AF140" s="15"/>
      <c r="AG140" s="13"/>
      <c r="AH140" s="15"/>
      <c r="AI140" s="15"/>
      <c r="AJ140" s="15"/>
      <c r="AK140" s="13"/>
      <c r="AL140" s="15"/>
      <c r="AM140" s="15"/>
      <c r="AN140" s="13"/>
      <c r="AO140" s="13"/>
    </row>
    <row r="141" spans="1:41" ht="72.5" x14ac:dyDescent="0.35">
      <c r="A141" s="13" t="s">
        <v>165</v>
      </c>
      <c r="B141" s="13" t="s">
        <v>109</v>
      </c>
      <c r="C141" s="14">
        <v>44715.447222222225</v>
      </c>
      <c r="D141" s="13" t="s">
        <v>78</v>
      </c>
      <c r="E141" s="15" t="s">
        <v>79</v>
      </c>
      <c r="F141" s="13" t="s">
        <v>80</v>
      </c>
      <c r="G141" s="15" t="s">
        <v>81</v>
      </c>
      <c r="H141" s="13" t="s">
        <v>314</v>
      </c>
      <c r="I141" s="15" t="s">
        <v>315</v>
      </c>
      <c r="J141" s="15" t="s">
        <v>316</v>
      </c>
      <c r="K141" s="15" t="s">
        <v>317</v>
      </c>
      <c r="L141" s="13" t="s">
        <v>322</v>
      </c>
      <c r="M141" s="15" t="s">
        <v>323</v>
      </c>
      <c r="N141" s="13" t="s">
        <v>101</v>
      </c>
      <c r="O141" s="15" t="s">
        <v>102</v>
      </c>
      <c r="P141" s="15" t="s">
        <v>103</v>
      </c>
      <c r="Q141" s="15" t="s">
        <v>201</v>
      </c>
      <c r="R141" s="13" t="s">
        <v>202</v>
      </c>
      <c r="S141" s="13" t="s">
        <v>179</v>
      </c>
      <c r="T141" s="13" t="s">
        <v>112</v>
      </c>
      <c r="U141" s="14">
        <v>40725</v>
      </c>
      <c r="V141" s="14">
        <v>44633</v>
      </c>
      <c r="W141" s="15"/>
      <c r="X141" s="15"/>
      <c r="Y141" s="13"/>
      <c r="Z141" s="15"/>
      <c r="AA141" s="15"/>
      <c r="AB141" s="15"/>
      <c r="AC141" s="13"/>
      <c r="AD141" s="15"/>
      <c r="AE141" s="15"/>
      <c r="AF141" s="15"/>
      <c r="AG141" s="13"/>
      <c r="AH141" s="15"/>
      <c r="AI141" s="15"/>
      <c r="AJ141" s="15"/>
      <c r="AK141" s="13"/>
      <c r="AL141" s="15"/>
      <c r="AM141" s="15"/>
      <c r="AN141" s="13"/>
      <c r="AO141" s="13"/>
    </row>
    <row r="142" spans="1:41" ht="72.5" x14ac:dyDescent="0.35">
      <c r="A142" s="13" t="s">
        <v>165</v>
      </c>
      <c r="B142" s="13" t="s">
        <v>77</v>
      </c>
      <c r="C142" s="14">
        <v>44715.447916666664</v>
      </c>
      <c r="D142" s="13" t="s">
        <v>78</v>
      </c>
      <c r="E142" s="15" t="s">
        <v>79</v>
      </c>
      <c r="F142" s="13" t="s">
        <v>80</v>
      </c>
      <c r="G142" s="15" t="s">
        <v>81</v>
      </c>
      <c r="H142" s="13" t="s">
        <v>314</v>
      </c>
      <c r="I142" s="15" t="s">
        <v>315</v>
      </c>
      <c r="J142" s="15" t="s">
        <v>316</v>
      </c>
      <c r="K142" s="15" t="s">
        <v>317</v>
      </c>
      <c r="L142" s="13" t="s">
        <v>322</v>
      </c>
      <c r="M142" s="15" t="s">
        <v>323</v>
      </c>
      <c r="N142" s="13" t="s">
        <v>101</v>
      </c>
      <c r="O142" s="15" t="s">
        <v>102</v>
      </c>
      <c r="P142" s="15" t="s">
        <v>103</v>
      </c>
      <c r="Q142" s="15" t="s">
        <v>201</v>
      </c>
      <c r="R142" s="13" t="s">
        <v>202</v>
      </c>
      <c r="S142" s="13" t="s">
        <v>179</v>
      </c>
      <c r="T142" s="13" t="s">
        <v>112</v>
      </c>
      <c r="U142" s="14">
        <v>44634</v>
      </c>
      <c r="V142" s="14"/>
      <c r="W142" s="15"/>
      <c r="X142" s="15"/>
      <c r="Y142" s="13"/>
      <c r="Z142" s="15"/>
      <c r="AA142" s="15"/>
      <c r="AB142" s="15"/>
      <c r="AC142" s="13"/>
      <c r="AD142" s="15"/>
      <c r="AE142" s="15"/>
      <c r="AF142" s="15"/>
      <c r="AG142" s="13"/>
      <c r="AH142" s="15"/>
      <c r="AI142" s="15"/>
      <c r="AJ142" s="15"/>
      <c r="AK142" s="13"/>
      <c r="AL142" s="15"/>
      <c r="AM142" s="15"/>
      <c r="AN142" s="13"/>
      <c r="AO142" s="13"/>
    </row>
    <row r="143" spans="1:41" ht="72.5" x14ac:dyDescent="0.35">
      <c r="A143" s="13" t="s">
        <v>76</v>
      </c>
      <c r="B143" s="13" t="s">
        <v>77</v>
      </c>
      <c r="C143" s="14">
        <v>43152.5</v>
      </c>
      <c r="D143" s="13" t="s">
        <v>78</v>
      </c>
      <c r="E143" s="15" t="s">
        <v>79</v>
      </c>
      <c r="F143" s="13" t="s">
        <v>80</v>
      </c>
      <c r="G143" s="15" t="s">
        <v>81</v>
      </c>
      <c r="H143" s="13" t="s">
        <v>339</v>
      </c>
      <c r="I143" s="15" t="s">
        <v>340</v>
      </c>
      <c r="J143" s="15" t="s">
        <v>341</v>
      </c>
      <c r="K143" s="15" t="s">
        <v>342</v>
      </c>
      <c r="L143" s="13" t="s">
        <v>343</v>
      </c>
      <c r="M143" s="15" t="s">
        <v>344</v>
      </c>
      <c r="N143" s="13" t="s">
        <v>88</v>
      </c>
      <c r="O143" s="15" t="s">
        <v>89</v>
      </c>
      <c r="P143" s="15" t="s">
        <v>90</v>
      </c>
      <c r="Q143" s="15" t="s">
        <v>91</v>
      </c>
      <c r="R143" s="13" t="s">
        <v>92</v>
      </c>
      <c r="S143" s="13" t="s">
        <v>93</v>
      </c>
      <c r="T143" s="13" t="s">
        <v>94</v>
      </c>
      <c r="U143" s="14">
        <v>40725</v>
      </c>
      <c r="V143" s="14"/>
      <c r="W143" s="15"/>
      <c r="X143" s="15"/>
      <c r="Y143" s="13"/>
      <c r="Z143" s="15"/>
      <c r="AA143" s="15"/>
      <c r="AB143" s="15"/>
      <c r="AC143" s="13"/>
      <c r="AD143" s="15"/>
      <c r="AE143" s="15"/>
      <c r="AF143" s="15"/>
      <c r="AG143" s="13"/>
      <c r="AH143" s="15"/>
      <c r="AI143" s="15"/>
      <c r="AJ143" s="15"/>
      <c r="AK143" s="13"/>
      <c r="AL143" s="15"/>
      <c r="AM143" s="15"/>
      <c r="AN143" s="13"/>
      <c r="AO143" s="13"/>
    </row>
    <row r="144" spans="1:41" ht="72.5" x14ac:dyDescent="0.35">
      <c r="A144" s="13" t="s">
        <v>76</v>
      </c>
      <c r="B144" s="13" t="s">
        <v>77</v>
      </c>
      <c r="C144" s="14">
        <v>43152.5</v>
      </c>
      <c r="D144" s="13" t="s">
        <v>78</v>
      </c>
      <c r="E144" s="15" t="s">
        <v>79</v>
      </c>
      <c r="F144" s="13" t="s">
        <v>80</v>
      </c>
      <c r="G144" s="15" t="s">
        <v>81</v>
      </c>
      <c r="H144" s="13" t="s">
        <v>339</v>
      </c>
      <c r="I144" s="15" t="s">
        <v>340</v>
      </c>
      <c r="J144" s="15" t="s">
        <v>341</v>
      </c>
      <c r="K144" s="15" t="s">
        <v>342</v>
      </c>
      <c r="L144" s="13" t="s">
        <v>345</v>
      </c>
      <c r="M144" s="15" t="s">
        <v>346</v>
      </c>
      <c r="N144" s="13" t="s">
        <v>88</v>
      </c>
      <c r="O144" s="15" t="s">
        <v>97</v>
      </c>
      <c r="P144" s="15" t="s">
        <v>98</v>
      </c>
      <c r="Q144" s="15" t="s">
        <v>91</v>
      </c>
      <c r="R144" s="13" t="s">
        <v>92</v>
      </c>
      <c r="S144" s="13" t="s">
        <v>93</v>
      </c>
      <c r="T144" s="13" t="s">
        <v>94</v>
      </c>
      <c r="U144" s="14">
        <v>40725</v>
      </c>
      <c r="V144" s="14"/>
      <c r="W144" s="15"/>
      <c r="X144" s="15"/>
      <c r="Y144" s="13"/>
      <c r="Z144" s="15"/>
      <c r="AA144" s="15"/>
      <c r="AB144" s="15"/>
      <c r="AC144" s="13"/>
      <c r="AD144" s="15"/>
      <c r="AE144" s="15"/>
      <c r="AF144" s="15"/>
      <c r="AG144" s="13"/>
      <c r="AH144" s="15"/>
      <c r="AI144" s="15"/>
      <c r="AJ144" s="15"/>
      <c r="AK144" s="13"/>
      <c r="AL144" s="15"/>
      <c r="AM144" s="15"/>
      <c r="AN144" s="13"/>
      <c r="AO144" s="13"/>
    </row>
    <row r="145" spans="1:41" ht="72.5" x14ac:dyDescent="0.35">
      <c r="A145" s="13" t="s">
        <v>76</v>
      </c>
      <c r="B145" s="13" t="s">
        <v>77</v>
      </c>
      <c r="C145" s="14">
        <v>43152.5</v>
      </c>
      <c r="D145" s="13" t="s">
        <v>78</v>
      </c>
      <c r="E145" s="15" t="s">
        <v>79</v>
      </c>
      <c r="F145" s="13" t="s">
        <v>80</v>
      </c>
      <c r="G145" s="15" t="s">
        <v>81</v>
      </c>
      <c r="H145" s="13" t="s">
        <v>339</v>
      </c>
      <c r="I145" s="15" t="s">
        <v>340</v>
      </c>
      <c r="J145" s="15" t="s">
        <v>341</v>
      </c>
      <c r="K145" s="15" t="s">
        <v>342</v>
      </c>
      <c r="L145" s="13" t="s">
        <v>347</v>
      </c>
      <c r="M145" s="15" t="s">
        <v>348</v>
      </c>
      <c r="N145" s="13" t="s">
        <v>101</v>
      </c>
      <c r="O145" s="15" t="s">
        <v>102</v>
      </c>
      <c r="P145" s="15" t="s">
        <v>103</v>
      </c>
      <c r="Q145" s="15" t="s">
        <v>91</v>
      </c>
      <c r="R145" s="13" t="s">
        <v>92</v>
      </c>
      <c r="S145" s="13" t="s">
        <v>93</v>
      </c>
      <c r="T145" s="13" t="s">
        <v>94</v>
      </c>
      <c r="U145" s="14">
        <v>40725</v>
      </c>
      <c r="V145" s="14"/>
      <c r="W145" s="15"/>
      <c r="X145" s="15"/>
      <c r="Y145" s="13"/>
      <c r="Z145" s="15"/>
      <c r="AA145" s="15"/>
      <c r="AB145" s="15"/>
      <c r="AC145" s="13"/>
      <c r="AD145" s="15"/>
      <c r="AE145" s="15"/>
      <c r="AF145" s="15"/>
      <c r="AG145" s="13"/>
      <c r="AH145" s="15"/>
      <c r="AI145" s="15"/>
      <c r="AJ145" s="15"/>
      <c r="AK145" s="13"/>
      <c r="AL145" s="15"/>
      <c r="AM145" s="15"/>
      <c r="AN145" s="13"/>
      <c r="AO145" s="13"/>
    </row>
    <row r="146" spans="1:41" ht="72.5" x14ac:dyDescent="0.35">
      <c r="A146" s="13" t="s">
        <v>76</v>
      </c>
      <c r="B146" s="13" t="s">
        <v>77</v>
      </c>
      <c r="C146" s="14">
        <v>43152.5</v>
      </c>
      <c r="D146" s="13" t="s">
        <v>78</v>
      </c>
      <c r="E146" s="15" t="s">
        <v>79</v>
      </c>
      <c r="F146" s="13" t="s">
        <v>80</v>
      </c>
      <c r="G146" s="15" t="s">
        <v>81</v>
      </c>
      <c r="H146" s="13" t="s">
        <v>339</v>
      </c>
      <c r="I146" s="15" t="s">
        <v>340</v>
      </c>
      <c r="J146" s="15" t="s">
        <v>341</v>
      </c>
      <c r="K146" s="15" t="s">
        <v>342</v>
      </c>
      <c r="L146" s="13" t="s">
        <v>343</v>
      </c>
      <c r="M146" s="15" t="s">
        <v>344</v>
      </c>
      <c r="N146" s="13" t="s">
        <v>88</v>
      </c>
      <c r="O146" s="15" t="s">
        <v>89</v>
      </c>
      <c r="P146" s="15" t="s">
        <v>90</v>
      </c>
      <c r="Q146" s="15" t="s">
        <v>104</v>
      </c>
      <c r="R146" s="13" t="s">
        <v>105</v>
      </c>
      <c r="S146" s="13" t="s">
        <v>93</v>
      </c>
      <c r="T146" s="13" t="s">
        <v>94</v>
      </c>
      <c r="U146" s="14">
        <v>40725</v>
      </c>
      <c r="V146" s="14"/>
      <c r="W146" s="15"/>
      <c r="X146" s="15"/>
      <c r="Y146" s="13"/>
      <c r="Z146" s="15"/>
      <c r="AA146" s="15"/>
      <c r="AB146" s="15"/>
      <c r="AC146" s="13"/>
      <c r="AD146" s="15"/>
      <c r="AE146" s="15"/>
      <c r="AF146" s="15"/>
      <c r="AG146" s="13"/>
      <c r="AH146" s="15"/>
      <c r="AI146" s="15"/>
      <c r="AJ146" s="15"/>
      <c r="AK146" s="13"/>
      <c r="AL146" s="15"/>
      <c r="AM146" s="15"/>
      <c r="AN146" s="13"/>
      <c r="AO146" s="13"/>
    </row>
    <row r="147" spans="1:41" ht="72.5" x14ac:dyDescent="0.35">
      <c r="A147" s="13" t="s">
        <v>76</v>
      </c>
      <c r="B147" s="13" t="s">
        <v>77</v>
      </c>
      <c r="C147" s="14">
        <v>43152.5</v>
      </c>
      <c r="D147" s="13" t="s">
        <v>78</v>
      </c>
      <c r="E147" s="15" t="s">
        <v>79</v>
      </c>
      <c r="F147" s="13" t="s">
        <v>80</v>
      </c>
      <c r="G147" s="15" t="s">
        <v>81</v>
      </c>
      <c r="H147" s="13" t="s">
        <v>339</v>
      </c>
      <c r="I147" s="15" t="s">
        <v>340</v>
      </c>
      <c r="J147" s="15" t="s">
        <v>341</v>
      </c>
      <c r="K147" s="15" t="s">
        <v>342</v>
      </c>
      <c r="L147" s="13" t="s">
        <v>345</v>
      </c>
      <c r="M147" s="15" t="s">
        <v>346</v>
      </c>
      <c r="N147" s="13" t="s">
        <v>88</v>
      </c>
      <c r="O147" s="15" t="s">
        <v>97</v>
      </c>
      <c r="P147" s="15" t="s">
        <v>98</v>
      </c>
      <c r="Q147" s="15" t="s">
        <v>104</v>
      </c>
      <c r="R147" s="13" t="s">
        <v>105</v>
      </c>
      <c r="S147" s="13" t="s">
        <v>93</v>
      </c>
      <c r="T147" s="13" t="s">
        <v>94</v>
      </c>
      <c r="U147" s="14">
        <v>40725</v>
      </c>
      <c r="V147" s="14"/>
      <c r="W147" s="15"/>
      <c r="X147" s="15"/>
      <c r="Y147" s="13"/>
      <c r="Z147" s="15"/>
      <c r="AA147" s="15"/>
      <c r="AB147" s="15"/>
      <c r="AC147" s="13"/>
      <c r="AD147" s="15"/>
      <c r="AE147" s="15"/>
      <c r="AF147" s="15"/>
      <c r="AG147" s="13"/>
      <c r="AH147" s="15"/>
      <c r="AI147" s="15"/>
      <c r="AJ147" s="15"/>
      <c r="AK147" s="13"/>
      <c r="AL147" s="15"/>
      <c r="AM147" s="15"/>
      <c r="AN147" s="13"/>
      <c r="AO147" s="13"/>
    </row>
    <row r="148" spans="1:41" ht="72.5" x14ac:dyDescent="0.35">
      <c r="A148" s="13" t="s">
        <v>76</v>
      </c>
      <c r="B148" s="13" t="s">
        <v>77</v>
      </c>
      <c r="C148" s="14">
        <v>43152.5</v>
      </c>
      <c r="D148" s="13" t="s">
        <v>78</v>
      </c>
      <c r="E148" s="15" t="s">
        <v>79</v>
      </c>
      <c r="F148" s="13" t="s">
        <v>80</v>
      </c>
      <c r="G148" s="15" t="s">
        <v>81</v>
      </c>
      <c r="H148" s="13" t="s">
        <v>339</v>
      </c>
      <c r="I148" s="15" t="s">
        <v>340</v>
      </c>
      <c r="J148" s="15" t="s">
        <v>341</v>
      </c>
      <c r="K148" s="15" t="s">
        <v>342</v>
      </c>
      <c r="L148" s="13" t="s">
        <v>347</v>
      </c>
      <c r="M148" s="15" t="s">
        <v>348</v>
      </c>
      <c r="N148" s="13" t="s">
        <v>101</v>
      </c>
      <c r="O148" s="15" t="s">
        <v>102</v>
      </c>
      <c r="P148" s="15" t="s">
        <v>103</v>
      </c>
      <c r="Q148" s="15" t="s">
        <v>104</v>
      </c>
      <c r="R148" s="13" t="s">
        <v>105</v>
      </c>
      <c r="S148" s="13" t="s">
        <v>93</v>
      </c>
      <c r="T148" s="13" t="s">
        <v>94</v>
      </c>
      <c r="U148" s="14">
        <v>40725</v>
      </c>
      <c r="V148" s="14"/>
      <c r="W148" s="15"/>
      <c r="X148" s="15"/>
      <c r="Y148" s="13"/>
      <c r="Z148" s="15"/>
      <c r="AA148" s="15"/>
      <c r="AB148" s="15"/>
      <c r="AC148" s="13"/>
      <c r="AD148" s="15"/>
      <c r="AE148" s="15"/>
      <c r="AF148" s="15"/>
      <c r="AG148" s="13"/>
      <c r="AH148" s="15"/>
      <c r="AI148" s="15"/>
      <c r="AJ148" s="15"/>
      <c r="AK148" s="13"/>
      <c r="AL148" s="15"/>
      <c r="AM148" s="15"/>
      <c r="AN148" s="13"/>
      <c r="AO148" s="13"/>
    </row>
    <row r="149" spans="1:41" ht="72.5" x14ac:dyDescent="0.35">
      <c r="A149" s="13" t="s">
        <v>76</v>
      </c>
      <c r="B149" s="13" t="s">
        <v>77</v>
      </c>
      <c r="C149" s="14">
        <v>43152.5</v>
      </c>
      <c r="D149" s="13" t="s">
        <v>78</v>
      </c>
      <c r="E149" s="15" t="s">
        <v>79</v>
      </c>
      <c r="F149" s="13" t="s">
        <v>80</v>
      </c>
      <c r="G149" s="15" t="s">
        <v>81</v>
      </c>
      <c r="H149" s="13" t="s">
        <v>339</v>
      </c>
      <c r="I149" s="15" t="s">
        <v>340</v>
      </c>
      <c r="J149" s="15" t="s">
        <v>341</v>
      </c>
      <c r="K149" s="15" t="s">
        <v>342</v>
      </c>
      <c r="L149" s="13" t="s">
        <v>343</v>
      </c>
      <c r="M149" s="15" t="s">
        <v>344</v>
      </c>
      <c r="N149" s="13" t="s">
        <v>88</v>
      </c>
      <c r="O149" s="15" t="s">
        <v>89</v>
      </c>
      <c r="P149" s="15" t="s">
        <v>90</v>
      </c>
      <c r="Q149" s="15" t="s">
        <v>106</v>
      </c>
      <c r="R149" s="13" t="s">
        <v>107</v>
      </c>
      <c r="S149" s="13" t="s">
        <v>93</v>
      </c>
      <c r="T149" s="13" t="s">
        <v>94</v>
      </c>
      <c r="U149" s="14">
        <v>40725</v>
      </c>
      <c r="V149" s="14"/>
      <c r="W149" s="15"/>
      <c r="X149" s="15"/>
      <c r="Y149" s="13"/>
      <c r="Z149" s="15"/>
      <c r="AA149" s="15"/>
      <c r="AB149" s="15"/>
      <c r="AC149" s="13"/>
      <c r="AD149" s="15"/>
      <c r="AE149" s="15"/>
      <c r="AF149" s="15"/>
      <c r="AG149" s="13"/>
      <c r="AH149" s="15"/>
      <c r="AI149" s="15"/>
      <c r="AJ149" s="15"/>
      <c r="AK149" s="13"/>
      <c r="AL149" s="15"/>
      <c r="AM149" s="15"/>
      <c r="AN149" s="13"/>
      <c r="AO149" s="13"/>
    </row>
    <row r="150" spans="1:41" ht="72.5" x14ac:dyDescent="0.35">
      <c r="A150" s="13" t="s">
        <v>76</v>
      </c>
      <c r="B150" s="13" t="s">
        <v>77</v>
      </c>
      <c r="C150" s="14">
        <v>43152.5</v>
      </c>
      <c r="D150" s="13" t="s">
        <v>78</v>
      </c>
      <c r="E150" s="15" t="s">
        <v>79</v>
      </c>
      <c r="F150" s="13" t="s">
        <v>80</v>
      </c>
      <c r="G150" s="15" t="s">
        <v>81</v>
      </c>
      <c r="H150" s="13" t="s">
        <v>339</v>
      </c>
      <c r="I150" s="15" t="s">
        <v>340</v>
      </c>
      <c r="J150" s="15" t="s">
        <v>341</v>
      </c>
      <c r="K150" s="15" t="s">
        <v>342</v>
      </c>
      <c r="L150" s="13" t="s">
        <v>345</v>
      </c>
      <c r="M150" s="15" t="s">
        <v>346</v>
      </c>
      <c r="N150" s="13" t="s">
        <v>88</v>
      </c>
      <c r="O150" s="15" t="s">
        <v>97</v>
      </c>
      <c r="P150" s="15" t="s">
        <v>98</v>
      </c>
      <c r="Q150" s="15" t="s">
        <v>106</v>
      </c>
      <c r="R150" s="13" t="s">
        <v>107</v>
      </c>
      <c r="S150" s="13" t="s">
        <v>93</v>
      </c>
      <c r="T150" s="13" t="s">
        <v>94</v>
      </c>
      <c r="U150" s="14">
        <v>40725</v>
      </c>
      <c r="V150" s="14"/>
      <c r="W150" s="15"/>
      <c r="X150" s="15"/>
      <c r="Y150" s="13"/>
      <c r="Z150" s="15"/>
      <c r="AA150" s="15"/>
      <c r="AB150" s="15"/>
      <c r="AC150" s="13"/>
      <c r="AD150" s="15"/>
      <c r="AE150" s="15"/>
      <c r="AF150" s="15"/>
      <c r="AG150" s="13"/>
      <c r="AH150" s="15"/>
      <c r="AI150" s="15"/>
      <c r="AJ150" s="15"/>
      <c r="AK150" s="13"/>
      <c r="AL150" s="15"/>
      <c r="AM150" s="15"/>
      <c r="AN150" s="13"/>
      <c r="AO150" s="13"/>
    </row>
    <row r="151" spans="1:41" ht="72.5" x14ac:dyDescent="0.35">
      <c r="A151" s="13" t="s">
        <v>76</v>
      </c>
      <c r="B151" s="13" t="s">
        <v>77</v>
      </c>
      <c r="C151" s="14">
        <v>43152.5</v>
      </c>
      <c r="D151" s="13" t="s">
        <v>78</v>
      </c>
      <c r="E151" s="15" t="s">
        <v>79</v>
      </c>
      <c r="F151" s="13" t="s">
        <v>80</v>
      </c>
      <c r="G151" s="15" t="s">
        <v>81</v>
      </c>
      <c r="H151" s="13" t="s">
        <v>339</v>
      </c>
      <c r="I151" s="15" t="s">
        <v>340</v>
      </c>
      <c r="J151" s="15" t="s">
        <v>341</v>
      </c>
      <c r="K151" s="15" t="s">
        <v>342</v>
      </c>
      <c r="L151" s="13" t="s">
        <v>347</v>
      </c>
      <c r="M151" s="15" t="s">
        <v>348</v>
      </c>
      <c r="N151" s="13" t="s">
        <v>101</v>
      </c>
      <c r="O151" s="15" t="s">
        <v>102</v>
      </c>
      <c r="P151" s="15" t="s">
        <v>103</v>
      </c>
      <c r="Q151" s="15" t="s">
        <v>106</v>
      </c>
      <c r="R151" s="13" t="s">
        <v>107</v>
      </c>
      <c r="S151" s="13" t="s">
        <v>93</v>
      </c>
      <c r="T151" s="13" t="s">
        <v>94</v>
      </c>
      <c r="U151" s="14">
        <v>40725</v>
      </c>
      <c r="V151" s="14"/>
      <c r="W151" s="15"/>
      <c r="X151" s="15"/>
      <c r="Y151" s="13"/>
      <c r="Z151" s="15"/>
      <c r="AA151" s="15"/>
      <c r="AB151" s="15"/>
      <c r="AC151" s="13"/>
      <c r="AD151" s="15"/>
      <c r="AE151" s="15"/>
      <c r="AF151" s="15"/>
      <c r="AG151" s="13"/>
      <c r="AH151" s="15"/>
      <c r="AI151" s="15"/>
      <c r="AJ151" s="15"/>
      <c r="AK151" s="13"/>
      <c r="AL151" s="15"/>
      <c r="AM151" s="15"/>
      <c r="AN151" s="13"/>
      <c r="AO151" s="13"/>
    </row>
    <row r="152" spans="1:41" ht="72.5" x14ac:dyDescent="0.35">
      <c r="A152" s="13" t="s">
        <v>238</v>
      </c>
      <c r="B152" s="13" t="s">
        <v>109</v>
      </c>
      <c r="C152" s="14">
        <v>44368.708333333336</v>
      </c>
      <c r="D152" s="13" t="s">
        <v>78</v>
      </c>
      <c r="E152" s="15" t="s">
        <v>79</v>
      </c>
      <c r="F152" s="13" t="s">
        <v>80</v>
      </c>
      <c r="G152" s="15" t="s">
        <v>81</v>
      </c>
      <c r="H152" s="13" t="s">
        <v>339</v>
      </c>
      <c r="I152" s="15" t="s">
        <v>340</v>
      </c>
      <c r="J152" s="15" t="s">
        <v>341</v>
      </c>
      <c r="K152" s="15" t="s">
        <v>342</v>
      </c>
      <c r="L152" s="13" t="s">
        <v>343</v>
      </c>
      <c r="M152" s="15" t="s">
        <v>344</v>
      </c>
      <c r="N152" s="13" t="s">
        <v>88</v>
      </c>
      <c r="O152" s="15" t="s">
        <v>89</v>
      </c>
      <c r="P152" s="15" t="s">
        <v>90</v>
      </c>
      <c r="Q152" s="15" t="s">
        <v>110</v>
      </c>
      <c r="R152" s="13" t="s">
        <v>111</v>
      </c>
      <c r="S152" s="13" t="s">
        <v>93</v>
      </c>
      <c r="T152" s="13" t="s">
        <v>112</v>
      </c>
      <c r="U152" s="14">
        <v>40725</v>
      </c>
      <c r="V152" s="14"/>
      <c r="W152" s="15"/>
      <c r="X152" s="15"/>
      <c r="Y152" s="13"/>
      <c r="Z152" s="15"/>
      <c r="AA152" s="15"/>
      <c r="AB152" s="15"/>
      <c r="AC152" s="13"/>
      <c r="AD152" s="15"/>
      <c r="AE152" s="15"/>
      <c r="AF152" s="15"/>
      <c r="AG152" s="13"/>
      <c r="AH152" s="15"/>
      <c r="AI152" s="15"/>
      <c r="AJ152" s="15"/>
      <c r="AK152" s="13"/>
      <c r="AL152" s="15"/>
      <c r="AM152" s="15"/>
      <c r="AN152" s="13"/>
      <c r="AO152" s="13"/>
    </row>
    <row r="153" spans="1:41" ht="72.5" x14ac:dyDescent="0.35">
      <c r="A153" s="13" t="s">
        <v>238</v>
      </c>
      <c r="B153" s="13" t="s">
        <v>109</v>
      </c>
      <c r="C153" s="14">
        <v>44368.708333333336</v>
      </c>
      <c r="D153" s="13" t="s">
        <v>78</v>
      </c>
      <c r="E153" s="15" t="s">
        <v>79</v>
      </c>
      <c r="F153" s="13" t="s">
        <v>80</v>
      </c>
      <c r="G153" s="15" t="s">
        <v>81</v>
      </c>
      <c r="H153" s="13" t="s">
        <v>339</v>
      </c>
      <c r="I153" s="15" t="s">
        <v>340</v>
      </c>
      <c r="J153" s="15" t="s">
        <v>341</v>
      </c>
      <c r="K153" s="15" t="s">
        <v>342</v>
      </c>
      <c r="L153" s="13" t="s">
        <v>345</v>
      </c>
      <c r="M153" s="15" t="s">
        <v>346</v>
      </c>
      <c r="N153" s="13" t="s">
        <v>88</v>
      </c>
      <c r="O153" s="15" t="s">
        <v>97</v>
      </c>
      <c r="P153" s="15" t="s">
        <v>98</v>
      </c>
      <c r="Q153" s="15" t="s">
        <v>110</v>
      </c>
      <c r="R153" s="13" t="s">
        <v>111</v>
      </c>
      <c r="S153" s="13" t="s">
        <v>93</v>
      </c>
      <c r="T153" s="13" t="s">
        <v>112</v>
      </c>
      <c r="U153" s="14">
        <v>40725</v>
      </c>
      <c r="V153" s="14"/>
      <c r="W153" s="15"/>
      <c r="X153" s="15"/>
      <c r="Y153" s="13"/>
      <c r="Z153" s="15"/>
      <c r="AA153" s="15"/>
      <c r="AB153" s="15"/>
      <c r="AC153" s="13"/>
      <c r="AD153" s="15"/>
      <c r="AE153" s="15"/>
      <c r="AF153" s="15"/>
      <c r="AG153" s="13"/>
      <c r="AH153" s="15"/>
      <c r="AI153" s="15"/>
      <c r="AJ153" s="15"/>
      <c r="AK153" s="13"/>
      <c r="AL153" s="15"/>
      <c r="AM153" s="15"/>
      <c r="AN153" s="13"/>
      <c r="AO153" s="13"/>
    </row>
    <row r="154" spans="1:41" ht="72.5" x14ac:dyDescent="0.35">
      <c r="A154" s="13" t="s">
        <v>165</v>
      </c>
      <c r="B154" s="13" t="s">
        <v>109</v>
      </c>
      <c r="C154" s="14">
        <v>44715.449305555558</v>
      </c>
      <c r="D154" s="13" t="s">
        <v>78</v>
      </c>
      <c r="E154" s="15" t="s">
        <v>79</v>
      </c>
      <c r="F154" s="13" t="s">
        <v>80</v>
      </c>
      <c r="G154" s="15" t="s">
        <v>81</v>
      </c>
      <c r="H154" s="13" t="s">
        <v>339</v>
      </c>
      <c r="I154" s="15" t="s">
        <v>340</v>
      </c>
      <c r="J154" s="15" t="s">
        <v>341</v>
      </c>
      <c r="K154" s="15" t="s">
        <v>342</v>
      </c>
      <c r="L154" s="13" t="s">
        <v>347</v>
      </c>
      <c r="M154" s="15" t="s">
        <v>348</v>
      </c>
      <c r="N154" s="13" t="s">
        <v>101</v>
      </c>
      <c r="O154" s="15" t="s">
        <v>102</v>
      </c>
      <c r="P154" s="15" t="s">
        <v>103</v>
      </c>
      <c r="Q154" s="15" t="s">
        <v>110</v>
      </c>
      <c r="R154" s="13" t="s">
        <v>111</v>
      </c>
      <c r="S154" s="13" t="s">
        <v>93</v>
      </c>
      <c r="T154" s="13" t="s">
        <v>112</v>
      </c>
      <c r="U154" s="14">
        <v>40725</v>
      </c>
      <c r="V154" s="14">
        <v>44633</v>
      </c>
      <c r="W154" s="15"/>
      <c r="X154" s="15"/>
      <c r="Y154" s="13"/>
      <c r="Z154" s="15"/>
      <c r="AA154" s="15"/>
      <c r="AB154" s="15"/>
      <c r="AC154" s="13"/>
      <c r="AD154" s="15"/>
      <c r="AE154" s="15"/>
      <c r="AF154" s="15"/>
      <c r="AG154" s="13"/>
      <c r="AH154" s="15"/>
      <c r="AI154" s="15"/>
      <c r="AJ154" s="15"/>
      <c r="AK154" s="13"/>
      <c r="AL154" s="15"/>
      <c r="AM154" s="15"/>
      <c r="AN154" s="13"/>
      <c r="AO154" s="13"/>
    </row>
    <row r="155" spans="1:41" ht="72.5" x14ac:dyDescent="0.35">
      <c r="A155" s="13" t="s">
        <v>165</v>
      </c>
      <c r="B155" s="13" t="s">
        <v>77</v>
      </c>
      <c r="C155" s="14">
        <v>44715.45</v>
      </c>
      <c r="D155" s="13" t="s">
        <v>78</v>
      </c>
      <c r="E155" s="15" t="s">
        <v>79</v>
      </c>
      <c r="F155" s="13" t="s">
        <v>80</v>
      </c>
      <c r="G155" s="15" t="s">
        <v>81</v>
      </c>
      <c r="H155" s="13" t="s">
        <v>339</v>
      </c>
      <c r="I155" s="15" t="s">
        <v>340</v>
      </c>
      <c r="J155" s="15" t="s">
        <v>341</v>
      </c>
      <c r="K155" s="15" t="s">
        <v>342</v>
      </c>
      <c r="L155" s="13" t="s">
        <v>347</v>
      </c>
      <c r="M155" s="15" t="s">
        <v>348</v>
      </c>
      <c r="N155" s="13" t="s">
        <v>101</v>
      </c>
      <c r="O155" s="15" t="s">
        <v>102</v>
      </c>
      <c r="P155" s="15" t="s">
        <v>103</v>
      </c>
      <c r="Q155" s="15" t="s">
        <v>110</v>
      </c>
      <c r="R155" s="13" t="s">
        <v>111</v>
      </c>
      <c r="S155" s="13" t="s">
        <v>93</v>
      </c>
      <c r="T155" s="13" t="s">
        <v>112</v>
      </c>
      <c r="U155" s="14">
        <v>44634</v>
      </c>
      <c r="V155" s="14"/>
      <c r="W155" s="15"/>
      <c r="X155" s="15"/>
      <c r="Y155" s="13"/>
      <c r="Z155" s="15"/>
      <c r="AA155" s="15"/>
      <c r="AB155" s="15"/>
      <c r="AC155" s="13"/>
      <c r="AD155" s="15"/>
      <c r="AE155" s="15"/>
      <c r="AF155" s="15"/>
      <c r="AG155" s="13"/>
      <c r="AH155" s="15"/>
      <c r="AI155" s="15"/>
      <c r="AJ155" s="15"/>
      <c r="AK155" s="13"/>
      <c r="AL155" s="15"/>
      <c r="AM155" s="15"/>
      <c r="AN155" s="13"/>
      <c r="AO155" s="13"/>
    </row>
    <row r="156" spans="1:41" ht="72.5" x14ac:dyDescent="0.35">
      <c r="A156" s="13" t="s">
        <v>76</v>
      </c>
      <c r="B156" s="13" t="s">
        <v>77</v>
      </c>
      <c r="C156" s="14">
        <v>43152.5</v>
      </c>
      <c r="D156" s="13" t="s">
        <v>78</v>
      </c>
      <c r="E156" s="15" t="s">
        <v>79</v>
      </c>
      <c r="F156" s="13" t="s">
        <v>80</v>
      </c>
      <c r="G156" s="15" t="s">
        <v>81</v>
      </c>
      <c r="H156" s="13" t="s">
        <v>339</v>
      </c>
      <c r="I156" s="15" t="s">
        <v>340</v>
      </c>
      <c r="J156" s="15" t="s">
        <v>341</v>
      </c>
      <c r="K156" s="15" t="s">
        <v>342</v>
      </c>
      <c r="L156" s="13" t="s">
        <v>343</v>
      </c>
      <c r="M156" s="15" t="s">
        <v>344</v>
      </c>
      <c r="N156" s="13" t="s">
        <v>88</v>
      </c>
      <c r="O156" s="15" t="s">
        <v>89</v>
      </c>
      <c r="P156" s="15" t="s">
        <v>90</v>
      </c>
      <c r="Q156" s="15" t="s">
        <v>175</v>
      </c>
      <c r="R156" s="13" t="s">
        <v>176</v>
      </c>
      <c r="S156" s="13" t="s">
        <v>93</v>
      </c>
      <c r="T156" s="13" t="s">
        <v>94</v>
      </c>
      <c r="U156" s="14">
        <v>40725</v>
      </c>
      <c r="V156" s="14"/>
      <c r="W156" s="15"/>
      <c r="X156" s="15"/>
      <c r="Y156" s="13"/>
      <c r="Z156" s="15"/>
      <c r="AA156" s="15"/>
      <c r="AB156" s="15"/>
      <c r="AC156" s="13"/>
      <c r="AD156" s="15"/>
      <c r="AE156" s="15"/>
      <c r="AF156" s="15"/>
      <c r="AG156" s="13"/>
      <c r="AH156" s="15"/>
      <c r="AI156" s="15"/>
      <c r="AJ156" s="15"/>
      <c r="AK156" s="13"/>
      <c r="AL156" s="15"/>
      <c r="AM156" s="15"/>
      <c r="AN156" s="13"/>
      <c r="AO156" s="13"/>
    </row>
    <row r="157" spans="1:41" ht="72.5" x14ac:dyDescent="0.35">
      <c r="A157" s="13" t="s">
        <v>76</v>
      </c>
      <c r="B157" s="13" t="s">
        <v>77</v>
      </c>
      <c r="C157" s="14">
        <v>43152.5</v>
      </c>
      <c r="D157" s="13" t="s">
        <v>78</v>
      </c>
      <c r="E157" s="15" t="s">
        <v>79</v>
      </c>
      <c r="F157" s="13" t="s">
        <v>80</v>
      </c>
      <c r="G157" s="15" t="s">
        <v>81</v>
      </c>
      <c r="H157" s="13" t="s">
        <v>339</v>
      </c>
      <c r="I157" s="15" t="s">
        <v>340</v>
      </c>
      <c r="J157" s="15" t="s">
        <v>341</v>
      </c>
      <c r="K157" s="15" t="s">
        <v>342</v>
      </c>
      <c r="L157" s="13" t="s">
        <v>345</v>
      </c>
      <c r="M157" s="15" t="s">
        <v>346</v>
      </c>
      <c r="N157" s="13" t="s">
        <v>88</v>
      </c>
      <c r="O157" s="15" t="s">
        <v>97</v>
      </c>
      <c r="P157" s="15" t="s">
        <v>98</v>
      </c>
      <c r="Q157" s="15" t="s">
        <v>175</v>
      </c>
      <c r="R157" s="13" t="s">
        <v>176</v>
      </c>
      <c r="S157" s="13" t="s">
        <v>93</v>
      </c>
      <c r="T157" s="13" t="s">
        <v>94</v>
      </c>
      <c r="U157" s="14">
        <v>40725</v>
      </c>
      <c r="V157" s="14"/>
      <c r="W157" s="15"/>
      <c r="X157" s="15"/>
      <c r="Y157" s="13"/>
      <c r="Z157" s="15"/>
      <c r="AA157" s="15"/>
      <c r="AB157" s="15"/>
      <c r="AC157" s="13"/>
      <c r="AD157" s="15"/>
      <c r="AE157" s="15"/>
      <c r="AF157" s="15"/>
      <c r="AG157" s="13"/>
      <c r="AH157" s="15"/>
      <c r="AI157" s="15"/>
      <c r="AJ157" s="15"/>
      <c r="AK157" s="13"/>
      <c r="AL157" s="15"/>
      <c r="AM157" s="15"/>
      <c r="AN157" s="13"/>
      <c r="AO157" s="13"/>
    </row>
    <row r="158" spans="1:41" ht="72.5" x14ac:dyDescent="0.35">
      <c r="A158" s="13" t="s">
        <v>76</v>
      </c>
      <c r="B158" s="13" t="s">
        <v>77</v>
      </c>
      <c r="C158" s="14">
        <v>43152.5</v>
      </c>
      <c r="D158" s="13" t="s">
        <v>78</v>
      </c>
      <c r="E158" s="15" t="s">
        <v>79</v>
      </c>
      <c r="F158" s="13" t="s">
        <v>80</v>
      </c>
      <c r="G158" s="15" t="s">
        <v>81</v>
      </c>
      <c r="H158" s="13" t="s">
        <v>339</v>
      </c>
      <c r="I158" s="15" t="s">
        <v>340</v>
      </c>
      <c r="J158" s="15" t="s">
        <v>341</v>
      </c>
      <c r="K158" s="15" t="s">
        <v>342</v>
      </c>
      <c r="L158" s="13" t="s">
        <v>347</v>
      </c>
      <c r="M158" s="15" t="s">
        <v>348</v>
      </c>
      <c r="N158" s="13" t="s">
        <v>101</v>
      </c>
      <c r="O158" s="15" t="s">
        <v>102</v>
      </c>
      <c r="P158" s="15" t="s">
        <v>103</v>
      </c>
      <c r="Q158" s="15" t="s">
        <v>175</v>
      </c>
      <c r="R158" s="13" t="s">
        <v>176</v>
      </c>
      <c r="S158" s="13" t="s">
        <v>93</v>
      </c>
      <c r="T158" s="13" t="s">
        <v>94</v>
      </c>
      <c r="U158" s="14">
        <v>40725</v>
      </c>
      <c r="V158" s="14"/>
      <c r="W158" s="15"/>
      <c r="X158" s="15"/>
      <c r="Y158" s="13"/>
      <c r="Z158" s="15"/>
      <c r="AA158" s="15"/>
      <c r="AB158" s="15"/>
      <c r="AC158" s="13"/>
      <c r="AD158" s="15"/>
      <c r="AE158" s="15"/>
      <c r="AF158" s="15"/>
      <c r="AG158" s="13"/>
      <c r="AH158" s="15"/>
      <c r="AI158" s="15"/>
      <c r="AJ158" s="15"/>
      <c r="AK158" s="13"/>
      <c r="AL158" s="15"/>
      <c r="AM158" s="15"/>
      <c r="AN158" s="13"/>
      <c r="AO158" s="13"/>
    </row>
    <row r="159" spans="1:41" ht="72.5" x14ac:dyDescent="0.35">
      <c r="A159" s="13" t="s">
        <v>238</v>
      </c>
      <c r="B159" s="13" t="s">
        <v>109</v>
      </c>
      <c r="C159" s="14">
        <v>44368.708333333336</v>
      </c>
      <c r="D159" s="13" t="s">
        <v>78</v>
      </c>
      <c r="E159" s="15" t="s">
        <v>79</v>
      </c>
      <c r="F159" s="13" t="s">
        <v>80</v>
      </c>
      <c r="G159" s="15" t="s">
        <v>81</v>
      </c>
      <c r="H159" s="13" t="s">
        <v>339</v>
      </c>
      <c r="I159" s="15" t="s">
        <v>340</v>
      </c>
      <c r="J159" s="15" t="s">
        <v>341</v>
      </c>
      <c r="K159" s="15" t="s">
        <v>342</v>
      </c>
      <c r="L159" s="13" t="s">
        <v>343</v>
      </c>
      <c r="M159" s="15" t="s">
        <v>344</v>
      </c>
      <c r="N159" s="13" t="s">
        <v>88</v>
      </c>
      <c r="O159" s="15" t="s">
        <v>89</v>
      </c>
      <c r="P159" s="15" t="s">
        <v>90</v>
      </c>
      <c r="Q159" s="15" t="s">
        <v>177</v>
      </c>
      <c r="R159" s="13" t="s">
        <v>178</v>
      </c>
      <c r="S159" s="13" t="s">
        <v>179</v>
      </c>
      <c r="T159" s="13" t="s">
        <v>112</v>
      </c>
      <c r="U159" s="14">
        <v>40725</v>
      </c>
      <c r="V159" s="14"/>
      <c r="W159" s="15"/>
      <c r="X159" s="15"/>
      <c r="Y159" s="13"/>
      <c r="Z159" s="15"/>
      <c r="AA159" s="15"/>
      <c r="AB159" s="15"/>
      <c r="AC159" s="13"/>
      <c r="AD159" s="15"/>
      <c r="AE159" s="15"/>
      <c r="AF159" s="15"/>
      <c r="AG159" s="13"/>
      <c r="AH159" s="15"/>
      <c r="AI159" s="15"/>
      <c r="AJ159" s="15"/>
      <c r="AK159" s="13"/>
      <c r="AL159" s="15"/>
      <c r="AM159" s="15"/>
      <c r="AN159" s="13"/>
      <c r="AO159" s="13"/>
    </row>
    <row r="160" spans="1:41" ht="72.5" x14ac:dyDescent="0.35">
      <c r="A160" s="13" t="s">
        <v>238</v>
      </c>
      <c r="B160" s="13" t="s">
        <v>109</v>
      </c>
      <c r="C160" s="14">
        <v>44368.708333333336</v>
      </c>
      <c r="D160" s="13" t="s">
        <v>78</v>
      </c>
      <c r="E160" s="15" t="s">
        <v>79</v>
      </c>
      <c r="F160" s="13" t="s">
        <v>80</v>
      </c>
      <c r="G160" s="15" t="s">
        <v>81</v>
      </c>
      <c r="H160" s="13" t="s">
        <v>339</v>
      </c>
      <c r="I160" s="15" t="s">
        <v>340</v>
      </c>
      <c r="J160" s="15" t="s">
        <v>341</v>
      </c>
      <c r="K160" s="15" t="s">
        <v>342</v>
      </c>
      <c r="L160" s="13" t="s">
        <v>345</v>
      </c>
      <c r="M160" s="15" t="s">
        <v>346</v>
      </c>
      <c r="N160" s="13" t="s">
        <v>88</v>
      </c>
      <c r="O160" s="15" t="s">
        <v>97</v>
      </c>
      <c r="P160" s="15" t="s">
        <v>98</v>
      </c>
      <c r="Q160" s="15" t="s">
        <v>177</v>
      </c>
      <c r="R160" s="13" t="s">
        <v>178</v>
      </c>
      <c r="S160" s="13" t="s">
        <v>179</v>
      </c>
      <c r="T160" s="13" t="s">
        <v>112</v>
      </c>
      <c r="U160" s="14">
        <v>40725</v>
      </c>
      <c r="V160" s="14"/>
      <c r="W160" s="15"/>
      <c r="X160" s="15"/>
      <c r="Y160" s="13"/>
      <c r="Z160" s="15"/>
      <c r="AA160" s="15"/>
      <c r="AB160" s="15"/>
      <c r="AC160" s="13"/>
      <c r="AD160" s="15"/>
      <c r="AE160" s="15"/>
      <c r="AF160" s="15"/>
      <c r="AG160" s="13"/>
      <c r="AH160" s="15"/>
      <c r="AI160" s="15"/>
      <c r="AJ160" s="15"/>
      <c r="AK160" s="13"/>
      <c r="AL160" s="15"/>
      <c r="AM160" s="15"/>
      <c r="AN160" s="13"/>
      <c r="AO160" s="13"/>
    </row>
    <row r="161" spans="1:41" ht="72.5" x14ac:dyDescent="0.35">
      <c r="A161" s="13" t="s">
        <v>165</v>
      </c>
      <c r="B161" s="13" t="s">
        <v>109</v>
      </c>
      <c r="C161" s="14">
        <v>44715.450694444444</v>
      </c>
      <c r="D161" s="13" t="s">
        <v>78</v>
      </c>
      <c r="E161" s="15" t="s">
        <v>79</v>
      </c>
      <c r="F161" s="13" t="s">
        <v>80</v>
      </c>
      <c r="G161" s="15" t="s">
        <v>81</v>
      </c>
      <c r="H161" s="13" t="s">
        <v>339</v>
      </c>
      <c r="I161" s="15" t="s">
        <v>340</v>
      </c>
      <c r="J161" s="15" t="s">
        <v>341</v>
      </c>
      <c r="K161" s="15" t="s">
        <v>342</v>
      </c>
      <c r="L161" s="13" t="s">
        <v>347</v>
      </c>
      <c r="M161" s="15" t="s">
        <v>348</v>
      </c>
      <c r="N161" s="13" t="s">
        <v>101</v>
      </c>
      <c r="O161" s="15" t="s">
        <v>102</v>
      </c>
      <c r="P161" s="15" t="s">
        <v>103</v>
      </c>
      <c r="Q161" s="15" t="s">
        <v>177</v>
      </c>
      <c r="R161" s="13" t="s">
        <v>178</v>
      </c>
      <c r="S161" s="13" t="s">
        <v>179</v>
      </c>
      <c r="T161" s="13" t="s">
        <v>112</v>
      </c>
      <c r="U161" s="14">
        <v>40725</v>
      </c>
      <c r="V161" s="14">
        <v>44633</v>
      </c>
      <c r="W161" s="15"/>
      <c r="X161" s="15"/>
      <c r="Y161" s="13"/>
      <c r="Z161" s="15"/>
      <c r="AA161" s="15"/>
      <c r="AB161" s="15"/>
      <c r="AC161" s="13"/>
      <c r="AD161" s="15"/>
      <c r="AE161" s="15"/>
      <c r="AF161" s="15"/>
      <c r="AG161" s="13"/>
      <c r="AH161" s="15"/>
      <c r="AI161" s="15"/>
      <c r="AJ161" s="15"/>
      <c r="AK161" s="13"/>
      <c r="AL161" s="15"/>
      <c r="AM161" s="15"/>
      <c r="AN161" s="13"/>
      <c r="AO161" s="13"/>
    </row>
    <row r="162" spans="1:41" ht="72.5" x14ac:dyDescent="0.35">
      <c r="A162" s="13" t="s">
        <v>165</v>
      </c>
      <c r="B162" s="13" t="s">
        <v>77</v>
      </c>
      <c r="C162" s="14">
        <v>44715.451388888891</v>
      </c>
      <c r="D162" s="13" t="s">
        <v>78</v>
      </c>
      <c r="E162" s="15" t="s">
        <v>79</v>
      </c>
      <c r="F162" s="13" t="s">
        <v>80</v>
      </c>
      <c r="G162" s="15" t="s">
        <v>81</v>
      </c>
      <c r="H162" s="13" t="s">
        <v>339</v>
      </c>
      <c r="I162" s="15" t="s">
        <v>340</v>
      </c>
      <c r="J162" s="15" t="s">
        <v>341</v>
      </c>
      <c r="K162" s="15" t="s">
        <v>342</v>
      </c>
      <c r="L162" s="13" t="s">
        <v>347</v>
      </c>
      <c r="M162" s="15" t="s">
        <v>348</v>
      </c>
      <c r="N162" s="13" t="s">
        <v>101</v>
      </c>
      <c r="O162" s="15" t="s">
        <v>102</v>
      </c>
      <c r="P162" s="15" t="s">
        <v>103</v>
      </c>
      <c r="Q162" s="15" t="s">
        <v>177</v>
      </c>
      <c r="R162" s="13" t="s">
        <v>178</v>
      </c>
      <c r="S162" s="13" t="s">
        <v>179</v>
      </c>
      <c r="T162" s="13" t="s">
        <v>112</v>
      </c>
      <c r="U162" s="14">
        <v>44634</v>
      </c>
      <c r="V162" s="14"/>
      <c r="W162" s="15"/>
      <c r="X162" s="15"/>
      <c r="Y162" s="13"/>
      <c r="Z162" s="15"/>
      <c r="AA162" s="15"/>
      <c r="AB162" s="15"/>
      <c r="AC162" s="13"/>
      <c r="AD162" s="15"/>
      <c r="AE162" s="15"/>
      <c r="AF162" s="15"/>
      <c r="AG162" s="13"/>
      <c r="AH162" s="15"/>
      <c r="AI162" s="15"/>
      <c r="AJ162" s="15"/>
      <c r="AK162" s="13"/>
      <c r="AL162" s="15"/>
      <c r="AM162" s="15"/>
      <c r="AN162" s="13"/>
      <c r="AO162" s="13"/>
    </row>
    <row r="163" spans="1:41" ht="72.5" x14ac:dyDescent="0.35">
      <c r="A163" s="13" t="s">
        <v>238</v>
      </c>
      <c r="B163" s="13" t="s">
        <v>109</v>
      </c>
      <c r="C163" s="14">
        <v>44368.708333333336</v>
      </c>
      <c r="D163" s="13" t="s">
        <v>78</v>
      </c>
      <c r="E163" s="15" t="s">
        <v>79</v>
      </c>
      <c r="F163" s="13" t="s">
        <v>80</v>
      </c>
      <c r="G163" s="15" t="s">
        <v>81</v>
      </c>
      <c r="H163" s="13" t="s">
        <v>339</v>
      </c>
      <c r="I163" s="15" t="s">
        <v>340</v>
      </c>
      <c r="J163" s="15" t="s">
        <v>341</v>
      </c>
      <c r="K163" s="15" t="s">
        <v>342</v>
      </c>
      <c r="L163" s="13" t="s">
        <v>343</v>
      </c>
      <c r="M163" s="15" t="s">
        <v>344</v>
      </c>
      <c r="N163" s="13" t="s">
        <v>88</v>
      </c>
      <c r="O163" s="15" t="s">
        <v>89</v>
      </c>
      <c r="P163" s="15" t="s">
        <v>90</v>
      </c>
      <c r="Q163" s="15" t="s">
        <v>201</v>
      </c>
      <c r="R163" s="13" t="s">
        <v>202</v>
      </c>
      <c r="S163" s="13" t="s">
        <v>179</v>
      </c>
      <c r="T163" s="13" t="s">
        <v>112</v>
      </c>
      <c r="U163" s="14">
        <v>40725</v>
      </c>
      <c r="V163" s="14"/>
      <c r="W163" s="15"/>
      <c r="X163" s="15"/>
      <c r="Y163" s="13"/>
      <c r="Z163" s="15"/>
      <c r="AA163" s="15"/>
      <c r="AB163" s="15"/>
      <c r="AC163" s="13"/>
      <c r="AD163" s="15"/>
      <c r="AE163" s="15"/>
      <c r="AF163" s="15"/>
      <c r="AG163" s="13"/>
      <c r="AH163" s="15"/>
      <c r="AI163" s="15"/>
      <c r="AJ163" s="15"/>
      <c r="AK163" s="13"/>
      <c r="AL163" s="15"/>
      <c r="AM163" s="15"/>
      <c r="AN163" s="13"/>
      <c r="AO163" s="13"/>
    </row>
    <row r="164" spans="1:41" ht="72.5" x14ac:dyDescent="0.35">
      <c r="A164" s="13" t="s">
        <v>238</v>
      </c>
      <c r="B164" s="13" t="s">
        <v>109</v>
      </c>
      <c r="C164" s="14">
        <v>44368.708333333336</v>
      </c>
      <c r="D164" s="13" t="s">
        <v>78</v>
      </c>
      <c r="E164" s="15" t="s">
        <v>79</v>
      </c>
      <c r="F164" s="13" t="s">
        <v>80</v>
      </c>
      <c r="G164" s="15" t="s">
        <v>81</v>
      </c>
      <c r="H164" s="13" t="s">
        <v>339</v>
      </c>
      <c r="I164" s="15" t="s">
        <v>340</v>
      </c>
      <c r="J164" s="15" t="s">
        <v>341</v>
      </c>
      <c r="K164" s="15" t="s">
        <v>342</v>
      </c>
      <c r="L164" s="13" t="s">
        <v>345</v>
      </c>
      <c r="M164" s="15" t="s">
        <v>346</v>
      </c>
      <c r="N164" s="13" t="s">
        <v>88</v>
      </c>
      <c r="O164" s="15" t="s">
        <v>97</v>
      </c>
      <c r="P164" s="15" t="s">
        <v>98</v>
      </c>
      <c r="Q164" s="15" t="s">
        <v>201</v>
      </c>
      <c r="R164" s="13" t="s">
        <v>202</v>
      </c>
      <c r="S164" s="13" t="s">
        <v>179</v>
      </c>
      <c r="T164" s="13" t="s">
        <v>112</v>
      </c>
      <c r="U164" s="14">
        <v>40725</v>
      </c>
      <c r="V164" s="14"/>
      <c r="W164" s="15"/>
      <c r="X164" s="15"/>
      <c r="Y164" s="13"/>
      <c r="Z164" s="15"/>
      <c r="AA164" s="15"/>
      <c r="AB164" s="15"/>
      <c r="AC164" s="13"/>
      <c r="AD164" s="15"/>
      <c r="AE164" s="15"/>
      <c r="AF164" s="15"/>
      <c r="AG164" s="13"/>
      <c r="AH164" s="15"/>
      <c r="AI164" s="15"/>
      <c r="AJ164" s="15"/>
      <c r="AK164" s="13"/>
      <c r="AL164" s="15"/>
      <c r="AM164" s="15"/>
      <c r="AN164" s="13"/>
      <c r="AO164" s="13"/>
    </row>
    <row r="165" spans="1:41" ht="72.5" x14ac:dyDescent="0.35">
      <c r="A165" s="13" t="s">
        <v>165</v>
      </c>
      <c r="B165" s="13" t="s">
        <v>109</v>
      </c>
      <c r="C165" s="14">
        <v>44715.45</v>
      </c>
      <c r="D165" s="13" t="s">
        <v>78</v>
      </c>
      <c r="E165" s="15" t="s">
        <v>79</v>
      </c>
      <c r="F165" s="13" t="s">
        <v>80</v>
      </c>
      <c r="G165" s="15" t="s">
        <v>81</v>
      </c>
      <c r="H165" s="13" t="s">
        <v>339</v>
      </c>
      <c r="I165" s="15" t="s">
        <v>340</v>
      </c>
      <c r="J165" s="15" t="s">
        <v>341</v>
      </c>
      <c r="K165" s="15" t="s">
        <v>342</v>
      </c>
      <c r="L165" s="13" t="s">
        <v>347</v>
      </c>
      <c r="M165" s="15" t="s">
        <v>348</v>
      </c>
      <c r="N165" s="13" t="s">
        <v>101</v>
      </c>
      <c r="O165" s="15" t="s">
        <v>102</v>
      </c>
      <c r="P165" s="15" t="s">
        <v>103</v>
      </c>
      <c r="Q165" s="15" t="s">
        <v>201</v>
      </c>
      <c r="R165" s="13" t="s">
        <v>202</v>
      </c>
      <c r="S165" s="13" t="s">
        <v>179</v>
      </c>
      <c r="T165" s="13" t="s">
        <v>112</v>
      </c>
      <c r="U165" s="14">
        <v>40725</v>
      </c>
      <c r="V165" s="14">
        <v>44633</v>
      </c>
      <c r="W165" s="15"/>
      <c r="X165" s="15"/>
      <c r="Y165" s="13"/>
      <c r="Z165" s="15"/>
      <c r="AA165" s="15"/>
      <c r="AB165" s="15"/>
      <c r="AC165" s="13"/>
      <c r="AD165" s="15"/>
      <c r="AE165" s="15"/>
      <c r="AF165" s="15"/>
      <c r="AG165" s="13"/>
      <c r="AH165" s="15"/>
      <c r="AI165" s="15"/>
      <c r="AJ165" s="15"/>
      <c r="AK165" s="13"/>
      <c r="AL165" s="15"/>
      <c r="AM165" s="15"/>
      <c r="AN165" s="13"/>
      <c r="AO165" s="13"/>
    </row>
    <row r="166" spans="1:41" ht="72.5" x14ac:dyDescent="0.35">
      <c r="A166" s="13" t="s">
        <v>165</v>
      </c>
      <c r="B166" s="13" t="s">
        <v>77</v>
      </c>
      <c r="C166" s="14">
        <v>44715.450694444444</v>
      </c>
      <c r="D166" s="13" t="s">
        <v>78</v>
      </c>
      <c r="E166" s="15" t="s">
        <v>79</v>
      </c>
      <c r="F166" s="13" t="s">
        <v>80</v>
      </c>
      <c r="G166" s="15" t="s">
        <v>81</v>
      </c>
      <c r="H166" s="13" t="s">
        <v>339</v>
      </c>
      <c r="I166" s="15" t="s">
        <v>340</v>
      </c>
      <c r="J166" s="15" t="s">
        <v>341</v>
      </c>
      <c r="K166" s="15" t="s">
        <v>342</v>
      </c>
      <c r="L166" s="13" t="s">
        <v>347</v>
      </c>
      <c r="M166" s="15" t="s">
        <v>348</v>
      </c>
      <c r="N166" s="13" t="s">
        <v>101</v>
      </c>
      <c r="O166" s="15" t="s">
        <v>102</v>
      </c>
      <c r="P166" s="15" t="s">
        <v>103</v>
      </c>
      <c r="Q166" s="15" t="s">
        <v>201</v>
      </c>
      <c r="R166" s="13" t="s">
        <v>202</v>
      </c>
      <c r="S166" s="13" t="s">
        <v>179</v>
      </c>
      <c r="T166" s="13" t="s">
        <v>112</v>
      </c>
      <c r="U166" s="14">
        <v>44634</v>
      </c>
      <c r="V166" s="14"/>
      <c r="W166" s="15"/>
      <c r="X166" s="15"/>
      <c r="Y166" s="13"/>
      <c r="Z166" s="15"/>
      <c r="AA166" s="15"/>
      <c r="AB166" s="15"/>
      <c r="AC166" s="13"/>
      <c r="AD166" s="15"/>
      <c r="AE166" s="15"/>
      <c r="AF166" s="15"/>
      <c r="AG166" s="13"/>
      <c r="AH166" s="15"/>
      <c r="AI166" s="15"/>
      <c r="AJ166" s="15"/>
      <c r="AK166" s="13"/>
      <c r="AL166" s="15"/>
      <c r="AM166" s="15"/>
      <c r="AN166" s="13"/>
      <c r="AO166" s="13"/>
    </row>
    <row r="167" spans="1:41" ht="72.5" x14ac:dyDescent="0.35">
      <c r="A167" s="13" t="s">
        <v>76</v>
      </c>
      <c r="B167" s="13" t="s">
        <v>77</v>
      </c>
      <c r="C167" s="14">
        <v>43152.5</v>
      </c>
      <c r="D167" s="13" t="s">
        <v>78</v>
      </c>
      <c r="E167" s="15" t="s">
        <v>79</v>
      </c>
      <c r="F167" s="13" t="s">
        <v>80</v>
      </c>
      <c r="G167" s="15" t="s">
        <v>81</v>
      </c>
      <c r="H167" s="13" t="s">
        <v>353</v>
      </c>
      <c r="I167" s="15" t="s">
        <v>354</v>
      </c>
      <c r="J167" s="15" t="s">
        <v>355</v>
      </c>
      <c r="K167" s="15" t="s">
        <v>356</v>
      </c>
      <c r="L167" s="13" t="s">
        <v>357</v>
      </c>
      <c r="M167" s="15" t="s">
        <v>358</v>
      </c>
      <c r="N167" s="13" t="s">
        <v>88</v>
      </c>
      <c r="O167" s="15" t="s">
        <v>89</v>
      </c>
      <c r="P167" s="15" t="s">
        <v>90</v>
      </c>
      <c r="Q167" s="15" t="s">
        <v>91</v>
      </c>
      <c r="R167" s="13" t="s">
        <v>92</v>
      </c>
      <c r="S167" s="13" t="s">
        <v>93</v>
      </c>
      <c r="T167" s="13" t="s">
        <v>94</v>
      </c>
      <c r="U167" s="14">
        <v>40725</v>
      </c>
      <c r="V167" s="14"/>
      <c r="W167" s="15"/>
      <c r="X167" s="15"/>
      <c r="Y167" s="13"/>
      <c r="Z167" s="15"/>
      <c r="AA167" s="15"/>
      <c r="AB167" s="15"/>
      <c r="AC167" s="13"/>
      <c r="AD167" s="15"/>
      <c r="AE167" s="15"/>
      <c r="AF167" s="15"/>
      <c r="AG167" s="13"/>
      <c r="AH167" s="15"/>
      <c r="AI167" s="15"/>
      <c r="AJ167" s="15"/>
      <c r="AK167" s="13"/>
      <c r="AL167" s="15"/>
      <c r="AM167" s="15"/>
      <c r="AN167" s="13"/>
      <c r="AO167" s="13"/>
    </row>
    <row r="168" spans="1:41" ht="72.5" x14ac:dyDescent="0.35">
      <c r="A168" s="13" t="s">
        <v>76</v>
      </c>
      <c r="B168" s="13" t="s">
        <v>77</v>
      </c>
      <c r="C168" s="14">
        <v>43152.5</v>
      </c>
      <c r="D168" s="13" t="s">
        <v>78</v>
      </c>
      <c r="E168" s="15" t="s">
        <v>79</v>
      </c>
      <c r="F168" s="13" t="s">
        <v>80</v>
      </c>
      <c r="G168" s="15" t="s">
        <v>81</v>
      </c>
      <c r="H168" s="13" t="s">
        <v>353</v>
      </c>
      <c r="I168" s="15" t="s">
        <v>354</v>
      </c>
      <c r="J168" s="15" t="s">
        <v>355</v>
      </c>
      <c r="K168" s="15" t="s">
        <v>356</v>
      </c>
      <c r="L168" s="13" t="s">
        <v>359</v>
      </c>
      <c r="M168" s="15" t="s">
        <v>360</v>
      </c>
      <c r="N168" s="13" t="s">
        <v>88</v>
      </c>
      <c r="O168" s="15" t="s">
        <v>97</v>
      </c>
      <c r="P168" s="15" t="s">
        <v>98</v>
      </c>
      <c r="Q168" s="15" t="s">
        <v>91</v>
      </c>
      <c r="R168" s="13" t="s">
        <v>92</v>
      </c>
      <c r="S168" s="13" t="s">
        <v>93</v>
      </c>
      <c r="T168" s="13" t="s">
        <v>94</v>
      </c>
      <c r="U168" s="14">
        <v>40725</v>
      </c>
      <c r="V168" s="14"/>
      <c r="W168" s="15"/>
      <c r="X168" s="15"/>
      <c r="Y168" s="13"/>
      <c r="Z168" s="15"/>
      <c r="AA168" s="15"/>
      <c r="AB168" s="15"/>
      <c r="AC168" s="13"/>
      <c r="AD168" s="15"/>
      <c r="AE168" s="15"/>
      <c r="AF168" s="15"/>
      <c r="AG168" s="13"/>
      <c r="AH168" s="15"/>
      <c r="AI168" s="15"/>
      <c r="AJ168" s="15"/>
      <c r="AK168" s="13"/>
      <c r="AL168" s="15"/>
      <c r="AM168" s="15"/>
      <c r="AN168" s="13"/>
      <c r="AO168" s="13"/>
    </row>
    <row r="169" spans="1:41" ht="58" x14ac:dyDescent="0.35">
      <c r="A169" s="13" t="s">
        <v>76</v>
      </c>
      <c r="B169" s="13" t="s">
        <v>77</v>
      </c>
      <c r="C169" s="14">
        <v>43152.5</v>
      </c>
      <c r="D169" s="13" t="s">
        <v>78</v>
      </c>
      <c r="E169" s="15" t="s">
        <v>79</v>
      </c>
      <c r="F169" s="13" t="s">
        <v>80</v>
      </c>
      <c r="G169" s="15" t="s">
        <v>81</v>
      </c>
      <c r="H169" s="13" t="s">
        <v>353</v>
      </c>
      <c r="I169" s="15" t="s">
        <v>354</v>
      </c>
      <c r="J169" s="15" t="s">
        <v>355</v>
      </c>
      <c r="K169" s="15" t="s">
        <v>356</v>
      </c>
      <c r="L169" s="13" t="s">
        <v>361</v>
      </c>
      <c r="M169" s="15" t="s">
        <v>362</v>
      </c>
      <c r="N169" s="13" t="s">
        <v>101</v>
      </c>
      <c r="O169" s="15" t="s">
        <v>102</v>
      </c>
      <c r="P169" s="15" t="s">
        <v>103</v>
      </c>
      <c r="Q169" s="15" t="s">
        <v>91</v>
      </c>
      <c r="R169" s="13" t="s">
        <v>92</v>
      </c>
      <c r="S169" s="13" t="s">
        <v>93</v>
      </c>
      <c r="T169" s="13" t="s">
        <v>94</v>
      </c>
      <c r="U169" s="14">
        <v>40725</v>
      </c>
      <c r="V169" s="14"/>
      <c r="W169" s="15"/>
      <c r="X169" s="15"/>
      <c r="Y169" s="13"/>
      <c r="Z169" s="15"/>
      <c r="AA169" s="15"/>
      <c r="AB169" s="15"/>
      <c r="AC169" s="13"/>
      <c r="AD169" s="15"/>
      <c r="AE169" s="15"/>
      <c r="AF169" s="15"/>
      <c r="AG169" s="13"/>
      <c r="AH169" s="15"/>
      <c r="AI169" s="15"/>
      <c r="AJ169" s="15"/>
      <c r="AK169" s="13"/>
      <c r="AL169" s="15"/>
      <c r="AM169" s="15"/>
      <c r="AN169" s="13"/>
      <c r="AO169" s="13"/>
    </row>
    <row r="170" spans="1:41" ht="72.5" x14ac:dyDescent="0.35">
      <c r="A170" s="13" t="s">
        <v>76</v>
      </c>
      <c r="B170" s="13" t="s">
        <v>77</v>
      </c>
      <c r="C170" s="14">
        <v>43152.5</v>
      </c>
      <c r="D170" s="13" t="s">
        <v>78</v>
      </c>
      <c r="E170" s="15" t="s">
        <v>79</v>
      </c>
      <c r="F170" s="13" t="s">
        <v>80</v>
      </c>
      <c r="G170" s="15" t="s">
        <v>81</v>
      </c>
      <c r="H170" s="13" t="s">
        <v>353</v>
      </c>
      <c r="I170" s="15" t="s">
        <v>354</v>
      </c>
      <c r="J170" s="15" t="s">
        <v>355</v>
      </c>
      <c r="K170" s="15" t="s">
        <v>356</v>
      </c>
      <c r="L170" s="13" t="s">
        <v>357</v>
      </c>
      <c r="M170" s="15" t="s">
        <v>358</v>
      </c>
      <c r="N170" s="13" t="s">
        <v>88</v>
      </c>
      <c r="O170" s="15" t="s">
        <v>89</v>
      </c>
      <c r="P170" s="15" t="s">
        <v>90</v>
      </c>
      <c r="Q170" s="15" t="s">
        <v>104</v>
      </c>
      <c r="R170" s="13" t="s">
        <v>105</v>
      </c>
      <c r="S170" s="13" t="s">
        <v>93</v>
      </c>
      <c r="T170" s="13" t="s">
        <v>94</v>
      </c>
      <c r="U170" s="14">
        <v>40725</v>
      </c>
      <c r="V170" s="14"/>
      <c r="W170" s="15"/>
      <c r="X170" s="15"/>
      <c r="Y170" s="13"/>
      <c r="Z170" s="15"/>
      <c r="AA170" s="15"/>
      <c r="AB170" s="15"/>
      <c r="AC170" s="13"/>
      <c r="AD170" s="15"/>
      <c r="AE170" s="15"/>
      <c r="AF170" s="15"/>
      <c r="AG170" s="13"/>
      <c r="AH170" s="15"/>
      <c r="AI170" s="15"/>
      <c r="AJ170" s="15"/>
      <c r="AK170" s="13"/>
      <c r="AL170" s="15"/>
      <c r="AM170" s="15"/>
      <c r="AN170" s="13"/>
      <c r="AO170" s="13"/>
    </row>
    <row r="171" spans="1:41" ht="72.5" x14ac:dyDescent="0.35">
      <c r="A171" s="13" t="s">
        <v>76</v>
      </c>
      <c r="B171" s="13" t="s">
        <v>77</v>
      </c>
      <c r="C171" s="14">
        <v>43152.5</v>
      </c>
      <c r="D171" s="13" t="s">
        <v>78</v>
      </c>
      <c r="E171" s="15" t="s">
        <v>79</v>
      </c>
      <c r="F171" s="13" t="s">
        <v>80</v>
      </c>
      <c r="G171" s="15" t="s">
        <v>81</v>
      </c>
      <c r="H171" s="13" t="s">
        <v>353</v>
      </c>
      <c r="I171" s="15" t="s">
        <v>354</v>
      </c>
      <c r="J171" s="15" t="s">
        <v>355</v>
      </c>
      <c r="K171" s="15" t="s">
        <v>356</v>
      </c>
      <c r="L171" s="13" t="s">
        <v>359</v>
      </c>
      <c r="M171" s="15" t="s">
        <v>360</v>
      </c>
      <c r="N171" s="13" t="s">
        <v>88</v>
      </c>
      <c r="O171" s="15" t="s">
        <v>97</v>
      </c>
      <c r="P171" s="15" t="s">
        <v>98</v>
      </c>
      <c r="Q171" s="15" t="s">
        <v>104</v>
      </c>
      <c r="R171" s="13" t="s">
        <v>105</v>
      </c>
      <c r="S171" s="13" t="s">
        <v>93</v>
      </c>
      <c r="T171" s="13" t="s">
        <v>94</v>
      </c>
      <c r="U171" s="14">
        <v>40725</v>
      </c>
      <c r="V171" s="14"/>
      <c r="W171" s="15"/>
      <c r="X171" s="15"/>
      <c r="Y171" s="13"/>
      <c r="Z171" s="15"/>
      <c r="AA171" s="15"/>
      <c r="AB171" s="15"/>
      <c r="AC171" s="13"/>
      <c r="AD171" s="15"/>
      <c r="AE171" s="15"/>
      <c r="AF171" s="15"/>
      <c r="AG171" s="13"/>
      <c r="AH171" s="15"/>
      <c r="AI171" s="15"/>
      <c r="AJ171" s="15"/>
      <c r="AK171" s="13"/>
      <c r="AL171" s="15"/>
      <c r="AM171" s="15"/>
      <c r="AN171" s="13"/>
      <c r="AO171" s="13"/>
    </row>
    <row r="172" spans="1:41" ht="58" x14ac:dyDescent="0.35">
      <c r="A172" s="13" t="s">
        <v>76</v>
      </c>
      <c r="B172" s="13" t="s">
        <v>77</v>
      </c>
      <c r="C172" s="14">
        <v>43152.5</v>
      </c>
      <c r="D172" s="13" t="s">
        <v>78</v>
      </c>
      <c r="E172" s="15" t="s">
        <v>79</v>
      </c>
      <c r="F172" s="13" t="s">
        <v>80</v>
      </c>
      <c r="G172" s="15" t="s">
        <v>81</v>
      </c>
      <c r="H172" s="13" t="s">
        <v>353</v>
      </c>
      <c r="I172" s="15" t="s">
        <v>354</v>
      </c>
      <c r="J172" s="15" t="s">
        <v>355</v>
      </c>
      <c r="K172" s="15" t="s">
        <v>356</v>
      </c>
      <c r="L172" s="13" t="s">
        <v>361</v>
      </c>
      <c r="M172" s="15" t="s">
        <v>362</v>
      </c>
      <c r="N172" s="13" t="s">
        <v>101</v>
      </c>
      <c r="O172" s="15" t="s">
        <v>102</v>
      </c>
      <c r="P172" s="15" t="s">
        <v>103</v>
      </c>
      <c r="Q172" s="15" t="s">
        <v>104</v>
      </c>
      <c r="R172" s="13" t="s">
        <v>105</v>
      </c>
      <c r="S172" s="13" t="s">
        <v>93</v>
      </c>
      <c r="T172" s="13" t="s">
        <v>94</v>
      </c>
      <c r="U172" s="14">
        <v>40725</v>
      </c>
      <c r="V172" s="14"/>
      <c r="W172" s="15"/>
      <c r="X172" s="15"/>
      <c r="Y172" s="13"/>
      <c r="Z172" s="15"/>
      <c r="AA172" s="15"/>
      <c r="AB172" s="15"/>
      <c r="AC172" s="13"/>
      <c r="AD172" s="15"/>
      <c r="AE172" s="15"/>
      <c r="AF172" s="15"/>
      <c r="AG172" s="13"/>
      <c r="AH172" s="15"/>
      <c r="AI172" s="15"/>
      <c r="AJ172" s="15"/>
      <c r="AK172" s="13"/>
      <c r="AL172" s="15"/>
      <c r="AM172" s="15"/>
      <c r="AN172" s="13"/>
      <c r="AO172" s="13"/>
    </row>
    <row r="173" spans="1:41" ht="72.5" x14ac:dyDescent="0.35">
      <c r="A173" s="13" t="s">
        <v>76</v>
      </c>
      <c r="B173" s="13" t="s">
        <v>77</v>
      </c>
      <c r="C173" s="14">
        <v>43152.5</v>
      </c>
      <c r="D173" s="13" t="s">
        <v>78</v>
      </c>
      <c r="E173" s="15" t="s">
        <v>79</v>
      </c>
      <c r="F173" s="13" t="s">
        <v>80</v>
      </c>
      <c r="G173" s="15" t="s">
        <v>81</v>
      </c>
      <c r="H173" s="13" t="s">
        <v>353</v>
      </c>
      <c r="I173" s="15" t="s">
        <v>354</v>
      </c>
      <c r="J173" s="15" t="s">
        <v>355</v>
      </c>
      <c r="K173" s="15" t="s">
        <v>356</v>
      </c>
      <c r="L173" s="13" t="s">
        <v>357</v>
      </c>
      <c r="M173" s="15" t="s">
        <v>358</v>
      </c>
      <c r="N173" s="13" t="s">
        <v>88</v>
      </c>
      <c r="O173" s="15" t="s">
        <v>89</v>
      </c>
      <c r="P173" s="15" t="s">
        <v>90</v>
      </c>
      <c r="Q173" s="15" t="s">
        <v>106</v>
      </c>
      <c r="R173" s="13" t="s">
        <v>107</v>
      </c>
      <c r="S173" s="13" t="s">
        <v>93</v>
      </c>
      <c r="T173" s="13" t="s">
        <v>94</v>
      </c>
      <c r="U173" s="14">
        <v>40725</v>
      </c>
      <c r="V173" s="14"/>
      <c r="W173" s="15"/>
      <c r="X173" s="15"/>
      <c r="Y173" s="13"/>
      <c r="Z173" s="15"/>
      <c r="AA173" s="15"/>
      <c r="AB173" s="15"/>
      <c r="AC173" s="13"/>
      <c r="AD173" s="15"/>
      <c r="AE173" s="15"/>
      <c r="AF173" s="15"/>
      <c r="AG173" s="13"/>
      <c r="AH173" s="15"/>
      <c r="AI173" s="15"/>
      <c r="AJ173" s="15"/>
      <c r="AK173" s="13"/>
      <c r="AL173" s="15"/>
      <c r="AM173" s="15"/>
      <c r="AN173" s="13"/>
      <c r="AO173" s="13"/>
    </row>
    <row r="174" spans="1:41" ht="72.5" x14ac:dyDescent="0.35">
      <c r="A174" s="13" t="s">
        <v>76</v>
      </c>
      <c r="B174" s="13" t="s">
        <v>77</v>
      </c>
      <c r="C174" s="14">
        <v>43152.5</v>
      </c>
      <c r="D174" s="13" t="s">
        <v>78</v>
      </c>
      <c r="E174" s="15" t="s">
        <v>79</v>
      </c>
      <c r="F174" s="13" t="s">
        <v>80</v>
      </c>
      <c r="G174" s="15" t="s">
        <v>81</v>
      </c>
      <c r="H174" s="13" t="s">
        <v>353</v>
      </c>
      <c r="I174" s="15" t="s">
        <v>354</v>
      </c>
      <c r="J174" s="15" t="s">
        <v>355</v>
      </c>
      <c r="K174" s="15" t="s">
        <v>356</v>
      </c>
      <c r="L174" s="13" t="s">
        <v>359</v>
      </c>
      <c r="M174" s="15" t="s">
        <v>360</v>
      </c>
      <c r="N174" s="13" t="s">
        <v>88</v>
      </c>
      <c r="O174" s="15" t="s">
        <v>97</v>
      </c>
      <c r="P174" s="15" t="s">
        <v>98</v>
      </c>
      <c r="Q174" s="15" t="s">
        <v>106</v>
      </c>
      <c r="R174" s="13" t="s">
        <v>107</v>
      </c>
      <c r="S174" s="13" t="s">
        <v>93</v>
      </c>
      <c r="T174" s="13" t="s">
        <v>94</v>
      </c>
      <c r="U174" s="14">
        <v>40725</v>
      </c>
      <c r="V174" s="14"/>
      <c r="W174" s="15"/>
      <c r="X174" s="15"/>
      <c r="Y174" s="13"/>
      <c r="Z174" s="15"/>
      <c r="AA174" s="15"/>
      <c r="AB174" s="15"/>
      <c r="AC174" s="13"/>
      <c r="AD174" s="15"/>
      <c r="AE174" s="15"/>
      <c r="AF174" s="15"/>
      <c r="AG174" s="13"/>
      <c r="AH174" s="15"/>
      <c r="AI174" s="15"/>
      <c r="AJ174" s="15"/>
      <c r="AK174" s="13"/>
      <c r="AL174" s="15"/>
      <c r="AM174" s="15"/>
      <c r="AN174" s="13"/>
      <c r="AO174" s="13"/>
    </row>
    <row r="175" spans="1:41" ht="58" x14ac:dyDescent="0.35">
      <c r="A175" s="13" t="s">
        <v>76</v>
      </c>
      <c r="B175" s="13" t="s">
        <v>77</v>
      </c>
      <c r="C175" s="14">
        <v>43152.5</v>
      </c>
      <c r="D175" s="13" t="s">
        <v>78</v>
      </c>
      <c r="E175" s="15" t="s">
        <v>79</v>
      </c>
      <c r="F175" s="13" t="s">
        <v>80</v>
      </c>
      <c r="G175" s="15" t="s">
        <v>81</v>
      </c>
      <c r="H175" s="13" t="s">
        <v>353</v>
      </c>
      <c r="I175" s="15" t="s">
        <v>354</v>
      </c>
      <c r="J175" s="15" t="s">
        <v>355</v>
      </c>
      <c r="K175" s="15" t="s">
        <v>356</v>
      </c>
      <c r="L175" s="13" t="s">
        <v>361</v>
      </c>
      <c r="M175" s="15" t="s">
        <v>362</v>
      </c>
      <c r="N175" s="13" t="s">
        <v>101</v>
      </c>
      <c r="O175" s="15" t="s">
        <v>102</v>
      </c>
      <c r="P175" s="15" t="s">
        <v>103</v>
      </c>
      <c r="Q175" s="15" t="s">
        <v>106</v>
      </c>
      <c r="R175" s="13" t="s">
        <v>107</v>
      </c>
      <c r="S175" s="13" t="s">
        <v>93</v>
      </c>
      <c r="T175" s="13" t="s">
        <v>94</v>
      </c>
      <c r="U175" s="14">
        <v>40725</v>
      </c>
      <c r="V175" s="14"/>
      <c r="W175" s="15"/>
      <c r="X175" s="15"/>
      <c r="Y175" s="13"/>
      <c r="Z175" s="15"/>
      <c r="AA175" s="15"/>
      <c r="AB175" s="15"/>
      <c r="AC175" s="13"/>
      <c r="AD175" s="15"/>
      <c r="AE175" s="15"/>
      <c r="AF175" s="15"/>
      <c r="AG175" s="13"/>
      <c r="AH175" s="15"/>
      <c r="AI175" s="15"/>
      <c r="AJ175" s="15"/>
      <c r="AK175" s="13"/>
      <c r="AL175" s="15"/>
      <c r="AM175" s="15"/>
      <c r="AN175" s="13"/>
      <c r="AO175" s="13"/>
    </row>
    <row r="176" spans="1:41" ht="72.5" x14ac:dyDescent="0.35">
      <c r="A176" s="13" t="s">
        <v>238</v>
      </c>
      <c r="B176" s="13" t="s">
        <v>109</v>
      </c>
      <c r="C176" s="14">
        <v>44368.708333333336</v>
      </c>
      <c r="D176" s="13" t="s">
        <v>78</v>
      </c>
      <c r="E176" s="15" t="s">
        <v>79</v>
      </c>
      <c r="F176" s="13" t="s">
        <v>80</v>
      </c>
      <c r="G176" s="15" t="s">
        <v>81</v>
      </c>
      <c r="H176" s="13" t="s">
        <v>353</v>
      </c>
      <c r="I176" s="15" t="s">
        <v>354</v>
      </c>
      <c r="J176" s="15" t="s">
        <v>355</v>
      </c>
      <c r="K176" s="15" t="s">
        <v>356</v>
      </c>
      <c r="L176" s="13" t="s">
        <v>357</v>
      </c>
      <c r="M176" s="15" t="s">
        <v>358</v>
      </c>
      <c r="N176" s="13" t="s">
        <v>88</v>
      </c>
      <c r="O176" s="15" t="s">
        <v>89</v>
      </c>
      <c r="P176" s="15" t="s">
        <v>90</v>
      </c>
      <c r="Q176" s="15" t="s">
        <v>110</v>
      </c>
      <c r="R176" s="13" t="s">
        <v>111</v>
      </c>
      <c r="S176" s="13" t="s">
        <v>93</v>
      </c>
      <c r="T176" s="13" t="s">
        <v>112</v>
      </c>
      <c r="U176" s="14">
        <v>40725</v>
      </c>
      <c r="V176" s="14"/>
      <c r="W176" s="15"/>
      <c r="X176" s="15"/>
      <c r="Y176" s="13"/>
      <c r="Z176" s="15"/>
      <c r="AA176" s="15"/>
      <c r="AB176" s="15"/>
      <c r="AC176" s="13"/>
      <c r="AD176" s="15"/>
      <c r="AE176" s="15"/>
      <c r="AF176" s="15"/>
      <c r="AG176" s="13"/>
      <c r="AH176" s="15"/>
      <c r="AI176" s="15"/>
      <c r="AJ176" s="15"/>
      <c r="AK176" s="13"/>
      <c r="AL176" s="15"/>
      <c r="AM176" s="15"/>
      <c r="AN176" s="13"/>
      <c r="AO176" s="13"/>
    </row>
    <row r="177" spans="1:41" ht="72.5" x14ac:dyDescent="0.35">
      <c r="A177" s="13" t="s">
        <v>238</v>
      </c>
      <c r="B177" s="13" t="s">
        <v>109</v>
      </c>
      <c r="C177" s="14">
        <v>44368.708333333336</v>
      </c>
      <c r="D177" s="13" t="s">
        <v>78</v>
      </c>
      <c r="E177" s="15" t="s">
        <v>79</v>
      </c>
      <c r="F177" s="13" t="s">
        <v>80</v>
      </c>
      <c r="G177" s="15" t="s">
        <v>81</v>
      </c>
      <c r="H177" s="13" t="s">
        <v>353</v>
      </c>
      <c r="I177" s="15" t="s">
        <v>354</v>
      </c>
      <c r="J177" s="15" t="s">
        <v>355</v>
      </c>
      <c r="K177" s="15" t="s">
        <v>356</v>
      </c>
      <c r="L177" s="13" t="s">
        <v>359</v>
      </c>
      <c r="M177" s="15" t="s">
        <v>360</v>
      </c>
      <c r="N177" s="13" t="s">
        <v>88</v>
      </c>
      <c r="O177" s="15" t="s">
        <v>97</v>
      </c>
      <c r="P177" s="15" t="s">
        <v>98</v>
      </c>
      <c r="Q177" s="15" t="s">
        <v>110</v>
      </c>
      <c r="R177" s="13" t="s">
        <v>111</v>
      </c>
      <c r="S177" s="13" t="s">
        <v>93</v>
      </c>
      <c r="T177" s="13" t="s">
        <v>112</v>
      </c>
      <c r="U177" s="14">
        <v>40725</v>
      </c>
      <c r="V177" s="14"/>
      <c r="W177" s="15"/>
      <c r="X177" s="15"/>
      <c r="Y177" s="13"/>
      <c r="Z177" s="15"/>
      <c r="AA177" s="15"/>
      <c r="AB177" s="15"/>
      <c r="AC177" s="13"/>
      <c r="AD177" s="15"/>
      <c r="AE177" s="15"/>
      <c r="AF177" s="15"/>
      <c r="AG177" s="13"/>
      <c r="AH177" s="15"/>
      <c r="AI177" s="15"/>
      <c r="AJ177" s="15"/>
      <c r="AK177" s="13"/>
      <c r="AL177" s="15"/>
      <c r="AM177" s="15"/>
      <c r="AN177" s="13"/>
      <c r="AO177" s="13"/>
    </row>
    <row r="178" spans="1:41" ht="58" x14ac:dyDescent="0.35">
      <c r="A178" s="13" t="s">
        <v>165</v>
      </c>
      <c r="B178" s="13" t="s">
        <v>109</v>
      </c>
      <c r="C178" s="14">
        <v>44715.452777777777</v>
      </c>
      <c r="D178" s="13" t="s">
        <v>78</v>
      </c>
      <c r="E178" s="15" t="s">
        <v>79</v>
      </c>
      <c r="F178" s="13" t="s">
        <v>80</v>
      </c>
      <c r="G178" s="15" t="s">
        <v>81</v>
      </c>
      <c r="H178" s="13" t="s">
        <v>353</v>
      </c>
      <c r="I178" s="15" t="s">
        <v>354</v>
      </c>
      <c r="J178" s="15" t="s">
        <v>355</v>
      </c>
      <c r="K178" s="15" t="s">
        <v>356</v>
      </c>
      <c r="L178" s="13" t="s">
        <v>361</v>
      </c>
      <c r="M178" s="15" t="s">
        <v>362</v>
      </c>
      <c r="N178" s="13" t="s">
        <v>101</v>
      </c>
      <c r="O178" s="15" t="s">
        <v>102</v>
      </c>
      <c r="P178" s="15" t="s">
        <v>103</v>
      </c>
      <c r="Q178" s="15" t="s">
        <v>110</v>
      </c>
      <c r="R178" s="13" t="s">
        <v>111</v>
      </c>
      <c r="S178" s="13" t="s">
        <v>93</v>
      </c>
      <c r="T178" s="13" t="s">
        <v>112</v>
      </c>
      <c r="U178" s="14">
        <v>40725</v>
      </c>
      <c r="V178" s="14">
        <v>44633</v>
      </c>
      <c r="W178" s="15"/>
      <c r="X178" s="15"/>
      <c r="Y178" s="13"/>
      <c r="Z178" s="15"/>
      <c r="AA178" s="15"/>
      <c r="AB178" s="15"/>
      <c r="AC178" s="13"/>
      <c r="AD178" s="15"/>
      <c r="AE178" s="15"/>
      <c r="AF178" s="15"/>
      <c r="AG178" s="13"/>
      <c r="AH178" s="15"/>
      <c r="AI178" s="15"/>
      <c r="AJ178" s="15"/>
      <c r="AK178" s="13"/>
      <c r="AL178" s="15"/>
      <c r="AM178" s="15"/>
      <c r="AN178" s="13"/>
      <c r="AO178" s="13"/>
    </row>
    <row r="179" spans="1:41" ht="58" x14ac:dyDescent="0.35">
      <c r="A179" s="13" t="s">
        <v>165</v>
      </c>
      <c r="B179" s="13" t="s">
        <v>77</v>
      </c>
      <c r="C179" s="14">
        <v>44715.453472222223</v>
      </c>
      <c r="D179" s="13" t="s">
        <v>78</v>
      </c>
      <c r="E179" s="15" t="s">
        <v>79</v>
      </c>
      <c r="F179" s="13" t="s">
        <v>80</v>
      </c>
      <c r="G179" s="15" t="s">
        <v>81</v>
      </c>
      <c r="H179" s="13" t="s">
        <v>353</v>
      </c>
      <c r="I179" s="15" t="s">
        <v>354</v>
      </c>
      <c r="J179" s="15" t="s">
        <v>355</v>
      </c>
      <c r="K179" s="15" t="s">
        <v>356</v>
      </c>
      <c r="L179" s="13" t="s">
        <v>361</v>
      </c>
      <c r="M179" s="15" t="s">
        <v>362</v>
      </c>
      <c r="N179" s="13" t="s">
        <v>101</v>
      </c>
      <c r="O179" s="15" t="s">
        <v>102</v>
      </c>
      <c r="P179" s="15" t="s">
        <v>103</v>
      </c>
      <c r="Q179" s="15" t="s">
        <v>110</v>
      </c>
      <c r="R179" s="13" t="s">
        <v>111</v>
      </c>
      <c r="S179" s="13" t="s">
        <v>93</v>
      </c>
      <c r="T179" s="13" t="s">
        <v>112</v>
      </c>
      <c r="U179" s="14">
        <v>44634</v>
      </c>
      <c r="V179" s="14"/>
      <c r="W179" s="15"/>
      <c r="X179" s="15"/>
      <c r="Y179" s="13"/>
      <c r="Z179" s="15"/>
      <c r="AA179" s="15"/>
      <c r="AB179" s="15"/>
      <c r="AC179" s="13"/>
      <c r="AD179" s="15"/>
      <c r="AE179" s="15"/>
      <c r="AF179" s="15"/>
      <c r="AG179" s="13"/>
      <c r="AH179" s="15"/>
      <c r="AI179" s="15"/>
      <c r="AJ179" s="15"/>
      <c r="AK179" s="13"/>
      <c r="AL179" s="15"/>
      <c r="AM179" s="15"/>
      <c r="AN179" s="13"/>
      <c r="AO179" s="13"/>
    </row>
    <row r="180" spans="1:41" ht="72.5" x14ac:dyDescent="0.35">
      <c r="A180" s="13" t="s">
        <v>76</v>
      </c>
      <c r="B180" s="13" t="s">
        <v>77</v>
      </c>
      <c r="C180" s="14">
        <v>43152.5</v>
      </c>
      <c r="D180" s="13" t="s">
        <v>78</v>
      </c>
      <c r="E180" s="15" t="s">
        <v>79</v>
      </c>
      <c r="F180" s="13" t="s">
        <v>80</v>
      </c>
      <c r="G180" s="15" t="s">
        <v>81</v>
      </c>
      <c r="H180" s="13" t="s">
        <v>353</v>
      </c>
      <c r="I180" s="15" t="s">
        <v>354</v>
      </c>
      <c r="J180" s="15" t="s">
        <v>355</v>
      </c>
      <c r="K180" s="15" t="s">
        <v>356</v>
      </c>
      <c r="L180" s="13" t="s">
        <v>357</v>
      </c>
      <c r="M180" s="15" t="s">
        <v>358</v>
      </c>
      <c r="N180" s="13" t="s">
        <v>88</v>
      </c>
      <c r="O180" s="15" t="s">
        <v>89</v>
      </c>
      <c r="P180" s="15" t="s">
        <v>90</v>
      </c>
      <c r="Q180" s="15" t="s">
        <v>175</v>
      </c>
      <c r="R180" s="13" t="s">
        <v>176</v>
      </c>
      <c r="S180" s="13" t="s">
        <v>93</v>
      </c>
      <c r="T180" s="13" t="s">
        <v>94</v>
      </c>
      <c r="U180" s="14">
        <v>40725</v>
      </c>
      <c r="V180" s="14"/>
      <c r="W180" s="15"/>
      <c r="X180" s="15"/>
      <c r="Y180" s="13"/>
      <c r="Z180" s="15"/>
      <c r="AA180" s="15"/>
      <c r="AB180" s="15"/>
      <c r="AC180" s="13"/>
      <c r="AD180" s="15"/>
      <c r="AE180" s="15"/>
      <c r="AF180" s="15"/>
      <c r="AG180" s="13"/>
      <c r="AH180" s="15"/>
      <c r="AI180" s="15"/>
      <c r="AJ180" s="15"/>
      <c r="AK180" s="13"/>
      <c r="AL180" s="15"/>
      <c r="AM180" s="15"/>
      <c r="AN180" s="13"/>
      <c r="AO180" s="13"/>
    </row>
    <row r="181" spans="1:41" ht="72.5" x14ac:dyDescent="0.35">
      <c r="A181" s="13" t="s">
        <v>76</v>
      </c>
      <c r="B181" s="13" t="s">
        <v>77</v>
      </c>
      <c r="C181" s="14">
        <v>43152.5</v>
      </c>
      <c r="D181" s="13" t="s">
        <v>78</v>
      </c>
      <c r="E181" s="15" t="s">
        <v>79</v>
      </c>
      <c r="F181" s="13" t="s">
        <v>80</v>
      </c>
      <c r="G181" s="15" t="s">
        <v>81</v>
      </c>
      <c r="H181" s="13" t="s">
        <v>353</v>
      </c>
      <c r="I181" s="15" t="s">
        <v>354</v>
      </c>
      <c r="J181" s="15" t="s">
        <v>355</v>
      </c>
      <c r="K181" s="15" t="s">
        <v>356</v>
      </c>
      <c r="L181" s="13" t="s">
        <v>359</v>
      </c>
      <c r="M181" s="15" t="s">
        <v>360</v>
      </c>
      <c r="N181" s="13" t="s">
        <v>88</v>
      </c>
      <c r="O181" s="15" t="s">
        <v>97</v>
      </c>
      <c r="P181" s="15" t="s">
        <v>98</v>
      </c>
      <c r="Q181" s="15" t="s">
        <v>175</v>
      </c>
      <c r="R181" s="13" t="s">
        <v>176</v>
      </c>
      <c r="S181" s="13" t="s">
        <v>93</v>
      </c>
      <c r="T181" s="13" t="s">
        <v>94</v>
      </c>
      <c r="U181" s="14">
        <v>40725</v>
      </c>
      <c r="V181" s="14"/>
      <c r="W181" s="15"/>
      <c r="X181" s="15"/>
      <c r="Y181" s="13"/>
      <c r="Z181" s="15"/>
      <c r="AA181" s="15"/>
      <c r="AB181" s="15"/>
      <c r="AC181" s="13"/>
      <c r="AD181" s="15"/>
      <c r="AE181" s="15"/>
      <c r="AF181" s="15"/>
      <c r="AG181" s="13"/>
      <c r="AH181" s="15"/>
      <c r="AI181" s="15"/>
      <c r="AJ181" s="15"/>
      <c r="AK181" s="13"/>
      <c r="AL181" s="15"/>
      <c r="AM181" s="15"/>
      <c r="AN181" s="13"/>
      <c r="AO181" s="13"/>
    </row>
    <row r="182" spans="1:41" ht="58" x14ac:dyDescent="0.35">
      <c r="A182" s="13" t="s">
        <v>76</v>
      </c>
      <c r="B182" s="13" t="s">
        <v>77</v>
      </c>
      <c r="C182" s="14">
        <v>43152.5</v>
      </c>
      <c r="D182" s="13" t="s">
        <v>78</v>
      </c>
      <c r="E182" s="15" t="s">
        <v>79</v>
      </c>
      <c r="F182" s="13" t="s">
        <v>80</v>
      </c>
      <c r="G182" s="15" t="s">
        <v>81</v>
      </c>
      <c r="H182" s="13" t="s">
        <v>353</v>
      </c>
      <c r="I182" s="15" t="s">
        <v>354</v>
      </c>
      <c r="J182" s="15" t="s">
        <v>355</v>
      </c>
      <c r="K182" s="15" t="s">
        <v>356</v>
      </c>
      <c r="L182" s="13" t="s">
        <v>361</v>
      </c>
      <c r="M182" s="15" t="s">
        <v>362</v>
      </c>
      <c r="N182" s="13" t="s">
        <v>101</v>
      </c>
      <c r="O182" s="15" t="s">
        <v>102</v>
      </c>
      <c r="P182" s="15" t="s">
        <v>103</v>
      </c>
      <c r="Q182" s="15" t="s">
        <v>175</v>
      </c>
      <c r="R182" s="13" t="s">
        <v>176</v>
      </c>
      <c r="S182" s="13" t="s">
        <v>93</v>
      </c>
      <c r="T182" s="13" t="s">
        <v>94</v>
      </c>
      <c r="U182" s="14">
        <v>40725</v>
      </c>
      <c r="V182" s="14"/>
      <c r="W182" s="15"/>
      <c r="X182" s="15"/>
      <c r="Y182" s="13"/>
      <c r="Z182" s="15"/>
      <c r="AA182" s="15"/>
      <c r="AB182" s="15"/>
      <c r="AC182" s="13"/>
      <c r="AD182" s="15"/>
      <c r="AE182" s="15"/>
      <c r="AF182" s="15"/>
      <c r="AG182" s="13"/>
      <c r="AH182" s="15"/>
      <c r="AI182" s="15"/>
      <c r="AJ182" s="15"/>
      <c r="AK182" s="13"/>
      <c r="AL182" s="15"/>
      <c r="AM182" s="15"/>
      <c r="AN182" s="13"/>
      <c r="AO182" s="13"/>
    </row>
    <row r="183" spans="1:41" ht="72.5" x14ac:dyDescent="0.35">
      <c r="A183" s="13" t="s">
        <v>238</v>
      </c>
      <c r="B183" s="13" t="s">
        <v>109</v>
      </c>
      <c r="C183" s="14">
        <v>44368.708333333336</v>
      </c>
      <c r="D183" s="13" t="s">
        <v>78</v>
      </c>
      <c r="E183" s="15" t="s">
        <v>79</v>
      </c>
      <c r="F183" s="13" t="s">
        <v>80</v>
      </c>
      <c r="G183" s="15" t="s">
        <v>81</v>
      </c>
      <c r="H183" s="13" t="s">
        <v>353</v>
      </c>
      <c r="I183" s="15" t="s">
        <v>354</v>
      </c>
      <c r="J183" s="15" t="s">
        <v>355</v>
      </c>
      <c r="K183" s="15" t="s">
        <v>356</v>
      </c>
      <c r="L183" s="13" t="s">
        <v>357</v>
      </c>
      <c r="M183" s="15" t="s">
        <v>358</v>
      </c>
      <c r="N183" s="13" t="s">
        <v>88</v>
      </c>
      <c r="O183" s="15" t="s">
        <v>89</v>
      </c>
      <c r="P183" s="15" t="s">
        <v>90</v>
      </c>
      <c r="Q183" s="15" t="s">
        <v>177</v>
      </c>
      <c r="R183" s="13" t="s">
        <v>178</v>
      </c>
      <c r="S183" s="13" t="s">
        <v>179</v>
      </c>
      <c r="T183" s="13" t="s">
        <v>112</v>
      </c>
      <c r="U183" s="14">
        <v>40725</v>
      </c>
      <c r="V183" s="14"/>
      <c r="W183" s="15"/>
      <c r="X183" s="15"/>
      <c r="Y183" s="13"/>
      <c r="Z183" s="15"/>
      <c r="AA183" s="15"/>
      <c r="AB183" s="15"/>
      <c r="AC183" s="13"/>
      <c r="AD183" s="15"/>
      <c r="AE183" s="15"/>
      <c r="AF183" s="15"/>
      <c r="AG183" s="13"/>
      <c r="AH183" s="15"/>
      <c r="AI183" s="15"/>
      <c r="AJ183" s="15"/>
      <c r="AK183" s="13"/>
      <c r="AL183" s="15"/>
      <c r="AM183" s="15"/>
      <c r="AN183" s="13"/>
      <c r="AO183" s="13"/>
    </row>
    <row r="184" spans="1:41" ht="72.5" x14ac:dyDescent="0.35">
      <c r="A184" s="13" t="s">
        <v>238</v>
      </c>
      <c r="B184" s="13" t="s">
        <v>109</v>
      </c>
      <c r="C184" s="14">
        <v>44368.708333333336</v>
      </c>
      <c r="D184" s="13" t="s">
        <v>78</v>
      </c>
      <c r="E184" s="15" t="s">
        <v>79</v>
      </c>
      <c r="F184" s="13" t="s">
        <v>80</v>
      </c>
      <c r="G184" s="15" t="s">
        <v>81</v>
      </c>
      <c r="H184" s="13" t="s">
        <v>353</v>
      </c>
      <c r="I184" s="15" t="s">
        <v>354</v>
      </c>
      <c r="J184" s="15" t="s">
        <v>355</v>
      </c>
      <c r="K184" s="15" t="s">
        <v>356</v>
      </c>
      <c r="L184" s="13" t="s">
        <v>359</v>
      </c>
      <c r="M184" s="15" t="s">
        <v>360</v>
      </c>
      <c r="N184" s="13" t="s">
        <v>88</v>
      </c>
      <c r="O184" s="15" t="s">
        <v>97</v>
      </c>
      <c r="P184" s="15" t="s">
        <v>98</v>
      </c>
      <c r="Q184" s="15" t="s">
        <v>177</v>
      </c>
      <c r="R184" s="13" t="s">
        <v>178</v>
      </c>
      <c r="S184" s="13" t="s">
        <v>179</v>
      </c>
      <c r="T184" s="13" t="s">
        <v>112</v>
      </c>
      <c r="U184" s="14">
        <v>40725</v>
      </c>
      <c r="V184" s="14"/>
      <c r="W184" s="15"/>
      <c r="X184" s="15"/>
      <c r="Y184" s="13"/>
      <c r="Z184" s="15"/>
      <c r="AA184" s="15"/>
      <c r="AB184" s="15"/>
      <c r="AC184" s="13"/>
      <c r="AD184" s="15"/>
      <c r="AE184" s="15"/>
      <c r="AF184" s="15"/>
      <c r="AG184" s="13"/>
      <c r="AH184" s="15"/>
      <c r="AI184" s="15"/>
      <c r="AJ184" s="15"/>
      <c r="AK184" s="13"/>
      <c r="AL184" s="15"/>
      <c r="AM184" s="15"/>
      <c r="AN184" s="13"/>
      <c r="AO184" s="13"/>
    </row>
    <row r="185" spans="1:41" ht="58" x14ac:dyDescent="0.35">
      <c r="A185" s="13" t="s">
        <v>165</v>
      </c>
      <c r="B185" s="13" t="s">
        <v>109</v>
      </c>
      <c r="C185" s="14">
        <v>44715.45416666667</v>
      </c>
      <c r="D185" s="13" t="s">
        <v>78</v>
      </c>
      <c r="E185" s="15" t="s">
        <v>79</v>
      </c>
      <c r="F185" s="13" t="s">
        <v>80</v>
      </c>
      <c r="G185" s="15" t="s">
        <v>81</v>
      </c>
      <c r="H185" s="13" t="s">
        <v>353</v>
      </c>
      <c r="I185" s="15" t="s">
        <v>354</v>
      </c>
      <c r="J185" s="15" t="s">
        <v>355</v>
      </c>
      <c r="K185" s="15" t="s">
        <v>356</v>
      </c>
      <c r="L185" s="13" t="s">
        <v>361</v>
      </c>
      <c r="M185" s="15" t="s">
        <v>362</v>
      </c>
      <c r="N185" s="13" t="s">
        <v>101</v>
      </c>
      <c r="O185" s="15" t="s">
        <v>102</v>
      </c>
      <c r="P185" s="15" t="s">
        <v>103</v>
      </c>
      <c r="Q185" s="15" t="s">
        <v>177</v>
      </c>
      <c r="R185" s="13" t="s">
        <v>178</v>
      </c>
      <c r="S185" s="13" t="s">
        <v>179</v>
      </c>
      <c r="T185" s="13" t="s">
        <v>112</v>
      </c>
      <c r="U185" s="14">
        <v>40725</v>
      </c>
      <c r="V185" s="14">
        <v>44633</v>
      </c>
      <c r="W185" s="15"/>
      <c r="X185" s="15"/>
      <c r="Y185" s="13"/>
      <c r="Z185" s="15"/>
      <c r="AA185" s="15"/>
      <c r="AB185" s="15"/>
      <c r="AC185" s="13"/>
      <c r="AD185" s="15"/>
      <c r="AE185" s="15"/>
      <c r="AF185" s="15"/>
      <c r="AG185" s="13"/>
      <c r="AH185" s="15"/>
      <c r="AI185" s="15"/>
      <c r="AJ185" s="15"/>
      <c r="AK185" s="13"/>
      <c r="AL185" s="15"/>
      <c r="AM185" s="15"/>
      <c r="AN185" s="13"/>
      <c r="AO185" s="13"/>
    </row>
    <row r="186" spans="1:41" ht="58" x14ac:dyDescent="0.35">
      <c r="A186" s="13" t="s">
        <v>165</v>
      </c>
      <c r="B186" s="13" t="s">
        <v>77</v>
      </c>
      <c r="C186" s="14">
        <v>44715.456944444442</v>
      </c>
      <c r="D186" s="13" t="s">
        <v>78</v>
      </c>
      <c r="E186" s="15" t="s">
        <v>79</v>
      </c>
      <c r="F186" s="13" t="s">
        <v>80</v>
      </c>
      <c r="G186" s="15" t="s">
        <v>81</v>
      </c>
      <c r="H186" s="13" t="s">
        <v>353</v>
      </c>
      <c r="I186" s="15" t="s">
        <v>354</v>
      </c>
      <c r="J186" s="15" t="s">
        <v>355</v>
      </c>
      <c r="K186" s="15" t="s">
        <v>356</v>
      </c>
      <c r="L186" s="13" t="s">
        <v>361</v>
      </c>
      <c r="M186" s="15" t="s">
        <v>362</v>
      </c>
      <c r="N186" s="13" t="s">
        <v>101</v>
      </c>
      <c r="O186" s="15" t="s">
        <v>102</v>
      </c>
      <c r="P186" s="15" t="s">
        <v>103</v>
      </c>
      <c r="Q186" s="15" t="s">
        <v>177</v>
      </c>
      <c r="R186" s="13" t="s">
        <v>178</v>
      </c>
      <c r="S186" s="13" t="s">
        <v>179</v>
      </c>
      <c r="T186" s="13" t="s">
        <v>112</v>
      </c>
      <c r="U186" s="14">
        <v>44634</v>
      </c>
      <c r="V186" s="14"/>
      <c r="W186" s="15"/>
      <c r="X186" s="15"/>
      <c r="Y186" s="13"/>
      <c r="Z186" s="15"/>
      <c r="AA186" s="15"/>
      <c r="AB186" s="15"/>
      <c r="AC186" s="13"/>
      <c r="AD186" s="15"/>
      <c r="AE186" s="15"/>
      <c r="AF186" s="15"/>
      <c r="AG186" s="13"/>
      <c r="AH186" s="15"/>
      <c r="AI186" s="15"/>
      <c r="AJ186" s="15"/>
      <c r="AK186" s="13"/>
      <c r="AL186" s="15"/>
      <c r="AM186" s="15"/>
      <c r="AN186" s="13"/>
      <c r="AO186" s="13"/>
    </row>
    <row r="187" spans="1:41" ht="58" x14ac:dyDescent="0.35">
      <c r="A187" s="13" t="s">
        <v>76</v>
      </c>
      <c r="B187" s="13" t="s">
        <v>77</v>
      </c>
      <c r="C187" s="14">
        <v>43152.5</v>
      </c>
      <c r="D187" s="13" t="s">
        <v>78</v>
      </c>
      <c r="E187" s="15" t="s">
        <v>79</v>
      </c>
      <c r="F187" s="13" t="s">
        <v>80</v>
      </c>
      <c r="G187" s="15" t="s">
        <v>81</v>
      </c>
      <c r="H187" s="13" t="s">
        <v>373</v>
      </c>
      <c r="I187" s="15" t="s">
        <v>374</v>
      </c>
      <c r="J187" s="15" t="s">
        <v>375</v>
      </c>
      <c r="K187" s="15" t="s">
        <v>376</v>
      </c>
      <c r="L187" s="13" t="s">
        <v>377</v>
      </c>
      <c r="M187" s="15" t="s">
        <v>378</v>
      </c>
      <c r="N187" s="13" t="s">
        <v>379</v>
      </c>
      <c r="O187" s="15"/>
      <c r="P187" s="15"/>
      <c r="Q187" s="15" t="s">
        <v>91</v>
      </c>
      <c r="R187" s="13" t="s">
        <v>92</v>
      </c>
      <c r="S187" s="13" t="s">
        <v>93</v>
      </c>
      <c r="T187" s="13" t="s">
        <v>94</v>
      </c>
      <c r="U187" s="14">
        <v>40725</v>
      </c>
      <c r="V187" s="14">
        <v>41517</v>
      </c>
      <c r="W187" s="15"/>
      <c r="X187" s="15"/>
      <c r="Y187" s="13"/>
      <c r="Z187" s="15"/>
      <c r="AA187" s="15"/>
      <c r="AB187" s="15"/>
      <c r="AC187" s="13"/>
      <c r="AD187" s="15"/>
      <c r="AE187" s="15"/>
      <c r="AF187" s="15"/>
      <c r="AG187" s="13"/>
      <c r="AH187" s="15"/>
      <c r="AI187" s="15"/>
      <c r="AJ187" s="15"/>
      <c r="AK187" s="13"/>
      <c r="AL187" s="15"/>
      <c r="AM187" s="15"/>
      <c r="AN187" s="13"/>
      <c r="AO187" s="13"/>
    </row>
    <row r="188" spans="1:41" ht="58" x14ac:dyDescent="0.35">
      <c r="A188" s="13" t="s">
        <v>76</v>
      </c>
      <c r="B188" s="13" t="s">
        <v>77</v>
      </c>
      <c r="C188" s="14">
        <v>43152.5</v>
      </c>
      <c r="D188" s="13" t="s">
        <v>78</v>
      </c>
      <c r="E188" s="15" t="s">
        <v>79</v>
      </c>
      <c r="F188" s="13" t="s">
        <v>80</v>
      </c>
      <c r="G188" s="15" t="s">
        <v>81</v>
      </c>
      <c r="H188" s="13" t="s">
        <v>373</v>
      </c>
      <c r="I188" s="15" t="s">
        <v>374</v>
      </c>
      <c r="J188" s="15" t="s">
        <v>375</v>
      </c>
      <c r="K188" s="15" t="s">
        <v>376</v>
      </c>
      <c r="L188" s="13" t="s">
        <v>380</v>
      </c>
      <c r="M188" s="15" t="s">
        <v>381</v>
      </c>
      <c r="N188" s="13" t="s">
        <v>101</v>
      </c>
      <c r="O188" s="15"/>
      <c r="P188" s="15"/>
      <c r="Q188" s="15" t="s">
        <v>91</v>
      </c>
      <c r="R188" s="13" t="s">
        <v>92</v>
      </c>
      <c r="S188" s="13" t="s">
        <v>93</v>
      </c>
      <c r="T188" s="13" t="s">
        <v>94</v>
      </c>
      <c r="U188" s="14">
        <v>40725</v>
      </c>
      <c r="V188" s="14"/>
      <c r="W188" s="15"/>
      <c r="X188" s="15"/>
      <c r="Y188" s="13"/>
      <c r="Z188" s="15"/>
      <c r="AA188" s="15"/>
      <c r="AB188" s="15"/>
      <c r="AC188" s="13"/>
      <c r="AD188" s="15"/>
      <c r="AE188" s="15"/>
      <c r="AF188" s="15"/>
      <c r="AG188" s="13"/>
      <c r="AH188" s="15"/>
      <c r="AI188" s="15"/>
      <c r="AJ188" s="15"/>
      <c r="AK188" s="13"/>
      <c r="AL188" s="15"/>
      <c r="AM188" s="15"/>
      <c r="AN188" s="13"/>
      <c r="AO188" s="13"/>
    </row>
    <row r="189" spans="1:41" ht="58" x14ac:dyDescent="0.35">
      <c r="A189" s="13" t="s">
        <v>76</v>
      </c>
      <c r="B189" s="13" t="s">
        <v>77</v>
      </c>
      <c r="C189" s="14">
        <v>43152.5</v>
      </c>
      <c r="D189" s="13" t="s">
        <v>78</v>
      </c>
      <c r="E189" s="15" t="s">
        <v>79</v>
      </c>
      <c r="F189" s="13" t="s">
        <v>80</v>
      </c>
      <c r="G189" s="15" t="s">
        <v>81</v>
      </c>
      <c r="H189" s="13" t="s">
        <v>373</v>
      </c>
      <c r="I189" s="15" t="s">
        <v>374</v>
      </c>
      <c r="J189" s="15" t="s">
        <v>375</v>
      </c>
      <c r="K189" s="15" t="s">
        <v>376</v>
      </c>
      <c r="L189" s="13" t="s">
        <v>377</v>
      </c>
      <c r="M189" s="15" t="s">
        <v>378</v>
      </c>
      <c r="N189" s="13" t="s">
        <v>379</v>
      </c>
      <c r="O189" s="15"/>
      <c r="P189" s="15"/>
      <c r="Q189" s="15" t="s">
        <v>104</v>
      </c>
      <c r="R189" s="13" t="s">
        <v>105</v>
      </c>
      <c r="S189" s="13" t="s">
        <v>93</v>
      </c>
      <c r="T189" s="13" t="s">
        <v>94</v>
      </c>
      <c r="U189" s="14">
        <v>40725</v>
      </c>
      <c r="V189" s="14">
        <v>41517</v>
      </c>
      <c r="W189" s="15"/>
      <c r="X189" s="15"/>
      <c r="Y189" s="13"/>
      <c r="Z189" s="15"/>
      <c r="AA189" s="15"/>
      <c r="AB189" s="15"/>
      <c r="AC189" s="13"/>
      <c r="AD189" s="15"/>
      <c r="AE189" s="15"/>
      <c r="AF189" s="15"/>
      <c r="AG189" s="13"/>
      <c r="AH189" s="15"/>
      <c r="AI189" s="15"/>
      <c r="AJ189" s="15"/>
      <c r="AK189" s="13"/>
      <c r="AL189" s="15"/>
      <c r="AM189" s="15"/>
      <c r="AN189" s="13"/>
      <c r="AO189" s="13"/>
    </row>
    <row r="190" spans="1:41" ht="58" x14ac:dyDescent="0.35">
      <c r="A190" s="13" t="s">
        <v>76</v>
      </c>
      <c r="B190" s="13" t="s">
        <v>77</v>
      </c>
      <c r="C190" s="14">
        <v>43152.5</v>
      </c>
      <c r="D190" s="13" t="s">
        <v>78</v>
      </c>
      <c r="E190" s="15" t="s">
        <v>79</v>
      </c>
      <c r="F190" s="13" t="s">
        <v>80</v>
      </c>
      <c r="G190" s="15" t="s">
        <v>81</v>
      </c>
      <c r="H190" s="13" t="s">
        <v>373</v>
      </c>
      <c r="I190" s="15" t="s">
        <v>374</v>
      </c>
      <c r="J190" s="15" t="s">
        <v>375</v>
      </c>
      <c r="K190" s="15" t="s">
        <v>376</v>
      </c>
      <c r="L190" s="13" t="s">
        <v>380</v>
      </c>
      <c r="M190" s="15" t="s">
        <v>381</v>
      </c>
      <c r="N190" s="13" t="s">
        <v>101</v>
      </c>
      <c r="O190" s="15"/>
      <c r="P190" s="15"/>
      <c r="Q190" s="15" t="s">
        <v>104</v>
      </c>
      <c r="R190" s="13" t="s">
        <v>105</v>
      </c>
      <c r="S190" s="13" t="s">
        <v>93</v>
      </c>
      <c r="T190" s="13" t="s">
        <v>94</v>
      </c>
      <c r="U190" s="14">
        <v>40725</v>
      </c>
      <c r="V190" s="14"/>
      <c r="W190" s="15"/>
      <c r="X190" s="15"/>
      <c r="Y190" s="13"/>
      <c r="Z190" s="15"/>
      <c r="AA190" s="15"/>
      <c r="AB190" s="15"/>
      <c r="AC190" s="13"/>
      <c r="AD190" s="15"/>
      <c r="AE190" s="15"/>
      <c r="AF190" s="15"/>
      <c r="AG190" s="13"/>
      <c r="AH190" s="15"/>
      <c r="AI190" s="15"/>
      <c r="AJ190" s="15"/>
      <c r="AK190" s="13"/>
      <c r="AL190" s="15"/>
      <c r="AM190" s="15"/>
      <c r="AN190" s="13"/>
      <c r="AO190" s="13"/>
    </row>
    <row r="191" spans="1:41" ht="58" x14ac:dyDescent="0.35">
      <c r="A191" s="13" t="s">
        <v>76</v>
      </c>
      <c r="B191" s="13" t="s">
        <v>77</v>
      </c>
      <c r="C191" s="14">
        <v>43152.5</v>
      </c>
      <c r="D191" s="13" t="s">
        <v>78</v>
      </c>
      <c r="E191" s="15" t="s">
        <v>79</v>
      </c>
      <c r="F191" s="13" t="s">
        <v>80</v>
      </c>
      <c r="G191" s="15" t="s">
        <v>81</v>
      </c>
      <c r="H191" s="13" t="s">
        <v>373</v>
      </c>
      <c r="I191" s="15" t="s">
        <v>374</v>
      </c>
      <c r="J191" s="15" t="s">
        <v>375</v>
      </c>
      <c r="K191" s="15" t="s">
        <v>376</v>
      </c>
      <c r="L191" s="13" t="s">
        <v>377</v>
      </c>
      <c r="M191" s="15" t="s">
        <v>378</v>
      </c>
      <c r="N191" s="13" t="s">
        <v>379</v>
      </c>
      <c r="O191" s="15"/>
      <c r="P191" s="15"/>
      <c r="Q191" s="15" t="s">
        <v>106</v>
      </c>
      <c r="R191" s="13" t="s">
        <v>107</v>
      </c>
      <c r="S191" s="13" t="s">
        <v>93</v>
      </c>
      <c r="T191" s="13" t="s">
        <v>94</v>
      </c>
      <c r="U191" s="14">
        <v>40725</v>
      </c>
      <c r="V191" s="14">
        <v>41517</v>
      </c>
      <c r="W191" s="15"/>
      <c r="X191" s="15"/>
      <c r="Y191" s="13"/>
      <c r="Z191" s="15"/>
      <c r="AA191" s="15"/>
      <c r="AB191" s="15"/>
      <c r="AC191" s="13"/>
      <c r="AD191" s="15"/>
      <c r="AE191" s="15"/>
      <c r="AF191" s="15"/>
      <c r="AG191" s="13"/>
      <c r="AH191" s="15"/>
      <c r="AI191" s="15"/>
      <c r="AJ191" s="15"/>
      <c r="AK191" s="13"/>
      <c r="AL191" s="15"/>
      <c r="AM191" s="15"/>
      <c r="AN191" s="13"/>
      <c r="AO191" s="13"/>
    </row>
    <row r="192" spans="1:41" ht="58" x14ac:dyDescent="0.35">
      <c r="A192" s="13" t="s">
        <v>76</v>
      </c>
      <c r="B192" s="13" t="s">
        <v>77</v>
      </c>
      <c r="C192" s="14">
        <v>43152.5</v>
      </c>
      <c r="D192" s="13" t="s">
        <v>78</v>
      </c>
      <c r="E192" s="15" t="s">
        <v>79</v>
      </c>
      <c r="F192" s="13" t="s">
        <v>80</v>
      </c>
      <c r="G192" s="15" t="s">
        <v>81</v>
      </c>
      <c r="H192" s="13" t="s">
        <v>373</v>
      </c>
      <c r="I192" s="15" t="s">
        <v>374</v>
      </c>
      <c r="J192" s="15" t="s">
        <v>375</v>
      </c>
      <c r="K192" s="15" t="s">
        <v>376</v>
      </c>
      <c r="L192" s="13" t="s">
        <v>380</v>
      </c>
      <c r="M192" s="15" t="s">
        <v>381</v>
      </c>
      <c r="N192" s="13" t="s">
        <v>101</v>
      </c>
      <c r="O192" s="15"/>
      <c r="P192" s="15"/>
      <c r="Q192" s="15" t="s">
        <v>106</v>
      </c>
      <c r="R192" s="13" t="s">
        <v>107</v>
      </c>
      <c r="S192" s="13" t="s">
        <v>93</v>
      </c>
      <c r="T192" s="13" t="s">
        <v>94</v>
      </c>
      <c r="U192" s="14">
        <v>40725</v>
      </c>
      <c r="V192" s="14"/>
      <c r="W192" s="15"/>
      <c r="X192" s="15"/>
      <c r="Y192" s="13"/>
      <c r="Z192" s="15"/>
      <c r="AA192" s="15"/>
      <c r="AB192" s="15"/>
      <c r="AC192" s="13"/>
      <c r="AD192" s="15"/>
      <c r="AE192" s="15"/>
      <c r="AF192" s="15"/>
      <c r="AG192" s="13"/>
      <c r="AH192" s="15"/>
      <c r="AI192" s="15"/>
      <c r="AJ192" s="15"/>
      <c r="AK192" s="13"/>
      <c r="AL192" s="15"/>
      <c r="AM192" s="15"/>
      <c r="AN192" s="13"/>
      <c r="AO192" s="13"/>
    </row>
    <row r="193" spans="1:41" ht="58" x14ac:dyDescent="0.35">
      <c r="A193" s="13" t="s">
        <v>76</v>
      </c>
      <c r="B193" s="13" t="s">
        <v>77</v>
      </c>
      <c r="C193" s="14">
        <v>43152.5</v>
      </c>
      <c r="D193" s="13" t="s">
        <v>78</v>
      </c>
      <c r="E193" s="15" t="s">
        <v>79</v>
      </c>
      <c r="F193" s="13" t="s">
        <v>80</v>
      </c>
      <c r="G193" s="15" t="s">
        <v>81</v>
      </c>
      <c r="H193" s="13" t="s">
        <v>373</v>
      </c>
      <c r="I193" s="15" t="s">
        <v>374</v>
      </c>
      <c r="J193" s="15" t="s">
        <v>375</v>
      </c>
      <c r="K193" s="15" t="s">
        <v>376</v>
      </c>
      <c r="L193" s="13" t="s">
        <v>377</v>
      </c>
      <c r="M193" s="15" t="s">
        <v>378</v>
      </c>
      <c r="N193" s="13" t="s">
        <v>379</v>
      </c>
      <c r="O193" s="15"/>
      <c r="P193" s="15"/>
      <c r="Q193" s="15" t="s">
        <v>110</v>
      </c>
      <c r="R193" s="13" t="s">
        <v>111</v>
      </c>
      <c r="S193" s="13" t="s">
        <v>93</v>
      </c>
      <c r="T193" s="13" t="s">
        <v>94</v>
      </c>
      <c r="U193" s="14">
        <v>40725</v>
      </c>
      <c r="V193" s="14">
        <v>41517</v>
      </c>
      <c r="W193" s="15"/>
      <c r="X193" s="15"/>
      <c r="Y193" s="13"/>
      <c r="Z193" s="15"/>
      <c r="AA193" s="15"/>
      <c r="AB193" s="15"/>
      <c r="AC193" s="13"/>
      <c r="AD193" s="15"/>
      <c r="AE193" s="15"/>
      <c r="AF193" s="15"/>
      <c r="AG193" s="13"/>
      <c r="AH193" s="15"/>
      <c r="AI193" s="15"/>
      <c r="AJ193" s="15"/>
      <c r="AK193" s="13"/>
      <c r="AL193" s="15"/>
      <c r="AM193" s="15"/>
      <c r="AN193" s="13"/>
      <c r="AO193" s="13"/>
    </row>
    <row r="194" spans="1:41" ht="58" x14ac:dyDescent="0.35">
      <c r="A194" s="13" t="s">
        <v>76</v>
      </c>
      <c r="B194" s="13" t="s">
        <v>77</v>
      </c>
      <c r="C194" s="14">
        <v>43152.5</v>
      </c>
      <c r="D194" s="13" t="s">
        <v>78</v>
      </c>
      <c r="E194" s="15" t="s">
        <v>79</v>
      </c>
      <c r="F194" s="13" t="s">
        <v>80</v>
      </c>
      <c r="G194" s="15" t="s">
        <v>81</v>
      </c>
      <c r="H194" s="13" t="s">
        <v>373</v>
      </c>
      <c r="I194" s="15" t="s">
        <v>374</v>
      </c>
      <c r="J194" s="15" t="s">
        <v>375</v>
      </c>
      <c r="K194" s="15" t="s">
        <v>376</v>
      </c>
      <c r="L194" s="13" t="s">
        <v>380</v>
      </c>
      <c r="M194" s="15" t="s">
        <v>381</v>
      </c>
      <c r="N194" s="13" t="s">
        <v>101</v>
      </c>
      <c r="O194" s="15"/>
      <c r="P194" s="15"/>
      <c r="Q194" s="15" t="s">
        <v>110</v>
      </c>
      <c r="R194" s="13" t="s">
        <v>111</v>
      </c>
      <c r="S194" s="13" t="s">
        <v>93</v>
      </c>
      <c r="T194" s="13" t="s">
        <v>94</v>
      </c>
      <c r="U194" s="14">
        <v>40725</v>
      </c>
      <c r="V194" s="14"/>
      <c r="W194" s="15"/>
      <c r="X194" s="15"/>
      <c r="Y194" s="13"/>
      <c r="Z194" s="15"/>
      <c r="AA194" s="15"/>
      <c r="AB194" s="15"/>
      <c r="AC194" s="13"/>
      <c r="AD194" s="15"/>
      <c r="AE194" s="15"/>
      <c r="AF194" s="15"/>
      <c r="AG194" s="13"/>
      <c r="AH194" s="15"/>
      <c r="AI194" s="15"/>
      <c r="AJ194" s="15"/>
      <c r="AK194" s="13"/>
      <c r="AL194" s="15"/>
      <c r="AM194" s="15"/>
      <c r="AN194" s="13"/>
      <c r="AO194" s="13"/>
    </row>
    <row r="195" spans="1:41" ht="58" x14ac:dyDescent="0.35">
      <c r="A195" s="13" t="s">
        <v>76</v>
      </c>
      <c r="B195" s="13" t="s">
        <v>77</v>
      </c>
      <c r="C195" s="14">
        <v>43152.5</v>
      </c>
      <c r="D195" s="13" t="s">
        <v>78</v>
      </c>
      <c r="E195" s="15" t="s">
        <v>79</v>
      </c>
      <c r="F195" s="13" t="s">
        <v>80</v>
      </c>
      <c r="G195" s="15" t="s">
        <v>81</v>
      </c>
      <c r="H195" s="13" t="s">
        <v>373</v>
      </c>
      <c r="I195" s="15" t="s">
        <v>374</v>
      </c>
      <c r="J195" s="15" t="s">
        <v>375</v>
      </c>
      <c r="K195" s="15" t="s">
        <v>376</v>
      </c>
      <c r="L195" s="13" t="s">
        <v>377</v>
      </c>
      <c r="M195" s="15" t="s">
        <v>378</v>
      </c>
      <c r="N195" s="13" t="s">
        <v>379</v>
      </c>
      <c r="O195" s="15"/>
      <c r="P195" s="15"/>
      <c r="Q195" s="15" t="s">
        <v>175</v>
      </c>
      <c r="R195" s="13" t="s">
        <v>176</v>
      </c>
      <c r="S195" s="13" t="s">
        <v>93</v>
      </c>
      <c r="T195" s="13" t="s">
        <v>94</v>
      </c>
      <c r="U195" s="14">
        <v>40725</v>
      </c>
      <c r="V195" s="14">
        <v>41517</v>
      </c>
      <c r="W195" s="15"/>
      <c r="X195" s="15"/>
      <c r="Y195" s="13"/>
      <c r="Z195" s="15"/>
      <c r="AA195" s="15"/>
      <c r="AB195" s="15"/>
      <c r="AC195" s="13"/>
      <c r="AD195" s="15"/>
      <c r="AE195" s="15"/>
      <c r="AF195" s="15"/>
      <c r="AG195" s="13"/>
      <c r="AH195" s="15"/>
      <c r="AI195" s="15"/>
      <c r="AJ195" s="15"/>
      <c r="AK195" s="13"/>
      <c r="AL195" s="15"/>
      <c r="AM195" s="15"/>
      <c r="AN195" s="13"/>
      <c r="AO195" s="13"/>
    </row>
    <row r="196" spans="1:41" ht="58" x14ac:dyDescent="0.35">
      <c r="A196" s="13" t="s">
        <v>76</v>
      </c>
      <c r="B196" s="13" t="s">
        <v>77</v>
      </c>
      <c r="C196" s="14">
        <v>43152.5</v>
      </c>
      <c r="D196" s="13" t="s">
        <v>78</v>
      </c>
      <c r="E196" s="15" t="s">
        <v>79</v>
      </c>
      <c r="F196" s="13" t="s">
        <v>80</v>
      </c>
      <c r="G196" s="15" t="s">
        <v>81</v>
      </c>
      <c r="H196" s="13" t="s">
        <v>373</v>
      </c>
      <c r="I196" s="15" t="s">
        <v>374</v>
      </c>
      <c r="J196" s="15" t="s">
        <v>375</v>
      </c>
      <c r="K196" s="15" t="s">
        <v>376</v>
      </c>
      <c r="L196" s="13" t="s">
        <v>380</v>
      </c>
      <c r="M196" s="15" t="s">
        <v>381</v>
      </c>
      <c r="N196" s="13" t="s">
        <v>101</v>
      </c>
      <c r="O196" s="15"/>
      <c r="P196" s="15"/>
      <c r="Q196" s="15" t="s">
        <v>175</v>
      </c>
      <c r="R196" s="13" t="s">
        <v>176</v>
      </c>
      <c r="S196" s="13" t="s">
        <v>93</v>
      </c>
      <c r="T196" s="13" t="s">
        <v>94</v>
      </c>
      <c r="U196" s="14">
        <v>40725</v>
      </c>
      <c r="V196" s="14"/>
      <c r="W196" s="15"/>
      <c r="X196" s="15"/>
      <c r="Y196" s="13"/>
      <c r="Z196" s="15"/>
      <c r="AA196" s="15"/>
      <c r="AB196" s="15"/>
      <c r="AC196" s="13"/>
      <c r="AD196" s="15"/>
      <c r="AE196" s="15"/>
      <c r="AF196" s="15"/>
      <c r="AG196" s="13"/>
      <c r="AH196" s="15"/>
      <c r="AI196" s="15"/>
      <c r="AJ196" s="15"/>
      <c r="AK196" s="13"/>
      <c r="AL196" s="15"/>
      <c r="AM196" s="15"/>
      <c r="AN196" s="13"/>
      <c r="AO196" s="13"/>
    </row>
    <row r="197" spans="1:41" ht="58" x14ac:dyDescent="0.35">
      <c r="A197" s="13" t="s">
        <v>76</v>
      </c>
      <c r="B197" s="13" t="s">
        <v>77</v>
      </c>
      <c r="C197" s="14">
        <v>43152.5</v>
      </c>
      <c r="D197" s="13" t="s">
        <v>78</v>
      </c>
      <c r="E197" s="15" t="s">
        <v>79</v>
      </c>
      <c r="F197" s="13" t="s">
        <v>80</v>
      </c>
      <c r="G197" s="15" t="s">
        <v>81</v>
      </c>
      <c r="H197" s="13" t="s">
        <v>373</v>
      </c>
      <c r="I197" s="15" t="s">
        <v>374</v>
      </c>
      <c r="J197" s="15" t="s">
        <v>375</v>
      </c>
      <c r="K197" s="15" t="s">
        <v>376</v>
      </c>
      <c r="L197" s="13" t="s">
        <v>377</v>
      </c>
      <c r="M197" s="15" t="s">
        <v>378</v>
      </c>
      <c r="N197" s="13" t="s">
        <v>379</v>
      </c>
      <c r="O197" s="15"/>
      <c r="P197" s="15"/>
      <c r="Q197" s="15" t="s">
        <v>382</v>
      </c>
      <c r="R197" s="13" t="s">
        <v>383</v>
      </c>
      <c r="S197" s="13" t="s">
        <v>179</v>
      </c>
      <c r="T197" s="13" t="s">
        <v>112</v>
      </c>
      <c r="U197" s="14">
        <v>40725</v>
      </c>
      <c r="V197" s="14">
        <v>41517</v>
      </c>
      <c r="W197" s="15"/>
      <c r="X197" s="15"/>
      <c r="Y197" s="13"/>
      <c r="Z197" s="15"/>
      <c r="AA197" s="15"/>
      <c r="AB197" s="15"/>
      <c r="AC197" s="13"/>
      <c r="AD197" s="15"/>
      <c r="AE197" s="15"/>
      <c r="AF197" s="15"/>
      <c r="AG197" s="13"/>
      <c r="AH197" s="15"/>
      <c r="AI197" s="15"/>
      <c r="AJ197" s="15"/>
      <c r="AK197" s="13"/>
      <c r="AL197" s="15"/>
      <c r="AM197" s="15"/>
      <c r="AN197" s="13"/>
      <c r="AO197" s="13"/>
    </row>
    <row r="198" spans="1:41" ht="58" x14ac:dyDescent="0.35">
      <c r="A198" s="13" t="s">
        <v>76</v>
      </c>
      <c r="B198" s="13" t="s">
        <v>109</v>
      </c>
      <c r="C198" s="14">
        <v>43644.438888888886</v>
      </c>
      <c r="D198" s="13" t="s">
        <v>78</v>
      </c>
      <c r="E198" s="15" t="s">
        <v>79</v>
      </c>
      <c r="F198" s="13" t="s">
        <v>80</v>
      </c>
      <c r="G198" s="15" t="s">
        <v>81</v>
      </c>
      <c r="H198" s="13" t="s">
        <v>373</v>
      </c>
      <c r="I198" s="15" t="s">
        <v>374</v>
      </c>
      <c r="J198" s="15" t="s">
        <v>375</v>
      </c>
      <c r="K198" s="15" t="s">
        <v>376</v>
      </c>
      <c r="L198" s="13" t="s">
        <v>380</v>
      </c>
      <c r="M198" s="15" t="s">
        <v>381</v>
      </c>
      <c r="N198" s="13" t="s">
        <v>101</v>
      </c>
      <c r="O198" s="15"/>
      <c r="P198" s="15"/>
      <c r="Q198" s="15" t="s">
        <v>382</v>
      </c>
      <c r="R198" s="13" t="s">
        <v>383</v>
      </c>
      <c r="S198" s="13" t="s">
        <v>179</v>
      </c>
      <c r="T198" s="13" t="s">
        <v>112</v>
      </c>
      <c r="U198" s="14">
        <v>40725</v>
      </c>
      <c r="V198" s="14">
        <v>41517</v>
      </c>
      <c r="W198" s="15"/>
      <c r="X198" s="15"/>
      <c r="Y198" s="13"/>
      <c r="Z198" s="15"/>
      <c r="AA198" s="15"/>
      <c r="AB198" s="15"/>
      <c r="AC198" s="13"/>
      <c r="AD198" s="15"/>
      <c r="AE198" s="15"/>
      <c r="AF198" s="15"/>
      <c r="AG198" s="13"/>
      <c r="AH198" s="15"/>
      <c r="AI198" s="15"/>
      <c r="AJ198" s="15"/>
      <c r="AK198" s="13"/>
      <c r="AL198" s="15"/>
      <c r="AM198" s="15"/>
      <c r="AN198" s="13"/>
      <c r="AO198" s="13"/>
    </row>
    <row r="199" spans="1:41" ht="72.5" x14ac:dyDescent="0.35">
      <c r="A199" s="13" t="s">
        <v>76</v>
      </c>
      <c r="B199" s="13" t="s">
        <v>77</v>
      </c>
      <c r="C199" s="14">
        <v>43152.5</v>
      </c>
      <c r="D199" s="13" t="s">
        <v>78</v>
      </c>
      <c r="E199" s="15" t="s">
        <v>79</v>
      </c>
      <c r="F199" s="13" t="s">
        <v>80</v>
      </c>
      <c r="G199" s="15" t="s">
        <v>81</v>
      </c>
      <c r="H199" s="13" t="s">
        <v>392</v>
      </c>
      <c r="I199" s="15" t="s">
        <v>393</v>
      </c>
      <c r="J199" s="15" t="s">
        <v>394</v>
      </c>
      <c r="K199" s="15" t="s">
        <v>395</v>
      </c>
      <c r="L199" s="13" t="s">
        <v>396</v>
      </c>
      <c r="M199" s="15" t="s">
        <v>397</v>
      </c>
      <c r="N199" s="13" t="s">
        <v>379</v>
      </c>
      <c r="O199" s="15"/>
      <c r="P199" s="15"/>
      <c r="Q199" s="15" t="s">
        <v>91</v>
      </c>
      <c r="R199" s="13" t="s">
        <v>92</v>
      </c>
      <c r="S199" s="13" t="s">
        <v>93</v>
      </c>
      <c r="T199" s="13" t="s">
        <v>94</v>
      </c>
      <c r="U199" s="14">
        <v>40725</v>
      </c>
      <c r="V199" s="14"/>
      <c r="W199" s="15"/>
      <c r="X199" s="15"/>
      <c r="Y199" s="13"/>
      <c r="Z199" s="15"/>
      <c r="AA199" s="15"/>
      <c r="AB199" s="15"/>
      <c r="AC199" s="13"/>
      <c r="AD199" s="15"/>
      <c r="AE199" s="15"/>
      <c r="AF199" s="15"/>
      <c r="AG199" s="13"/>
      <c r="AH199" s="15"/>
      <c r="AI199" s="15"/>
      <c r="AJ199" s="15"/>
      <c r="AK199" s="13"/>
      <c r="AL199" s="15"/>
      <c r="AM199" s="15"/>
      <c r="AN199" s="13"/>
      <c r="AO199" s="13"/>
    </row>
    <row r="200" spans="1:41" ht="72.5" x14ac:dyDescent="0.35">
      <c r="A200" s="13" t="s">
        <v>76</v>
      </c>
      <c r="B200" s="13" t="s">
        <v>77</v>
      </c>
      <c r="C200" s="14">
        <v>43152.5</v>
      </c>
      <c r="D200" s="13" t="s">
        <v>78</v>
      </c>
      <c r="E200" s="15" t="s">
        <v>79</v>
      </c>
      <c r="F200" s="13" t="s">
        <v>80</v>
      </c>
      <c r="G200" s="15" t="s">
        <v>81</v>
      </c>
      <c r="H200" s="13" t="s">
        <v>392</v>
      </c>
      <c r="I200" s="15" t="s">
        <v>393</v>
      </c>
      <c r="J200" s="15" t="s">
        <v>394</v>
      </c>
      <c r="K200" s="15" t="s">
        <v>395</v>
      </c>
      <c r="L200" s="13" t="s">
        <v>398</v>
      </c>
      <c r="M200" s="15" t="s">
        <v>399</v>
      </c>
      <c r="N200" s="13" t="s">
        <v>101</v>
      </c>
      <c r="O200" s="15"/>
      <c r="P200" s="15"/>
      <c r="Q200" s="15" t="s">
        <v>91</v>
      </c>
      <c r="R200" s="13" t="s">
        <v>92</v>
      </c>
      <c r="S200" s="13" t="s">
        <v>93</v>
      </c>
      <c r="T200" s="13" t="s">
        <v>94</v>
      </c>
      <c r="U200" s="14">
        <v>40725</v>
      </c>
      <c r="V200" s="14"/>
      <c r="W200" s="15"/>
      <c r="X200" s="15"/>
      <c r="Y200" s="13"/>
      <c r="Z200" s="15"/>
      <c r="AA200" s="15"/>
      <c r="AB200" s="15"/>
      <c r="AC200" s="13"/>
      <c r="AD200" s="15"/>
      <c r="AE200" s="15"/>
      <c r="AF200" s="15"/>
      <c r="AG200" s="13"/>
      <c r="AH200" s="15"/>
      <c r="AI200" s="15"/>
      <c r="AJ200" s="15"/>
      <c r="AK200" s="13"/>
      <c r="AL200" s="15"/>
      <c r="AM200" s="15"/>
      <c r="AN200" s="13"/>
      <c r="AO200" s="13"/>
    </row>
    <row r="201" spans="1:41" ht="72.5" x14ac:dyDescent="0.35">
      <c r="A201" s="13" t="s">
        <v>76</v>
      </c>
      <c r="B201" s="13" t="s">
        <v>77</v>
      </c>
      <c r="C201" s="14">
        <v>43152.5</v>
      </c>
      <c r="D201" s="13" t="s">
        <v>78</v>
      </c>
      <c r="E201" s="15" t="s">
        <v>79</v>
      </c>
      <c r="F201" s="13" t="s">
        <v>80</v>
      </c>
      <c r="G201" s="15" t="s">
        <v>81</v>
      </c>
      <c r="H201" s="13" t="s">
        <v>392</v>
      </c>
      <c r="I201" s="15" t="s">
        <v>393</v>
      </c>
      <c r="J201" s="15" t="s">
        <v>394</v>
      </c>
      <c r="K201" s="15" t="s">
        <v>395</v>
      </c>
      <c r="L201" s="13" t="s">
        <v>396</v>
      </c>
      <c r="M201" s="15" t="s">
        <v>397</v>
      </c>
      <c r="N201" s="13" t="s">
        <v>379</v>
      </c>
      <c r="O201" s="15"/>
      <c r="P201" s="15"/>
      <c r="Q201" s="15" t="s">
        <v>104</v>
      </c>
      <c r="R201" s="13" t="s">
        <v>105</v>
      </c>
      <c r="S201" s="13" t="s">
        <v>93</v>
      </c>
      <c r="T201" s="13" t="s">
        <v>94</v>
      </c>
      <c r="U201" s="14">
        <v>40725</v>
      </c>
      <c r="V201" s="14"/>
      <c r="W201" s="15"/>
      <c r="X201" s="15"/>
      <c r="Y201" s="13"/>
      <c r="Z201" s="15"/>
      <c r="AA201" s="15"/>
      <c r="AB201" s="15"/>
      <c r="AC201" s="13"/>
      <c r="AD201" s="15"/>
      <c r="AE201" s="15"/>
      <c r="AF201" s="15"/>
      <c r="AG201" s="13"/>
      <c r="AH201" s="15"/>
      <c r="AI201" s="15"/>
      <c r="AJ201" s="15"/>
      <c r="AK201" s="13"/>
      <c r="AL201" s="15"/>
      <c r="AM201" s="15"/>
      <c r="AN201" s="13"/>
      <c r="AO201" s="13"/>
    </row>
    <row r="202" spans="1:41" ht="72.5" x14ac:dyDescent="0.35">
      <c r="A202" s="13" t="s">
        <v>76</v>
      </c>
      <c r="B202" s="13" t="s">
        <v>77</v>
      </c>
      <c r="C202" s="14">
        <v>43152.5</v>
      </c>
      <c r="D202" s="13" t="s">
        <v>78</v>
      </c>
      <c r="E202" s="15" t="s">
        <v>79</v>
      </c>
      <c r="F202" s="13" t="s">
        <v>80</v>
      </c>
      <c r="G202" s="15" t="s">
        <v>81</v>
      </c>
      <c r="H202" s="13" t="s">
        <v>392</v>
      </c>
      <c r="I202" s="15" t="s">
        <v>393</v>
      </c>
      <c r="J202" s="15" t="s">
        <v>394</v>
      </c>
      <c r="K202" s="15" t="s">
        <v>395</v>
      </c>
      <c r="L202" s="13" t="s">
        <v>398</v>
      </c>
      <c r="M202" s="15" t="s">
        <v>399</v>
      </c>
      <c r="N202" s="13" t="s">
        <v>101</v>
      </c>
      <c r="O202" s="15"/>
      <c r="P202" s="15"/>
      <c r="Q202" s="15" t="s">
        <v>104</v>
      </c>
      <c r="R202" s="13" t="s">
        <v>105</v>
      </c>
      <c r="S202" s="13" t="s">
        <v>93</v>
      </c>
      <c r="T202" s="13" t="s">
        <v>94</v>
      </c>
      <c r="U202" s="14">
        <v>40725</v>
      </c>
      <c r="V202" s="14"/>
      <c r="W202" s="15"/>
      <c r="X202" s="15"/>
      <c r="Y202" s="13"/>
      <c r="Z202" s="15"/>
      <c r="AA202" s="15"/>
      <c r="AB202" s="15"/>
      <c r="AC202" s="13"/>
      <c r="AD202" s="15"/>
      <c r="AE202" s="15"/>
      <c r="AF202" s="15"/>
      <c r="AG202" s="13"/>
      <c r="AH202" s="15"/>
      <c r="AI202" s="15"/>
      <c r="AJ202" s="15"/>
      <c r="AK202" s="13"/>
      <c r="AL202" s="15"/>
      <c r="AM202" s="15"/>
      <c r="AN202" s="13"/>
      <c r="AO202" s="13"/>
    </row>
    <row r="203" spans="1:41" ht="72.5" x14ac:dyDescent="0.35">
      <c r="A203" s="13" t="s">
        <v>76</v>
      </c>
      <c r="B203" s="13" t="s">
        <v>77</v>
      </c>
      <c r="C203" s="14">
        <v>43152.5</v>
      </c>
      <c r="D203" s="13" t="s">
        <v>78</v>
      </c>
      <c r="E203" s="15" t="s">
        <v>79</v>
      </c>
      <c r="F203" s="13" t="s">
        <v>80</v>
      </c>
      <c r="G203" s="15" t="s">
        <v>81</v>
      </c>
      <c r="H203" s="13" t="s">
        <v>392</v>
      </c>
      <c r="I203" s="15" t="s">
        <v>393</v>
      </c>
      <c r="J203" s="15" t="s">
        <v>394</v>
      </c>
      <c r="K203" s="15" t="s">
        <v>395</v>
      </c>
      <c r="L203" s="13" t="s">
        <v>396</v>
      </c>
      <c r="M203" s="15" t="s">
        <v>397</v>
      </c>
      <c r="N203" s="13" t="s">
        <v>379</v>
      </c>
      <c r="O203" s="15"/>
      <c r="P203" s="15"/>
      <c r="Q203" s="15" t="s">
        <v>106</v>
      </c>
      <c r="R203" s="13" t="s">
        <v>107</v>
      </c>
      <c r="S203" s="13" t="s">
        <v>93</v>
      </c>
      <c r="T203" s="13" t="s">
        <v>94</v>
      </c>
      <c r="U203" s="14">
        <v>40725</v>
      </c>
      <c r="V203" s="14"/>
      <c r="W203" s="15"/>
      <c r="X203" s="15"/>
      <c r="Y203" s="13"/>
      <c r="Z203" s="15"/>
      <c r="AA203" s="15"/>
      <c r="AB203" s="15"/>
      <c r="AC203" s="13"/>
      <c r="AD203" s="15"/>
      <c r="AE203" s="15"/>
      <c r="AF203" s="15"/>
      <c r="AG203" s="13"/>
      <c r="AH203" s="15"/>
      <c r="AI203" s="15"/>
      <c r="AJ203" s="15"/>
      <c r="AK203" s="13"/>
      <c r="AL203" s="15"/>
      <c r="AM203" s="15"/>
      <c r="AN203" s="13"/>
      <c r="AO203" s="13"/>
    </row>
    <row r="204" spans="1:41" ht="72.5" x14ac:dyDescent="0.35">
      <c r="A204" s="13" t="s">
        <v>76</v>
      </c>
      <c r="B204" s="13" t="s">
        <v>77</v>
      </c>
      <c r="C204" s="14">
        <v>43152.5</v>
      </c>
      <c r="D204" s="13" t="s">
        <v>78</v>
      </c>
      <c r="E204" s="15" t="s">
        <v>79</v>
      </c>
      <c r="F204" s="13" t="s">
        <v>80</v>
      </c>
      <c r="G204" s="15" t="s">
        <v>81</v>
      </c>
      <c r="H204" s="13" t="s">
        <v>392</v>
      </c>
      <c r="I204" s="15" t="s">
        <v>393</v>
      </c>
      <c r="J204" s="15" t="s">
        <v>394</v>
      </c>
      <c r="K204" s="15" t="s">
        <v>395</v>
      </c>
      <c r="L204" s="13" t="s">
        <v>398</v>
      </c>
      <c r="M204" s="15" t="s">
        <v>399</v>
      </c>
      <c r="N204" s="13" t="s">
        <v>101</v>
      </c>
      <c r="O204" s="15"/>
      <c r="P204" s="15"/>
      <c r="Q204" s="15" t="s">
        <v>106</v>
      </c>
      <c r="R204" s="13" t="s">
        <v>107</v>
      </c>
      <c r="S204" s="13" t="s">
        <v>93</v>
      </c>
      <c r="T204" s="13" t="s">
        <v>94</v>
      </c>
      <c r="U204" s="14">
        <v>40725</v>
      </c>
      <c r="V204" s="14"/>
      <c r="W204" s="15"/>
      <c r="X204" s="15"/>
      <c r="Y204" s="13"/>
      <c r="Z204" s="15"/>
      <c r="AA204" s="15"/>
      <c r="AB204" s="15"/>
      <c r="AC204" s="13"/>
      <c r="AD204" s="15"/>
      <c r="AE204" s="15"/>
      <c r="AF204" s="15"/>
      <c r="AG204" s="13"/>
      <c r="AH204" s="15"/>
      <c r="AI204" s="15"/>
      <c r="AJ204" s="15"/>
      <c r="AK204" s="13"/>
      <c r="AL204" s="15"/>
      <c r="AM204" s="15"/>
      <c r="AN204" s="13"/>
      <c r="AO204" s="13"/>
    </row>
    <row r="205" spans="1:41" ht="72.5" x14ac:dyDescent="0.35">
      <c r="A205" s="13" t="s">
        <v>238</v>
      </c>
      <c r="B205" s="13" t="s">
        <v>109</v>
      </c>
      <c r="C205" s="14">
        <v>44368.708333333336</v>
      </c>
      <c r="D205" s="13" t="s">
        <v>78</v>
      </c>
      <c r="E205" s="15" t="s">
        <v>79</v>
      </c>
      <c r="F205" s="13" t="s">
        <v>80</v>
      </c>
      <c r="G205" s="15" t="s">
        <v>81</v>
      </c>
      <c r="H205" s="13" t="s">
        <v>392</v>
      </c>
      <c r="I205" s="15" t="s">
        <v>393</v>
      </c>
      <c r="J205" s="15" t="s">
        <v>394</v>
      </c>
      <c r="K205" s="15" t="s">
        <v>395</v>
      </c>
      <c r="L205" s="13" t="s">
        <v>396</v>
      </c>
      <c r="M205" s="15" t="s">
        <v>397</v>
      </c>
      <c r="N205" s="13" t="s">
        <v>379</v>
      </c>
      <c r="O205" s="15"/>
      <c r="P205" s="15"/>
      <c r="Q205" s="15" t="s">
        <v>110</v>
      </c>
      <c r="R205" s="13" t="s">
        <v>111</v>
      </c>
      <c r="S205" s="13" t="s">
        <v>93</v>
      </c>
      <c r="T205" s="13" t="s">
        <v>112</v>
      </c>
      <c r="U205" s="14">
        <v>40725</v>
      </c>
      <c r="V205" s="14"/>
      <c r="W205" s="15"/>
      <c r="X205" s="15"/>
      <c r="Y205" s="13"/>
      <c r="Z205" s="15"/>
      <c r="AA205" s="15"/>
      <c r="AB205" s="15"/>
      <c r="AC205" s="13"/>
      <c r="AD205" s="15"/>
      <c r="AE205" s="15"/>
      <c r="AF205" s="15"/>
      <c r="AG205" s="13"/>
      <c r="AH205" s="15"/>
      <c r="AI205" s="15"/>
      <c r="AJ205" s="15"/>
      <c r="AK205" s="13"/>
      <c r="AL205" s="15"/>
      <c r="AM205" s="15"/>
      <c r="AN205" s="13"/>
      <c r="AO205" s="13"/>
    </row>
    <row r="206" spans="1:41" ht="72.5" x14ac:dyDescent="0.35">
      <c r="A206" s="13" t="s">
        <v>238</v>
      </c>
      <c r="B206" s="13" t="s">
        <v>109</v>
      </c>
      <c r="C206" s="14">
        <v>44368.708333333336</v>
      </c>
      <c r="D206" s="13" t="s">
        <v>78</v>
      </c>
      <c r="E206" s="15" t="s">
        <v>79</v>
      </c>
      <c r="F206" s="13" t="s">
        <v>80</v>
      </c>
      <c r="G206" s="15" t="s">
        <v>81</v>
      </c>
      <c r="H206" s="13" t="s">
        <v>392</v>
      </c>
      <c r="I206" s="15" t="s">
        <v>393</v>
      </c>
      <c r="J206" s="15" t="s">
        <v>394</v>
      </c>
      <c r="K206" s="15" t="s">
        <v>395</v>
      </c>
      <c r="L206" s="13" t="s">
        <v>398</v>
      </c>
      <c r="M206" s="15" t="s">
        <v>399</v>
      </c>
      <c r="N206" s="13" t="s">
        <v>101</v>
      </c>
      <c r="O206" s="15"/>
      <c r="P206" s="15"/>
      <c r="Q206" s="15" t="s">
        <v>110</v>
      </c>
      <c r="R206" s="13" t="s">
        <v>111</v>
      </c>
      <c r="S206" s="13" t="s">
        <v>93</v>
      </c>
      <c r="T206" s="13" t="s">
        <v>112</v>
      </c>
      <c r="U206" s="14">
        <v>40725</v>
      </c>
      <c r="V206" s="14"/>
      <c r="W206" s="15"/>
      <c r="X206" s="15"/>
      <c r="Y206" s="13"/>
      <c r="Z206" s="15"/>
      <c r="AA206" s="15"/>
      <c r="AB206" s="15"/>
      <c r="AC206" s="13"/>
      <c r="AD206" s="15"/>
      <c r="AE206" s="15"/>
      <c r="AF206" s="15"/>
      <c r="AG206" s="13"/>
      <c r="AH206" s="15"/>
      <c r="AI206" s="15"/>
      <c r="AJ206" s="15"/>
      <c r="AK206" s="13"/>
      <c r="AL206" s="15"/>
      <c r="AM206" s="15"/>
      <c r="AN206" s="13"/>
      <c r="AO206" s="13"/>
    </row>
    <row r="207" spans="1:41" ht="72.5" x14ac:dyDescent="0.35">
      <c r="A207" s="13" t="s">
        <v>76</v>
      </c>
      <c r="B207" s="13" t="s">
        <v>77</v>
      </c>
      <c r="C207" s="14">
        <v>43152.5</v>
      </c>
      <c r="D207" s="13" t="s">
        <v>78</v>
      </c>
      <c r="E207" s="15" t="s">
        <v>79</v>
      </c>
      <c r="F207" s="13" t="s">
        <v>80</v>
      </c>
      <c r="G207" s="15" t="s">
        <v>81</v>
      </c>
      <c r="H207" s="13" t="s">
        <v>392</v>
      </c>
      <c r="I207" s="15" t="s">
        <v>393</v>
      </c>
      <c r="J207" s="15" t="s">
        <v>394</v>
      </c>
      <c r="K207" s="15" t="s">
        <v>395</v>
      </c>
      <c r="L207" s="13" t="s">
        <v>396</v>
      </c>
      <c r="M207" s="15" t="s">
        <v>397</v>
      </c>
      <c r="N207" s="13" t="s">
        <v>379</v>
      </c>
      <c r="O207" s="15"/>
      <c r="P207" s="15"/>
      <c r="Q207" s="15" t="s">
        <v>175</v>
      </c>
      <c r="R207" s="13" t="s">
        <v>176</v>
      </c>
      <c r="S207" s="13" t="s">
        <v>93</v>
      </c>
      <c r="T207" s="13" t="s">
        <v>94</v>
      </c>
      <c r="U207" s="14">
        <v>40725</v>
      </c>
      <c r="V207" s="14"/>
      <c r="W207" s="15"/>
      <c r="X207" s="15"/>
      <c r="Y207" s="13"/>
      <c r="Z207" s="15"/>
      <c r="AA207" s="15"/>
      <c r="AB207" s="15"/>
      <c r="AC207" s="13"/>
      <c r="AD207" s="15"/>
      <c r="AE207" s="15"/>
      <c r="AF207" s="15"/>
      <c r="AG207" s="13"/>
      <c r="AH207" s="15"/>
      <c r="AI207" s="15"/>
      <c r="AJ207" s="15"/>
      <c r="AK207" s="13"/>
      <c r="AL207" s="15"/>
      <c r="AM207" s="15"/>
      <c r="AN207" s="13"/>
      <c r="AO207" s="13"/>
    </row>
    <row r="208" spans="1:41" ht="72.5" x14ac:dyDescent="0.35">
      <c r="A208" s="13" t="s">
        <v>76</v>
      </c>
      <c r="B208" s="13" t="s">
        <v>77</v>
      </c>
      <c r="C208" s="14">
        <v>43152.5</v>
      </c>
      <c r="D208" s="13" t="s">
        <v>78</v>
      </c>
      <c r="E208" s="15" t="s">
        <v>79</v>
      </c>
      <c r="F208" s="13" t="s">
        <v>80</v>
      </c>
      <c r="G208" s="15" t="s">
        <v>81</v>
      </c>
      <c r="H208" s="13" t="s">
        <v>392</v>
      </c>
      <c r="I208" s="15" t="s">
        <v>393</v>
      </c>
      <c r="J208" s="15" t="s">
        <v>394</v>
      </c>
      <c r="K208" s="15" t="s">
        <v>395</v>
      </c>
      <c r="L208" s="13" t="s">
        <v>398</v>
      </c>
      <c r="M208" s="15" t="s">
        <v>399</v>
      </c>
      <c r="N208" s="13" t="s">
        <v>101</v>
      </c>
      <c r="O208" s="15"/>
      <c r="P208" s="15"/>
      <c r="Q208" s="15" t="s">
        <v>175</v>
      </c>
      <c r="R208" s="13" t="s">
        <v>176</v>
      </c>
      <c r="S208" s="13" t="s">
        <v>93</v>
      </c>
      <c r="T208" s="13" t="s">
        <v>94</v>
      </c>
      <c r="U208" s="14">
        <v>40725</v>
      </c>
      <c r="V208" s="14"/>
      <c r="W208" s="15"/>
      <c r="X208" s="15"/>
      <c r="Y208" s="13"/>
      <c r="Z208" s="15"/>
      <c r="AA208" s="15"/>
      <c r="AB208" s="15"/>
      <c r="AC208" s="13"/>
      <c r="AD208" s="15"/>
      <c r="AE208" s="15"/>
      <c r="AF208" s="15"/>
      <c r="AG208" s="13"/>
      <c r="AH208" s="15"/>
      <c r="AI208" s="15"/>
      <c r="AJ208" s="15"/>
      <c r="AK208" s="13"/>
      <c r="AL208" s="15"/>
      <c r="AM208" s="15"/>
      <c r="AN208" s="13"/>
      <c r="AO208" s="13"/>
    </row>
    <row r="209" spans="1:41" ht="72.5" x14ac:dyDescent="0.35">
      <c r="A209" s="13" t="s">
        <v>76</v>
      </c>
      <c r="B209" s="13" t="s">
        <v>77</v>
      </c>
      <c r="C209" s="14">
        <v>43152.5</v>
      </c>
      <c r="D209" s="13" t="s">
        <v>78</v>
      </c>
      <c r="E209" s="15" t="s">
        <v>79</v>
      </c>
      <c r="F209" s="13" t="s">
        <v>80</v>
      </c>
      <c r="G209" s="15" t="s">
        <v>81</v>
      </c>
      <c r="H209" s="13" t="s">
        <v>392</v>
      </c>
      <c r="I209" s="15" t="s">
        <v>393</v>
      </c>
      <c r="J209" s="15" t="s">
        <v>394</v>
      </c>
      <c r="K209" s="15" t="s">
        <v>395</v>
      </c>
      <c r="L209" s="13" t="s">
        <v>396</v>
      </c>
      <c r="M209" s="15" t="s">
        <v>397</v>
      </c>
      <c r="N209" s="13" t="s">
        <v>379</v>
      </c>
      <c r="O209" s="15"/>
      <c r="P209" s="15"/>
      <c r="Q209" s="15" t="s">
        <v>177</v>
      </c>
      <c r="R209" s="13" t="s">
        <v>178</v>
      </c>
      <c r="S209" s="13" t="s">
        <v>179</v>
      </c>
      <c r="T209" s="13" t="s">
        <v>94</v>
      </c>
      <c r="U209" s="14">
        <v>40725</v>
      </c>
      <c r="V209" s="14"/>
      <c r="W209" s="15"/>
      <c r="X209" s="15"/>
      <c r="Y209" s="13"/>
      <c r="Z209" s="15"/>
      <c r="AA209" s="15"/>
      <c r="AB209" s="15"/>
      <c r="AC209" s="13"/>
      <c r="AD209" s="15"/>
      <c r="AE209" s="15"/>
      <c r="AF209" s="15"/>
      <c r="AG209" s="13"/>
      <c r="AH209" s="15"/>
      <c r="AI209" s="15"/>
      <c r="AJ209" s="15"/>
      <c r="AK209" s="13"/>
      <c r="AL209" s="15"/>
      <c r="AM209" s="15"/>
      <c r="AN209" s="13"/>
      <c r="AO209" s="13"/>
    </row>
    <row r="210" spans="1:41" ht="72.5" x14ac:dyDescent="0.35">
      <c r="A210" s="13" t="s">
        <v>76</v>
      </c>
      <c r="B210" s="13" t="s">
        <v>77</v>
      </c>
      <c r="C210" s="14">
        <v>43152.5</v>
      </c>
      <c r="D210" s="13" t="s">
        <v>78</v>
      </c>
      <c r="E210" s="15" t="s">
        <v>79</v>
      </c>
      <c r="F210" s="13" t="s">
        <v>80</v>
      </c>
      <c r="G210" s="15" t="s">
        <v>81</v>
      </c>
      <c r="H210" s="13" t="s">
        <v>392</v>
      </c>
      <c r="I210" s="15" t="s">
        <v>393</v>
      </c>
      <c r="J210" s="15" t="s">
        <v>394</v>
      </c>
      <c r="K210" s="15" t="s">
        <v>395</v>
      </c>
      <c r="L210" s="13" t="s">
        <v>398</v>
      </c>
      <c r="M210" s="15" t="s">
        <v>399</v>
      </c>
      <c r="N210" s="13" t="s">
        <v>101</v>
      </c>
      <c r="O210" s="15"/>
      <c r="P210" s="15"/>
      <c r="Q210" s="15" t="s">
        <v>177</v>
      </c>
      <c r="R210" s="13" t="s">
        <v>178</v>
      </c>
      <c r="S210" s="13" t="s">
        <v>179</v>
      </c>
      <c r="T210" s="13" t="s">
        <v>94</v>
      </c>
      <c r="U210" s="14">
        <v>40725</v>
      </c>
      <c r="V210" s="14"/>
      <c r="W210" s="15"/>
      <c r="X210" s="15"/>
      <c r="Y210" s="13"/>
      <c r="Z210" s="15"/>
      <c r="AA210" s="15"/>
      <c r="AB210" s="15"/>
      <c r="AC210" s="13"/>
      <c r="AD210" s="15"/>
      <c r="AE210" s="15"/>
      <c r="AF210" s="15"/>
      <c r="AG210" s="13"/>
      <c r="AH210" s="15"/>
      <c r="AI210" s="15"/>
      <c r="AJ210" s="15"/>
      <c r="AK210" s="13"/>
      <c r="AL210" s="15"/>
      <c r="AM210" s="15"/>
      <c r="AN210" s="13"/>
      <c r="AO210" s="13"/>
    </row>
    <row r="211" spans="1:41" ht="72.5" x14ac:dyDescent="0.35">
      <c r="A211" s="13" t="s">
        <v>238</v>
      </c>
      <c r="B211" s="13" t="s">
        <v>109</v>
      </c>
      <c r="C211" s="14">
        <v>44368.708333333336</v>
      </c>
      <c r="D211" s="13" t="s">
        <v>78</v>
      </c>
      <c r="E211" s="15" t="s">
        <v>79</v>
      </c>
      <c r="F211" s="13" t="s">
        <v>80</v>
      </c>
      <c r="G211" s="15" t="s">
        <v>81</v>
      </c>
      <c r="H211" s="13" t="s">
        <v>392</v>
      </c>
      <c r="I211" s="15" t="s">
        <v>393</v>
      </c>
      <c r="J211" s="15" t="s">
        <v>394</v>
      </c>
      <c r="K211" s="15" t="s">
        <v>395</v>
      </c>
      <c r="L211" s="13" t="s">
        <v>396</v>
      </c>
      <c r="M211" s="15" t="s">
        <v>397</v>
      </c>
      <c r="N211" s="13" t="s">
        <v>379</v>
      </c>
      <c r="O211" s="15"/>
      <c r="P211" s="15"/>
      <c r="Q211" s="15" t="s">
        <v>201</v>
      </c>
      <c r="R211" s="13" t="s">
        <v>202</v>
      </c>
      <c r="S211" s="13" t="s">
        <v>179</v>
      </c>
      <c r="T211" s="13" t="s">
        <v>112</v>
      </c>
      <c r="U211" s="14">
        <v>40725</v>
      </c>
      <c r="V211" s="14"/>
      <c r="W211" s="15"/>
      <c r="X211" s="15"/>
      <c r="Y211" s="13"/>
      <c r="Z211" s="15"/>
      <c r="AA211" s="15"/>
      <c r="AB211" s="15"/>
      <c r="AC211" s="13"/>
      <c r="AD211" s="15"/>
      <c r="AE211" s="15"/>
      <c r="AF211" s="15"/>
      <c r="AG211" s="13"/>
      <c r="AH211" s="15"/>
      <c r="AI211" s="15"/>
      <c r="AJ211" s="15"/>
      <c r="AK211" s="13"/>
      <c r="AL211" s="15"/>
      <c r="AM211" s="15"/>
      <c r="AN211" s="13"/>
      <c r="AO211" s="13"/>
    </row>
    <row r="212" spans="1:41" ht="72.5" x14ac:dyDescent="0.35">
      <c r="A212" s="13" t="s">
        <v>238</v>
      </c>
      <c r="B212" s="13" t="s">
        <v>109</v>
      </c>
      <c r="C212" s="14">
        <v>44368.708333333336</v>
      </c>
      <c r="D212" s="13" t="s">
        <v>78</v>
      </c>
      <c r="E212" s="15" t="s">
        <v>79</v>
      </c>
      <c r="F212" s="13" t="s">
        <v>80</v>
      </c>
      <c r="G212" s="15" t="s">
        <v>81</v>
      </c>
      <c r="H212" s="13" t="s">
        <v>392</v>
      </c>
      <c r="I212" s="15" t="s">
        <v>393</v>
      </c>
      <c r="J212" s="15" t="s">
        <v>394</v>
      </c>
      <c r="K212" s="15" t="s">
        <v>395</v>
      </c>
      <c r="L212" s="13" t="s">
        <v>398</v>
      </c>
      <c r="M212" s="15" t="s">
        <v>399</v>
      </c>
      <c r="N212" s="13" t="s">
        <v>101</v>
      </c>
      <c r="O212" s="15"/>
      <c r="P212" s="15"/>
      <c r="Q212" s="15" t="s">
        <v>201</v>
      </c>
      <c r="R212" s="13" t="s">
        <v>202</v>
      </c>
      <c r="S212" s="13" t="s">
        <v>179</v>
      </c>
      <c r="T212" s="13" t="s">
        <v>112</v>
      </c>
      <c r="U212" s="14">
        <v>40725</v>
      </c>
      <c r="V212" s="14"/>
      <c r="W212" s="15"/>
      <c r="X212" s="15"/>
      <c r="Y212" s="13"/>
      <c r="Z212" s="15"/>
      <c r="AA212" s="15"/>
      <c r="AB212" s="15"/>
      <c r="AC212" s="13"/>
      <c r="AD212" s="15"/>
      <c r="AE212" s="15"/>
      <c r="AF212" s="15"/>
      <c r="AG212" s="13"/>
      <c r="AH212" s="15"/>
      <c r="AI212" s="15"/>
      <c r="AJ212" s="15"/>
      <c r="AK212" s="13"/>
      <c r="AL212" s="15"/>
      <c r="AM212" s="15"/>
      <c r="AN212" s="13"/>
      <c r="AO212" s="13"/>
    </row>
    <row r="213" spans="1:41" ht="43.5" x14ac:dyDescent="0.35">
      <c r="A213" s="13" t="s">
        <v>76</v>
      </c>
      <c r="B213" s="13" t="s">
        <v>77</v>
      </c>
      <c r="C213" s="14">
        <v>43152.5</v>
      </c>
      <c r="D213" s="13" t="s">
        <v>78</v>
      </c>
      <c r="E213" s="15" t="s">
        <v>79</v>
      </c>
      <c r="F213" s="13" t="s">
        <v>80</v>
      </c>
      <c r="G213" s="15" t="s">
        <v>81</v>
      </c>
      <c r="H213" s="13" t="s">
        <v>413</v>
      </c>
      <c r="I213" s="15" t="s">
        <v>414</v>
      </c>
      <c r="J213" s="15" t="s">
        <v>415</v>
      </c>
      <c r="K213" s="15" t="s">
        <v>416</v>
      </c>
      <c r="L213" s="13" t="s">
        <v>417</v>
      </c>
      <c r="M213" s="15" t="s">
        <v>418</v>
      </c>
      <c r="N213" s="13" t="s">
        <v>379</v>
      </c>
      <c r="O213" s="15"/>
      <c r="P213" s="15"/>
      <c r="Q213" s="15" t="s">
        <v>91</v>
      </c>
      <c r="R213" s="13" t="s">
        <v>92</v>
      </c>
      <c r="S213" s="13" t="s">
        <v>93</v>
      </c>
      <c r="T213" s="13" t="s">
        <v>94</v>
      </c>
      <c r="U213" s="14">
        <v>40725</v>
      </c>
      <c r="V213" s="14"/>
      <c r="W213" s="15"/>
      <c r="X213" s="15"/>
      <c r="Y213" s="13"/>
      <c r="Z213" s="15"/>
      <c r="AA213" s="15"/>
      <c r="AB213" s="15"/>
      <c r="AC213" s="13"/>
      <c r="AD213" s="15"/>
      <c r="AE213" s="15"/>
      <c r="AF213" s="15"/>
      <c r="AG213" s="13"/>
      <c r="AH213" s="15"/>
      <c r="AI213" s="15"/>
      <c r="AJ213" s="15"/>
      <c r="AK213" s="13"/>
      <c r="AL213" s="15"/>
      <c r="AM213" s="15"/>
      <c r="AN213" s="13"/>
      <c r="AO213" s="13"/>
    </row>
    <row r="214" spans="1:41" ht="43.5" x14ac:dyDescent="0.35">
      <c r="A214" s="13" t="s">
        <v>76</v>
      </c>
      <c r="B214" s="13" t="s">
        <v>77</v>
      </c>
      <c r="C214" s="14">
        <v>43152.5</v>
      </c>
      <c r="D214" s="13" t="s">
        <v>78</v>
      </c>
      <c r="E214" s="15" t="s">
        <v>79</v>
      </c>
      <c r="F214" s="13" t="s">
        <v>80</v>
      </c>
      <c r="G214" s="15" t="s">
        <v>81</v>
      </c>
      <c r="H214" s="13" t="s">
        <v>413</v>
      </c>
      <c r="I214" s="15" t="s">
        <v>414</v>
      </c>
      <c r="J214" s="15" t="s">
        <v>415</v>
      </c>
      <c r="K214" s="15" t="s">
        <v>416</v>
      </c>
      <c r="L214" s="13" t="s">
        <v>419</v>
      </c>
      <c r="M214" s="15" t="s">
        <v>420</v>
      </c>
      <c r="N214" s="13" t="s">
        <v>101</v>
      </c>
      <c r="O214" s="15"/>
      <c r="P214" s="15"/>
      <c r="Q214" s="15" t="s">
        <v>91</v>
      </c>
      <c r="R214" s="13" t="s">
        <v>92</v>
      </c>
      <c r="S214" s="13" t="s">
        <v>93</v>
      </c>
      <c r="T214" s="13" t="s">
        <v>94</v>
      </c>
      <c r="U214" s="14">
        <v>40725</v>
      </c>
      <c r="V214" s="14"/>
      <c r="W214" s="15"/>
      <c r="X214" s="15"/>
      <c r="Y214" s="13"/>
      <c r="Z214" s="15"/>
      <c r="AA214" s="15"/>
      <c r="AB214" s="15"/>
      <c r="AC214" s="13"/>
      <c r="AD214" s="15"/>
      <c r="AE214" s="15"/>
      <c r="AF214" s="15"/>
      <c r="AG214" s="13"/>
      <c r="AH214" s="15"/>
      <c r="AI214" s="15"/>
      <c r="AJ214" s="15"/>
      <c r="AK214" s="13"/>
      <c r="AL214" s="15"/>
      <c r="AM214" s="15"/>
      <c r="AN214" s="13"/>
      <c r="AO214" s="13"/>
    </row>
    <row r="215" spans="1:41" ht="43.5" x14ac:dyDescent="0.35">
      <c r="A215" s="13" t="s">
        <v>76</v>
      </c>
      <c r="B215" s="13" t="s">
        <v>77</v>
      </c>
      <c r="C215" s="14">
        <v>43152.5</v>
      </c>
      <c r="D215" s="13" t="s">
        <v>78</v>
      </c>
      <c r="E215" s="15" t="s">
        <v>79</v>
      </c>
      <c r="F215" s="13" t="s">
        <v>80</v>
      </c>
      <c r="G215" s="15" t="s">
        <v>81</v>
      </c>
      <c r="H215" s="13" t="s">
        <v>413</v>
      </c>
      <c r="I215" s="15" t="s">
        <v>414</v>
      </c>
      <c r="J215" s="15" t="s">
        <v>415</v>
      </c>
      <c r="K215" s="15" t="s">
        <v>416</v>
      </c>
      <c r="L215" s="13" t="s">
        <v>417</v>
      </c>
      <c r="M215" s="15" t="s">
        <v>418</v>
      </c>
      <c r="N215" s="13" t="s">
        <v>379</v>
      </c>
      <c r="O215" s="15"/>
      <c r="P215" s="15"/>
      <c r="Q215" s="15" t="s">
        <v>104</v>
      </c>
      <c r="R215" s="13" t="s">
        <v>105</v>
      </c>
      <c r="S215" s="13" t="s">
        <v>93</v>
      </c>
      <c r="T215" s="13" t="s">
        <v>94</v>
      </c>
      <c r="U215" s="14">
        <v>40725</v>
      </c>
      <c r="V215" s="14"/>
      <c r="W215" s="15"/>
      <c r="X215" s="15"/>
      <c r="Y215" s="13"/>
      <c r="Z215" s="15"/>
      <c r="AA215" s="15"/>
      <c r="AB215" s="15"/>
      <c r="AC215" s="13"/>
      <c r="AD215" s="15"/>
      <c r="AE215" s="15"/>
      <c r="AF215" s="15"/>
      <c r="AG215" s="13"/>
      <c r="AH215" s="15"/>
      <c r="AI215" s="15"/>
      <c r="AJ215" s="15"/>
      <c r="AK215" s="13"/>
      <c r="AL215" s="15"/>
      <c r="AM215" s="15"/>
      <c r="AN215" s="13"/>
      <c r="AO215" s="13"/>
    </row>
    <row r="216" spans="1:41" ht="43.5" x14ac:dyDescent="0.35">
      <c r="A216" s="13" t="s">
        <v>76</v>
      </c>
      <c r="B216" s="13" t="s">
        <v>77</v>
      </c>
      <c r="C216" s="14">
        <v>43152.5</v>
      </c>
      <c r="D216" s="13" t="s">
        <v>78</v>
      </c>
      <c r="E216" s="15" t="s">
        <v>79</v>
      </c>
      <c r="F216" s="13" t="s">
        <v>80</v>
      </c>
      <c r="G216" s="15" t="s">
        <v>81</v>
      </c>
      <c r="H216" s="13" t="s">
        <v>413</v>
      </c>
      <c r="I216" s="15" t="s">
        <v>414</v>
      </c>
      <c r="J216" s="15" t="s">
        <v>415</v>
      </c>
      <c r="K216" s="15" t="s">
        <v>416</v>
      </c>
      <c r="L216" s="13" t="s">
        <v>419</v>
      </c>
      <c r="M216" s="15" t="s">
        <v>420</v>
      </c>
      <c r="N216" s="13" t="s">
        <v>101</v>
      </c>
      <c r="O216" s="15"/>
      <c r="P216" s="15"/>
      <c r="Q216" s="15" t="s">
        <v>104</v>
      </c>
      <c r="R216" s="13" t="s">
        <v>105</v>
      </c>
      <c r="S216" s="13" t="s">
        <v>93</v>
      </c>
      <c r="T216" s="13" t="s">
        <v>94</v>
      </c>
      <c r="U216" s="14">
        <v>40725</v>
      </c>
      <c r="V216" s="14"/>
      <c r="W216" s="15"/>
      <c r="X216" s="15"/>
      <c r="Y216" s="13"/>
      <c r="Z216" s="15"/>
      <c r="AA216" s="15"/>
      <c r="AB216" s="15"/>
      <c r="AC216" s="13"/>
      <c r="AD216" s="15"/>
      <c r="AE216" s="15"/>
      <c r="AF216" s="15"/>
      <c r="AG216" s="13"/>
      <c r="AH216" s="15"/>
      <c r="AI216" s="15"/>
      <c r="AJ216" s="15"/>
      <c r="AK216" s="13"/>
      <c r="AL216" s="15"/>
      <c r="AM216" s="15"/>
      <c r="AN216" s="13"/>
      <c r="AO216" s="13"/>
    </row>
    <row r="217" spans="1:41" ht="43.5" x14ac:dyDescent="0.35">
      <c r="A217" s="13" t="s">
        <v>76</v>
      </c>
      <c r="B217" s="13" t="s">
        <v>77</v>
      </c>
      <c r="C217" s="14">
        <v>43152.5</v>
      </c>
      <c r="D217" s="13" t="s">
        <v>78</v>
      </c>
      <c r="E217" s="15" t="s">
        <v>79</v>
      </c>
      <c r="F217" s="13" t="s">
        <v>80</v>
      </c>
      <c r="G217" s="15" t="s">
        <v>81</v>
      </c>
      <c r="H217" s="13" t="s">
        <v>413</v>
      </c>
      <c r="I217" s="15" t="s">
        <v>414</v>
      </c>
      <c r="J217" s="15" t="s">
        <v>415</v>
      </c>
      <c r="K217" s="15" t="s">
        <v>416</v>
      </c>
      <c r="L217" s="13" t="s">
        <v>417</v>
      </c>
      <c r="M217" s="15" t="s">
        <v>418</v>
      </c>
      <c r="N217" s="13" t="s">
        <v>379</v>
      </c>
      <c r="O217" s="15"/>
      <c r="P217" s="15"/>
      <c r="Q217" s="15" t="s">
        <v>106</v>
      </c>
      <c r="R217" s="13" t="s">
        <v>107</v>
      </c>
      <c r="S217" s="13" t="s">
        <v>93</v>
      </c>
      <c r="T217" s="13" t="s">
        <v>94</v>
      </c>
      <c r="U217" s="14">
        <v>40725</v>
      </c>
      <c r="V217" s="14"/>
      <c r="W217" s="15"/>
      <c r="X217" s="15"/>
      <c r="Y217" s="13"/>
      <c r="Z217" s="15"/>
      <c r="AA217" s="15"/>
      <c r="AB217" s="15"/>
      <c r="AC217" s="13"/>
      <c r="AD217" s="15"/>
      <c r="AE217" s="15"/>
      <c r="AF217" s="15"/>
      <c r="AG217" s="13"/>
      <c r="AH217" s="15"/>
      <c r="AI217" s="15"/>
      <c r="AJ217" s="15"/>
      <c r="AK217" s="13"/>
      <c r="AL217" s="15"/>
      <c r="AM217" s="15"/>
      <c r="AN217" s="13"/>
      <c r="AO217" s="13"/>
    </row>
    <row r="218" spans="1:41" ht="43.5" x14ac:dyDescent="0.35">
      <c r="A218" s="13" t="s">
        <v>76</v>
      </c>
      <c r="B218" s="13" t="s">
        <v>77</v>
      </c>
      <c r="C218" s="14">
        <v>43152.5</v>
      </c>
      <c r="D218" s="13" t="s">
        <v>78</v>
      </c>
      <c r="E218" s="15" t="s">
        <v>79</v>
      </c>
      <c r="F218" s="13" t="s">
        <v>80</v>
      </c>
      <c r="G218" s="15" t="s">
        <v>81</v>
      </c>
      <c r="H218" s="13" t="s">
        <v>413</v>
      </c>
      <c r="I218" s="15" t="s">
        <v>414</v>
      </c>
      <c r="J218" s="15" t="s">
        <v>415</v>
      </c>
      <c r="K218" s="15" t="s">
        <v>416</v>
      </c>
      <c r="L218" s="13" t="s">
        <v>419</v>
      </c>
      <c r="M218" s="15" t="s">
        <v>420</v>
      </c>
      <c r="N218" s="13" t="s">
        <v>101</v>
      </c>
      <c r="O218" s="15"/>
      <c r="P218" s="15"/>
      <c r="Q218" s="15" t="s">
        <v>106</v>
      </c>
      <c r="R218" s="13" t="s">
        <v>107</v>
      </c>
      <c r="S218" s="13" t="s">
        <v>93</v>
      </c>
      <c r="T218" s="13" t="s">
        <v>94</v>
      </c>
      <c r="U218" s="14">
        <v>40725</v>
      </c>
      <c r="V218" s="14"/>
      <c r="W218" s="15"/>
      <c r="X218" s="15"/>
      <c r="Y218" s="13"/>
      <c r="Z218" s="15"/>
      <c r="AA218" s="15"/>
      <c r="AB218" s="15"/>
      <c r="AC218" s="13"/>
      <c r="AD218" s="15"/>
      <c r="AE218" s="15"/>
      <c r="AF218" s="15"/>
      <c r="AG218" s="13"/>
      <c r="AH218" s="15"/>
      <c r="AI218" s="15"/>
      <c r="AJ218" s="15"/>
      <c r="AK218" s="13"/>
      <c r="AL218" s="15"/>
      <c r="AM218" s="15"/>
      <c r="AN218" s="13"/>
      <c r="AO218" s="13"/>
    </row>
    <row r="219" spans="1:41" ht="43.5" x14ac:dyDescent="0.35">
      <c r="A219" s="13" t="s">
        <v>421</v>
      </c>
      <c r="B219" s="13" t="s">
        <v>109</v>
      </c>
      <c r="C219" s="14">
        <v>44889.48333333333</v>
      </c>
      <c r="D219" s="13" t="s">
        <v>78</v>
      </c>
      <c r="E219" s="15" t="s">
        <v>79</v>
      </c>
      <c r="F219" s="13" t="s">
        <v>80</v>
      </c>
      <c r="G219" s="15" t="s">
        <v>81</v>
      </c>
      <c r="H219" s="13" t="s">
        <v>413</v>
      </c>
      <c r="I219" s="15" t="s">
        <v>414</v>
      </c>
      <c r="J219" s="15" t="s">
        <v>415</v>
      </c>
      <c r="K219" s="15" t="s">
        <v>416</v>
      </c>
      <c r="L219" s="13" t="s">
        <v>417</v>
      </c>
      <c r="M219" s="15" t="s">
        <v>418</v>
      </c>
      <c r="N219" s="13" t="s">
        <v>379</v>
      </c>
      <c r="O219" s="15"/>
      <c r="P219" s="15"/>
      <c r="Q219" s="15" t="s">
        <v>110</v>
      </c>
      <c r="R219" s="13" t="s">
        <v>111</v>
      </c>
      <c r="S219" s="13" t="s">
        <v>93</v>
      </c>
      <c r="T219" s="13" t="s">
        <v>112</v>
      </c>
      <c r="U219" s="14">
        <v>40725</v>
      </c>
      <c r="V219" s="14"/>
      <c r="W219" s="15"/>
      <c r="X219" s="15"/>
      <c r="Y219" s="13"/>
      <c r="Z219" s="15"/>
      <c r="AA219" s="15"/>
      <c r="AB219" s="15"/>
      <c r="AC219" s="13"/>
      <c r="AD219" s="15"/>
      <c r="AE219" s="15"/>
      <c r="AF219" s="15"/>
      <c r="AG219" s="13"/>
      <c r="AH219" s="15"/>
      <c r="AI219" s="15"/>
      <c r="AJ219" s="15"/>
      <c r="AK219" s="13"/>
      <c r="AL219" s="15"/>
      <c r="AM219" s="15"/>
      <c r="AN219" s="13"/>
      <c r="AO219" s="13"/>
    </row>
    <row r="220" spans="1:41" ht="43.5" x14ac:dyDescent="0.35">
      <c r="A220" s="13" t="s">
        <v>421</v>
      </c>
      <c r="B220" s="13" t="s">
        <v>109</v>
      </c>
      <c r="C220" s="14">
        <v>44889.484722222223</v>
      </c>
      <c r="D220" s="13" t="s">
        <v>78</v>
      </c>
      <c r="E220" s="15" t="s">
        <v>79</v>
      </c>
      <c r="F220" s="13" t="s">
        <v>80</v>
      </c>
      <c r="G220" s="15" t="s">
        <v>81</v>
      </c>
      <c r="H220" s="13" t="s">
        <v>413</v>
      </c>
      <c r="I220" s="15" t="s">
        <v>414</v>
      </c>
      <c r="J220" s="15" t="s">
        <v>415</v>
      </c>
      <c r="K220" s="15" t="s">
        <v>416</v>
      </c>
      <c r="L220" s="13" t="s">
        <v>419</v>
      </c>
      <c r="M220" s="15" t="s">
        <v>420</v>
      </c>
      <c r="N220" s="13" t="s">
        <v>101</v>
      </c>
      <c r="O220" s="15"/>
      <c r="P220" s="15"/>
      <c r="Q220" s="15" t="s">
        <v>110</v>
      </c>
      <c r="R220" s="13" t="s">
        <v>111</v>
      </c>
      <c r="S220" s="13" t="s">
        <v>93</v>
      </c>
      <c r="T220" s="13" t="s">
        <v>112</v>
      </c>
      <c r="U220" s="14">
        <v>40725</v>
      </c>
      <c r="V220" s="14"/>
      <c r="W220" s="15"/>
      <c r="X220" s="15"/>
      <c r="Y220" s="13"/>
      <c r="Z220" s="15"/>
      <c r="AA220" s="15"/>
      <c r="AB220" s="15"/>
      <c r="AC220" s="13"/>
      <c r="AD220" s="15"/>
      <c r="AE220" s="15"/>
      <c r="AF220" s="15"/>
      <c r="AG220" s="13"/>
      <c r="AH220" s="15"/>
      <c r="AI220" s="15"/>
      <c r="AJ220" s="15"/>
      <c r="AK220" s="13"/>
      <c r="AL220" s="15"/>
      <c r="AM220" s="15"/>
      <c r="AN220" s="13"/>
      <c r="AO220" s="13"/>
    </row>
    <row r="221" spans="1:41" ht="43.5" x14ac:dyDescent="0.35">
      <c r="A221" s="13" t="s">
        <v>76</v>
      </c>
      <c r="B221" s="13" t="s">
        <v>77</v>
      </c>
      <c r="C221" s="14">
        <v>43152.5</v>
      </c>
      <c r="D221" s="13" t="s">
        <v>78</v>
      </c>
      <c r="E221" s="15" t="s">
        <v>79</v>
      </c>
      <c r="F221" s="13" t="s">
        <v>80</v>
      </c>
      <c r="G221" s="15" t="s">
        <v>81</v>
      </c>
      <c r="H221" s="13" t="s">
        <v>413</v>
      </c>
      <c r="I221" s="15" t="s">
        <v>414</v>
      </c>
      <c r="J221" s="15" t="s">
        <v>415</v>
      </c>
      <c r="K221" s="15" t="s">
        <v>416</v>
      </c>
      <c r="L221" s="13" t="s">
        <v>417</v>
      </c>
      <c r="M221" s="15" t="s">
        <v>418</v>
      </c>
      <c r="N221" s="13" t="s">
        <v>379</v>
      </c>
      <c r="O221" s="15"/>
      <c r="P221" s="15"/>
      <c r="Q221" s="15" t="s">
        <v>175</v>
      </c>
      <c r="R221" s="13" t="s">
        <v>176</v>
      </c>
      <c r="S221" s="13" t="s">
        <v>93</v>
      </c>
      <c r="T221" s="13" t="s">
        <v>94</v>
      </c>
      <c r="U221" s="14">
        <v>40725</v>
      </c>
      <c r="V221" s="14"/>
      <c r="W221" s="15"/>
      <c r="X221" s="15"/>
      <c r="Y221" s="13"/>
      <c r="Z221" s="15"/>
      <c r="AA221" s="15"/>
      <c r="AB221" s="15"/>
      <c r="AC221" s="13"/>
      <c r="AD221" s="15"/>
      <c r="AE221" s="15"/>
      <c r="AF221" s="15"/>
      <c r="AG221" s="13"/>
      <c r="AH221" s="15"/>
      <c r="AI221" s="15"/>
      <c r="AJ221" s="15"/>
      <c r="AK221" s="13"/>
      <c r="AL221" s="15"/>
      <c r="AM221" s="15"/>
      <c r="AN221" s="13"/>
      <c r="AO221" s="13"/>
    </row>
    <row r="222" spans="1:41" ht="43.5" x14ac:dyDescent="0.35">
      <c r="A222" s="13" t="s">
        <v>76</v>
      </c>
      <c r="B222" s="13" t="s">
        <v>77</v>
      </c>
      <c r="C222" s="14">
        <v>43152.5</v>
      </c>
      <c r="D222" s="13" t="s">
        <v>78</v>
      </c>
      <c r="E222" s="15" t="s">
        <v>79</v>
      </c>
      <c r="F222" s="13" t="s">
        <v>80</v>
      </c>
      <c r="G222" s="15" t="s">
        <v>81</v>
      </c>
      <c r="H222" s="13" t="s">
        <v>413</v>
      </c>
      <c r="I222" s="15" t="s">
        <v>414</v>
      </c>
      <c r="J222" s="15" t="s">
        <v>415</v>
      </c>
      <c r="K222" s="15" t="s">
        <v>416</v>
      </c>
      <c r="L222" s="13" t="s">
        <v>419</v>
      </c>
      <c r="M222" s="15" t="s">
        <v>420</v>
      </c>
      <c r="N222" s="13" t="s">
        <v>101</v>
      </c>
      <c r="O222" s="15"/>
      <c r="P222" s="15"/>
      <c r="Q222" s="15" t="s">
        <v>175</v>
      </c>
      <c r="R222" s="13" t="s">
        <v>176</v>
      </c>
      <c r="S222" s="13" t="s">
        <v>93</v>
      </c>
      <c r="T222" s="13" t="s">
        <v>94</v>
      </c>
      <c r="U222" s="14">
        <v>40725</v>
      </c>
      <c r="V222" s="14"/>
      <c r="W222" s="15"/>
      <c r="X222" s="15"/>
      <c r="Y222" s="13"/>
      <c r="Z222" s="15"/>
      <c r="AA222" s="15"/>
      <c r="AB222" s="15"/>
      <c r="AC222" s="13"/>
      <c r="AD222" s="15"/>
      <c r="AE222" s="15"/>
      <c r="AF222" s="15"/>
      <c r="AG222" s="13"/>
      <c r="AH222" s="15"/>
      <c r="AI222" s="15"/>
      <c r="AJ222" s="15"/>
      <c r="AK222" s="13"/>
      <c r="AL222" s="15"/>
      <c r="AM222" s="15"/>
      <c r="AN222" s="13"/>
      <c r="AO222" s="13"/>
    </row>
    <row r="223" spans="1:41" ht="43.5" x14ac:dyDescent="0.35">
      <c r="A223" s="13" t="s">
        <v>238</v>
      </c>
      <c r="B223" s="13" t="s">
        <v>109</v>
      </c>
      <c r="C223" s="14">
        <v>44368.708333333336</v>
      </c>
      <c r="D223" s="13" t="s">
        <v>78</v>
      </c>
      <c r="E223" s="15" t="s">
        <v>79</v>
      </c>
      <c r="F223" s="13" t="s">
        <v>80</v>
      </c>
      <c r="G223" s="15" t="s">
        <v>81</v>
      </c>
      <c r="H223" s="13" t="s">
        <v>413</v>
      </c>
      <c r="I223" s="15" t="s">
        <v>414</v>
      </c>
      <c r="J223" s="15" t="s">
        <v>415</v>
      </c>
      <c r="K223" s="15" t="s">
        <v>416</v>
      </c>
      <c r="L223" s="13" t="s">
        <v>417</v>
      </c>
      <c r="M223" s="15" t="s">
        <v>418</v>
      </c>
      <c r="N223" s="13" t="s">
        <v>379</v>
      </c>
      <c r="O223" s="15"/>
      <c r="P223" s="15"/>
      <c r="Q223" s="15" t="s">
        <v>177</v>
      </c>
      <c r="R223" s="13" t="s">
        <v>178</v>
      </c>
      <c r="S223" s="13" t="s">
        <v>179</v>
      </c>
      <c r="T223" s="13" t="s">
        <v>112</v>
      </c>
      <c r="U223" s="14">
        <v>40725</v>
      </c>
      <c r="V223" s="14"/>
      <c r="W223" s="15"/>
      <c r="X223" s="15"/>
      <c r="Y223" s="13"/>
      <c r="Z223" s="15"/>
      <c r="AA223" s="15"/>
      <c r="AB223" s="15"/>
      <c r="AC223" s="13"/>
      <c r="AD223" s="15"/>
      <c r="AE223" s="15"/>
      <c r="AF223" s="15"/>
      <c r="AG223" s="13"/>
      <c r="AH223" s="15"/>
      <c r="AI223" s="15"/>
      <c r="AJ223" s="15"/>
      <c r="AK223" s="13"/>
      <c r="AL223" s="15"/>
      <c r="AM223" s="15"/>
      <c r="AN223" s="13"/>
      <c r="AO223" s="13"/>
    </row>
    <row r="224" spans="1:41" ht="43.5" x14ac:dyDescent="0.35">
      <c r="A224" s="13" t="s">
        <v>238</v>
      </c>
      <c r="B224" s="13" t="s">
        <v>109</v>
      </c>
      <c r="C224" s="14">
        <v>44368.708333333336</v>
      </c>
      <c r="D224" s="13" t="s">
        <v>78</v>
      </c>
      <c r="E224" s="15" t="s">
        <v>79</v>
      </c>
      <c r="F224" s="13" t="s">
        <v>80</v>
      </c>
      <c r="G224" s="15" t="s">
        <v>81</v>
      </c>
      <c r="H224" s="13" t="s">
        <v>413</v>
      </c>
      <c r="I224" s="15" t="s">
        <v>414</v>
      </c>
      <c r="J224" s="15" t="s">
        <v>415</v>
      </c>
      <c r="K224" s="15" t="s">
        <v>416</v>
      </c>
      <c r="L224" s="13" t="s">
        <v>419</v>
      </c>
      <c r="M224" s="15" t="s">
        <v>420</v>
      </c>
      <c r="N224" s="13" t="s">
        <v>101</v>
      </c>
      <c r="O224" s="15"/>
      <c r="P224" s="15"/>
      <c r="Q224" s="15" t="s">
        <v>177</v>
      </c>
      <c r="R224" s="13" t="s">
        <v>178</v>
      </c>
      <c r="S224" s="13" t="s">
        <v>179</v>
      </c>
      <c r="T224" s="13" t="s">
        <v>112</v>
      </c>
      <c r="U224" s="14">
        <v>40725</v>
      </c>
      <c r="V224" s="14"/>
      <c r="W224" s="15"/>
      <c r="X224" s="15"/>
      <c r="Y224" s="13"/>
      <c r="Z224" s="15"/>
      <c r="AA224" s="15"/>
      <c r="AB224" s="15"/>
      <c r="AC224" s="13"/>
      <c r="AD224" s="15"/>
      <c r="AE224" s="15"/>
      <c r="AF224" s="15"/>
      <c r="AG224" s="13"/>
      <c r="AH224" s="15"/>
      <c r="AI224" s="15"/>
      <c r="AJ224" s="15"/>
      <c r="AK224" s="13"/>
      <c r="AL224" s="15"/>
      <c r="AM224" s="15"/>
      <c r="AN224" s="13"/>
      <c r="AO224" s="13"/>
    </row>
    <row r="225" spans="1:41" ht="58" x14ac:dyDescent="0.35">
      <c r="A225" s="13" t="s">
        <v>238</v>
      </c>
      <c r="B225" s="13" t="s">
        <v>109</v>
      </c>
      <c r="C225" s="14">
        <v>44368.708333333336</v>
      </c>
      <c r="D225" s="13" t="s">
        <v>78</v>
      </c>
      <c r="E225" s="15" t="s">
        <v>79</v>
      </c>
      <c r="F225" s="13" t="s">
        <v>80</v>
      </c>
      <c r="G225" s="15" t="s">
        <v>81</v>
      </c>
      <c r="H225" s="13" t="s">
        <v>413</v>
      </c>
      <c r="I225" s="15" t="s">
        <v>414</v>
      </c>
      <c r="J225" s="15" t="s">
        <v>415</v>
      </c>
      <c r="K225" s="15" t="s">
        <v>416</v>
      </c>
      <c r="L225" s="13" t="s">
        <v>417</v>
      </c>
      <c r="M225" s="15" t="s">
        <v>418</v>
      </c>
      <c r="N225" s="13" t="s">
        <v>379</v>
      </c>
      <c r="O225" s="15"/>
      <c r="P225" s="15"/>
      <c r="Q225" s="15" t="s">
        <v>201</v>
      </c>
      <c r="R225" s="13" t="s">
        <v>202</v>
      </c>
      <c r="S225" s="13" t="s">
        <v>179</v>
      </c>
      <c r="T225" s="13" t="s">
        <v>112</v>
      </c>
      <c r="U225" s="14">
        <v>40725</v>
      </c>
      <c r="V225" s="14"/>
      <c r="W225" s="15"/>
      <c r="X225" s="15"/>
      <c r="Y225" s="13"/>
      <c r="Z225" s="15"/>
      <c r="AA225" s="15"/>
      <c r="AB225" s="15"/>
      <c r="AC225" s="13"/>
      <c r="AD225" s="15"/>
      <c r="AE225" s="15"/>
      <c r="AF225" s="15"/>
      <c r="AG225" s="13"/>
      <c r="AH225" s="15"/>
      <c r="AI225" s="15"/>
      <c r="AJ225" s="15"/>
      <c r="AK225" s="13"/>
      <c r="AL225" s="15"/>
      <c r="AM225" s="15"/>
      <c r="AN225" s="13"/>
      <c r="AO225" s="13"/>
    </row>
    <row r="226" spans="1:41" ht="58" x14ac:dyDescent="0.35">
      <c r="A226" s="13" t="s">
        <v>238</v>
      </c>
      <c r="B226" s="13" t="s">
        <v>109</v>
      </c>
      <c r="C226" s="14">
        <v>44368.708333333336</v>
      </c>
      <c r="D226" s="13" t="s">
        <v>78</v>
      </c>
      <c r="E226" s="15" t="s">
        <v>79</v>
      </c>
      <c r="F226" s="13" t="s">
        <v>80</v>
      </c>
      <c r="G226" s="15" t="s">
        <v>81</v>
      </c>
      <c r="H226" s="13" t="s">
        <v>413</v>
      </c>
      <c r="I226" s="15" t="s">
        <v>414</v>
      </c>
      <c r="J226" s="15" t="s">
        <v>415</v>
      </c>
      <c r="K226" s="15" t="s">
        <v>416</v>
      </c>
      <c r="L226" s="13" t="s">
        <v>419</v>
      </c>
      <c r="M226" s="15" t="s">
        <v>420</v>
      </c>
      <c r="N226" s="13" t="s">
        <v>101</v>
      </c>
      <c r="O226" s="15"/>
      <c r="P226" s="15"/>
      <c r="Q226" s="15" t="s">
        <v>201</v>
      </c>
      <c r="R226" s="13" t="s">
        <v>202</v>
      </c>
      <c r="S226" s="13" t="s">
        <v>179</v>
      </c>
      <c r="T226" s="13" t="s">
        <v>112</v>
      </c>
      <c r="U226" s="14">
        <v>40725</v>
      </c>
      <c r="V226" s="14"/>
      <c r="W226" s="15"/>
      <c r="X226" s="15"/>
      <c r="Y226" s="13"/>
      <c r="Z226" s="15"/>
      <c r="AA226" s="15"/>
      <c r="AB226" s="15"/>
      <c r="AC226" s="13"/>
      <c r="AD226" s="15"/>
      <c r="AE226" s="15"/>
      <c r="AF226" s="15"/>
      <c r="AG226" s="13"/>
      <c r="AH226" s="15"/>
      <c r="AI226" s="15"/>
      <c r="AJ226" s="15"/>
      <c r="AK226" s="13"/>
      <c r="AL226" s="15"/>
      <c r="AM226" s="15"/>
      <c r="AN226" s="13"/>
      <c r="AO226" s="13"/>
    </row>
    <row r="227" spans="1:41" ht="87" x14ac:dyDescent="0.35">
      <c r="A227" s="13" t="s">
        <v>76</v>
      </c>
      <c r="B227" s="13" t="s">
        <v>77</v>
      </c>
      <c r="C227" s="14">
        <v>43152.5</v>
      </c>
      <c r="D227" s="13" t="s">
        <v>78</v>
      </c>
      <c r="E227" s="15" t="s">
        <v>79</v>
      </c>
      <c r="F227" s="13" t="s">
        <v>80</v>
      </c>
      <c r="G227" s="15" t="s">
        <v>81</v>
      </c>
      <c r="H227" s="13" t="s">
        <v>448</v>
      </c>
      <c r="I227" s="15" t="s">
        <v>449</v>
      </c>
      <c r="J227" s="15" t="s">
        <v>450</v>
      </c>
      <c r="K227" s="15" t="s">
        <v>451</v>
      </c>
      <c r="L227" s="13" t="s">
        <v>452</v>
      </c>
      <c r="M227" s="15" t="s">
        <v>453</v>
      </c>
      <c r="N227" s="13" t="s">
        <v>379</v>
      </c>
      <c r="O227" s="15"/>
      <c r="P227" s="15"/>
      <c r="Q227" s="15" t="s">
        <v>91</v>
      </c>
      <c r="R227" s="13" t="s">
        <v>92</v>
      </c>
      <c r="S227" s="13" t="s">
        <v>93</v>
      </c>
      <c r="T227" s="13" t="s">
        <v>94</v>
      </c>
      <c r="U227" s="14">
        <v>40725</v>
      </c>
      <c r="V227" s="14"/>
      <c r="W227" s="15"/>
      <c r="X227" s="15"/>
      <c r="Y227" s="13"/>
      <c r="Z227" s="15"/>
      <c r="AA227" s="15"/>
      <c r="AB227" s="15"/>
      <c r="AC227" s="13"/>
      <c r="AD227" s="15"/>
      <c r="AE227" s="15"/>
      <c r="AF227" s="15"/>
      <c r="AG227" s="13"/>
      <c r="AH227" s="15"/>
      <c r="AI227" s="15"/>
      <c r="AJ227" s="15"/>
      <c r="AK227" s="13"/>
      <c r="AL227" s="15"/>
      <c r="AM227" s="15"/>
      <c r="AN227" s="13"/>
      <c r="AO227" s="13"/>
    </row>
    <row r="228" spans="1:41" ht="101.5" x14ac:dyDescent="0.35">
      <c r="A228" s="13" t="s">
        <v>76</v>
      </c>
      <c r="B228" s="13" t="s">
        <v>77</v>
      </c>
      <c r="C228" s="14">
        <v>43152.5</v>
      </c>
      <c r="D228" s="13" t="s">
        <v>78</v>
      </c>
      <c r="E228" s="15" t="s">
        <v>79</v>
      </c>
      <c r="F228" s="13" t="s">
        <v>80</v>
      </c>
      <c r="G228" s="15" t="s">
        <v>81</v>
      </c>
      <c r="H228" s="13" t="s">
        <v>448</v>
      </c>
      <c r="I228" s="15" t="s">
        <v>449</v>
      </c>
      <c r="J228" s="15" t="s">
        <v>450</v>
      </c>
      <c r="K228" s="15" t="s">
        <v>451</v>
      </c>
      <c r="L228" s="13" t="s">
        <v>454</v>
      </c>
      <c r="M228" s="15" t="s">
        <v>455</v>
      </c>
      <c r="N228" s="13" t="s">
        <v>101</v>
      </c>
      <c r="O228" s="15"/>
      <c r="P228" s="15"/>
      <c r="Q228" s="15" t="s">
        <v>91</v>
      </c>
      <c r="R228" s="13" t="s">
        <v>92</v>
      </c>
      <c r="S228" s="13" t="s">
        <v>93</v>
      </c>
      <c r="T228" s="13" t="s">
        <v>94</v>
      </c>
      <c r="U228" s="14">
        <v>40725</v>
      </c>
      <c r="V228" s="14"/>
      <c r="W228" s="15"/>
      <c r="X228" s="15"/>
      <c r="Y228" s="13"/>
      <c r="Z228" s="15"/>
      <c r="AA228" s="15"/>
      <c r="AB228" s="15"/>
      <c r="AC228" s="13"/>
      <c r="AD228" s="15"/>
      <c r="AE228" s="15"/>
      <c r="AF228" s="15"/>
      <c r="AG228" s="13"/>
      <c r="AH228" s="15"/>
      <c r="AI228" s="15"/>
      <c r="AJ228" s="15"/>
      <c r="AK228" s="13"/>
      <c r="AL228" s="15"/>
      <c r="AM228" s="15"/>
      <c r="AN228" s="13"/>
      <c r="AO228" s="13"/>
    </row>
    <row r="229" spans="1:41" ht="87" x14ac:dyDescent="0.35">
      <c r="A229" s="13" t="s">
        <v>76</v>
      </c>
      <c r="B229" s="13" t="s">
        <v>77</v>
      </c>
      <c r="C229" s="14">
        <v>43152.5</v>
      </c>
      <c r="D229" s="13" t="s">
        <v>78</v>
      </c>
      <c r="E229" s="15" t="s">
        <v>79</v>
      </c>
      <c r="F229" s="13" t="s">
        <v>80</v>
      </c>
      <c r="G229" s="15" t="s">
        <v>81</v>
      </c>
      <c r="H229" s="13" t="s">
        <v>448</v>
      </c>
      <c r="I229" s="15" t="s">
        <v>449</v>
      </c>
      <c r="J229" s="15" t="s">
        <v>450</v>
      </c>
      <c r="K229" s="15" t="s">
        <v>451</v>
      </c>
      <c r="L229" s="13" t="s">
        <v>452</v>
      </c>
      <c r="M229" s="15" t="s">
        <v>453</v>
      </c>
      <c r="N229" s="13" t="s">
        <v>379</v>
      </c>
      <c r="O229" s="15"/>
      <c r="P229" s="15"/>
      <c r="Q229" s="15" t="s">
        <v>104</v>
      </c>
      <c r="R229" s="13" t="s">
        <v>105</v>
      </c>
      <c r="S229" s="13" t="s">
        <v>93</v>
      </c>
      <c r="T229" s="13" t="s">
        <v>94</v>
      </c>
      <c r="U229" s="14">
        <v>40725</v>
      </c>
      <c r="V229" s="14"/>
      <c r="W229" s="15"/>
      <c r="X229" s="15"/>
      <c r="Y229" s="13"/>
      <c r="Z229" s="15"/>
      <c r="AA229" s="15"/>
      <c r="AB229" s="15"/>
      <c r="AC229" s="13"/>
      <c r="AD229" s="15"/>
      <c r="AE229" s="15"/>
      <c r="AF229" s="15"/>
      <c r="AG229" s="13"/>
      <c r="AH229" s="15"/>
      <c r="AI229" s="15"/>
      <c r="AJ229" s="15"/>
      <c r="AK229" s="13"/>
      <c r="AL229" s="15"/>
      <c r="AM229" s="15"/>
      <c r="AN229" s="13"/>
      <c r="AO229" s="13"/>
    </row>
    <row r="230" spans="1:41" ht="101.5" x14ac:dyDescent="0.35">
      <c r="A230" s="13" t="s">
        <v>76</v>
      </c>
      <c r="B230" s="13" t="s">
        <v>77</v>
      </c>
      <c r="C230" s="14">
        <v>43152.5</v>
      </c>
      <c r="D230" s="13" t="s">
        <v>78</v>
      </c>
      <c r="E230" s="15" t="s">
        <v>79</v>
      </c>
      <c r="F230" s="13" t="s">
        <v>80</v>
      </c>
      <c r="G230" s="15" t="s">
        <v>81</v>
      </c>
      <c r="H230" s="13" t="s">
        <v>448</v>
      </c>
      <c r="I230" s="15" t="s">
        <v>449</v>
      </c>
      <c r="J230" s="15" t="s">
        <v>450</v>
      </c>
      <c r="K230" s="15" t="s">
        <v>451</v>
      </c>
      <c r="L230" s="13" t="s">
        <v>454</v>
      </c>
      <c r="M230" s="15" t="s">
        <v>455</v>
      </c>
      <c r="N230" s="13" t="s">
        <v>101</v>
      </c>
      <c r="O230" s="15"/>
      <c r="P230" s="15"/>
      <c r="Q230" s="15" t="s">
        <v>104</v>
      </c>
      <c r="R230" s="13" t="s">
        <v>105</v>
      </c>
      <c r="S230" s="13" t="s">
        <v>93</v>
      </c>
      <c r="T230" s="13" t="s">
        <v>94</v>
      </c>
      <c r="U230" s="14">
        <v>40725</v>
      </c>
      <c r="V230" s="14"/>
      <c r="W230" s="15"/>
      <c r="X230" s="15"/>
      <c r="Y230" s="13"/>
      <c r="Z230" s="15"/>
      <c r="AA230" s="15"/>
      <c r="AB230" s="15"/>
      <c r="AC230" s="13"/>
      <c r="AD230" s="15"/>
      <c r="AE230" s="15"/>
      <c r="AF230" s="15"/>
      <c r="AG230" s="13"/>
      <c r="AH230" s="15"/>
      <c r="AI230" s="15"/>
      <c r="AJ230" s="15"/>
      <c r="AK230" s="13"/>
      <c r="AL230" s="15"/>
      <c r="AM230" s="15"/>
      <c r="AN230" s="13"/>
      <c r="AO230" s="13"/>
    </row>
    <row r="231" spans="1:41" ht="87" x14ac:dyDescent="0.35">
      <c r="A231" s="13" t="s">
        <v>76</v>
      </c>
      <c r="B231" s="13" t="s">
        <v>77</v>
      </c>
      <c r="C231" s="14">
        <v>43152.5</v>
      </c>
      <c r="D231" s="13" t="s">
        <v>78</v>
      </c>
      <c r="E231" s="15" t="s">
        <v>79</v>
      </c>
      <c r="F231" s="13" t="s">
        <v>80</v>
      </c>
      <c r="G231" s="15" t="s">
        <v>81</v>
      </c>
      <c r="H231" s="13" t="s">
        <v>448</v>
      </c>
      <c r="I231" s="15" t="s">
        <v>449</v>
      </c>
      <c r="J231" s="15" t="s">
        <v>450</v>
      </c>
      <c r="K231" s="15" t="s">
        <v>451</v>
      </c>
      <c r="L231" s="13" t="s">
        <v>452</v>
      </c>
      <c r="M231" s="15" t="s">
        <v>453</v>
      </c>
      <c r="N231" s="13" t="s">
        <v>379</v>
      </c>
      <c r="O231" s="15"/>
      <c r="P231" s="15"/>
      <c r="Q231" s="15" t="s">
        <v>106</v>
      </c>
      <c r="R231" s="13" t="s">
        <v>107</v>
      </c>
      <c r="S231" s="13" t="s">
        <v>93</v>
      </c>
      <c r="T231" s="13" t="s">
        <v>94</v>
      </c>
      <c r="U231" s="14">
        <v>40725</v>
      </c>
      <c r="V231" s="14"/>
      <c r="W231" s="15"/>
      <c r="X231" s="15"/>
      <c r="Y231" s="13"/>
      <c r="Z231" s="15"/>
      <c r="AA231" s="15"/>
      <c r="AB231" s="15"/>
      <c r="AC231" s="13"/>
      <c r="AD231" s="15"/>
      <c r="AE231" s="15"/>
      <c r="AF231" s="15"/>
      <c r="AG231" s="13"/>
      <c r="AH231" s="15"/>
      <c r="AI231" s="15"/>
      <c r="AJ231" s="15"/>
      <c r="AK231" s="13"/>
      <c r="AL231" s="15"/>
      <c r="AM231" s="15"/>
      <c r="AN231" s="13"/>
      <c r="AO231" s="13"/>
    </row>
    <row r="232" spans="1:41" ht="101.5" x14ac:dyDescent="0.35">
      <c r="A232" s="13" t="s">
        <v>76</v>
      </c>
      <c r="B232" s="13" t="s">
        <v>77</v>
      </c>
      <c r="C232" s="14">
        <v>43152.5</v>
      </c>
      <c r="D232" s="13" t="s">
        <v>78</v>
      </c>
      <c r="E232" s="15" t="s">
        <v>79</v>
      </c>
      <c r="F232" s="13" t="s">
        <v>80</v>
      </c>
      <c r="G232" s="15" t="s">
        <v>81</v>
      </c>
      <c r="H232" s="13" t="s">
        <v>448</v>
      </c>
      <c r="I232" s="15" t="s">
        <v>449</v>
      </c>
      <c r="J232" s="15" t="s">
        <v>450</v>
      </c>
      <c r="K232" s="15" t="s">
        <v>451</v>
      </c>
      <c r="L232" s="13" t="s">
        <v>454</v>
      </c>
      <c r="M232" s="15" t="s">
        <v>455</v>
      </c>
      <c r="N232" s="13" t="s">
        <v>101</v>
      </c>
      <c r="O232" s="15"/>
      <c r="P232" s="15"/>
      <c r="Q232" s="15" t="s">
        <v>106</v>
      </c>
      <c r="R232" s="13" t="s">
        <v>107</v>
      </c>
      <c r="S232" s="13" t="s">
        <v>93</v>
      </c>
      <c r="T232" s="13" t="s">
        <v>94</v>
      </c>
      <c r="U232" s="14">
        <v>40725</v>
      </c>
      <c r="V232" s="14"/>
      <c r="W232" s="15"/>
      <c r="X232" s="15"/>
      <c r="Y232" s="13"/>
      <c r="Z232" s="15"/>
      <c r="AA232" s="15"/>
      <c r="AB232" s="15"/>
      <c r="AC232" s="13"/>
      <c r="AD232" s="15"/>
      <c r="AE232" s="15"/>
      <c r="AF232" s="15"/>
      <c r="AG232" s="13"/>
      <c r="AH232" s="15"/>
      <c r="AI232" s="15"/>
      <c r="AJ232" s="15"/>
      <c r="AK232" s="13"/>
      <c r="AL232" s="15"/>
      <c r="AM232" s="15"/>
      <c r="AN232" s="13"/>
      <c r="AO232" s="13"/>
    </row>
    <row r="233" spans="1:41" ht="87" x14ac:dyDescent="0.35">
      <c r="A233" s="13" t="s">
        <v>76</v>
      </c>
      <c r="B233" s="13" t="s">
        <v>77</v>
      </c>
      <c r="C233" s="14">
        <v>43152.5</v>
      </c>
      <c r="D233" s="13" t="s">
        <v>78</v>
      </c>
      <c r="E233" s="15" t="s">
        <v>79</v>
      </c>
      <c r="F233" s="13" t="s">
        <v>80</v>
      </c>
      <c r="G233" s="15" t="s">
        <v>81</v>
      </c>
      <c r="H233" s="13" t="s">
        <v>448</v>
      </c>
      <c r="I233" s="15" t="s">
        <v>449</v>
      </c>
      <c r="J233" s="15" t="s">
        <v>450</v>
      </c>
      <c r="K233" s="15" t="s">
        <v>451</v>
      </c>
      <c r="L233" s="13" t="s">
        <v>452</v>
      </c>
      <c r="M233" s="15" t="s">
        <v>453</v>
      </c>
      <c r="N233" s="13" t="s">
        <v>379</v>
      </c>
      <c r="O233" s="15"/>
      <c r="P233" s="15"/>
      <c r="Q233" s="15" t="s">
        <v>110</v>
      </c>
      <c r="R233" s="13" t="s">
        <v>111</v>
      </c>
      <c r="S233" s="13" t="s">
        <v>93</v>
      </c>
      <c r="T233" s="13" t="s">
        <v>94</v>
      </c>
      <c r="U233" s="14">
        <v>40725</v>
      </c>
      <c r="V233" s="14"/>
      <c r="W233" s="15"/>
      <c r="X233" s="15"/>
      <c r="Y233" s="13"/>
      <c r="Z233" s="15"/>
      <c r="AA233" s="15"/>
      <c r="AB233" s="15"/>
      <c r="AC233" s="13"/>
      <c r="AD233" s="15"/>
      <c r="AE233" s="15"/>
      <c r="AF233" s="15"/>
      <c r="AG233" s="13"/>
      <c r="AH233" s="15"/>
      <c r="AI233" s="15"/>
      <c r="AJ233" s="15"/>
      <c r="AK233" s="13"/>
      <c r="AL233" s="15"/>
      <c r="AM233" s="15"/>
      <c r="AN233" s="13"/>
      <c r="AO233" s="13"/>
    </row>
    <row r="234" spans="1:41" ht="101.5" x14ac:dyDescent="0.35">
      <c r="A234" s="13" t="s">
        <v>76</v>
      </c>
      <c r="B234" s="13" t="s">
        <v>77</v>
      </c>
      <c r="C234" s="14">
        <v>43152.5</v>
      </c>
      <c r="D234" s="13" t="s">
        <v>78</v>
      </c>
      <c r="E234" s="15" t="s">
        <v>79</v>
      </c>
      <c r="F234" s="13" t="s">
        <v>80</v>
      </c>
      <c r="G234" s="15" t="s">
        <v>81</v>
      </c>
      <c r="H234" s="13" t="s">
        <v>448</v>
      </c>
      <c r="I234" s="15" t="s">
        <v>449</v>
      </c>
      <c r="J234" s="15" t="s">
        <v>450</v>
      </c>
      <c r="K234" s="15" t="s">
        <v>451</v>
      </c>
      <c r="L234" s="13" t="s">
        <v>454</v>
      </c>
      <c r="M234" s="15" t="s">
        <v>455</v>
      </c>
      <c r="N234" s="13" t="s">
        <v>101</v>
      </c>
      <c r="O234" s="15"/>
      <c r="P234" s="15"/>
      <c r="Q234" s="15" t="s">
        <v>110</v>
      </c>
      <c r="R234" s="13" t="s">
        <v>111</v>
      </c>
      <c r="S234" s="13" t="s">
        <v>93</v>
      </c>
      <c r="T234" s="13" t="s">
        <v>94</v>
      </c>
      <c r="U234" s="14">
        <v>40725</v>
      </c>
      <c r="V234" s="14"/>
      <c r="W234" s="15"/>
      <c r="X234" s="15"/>
      <c r="Y234" s="13"/>
      <c r="Z234" s="15"/>
      <c r="AA234" s="15"/>
      <c r="AB234" s="15"/>
      <c r="AC234" s="13"/>
      <c r="AD234" s="15"/>
      <c r="AE234" s="15"/>
      <c r="AF234" s="15"/>
      <c r="AG234" s="13"/>
      <c r="AH234" s="15"/>
      <c r="AI234" s="15"/>
      <c r="AJ234" s="15"/>
      <c r="AK234" s="13"/>
      <c r="AL234" s="15"/>
      <c r="AM234" s="15"/>
      <c r="AN234" s="13"/>
      <c r="AO234" s="13"/>
    </row>
    <row r="235" spans="1:41" ht="87" x14ac:dyDescent="0.35">
      <c r="A235" s="13" t="s">
        <v>76</v>
      </c>
      <c r="B235" s="13" t="s">
        <v>77</v>
      </c>
      <c r="C235" s="14">
        <v>43152.5</v>
      </c>
      <c r="D235" s="13" t="s">
        <v>78</v>
      </c>
      <c r="E235" s="15" t="s">
        <v>79</v>
      </c>
      <c r="F235" s="13" t="s">
        <v>80</v>
      </c>
      <c r="G235" s="15" t="s">
        <v>81</v>
      </c>
      <c r="H235" s="13" t="s">
        <v>448</v>
      </c>
      <c r="I235" s="15" t="s">
        <v>449</v>
      </c>
      <c r="J235" s="15" t="s">
        <v>450</v>
      </c>
      <c r="K235" s="15" t="s">
        <v>451</v>
      </c>
      <c r="L235" s="13" t="s">
        <v>452</v>
      </c>
      <c r="M235" s="15" t="s">
        <v>453</v>
      </c>
      <c r="N235" s="13" t="s">
        <v>379</v>
      </c>
      <c r="O235" s="15"/>
      <c r="P235" s="15"/>
      <c r="Q235" s="15" t="s">
        <v>175</v>
      </c>
      <c r="R235" s="13" t="s">
        <v>176</v>
      </c>
      <c r="S235" s="13" t="s">
        <v>93</v>
      </c>
      <c r="T235" s="13" t="s">
        <v>94</v>
      </c>
      <c r="U235" s="14">
        <v>40725</v>
      </c>
      <c r="V235" s="14"/>
      <c r="W235" s="15"/>
      <c r="X235" s="15"/>
      <c r="Y235" s="13"/>
      <c r="Z235" s="15"/>
      <c r="AA235" s="15"/>
      <c r="AB235" s="15"/>
      <c r="AC235" s="13"/>
      <c r="AD235" s="15"/>
      <c r="AE235" s="15"/>
      <c r="AF235" s="15"/>
      <c r="AG235" s="13"/>
      <c r="AH235" s="15"/>
      <c r="AI235" s="15"/>
      <c r="AJ235" s="15"/>
      <c r="AK235" s="13"/>
      <c r="AL235" s="15"/>
      <c r="AM235" s="15"/>
      <c r="AN235" s="13"/>
      <c r="AO235" s="13"/>
    </row>
    <row r="236" spans="1:41" ht="101.5" x14ac:dyDescent="0.35">
      <c r="A236" s="13" t="s">
        <v>76</v>
      </c>
      <c r="B236" s="13" t="s">
        <v>77</v>
      </c>
      <c r="C236" s="14">
        <v>43152.5</v>
      </c>
      <c r="D236" s="13" t="s">
        <v>78</v>
      </c>
      <c r="E236" s="15" t="s">
        <v>79</v>
      </c>
      <c r="F236" s="13" t="s">
        <v>80</v>
      </c>
      <c r="G236" s="15" t="s">
        <v>81</v>
      </c>
      <c r="H236" s="13" t="s">
        <v>448</v>
      </c>
      <c r="I236" s="15" t="s">
        <v>449</v>
      </c>
      <c r="J236" s="15" t="s">
        <v>450</v>
      </c>
      <c r="K236" s="15" t="s">
        <v>451</v>
      </c>
      <c r="L236" s="13" t="s">
        <v>454</v>
      </c>
      <c r="M236" s="15" t="s">
        <v>455</v>
      </c>
      <c r="N236" s="13" t="s">
        <v>101</v>
      </c>
      <c r="O236" s="15"/>
      <c r="P236" s="15"/>
      <c r="Q236" s="15" t="s">
        <v>175</v>
      </c>
      <c r="R236" s="13" t="s">
        <v>176</v>
      </c>
      <c r="S236" s="13" t="s">
        <v>93</v>
      </c>
      <c r="T236" s="13" t="s">
        <v>94</v>
      </c>
      <c r="U236" s="14">
        <v>40725</v>
      </c>
      <c r="V236" s="14"/>
      <c r="W236" s="15"/>
      <c r="X236" s="15"/>
      <c r="Y236" s="13"/>
      <c r="Z236" s="15"/>
      <c r="AA236" s="15"/>
      <c r="AB236" s="15"/>
      <c r="AC236" s="13"/>
      <c r="AD236" s="15"/>
      <c r="AE236" s="15"/>
      <c r="AF236" s="15"/>
      <c r="AG236" s="13"/>
      <c r="AH236" s="15"/>
      <c r="AI236" s="15"/>
      <c r="AJ236" s="15"/>
      <c r="AK236" s="13"/>
      <c r="AL236" s="15"/>
      <c r="AM236" s="15"/>
      <c r="AN236" s="13"/>
      <c r="AO236" s="13"/>
    </row>
    <row r="237" spans="1:41" ht="87" x14ac:dyDescent="0.35">
      <c r="A237" s="13" t="s">
        <v>238</v>
      </c>
      <c r="B237" s="13" t="s">
        <v>109</v>
      </c>
      <c r="C237" s="14">
        <v>44368.708333333336</v>
      </c>
      <c r="D237" s="13" t="s">
        <v>78</v>
      </c>
      <c r="E237" s="15" t="s">
        <v>79</v>
      </c>
      <c r="F237" s="13" t="s">
        <v>80</v>
      </c>
      <c r="G237" s="15" t="s">
        <v>81</v>
      </c>
      <c r="H237" s="13" t="s">
        <v>448</v>
      </c>
      <c r="I237" s="15" t="s">
        <v>449</v>
      </c>
      <c r="J237" s="15" t="s">
        <v>450</v>
      </c>
      <c r="K237" s="15" t="s">
        <v>451</v>
      </c>
      <c r="L237" s="13" t="s">
        <v>452</v>
      </c>
      <c r="M237" s="15" t="s">
        <v>453</v>
      </c>
      <c r="N237" s="13" t="s">
        <v>379</v>
      </c>
      <c r="O237" s="15"/>
      <c r="P237" s="15"/>
      <c r="Q237" s="15" t="s">
        <v>456</v>
      </c>
      <c r="R237" s="13" t="s">
        <v>457</v>
      </c>
      <c r="S237" s="13" t="s">
        <v>179</v>
      </c>
      <c r="T237" s="13" t="s">
        <v>112</v>
      </c>
      <c r="U237" s="14">
        <v>40725</v>
      </c>
      <c r="V237" s="14"/>
      <c r="W237" s="15"/>
      <c r="X237" s="15"/>
      <c r="Y237" s="13"/>
      <c r="Z237" s="15"/>
      <c r="AA237" s="15"/>
      <c r="AB237" s="15"/>
      <c r="AC237" s="13"/>
      <c r="AD237" s="15"/>
      <c r="AE237" s="15"/>
      <c r="AF237" s="15"/>
      <c r="AG237" s="13"/>
      <c r="AH237" s="15"/>
      <c r="AI237" s="15"/>
      <c r="AJ237" s="15"/>
      <c r="AK237" s="13"/>
      <c r="AL237" s="15"/>
      <c r="AM237" s="15"/>
      <c r="AN237" s="13"/>
      <c r="AO237" s="13"/>
    </row>
    <row r="238" spans="1:41" ht="101.5" x14ac:dyDescent="0.35">
      <c r="A238" s="13" t="s">
        <v>238</v>
      </c>
      <c r="B238" s="13" t="s">
        <v>109</v>
      </c>
      <c r="C238" s="14">
        <v>44368.708333333336</v>
      </c>
      <c r="D238" s="13" t="s">
        <v>78</v>
      </c>
      <c r="E238" s="15" t="s">
        <v>79</v>
      </c>
      <c r="F238" s="13" t="s">
        <v>80</v>
      </c>
      <c r="G238" s="15" t="s">
        <v>81</v>
      </c>
      <c r="H238" s="13" t="s">
        <v>448</v>
      </c>
      <c r="I238" s="15" t="s">
        <v>449</v>
      </c>
      <c r="J238" s="15" t="s">
        <v>450</v>
      </c>
      <c r="K238" s="15" t="s">
        <v>451</v>
      </c>
      <c r="L238" s="13" t="s">
        <v>454</v>
      </c>
      <c r="M238" s="15" t="s">
        <v>455</v>
      </c>
      <c r="N238" s="13" t="s">
        <v>101</v>
      </c>
      <c r="O238" s="15"/>
      <c r="P238" s="15"/>
      <c r="Q238" s="15" t="s">
        <v>456</v>
      </c>
      <c r="R238" s="13" t="s">
        <v>457</v>
      </c>
      <c r="S238" s="13" t="s">
        <v>179</v>
      </c>
      <c r="T238" s="13" t="s">
        <v>112</v>
      </c>
      <c r="U238" s="14">
        <v>40725</v>
      </c>
      <c r="V238" s="14"/>
      <c r="W238" s="15"/>
      <c r="X238" s="15"/>
      <c r="Y238" s="13"/>
      <c r="Z238" s="15"/>
      <c r="AA238" s="15"/>
      <c r="AB238" s="15"/>
      <c r="AC238" s="13"/>
      <c r="AD238" s="15"/>
      <c r="AE238" s="15"/>
      <c r="AF238" s="15"/>
      <c r="AG238" s="13"/>
      <c r="AH238" s="15"/>
      <c r="AI238" s="15"/>
      <c r="AJ238" s="15"/>
      <c r="AK238" s="13"/>
      <c r="AL238" s="15"/>
      <c r="AM238" s="15"/>
      <c r="AN238" s="13"/>
      <c r="AO238" s="13"/>
    </row>
    <row r="239" spans="1:41" ht="43.5" x14ac:dyDescent="0.35">
      <c r="A239" s="13" t="s">
        <v>76</v>
      </c>
      <c r="B239" s="13" t="s">
        <v>77</v>
      </c>
      <c r="C239" s="14">
        <v>43152.5</v>
      </c>
      <c r="D239" s="13" t="s">
        <v>78</v>
      </c>
      <c r="E239" s="15" t="s">
        <v>79</v>
      </c>
      <c r="F239" s="13" t="s">
        <v>80</v>
      </c>
      <c r="G239" s="15" t="s">
        <v>81</v>
      </c>
      <c r="H239" s="13" t="s">
        <v>471</v>
      </c>
      <c r="I239" s="15" t="s">
        <v>472</v>
      </c>
      <c r="J239" s="15" t="s">
        <v>473</v>
      </c>
      <c r="K239" s="15" t="s">
        <v>474</v>
      </c>
      <c r="L239" s="13" t="s">
        <v>475</v>
      </c>
      <c r="M239" s="15" t="s">
        <v>476</v>
      </c>
      <c r="N239" s="13" t="s">
        <v>379</v>
      </c>
      <c r="O239" s="15"/>
      <c r="P239" s="15"/>
      <c r="Q239" s="15" t="s">
        <v>91</v>
      </c>
      <c r="R239" s="13" t="s">
        <v>92</v>
      </c>
      <c r="S239" s="13" t="s">
        <v>93</v>
      </c>
      <c r="T239" s="13" t="s">
        <v>94</v>
      </c>
      <c r="U239" s="14">
        <v>40725</v>
      </c>
      <c r="V239" s="14">
        <v>42481</v>
      </c>
      <c r="W239" s="15"/>
      <c r="X239" s="15"/>
      <c r="Y239" s="13"/>
      <c r="Z239" s="15"/>
      <c r="AA239" s="15"/>
      <c r="AB239" s="15"/>
      <c r="AC239" s="13"/>
      <c r="AD239" s="15"/>
      <c r="AE239" s="15"/>
      <c r="AF239" s="15"/>
      <c r="AG239" s="13"/>
      <c r="AH239" s="15"/>
      <c r="AI239" s="15"/>
      <c r="AJ239" s="15"/>
      <c r="AK239" s="13"/>
      <c r="AL239" s="15"/>
      <c r="AM239" s="15"/>
      <c r="AN239" s="13"/>
      <c r="AO239" s="13"/>
    </row>
    <row r="240" spans="1:41" ht="43.5" x14ac:dyDescent="0.35">
      <c r="A240" s="13" t="s">
        <v>76</v>
      </c>
      <c r="B240" s="13" t="s">
        <v>77</v>
      </c>
      <c r="C240" s="14">
        <v>43152.5</v>
      </c>
      <c r="D240" s="13" t="s">
        <v>78</v>
      </c>
      <c r="E240" s="15" t="s">
        <v>79</v>
      </c>
      <c r="F240" s="13" t="s">
        <v>80</v>
      </c>
      <c r="G240" s="15" t="s">
        <v>81</v>
      </c>
      <c r="H240" s="13" t="s">
        <v>471</v>
      </c>
      <c r="I240" s="15" t="s">
        <v>472</v>
      </c>
      <c r="J240" s="15" t="s">
        <v>473</v>
      </c>
      <c r="K240" s="15" t="s">
        <v>474</v>
      </c>
      <c r="L240" s="13" t="s">
        <v>477</v>
      </c>
      <c r="M240" s="15" t="s">
        <v>478</v>
      </c>
      <c r="N240" s="13" t="s">
        <v>101</v>
      </c>
      <c r="O240" s="15"/>
      <c r="P240" s="15"/>
      <c r="Q240" s="15" t="s">
        <v>91</v>
      </c>
      <c r="R240" s="13" t="s">
        <v>92</v>
      </c>
      <c r="S240" s="13" t="s">
        <v>93</v>
      </c>
      <c r="T240" s="13" t="s">
        <v>94</v>
      </c>
      <c r="U240" s="14">
        <v>40725</v>
      </c>
      <c r="V240" s="14">
        <v>42481</v>
      </c>
      <c r="W240" s="15"/>
      <c r="X240" s="15"/>
      <c r="Y240" s="13"/>
      <c r="Z240" s="15"/>
      <c r="AA240" s="15"/>
      <c r="AB240" s="15"/>
      <c r="AC240" s="13"/>
      <c r="AD240" s="15"/>
      <c r="AE240" s="15"/>
      <c r="AF240" s="15"/>
      <c r="AG240" s="13"/>
      <c r="AH240" s="15"/>
      <c r="AI240" s="15"/>
      <c r="AJ240" s="15"/>
      <c r="AK240" s="13"/>
      <c r="AL240" s="15"/>
      <c r="AM240" s="15"/>
      <c r="AN240" s="13"/>
      <c r="AO240" s="13"/>
    </row>
    <row r="241" spans="1:41" ht="43.5" x14ac:dyDescent="0.35">
      <c r="A241" s="13" t="s">
        <v>76</v>
      </c>
      <c r="B241" s="13" t="s">
        <v>77</v>
      </c>
      <c r="C241" s="14">
        <v>43152.5</v>
      </c>
      <c r="D241" s="13" t="s">
        <v>78</v>
      </c>
      <c r="E241" s="15" t="s">
        <v>79</v>
      </c>
      <c r="F241" s="13" t="s">
        <v>80</v>
      </c>
      <c r="G241" s="15" t="s">
        <v>81</v>
      </c>
      <c r="H241" s="13" t="s">
        <v>471</v>
      </c>
      <c r="I241" s="15" t="s">
        <v>472</v>
      </c>
      <c r="J241" s="15" t="s">
        <v>473</v>
      </c>
      <c r="K241" s="15" t="s">
        <v>474</v>
      </c>
      <c r="L241" s="13" t="s">
        <v>475</v>
      </c>
      <c r="M241" s="15" t="s">
        <v>476</v>
      </c>
      <c r="N241" s="13" t="s">
        <v>379</v>
      </c>
      <c r="O241" s="15"/>
      <c r="P241" s="15"/>
      <c r="Q241" s="15" t="s">
        <v>104</v>
      </c>
      <c r="R241" s="13" t="s">
        <v>105</v>
      </c>
      <c r="S241" s="13" t="s">
        <v>93</v>
      </c>
      <c r="T241" s="13" t="s">
        <v>94</v>
      </c>
      <c r="U241" s="14">
        <v>40725</v>
      </c>
      <c r="V241" s="14">
        <v>42481</v>
      </c>
      <c r="W241" s="15"/>
      <c r="X241" s="15"/>
      <c r="Y241" s="13"/>
      <c r="Z241" s="15"/>
      <c r="AA241" s="15"/>
      <c r="AB241" s="15"/>
      <c r="AC241" s="13"/>
      <c r="AD241" s="15"/>
      <c r="AE241" s="15"/>
      <c r="AF241" s="15"/>
      <c r="AG241" s="13"/>
      <c r="AH241" s="15"/>
      <c r="AI241" s="15"/>
      <c r="AJ241" s="15"/>
      <c r="AK241" s="13"/>
      <c r="AL241" s="15"/>
      <c r="AM241" s="15"/>
      <c r="AN241" s="13"/>
      <c r="AO241" s="13"/>
    </row>
    <row r="242" spans="1:41" ht="43.5" x14ac:dyDescent="0.35">
      <c r="A242" s="13" t="s">
        <v>76</v>
      </c>
      <c r="B242" s="13" t="s">
        <v>77</v>
      </c>
      <c r="C242" s="14">
        <v>43152.5</v>
      </c>
      <c r="D242" s="13" t="s">
        <v>78</v>
      </c>
      <c r="E242" s="15" t="s">
        <v>79</v>
      </c>
      <c r="F242" s="13" t="s">
        <v>80</v>
      </c>
      <c r="G242" s="15" t="s">
        <v>81</v>
      </c>
      <c r="H242" s="13" t="s">
        <v>471</v>
      </c>
      <c r="I242" s="15" t="s">
        <v>472</v>
      </c>
      <c r="J242" s="15" t="s">
        <v>473</v>
      </c>
      <c r="K242" s="15" t="s">
        <v>474</v>
      </c>
      <c r="L242" s="13" t="s">
        <v>477</v>
      </c>
      <c r="M242" s="15" t="s">
        <v>478</v>
      </c>
      <c r="N242" s="13" t="s">
        <v>101</v>
      </c>
      <c r="O242" s="15"/>
      <c r="P242" s="15"/>
      <c r="Q242" s="15" t="s">
        <v>104</v>
      </c>
      <c r="R242" s="13" t="s">
        <v>105</v>
      </c>
      <c r="S242" s="13" t="s">
        <v>93</v>
      </c>
      <c r="T242" s="13" t="s">
        <v>94</v>
      </c>
      <c r="U242" s="14">
        <v>40725</v>
      </c>
      <c r="V242" s="14">
        <v>42481</v>
      </c>
      <c r="W242" s="15"/>
      <c r="X242" s="15"/>
      <c r="Y242" s="13"/>
      <c r="Z242" s="15"/>
      <c r="AA242" s="15"/>
      <c r="AB242" s="15"/>
      <c r="AC242" s="13"/>
      <c r="AD242" s="15"/>
      <c r="AE242" s="15"/>
      <c r="AF242" s="15"/>
      <c r="AG242" s="13"/>
      <c r="AH242" s="15"/>
      <c r="AI242" s="15"/>
      <c r="AJ242" s="15"/>
      <c r="AK242" s="13"/>
      <c r="AL242" s="15"/>
      <c r="AM242" s="15"/>
      <c r="AN242" s="13"/>
      <c r="AO242" s="13"/>
    </row>
    <row r="243" spans="1:41" ht="43.5" x14ac:dyDescent="0.35">
      <c r="A243" s="13" t="s">
        <v>76</v>
      </c>
      <c r="B243" s="13" t="s">
        <v>77</v>
      </c>
      <c r="C243" s="14">
        <v>43152.5</v>
      </c>
      <c r="D243" s="13" t="s">
        <v>78</v>
      </c>
      <c r="E243" s="15" t="s">
        <v>79</v>
      </c>
      <c r="F243" s="13" t="s">
        <v>80</v>
      </c>
      <c r="G243" s="15" t="s">
        <v>81</v>
      </c>
      <c r="H243" s="13" t="s">
        <v>471</v>
      </c>
      <c r="I243" s="15" t="s">
        <v>472</v>
      </c>
      <c r="J243" s="15" t="s">
        <v>473</v>
      </c>
      <c r="K243" s="15" t="s">
        <v>474</v>
      </c>
      <c r="L243" s="13" t="s">
        <v>475</v>
      </c>
      <c r="M243" s="15" t="s">
        <v>476</v>
      </c>
      <c r="N243" s="13" t="s">
        <v>379</v>
      </c>
      <c r="O243" s="15"/>
      <c r="P243" s="15"/>
      <c r="Q243" s="15" t="s">
        <v>106</v>
      </c>
      <c r="R243" s="13" t="s">
        <v>107</v>
      </c>
      <c r="S243" s="13" t="s">
        <v>93</v>
      </c>
      <c r="T243" s="13" t="s">
        <v>94</v>
      </c>
      <c r="U243" s="14">
        <v>40725</v>
      </c>
      <c r="V243" s="14">
        <v>42481</v>
      </c>
      <c r="W243" s="15"/>
      <c r="X243" s="15"/>
      <c r="Y243" s="13"/>
      <c r="Z243" s="15"/>
      <c r="AA243" s="15"/>
      <c r="AB243" s="15"/>
      <c r="AC243" s="13"/>
      <c r="AD243" s="15"/>
      <c r="AE243" s="15"/>
      <c r="AF243" s="15"/>
      <c r="AG243" s="13"/>
      <c r="AH243" s="15"/>
      <c r="AI243" s="15"/>
      <c r="AJ243" s="15"/>
      <c r="AK243" s="13"/>
      <c r="AL243" s="15"/>
      <c r="AM243" s="15"/>
      <c r="AN243" s="13"/>
      <c r="AO243" s="13"/>
    </row>
    <row r="244" spans="1:41" ht="43.5" x14ac:dyDescent="0.35">
      <c r="A244" s="13" t="s">
        <v>76</v>
      </c>
      <c r="B244" s="13" t="s">
        <v>77</v>
      </c>
      <c r="C244" s="14">
        <v>43152.5</v>
      </c>
      <c r="D244" s="13" t="s">
        <v>78</v>
      </c>
      <c r="E244" s="15" t="s">
        <v>79</v>
      </c>
      <c r="F244" s="13" t="s">
        <v>80</v>
      </c>
      <c r="G244" s="15" t="s">
        <v>81</v>
      </c>
      <c r="H244" s="13" t="s">
        <v>471</v>
      </c>
      <c r="I244" s="15" t="s">
        <v>472</v>
      </c>
      <c r="J244" s="15" t="s">
        <v>473</v>
      </c>
      <c r="K244" s="15" t="s">
        <v>474</v>
      </c>
      <c r="L244" s="13" t="s">
        <v>477</v>
      </c>
      <c r="M244" s="15" t="s">
        <v>478</v>
      </c>
      <c r="N244" s="13" t="s">
        <v>101</v>
      </c>
      <c r="O244" s="15"/>
      <c r="P244" s="15"/>
      <c r="Q244" s="15" t="s">
        <v>106</v>
      </c>
      <c r="R244" s="13" t="s">
        <v>107</v>
      </c>
      <c r="S244" s="13" t="s">
        <v>93</v>
      </c>
      <c r="T244" s="13" t="s">
        <v>94</v>
      </c>
      <c r="U244" s="14">
        <v>40725</v>
      </c>
      <c r="V244" s="14">
        <v>42481</v>
      </c>
      <c r="W244" s="15"/>
      <c r="X244" s="15"/>
      <c r="Y244" s="13"/>
      <c r="Z244" s="15"/>
      <c r="AA244" s="15"/>
      <c r="AB244" s="15"/>
      <c r="AC244" s="13"/>
      <c r="AD244" s="15"/>
      <c r="AE244" s="15"/>
      <c r="AF244" s="15"/>
      <c r="AG244" s="13"/>
      <c r="AH244" s="15"/>
      <c r="AI244" s="15"/>
      <c r="AJ244" s="15"/>
      <c r="AK244" s="13"/>
      <c r="AL244" s="15"/>
      <c r="AM244" s="15"/>
      <c r="AN244" s="13"/>
      <c r="AO244" s="13"/>
    </row>
    <row r="245" spans="1:41" ht="43.5" x14ac:dyDescent="0.35">
      <c r="A245" s="13" t="s">
        <v>76</v>
      </c>
      <c r="B245" s="13" t="s">
        <v>77</v>
      </c>
      <c r="C245" s="14">
        <v>43152.5</v>
      </c>
      <c r="D245" s="13" t="s">
        <v>78</v>
      </c>
      <c r="E245" s="15" t="s">
        <v>79</v>
      </c>
      <c r="F245" s="13" t="s">
        <v>80</v>
      </c>
      <c r="G245" s="15" t="s">
        <v>81</v>
      </c>
      <c r="H245" s="13" t="s">
        <v>471</v>
      </c>
      <c r="I245" s="15" t="s">
        <v>472</v>
      </c>
      <c r="J245" s="15" t="s">
        <v>473</v>
      </c>
      <c r="K245" s="15" t="s">
        <v>474</v>
      </c>
      <c r="L245" s="13" t="s">
        <v>475</v>
      </c>
      <c r="M245" s="15" t="s">
        <v>476</v>
      </c>
      <c r="N245" s="13" t="s">
        <v>379</v>
      </c>
      <c r="O245" s="15"/>
      <c r="P245" s="15"/>
      <c r="Q245" s="15" t="s">
        <v>110</v>
      </c>
      <c r="R245" s="13" t="s">
        <v>111</v>
      </c>
      <c r="S245" s="13" t="s">
        <v>93</v>
      </c>
      <c r="T245" s="13" t="s">
        <v>112</v>
      </c>
      <c r="U245" s="14">
        <v>40725</v>
      </c>
      <c r="V245" s="14">
        <v>42481</v>
      </c>
      <c r="W245" s="15"/>
      <c r="X245" s="15"/>
      <c r="Y245" s="13"/>
      <c r="Z245" s="15"/>
      <c r="AA245" s="15"/>
      <c r="AB245" s="15"/>
      <c r="AC245" s="13"/>
      <c r="AD245" s="15"/>
      <c r="AE245" s="15"/>
      <c r="AF245" s="15"/>
      <c r="AG245" s="13"/>
      <c r="AH245" s="15"/>
      <c r="AI245" s="15"/>
      <c r="AJ245" s="15"/>
      <c r="AK245" s="13"/>
      <c r="AL245" s="15"/>
      <c r="AM245" s="15"/>
      <c r="AN245" s="13"/>
      <c r="AO245" s="13"/>
    </row>
    <row r="246" spans="1:41" ht="43.5" x14ac:dyDescent="0.35">
      <c r="A246" s="13" t="s">
        <v>76</v>
      </c>
      <c r="B246" s="13" t="s">
        <v>77</v>
      </c>
      <c r="C246" s="14">
        <v>43152.5</v>
      </c>
      <c r="D246" s="13" t="s">
        <v>78</v>
      </c>
      <c r="E246" s="15" t="s">
        <v>79</v>
      </c>
      <c r="F246" s="13" t="s">
        <v>80</v>
      </c>
      <c r="G246" s="15" t="s">
        <v>81</v>
      </c>
      <c r="H246" s="13" t="s">
        <v>471</v>
      </c>
      <c r="I246" s="15" t="s">
        <v>472</v>
      </c>
      <c r="J246" s="15" t="s">
        <v>473</v>
      </c>
      <c r="K246" s="15" t="s">
        <v>474</v>
      </c>
      <c r="L246" s="13" t="s">
        <v>477</v>
      </c>
      <c r="M246" s="15" t="s">
        <v>478</v>
      </c>
      <c r="N246" s="13" t="s">
        <v>101</v>
      </c>
      <c r="O246" s="15"/>
      <c r="P246" s="15"/>
      <c r="Q246" s="15" t="s">
        <v>110</v>
      </c>
      <c r="R246" s="13" t="s">
        <v>111</v>
      </c>
      <c r="S246" s="13" t="s">
        <v>93</v>
      </c>
      <c r="T246" s="13" t="s">
        <v>112</v>
      </c>
      <c r="U246" s="14">
        <v>40725</v>
      </c>
      <c r="V246" s="14">
        <v>42481</v>
      </c>
      <c r="W246" s="15"/>
      <c r="X246" s="15"/>
      <c r="Y246" s="13"/>
      <c r="Z246" s="15"/>
      <c r="AA246" s="15"/>
      <c r="AB246" s="15"/>
      <c r="AC246" s="13"/>
      <c r="AD246" s="15"/>
      <c r="AE246" s="15"/>
      <c r="AF246" s="15"/>
      <c r="AG246" s="13"/>
      <c r="AH246" s="15"/>
      <c r="AI246" s="15"/>
      <c r="AJ246" s="15"/>
      <c r="AK246" s="13"/>
      <c r="AL246" s="15"/>
      <c r="AM246" s="15"/>
      <c r="AN246" s="13"/>
      <c r="AO246" s="13"/>
    </row>
    <row r="247" spans="1:41" ht="43.5" x14ac:dyDescent="0.35">
      <c r="A247" s="13" t="s">
        <v>76</v>
      </c>
      <c r="B247" s="13" t="s">
        <v>77</v>
      </c>
      <c r="C247" s="14">
        <v>43152.5</v>
      </c>
      <c r="D247" s="13" t="s">
        <v>78</v>
      </c>
      <c r="E247" s="15" t="s">
        <v>79</v>
      </c>
      <c r="F247" s="13" t="s">
        <v>80</v>
      </c>
      <c r="G247" s="15" t="s">
        <v>81</v>
      </c>
      <c r="H247" s="13" t="s">
        <v>471</v>
      </c>
      <c r="I247" s="15" t="s">
        <v>472</v>
      </c>
      <c r="J247" s="15" t="s">
        <v>473</v>
      </c>
      <c r="K247" s="15" t="s">
        <v>474</v>
      </c>
      <c r="L247" s="13" t="s">
        <v>475</v>
      </c>
      <c r="M247" s="15" t="s">
        <v>476</v>
      </c>
      <c r="N247" s="13" t="s">
        <v>379</v>
      </c>
      <c r="O247" s="15"/>
      <c r="P247" s="15"/>
      <c r="Q247" s="15" t="s">
        <v>175</v>
      </c>
      <c r="R247" s="13" t="s">
        <v>176</v>
      </c>
      <c r="S247" s="13" t="s">
        <v>93</v>
      </c>
      <c r="T247" s="13" t="s">
        <v>94</v>
      </c>
      <c r="U247" s="14">
        <v>40725</v>
      </c>
      <c r="V247" s="14">
        <v>42481</v>
      </c>
      <c r="W247" s="15"/>
      <c r="X247" s="15"/>
      <c r="Y247" s="13"/>
      <c r="Z247" s="15"/>
      <c r="AA247" s="15"/>
      <c r="AB247" s="15"/>
      <c r="AC247" s="13"/>
      <c r="AD247" s="15"/>
      <c r="AE247" s="15"/>
      <c r="AF247" s="15"/>
      <c r="AG247" s="13"/>
      <c r="AH247" s="15"/>
      <c r="AI247" s="15"/>
      <c r="AJ247" s="15"/>
      <c r="AK247" s="13"/>
      <c r="AL247" s="15"/>
      <c r="AM247" s="15"/>
      <c r="AN247" s="13"/>
      <c r="AO247" s="13"/>
    </row>
    <row r="248" spans="1:41" ht="43.5" x14ac:dyDescent="0.35">
      <c r="A248" s="13" t="s">
        <v>76</v>
      </c>
      <c r="B248" s="13" t="s">
        <v>77</v>
      </c>
      <c r="C248" s="14">
        <v>43152.5</v>
      </c>
      <c r="D248" s="13" t="s">
        <v>78</v>
      </c>
      <c r="E248" s="15" t="s">
        <v>79</v>
      </c>
      <c r="F248" s="13" t="s">
        <v>80</v>
      </c>
      <c r="G248" s="15" t="s">
        <v>81</v>
      </c>
      <c r="H248" s="13" t="s">
        <v>471</v>
      </c>
      <c r="I248" s="15" t="s">
        <v>472</v>
      </c>
      <c r="J248" s="15" t="s">
        <v>473</v>
      </c>
      <c r="K248" s="15" t="s">
        <v>474</v>
      </c>
      <c r="L248" s="13" t="s">
        <v>477</v>
      </c>
      <c r="M248" s="15" t="s">
        <v>478</v>
      </c>
      <c r="N248" s="13" t="s">
        <v>101</v>
      </c>
      <c r="O248" s="15"/>
      <c r="P248" s="15"/>
      <c r="Q248" s="15" t="s">
        <v>175</v>
      </c>
      <c r="R248" s="13" t="s">
        <v>176</v>
      </c>
      <c r="S248" s="13" t="s">
        <v>93</v>
      </c>
      <c r="T248" s="13" t="s">
        <v>94</v>
      </c>
      <c r="U248" s="14">
        <v>40725</v>
      </c>
      <c r="V248" s="14">
        <v>42481</v>
      </c>
      <c r="W248" s="15"/>
      <c r="X248" s="15"/>
      <c r="Y248" s="13"/>
      <c r="Z248" s="15"/>
      <c r="AA248" s="15"/>
      <c r="AB248" s="15"/>
      <c r="AC248" s="13"/>
      <c r="AD248" s="15"/>
      <c r="AE248" s="15"/>
      <c r="AF248" s="15"/>
      <c r="AG248" s="13"/>
      <c r="AH248" s="15"/>
      <c r="AI248" s="15"/>
      <c r="AJ248" s="15"/>
      <c r="AK248" s="13"/>
      <c r="AL248" s="15"/>
      <c r="AM248" s="15"/>
      <c r="AN248" s="13"/>
      <c r="AO248" s="13"/>
    </row>
    <row r="249" spans="1:41" ht="43.5" x14ac:dyDescent="0.35">
      <c r="A249" s="13" t="s">
        <v>76</v>
      </c>
      <c r="B249" s="13" t="s">
        <v>77</v>
      </c>
      <c r="C249" s="14">
        <v>43152.5</v>
      </c>
      <c r="D249" s="13" t="s">
        <v>78</v>
      </c>
      <c r="E249" s="15" t="s">
        <v>79</v>
      </c>
      <c r="F249" s="13" t="s">
        <v>80</v>
      </c>
      <c r="G249" s="15" t="s">
        <v>81</v>
      </c>
      <c r="H249" s="13" t="s">
        <v>471</v>
      </c>
      <c r="I249" s="15" t="s">
        <v>472</v>
      </c>
      <c r="J249" s="15" t="s">
        <v>473</v>
      </c>
      <c r="K249" s="15" t="s">
        <v>474</v>
      </c>
      <c r="L249" s="13" t="s">
        <v>475</v>
      </c>
      <c r="M249" s="15" t="s">
        <v>476</v>
      </c>
      <c r="N249" s="13" t="s">
        <v>379</v>
      </c>
      <c r="O249" s="15"/>
      <c r="P249" s="15"/>
      <c r="Q249" s="15" t="s">
        <v>177</v>
      </c>
      <c r="R249" s="13" t="s">
        <v>178</v>
      </c>
      <c r="S249" s="13" t="s">
        <v>179</v>
      </c>
      <c r="T249" s="13" t="s">
        <v>94</v>
      </c>
      <c r="U249" s="14">
        <v>40725</v>
      </c>
      <c r="V249" s="14">
        <v>42481</v>
      </c>
      <c r="W249" s="15"/>
      <c r="X249" s="15"/>
      <c r="Y249" s="13"/>
      <c r="Z249" s="15"/>
      <c r="AA249" s="15"/>
      <c r="AB249" s="15"/>
      <c r="AC249" s="13"/>
      <c r="AD249" s="15"/>
      <c r="AE249" s="15"/>
      <c r="AF249" s="15"/>
      <c r="AG249" s="13"/>
      <c r="AH249" s="15"/>
      <c r="AI249" s="15"/>
      <c r="AJ249" s="15"/>
      <c r="AK249" s="13"/>
      <c r="AL249" s="15"/>
      <c r="AM249" s="15"/>
      <c r="AN249" s="13"/>
      <c r="AO249" s="13"/>
    </row>
    <row r="250" spans="1:41" ht="43.5" x14ac:dyDescent="0.35">
      <c r="A250" s="13" t="s">
        <v>76</v>
      </c>
      <c r="B250" s="13" t="s">
        <v>77</v>
      </c>
      <c r="C250" s="14">
        <v>43152.5</v>
      </c>
      <c r="D250" s="13" t="s">
        <v>78</v>
      </c>
      <c r="E250" s="15" t="s">
        <v>79</v>
      </c>
      <c r="F250" s="13" t="s">
        <v>80</v>
      </c>
      <c r="G250" s="15" t="s">
        <v>81</v>
      </c>
      <c r="H250" s="13" t="s">
        <v>471</v>
      </c>
      <c r="I250" s="15" t="s">
        <v>472</v>
      </c>
      <c r="J250" s="15" t="s">
        <v>473</v>
      </c>
      <c r="K250" s="15" t="s">
        <v>474</v>
      </c>
      <c r="L250" s="13" t="s">
        <v>477</v>
      </c>
      <c r="M250" s="15" t="s">
        <v>478</v>
      </c>
      <c r="N250" s="13" t="s">
        <v>101</v>
      </c>
      <c r="O250" s="15"/>
      <c r="P250" s="15"/>
      <c r="Q250" s="15" t="s">
        <v>177</v>
      </c>
      <c r="R250" s="13" t="s">
        <v>178</v>
      </c>
      <c r="S250" s="13" t="s">
        <v>179</v>
      </c>
      <c r="T250" s="13" t="s">
        <v>94</v>
      </c>
      <c r="U250" s="14">
        <v>40725</v>
      </c>
      <c r="V250" s="14">
        <v>42481</v>
      </c>
      <c r="W250" s="15"/>
      <c r="X250" s="15"/>
      <c r="Y250" s="13"/>
      <c r="Z250" s="15"/>
      <c r="AA250" s="15"/>
      <c r="AB250" s="15"/>
      <c r="AC250" s="13"/>
      <c r="AD250" s="15"/>
      <c r="AE250" s="15"/>
      <c r="AF250" s="15"/>
      <c r="AG250" s="13"/>
      <c r="AH250" s="15"/>
      <c r="AI250" s="15"/>
      <c r="AJ250" s="15"/>
      <c r="AK250" s="13"/>
      <c r="AL250" s="15"/>
      <c r="AM250" s="15"/>
      <c r="AN250" s="13"/>
      <c r="AO250" s="13"/>
    </row>
    <row r="251" spans="1:41" ht="58" x14ac:dyDescent="0.35">
      <c r="A251" s="13" t="s">
        <v>76</v>
      </c>
      <c r="B251" s="13" t="s">
        <v>77</v>
      </c>
      <c r="C251" s="14">
        <v>43152.5</v>
      </c>
      <c r="D251" s="13" t="s">
        <v>78</v>
      </c>
      <c r="E251" s="15" t="s">
        <v>79</v>
      </c>
      <c r="F251" s="13" t="s">
        <v>80</v>
      </c>
      <c r="G251" s="15" t="s">
        <v>81</v>
      </c>
      <c r="H251" s="13" t="s">
        <v>471</v>
      </c>
      <c r="I251" s="15" t="s">
        <v>472</v>
      </c>
      <c r="J251" s="15" t="s">
        <v>473</v>
      </c>
      <c r="K251" s="15" t="s">
        <v>474</v>
      </c>
      <c r="L251" s="13" t="s">
        <v>475</v>
      </c>
      <c r="M251" s="15" t="s">
        <v>476</v>
      </c>
      <c r="N251" s="13" t="s">
        <v>379</v>
      </c>
      <c r="O251" s="15"/>
      <c r="P251" s="15"/>
      <c r="Q251" s="15" t="s">
        <v>201</v>
      </c>
      <c r="R251" s="13" t="s">
        <v>202</v>
      </c>
      <c r="S251" s="13" t="s">
        <v>179</v>
      </c>
      <c r="T251" s="13" t="s">
        <v>112</v>
      </c>
      <c r="U251" s="14">
        <v>40725</v>
      </c>
      <c r="V251" s="14">
        <v>42481</v>
      </c>
      <c r="W251" s="15"/>
      <c r="X251" s="15"/>
      <c r="Y251" s="13"/>
      <c r="Z251" s="15"/>
      <c r="AA251" s="15"/>
      <c r="AB251" s="15"/>
      <c r="AC251" s="13"/>
      <c r="AD251" s="15"/>
      <c r="AE251" s="15"/>
      <c r="AF251" s="15"/>
      <c r="AG251" s="13"/>
      <c r="AH251" s="15"/>
      <c r="AI251" s="15"/>
      <c r="AJ251" s="15"/>
      <c r="AK251" s="13"/>
      <c r="AL251" s="15"/>
      <c r="AM251" s="15"/>
      <c r="AN251" s="13"/>
      <c r="AO251" s="13"/>
    </row>
    <row r="252" spans="1:41" ht="58" x14ac:dyDescent="0.35">
      <c r="A252" s="13" t="s">
        <v>76</v>
      </c>
      <c r="B252" s="13" t="s">
        <v>77</v>
      </c>
      <c r="C252" s="14">
        <v>43152.5</v>
      </c>
      <c r="D252" s="13" t="s">
        <v>78</v>
      </c>
      <c r="E252" s="15" t="s">
        <v>79</v>
      </c>
      <c r="F252" s="13" t="s">
        <v>80</v>
      </c>
      <c r="G252" s="15" t="s">
        <v>81</v>
      </c>
      <c r="H252" s="13" t="s">
        <v>471</v>
      </c>
      <c r="I252" s="15" t="s">
        <v>472</v>
      </c>
      <c r="J252" s="15" t="s">
        <v>473</v>
      </c>
      <c r="K252" s="15" t="s">
        <v>474</v>
      </c>
      <c r="L252" s="13" t="s">
        <v>477</v>
      </c>
      <c r="M252" s="15" t="s">
        <v>478</v>
      </c>
      <c r="N252" s="13" t="s">
        <v>101</v>
      </c>
      <c r="O252" s="15"/>
      <c r="P252" s="15"/>
      <c r="Q252" s="15" t="s">
        <v>201</v>
      </c>
      <c r="R252" s="13" t="s">
        <v>202</v>
      </c>
      <c r="S252" s="13" t="s">
        <v>179</v>
      </c>
      <c r="T252" s="13" t="s">
        <v>112</v>
      </c>
      <c r="U252" s="14">
        <v>40725</v>
      </c>
      <c r="V252" s="14">
        <v>42481</v>
      </c>
      <c r="W252" s="15"/>
      <c r="X252" s="15"/>
      <c r="Y252" s="13"/>
      <c r="Z252" s="15"/>
      <c r="AA252" s="15"/>
      <c r="AB252" s="15"/>
      <c r="AC252" s="13"/>
      <c r="AD252" s="15"/>
      <c r="AE252" s="15"/>
      <c r="AF252" s="15"/>
      <c r="AG252" s="13"/>
      <c r="AH252" s="15"/>
      <c r="AI252" s="15"/>
      <c r="AJ252" s="15"/>
      <c r="AK252" s="13"/>
      <c r="AL252" s="15"/>
      <c r="AM252" s="15"/>
      <c r="AN252" s="13"/>
      <c r="AO252" s="13"/>
    </row>
    <row r="253" spans="1:41" ht="72.5" x14ac:dyDescent="0.35">
      <c r="A253" s="13" t="s">
        <v>76</v>
      </c>
      <c r="B253" s="13" t="s">
        <v>77</v>
      </c>
      <c r="C253" s="14">
        <v>43152.5</v>
      </c>
      <c r="D253" s="13" t="s">
        <v>78</v>
      </c>
      <c r="E253" s="15" t="s">
        <v>79</v>
      </c>
      <c r="F253" s="13" t="s">
        <v>80</v>
      </c>
      <c r="G253" s="15" t="s">
        <v>81</v>
      </c>
      <c r="H253" s="13" t="s">
        <v>483</v>
      </c>
      <c r="I253" s="15" t="s">
        <v>484</v>
      </c>
      <c r="J253" s="15" t="s">
        <v>485</v>
      </c>
      <c r="K253" s="15" t="s">
        <v>486</v>
      </c>
      <c r="L253" s="13" t="s">
        <v>487</v>
      </c>
      <c r="M253" s="15" t="s">
        <v>488</v>
      </c>
      <c r="N253" s="13" t="s">
        <v>88</v>
      </c>
      <c r="O253" s="15" t="s">
        <v>89</v>
      </c>
      <c r="P253" s="15" t="s">
        <v>90</v>
      </c>
      <c r="Q253" s="15" t="s">
        <v>91</v>
      </c>
      <c r="R253" s="13" t="s">
        <v>92</v>
      </c>
      <c r="S253" s="13" t="s">
        <v>93</v>
      </c>
      <c r="T253" s="13" t="s">
        <v>94</v>
      </c>
      <c r="U253" s="14">
        <v>40725</v>
      </c>
      <c r="V253" s="14"/>
      <c r="W253" s="15"/>
      <c r="X253" s="15"/>
      <c r="Y253" s="13"/>
      <c r="Z253" s="15"/>
      <c r="AA253" s="15"/>
      <c r="AB253" s="15"/>
      <c r="AC253" s="13"/>
      <c r="AD253" s="15"/>
      <c r="AE253" s="15"/>
      <c r="AF253" s="15"/>
      <c r="AG253" s="13"/>
      <c r="AH253" s="15"/>
      <c r="AI253" s="15"/>
      <c r="AJ253" s="15"/>
      <c r="AK253" s="13"/>
      <c r="AL253" s="15"/>
      <c r="AM253" s="15"/>
      <c r="AN253" s="13"/>
      <c r="AO253" s="13"/>
    </row>
    <row r="254" spans="1:41" ht="72.5" x14ac:dyDescent="0.35">
      <c r="A254" s="13" t="s">
        <v>76</v>
      </c>
      <c r="B254" s="13" t="s">
        <v>77</v>
      </c>
      <c r="C254" s="14">
        <v>43152.5</v>
      </c>
      <c r="D254" s="13" t="s">
        <v>78</v>
      </c>
      <c r="E254" s="15" t="s">
        <v>79</v>
      </c>
      <c r="F254" s="13" t="s">
        <v>80</v>
      </c>
      <c r="G254" s="15" t="s">
        <v>81</v>
      </c>
      <c r="H254" s="13" t="s">
        <v>483</v>
      </c>
      <c r="I254" s="15" t="s">
        <v>484</v>
      </c>
      <c r="J254" s="15" t="s">
        <v>485</v>
      </c>
      <c r="K254" s="15" t="s">
        <v>486</v>
      </c>
      <c r="L254" s="13" t="s">
        <v>489</v>
      </c>
      <c r="M254" s="15" t="s">
        <v>490</v>
      </c>
      <c r="N254" s="13" t="s">
        <v>88</v>
      </c>
      <c r="O254" s="15" t="s">
        <v>97</v>
      </c>
      <c r="P254" s="15" t="s">
        <v>98</v>
      </c>
      <c r="Q254" s="15" t="s">
        <v>91</v>
      </c>
      <c r="R254" s="13" t="s">
        <v>92</v>
      </c>
      <c r="S254" s="13" t="s">
        <v>93</v>
      </c>
      <c r="T254" s="13" t="s">
        <v>94</v>
      </c>
      <c r="U254" s="14">
        <v>40725</v>
      </c>
      <c r="V254" s="14"/>
      <c r="W254" s="15"/>
      <c r="X254" s="15"/>
      <c r="Y254" s="13"/>
      <c r="Z254" s="15"/>
      <c r="AA254" s="15"/>
      <c r="AB254" s="15"/>
      <c r="AC254" s="13"/>
      <c r="AD254" s="15"/>
      <c r="AE254" s="15"/>
      <c r="AF254" s="15"/>
      <c r="AG254" s="13"/>
      <c r="AH254" s="15"/>
      <c r="AI254" s="15"/>
      <c r="AJ254" s="15"/>
      <c r="AK254" s="13"/>
      <c r="AL254" s="15"/>
      <c r="AM254" s="15"/>
      <c r="AN254" s="13"/>
      <c r="AO254" s="13"/>
    </row>
    <row r="255" spans="1:41" ht="43.5" x14ac:dyDescent="0.35">
      <c r="A255" s="13" t="s">
        <v>76</v>
      </c>
      <c r="B255" s="13" t="s">
        <v>77</v>
      </c>
      <c r="C255" s="14">
        <v>43152.5</v>
      </c>
      <c r="D255" s="13" t="s">
        <v>78</v>
      </c>
      <c r="E255" s="15" t="s">
        <v>79</v>
      </c>
      <c r="F255" s="13" t="s">
        <v>80</v>
      </c>
      <c r="G255" s="15" t="s">
        <v>81</v>
      </c>
      <c r="H255" s="13" t="s">
        <v>483</v>
      </c>
      <c r="I255" s="15" t="s">
        <v>484</v>
      </c>
      <c r="J255" s="15" t="s">
        <v>485</v>
      </c>
      <c r="K255" s="15" t="s">
        <v>486</v>
      </c>
      <c r="L255" s="13" t="s">
        <v>491</v>
      </c>
      <c r="M255" s="15" t="s">
        <v>492</v>
      </c>
      <c r="N255" s="13" t="s">
        <v>101</v>
      </c>
      <c r="O255" s="15" t="s">
        <v>102</v>
      </c>
      <c r="P255" s="15" t="s">
        <v>103</v>
      </c>
      <c r="Q255" s="15" t="s">
        <v>91</v>
      </c>
      <c r="R255" s="13" t="s">
        <v>92</v>
      </c>
      <c r="S255" s="13" t="s">
        <v>93</v>
      </c>
      <c r="T255" s="13" t="s">
        <v>94</v>
      </c>
      <c r="U255" s="14">
        <v>40725</v>
      </c>
      <c r="V255" s="14"/>
      <c r="W255" s="15"/>
      <c r="X255" s="15"/>
      <c r="Y255" s="13"/>
      <c r="Z255" s="15"/>
      <c r="AA255" s="15"/>
      <c r="AB255" s="15"/>
      <c r="AC255" s="13"/>
      <c r="AD255" s="15"/>
      <c r="AE255" s="15"/>
      <c r="AF255" s="15"/>
      <c r="AG255" s="13"/>
      <c r="AH255" s="15"/>
      <c r="AI255" s="15"/>
      <c r="AJ255" s="15"/>
      <c r="AK255" s="13"/>
      <c r="AL255" s="15"/>
      <c r="AM255" s="15"/>
      <c r="AN255" s="13"/>
      <c r="AO255" s="13"/>
    </row>
    <row r="256" spans="1:41" ht="72.5" x14ac:dyDescent="0.35">
      <c r="A256" s="13" t="s">
        <v>76</v>
      </c>
      <c r="B256" s="13" t="s">
        <v>77</v>
      </c>
      <c r="C256" s="14">
        <v>43152.5</v>
      </c>
      <c r="D256" s="13" t="s">
        <v>78</v>
      </c>
      <c r="E256" s="15" t="s">
        <v>79</v>
      </c>
      <c r="F256" s="13" t="s">
        <v>80</v>
      </c>
      <c r="G256" s="15" t="s">
        <v>81</v>
      </c>
      <c r="H256" s="13" t="s">
        <v>483</v>
      </c>
      <c r="I256" s="15" t="s">
        <v>484</v>
      </c>
      <c r="J256" s="15" t="s">
        <v>485</v>
      </c>
      <c r="K256" s="15" t="s">
        <v>486</v>
      </c>
      <c r="L256" s="13" t="s">
        <v>487</v>
      </c>
      <c r="M256" s="15" t="s">
        <v>488</v>
      </c>
      <c r="N256" s="13" t="s">
        <v>88</v>
      </c>
      <c r="O256" s="15" t="s">
        <v>89</v>
      </c>
      <c r="P256" s="15" t="s">
        <v>90</v>
      </c>
      <c r="Q256" s="15" t="s">
        <v>104</v>
      </c>
      <c r="R256" s="13" t="s">
        <v>105</v>
      </c>
      <c r="S256" s="13" t="s">
        <v>93</v>
      </c>
      <c r="T256" s="13" t="s">
        <v>94</v>
      </c>
      <c r="U256" s="14">
        <v>40725</v>
      </c>
      <c r="V256" s="14"/>
      <c r="W256" s="15"/>
      <c r="X256" s="15"/>
      <c r="Y256" s="13"/>
      <c r="Z256" s="15"/>
      <c r="AA256" s="15"/>
      <c r="AB256" s="15"/>
      <c r="AC256" s="13"/>
      <c r="AD256" s="15"/>
      <c r="AE256" s="15"/>
      <c r="AF256" s="15"/>
      <c r="AG256" s="13"/>
      <c r="AH256" s="15"/>
      <c r="AI256" s="15"/>
      <c r="AJ256" s="15"/>
      <c r="AK256" s="13"/>
      <c r="AL256" s="15"/>
      <c r="AM256" s="15"/>
      <c r="AN256" s="13"/>
      <c r="AO256" s="13"/>
    </row>
    <row r="257" spans="1:41" ht="72.5" x14ac:dyDescent="0.35">
      <c r="A257" s="13" t="s">
        <v>76</v>
      </c>
      <c r="B257" s="13" t="s">
        <v>77</v>
      </c>
      <c r="C257" s="14">
        <v>43152.5</v>
      </c>
      <c r="D257" s="13" t="s">
        <v>78</v>
      </c>
      <c r="E257" s="15" t="s">
        <v>79</v>
      </c>
      <c r="F257" s="13" t="s">
        <v>80</v>
      </c>
      <c r="G257" s="15" t="s">
        <v>81</v>
      </c>
      <c r="H257" s="13" t="s">
        <v>483</v>
      </c>
      <c r="I257" s="15" t="s">
        <v>484</v>
      </c>
      <c r="J257" s="15" t="s">
        <v>485</v>
      </c>
      <c r="K257" s="15" t="s">
        <v>486</v>
      </c>
      <c r="L257" s="13" t="s">
        <v>489</v>
      </c>
      <c r="M257" s="15" t="s">
        <v>490</v>
      </c>
      <c r="N257" s="13" t="s">
        <v>88</v>
      </c>
      <c r="O257" s="15" t="s">
        <v>97</v>
      </c>
      <c r="P257" s="15" t="s">
        <v>98</v>
      </c>
      <c r="Q257" s="15" t="s">
        <v>104</v>
      </c>
      <c r="R257" s="13" t="s">
        <v>105</v>
      </c>
      <c r="S257" s="13" t="s">
        <v>93</v>
      </c>
      <c r="T257" s="13" t="s">
        <v>94</v>
      </c>
      <c r="U257" s="14">
        <v>40725</v>
      </c>
      <c r="V257" s="14"/>
      <c r="W257" s="15"/>
      <c r="X257" s="15"/>
      <c r="Y257" s="13"/>
      <c r="Z257" s="15"/>
      <c r="AA257" s="15"/>
      <c r="AB257" s="15"/>
      <c r="AC257" s="13"/>
      <c r="AD257" s="15"/>
      <c r="AE257" s="15"/>
      <c r="AF257" s="15"/>
      <c r="AG257" s="13"/>
      <c r="AH257" s="15"/>
      <c r="AI257" s="15"/>
      <c r="AJ257" s="15"/>
      <c r="AK257" s="13"/>
      <c r="AL257" s="15"/>
      <c r="AM257" s="15"/>
      <c r="AN257" s="13"/>
      <c r="AO257" s="13"/>
    </row>
    <row r="258" spans="1:41" ht="43.5" x14ac:dyDescent="0.35">
      <c r="A258" s="13" t="s">
        <v>76</v>
      </c>
      <c r="B258" s="13" t="s">
        <v>77</v>
      </c>
      <c r="C258" s="14">
        <v>43152.5</v>
      </c>
      <c r="D258" s="13" t="s">
        <v>78</v>
      </c>
      <c r="E258" s="15" t="s">
        <v>79</v>
      </c>
      <c r="F258" s="13" t="s">
        <v>80</v>
      </c>
      <c r="G258" s="15" t="s">
        <v>81</v>
      </c>
      <c r="H258" s="13" t="s">
        <v>483</v>
      </c>
      <c r="I258" s="15" t="s">
        <v>484</v>
      </c>
      <c r="J258" s="15" t="s">
        <v>485</v>
      </c>
      <c r="K258" s="15" t="s">
        <v>486</v>
      </c>
      <c r="L258" s="13" t="s">
        <v>491</v>
      </c>
      <c r="M258" s="15" t="s">
        <v>492</v>
      </c>
      <c r="N258" s="13" t="s">
        <v>101</v>
      </c>
      <c r="O258" s="15" t="s">
        <v>102</v>
      </c>
      <c r="P258" s="15" t="s">
        <v>103</v>
      </c>
      <c r="Q258" s="15" t="s">
        <v>104</v>
      </c>
      <c r="R258" s="13" t="s">
        <v>105</v>
      </c>
      <c r="S258" s="13" t="s">
        <v>93</v>
      </c>
      <c r="T258" s="13" t="s">
        <v>94</v>
      </c>
      <c r="U258" s="14">
        <v>40725</v>
      </c>
      <c r="V258" s="14"/>
      <c r="W258" s="15"/>
      <c r="X258" s="15"/>
      <c r="Y258" s="13"/>
      <c r="Z258" s="15"/>
      <c r="AA258" s="15"/>
      <c r="AB258" s="15"/>
      <c r="AC258" s="13"/>
      <c r="AD258" s="15"/>
      <c r="AE258" s="15"/>
      <c r="AF258" s="15"/>
      <c r="AG258" s="13"/>
      <c r="AH258" s="15"/>
      <c r="AI258" s="15"/>
      <c r="AJ258" s="15"/>
      <c r="AK258" s="13"/>
      <c r="AL258" s="15"/>
      <c r="AM258" s="15"/>
      <c r="AN258" s="13"/>
      <c r="AO258" s="13"/>
    </row>
    <row r="259" spans="1:41" ht="72.5" x14ac:dyDescent="0.35">
      <c r="A259" s="13" t="s">
        <v>76</v>
      </c>
      <c r="B259" s="13" t="s">
        <v>77</v>
      </c>
      <c r="C259" s="14">
        <v>43152.5</v>
      </c>
      <c r="D259" s="13" t="s">
        <v>78</v>
      </c>
      <c r="E259" s="15" t="s">
        <v>79</v>
      </c>
      <c r="F259" s="13" t="s">
        <v>80</v>
      </c>
      <c r="G259" s="15" t="s">
        <v>81</v>
      </c>
      <c r="H259" s="13" t="s">
        <v>483</v>
      </c>
      <c r="I259" s="15" t="s">
        <v>484</v>
      </c>
      <c r="J259" s="15" t="s">
        <v>485</v>
      </c>
      <c r="K259" s="15" t="s">
        <v>486</v>
      </c>
      <c r="L259" s="13" t="s">
        <v>487</v>
      </c>
      <c r="M259" s="15" t="s">
        <v>488</v>
      </c>
      <c r="N259" s="13" t="s">
        <v>88</v>
      </c>
      <c r="O259" s="15" t="s">
        <v>89</v>
      </c>
      <c r="P259" s="15" t="s">
        <v>90</v>
      </c>
      <c r="Q259" s="15" t="s">
        <v>106</v>
      </c>
      <c r="R259" s="13" t="s">
        <v>107</v>
      </c>
      <c r="S259" s="13" t="s">
        <v>93</v>
      </c>
      <c r="T259" s="13" t="s">
        <v>94</v>
      </c>
      <c r="U259" s="14">
        <v>40725</v>
      </c>
      <c r="V259" s="14"/>
      <c r="W259" s="15"/>
      <c r="X259" s="15"/>
      <c r="Y259" s="13"/>
      <c r="Z259" s="15"/>
      <c r="AA259" s="15"/>
      <c r="AB259" s="15"/>
      <c r="AC259" s="13"/>
      <c r="AD259" s="15"/>
      <c r="AE259" s="15"/>
      <c r="AF259" s="15"/>
      <c r="AG259" s="13"/>
      <c r="AH259" s="15"/>
      <c r="AI259" s="15"/>
      <c r="AJ259" s="15"/>
      <c r="AK259" s="13"/>
      <c r="AL259" s="15"/>
      <c r="AM259" s="15"/>
      <c r="AN259" s="13"/>
      <c r="AO259" s="13"/>
    </row>
    <row r="260" spans="1:41" ht="72.5" x14ac:dyDescent="0.35">
      <c r="A260" s="13" t="s">
        <v>76</v>
      </c>
      <c r="B260" s="13" t="s">
        <v>77</v>
      </c>
      <c r="C260" s="14">
        <v>43152.5</v>
      </c>
      <c r="D260" s="13" t="s">
        <v>78</v>
      </c>
      <c r="E260" s="15" t="s">
        <v>79</v>
      </c>
      <c r="F260" s="13" t="s">
        <v>80</v>
      </c>
      <c r="G260" s="15" t="s">
        <v>81</v>
      </c>
      <c r="H260" s="13" t="s">
        <v>483</v>
      </c>
      <c r="I260" s="15" t="s">
        <v>484</v>
      </c>
      <c r="J260" s="15" t="s">
        <v>485</v>
      </c>
      <c r="K260" s="15" t="s">
        <v>486</v>
      </c>
      <c r="L260" s="13" t="s">
        <v>489</v>
      </c>
      <c r="M260" s="15" t="s">
        <v>490</v>
      </c>
      <c r="N260" s="13" t="s">
        <v>88</v>
      </c>
      <c r="O260" s="15" t="s">
        <v>97</v>
      </c>
      <c r="P260" s="15" t="s">
        <v>98</v>
      </c>
      <c r="Q260" s="15" t="s">
        <v>106</v>
      </c>
      <c r="R260" s="13" t="s">
        <v>107</v>
      </c>
      <c r="S260" s="13" t="s">
        <v>93</v>
      </c>
      <c r="T260" s="13" t="s">
        <v>94</v>
      </c>
      <c r="U260" s="14">
        <v>40725</v>
      </c>
      <c r="V260" s="14"/>
      <c r="W260" s="15"/>
      <c r="X260" s="15"/>
      <c r="Y260" s="13"/>
      <c r="Z260" s="15"/>
      <c r="AA260" s="15"/>
      <c r="AB260" s="15"/>
      <c r="AC260" s="13"/>
      <c r="AD260" s="15"/>
      <c r="AE260" s="15"/>
      <c r="AF260" s="15"/>
      <c r="AG260" s="13"/>
      <c r="AH260" s="15"/>
      <c r="AI260" s="15"/>
      <c r="AJ260" s="15"/>
      <c r="AK260" s="13"/>
      <c r="AL260" s="15"/>
      <c r="AM260" s="15"/>
      <c r="AN260" s="13"/>
      <c r="AO260" s="13"/>
    </row>
    <row r="261" spans="1:41" ht="43.5" x14ac:dyDescent="0.35">
      <c r="A261" s="13" t="s">
        <v>76</v>
      </c>
      <c r="B261" s="13" t="s">
        <v>77</v>
      </c>
      <c r="C261" s="14">
        <v>43152.5</v>
      </c>
      <c r="D261" s="13" t="s">
        <v>78</v>
      </c>
      <c r="E261" s="15" t="s">
        <v>79</v>
      </c>
      <c r="F261" s="13" t="s">
        <v>80</v>
      </c>
      <c r="G261" s="15" t="s">
        <v>81</v>
      </c>
      <c r="H261" s="13" t="s">
        <v>483</v>
      </c>
      <c r="I261" s="15" t="s">
        <v>484</v>
      </c>
      <c r="J261" s="15" t="s">
        <v>485</v>
      </c>
      <c r="K261" s="15" t="s">
        <v>486</v>
      </c>
      <c r="L261" s="13" t="s">
        <v>491</v>
      </c>
      <c r="M261" s="15" t="s">
        <v>492</v>
      </c>
      <c r="N261" s="13" t="s">
        <v>101</v>
      </c>
      <c r="O261" s="15" t="s">
        <v>102</v>
      </c>
      <c r="P261" s="15" t="s">
        <v>103</v>
      </c>
      <c r="Q261" s="15" t="s">
        <v>106</v>
      </c>
      <c r="R261" s="13" t="s">
        <v>107</v>
      </c>
      <c r="S261" s="13" t="s">
        <v>93</v>
      </c>
      <c r="T261" s="13" t="s">
        <v>94</v>
      </c>
      <c r="U261" s="14">
        <v>40725</v>
      </c>
      <c r="V261" s="14"/>
      <c r="W261" s="15"/>
      <c r="X261" s="15"/>
      <c r="Y261" s="13"/>
      <c r="Z261" s="15"/>
      <c r="AA261" s="15"/>
      <c r="AB261" s="15"/>
      <c r="AC261" s="13"/>
      <c r="AD261" s="15"/>
      <c r="AE261" s="15"/>
      <c r="AF261" s="15"/>
      <c r="AG261" s="13"/>
      <c r="AH261" s="15"/>
      <c r="AI261" s="15"/>
      <c r="AJ261" s="15"/>
      <c r="AK261" s="13"/>
      <c r="AL261" s="15"/>
      <c r="AM261" s="15"/>
      <c r="AN261" s="13"/>
      <c r="AO261" s="13"/>
    </row>
    <row r="262" spans="1:41" ht="72.5" x14ac:dyDescent="0.35">
      <c r="A262" s="13" t="s">
        <v>165</v>
      </c>
      <c r="B262" s="13" t="s">
        <v>109</v>
      </c>
      <c r="C262" s="14">
        <v>44715.457638888889</v>
      </c>
      <c r="D262" s="13" t="s">
        <v>78</v>
      </c>
      <c r="E262" s="15" t="s">
        <v>79</v>
      </c>
      <c r="F262" s="13" t="s">
        <v>80</v>
      </c>
      <c r="G262" s="15" t="s">
        <v>81</v>
      </c>
      <c r="H262" s="13" t="s">
        <v>483</v>
      </c>
      <c r="I262" s="15" t="s">
        <v>484</v>
      </c>
      <c r="J262" s="15" t="s">
        <v>485</v>
      </c>
      <c r="K262" s="15" t="s">
        <v>486</v>
      </c>
      <c r="L262" s="13" t="s">
        <v>487</v>
      </c>
      <c r="M262" s="15" t="s">
        <v>488</v>
      </c>
      <c r="N262" s="13" t="s">
        <v>88</v>
      </c>
      <c r="O262" s="15" t="s">
        <v>89</v>
      </c>
      <c r="P262" s="15" t="s">
        <v>90</v>
      </c>
      <c r="Q262" s="15" t="s">
        <v>110</v>
      </c>
      <c r="R262" s="13" t="s">
        <v>111</v>
      </c>
      <c r="S262" s="13" t="s">
        <v>93</v>
      </c>
      <c r="T262" s="13" t="s">
        <v>112</v>
      </c>
      <c r="U262" s="14">
        <v>40725</v>
      </c>
      <c r="V262" s="14">
        <v>44633</v>
      </c>
      <c r="W262" s="15"/>
      <c r="X262" s="15"/>
      <c r="Y262" s="13"/>
      <c r="Z262" s="15"/>
      <c r="AA262" s="15"/>
      <c r="AB262" s="15"/>
      <c r="AC262" s="13"/>
      <c r="AD262" s="15"/>
      <c r="AE262" s="15"/>
      <c r="AF262" s="15"/>
      <c r="AG262" s="13"/>
      <c r="AH262" s="15"/>
      <c r="AI262" s="15"/>
      <c r="AJ262" s="15"/>
      <c r="AK262" s="13"/>
      <c r="AL262" s="15"/>
      <c r="AM262" s="15"/>
      <c r="AN262" s="13"/>
      <c r="AO262" s="13"/>
    </row>
    <row r="263" spans="1:41" ht="72.5" x14ac:dyDescent="0.35">
      <c r="A263" s="13" t="s">
        <v>165</v>
      </c>
      <c r="B263" s="13" t="s">
        <v>109</v>
      </c>
      <c r="C263" s="14">
        <v>44727.614583333336</v>
      </c>
      <c r="D263" s="13" t="s">
        <v>78</v>
      </c>
      <c r="E263" s="15" t="s">
        <v>79</v>
      </c>
      <c r="F263" s="13" t="s">
        <v>80</v>
      </c>
      <c r="G263" s="15" t="s">
        <v>81</v>
      </c>
      <c r="H263" s="13" t="s">
        <v>483</v>
      </c>
      <c r="I263" s="15" t="s">
        <v>484</v>
      </c>
      <c r="J263" s="15" t="s">
        <v>485</v>
      </c>
      <c r="K263" s="15" t="s">
        <v>486</v>
      </c>
      <c r="L263" s="13" t="s">
        <v>487</v>
      </c>
      <c r="M263" s="15" t="s">
        <v>488</v>
      </c>
      <c r="N263" s="13" t="s">
        <v>88</v>
      </c>
      <c r="O263" s="15" t="s">
        <v>89</v>
      </c>
      <c r="P263" s="15" t="s">
        <v>90</v>
      </c>
      <c r="Q263" s="15" t="s">
        <v>110</v>
      </c>
      <c r="R263" s="13" t="s">
        <v>111</v>
      </c>
      <c r="S263" s="13" t="s">
        <v>93</v>
      </c>
      <c r="T263" s="13" t="s">
        <v>112</v>
      </c>
      <c r="U263" s="14">
        <v>44634</v>
      </c>
      <c r="V263" s="14"/>
      <c r="W263" s="15"/>
      <c r="X263" s="15"/>
      <c r="Y263" s="13"/>
      <c r="Z263" s="15"/>
      <c r="AA263" s="15"/>
      <c r="AB263" s="15"/>
      <c r="AC263" s="13"/>
      <c r="AD263" s="15"/>
      <c r="AE263" s="15"/>
      <c r="AF263" s="15"/>
      <c r="AG263" s="13"/>
      <c r="AH263" s="15"/>
      <c r="AI263" s="15"/>
      <c r="AJ263" s="15"/>
      <c r="AK263" s="13"/>
      <c r="AL263" s="15"/>
      <c r="AM263" s="15"/>
      <c r="AN263" s="13"/>
      <c r="AO263" s="13"/>
    </row>
    <row r="264" spans="1:41" ht="72.5" x14ac:dyDescent="0.35">
      <c r="A264" s="13" t="s">
        <v>165</v>
      </c>
      <c r="B264" s="13" t="s">
        <v>109</v>
      </c>
      <c r="C264" s="14">
        <v>44715.462500000001</v>
      </c>
      <c r="D264" s="13" t="s">
        <v>78</v>
      </c>
      <c r="E264" s="15" t="s">
        <v>79</v>
      </c>
      <c r="F264" s="13" t="s">
        <v>80</v>
      </c>
      <c r="G264" s="15" t="s">
        <v>81</v>
      </c>
      <c r="H264" s="13" t="s">
        <v>483</v>
      </c>
      <c r="I264" s="15" t="s">
        <v>484</v>
      </c>
      <c r="J264" s="15" t="s">
        <v>485</v>
      </c>
      <c r="K264" s="15" t="s">
        <v>486</v>
      </c>
      <c r="L264" s="13" t="s">
        <v>489</v>
      </c>
      <c r="M264" s="15" t="s">
        <v>490</v>
      </c>
      <c r="N264" s="13" t="s">
        <v>88</v>
      </c>
      <c r="O264" s="15" t="s">
        <v>97</v>
      </c>
      <c r="P264" s="15" t="s">
        <v>98</v>
      </c>
      <c r="Q264" s="15" t="s">
        <v>110</v>
      </c>
      <c r="R264" s="13" t="s">
        <v>111</v>
      </c>
      <c r="S264" s="13" t="s">
        <v>93</v>
      </c>
      <c r="T264" s="13" t="s">
        <v>112</v>
      </c>
      <c r="U264" s="14">
        <v>40725</v>
      </c>
      <c r="V264" s="14">
        <v>44633</v>
      </c>
      <c r="W264" s="15"/>
      <c r="X264" s="15"/>
      <c r="Y264" s="13"/>
      <c r="Z264" s="15"/>
      <c r="AA264" s="15"/>
      <c r="AB264" s="15"/>
      <c r="AC264" s="13"/>
      <c r="AD264" s="15"/>
      <c r="AE264" s="15"/>
      <c r="AF264" s="15"/>
      <c r="AG264" s="13"/>
      <c r="AH264" s="15"/>
      <c r="AI264" s="15"/>
      <c r="AJ264" s="15"/>
      <c r="AK264" s="13"/>
      <c r="AL264" s="15"/>
      <c r="AM264" s="15"/>
      <c r="AN264" s="13"/>
      <c r="AO264" s="13"/>
    </row>
    <row r="265" spans="1:41" ht="72.5" x14ac:dyDescent="0.35">
      <c r="A265" s="13" t="s">
        <v>165</v>
      </c>
      <c r="B265" s="13" t="s">
        <v>109</v>
      </c>
      <c r="C265" s="14">
        <v>44727.615972222222</v>
      </c>
      <c r="D265" s="13" t="s">
        <v>78</v>
      </c>
      <c r="E265" s="15" t="s">
        <v>79</v>
      </c>
      <c r="F265" s="13" t="s">
        <v>80</v>
      </c>
      <c r="G265" s="15" t="s">
        <v>81</v>
      </c>
      <c r="H265" s="13" t="s">
        <v>483</v>
      </c>
      <c r="I265" s="15" t="s">
        <v>484</v>
      </c>
      <c r="J265" s="15" t="s">
        <v>485</v>
      </c>
      <c r="K265" s="15" t="s">
        <v>486</v>
      </c>
      <c r="L265" s="13" t="s">
        <v>489</v>
      </c>
      <c r="M265" s="15" t="s">
        <v>490</v>
      </c>
      <c r="N265" s="13" t="s">
        <v>88</v>
      </c>
      <c r="O265" s="15" t="s">
        <v>97</v>
      </c>
      <c r="P265" s="15" t="s">
        <v>98</v>
      </c>
      <c r="Q265" s="15" t="s">
        <v>110</v>
      </c>
      <c r="R265" s="13" t="s">
        <v>111</v>
      </c>
      <c r="S265" s="13" t="s">
        <v>93</v>
      </c>
      <c r="T265" s="13" t="s">
        <v>112</v>
      </c>
      <c r="U265" s="14">
        <v>44634</v>
      </c>
      <c r="V265" s="14"/>
      <c r="W265" s="15"/>
      <c r="X265" s="15"/>
      <c r="Y265" s="13"/>
      <c r="Z265" s="15"/>
      <c r="AA265" s="15"/>
      <c r="AB265" s="15"/>
      <c r="AC265" s="13"/>
      <c r="AD265" s="15"/>
      <c r="AE265" s="15"/>
      <c r="AF265" s="15"/>
      <c r="AG265" s="13"/>
      <c r="AH265" s="15"/>
      <c r="AI265" s="15"/>
      <c r="AJ265" s="15"/>
      <c r="AK265" s="13"/>
      <c r="AL265" s="15"/>
      <c r="AM265" s="15"/>
      <c r="AN265" s="13"/>
      <c r="AO265" s="13"/>
    </row>
    <row r="266" spans="1:41" ht="43.5" x14ac:dyDescent="0.35">
      <c r="A266" s="13" t="s">
        <v>165</v>
      </c>
      <c r="B266" s="13" t="s">
        <v>109</v>
      </c>
      <c r="C266" s="14">
        <v>44715.469444444447</v>
      </c>
      <c r="D266" s="13" t="s">
        <v>78</v>
      </c>
      <c r="E266" s="15" t="s">
        <v>79</v>
      </c>
      <c r="F266" s="13" t="s">
        <v>80</v>
      </c>
      <c r="G266" s="15" t="s">
        <v>81</v>
      </c>
      <c r="H266" s="13" t="s">
        <v>483</v>
      </c>
      <c r="I266" s="15" t="s">
        <v>484</v>
      </c>
      <c r="J266" s="15" t="s">
        <v>485</v>
      </c>
      <c r="K266" s="15" t="s">
        <v>486</v>
      </c>
      <c r="L266" s="13" t="s">
        <v>491</v>
      </c>
      <c r="M266" s="15" t="s">
        <v>492</v>
      </c>
      <c r="N266" s="13" t="s">
        <v>101</v>
      </c>
      <c r="O266" s="15" t="s">
        <v>102</v>
      </c>
      <c r="P266" s="15" t="s">
        <v>103</v>
      </c>
      <c r="Q266" s="15" t="s">
        <v>110</v>
      </c>
      <c r="R266" s="13" t="s">
        <v>111</v>
      </c>
      <c r="S266" s="13" t="s">
        <v>93</v>
      </c>
      <c r="T266" s="13" t="s">
        <v>112</v>
      </c>
      <c r="U266" s="14">
        <v>40725</v>
      </c>
      <c r="V266" s="14">
        <v>44633</v>
      </c>
      <c r="W266" s="15"/>
      <c r="X266" s="15"/>
      <c r="Y266" s="13"/>
      <c r="Z266" s="15"/>
      <c r="AA266" s="15"/>
      <c r="AB266" s="15"/>
      <c r="AC266" s="13"/>
      <c r="AD266" s="15"/>
      <c r="AE266" s="15"/>
      <c r="AF266" s="15"/>
      <c r="AG266" s="13"/>
      <c r="AH266" s="15"/>
      <c r="AI266" s="15"/>
      <c r="AJ266" s="15"/>
      <c r="AK266" s="13"/>
      <c r="AL266" s="15"/>
      <c r="AM266" s="15"/>
      <c r="AN266" s="13"/>
      <c r="AO266" s="13"/>
    </row>
    <row r="267" spans="1:41" ht="43.5" x14ac:dyDescent="0.35">
      <c r="A267" s="13" t="s">
        <v>165</v>
      </c>
      <c r="B267" s="13" t="s">
        <v>77</v>
      </c>
      <c r="C267" s="14">
        <v>44715.470138888886</v>
      </c>
      <c r="D267" s="13" t="s">
        <v>78</v>
      </c>
      <c r="E267" s="15" t="s">
        <v>79</v>
      </c>
      <c r="F267" s="13" t="s">
        <v>80</v>
      </c>
      <c r="G267" s="15" t="s">
        <v>81</v>
      </c>
      <c r="H267" s="13" t="s">
        <v>483</v>
      </c>
      <c r="I267" s="15" t="s">
        <v>484</v>
      </c>
      <c r="J267" s="15" t="s">
        <v>485</v>
      </c>
      <c r="K267" s="15" t="s">
        <v>486</v>
      </c>
      <c r="L267" s="13" t="s">
        <v>491</v>
      </c>
      <c r="M267" s="15" t="s">
        <v>492</v>
      </c>
      <c r="N267" s="13" t="s">
        <v>101</v>
      </c>
      <c r="O267" s="15" t="s">
        <v>102</v>
      </c>
      <c r="P267" s="15" t="s">
        <v>103</v>
      </c>
      <c r="Q267" s="15" t="s">
        <v>110</v>
      </c>
      <c r="R267" s="13" t="s">
        <v>111</v>
      </c>
      <c r="S267" s="13" t="s">
        <v>93</v>
      </c>
      <c r="T267" s="13" t="s">
        <v>112</v>
      </c>
      <c r="U267" s="14">
        <v>44634</v>
      </c>
      <c r="V267" s="14"/>
      <c r="W267" s="15"/>
      <c r="X267" s="15"/>
      <c r="Y267" s="13"/>
      <c r="Z267" s="15"/>
      <c r="AA267" s="15"/>
      <c r="AB267" s="15"/>
      <c r="AC267" s="13"/>
      <c r="AD267" s="15"/>
      <c r="AE267" s="15"/>
      <c r="AF267" s="15"/>
      <c r="AG267" s="13"/>
      <c r="AH267" s="15"/>
      <c r="AI267" s="15"/>
      <c r="AJ267" s="15"/>
      <c r="AK267" s="13"/>
      <c r="AL267" s="15"/>
      <c r="AM267" s="15"/>
      <c r="AN267" s="13"/>
      <c r="AO267" s="13"/>
    </row>
    <row r="268" spans="1:41" ht="72.5" x14ac:dyDescent="0.35">
      <c r="A268" s="13" t="s">
        <v>76</v>
      </c>
      <c r="B268" s="13" t="s">
        <v>77</v>
      </c>
      <c r="C268" s="14">
        <v>43152.5</v>
      </c>
      <c r="D268" s="13" t="s">
        <v>78</v>
      </c>
      <c r="E268" s="15" t="s">
        <v>79</v>
      </c>
      <c r="F268" s="13" t="s">
        <v>80</v>
      </c>
      <c r="G268" s="15" t="s">
        <v>81</v>
      </c>
      <c r="H268" s="13" t="s">
        <v>483</v>
      </c>
      <c r="I268" s="15" t="s">
        <v>484</v>
      </c>
      <c r="J268" s="15" t="s">
        <v>485</v>
      </c>
      <c r="K268" s="15" t="s">
        <v>486</v>
      </c>
      <c r="L268" s="13" t="s">
        <v>487</v>
      </c>
      <c r="M268" s="15" t="s">
        <v>488</v>
      </c>
      <c r="N268" s="13" t="s">
        <v>88</v>
      </c>
      <c r="O268" s="15" t="s">
        <v>89</v>
      </c>
      <c r="P268" s="15" t="s">
        <v>90</v>
      </c>
      <c r="Q268" s="15" t="s">
        <v>175</v>
      </c>
      <c r="R268" s="13" t="s">
        <v>176</v>
      </c>
      <c r="S268" s="13" t="s">
        <v>93</v>
      </c>
      <c r="T268" s="13" t="s">
        <v>94</v>
      </c>
      <c r="U268" s="14">
        <v>40725</v>
      </c>
      <c r="V268" s="14"/>
      <c r="W268" s="15"/>
      <c r="X268" s="15"/>
      <c r="Y268" s="13"/>
      <c r="Z268" s="15"/>
      <c r="AA268" s="15"/>
      <c r="AB268" s="15"/>
      <c r="AC268" s="13"/>
      <c r="AD268" s="15"/>
      <c r="AE268" s="15"/>
      <c r="AF268" s="15"/>
      <c r="AG268" s="13"/>
      <c r="AH268" s="15"/>
      <c r="AI268" s="15"/>
      <c r="AJ268" s="15"/>
      <c r="AK268" s="13"/>
      <c r="AL268" s="15"/>
      <c r="AM268" s="15"/>
      <c r="AN268" s="13"/>
      <c r="AO268" s="13"/>
    </row>
    <row r="269" spans="1:41" ht="72.5" x14ac:dyDescent="0.35">
      <c r="A269" s="13" t="s">
        <v>76</v>
      </c>
      <c r="B269" s="13" t="s">
        <v>77</v>
      </c>
      <c r="C269" s="14">
        <v>43152.5</v>
      </c>
      <c r="D269" s="13" t="s">
        <v>78</v>
      </c>
      <c r="E269" s="15" t="s">
        <v>79</v>
      </c>
      <c r="F269" s="13" t="s">
        <v>80</v>
      </c>
      <c r="G269" s="15" t="s">
        <v>81</v>
      </c>
      <c r="H269" s="13" t="s">
        <v>483</v>
      </c>
      <c r="I269" s="15" t="s">
        <v>484</v>
      </c>
      <c r="J269" s="15" t="s">
        <v>485</v>
      </c>
      <c r="K269" s="15" t="s">
        <v>486</v>
      </c>
      <c r="L269" s="13" t="s">
        <v>489</v>
      </c>
      <c r="M269" s="15" t="s">
        <v>490</v>
      </c>
      <c r="N269" s="13" t="s">
        <v>88</v>
      </c>
      <c r="O269" s="15" t="s">
        <v>97</v>
      </c>
      <c r="P269" s="15" t="s">
        <v>98</v>
      </c>
      <c r="Q269" s="15" t="s">
        <v>175</v>
      </c>
      <c r="R269" s="13" t="s">
        <v>176</v>
      </c>
      <c r="S269" s="13" t="s">
        <v>93</v>
      </c>
      <c r="T269" s="13" t="s">
        <v>94</v>
      </c>
      <c r="U269" s="14">
        <v>40725</v>
      </c>
      <c r="V269" s="14"/>
      <c r="W269" s="15"/>
      <c r="X269" s="15"/>
      <c r="Y269" s="13"/>
      <c r="Z269" s="15"/>
      <c r="AA269" s="15"/>
      <c r="AB269" s="15"/>
      <c r="AC269" s="13"/>
      <c r="AD269" s="15"/>
      <c r="AE269" s="15"/>
      <c r="AF269" s="15"/>
      <c r="AG269" s="13"/>
      <c r="AH269" s="15"/>
      <c r="AI269" s="15"/>
      <c r="AJ269" s="15"/>
      <c r="AK269" s="13"/>
      <c r="AL269" s="15"/>
      <c r="AM269" s="15"/>
      <c r="AN269" s="13"/>
      <c r="AO269" s="13"/>
    </row>
    <row r="270" spans="1:41" ht="43.5" x14ac:dyDescent="0.35">
      <c r="A270" s="13" t="s">
        <v>76</v>
      </c>
      <c r="B270" s="13" t="s">
        <v>77</v>
      </c>
      <c r="C270" s="14">
        <v>43152.5</v>
      </c>
      <c r="D270" s="13" t="s">
        <v>78</v>
      </c>
      <c r="E270" s="15" t="s">
        <v>79</v>
      </c>
      <c r="F270" s="13" t="s">
        <v>80</v>
      </c>
      <c r="G270" s="15" t="s">
        <v>81</v>
      </c>
      <c r="H270" s="13" t="s">
        <v>483</v>
      </c>
      <c r="I270" s="15" t="s">
        <v>484</v>
      </c>
      <c r="J270" s="15" t="s">
        <v>485</v>
      </c>
      <c r="K270" s="15" t="s">
        <v>486</v>
      </c>
      <c r="L270" s="13" t="s">
        <v>491</v>
      </c>
      <c r="M270" s="15" t="s">
        <v>492</v>
      </c>
      <c r="N270" s="13" t="s">
        <v>101</v>
      </c>
      <c r="O270" s="15" t="s">
        <v>102</v>
      </c>
      <c r="P270" s="15" t="s">
        <v>103</v>
      </c>
      <c r="Q270" s="15" t="s">
        <v>175</v>
      </c>
      <c r="R270" s="13" t="s">
        <v>176</v>
      </c>
      <c r="S270" s="13" t="s">
        <v>93</v>
      </c>
      <c r="T270" s="13" t="s">
        <v>94</v>
      </c>
      <c r="U270" s="14">
        <v>40725</v>
      </c>
      <c r="V270" s="14"/>
      <c r="W270" s="15"/>
      <c r="X270" s="15"/>
      <c r="Y270" s="13"/>
      <c r="Z270" s="15"/>
      <c r="AA270" s="15"/>
      <c r="AB270" s="15"/>
      <c r="AC270" s="13"/>
      <c r="AD270" s="15"/>
      <c r="AE270" s="15"/>
      <c r="AF270" s="15"/>
      <c r="AG270" s="13"/>
      <c r="AH270" s="15"/>
      <c r="AI270" s="15"/>
      <c r="AJ270" s="15"/>
      <c r="AK270" s="13"/>
      <c r="AL270" s="15"/>
      <c r="AM270" s="15"/>
      <c r="AN270" s="13"/>
      <c r="AO270" s="13"/>
    </row>
    <row r="271" spans="1:41" ht="72.5" x14ac:dyDescent="0.35">
      <c r="A271" s="13" t="s">
        <v>165</v>
      </c>
      <c r="B271" s="13" t="s">
        <v>109</v>
      </c>
      <c r="C271" s="14">
        <v>44715.459027777775</v>
      </c>
      <c r="D271" s="13" t="s">
        <v>78</v>
      </c>
      <c r="E271" s="15" t="s">
        <v>79</v>
      </c>
      <c r="F271" s="13" t="s">
        <v>80</v>
      </c>
      <c r="G271" s="15" t="s">
        <v>81</v>
      </c>
      <c r="H271" s="13" t="s">
        <v>483</v>
      </c>
      <c r="I271" s="15" t="s">
        <v>484</v>
      </c>
      <c r="J271" s="15" t="s">
        <v>485</v>
      </c>
      <c r="K271" s="15" t="s">
        <v>486</v>
      </c>
      <c r="L271" s="13" t="s">
        <v>487</v>
      </c>
      <c r="M271" s="15" t="s">
        <v>488</v>
      </c>
      <c r="N271" s="13" t="s">
        <v>88</v>
      </c>
      <c r="O271" s="15" t="s">
        <v>89</v>
      </c>
      <c r="P271" s="15" t="s">
        <v>90</v>
      </c>
      <c r="Q271" s="15" t="s">
        <v>177</v>
      </c>
      <c r="R271" s="13" t="s">
        <v>178</v>
      </c>
      <c r="S271" s="13" t="s">
        <v>179</v>
      </c>
      <c r="T271" s="13" t="s">
        <v>112</v>
      </c>
      <c r="U271" s="14">
        <v>40725</v>
      </c>
      <c r="V271" s="14">
        <v>44633</v>
      </c>
      <c r="W271" s="15"/>
      <c r="X271" s="15"/>
      <c r="Y271" s="13"/>
      <c r="Z271" s="15"/>
      <c r="AA271" s="15"/>
      <c r="AB271" s="15"/>
      <c r="AC271" s="13"/>
      <c r="AD271" s="15"/>
      <c r="AE271" s="15"/>
      <c r="AF271" s="15"/>
      <c r="AG271" s="13"/>
      <c r="AH271" s="15"/>
      <c r="AI271" s="15"/>
      <c r="AJ271" s="15"/>
      <c r="AK271" s="13"/>
      <c r="AL271" s="15"/>
      <c r="AM271" s="15"/>
      <c r="AN271" s="13"/>
      <c r="AO271" s="13"/>
    </row>
    <row r="272" spans="1:41" ht="72.5" x14ac:dyDescent="0.35">
      <c r="A272" s="13" t="s">
        <v>165</v>
      </c>
      <c r="B272" s="13" t="s">
        <v>77</v>
      </c>
      <c r="C272" s="14">
        <v>44715.461805555555</v>
      </c>
      <c r="D272" s="13" t="s">
        <v>78</v>
      </c>
      <c r="E272" s="15" t="s">
        <v>79</v>
      </c>
      <c r="F272" s="13" t="s">
        <v>80</v>
      </c>
      <c r="G272" s="15" t="s">
        <v>81</v>
      </c>
      <c r="H272" s="13" t="s">
        <v>483</v>
      </c>
      <c r="I272" s="15" t="s">
        <v>484</v>
      </c>
      <c r="J272" s="15" t="s">
        <v>485</v>
      </c>
      <c r="K272" s="15" t="s">
        <v>486</v>
      </c>
      <c r="L272" s="13" t="s">
        <v>487</v>
      </c>
      <c r="M272" s="15" t="s">
        <v>488</v>
      </c>
      <c r="N272" s="13" t="s">
        <v>88</v>
      </c>
      <c r="O272" s="15" t="s">
        <v>89</v>
      </c>
      <c r="P272" s="15" t="s">
        <v>90</v>
      </c>
      <c r="Q272" s="15" t="s">
        <v>177</v>
      </c>
      <c r="R272" s="13" t="s">
        <v>178</v>
      </c>
      <c r="S272" s="13" t="s">
        <v>179</v>
      </c>
      <c r="T272" s="13" t="s">
        <v>112</v>
      </c>
      <c r="U272" s="14">
        <v>44634</v>
      </c>
      <c r="V272" s="14"/>
      <c r="W272" s="15"/>
      <c r="X272" s="15"/>
      <c r="Y272" s="13"/>
      <c r="Z272" s="15"/>
      <c r="AA272" s="15"/>
      <c r="AB272" s="15"/>
      <c r="AC272" s="13"/>
      <c r="AD272" s="15"/>
      <c r="AE272" s="15"/>
      <c r="AF272" s="15"/>
      <c r="AG272" s="13"/>
      <c r="AH272" s="15"/>
      <c r="AI272" s="15"/>
      <c r="AJ272" s="15"/>
      <c r="AK272" s="13"/>
      <c r="AL272" s="15"/>
      <c r="AM272" s="15"/>
      <c r="AN272" s="13"/>
      <c r="AO272" s="13"/>
    </row>
    <row r="273" spans="1:41" ht="72.5" x14ac:dyDescent="0.35">
      <c r="A273" s="13" t="s">
        <v>165</v>
      </c>
      <c r="B273" s="13" t="s">
        <v>109</v>
      </c>
      <c r="C273" s="14">
        <v>44715.467361111114</v>
      </c>
      <c r="D273" s="13" t="s">
        <v>78</v>
      </c>
      <c r="E273" s="15" t="s">
        <v>79</v>
      </c>
      <c r="F273" s="13" t="s">
        <v>80</v>
      </c>
      <c r="G273" s="15" t="s">
        <v>81</v>
      </c>
      <c r="H273" s="13" t="s">
        <v>483</v>
      </c>
      <c r="I273" s="15" t="s">
        <v>484</v>
      </c>
      <c r="J273" s="15" t="s">
        <v>485</v>
      </c>
      <c r="K273" s="15" t="s">
        <v>486</v>
      </c>
      <c r="L273" s="13" t="s">
        <v>489</v>
      </c>
      <c r="M273" s="15" t="s">
        <v>490</v>
      </c>
      <c r="N273" s="13" t="s">
        <v>88</v>
      </c>
      <c r="O273" s="15" t="s">
        <v>97</v>
      </c>
      <c r="P273" s="15" t="s">
        <v>98</v>
      </c>
      <c r="Q273" s="15" t="s">
        <v>177</v>
      </c>
      <c r="R273" s="13" t="s">
        <v>178</v>
      </c>
      <c r="S273" s="13" t="s">
        <v>179</v>
      </c>
      <c r="T273" s="13" t="s">
        <v>112</v>
      </c>
      <c r="U273" s="14">
        <v>40725</v>
      </c>
      <c r="V273" s="14">
        <v>44633</v>
      </c>
      <c r="W273" s="15"/>
      <c r="X273" s="15"/>
      <c r="Y273" s="13"/>
      <c r="Z273" s="15"/>
      <c r="AA273" s="15"/>
      <c r="AB273" s="15"/>
      <c r="AC273" s="13"/>
      <c r="AD273" s="15"/>
      <c r="AE273" s="15"/>
      <c r="AF273" s="15"/>
      <c r="AG273" s="13"/>
      <c r="AH273" s="15"/>
      <c r="AI273" s="15"/>
      <c r="AJ273" s="15"/>
      <c r="AK273" s="13"/>
      <c r="AL273" s="15"/>
      <c r="AM273" s="15"/>
      <c r="AN273" s="13"/>
      <c r="AO273" s="13"/>
    </row>
    <row r="274" spans="1:41" ht="72.5" x14ac:dyDescent="0.35">
      <c r="A274" s="13" t="s">
        <v>165</v>
      </c>
      <c r="B274" s="13" t="s">
        <v>77</v>
      </c>
      <c r="C274" s="14">
        <v>44715.468055555553</v>
      </c>
      <c r="D274" s="13" t="s">
        <v>78</v>
      </c>
      <c r="E274" s="15" t="s">
        <v>79</v>
      </c>
      <c r="F274" s="13" t="s">
        <v>80</v>
      </c>
      <c r="G274" s="15" t="s">
        <v>81</v>
      </c>
      <c r="H274" s="13" t="s">
        <v>483</v>
      </c>
      <c r="I274" s="15" t="s">
        <v>484</v>
      </c>
      <c r="J274" s="15" t="s">
        <v>485</v>
      </c>
      <c r="K274" s="15" t="s">
        <v>486</v>
      </c>
      <c r="L274" s="13" t="s">
        <v>489</v>
      </c>
      <c r="M274" s="15" t="s">
        <v>490</v>
      </c>
      <c r="N274" s="13" t="s">
        <v>88</v>
      </c>
      <c r="O274" s="15" t="s">
        <v>97</v>
      </c>
      <c r="P274" s="15" t="s">
        <v>98</v>
      </c>
      <c r="Q274" s="15" t="s">
        <v>177</v>
      </c>
      <c r="R274" s="13" t="s">
        <v>178</v>
      </c>
      <c r="S274" s="13" t="s">
        <v>179</v>
      </c>
      <c r="T274" s="13" t="s">
        <v>112</v>
      </c>
      <c r="U274" s="14">
        <v>44634</v>
      </c>
      <c r="V274" s="14"/>
      <c r="W274" s="15"/>
      <c r="X274" s="15"/>
      <c r="Y274" s="13"/>
      <c r="Z274" s="15"/>
      <c r="AA274" s="15"/>
      <c r="AB274" s="15"/>
      <c r="AC274" s="13"/>
      <c r="AD274" s="15"/>
      <c r="AE274" s="15"/>
      <c r="AF274" s="15"/>
      <c r="AG274" s="13"/>
      <c r="AH274" s="15"/>
      <c r="AI274" s="15"/>
      <c r="AJ274" s="15"/>
      <c r="AK274" s="13"/>
      <c r="AL274" s="15"/>
      <c r="AM274" s="15"/>
      <c r="AN274" s="13"/>
      <c r="AO274" s="13"/>
    </row>
    <row r="275" spans="1:41" ht="43.5" x14ac:dyDescent="0.35">
      <c r="A275" s="13" t="s">
        <v>165</v>
      </c>
      <c r="B275" s="13" t="s">
        <v>109</v>
      </c>
      <c r="C275" s="14">
        <v>44715.477777777778</v>
      </c>
      <c r="D275" s="13" t="s">
        <v>78</v>
      </c>
      <c r="E275" s="15" t="s">
        <v>79</v>
      </c>
      <c r="F275" s="13" t="s">
        <v>80</v>
      </c>
      <c r="G275" s="15" t="s">
        <v>81</v>
      </c>
      <c r="H275" s="13" t="s">
        <v>483</v>
      </c>
      <c r="I275" s="15" t="s">
        <v>484</v>
      </c>
      <c r="J275" s="15" t="s">
        <v>485</v>
      </c>
      <c r="K275" s="15" t="s">
        <v>486</v>
      </c>
      <c r="L275" s="13" t="s">
        <v>491</v>
      </c>
      <c r="M275" s="15" t="s">
        <v>492</v>
      </c>
      <c r="N275" s="13" t="s">
        <v>101</v>
      </c>
      <c r="O275" s="15" t="s">
        <v>102</v>
      </c>
      <c r="P275" s="15" t="s">
        <v>103</v>
      </c>
      <c r="Q275" s="15" t="s">
        <v>177</v>
      </c>
      <c r="R275" s="13" t="s">
        <v>178</v>
      </c>
      <c r="S275" s="13" t="s">
        <v>179</v>
      </c>
      <c r="T275" s="13" t="s">
        <v>112</v>
      </c>
      <c r="U275" s="14">
        <v>40725</v>
      </c>
      <c r="V275" s="14">
        <v>44633</v>
      </c>
      <c r="W275" s="15"/>
      <c r="X275" s="15"/>
      <c r="Y275" s="13"/>
      <c r="Z275" s="15"/>
      <c r="AA275" s="15"/>
      <c r="AB275" s="15"/>
      <c r="AC275" s="13"/>
      <c r="AD275" s="15"/>
      <c r="AE275" s="15"/>
      <c r="AF275" s="15"/>
      <c r="AG275" s="13"/>
      <c r="AH275" s="15"/>
      <c r="AI275" s="15"/>
      <c r="AJ275" s="15"/>
      <c r="AK275" s="13"/>
      <c r="AL275" s="15"/>
      <c r="AM275" s="15"/>
      <c r="AN275" s="13"/>
      <c r="AO275" s="13"/>
    </row>
    <row r="276" spans="1:41" ht="43.5" x14ac:dyDescent="0.35">
      <c r="A276" s="13" t="s">
        <v>165</v>
      </c>
      <c r="B276" s="13" t="s">
        <v>77</v>
      </c>
      <c r="C276" s="14">
        <v>44715.478472222225</v>
      </c>
      <c r="D276" s="13" t="s">
        <v>78</v>
      </c>
      <c r="E276" s="15" t="s">
        <v>79</v>
      </c>
      <c r="F276" s="13" t="s">
        <v>80</v>
      </c>
      <c r="G276" s="15" t="s">
        <v>81</v>
      </c>
      <c r="H276" s="13" t="s">
        <v>483</v>
      </c>
      <c r="I276" s="15" t="s">
        <v>484</v>
      </c>
      <c r="J276" s="15" t="s">
        <v>485</v>
      </c>
      <c r="K276" s="15" t="s">
        <v>486</v>
      </c>
      <c r="L276" s="13" t="s">
        <v>491</v>
      </c>
      <c r="M276" s="15" t="s">
        <v>492</v>
      </c>
      <c r="N276" s="13" t="s">
        <v>101</v>
      </c>
      <c r="O276" s="15" t="s">
        <v>102</v>
      </c>
      <c r="P276" s="15" t="s">
        <v>103</v>
      </c>
      <c r="Q276" s="15" t="s">
        <v>177</v>
      </c>
      <c r="R276" s="13" t="s">
        <v>178</v>
      </c>
      <c r="S276" s="13" t="s">
        <v>179</v>
      </c>
      <c r="T276" s="13" t="s">
        <v>112</v>
      </c>
      <c r="U276" s="14">
        <v>44634</v>
      </c>
      <c r="V276" s="14"/>
      <c r="W276" s="15"/>
      <c r="X276" s="15"/>
      <c r="Y276" s="13"/>
      <c r="Z276" s="15"/>
      <c r="AA276" s="15"/>
      <c r="AB276" s="15"/>
      <c r="AC276" s="13"/>
      <c r="AD276" s="15"/>
      <c r="AE276" s="15"/>
      <c r="AF276" s="15"/>
      <c r="AG276" s="13"/>
      <c r="AH276" s="15"/>
      <c r="AI276" s="15"/>
      <c r="AJ276" s="15"/>
      <c r="AK276" s="13"/>
      <c r="AL276" s="15"/>
      <c r="AM276" s="15"/>
      <c r="AN276" s="13"/>
      <c r="AO276" s="13"/>
    </row>
    <row r="277" spans="1:41" ht="72.5" x14ac:dyDescent="0.35">
      <c r="A277" s="13" t="s">
        <v>165</v>
      </c>
      <c r="B277" s="13" t="s">
        <v>109</v>
      </c>
      <c r="C277" s="14">
        <v>44715.458333333336</v>
      </c>
      <c r="D277" s="13" t="s">
        <v>78</v>
      </c>
      <c r="E277" s="15" t="s">
        <v>79</v>
      </c>
      <c r="F277" s="13" t="s">
        <v>80</v>
      </c>
      <c r="G277" s="15" t="s">
        <v>81</v>
      </c>
      <c r="H277" s="13" t="s">
        <v>483</v>
      </c>
      <c r="I277" s="15" t="s">
        <v>484</v>
      </c>
      <c r="J277" s="15" t="s">
        <v>485</v>
      </c>
      <c r="K277" s="15" t="s">
        <v>486</v>
      </c>
      <c r="L277" s="13" t="s">
        <v>487</v>
      </c>
      <c r="M277" s="15" t="s">
        <v>488</v>
      </c>
      <c r="N277" s="13" t="s">
        <v>88</v>
      </c>
      <c r="O277" s="15" t="s">
        <v>89</v>
      </c>
      <c r="P277" s="15" t="s">
        <v>90</v>
      </c>
      <c r="Q277" s="15" t="s">
        <v>201</v>
      </c>
      <c r="R277" s="13" t="s">
        <v>202</v>
      </c>
      <c r="S277" s="13" t="s">
        <v>179</v>
      </c>
      <c r="T277" s="13" t="s">
        <v>112</v>
      </c>
      <c r="U277" s="14">
        <v>40725</v>
      </c>
      <c r="V277" s="14">
        <v>44633</v>
      </c>
      <c r="W277" s="15"/>
      <c r="X277" s="15"/>
      <c r="Y277" s="13"/>
      <c r="Z277" s="15"/>
      <c r="AA277" s="15"/>
      <c r="AB277" s="15"/>
      <c r="AC277" s="13"/>
      <c r="AD277" s="15"/>
      <c r="AE277" s="15"/>
      <c r="AF277" s="15"/>
      <c r="AG277" s="13"/>
      <c r="AH277" s="15"/>
      <c r="AI277" s="15"/>
      <c r="AJ277" s="15"/>
      <c r="AK277" s="13"/>
      <c r="AL277" s="15"/>
      <c r="AM277" s="15"/>
      <c r="AN277" s="13"/>
      <c r="AO277" s="13"/>
    </row>
    <row r="278" spans="1:41" ht="72.5" x14ac:dyDescent="0.35">
      <c r="A278" s="13" t="s">
        <v>165</v>
      </c>
      <c r="B278" s="13" t="s">
        <v>77</v>
      </c>
      <c r="C278" s="14">
        <v>44715.459027777775</v>
      </c>
      <c r="D278" s="13" t="s">
        <v>78</v>
      </c>
      <c r="E278" s="15" t="s">
        <v>79</v>
      </c>
      <c r="F278" s="13" t="s">
        <v>80</v>
      </c>
      <c r="G278" s="15" t="s">
        <v>81</v>
      </c>
      <c r="H278" s="13" t="s">
        <v>483</v>
      </c>
      <c r="I278" s="15" t="s">
        <v>484</v>
      </c>
      <c r="J278" s="15" t="s">
        <v>485</v>
      </c>
      <c r="K278" s="15" t="s">
        <v>486</v>
      </c>
      <c r="L278" s="13" t="s">
        <v>487</v>
      </c>
      <c r="M278" s="15" t="s">
        <v>488</v>
      </c>
      <c r="N278" s="13" t="s">
        <v>88</v>
      </c>
      <c r="O278" s="15" t="s">
        <v>89</v>
      </c>
      <c r="P278" s="15" t="s">
        <v>90</v>
      </c>
      <c r="Q278" s="15" t="s">
        <v>201</v>
      </c>
      <c r="R278" s="13" t="s">
        <v>202</v>
      </c>
      <c r="S278" s="13" t="s">
        <v>179</v>
      </c>
      <c r="T278" s="13" t="s">
        <v>112</v>
      </c>
      <c r="U278" s="14">
        <v>44634</v>
      </c>
      <c r="V278" s="14"/>
      <c r="W278" s="15"/>
      <c r="X278" s="15"/>
      <c r="Y278" s="13"/>
      <c r="Z278" s="15"/>
      <c r="AA278" s="15"/>
      <c r="AB278" s="15"/>
      <c r="AC278" s="13"/>
      <c r="AD278" s="15"/>
      <c r="AE278" s="15"/>
      <c r="AF278" s="15"/>
      <c r="AG278" s="13"/>
      <c r="AH278" s="15"/>
      <c r="AI278" s="15"/>
      <c r="AJ278" s="15"/>
      <c r="AK278" s="13"/>
      <c r="AL278" s="15"/>
      <c r="AM278" s="15"/>
      <c r="AN278" s="13"/>
      <c r="AO278" s="13"/>
    </row>
    <row r="279" spans="1:41" ht="72.5" x14ac:dyDescent="0.35">
      <c r="A279" s="13" t="s">
        <v>165</v>
      </c>
      <c r="B279" s="13" t="s">
        <v>109</v>
      </c>
      <c r="C279" s="14">
        <v>44715.463194444441</v>
      </c>
      <c r="D279" s="13" t="s">
        <v>78</v>
      </c>
      <c r="E279" s="15" t="s">
        <v>79</v>
      </c>
      <c r="F279" s="13" t="s">
        <v>80</v>
      </c>
      <c r="G279" s="15" t="s">
        <v>81</v>
      </c>
      <c r="H279" s="13" t="s">
        <v>483</v>
      </c>
      <c r="I279" s="15" t="s">
        <v>484</v>
      </c>
      <c r="J279" s="15" t="s">
        <v>485</v>
      </c>
      <c r="K279" s="15" t="s">
        <v>486</v>
      </c>
      <c r="L279" s="13" t="s">
        <v>489</v>
      </c>
      <c r="M279" s="15" t="s">
        <v>490</v>
      </c>
      <c r="N279" s="13" t="s">
        <v>88</v>
      </c>
      <c r="O279" s="15" t="s">
        <v>97</v>
      </c>
      <c r="P279" s="15" t="s">
        <v>98</v>
      </c>
      <c r="Q279" s="15" t="s">
        <v>201</v>
      </c>
      <c r="R279" s="13" t="s">
        <v>202</v>
      </c>
      <c r="S279" s="13" t="s">
        <v>179</v>
      </c>
      <c r="T279" s="13" t="s">
        <v>112</v>
      </c>
      <c r="U279" s="14">
        <v>40725</v>
      </c>
      <c r="V279" s="14">
        <v>44633</v>
      </c>
      <c r="W279" s="15"/>
      <c r="X279" s="15"/>
      <c r="Y279" s="13"/>
      <c r="Z279" s="15"/>
      <c r="AA279" s="15"/>
      <c r="AB279" s="15"/>
      <c r="AC279" s="13"/>
      <c r="AD279" s="15"/>
      <c r="AE279" s="15"/>
      <c r="AF279" s="15"/>
      <c r="AG279" s="13"/>
      <c r="AH279" s="15"/>
      <c r="AI279" s="15"/>
      <c r="AJ279" s="15"/>
      <c r="AK279" s="13"/>
      <c r="AL279" s="15"/>
      <c r="AM279" s="15"/>
      <c r="AN279" s="13"/>
      <c r="AO279" s="13"/>
    </row>
    <row r="280" spans="1:41" ht="72.5" x14ac:dyDescent="0.35">
      <c r="A280" s="13" t="s">
        <v>165</v>
      </c>
      <c r="B280" s="13" t="s">
        <v>77</v>
      </c>
      <c r="C280" s="14">
        <v>44715.466666666667</v>
      </c>
      <c r="D280" s="13" t="s">
        <v>78</v>
      </c>
      <c r="E280" s="15" t="s">
        <v>79</v>
      </c>
      <c r="F280" s="13" t="s">
        <v>80</v>
      </c>
      <c r="G280" s="15" t="s">
        <v>81</v>
      </c>
      <c r="H280" s="13" t="s">
        <v>483</v>
      </c>
      <c r="I280" s="15" t="s">
        <v>484</v>
      </c>
      <c r="J280" s="15" t="s">
        <v>485</v>
      </c>
      <c r="K280" s="15" t="s">
        <v>486</v>
      </c>
      <c r="L280" s="13" t="s">
        <v>489</v>
      </c>
      <c r="M280" s="15" t="s">
        <v>490</v>
      </c>
      <c r="N280" s="13" t="s">
        <v>88</v>
      </c>
      <c r="O280" s="15" t="s">
        <v>97</v>
      </c>
      <c r="P280" s="15" t="s">
        <v>98</v>
      </c>
      <c r="Q280" s="15" t="s">
        <v>201</v>
      </c>
      <c r="R280" s="13" t="s">
        <v>202</v>
      </c>
      <c r="S280" s="13" t="s">
        <v>179</v>
      </c>
      <c r="T280" s="13" t="s">
        <v>112</v>
      </c>
      <c r="U280" s="14">
        <v>44634</v>
      </c>
      <c r="V280" s="14"/>
      <c r="W280" s="15"/>
      <c r="X280" s="15"/>
      <c r="Y280" s="13"/>
      <c r="Z280" s="15"/>
      <c r="AA280" s="15"/>
      <c r="AB280" s="15"/>
      <c r="AC280" s="13"/>
      <c r="AD280" s="15"/>
      <c r="AE280" s="15"/>
      <c r="AF280" s="15"/>
      <c r="AG280" s="13"/>
      <c r="AH280" s="15"/>
      <c r="AI280" s="15"/>
      <c r="AJ280" s="15"/>
      <c r="AK280" s="13"/>
      <c r="AL280" s="15"/>
      <c r="AM280" s="15"/>
      <c r="AN280" s="13"/>
      <c r="AO280" s="13"/>
    </row>
    <row r="281" spans="1:41" ht="58" x14ac:dyDescent="0.35">
      <c r="A281" s="13" t="s">
        <v>165</v>
      </c>
      <c r="B281" s="13" t="s">
        <v>109</v>
      </c>
      <c r="C281" s="14">
        <v>44715.470138888886</v>
      </c>
      <c r="D281" s="13" t="s">
        <v>78</v>
      </c>
      <c r="E281" s="15" t="s">
        <v>79</v>
      </c>
      <c r="F281" s="13" t="s">
        <v>80</v>
      </c>
      <c r="G281" s="15" t="s">
        <v>81</v>
      </c>
      <c r="H281" s="13" t="s">
        <v>483</v>
      </c>
      <c r="I281" s="15" t="s">
        <v>484</v>
      </c>
      <c r="J281" s="15" t="s">
        <v>485</v>
      </c>
      <c r="K281" s="15" t="s">
        <v>486</v>
      </c>
      <c r="L281" s="13" t="s">
        <v>491</v>
      </c>
      <c r="M281" s="15" t="s">
        <v>492</v>
      </c>
      <c r="N281" s="13" t="s">
        <v>101</v>
      </c>
      <c r="O281" s="15" t="s">
        <v>102</v>
      </c>
      <c r="P281" s="15" t="s">
        <v>103</v>
      </c>
      <c r="Q281" s="15" t="s">
        <v>201</v>
      </c>
      <c r="R281" s="13" t="s">
        <v>202</v>
      </c>
      <c r="S281" s="13" t="s">
        <v>179</v>
      </c>
      <c r="T281" s="13" t="s">
        <v>112</v>
      </c>
      <c r="U281" s="14">
        <v>40725</v>
      </c>
      <c r="V281" s="14">
        <v>44633</v>
      </c>
      <c r="W281" s="15"/>
      <c r="X281" s="15"/>
      <c r="Y281" s="13"/>
      <c r="Z281" s="15"/>
      <c r="AA281" s="15"/>
      <c r="AB281" s="15"/>
      <c r="AC281" s="13"/>
      <c r="AD281" s="15"/>
      <c r="AE281" s="15"/>
      <c r="AF281" s="15"/>
      <c r="AG281" s="13"/>
      <c r="AH281" s="15"/>
      <c r="AI281" s="15"/>
      <c r="AJ281" s="15"/>
      <c r="AK281" s="13"/>
      <c r="AL281" s="15"/>
      <c r="AM281" s="15"/>
      <c r="AN281" s="13"/>
      <c r="AO281" s="13"/>
    </row>
    <row r="282" spans="1:41" ht="58" x14ac:dyDescent="0.35">
      <c r="A282" s="13" t="s">
        <v>165</v>
      </c>
      <c r="B282" s="13" t="s">
        <v>77</v>
      </c>
      <c r="C282" s="14">
        <v>44715.477777777778</v>
      </c>
      <c r="D282" s="13" t="s">
        <v>78</v>
      </c>
      <c r="E282" s="15" t="s">
        <v>79</v>
      </c>
      <c r="F282" s="13" t="s">
        <v>80</v>
      </c>
      <c r="G282" s="15" t="s">
        <v>81</v>
      </c>
      <c r="H282" s="13" t="s">
        <v>483</v>
      </c>
      <c r="I282" s="15" t="s">
        <v>484</v>
      </c>
      <c r="J282" s="15" t="s">
        <v>485</v>
      </c>
      <c r="K282" s="15" t="s">
        <v>486</v>
      </c>
      <c r="L282" s="13" t="s">
        <v>491</v>
      </c>
      <c r="M282" s="15" t="s">
        <v>492</v>
      </c>
      <c r="N282" s="13" t="s">
        <v>101</v>
      </c>
      <c r="O282" s="15" t="s">
        <v>102</v>
      </c>
      <c r="P282" s="15" t="s">
        <v>103</v>
      </c>
      <c r="Q282" s="15" t="s">
        <v>201</v>
      </c>
      <c r="R282" s="13" t="s">
        <v>202</v>
      </c>
      <c r="S282" s="13" t="s">
        <v>179</v>
      </c>
      <c r="T282" s="13" t="s">
        <v>112</v>
      </c>
      <c r="U282" s="14">
        <v>44634</v>
      </c>
      <c r="V282" s="14"/>
      <c r="W282" s="15"/>
      <c r="X282" s="15"/>
      <c r="Y282" s="13"/>
      <c r="Z282" s="15"/>
      <c r="AA282" s="15"/>
      <c r="AB282" s="15"/>
      <c r="AC282" s="13"/>
      <c r="AD282" s="15"/>
      <c r="AE282" s="15"/>
      <c r="AF282" s="15"/>
      <c r="AG282" s="13"/>
      <c r="AH282" s="15"/>
      <c r="AI282" s="15"/>
      <c r="AJ282" s="15"/>
      <c r="AK282" s="13"/>
      <c r="AL282" s="15"/>
      <c r="AM282" s="15"/>
      <c r="AN282" s="13"/>
      <c r="AO282" s="13"/>
    </row>
    <row r="283" spans="1:41" ht="43.5" x14ac:dyDescent="0.35">
      <c r="A283" s="13" t="s">
        <v>76</v>
      </c>
      <c r="B283" s="13" t="s">
        <v>77</v>
      </c>
      <c r="C283" s="14">
        <v>43152.5</v>
      </c>
      <c r="D283" s="13" t="s">
        <v>78</v>
      </c>
      <c r="E283" s="15" t="s">
        <v>79</v>
      </c>
      <c r="F283" s="13" t="s">
        <v>80</v>
      </c>
      <c r="G283" s="15" t="s">
        <v>81</v>
      </c>
      <c r="H283" s="13" t="s">
        <v>560</v>
      </c>
      <c r="I283" s="15" t="s">
        <v>561</v>
      </c>
      <c r="J283" s="15" t="s">
        <v>562</v>
      </c>
      <c r="K283" s="15" t="s">
        <v>563</v>
      </c>
      <c r="L283" s="13" t="s">
        <v>564</v>
      </c>
      <c r="M283" s="15" t="s">
        <v>565</v>
      </c>
      <c r="N283" s="13" t="s">
        <v>379</v>
      </c>
      <c r="O283" s="15"/>
      <c r="P283" s="15"/>
      <c r="Q283" s="15" t="s">
        <v>91</v>
      </c>
      <c r="R283" s="13" t="s">
        <v>92</v>
      </c>
      <c r="S283" s="13" t="s">
        <v>93</v>
      </c>
      <c r="T283" s="13" t="s">
        <v>94</v>
      </c>
      <c r="U283" s="14">
        <v>40725</v>
      </c>
      <c r="V283" s="14"/>
      <c r="W283" s="15"/>
      <c r="X283" s="15"/>
      <c r="Y283" s="13"/>
      <c r="Z283" s="15"/>
      <c r="AA283" s="15"/>
      <c r="AB283" s="15"/>
      <c r="AC283" s="13"/>
      <c r="AD283" s="15"/>
      <c r="AE283" s="15"/>
      <c r="AF283" s="15"/>
      <c r="AG283" s="13"/>
      <c r="AH283" s="15"/>
      <c r="AI283" s="15"/>
      <c r="AJ283" s="15"/>
      <c r="AK283" s="13"/>
      <c r="AL283" s="15"/>
      <c r="AM283" s="15"/>
      <c r="AN283" s="13"/>
      <c r="AO283" s="13"/>
    </row>
    <row r="284" spans="1:41" ht="43.5" x14ac:dyDescent="0.35">
      <c r="A284" s="13" t="s">
        <v>76</v>
      </c>
      <c r="B284" s="13" t="s">
        <v>77</v>
      </c>
      <c r="C284" s="14">
        <v>43152.5</v>
      </c>
      <c r="D284" s="13" t="s">
        <v>78</v>
      </c>
      <c r="E284" s="15" t="s">
        <v>79</v>
      </c>
      <c r="F284" s="13" t="s">
        <v>80</v>
      </c>
      <c r="G284" s="15" t="s">
        <v>81</v>
      </c>
      <c r="H284" s="13" t="s">
        <v>560</v>
      </c>
      <c r="I284" s="15" t="s">
        <v>561</v>
      </c>
      <c r="J284" s="15" t="s">
        <v>562</v>
      </c>
      <c r="K284" s="15" t="s">
        <v>563</v>
      </c>
      <c r="L284" s="13" t="s">
        <v>566</v>
      </c>
      <c r="M284" s="15" t="s">
        <v>567</v>
      </c>
      <c r="N284" s="13" t="s">
        <v>101</v>
      </c>
      <c r="O284" s="15"/>
      <c r="P284" s="15"/>
      <c r="Q284" s="15" t="s">
        <v>91</v>
      </c>
      <c r="R284" s="13" t="s">
        <v>92</v>
      </c>
      <c r="S284" s="13" t="s">
        <v>93</v>
      </c>
      <c r="T284" s="13" t="s">
        <v>94</v>
      </c>
      <c r="U284" s="14">
        <v>40725</v>
      </c>
      <c r="V284" s="14"/>
      <c r="W284" s="15"/>
      <c r="X284" s="15"/>
      <c r="Y284" s="13"/>
      <c r="Z284" s="15"/>
      <c r="AA284" s="15"/>
      <c r="AB284" s="15"/>
      <c r="AC284" s="13"/>
      <c r="AD284" s="15"/>
      <c r="AE284" s="15"/>
      <c r="AF284" s="15"/>
      <c r="AG284" s="13"/>
      <c r="AH284" s="15"/>
      <c r="AI284" s="15"/>
      <c r="AJ284" s="15"/>
      <c r="AK284" s="13"/>
      <c r="AL284" s="15"/>
      <c r="AM284" s="15"/>
      <c r="AN284" s="13"/>
      <c r="AO284" s="13"/>
    </row>
    <row r="285" spans="1:41" ht="43.5" x14ac:dyDescent="0.35">
      <c r="A285" s="13" t="s">
        <v>76</v>
      </c>
      <c r="B285" s="13" t="s">
        <v>77</v>
      </c>
      <c r="C285" s="14">
        <v>43152.5</v>
      </c>
      <c r="D285" s="13" t="s">
        <v>78</v>
      </c>
      <c r="E285" s="15" t="s">
        <v>79</v>
      </c>
      <c r="F285" s="13" t="s">
        <v>80</v>
      </c>
      <c r="G285" s="15" t="s">
        <v>81</v>
      </c>
      <c r="H285" s="13" t="s">
        <v>560</v>
      </c>
      <c r="I285" s="15" t="s">
        <v>561</v>
      </c>
      <c r="J285" s="15" t="s">
        <v>562</v>
      </c>
      <c r="K285" s="15" t="s">
        <v>563</v>
      </c>
      <c r="L285" s="13" t="s">
        <v>564</v>
      </c>
      <c r="M285" s="15" t="s">
        <v>565</v>
      </c>
      <c r="N285" s="13" t="s">
        <v>379</v>
      </c>
      <c r="O285" s="15"/>
      <c r="P285" s="15"/>
      <c r="Q285" s="15" t="s">
        <v>104</v>
      </c>
      <c r="R285" s="13" t="s">
        <v>105</v>
      </c>
      <c r="S285" s="13" t="s">
        <v>93</v>
      </c>
      <c r="T285" s="13" t="s">
        <v>94</v>
      </c>
      <c r="U285" s="14">
        <v>40725</v>
      </c>
      <c r="V285" s="14"/>
      <c r="W285" s="15"/>
      <c r="X285" s="15"/>
      <c r="Y285" s="13"/>
      <c r="Z285" s="15"/>
      <c r="AA285" s="15"/>
      <c r="AB285" s="15"/>
      <c r="AC285" s="13"/>
      <c r="AD285" s="15"/>
      <c r="AE285" s="15"/>
      <c r="AF285" s="15"/>
      <c r="AG285" s="13"/>
      <c r="AH285" s="15"/>
      <c r="AI285" s="15"/>
      <c r="AJ285" s="15"/>
      <c r="AK285" s="13"/>
      <c r="AL285" s="15"/>
      <c r="AM285" s="15"/>
      <c r="AN285" s="13"/>
      <c r="AO285" s="13"/>
    </row>
    <row r="286" spans="1:41" ht="43.5" x14ac:dyDescent="0.35">
      <c r="A286" s="13" t="s">
        <v>76</v>
      </c>
      <c r="B286" s="13" t="s">
        <v>77</v>
      </c>
      <c r="C286" s="14">
        <v>43152.5</v>
      </c>
      <c r="D286" s="13" t="s">
        <v>78</v>
      </c>
      <c r="E286" s="15" t="s">
        <v>79</v>
      </c>
      <c r="F286" s="13" t="s">
        <v>80</v>
      </c>
      <c r="G286" s="15" t="s">
        <v>81</v>
      </c>
      <c r="H286" s="13" t="s">
        <v>560</v>
      </c>
      <c r="I286" s="15" t="s">
        <v>561</v>
      </c>
      <c r="J286" s="15" t="s">
        <v>562</v>
      </c>
      <c r="K286" s="15" t="s">
        <v>563</v>
      </c>
      <c r="L286" s="13" t="s">
        <v>566</v>
      </c>
      <c r="M286" s="15" t="s">
        <v>567</v>
      </c>
      <c r="N286" s="13" t="s">
        <v>101</v>
      </c>
      <c r="O286" s="15"/>
      <c r="P286" s="15"/>
      <c r="Q286" s="15" t="s">
        <v>104</v>
      </c>
      <c r="R286" s="13" t="s">
        <v>105</v>
      </c>
      <c r="S286" s="13" t="s">
        <v>93</v>
      </c>
      <c r="T286" s="13" t="s">
        <v>94</v>
      </c>
      <c r="U286" s="14">
        <v>40725</v>
      </c>
      <c r="V286" s="14"/>
      <c r="W286" s="15"/>
      <c r="X286" s="15"/>
      <c r="Y286" s="13"/>
      <c r="Z286" s="15"/>
      <c r="AA286" s="15"/>
      <c r="AB286" s="15"/>
      <c r="AC286" s="13"/>
      <c r="AD286" s="15"/>
      <c r="AE286" s="15"/>
      <c r="AF286" s="15"/>
      <c r="AG286" s="13"/>
      <c r="AH286" s="15"/>
      <c r="AI286" s="15"/>
      <c r="AJ286" s="15"/>
      <c r="AK286" s="13"/>
      <c r="AL286" s="15"/>
      <c r="AM286" s="15"/>
      <c r="AN286" s="13"/>
      <c r="AO286" s="13"/>
    </row>
    <row r="287" spans="1:41" ht="43.5" x14ac:dyDescent="0.35">
      <c r="A287" s="13" t="s">
        <v>76</v>
      </c>
      <c r="B287" s="13" t="s">
        <v>77</v>
      </c>
      <c r="C287" s="14">
        <v>43152.5</v>
      </c>
      <c r="D287" s="13" t="s">
        <v>78</v>
      </c>
      <c r="E287" s="15" t="s">
        <v>79</v>
      </c>
      <c r="F287" s="13" t="s">
        <v>80</v>
      </c>
      <c r="G287" s="15" t="s">
        <v>81</v>
      </c>
      <c r="H287" s="13" t="s">
        <v>560</v>
      </c>
      <c r="I287" s="15" t="s">
        <v>561</v>
      </c>
      <c r="J287" s="15" t="s">
        <v>562</v>
      </c>
      <c r="K287" s="15" t="s">
        <v>563</v>
      </c>
      <c r="L287" s="13" t="s">
        <v>564</v>
      </c>
      <c r="M287" s="15" t="s">
        <v>565</v>
      </c>
      <c r="N287" s="13" t="s">
        <v>379</v>
      </c>
      <c r="O287" s="15"/>
      <c r="P287" s="15"/>
      <c r="Q287" s="15" t="s">
        <v>106</v>
      </c>
      <c r="R287" s="13" t="s">
        <v>107</v>
      </c>
      <c r="S287" s="13" t="s">
        <v>93</v>
      </c>
      <c r="T287" s="13" t="s">
        <v>94</v>
      </c>
      <c r="U287" s="14">
        <v>40725</v>
      </c>
      <c r="V287" s="14"/>
      <c r="W287" s="15"/>
      <c r="X287" s="15"/>
      <c r="Y287" s="13"/>
      <c r="Z287" s="15"/>
      <c r="AA287" s="15"/>
      <c r="AB287" s="15"/>
      <c r="AC287" s="13"/>
      <c r="AD287" s="15"/>
      <c r="AE287" s="15"/>
      <c r="AF287" s="15"/>
      <c r="AG287" s="13"/>
      <c r="AH287" s="15"/>
      <c r="AI287" s="15"/>
      <c r="AJ287" s="15"/>
      <c r="AK287" s="13"/>
      <c r="AL287" s="15"/>
      <c r="AM287" s="15"/>
      <c r="AN287" s="13"/>
      <c r="AO287" s="13"/>
    </row>
    <row r="288" spans="1:41" ht="43.5" x14ac:dyDescent="0.35">
      <c r="A288" s="13" t="s">
        <v>76</v>
      </c>
      <c r="B288" s="13" t="s">
        <v>77</v>
      </c>
      <c r="C288" s="14">
        <v>43152.5</v>
      </c>
      <c r="D288" s="13" t="s">
        <v>78</v>
      </c>
      <c r="E288" s="15" t="s">
        <v>79</v>
      </c>
      <c r="F288" s="13" t="s">
        <v>80</v>
      </c>
      <c r="G288" s="15" t="s">
        <v>81</v>
      </c>
      <c r="H288" s="13" t="s">
        <v>560</v>
      </c>
      <c r="I288" s="15" t="s">
        <v>561</v>
      </c>
      <c r="J288" s="15" t="s">
        <v>562</v>
      </c>
      <c r="K288" s="15" t="s">
        <v>563</v>
      </c>
      <c r="L288" s="13" t="s">
        <v>566</v>
      </c>
      <c r="M288" s="15" t="s">
        <v>567</v>
      </c>
      <c r="N288" s="13" t="s">
        <v>101</v>
      </c>
      <c r="O288" s="15"/>
      <c r="P288" s="15"/>
      <c r="Q288" s="15" t="s">
        <v>106</v>
      </c>
      <c r="R288" s="13" t="s">
        <v>107</v>
      </c>
      <c r="S288" s="13" t="s">
        <v>93</v>
      </c>
      <c r="T288" s="13" t="s">
        <v>94</v>
      </c>
      <c r="U288" s="14">
        <v>40725</v>
      </c>
      <c r="V288" s="14"/>
      <c r="W288" s="15"/>
      <c r="X288" s="15"/>
      <c r="Y288" s="13"/>
      <c r="Z288" s="15"/>
      <c r="AA288" s="15"/>
      <c r="AB288" s="15"/>
      <c r="AC288" s="13"/>
      <c r="AD288" s="15"/>
      <c r="AE288" s="15"/>
      <c r="AF288" s="15"/>
      <c r="AG288" s="13"/>
      <c r="AH288" s="15"/>
      <c r="AI288" s="15"/>
      <c r="AJ288" s="15"/>
      <c r="AK288" s="13"/>
      <c r="AL288" s="15"/>
      <c r="AM288" s="15"/>
      <c r="AN288" s="13"/>
      <c r="AO288" s="13"/>
    </row>
    <row r="289" spans="1:41" ht="43.5" x14ac:dyDescent="0.35">
      <c r="A289" s="13" t="s">
        <v>76</v>
      </c>
      <c r="B289" s="13" t="s">
        <v>77</v>
      </c>
      <c r="C289" s="14">
        <v>43152.5</v>
      </c>
      <c r="D289" s="13" t="s">
        <v>78</v>
      </c>
      <c r="E289" s="15" t="s">
        <v>79</v>
      </c>
      <c r="F289" s="13" t="s">
        <v>80</v>
      </c>
      <c r="G289" s="15" t="s">
        <v>81</v>
      </c>
      <c r="H289" s="13" t="s">
        <v>560</v>
      </c>
      <c r="I289" s="15" t="s">
        <v>561</v>
      </c>
      <c r="J289" s="15" t="s">
        <v>562</v>
      </c>
      <c r="K289" s="15" t="s">
        <v>563</v>
      </c>
      <c r="L289" s="13" t="s">
        <v>564</v>
      </c>
      <c r="M289" s="15" t="s">
        <v>565</v>
      </c>
      <c r="N289" s="13" t="s">
        <v>379</v>
      </c>
      <c r="O289" s="15"/>
      <c r="P289" s="15"/>
      <c r="Q289" s="15" t="s">
        <v>110</v>
      </c>
      <c r="R289" s="13" t="s">
        <v>111</v>
      </c>
      <c r="S289" s="13" t="s">
        <v>93</v>
      </c>
      <c r="T289" s="13" t="s">
        <v>94</v>
      </c>
      <c r="U289" s="14">
        <v>41518</v>
      </c>
      <c r="V289" s="14"/>
      <c r="W289" s="15"/>
      <c r="X289" s="15"/>
      <c r="Y289" s="13"/>
      <c r="Z289" s="15"/>
      <c r="AA289" s="15"/>
      <c r="AB289" s="15"/>
      <c r="AC289" s="13"/>
      <c r="AD289" s="15"/>
      <c r="AE289" s="15"/>
      <c r="AF289" s="15"/>
      <c r="AG289" s="13"/>
      <c r="AH289" s="15"/>
      <c r="AI289" s="15"/>
      <c r="AJ289" s="15"/>
      <c r="AK289" s="13"/>
      <c r="AL289" s="15"/>
      <c r="AM289" s="15"/>
      <c r="AN289" s="13"/>
      <c r="AO289" s="13"/>
    </row>
    <row r="290" spans="1:41" ht="43.5" x14ac:dyDescent="0.35">
      <c r="A290" s="13" t="s">
        <v>76</v>
      </c>
      <c r="B290" s="13" t="s">
        <v>77</v>
      </c>
      <c r="C290" s="14">
        <v>43152.5</v>
      </c>
      <c r="D290" s="13" t="s">
        <v>78</v>
      </c>
      <c r="E290" s="15" t="s">
        <v>79</v>
      </c>
      <c r="F290" s="13" t="s">
        <v>80</v>
      </c>
      <c r="G290" s="15" t="s">
        <v>81</v>
      </c>
      <c r="H290" s="13" t="s">
        <v>560</v>
      </c>
      <c r="I290" s="15" t="s">
        <v>561</v>
      </c>
      <c r="J290" s="15" t="s">
        <v>562</v>
      </c>
      <c r="K290" s="15" t="s">
        <v>563</v>
      </c>
      <c r="L290" s="13" t="s">
        <v>566</v>
      </c>
      <c r="M290" s="15" t="s">
        <v>567</v>
      </c>
      <c r="N290" s="13" t="s">
        <v>101</v>
      </c>
      <c r="O290" s="15"/>
      <c r="P290" s="15"/>
      <c r="Q290" s="15" t="s">
        <v>110</v>
      </c>
      <c r="R290" s="13" t="s">
        <v>111</v>
      </c>
      <c r="S290" s="13" t="s">
        <v>93</v>
      </c>
      <c r="T290" s="13" t="s">
        <v>94</v>
      </c>
      <c r="U290" s="14">
        <v>41518</v>
      </c>
      <c r="V290" s="14"/>
      <c r="W290" s="15"/>
      <c r="X290" s="15"/>
      <c r="Y290" s="13"/>
      <c r="Z290" s="15"/>
      <c r="AA290" s="15"/>
      <c r="AB290" s="15"/>
      <c r="AC290" s="13"/>
      <c r="AD290" s="15"/>
      <c r="AE290" s="15"/>
      <c r="AF290" s="15"/>
      <c r="AG290" s="13"/>
      <c r="AH290" s="15"/>
      <c r="AI290" s="15"/>
      <c r="AJ290" s="15"/>
      <c r="AK290" s="13"/>
      <c r="AL290" s="15"/>
      <c r="AM290" s="15"/>
      <c r="AN290" s="13"/>
      <c r="AO290" s="13"/>
    </row>
    <row r="291" spans="1:41" ht="43.5" x14ac:dyDescent="0.35">
      <c r="A291" s="13" t="s">
        <v>76</v>
      </c>
      <c r="B291" s="13" t="s">
        <v>77</v>
      </c>
      <c r="C291" s="14">
        <v>43152.5</v>
      </c>
      <c r="D291" s="13" t="s">
        <v>78</v>
      </c>
      <c r="E291" s="15" t="s">
        <v>79</v>
      </c>
      <c r="F291" s="13" t="s">
        <v>80</v>
      </c>
      <c r="G291" s="15" t="s">
        <v>81</v>
      </c>
      <c r="H291" s="13" t="s">
        <v>560</v>
      </c>
      <c r="I291" s="15" t="s">
        <v>561</v>
      </c>
      <c r="J291" s="15" t="s">
        <v>562</v>
      </c>
      <c r="K291" s="15" t="s">
        <v>563</v>
      </c>
      <c r="L291" s="13" t="s">
        <v>564</v>
      </c>
      <c r="M291" s="15" t="s">
        <v>565</v>
      </c>
      <c r="N291" s="13" t="s">
        <v>379</v>
      </c>
      <c r="O291" s="15"/>
      <c r="P291" s="15"/>
      <c r="Q291" s="15" t="s">
        <v>175</v>
      </c>
      <c r="R291" s="13" t="s">
        <v>176</v>
      </c>
      <c r="S291" s="13" t="s">
        <v>93</v>
      </c>
      <c r="T291" s="13" t="s">
        <v>94</v>
      </c>
      <c r="U291" s="14">
        <v>40725</v>
      </c>
      <c r="V291" s="14"/>
      <c r="W291" s="15"/>
      <c r="X291" s="15"/>
      <c r="Y291" s="13"/>
      <c r="Z291" s="15"/>
      <c r="AA291" s="15"/>
      <c r="AB291" s="15"/>
      <c r="AC291" s="13"/>
      <c r="AD291" s="15"/>
      <c r="AE291" s="15"/>
      <c r="AF291" s="15"/>
      <c r="AG291" s="13"/>
      <c r="AH291" s="15"/>
      <c r="AI291" s="15"/>
      <c r="AJ291" s="15"/>
      <c r="AK291" s="13"/>
      <c r="AL291" s="15"/>
      <c r="AM291" s="15"/>
      <c r="AN291" s="13"/>
      <c r="AO291" s="13"/>
    </row>
    <row r="292" spans="1:41" ht="43.5" x14ac:dyDescent="0.35">
      <c r="A292" s="13" t="s">
        <v>76</v>
      </c>
      <c r="B292" s="13" t="s">
        <v>77</v>
      </c>
      <c r="C292" s="14">
        <v>43152.5</v>
      </c>
      <c r="D292" s="13" t="s">
        <v>78</v>
      </c>
      <c r="E292" s="15" t="s">
        <v>79</v>
      </c>
      <c r="F292" s="13" t="s">
        <v>80</v>
      </c>
      <c r="G292" s="15" t="s">
        <v>81</v>
      </c>
      <c r="H292" s="13" t="s">
        <v>560</v>
      </c>
      <c r="I292" s="15" t="s">
        <v>561</v>
      </c>
      <c r="J292" s="15" t="s">
        <v>562</v>
      </c>
      <c r="K292" s="15" t="s">
        <v>563</v>
      </c>
      <c r="L292" s="13" t="s">
        <v>566</v>
      </c>
      <c r="M292" s="15" t="s">
        <v>567</v>
      </c>
      <c r="N292" s="13" t="s">
        <v>101</v>
      </c>
      <c r="O292" s="15"/>
      <c r="P292" s="15"/>
      <c r="Q292" s="15" t="s">
        <v>175</v>
      </c>
      <c r="R292" s="13" t="s">
        <v>176</v>
      </c>
      <c r="S292" s="13" t="s">
        <v>93</v>
      </c>
      <c r="T292" s="13" t="s">
        <v>94</v>
      </c>
      <c r="U292" s="14">
        <v>40725</v>
      </c>
      <c r="V292" s="14"/>
      <c r="W292" s="15"/>
      <c r="X292" s="15"/>
      <c r="Y292" s="13"/>
      <c r="Z292" s="15"/>
      <c r="AA292" s="15"/>
      <c r="AB292" s="15"/>
      <c r="AC292" s="13"/>
      <c r="AD292" s="15"/>
      <c r="AE292" s="15"/>
      <c r="AF292" s="15"/>
      <c r="AG292" s="13"/>
      <c r="AH292" s="15"/>
      <c r="AI292" s="15"/>
      <c r="AJ292" s="15"/>
      <c r="AK292" s="13"/>
      <c r="AL292" s="15"/>
      <c r="AM292" s="15"/>
      <c r="AN292" s="13"/>
      <c r="AO292" s="13"/>
    </row>
    <row r="293" spans="1:41" ht="43.5" x14ac:dyDescent="0.35">
      <c r="A293" s="13" t="s">
        <v>238</v>
      </c>
      <c r="B293" s="13" t="s">
        <v>109</v>
      </c>
      <c r="C293" s="14">
        <v>44368.708333333336</v>
      </c>
      <c r="D293" s="13" t="s">
        <v>78</v>
      </c>
      <c r="E293" s="15" t="s">
        <v>79</v>
      </c>
      <c r="F293" s="13" t="s">
        <v>80</v>
      </c>
      <c r="G293" s="15" t="s">
        <v>81</v>
      </c>
      <c r="H293" s="13" t="s">
        <v>560</v>
      </c>
      <c r="I293" s="15" t="s">
        <v>561</v>
      </c>
      <c r="J293" s="15" t="s">
        <v>562</v>
      </c>
      <c r="K293" s="15" t="s">
        <v>563</v>
      </c>
      <c r="L293" s="13" t="s">
        <v>564</v>
      </c>
      <c r="M293" s="15" t="s">
        <v>565</v>
      </c>
      <c r="N293" s="13" t="s">
        <v>379</v>
      </c>
      <c r="O293" s="15"/>
      <c r="P293" s="15"/>
      <c r="Q293" s="15" t="s">
        <v>382</v>
      </c>
      <c r="R293" s="13" t="s">
        <v>383</v>
      </c>
      <c r="S293" s="13" t="s">
        <v>179</v>
      </c>
      <c r="T293" s="13" t="s">
        <v>112</v>
      </c>
      <c r="U293" s="14">
        <v>41518</v>
      </c>
      <c r="V293" s="14"/>
      <c r="W293" s="15"/>
      <c r="X293" s="15"/>
      <c r="Y293" s="13"/>
      <c r="Z293" s="15"/>
      <c r="AA293" s="15"/>
      <c r="AB293" s="15"/>
      <c r="AC293" s="13"/>
      <c r="AD293" s="15"/>
      <c r="AE293" s="15"/>
      <c r="AF293" s="15"/>
      <c r="AG293" s="13"/>
      <c r="AH293" s="15"/>
      <c r="AI293" s="15"/>
      <c r="AJ293" s="15"/>
      <c r="AK293" s="13"/>
      <c r="AL293" s="15"/>
      <c r="AM293" s="15"/>
      <c r="AN293" s="13"/>
      <c r="AO293" s="13"/>
    </row>
    <row r="294" spans="1:41" ht="43.5" x14ac:dyDescent="0.35">
      <c r="A294" s="13" t="s">
        <v>238</v>
      </c>
      <c r="B294" s="13" t="s">
        <v>109</v>
      </c>
      <c r="C294" s="14">
        <v>44368.708333333336</v>
      </c>
      <c r="D294" s="13" t="s">
        <v>78</v>
      </c>
      <c r="E294" s="15" t="s">
        <v>79</v>
      </c>
      <c r="F294" s="13" t="s">
        <v>80</v>
      </c>
      <c r="G294" s="15" t="s">
        <v>81</v>
      </c>
      <c r="H294" s="13" t="s">
        <v>560</v>
      </c>
      <c r="I294" s="15" t="s">
        <v>561</v>
      </c>
      <c r="J294" s="15" t="s">
        <v>562</v>
      </c>
      <c r="K294" s="15" t="s">
        <v>563</v>
      </c>
      <c r="L294" s="13" t="s">
        <v>566</v>
      </c>
      <c r="M294" s="15" t="s">
        <v>567</v>
      </c>
      <c r="N294" s="13" t="s">
        <v>101</v>
      </c>
      <c r="O294" s="15"/>
      <c r="P294" s="15"/>
      <c r="Q294" s="15" t="s">
        <v>382</v>
      </c>
      <c r="R294" s="13" t="s">
        <v>383</v>
      </c>
      <c r="S294" s="13" t="s">
        <v>179</v>
      </c>
      <c r="T294" s="13" t="s">
        <v>112</v>
      </c>
      <c r="U294" s="14">
        <v>41518</v>
      </c>
      <c r="V294" s="14"/>
      <c r="W294" s="15"/>
      <c r="X294" s="15"/>
      <c r="Y294" s="13"/>
      <c r="Z294" s="15"/>
      <c r="AA294" s="15"/>
      <c r="AB294" s="15"/>
      <c r="AC294" s="13"/>
      <c r="AD294" s="15"/>
      <c r="AE294" s="15"/>
      <c r="AF294" s="15"/>
      <c r="AG294" s="13"/>
      <c r="AH294" s="15"/>
      <c r="AI294" s="15"/>
      <c r="AJ294" s="15"/>
      <c r="AK294" s="13"/>
      <c r="AL294" s="15"/>
      <c r="AM294" s="15"/>
      <c r="AN294" s="13"/>
      <c r="AO294" s="13"/>
    </row>
    <row r="295" spans="1:41" ht="72.5" x14ac:dyDescent="0.35">
      <c r="A295" s="13" t="s">
        <v>76</v>
      </c>
      <c r="B295" s="13" t="s">
        <v>77</v>
      </c>
      <c r="C295" s="14">
        <v>43152.5</v>
      </c>
      <c r="D295" s="13" t="s">
        <v>78</v>
      </c>
      <c r="E295" s="15" t="s">
        <v>79</v>
      </c>
      <c r="F295" s="13" t="s">
        <v>80</v>
      </c>
      <c r="G295" s="15" t="s">
        <v>81</v>
      </c>
      <c r="H295" s="13" t="s">
        <v>577</v>
      </c>
      <c r="I295" s="15" t="s">
        <v>578</v>
      </c>
      <c r="J295" s="15" t="s">
        <v>579</v>
      </c>
      <c r="K295" s="15" t="s">
        <v>580</v>
      </c>
      <c r="L295" s="13" t="s">
        <v>581</v>
      </c>
      <c r="M295" s="15" t="s">
        <v>582</v>
      </c>
      <c r="N295" s="13" t="s">
        <v>88</v>
      </c>
      <c r="O295" s="15" t="s">
        <v>89</v>
      </c>
      <c r="P295" s="15" t="s">
        <v>583</v>
      </c>
      <c r="Q295" s="15" t="s">
        <v>91</v>
      </c>
      <c r="R295" s="13" t="s">
        <v>92</v>
      </c>
      <c r="S295" s="13" t="s">
        <v>93</v>
      </c>
      <c r="T295" s="13" t="s">
        <v>94</v>
      </c>
      <c r="U295" s="14">
        <v>40725</v>
      </c>
      <c r="V295" s="14"/>
      <c r="W295" s="15"/>
      <c r="X295" s="15"/>
      <c r="Y295" s="13"/>
      <c r="Z295" s="15"/>
      <c r="AA295" s="15"/>
      <c r="AB295" s="15"/>
      <c r="AC295" s="13"/>
      <c r="AD295" s="15"/>
      <c r="AE295" s="15"/>
      <c r="AF295" s="15"/>
      <c r="AG295" s="13"/>
      <c r="AH295" s="15"/>
      <c r="AI295" s="15"/>
      <c r="AJ295" s="15"/>
      <c r="AK295" s="13"/>
      <c r="AL295" s="15"/>
      <c r="AM295" s="15"/>
      <c r="AN295" s="13"/>
      <c r="AO295" s="13"/>
    </row>
    <row r="296" spans="1:41" ht="72.5" x14ac:dyDescent="0.35">
      <c r="A296" s="13" t="s">
        <v>76</v>
      </c>
      <c r="B296" s="13" t="s">
        <v>77</v>
      </c>
      <c r="C296" s="14">
        <v>43152.5</v>
      </c>
      <c r="D296" s="13" t="s">
        <v>78</v>
      </c>
      <c r="E296" s="15" t="s">
        <v>79</v>
      </c>
      <c r="F296" s="13" t="s">
        <v>80</v>
      </c>
      <c r="G296" s="15" t="s">
        <v>81</v>
      </c>
      <c r="H296" s="13" t="s">
        <v>577</v>
      </c>
      <c r="I296" s="15" t="s">
        <v>578</v>
      </c>
      <c r="J296" s="15" t="s">
        <v>579</v>
      </c>
      <c r="K296" s="15" t="s">
        <v>580</v>
      </c>
      <c r="L296" s="13" t="s">
        <v>584</v>
      </c>
      <c r="M296" s="15" t="s">
        <v>585</v>
      </c>
      <c r="N296" s="13" t="s">
        <v>88</v>
      </c>
      <c r="O296" s="15" t="s">
        <v>97</v>
      </c>
      <c r="P296" s="15" t="s">
        <v>586</v>
      </c>
      <c r="Q296" s="15" t="s">
        <v>91</v>
      </c>
      <c r="R296" s="13" t="s">
        <v>92</v>
      </c>
      <c r="S296" s="13" t="s">
        <v>93</v>
      </c>
      <c r="T296" s="13" t="s">
        <v>94</v>
      </c>
      <c r="U296" s="14">
        <v>40725</v>
      </c>
      <c r="V296" s="14"/>
      <c r="W296" s="15"/>
      <c r="X296" s="15"/>
      <c r="Y296" s="13"/>
      <c r="Z296" s="15"/>
      <c r="AA296" s="15"/>
      <c r="AB296" s="15"/>
      <c r="AC296" s="13"/>
      <c r="AD296" s="15"/>
      <c r="AE296" s="15"/>
      <c r="AF296" s="15"/>
      <c r="AG296" s="13"/>
      <c r="AH296" s="15"/>
      <c r="AI296" s="15"/>
      <c r="AJ296" s="15"/>
      <c r="AK296" s="13"/>
      <c r="AL296" s="15"/>
      <c r="AM296" s="15"/>
      <c r="AN296" s="13"/>
      <c r="AO296" s="13"/>
    </row>
    <row r="297" spans="1:41" ht="72.5" x14ac:dyDescent="0.35">
      <c r="A297" s="13" t="s">
        <v>76</v>
      </c>
      <c r="B297" s="13" t="s">
        <v>77</v>
      </c>
      <c r="C297" s="14">
        <v>43152.5</v>
      </c>
      <c r="D297" s="13" t="s">
        <v>78</v>
      </c>
      <c r="E297" s="15" t="s">
        <v>79</v>
      </c>
      <c r="F297" s="13" t="s">
        <v>80</v>
      </c>
      <c r="G297" s="15" t="s">
        <v>81</v>
      </c>
      <c r="H297" s="13" t="s">
        <v>577</v>
      </c>
      <c r="I297" s="15" t="s">
        <v>578</v>
      </c>
      <c r="J297" s="15" t="s">
        <v>579</v>
      </c>
      <c r="K297" s="15" t="s">
        <v>580</v>
      </c>
      <c r="L297" s="13" t="s">
        <v>587</v>
      </c>
      <c r="M297" s="15" t="s">
        <v>588</v>
      </c>
      <c r="N297" s="13" t="s">
        <v>101</v>
      </c>
      <c r="O297" s="15" t="s">
        <v>102</v>
      </c>
      <c r="P297" s="15" t="s">
        <v>103</v>
      </c>
      <c r="Q297" s="15" t="s">
        <v>91</v>
      </c>
      <c r="R297" s="13" t="s">
        <v>92</v>
      </c>
      <c r="S297" s="13" t="s">
        <v>93</v>
      </c>
      <c r="T297" s="13" t="s">
        <v>94</v>
      </c>
      <c r="U297" s="14">
        <v>40725</v>
      </c>
      <c r="V297" s="14"/>
      <c r="W297" s="15"/>
      <c r="X297" s="15"/>
      <c r="Y297" s="13"/>
      <c r="Z297" s="15"/>
      <c r="AA297" s="15"/>
      <c r="AB297" s="15"/>
      <c r="AC297" s="13"/>
      <c r="AD297" s="15"/>
      <c r="AE297" s="15"/>
      <c r="AF297" s="15"/>
      <c r="AG297" s="13"/>
      <c r="AH297" s="15"/>
      <c r="AI297" s="15"/>
      <c r="AJ297" s="15"/>
      <c r="AK297" s="13"/>
      <c r="AL297" s="15"/>
      <c r="AM297" s="15"/>
      <c r="AN297" s="13"/>
      <c r="AO297" s="13"/>
    </row>
    <row r="298" spans="1:41" ht="72.5" x14ac:dyDescent="0.35">
      <c r="A298" s="13" t="s">
        <v>76</v>
      </c>
      <c r="B298" s="13" t="s">
        <v>77</v>
      </c>
      <c r="C298" s="14">
        <v>43152.5</v>
      </c>
      <c r="D298" s="13" t="s">
        <v>78</v>
      </c>
      <c r="E298" s="15" t="s">
        <v>79</v>
      </c>
      <c r="F298" s="13" t="s">
        <v>80</v>
      </c>
      <c r="G298" s="15" t="s">
        <v>81</v>
      </c>
      <c r="H298" s="13" t="s">
        <v>577</v>
      </c>
      <c r="I298" s="15" t="s">
        <v>578</v>
      </c>
      <c r="J298" s="15" t="s">
        <v>579</v>
      </c>
      <c r="K298" s="15" t="s">
        <v>580</v>
      </c>
      <c r="L298" s="13" t="s">
        <v>581</v>
      </c>
      <c r="M298" s="15" t="s">
        <v>582</v>
      </c>
      <c r="N298" s="13" t="s">
        <v>88</v>
      </c>
      <c r="O298" s="15" t="s">
        <v>89</v>
      </c>
      <c r="P298" s="15" t="s">
        <v>583</v>
      </c>
      <c r="Q298" s="15" t="s">
        <v>104</v>
      </c>
      <c r="R298" s="13" t="s">
        <v>105</v>
      </c>
      <c r="S298" s="13" t="s">
        <v>93</v>
      </c>
      <c r="T298" s="13" t="s">
        <v>94</v>
      </c>
      <c r="U298" s="14">
        <v>40725</v>
      </c>
      <c r="V298" s="14"/>
      <c r="W298" s="15"/>
      <c r="X298" s="15"/>
      <c r="Y298" s="13"/>
      <c r="Z298" s="15"/>
      <c r="AA298" s="15"/>
      <c r="AB298" s="15"/>
      <c r="AC298" s="13"/>
      <c r="AD298" s="15"/>
      <c r="AE298" s="15"/>
      <c r="AF298" s="15"/>
      <c r="AG298" s="13"/>
      <c r="AH298" s="15"/>
      <c r="AI298" s="15"/>
      <c r="AJ298" s="15"/>
      <c r="AK298" s="13"/>
      <c r="AL298" s="15"/>
      <c r="AM298" s="15"/>
      <c r="AN298" s="13"/>
      <c r="AO298" s="13"/>
    </row>
    <row r="299" spans="1:41" ht="72.5" x14ac:dyDescent="0.35">
      <c r="A299" s="13" t="s">
        <v>76</v>
      </c>
      <c r="B299" s="13" t="s">
        <v>77</v>
      </c>
      <c r="C299" s="14">
        <v>43152.5</v>
      </c>
      <c r="D299" s="13" t="s">
        <v>78</v>
      </c>
      <c r="E299" s="15" t="s">
        <v>79</v>
      </c>
      <c r="F299" s="13" t="s">
        <v>80</v>
      </c>
      <c r="G299" s="15" t="s">
        <v>81</v>
      </c>
      <c r="H299" s="13" t="s">
        <v>577</v>
      </c>
      <c r="I299" s="15" t="s">
        <v>578</v>
      </c>
      <c r="J299" s="15" t="s">
        <v>579</v>
      </c>
      <c r="K299" s="15" t="s">
        <v>580</v>
      </c>
      <c r="L299" s="13" t="s">
        <v>584</v>
      </c>
      <c r="M299" s="15" t="s">
        <v>585</v>
      </c>
      <c r="N299" s="13" t="s">
        <v>88</v>
      </c>
      <c r="O299" s="15" t="s">
        <v>97</v>
      </c>
      <c r="P299" s="15" t="s">
        <v>586</v>
      </c>
      <c r="Q299" s="15" t="s">
        <v>104</v>
      </c>
      <c r="R299" s="13" t="s">
        <v>105</v>
      </c>
      <c r="S299" s="13" t="s">
        <v>93</v>
      </c>
      <c r="T299" s="13" t="s">
        <v>94</v>
      </c>
      <c r="U299" s="14">
        <v>40725</v>
      </c>
      <c r="V299" s="14"/>
      <c r="W299" s="15"/>
      <c r="X299" s="15"/>
      <c r="Y299" s="13"/>
      <c r="Z299" s="15"/>
      <c r="AA299" s="15"/>
      <c r="AB299" s="15"/>
      <c r="AC299" s="13"/>
      <c r="AD299" s="15"/>
      <c r="AE299" s="15"/>
      <c r="AF299" s="15"/>
      <c r="AG299" s="13"/>
      <c r="AH299" s="15"/>
      <c r="AI299" s="15"/>
      <c r="AJ299" s="15"/>
      <c r="AK299" s="13"/>
      <c r="AL299" s="15"/>
      <c r="AM299" s="15"/>
      <c r="AN299" s="13"/>
      <c r="AO299" s="13"/>
    </row>
    <row r="300" spans="1:41" ht="72.5" x14ac:dyDescent="0.35">
      <c r="A300" s="13" t="s">
        <v>76</v>
      </c>
      <c r="B300" s="13" t="s">
        <v>77</v>
      </c>
      <c r="C300" s="14">
        <v>43152.5</v>
      </c>
      <c r="D300" s="13" t="s">
        <v>78</v>
      </c>
      <c r="E300" s="15" t="s">
        <v>79</v>
      </c>
      <c r="F300" s="13" t="s">
        <v>80</v>
      </c>
      <c r="G300" s="15" t="s">
        <v>81</v>
      </c>
      <c r="H300" s="13" t="s">
        <v>577</v>
      </c>
      <c r="I300" s="15" t="s">
        <v>578</v>
      </c>
      <c r="J300" s="15" t="s">
        <v>579</v>
      </c>
      <c r="K300" s="15" t="s">
        <v>580</v>
      </c>
      <c r="L300" s="13" t="s">
        <v>587</v>
      </c>
      <c r="M300" s="15" t="s">
        <v>588</v>
      </c>
      <c r="N300" s="13" t="s">
        <v>101</v>
      </c>
      <c r="O300" s="15" t="s">
        <v>102</v>
      </c>
      <c r="P300" s="15" t="s">
        <v>103</v>
      </c>
      <c r="Q300" s="15" t="s">
        <v>104</v>
      </c>
      <c r="R300" s="13" t="s">
        <v>105</v>
      </c>
      <c r="S300" s="13" t="s">
        <v>93</v>
      </c>
      <c r="T300" s="13" t="s">
        <v>94</v>
      </c>
      <c r="U300" s="14">
        <v>40725</v>
      </c>
      <c r="V300" s="14"/>
      <c r="W300" s="15"/>
      <c r="X300" s="15"/>
      <c r="Y300" s="13"/>
      <c r="Z300" s="15"/>
      <c r="AA300" s="15"/>
      <c r="AB300" s="15"/>
      <c r="AC300" s="13"/>
      <c r="AD300" s="15"/>
      <c r="AE300" s="15"/>
      <c r="AF300" s="15"/>
      <c r="AG300" s="13"/>
      <c r="AH300" s="15"/>
      <c r="AI300" s="15"/>
      <c r="AJ300" s="15"/>
      <c r="AK300" s="13"/>
      <c r="AL300" s="15"/>
      <c r="AM300" s="15"/>
      <c r="AN300" s="13"/>
      <c r="AO300" s="13"/>
    </row>
    <row r="301" spans="1:41" ht="72.5" x14ac:dyDescent="0.35">
      <c r="A301" s="13" t="s">
        <v>76</v>
      </c>
      <c r="B301" s="13" t="s">
        <v>77</v>
      </c>
      <c r="C301" s="14">
        <v>43152.5</v>
      </c>
      <c r="D301" s="13" t="s">
        <v>78</v>
      </c>
      <c r="E301" s="15" t="s">
        <v>79</v>
      </c>
      <c r="F301" s="13" t="s">
        <v>80</v>
      </c>
      <c r="G301" s="15" t="s">
        <v>81</v>
      </c>
      <c r="H301" s="13" t="s">
        <v>577</v>
      </c>
      <c r="I301" s="15" t="s">
        <v>578</v>
      </c>
      <c r="J301" s="15" t="s">
        <v>579</v>
      </c>
      <c r="K301" s="15" t="s">
        <v>580</v>
      </c>
      <c r="L301" s="13" t="s">
        <v>581</v>
      </c>
      <c r="M301" s="15" t="s">
        <v>582</v>
      </c>
      <c r="N301" s="13" t="s">
        <v>88</v>
      </c>
      <c r="O301" s="15" t="s">
        <v>89</v>
      </c>
      <c r="P301" s="15" t="s">
        <v>583</v>
      </c>
      <c r="Q301" s="15" t="s">
        <v>106</v>
      </c>
      <c r="R301" s="13" t="s">
        <v>107</v>
      </c>
      <c r="S301" s="13" t="s">
        <v>93</v>
      </c>
      <c r="T301" s="13" t="s">
        <v>94</v>
      </c>
      <c r="U301" s="14">
        <v>40725</v>
      </c>
      <c r="V301" s="14"/>
      <c r="W301" s="15"/>
      <c r="X301" s="15"/>
      <c r="Y301" s="13"/>
      <c r="Z301" s="15"/>
      <c r="AA301" s="15"/>
      <c r="AB301" s="15"/>
      <c r="AC301" s="13"/>
      <c r="AD301" s="15"/>
      <c r="AE301" s="15"/>
      <c r="AF301" s="15"/>
      <c r="AG301" s="13"/>
      <c r="AH301" s="15"/>
      <c r="AI301" s="15"/>
      <c r="AJ301" s="15"/>
      <c r="AK301" s="13"/>
      <c r="AL301" s="15"/>
      <c r="AM301" s="15"/>
      <c r="AN301" s="13"/>
      <c r="AO301" s="13"/>
    </row>
    <row r="302" spans="1:41" ht="72.5" x14ac:dyDescent="0.35">
      <c r="A302" s="13" t="s">
        <v>76</v>
      </c>
      <c r="B302" s="13" t="s">
        <v>77</v>
      </c>
      <c r="C302" s="14">
        <v>43152.5</v>
      </c>
      <c r="D302" s="13" t="s">
        <v>78</v>
      </c>
      <c r="E302" s="15" t="s">
        <v>79</v>
      </c>
      <c r="F302" s="13" t="s">
        <v>80</v>
      </c>
      <c r="G302" s="15" t="s">
        <v>81</v>
      </c>
      <c r="H302" s="13" t="s">
        <v>577</v>
      </c>
      <c r="I302" s="15" t="s">
        <v>578</v>
      </c>
      <c r="J302" s="15" t="s">
        <v>579</v>
      </c>
      <c r="K302" s="15" t="s">
        <v>580</v>
      </c>
      <c r="L302" s="13" t="s">
        <v>584</v>
      </c>
      <c r="M302" s="15" t="s">
        <v>585</v>
      </c>
      <c r="N302" s="13" t="s">
        <v>88</v>
      </c>
      <c r="O302" s="15" t="s">
        <v>97</v>
      </c>
      <c r="P302" s="15" t="s">
        <v>586</v>
      </c>
      <c r="Q302" s="15" t="s">
        <v>106</v>
      </c>
      <c r="R302" s="13" t="s">
        <v>107</v>
      </c>
      <c r="S302" s="13" t="s">
        <v>93</v>
      </c>
      <c r="T302" s="13" t="s">
        <v>94</v>
      </c>
      <c r="U302" s="14">
        <v>40725</v>
      </c>
      <c r="V302" s="14"/>
      <c r="W302" s="15"/>
      <c r="X302" s="15"/>
      <c r="Y302" s="13"/>
      <c r="Z302" s="15"/>
      <c r="AA302" s="15"/>
      <c r="AB302" s="15"/>
      <c r="AC302" s="13"/>
      <c r="AD302" s="15"/>
      <c r="AE302" s="15"/>
      <c r="AF302" s="15"/>
      <c r="AG302" s="13"/>
      <c r="AH302" s="15"/>
      <c r="AI302" s="15"/>
      <c r="AJ302" s="15"/>
      <c r="AK302" s="13"/>
      <c r="AL302" s="15"/>
      <c r="AM302" s="15"/>
      <c r="AN302" s="13"/>
      <c r="AO302" s="13"/>
    </row>
    <row r="303" spans="1:41" ht="72.5" x14ac:dyDescent="0.35">
      <c r="A303" s="13" t="s">
        <v>76</v>
      </c>
      <c r="B303" s="13" t="s">
        <v>77</v>
      </c>
      <c r="C303" s="14">
        <v>43152.5</v>
      </c>
      <c r="D303" s="13" t="s">
        <v>78</v>
      </c>
      <c r="E303" s="15" t="s">
        <v>79</v>
      </c>
      <c r="F303" s="13" t="s">
        <v>80</v>
      </c>
      <c r="G303" s="15" t="s">
        <v>81</v>
      </c>
      <c r="H303" s="13" t="s">
        <v>577</v>
      </c>
      <c r="I303" s="15" t="s">
        <v>578</v>
      </c>
      <c r="J303" s="15" t="s">
        <v>579</v>
      </c>
      <c r="K303" s="15" t="s">
        <v>580</v>
      </c>
      <c r="L303" s="13" t="s">
        <v>587</v>
      </c>
      <c r="M303" s="15" t="s">
        <v>588</v>
      </c>
      <c r="N303" s="13" t="s">
        <v>101</v>
      </c>
      <c r="O303" s="15" t="s">
        <v>102</v>
      </c>
      <c r="P303" s="15" t="s">
        <v>103</v>
      </c>
      <c r="Q303" s="15" t="s">
        <v>106</v>
      </c>
      <c r="R303" s="13" t="s">
        <v>107</v>
      </c>
      <c r="S303" s="13" t="s">
        <v>93</v>
      </c>
      <c r="T303" s="13" t="s">
        <v>94</v>
      </c>
      <c r="U303" s="14">
        <v>40725</v>
      </c>
      <c r="V303" s="14"/>
      <c r="W303" s="15"/>
      <c r="X303" s="15"/>
      <c r="Y303" s="13"/>
      <c r="Z303" s="15"/>
      <c r="AA303" s="15"/>
      <c r="AB303" s="15"/>
      <c r="AC303" s="13"/>
      <c r="AD303" s="15"/>
      <c r="AE303" s="15"/>
      <c r="AF303" s="15"/>
      <c r="AG303" s="13"/>
      <c r="AH303" s="15"/>
      <c r="AI303" s="15"/>
      <c r="AJ303" s="15"/>
      <c r="AK303" s="13"/>
      <c r="AL303" s="15"/>
      <c r="AM303" s="15"/>
      <c r="AN303" s="13"/>
      <c r="AO303" s="13"/>
    </row>
    <row r="304" spans="1:41" ht="72.5" x14ac:dyDescent="0.35">
      <c r="A304" s="13" t="s">
        <v>238</v>
      </c>
      <c r="B304" s="13" t="s">
        <v>109</v>
      </c>
      <c r="C304" s="14">
        <v>44368.708333333336</v>
      </c>
      <c r="D304" s="13" t="s">
        <v>78</v>
      </c>
      <c r="E304" s="15" t="s">
        <v>79</v>
      </c>
      <c r="F304" s="13" t="s">
        <v>80</v>
      </c>
      <c r="G304" s="15" t="s">
        <v>81</v>
      </c>
      <c r="H304" s="13" t="s">
        <v>577</v>
      </c>
      <c r="I304" s="15" t="s">
        <v>578</v>
      </c>
      <c r="J304" s="15" t="s">
        <v>579</v>
      </c>
      <c r="K304" s="15" t="s">
        <v>580</v>
      </c>
      <c r="L304" s="13" t="s">
        <v>581</v>
      </c>
      <c r="M304" s="15" t="s">
        <v>582</v>
      </c>
      <c r="N304" s="13" t="s">
        <v>88</v>
      </c>
      <c r="O304" s="15" t="s">
        <v>89</v>
      </c>
      <c r="P304" s="15" t="s">
        <v>583</v>
      </c>
      <c r="Q304" s="15" t="s">
        <v>110</v>
      </c>
      <c r="R304" s="13" t="s">
        <v>111</v>
      </c>
      <c r="S304" s="13" t="s">
        <v>93</v>
      </c>
      <c r="T304" s="13" t="s">
        <v>112</v>
      </c>
      <c r="U304" s="14">
        <v>41640</v>
      </c>
      <c r="V304" s="14"/>
      <c r="W304" s="15"/>
      <c r="X304" s="15"/>
      <c r="Y304" s="13"/>
      <c r="Z304" s="15"/>
      <c r="AA304" s="15"/>
      <c r="AB304" s="15"/>
      <c r="AC304" s="13"/>
      <c r="AD304" s="15"/>
      <c r="AE304" s="15"/>
      <c r="AF304" s="15"/>
      <c r="AG304" s="13"/>
      <c r="AH304" s="15"/>
      <c r="AI304" s="15"/>
      <c r="AJ304" s="15"/>
      <c r="AK304" s="13"/>
      <c r="AL304" s="15"/>
      <c r="AM304" s="15"/>
      <c r="AN304" s="13"/>
      <c r="AO304" s="13"/>
    </row>
    <row r="305" spans="1:41" ht="72.5" x14ac:dyDescent="0.35">
      <c r="A305" s="13" t="s">
        <v>238</v>
      </c>
      <c r="B305" s="13" t="s">
        <v>109</v>
      </c>
      <c r="C305" s="14">
        <v>44368.708333333336</v>
      </c>
      <c r="D305" s="13" t="s">
        <v>78</v>
      </c>
      <c r="E305" s="15" t="s">
        <v>79</v>
      </c>
      <c r="F305" s="13" t="s">
        <v>80</v>
      </c>
      <c r="G305" s="15" t="s">
        <v>81</v>
      </c>
      <c r="H305" s="13" t="s">
        <v>577</v>
      </c>
      <c r="I305" s="15" t="s">
        <v>578</v>
      </c>
      <c r="J305" s="15" t="s">
        <v>579</v>
      </c>
      <c r="K305" s="15" t="s">
        <v>580</v>
      </c>
      <c r="L305" s="13" t="s">
        <v>584</v>
      </c>
      <c r="M305" s="15" t="s">
        <v>585</v>
      </c>
      <c r="N305" s="13" t="s">
        <v>88</v>
      </c>
      <c r="O305" s="15" t="s">
        <v>97</v>
      </c>
      <c r="P305" s="15" t="s">
        <v>586</v>
      </c>
      <c r="Q305" s="15" t="s">
        <v>110</v>
      </c>
      <c r="R305" s="13" t="s">
        <v>111</v>
      </c>
      <c r="S305" s="13" t="s">
        <v>93</v>
      </c>
      <c r="T305" s="13" t="s">
        <v>112</v>
      </c>
      <c r="U305" s="14">
        <v>41640</v>
      </c>
      <c r="V305" s="14"/>
      <c r="W305" s="15"/>
      <c r="X305" s="15"/>
      <c r="Y305" s="13"/>
      <c r="Z305" s="15"/>
      <c r="AA305" s="15"/>
      <c r="AB305" s="15"/>
      <c r="AC305" s="13"/>
      <c r="AD305" s="15"/>
      <c r="AE305" s="15"/>
      <c r="AF305" s="15"/>
      <c r="AG305" s="13"/>
      <c r="AH305" s="15"/>
      <c r="AI305" s="15"/>
      <c r="AJ305" s="15"/>
      <c r="AK305" s="13"/>
      <c r="AL305" s="15"/>
      <c r="AM305" s="15"/>
      <c r="AN305" s="13"/>
      <c r="AO305" s="13"/>
    </row>
    <row r="306" spans="1:41" ht="72.5" x14ac:dyDescent="0.35">
      <c r="A306" s="13" t="s">
        <v>238</v>
      </c>
      <c r="B306" s="13" t="s">
        <v>109</v>
      </c>
      <c r="C306" s="14">
        <v>44368.708333333336</v>
      </c>
      <c r="D306" s="13" t="s">
        <v>78</v>
      </c>
      <c r="E306" s="15" t="s">
        <v>79</v>
      </c>
      <c r="F306" s="13" t="s">
        <v>80</v>
      </c>
      <c r="G306" s="15" t="s">
        <v>81</v>
      </c>
      <c r="H306" s="13" t="s">
        <v>577</v>
      </c>
      <c r="I306" s="15" t="s">
        <v>578</v>
      </c>
      <c r="J306" s="15" t="s">
        <v>579</v>
      </c>
      <c r="K306" s="15" t="s">
        <v>580</v>
      </c>
      <c r="L306" s="13" t="s">
        <v>587</v>
      </c>
      <c r="M306" s="15" t="s">
        <v>588</v>
      </c>
      <c r="N306" s="13" t="s">
        <v>101</v>
      </c>
      <c r="O306" s="15" t="s">
        <v>102</v>
      </c>
      <c r="P306" s="15" t="s">
        <v>103</v>
      </c>
      <c r="Q306" s="15" t="s">
        <v>110</v>
      </c>
      <c r="R306" s="13" t="s">
        <v>111</v>
      </c>
      <c r="S306" s="13" t="s">
        <v>93</v>
      </c>
      <c r="T306" s="13" t="s">
        <v>112</v>
      </c>
      <c r="U306" s="14">
        <v>41640</v>
      </c>
      <c r="V306" s="14"/>
      <c r="W306" s="15"/>
      <c r="X306" s="15"/>
      <c r="Y306" s="13"/>
      <c r="Z306" s="15"/>
      <c r="AA306" s="15"/>
      <c r="AB306" s="15"/>
      <c r="AC306" s="13"/>
      <c r="AD306" s="15"/>
      <c r="AE306" s="15"/>
      <c r="AF306" s="15"/>
      <c r="AG306" s="13"/>
      <c r="AH306" s="15"/>
      <c r="AI306" s="15"/>
      <c r="AJ306" s="15"/>
      <c r="AK306" s="13"/>
      <c r="AL306" s="15"/>
      <c r="AM306" s="15"/>
      <c r="AN306" s="13"/>
      <c r="AO306" s="13"/>
    </row>
    <row r="307" spans="1:41" ht="72.5" x14ac:dyDescent="0.35">
      <c r="A307" s="13" t="s">
        <v>76</v>
      </c>
      <c r="B307" s="13" t="s">
        <v>77</v>
      </c>
      <c r="C307" s="14">
        <v>43152.5</v>
      </c>
      <c r="D307" s="13" t="s">
        <v>78</v>
      </c>
      <c r="E307" s="15" t="s">
        <v>79</v>
      </c>
      <c r="F307" s="13" t="s">
        <v>80</v>
      </c>
      <c r="G307" s="15" t="s">
        <v>81</v>
      </c>
      <c r="H307" s="13" t="s">
        <v>577</v>
      </c>
      <c r="I307" s="15" t="s">
        <v>578</v>
      </c>
      <c r="J307" s="15" t="s">
        <v>579</v>
      </c>
      <c r="K307" s="15" t="s">
        <v>580</v>
      </c>
      <c r="L307" s="13" t="s">
        <v>581</v>
      </c>
      <c r="M307" s="15" t="s">
        <v>582</v>
      </c>
      <c r="N307" s="13" t="s">
        <v>88</v>
      </c>
      <c r="O307" s="15" t="s">
        <v>89</v>
      </c>
      <c r="P307" s="15" t="s">
        <v>583</v>
      </c>
      <c r="Q307" s="15" t="s">
        <v>175</v>
      </c>
      <c r="R307" s="13" t="s">
        <v>176</v>
      </c>
      <c r="S307" s="13" t="s">
        <v>93</v>
      </c>
      <c r="T307" s="13" t="s">
        <v>94</v>
      </c>
      <c r="U307" s="14">
        <v>40725</v>
      </c>
      <c r="V307" s="14"/>
      <c r="W307" s="15"/>
      <c r="X307" s="15"/>
      <c r="Y307" s="13"/>
      <c r="Z307" s="15"/>
      <c r="AA307" s="15"/>
      <c r="AB307" s="15"/>
      <c r="AC307" s="13"/>
      <c r="AD307" s="15"/>
      <c r="AE307" s="15"/>
      <c r="AF307" s="15"/>
      <c r="AG307" s="13"/>
      <c r="AH307" s="15"/>
      <c r="AI307" s="15"/>
      <c r="AJ307" s="15"/>
      <c r="AK307" s="13"/>
      <c r="AL307" s="15"/>
      <c r="AM307" s="15"/>
      <c r="AN307" s="13"/>
      <c r="AO307" s="13"/>
    </row>
    <row r="308" spans="1:41" ht="72.5" x14ac:dyDescent="0.35">
      <c r="A308" s="13" t="s">
        <v>76</v>
      </c>
      <c r="B308" s="13" t="s">
        <v>77</v>
      </c>
      <c r="C308" s="14">
        <v>43152.5</v>
      </c>
      <c r="D308" s="13" t="s">
        <v>78</v>
      </c>
      <c r="E308" s="15" t="s">
        <v>79</v>
      </c>
      <c r="F308" s="13" t="s">
        <v>80</v>
      </c>
      <c r="G308" s="15" t="s">
        <v>81</v>
      </c>
      <c r="H308" s="13" t="s">
        <v>577</v>
      </c>
      <c r="I308" s="15" t="s">
        <v>578</v>
      </c>
      <c r="J308" s="15" t="s">
        <v>579</v>
      </c>
      <c r="K308" s="15" t="s">
        <v>580</v>
      </c>
      <c r="L308" s="13" t="s">
        <v>584</v>
      </c>
      <c r="M308" s="15" t="s">
        <v>585</v>
      </c>
      <c r="N308" s="13" t="s">
        <v>88</v>
      </c>
      <c r="O308" s="15" t="s">
        <v>97</v>
      </c>
      <c r="P308" s="15" t="s">
        <v>586</v>
      </c>
      <c r="Q308" s="15" t="s">
        <v>175</v>
      </c>
      <c r="R308" s="13" t="s">
        <v>176</v>
      </c>
      <c r="S308" s="13" t="s">
        <v>93</v>
      </c>
      <c r="T308" s="13" t="s">
        <v>94</v>
      </c>
      <c r="U308" s="14">
        <v>40725</v>
      </c>
      <c r="V308" s="14"/>
      <c r="W308" s="15"/>
      <c r="X308" s="15"/>
      <c r="Y308" s="13"/>
      <c r="Z308" s="15"/>
      <c r="AA308" s="15"/>
      <c r="AB308" s="15"/>
      <c r="AC308" s="13"/>
      <c r="AD308" s="15"/>
      <c r="AE308" s="15"/>
      <c r="AF308" s="15"/>
      <c r="AG308" s="13"/>
      <c r="AH308" s="15"/>
      <c r="AI308" s="15"/>
      <c r="AJ308" s="15"/>
      <c r="AK308" s="13"/>
      <c r="AL308" s="15"/>
      <c r="AM308" s="15"/>
      <c r="AN308" s="13"/>
      <c r="AO308" s="13"/>
    </row>
    <row r="309" spans="1:41" ht="72.5" x14ac:dyDescent="0.35">
      <c r="A309" s="13" t="s">
        <v>76</v>
      </c>
      <c r="B309" s="13" t="s">
        <v>77</v>
      </c>
      <c r="C309" s="14">
        <v>43152.5</v>
      </c>
      <c r="D309" s="13" t="s">
        <v>78</v>
      </c>
      <c r="E309" s="15" t="s">
        <v>79</v>
      </c>
      <c r="F309" s="13" t="s">
        <v>80</v>
      </c>
      <c r="G309" s="15" t="s">
        <v>81</v>
      </c>
      <c r="H309" s="13" t="s">
        <v>577</v>
      </c>
      <c r="I309" s="15" t="s">
        <v>578</v>
      </c>
      <c r="J309" s="15" t="s">
        <v>579</v>
      </c>
      <c r="K309" s="15" t="s">
        <v>580</v>
      </c>
      <c r="L309" s="13" t="s">
        <v>587</v>
      </c>
      <c r="M309" s="15" t="s">
        <v>588</v>
      </c>
      <c r="N309" s="13" t="s">
        <v>101</v>
      </c>
      <c r="O309" s="15" t="s">
        <v>102</v>
      </c>
      <c r="P309" s="15" t="s">
        <v>103</v>
      </c>
      <c r="Q309" s="15" t="s">
        <v>175</v>
      </c>
      <c r="R309" s="13" t="s">
        <v>176</v>
      </c>
      <c r="S309" s="13" t="s">
        <v>93</v>
      </c>
      <c r="T309" s="13" t="s">
        <v>94</v>
      </c>
      <c r="U309" s="14">
        <v>40725</v>
      </c>
      <c r="V309" s="14"/>
      <c r="W309" s="15"/>
      <c r="X309" s="15"/>
      <c r="Y309" s="13"/>
      <c r="Z309" s="15"/>
      <c r="AA309" s="15"/>
      <c r="AB309" s="15"/>
      <c r="AC309" s="13"/>
      <c r="AD309" s="15"/>
      <c r="AE309" s="15"/>
      <c r="AF309" s="15"/>
      <c r="AG309" s="13"/>
      <c r="AH309" s="15"/>
      <c r="AI309" s="15"/>
      <c r="AJ309" s="15"/>
      <c r="AK309" s="13"/>
      <c r="AL309" s="15"/>
      <c r="AM309" s="15"/>
      <c r="AN309" s="13"/>
      <c r="AO309" s="13"/>
    </row>
  </sheetData>
  <autoFilter ref="A1:AS1" xr:uid="{4DAFDC7D-BB42-4A6F-B20D-0510EF54DD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D79C-73B2-4D23-B6F3-B397B35E6C13}">
  <dimension ref="A1:U146"/>
  <sheetViews>
    <sheetView tabSelected="1" workbookViewId="0">
      <pane ySplit="1" topLeftCell="A2" activePane="bottomLeft" state="frozenSplit"/>
      <selection pane="bottomLeft" activeCell="S134" sqref="S134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650</v>
      </c>
      <c r="E1" s="10" t="s">
        <v>651</v>
      </c>
      <c r="F1" s="10" t="s">
        <v>652</v>
      </c>
      <c r="G1" s="10" t="s">
        <v>653</v>
      </c>
      <c r="H1" s="11" t="s">
        <v>21</v>
      </c>
      <c r="I1" s="11" t="s">
        <v>22</v>
      </c>
      <c r="J1" s="10" t="s">
        <v>654</v>
      </c>
      <c r="K1" s="10" t="s">
        <v>655</v>
      </c>
      <c r="L1" s="10" t="s">
        <v>656</v>
      </c>
      <c r="M1" s="10" t="s">
        <v>649</v>
      </c>
      <c r="N1" s="10" t="s">
        <v>657</v>
      </c>
      <c r="O1" s="10" t="s">
        <v>658</v>
      </c>
      <c r="P1" s="10" t="s">
        <v>659</v>
      </c>
      <c r="Q1" s="10" t="s">
        <v>660</v>
      </c>
      <c r="R1" s="10" t="s">
        <v>74</v>
      </c>
      <c r="S1" s="10" t="s">
        <v>75</v>
      </c>
      <c r="T1" s="10" t="s">
        <v>661</v>
      </c>
      <c r="U1" s="10" t="s">
        <v>662</v>
      </c>
    </row>
    <row r="2" spans="1:21" s="22" customFormat="1" ht="29" x14ac:dyDescent="0.35">
      <c r="A2" s="19" t="s">
        <v>663</v>
      </c>
      <c r="B2" s="19" t="s">
        <v>109</v>
      </c>
      <c r="C2" s="20">
        <v>45993.492361111108</v>
      </c>
      <c r="D2" s="19" t="s">
        <v>118</v>
      </c>
      <c r="E2" s="19" t="s">
        <v>654</v>
      </c>
      <c r="F2" s="21" t="s">
        <v>119</v>
      </c>
      <c r="G2" s="19" t="s">
        <v>664</v>
      </c>
      <c r="H2" s="20">
        <v>40725</v>
      </c>
      <c r="I2" s="20"/>
      <c r="J2" s="21" t="s">
        <v>665</v>
      </c>
      <c r="K2" s="21" t="s">
        <v>666</v>
      </c>
      <c r="L2" s="19" t="s">
        <v>667</v>
      </c>
      <c r="M2" s="21"/>
      <c r="N2" s="19"/>
      <c r="O2" s="19"/>
      <c r="P2" s="19"/>
      <c r="Q2" s="19"/>
      <c r="R2" s="19" t="s">
        <v>668</v>
      </c>
      <c r="S2" s="19"/>
      <c r="T2" s="19" t="s">
        <v>669</v>
      </c>
      <c r="U2" s="21" t="s">
        <v>670</v>
      </c>
    </row>
    <row r="3" spans="1:21" s="22" customFormat="1" ht="116" x14ac:dyDescent="0.35">
      <c r="A3" s="19" t="s">
        <v>663</v>
      </c>
      <c r="B3" s="19" t="s">
        <v>109</v>
      </c>
      <c r="C3" s="20">
        <v>45993.493750000001</v>
      </c>
      <c r="D3" s="19" t="s">
        <v>122</v>
      </c>
      <c r="E3" s="19" t="s">
        <v>654</v>
      </c>
      <c r="F3" s="21" t="s">
        <v>123</v>
      </c>
      <c r="G3" s="19" t="s">
        <v>664</v>
      </c>
      <c r="H3" s="20">
        <v>40725</v>
      </c>
      <c r="I3" s="20"/>
      <c r="J3" s="21"/>
      <c r="K3" s="21" t="s">
        <v>671</v>
      </c>
      <c r="L3" s="19" t="s">
        <v>667</v>
      </c>
      <c r="M3" s="21" t="s">
        <v>672</v>
      </c>
      <c r="N3" s="19"/>
      <c r="O3" s="19"/>
      <c r="P3" s="19"/>
      <c r="Q3" s="19"/>
      <c r="R3" s="19" t="s">
        <v>668</v>
      </c>
      <c r="S3" s="19"/>
      <c r="T3" s="19" t="s">
        <v>669</v>
      </c>
      <c r="U3" s="21" t="s">
        <v>673</v>
      </c>
    </row>
    <row r="4" spans="1:21" ht="58" x14ac:dyDescent="0.35">
      <c r="A4" s="13" t="s">
        <v>108</v>
      </c>
      <c r="B4" s="13" t="s">
        <v>109</v>
      </c>
      <c r="C4" s="14">
        <v>45805.68472222222</v>
      </c>
      <c r="D4" s="13" t="s">
        <v>124</v>
      </c>
      <c r="E4" s="13" t="s">
        <v>654</v>
      </c>
      <c r="F4" s="15" t="s">
        <v>125</v>
      </c>
      <c r="G4" s="13" t="s">
        <v>674</v>
      </c>
      <c r="H4" s="14">
        <v>40725</v>
      </c>
      <c r="I4" s="14">
        <v>45781</v>
      </c>
      <c r="J4" s="15" t="s">
        <v>665</v>
      </c>
      <c r="K4" s="15" t="s">
        <v>675</v>
      </c>
      <c r="L4" s="13" t="s">
        <v>667</v>
      </c>
      <c r="M4" s="15"/>
      <c r="N4" s="13"/>
      <c r="O4" s="13"/>
      <c r="P4" s="13"/>
      <c r="Q4" s="13"/>
      <c r="R4" s="13"/>
      <c r="S4" s="13"/>
      <c r="T4" s="13" t="s">
        <v>669</v>
      </c>
      <c r="U4" s="15" t="s">
        <v>676</v>
      </c>
    </row>
    <row r="5" spans="1:21" s="22" customFormat="1" ht="29" x14ac:dyDescent="0.35">
      <c r="A5" s="19" t="s">
        <v>663</v>
      </c>
      <c r="B5" s="19" t="s">
        <v>109</v>
      </c>
      <c r="C5" s="20">
        <v>45993.557638888888</v>
      </c>
      <c r="D5" s="19" t="s">
        <v>300</v>
      </c>
      <c r="E5" s="19" t="s">
        <v>654</v>
      </c>
      <c r="F5" s="21" t="s">
        <v>241</v>
      </c>
      <c r="G5" s="19" t="s">
        <v>664</v>
      </c>
      <c r="H5" s="20">
        <v>40725</v>
      </c>
      <c r="I5" s="20"/>
      <c r="J5" s="21"/>
      <c r="K5" s="21" t="s">
        <v>677</v>
      </c>
      <c r="L5" s="19" t="s">
        <v>667</v>
      </c>
      <c r="M5" s="21"/>
      <c r="N5" s="19"/>
      <c r="O5" s="19"/>
      <c r="P5" s="19"/>
      <c r="Q5" s="19"/>
      <c r="R5" s="19" t="s">
        <v>668</v>
      </c>
      <c r="S5" s="19"/>
      <c r="T5" s="19" t="s">
        <v>669</v>
      </c>
      <c r="U5" s="21" t="s">
        <v>678</v>
      </c>
    </row>
    <row r="6" spans="1:21" s="22" customFormat="1" ht="43.5" x14ac:dyDescent="0.35">
      <c r="A6" s="19" t="s">
        <v>663</v>
      </c>
      <c r="B6" s="19" t="s">
        <v>109</v>
      </c>
      <c r="C6" s="20">
        <v>45993.558333333334</v>
      </c>
      <c r="D6" s="19" t="s">
        <v>325</v>
      </c>
      <c r="E6" s="19" t="s">
        <v>654</v>
      </c>
      <c r="F6" s="21" t="s">
        <v>280</v>
      </c>
      <c r="G6" s="19" t="s">
        <v>664</v>
      </c>
      <c r="H6" s="20">
        <v>40725</v>
      </c>
      <c r="I6" s="20"/>
      <c r="J6" s="21"/>
      <c r="K6" s="21" t="s">
        <v>679</v>
      </c>
      <c r="L6" s="19" t="s">
        <v>667</v>
      </c>
      <c r="M6" s="21" t="s">
        <v>680</v>
      </c>
      <c r="N6" s="19"/>
      <c r="O6" s="19"/>
      <c r="P6" s="19"/>
      <c r="Q6" s="19"/>
      <c r="R6" s="19" t="s">
        <v>668</v>
      </c>
      <c r="S6" s="19"/>
      <c r="T6" s="19"/>
      <c r="U6" s="21"/>
    </row>
    <row r="7" spans="1:21" s="22" customFormat="1" ht="29" x14ac:dyDescent="0.35">
      <c r="A7" s="19" t="s">
        <v>663</v>
      </c>
      <c r="B7" s="19" t="s">
        <v>109</v>
      </c>
      <c r="C7" s="20">
        <v>45993.559027777781</v>
      </c>
      <c r="D7" s="19" t="s">
        <v>240</v>
      </c>
      <c r="E7" s="19" t="s">
        <v>654</v>
      </c>
      <c r="F7" s="21" t="s">
        <v>241</v>
      </c>
      <c r="G7" s="19" t="s">
        <v>664</v>
      </c>
      <c r="H7" s="20">
        <v>40725</v>
      </c>
      <c r="I7" s="20"/>
      <c r="J7" s="21"/>
      <c r="K7" s="21" t="s">
        <v>677</v>
      </c>
      <c r="L7" s="19" t="s">
        <v>667</v>
      </c>
      <c r="M7" s="21"/>
      <c r="N7" s="19"/>
      <c r="O7" s="19"/>
      <c r="P7" s="19"/>
      <c r="Q7" s="19"/>
      <c r="R7" s="19" t="s">
        <v>668</v>
      </c>
      <c r="S7" s="19"/>
      <c r="T7" s="19" t="s">
        <v>669</v>
      </c>
      <c r="U7" s="21" t="s">
        <v>678</v>
      </c>
    </row>
    <row r="8" spans="1:21" s="22" customFormat="1" ht="43.5" x14ac:dyDescent="0.35">
      <c r="A8" s="19" t="s">
        <v>663</v>
      </c>
      <c r="B8" s="19" t="s">
        <v>109</v>
      </c>
      <c r="C8" s="20">
        <v>45993.55972222222</v>
      </c>
      <c r="D8" s="19" t="s">
        <v>279</v>
      </c>
      <c r="E8" s="19" t="s">
        <v>654</v>
      </c>
      <c r="F8" s="21" t="s">
        <v>280</v>
      </c>
      <c r="G8" s="19" t="s">
        <v>664</v>
      </c>
      <c r="H8" s="20">
        <v>40725</v>
      </c>
      <c r="I8" s="20"/>
      <c r="J8" s="21"/>
      <c r="K8" s="21" t="s">
        <v>679</v>
      </c>
      <c r="L8" s="19" t="s">
        <v>667</v>
      </c>
      <c r="M8" s="21" t="s">
        <v>680</v>
      </c>
      <c r="N8" s="19"/>
      <c r="O8" s="19"/>
      <c r="P8" s="19"/>
      <c r="Q8" s="19"/>
      <c r="R8" s="19" t="s">
        <v>668</v>
      </c>
      <c r="S8" s="19"/>
      <c r="T8" s="19"/>
      <c r="U8" s="21"/>
    </row>
    <row r="9" spans="1:21" s="22" customFormat="1" ht="29" x14ac:dyDescent="0.35">
      <c r="A9" s="19" t="s">
        <v>663</v>
      </c>
      <c r="B9" s="19" t="s">
        <v>109</v>
      </c>
      <c r="C9" s="20">
        <v>45993.560416666667</v>
      </c>
      <c r="D9" s="19" t="s">
        <v>364</v>
      </c>
      <c r="E9" s="19" t="s">
        <v>654</v>
      </c>
      <c r="F9" s="21" t="s">
        <v>241</v>
      </c>
      <c r="G9" s="19" t="s">
        <v>664</v>
      </c>
      <c r="H9" s="20">
        <v>40725</v>
      </c>
      <c r="I9" s="20"/>
      <c r="J9" s="21"/>
      <c r="K9" s="21" t="s">
        <v>677</v>
      </c>
      <c r="L9" s="19" t="s">
        <v>667</v>
      </c>
      <c r="M9" s="21"/>
      <c r="N9" s="19"/>
      <c r="O9" s="19"/>
      <c r="P9" s="19"/>
      <c r="Q9" s="19"/>
      <c r="R9" s="19" t="s">
        <v>668</v>
      </c>
      <c r="S9" s="19"/>
      <c r="T9" s="19" t="s">
        <v>669</v>
      </c>
      <c r="U9" s="21" t="s">
        <v>678</v>
      </c>
    </row>
    <row r="10" spans="1:21" ht="87" x14ac:dyDescent="0.35">
      <c r="A10" s="13" t="s">
        <v>165</v>
      </c>
      <c r="B10" s="13" t="s">
        <v>109</v>
      </c>
      <c r="C10" s="14">
        <v>44715.625694444447</v>
      </c>
      <c r="D10" s="13" t="s">
        <v>496</v>
      </c>
      <c r="E10" s="13" t="s">
        <v>654</v>
      </c>
      <c r="F10" s="15" t="s">
        <v>497</v>
      </c>
      <c r="G10" s="13" t="s">
        <v>681</v>
      </c>
      <c r="H10" s="14">
        <v>40725</v>
      </c>
      <c r="I10" s="14">
        <v>44633</v>
      </c>
      <c r="J10" s="15" t="s">
        <v>665</v>
      </c>
      <c r="K10" s="15" t="s">
        <v>666</v>
      </c>
      <c r="L10" s="13" t="s">
        <v>667</v>
      </c>
      <c r="M10" s="15"/>
      <c r="N10" s="13"/>
      <c r="O10" s="13"/>
      <c r="P10" s="13"/>
      <c r="Q10" s="13"/>
      <c r="R10" s="13"/>
      <c r="S10" s="13"/>
      <c r="T10" s="13" t="s">
        <v>669</v>
      </c>
      <c r="U10" s="15" t="s">
        <v>670</v>
      </c>
    </row>
    <row r="11" spans="1:21" s="22" customFormat="1" ht="43.5" x14ac:dyDescent="0.35">
      <c r="A11" s="19" t="s">
        <v>663</v>
      </c>
      <c r="B11" s="19" t="s">
        <v>109</v>
      </c>
      <c r="C11" s="20">
        <v>45993.565972222219</v>
      </c>
      <c r="D11" s="19" t="s">
        <v>206</v>
      </c>
      <c r="E11" s="19" t="s">
        <v>654</v>
      </c>
      <c r="F11" s="21" t="s">
        <v>119</v>
      </c>
      <c r="G11" s="19" t="s">
        <v>682</v>
      </c>
      <c r="H11" s="20">
        <v>40725</v>
      </c>
      <c r="I11" s="20"/>
      <c r="J11" s="21" t="s">
        <v>665</v>
      </c>
      <c r="K11" s="21" t="s">
        <v>666</v>
      </c>
      <c r="L11" s="19" t="s">
        <v>667</v>
      </c>
      <c r="M11" s="21"/>
      <c r="N11" s="19"/>
      <c r="O11" s="19"/>
      <c r="P11" s="19"/>
      <c r="Q11" s="19"/>
      <c r="R11" s="19" t="s">
        <v>668</v>
      </c>
      <c r="S11" s="19"/>
      <c r="T11" s="19" t="s">
        <v>669</v>
      </c>
      <c r="U11" s="21" t="s">
        <v>670</v>
      </c>
    </row>
    <row r="12" spans="1:21" s="22" customFormat="1" ht="116" x14ac:dyDescent="0.35">
      <c r="A12" s="19" t="s">
        <v>663</v>
      </c>
      <c r="B12" s="19" t="s">
        <v>109</v>
      </c>
      <c r="C12" s="20">
        <v>45993.566666666666</v>
      </c>
      <c r="D12" s="19" t="s">
        <v>208</v>
      </c>
      <c r="E12" s="19" t="s">
        <v>654</v>
      </c>
      <c r="F12" s="21" t="s">
        <v>123</v>
      </c>
      <c r="G12" s="19" t="s">
        <v>682</v>
      </c>
      <c r="H12" s="20">
        <v>40725</v>
      </c>
      <c r="I12" s="20"/>
      <c r="J12" s="21"/>
      <c r="K12" s="21" t="s">
        <v>671</v>
      </c>
      <c r="L12" s="19" t="s">
        <v>667</v>
      </c>
      <c r="M12" s="21" t="s">
        <v>672</v>
      </c>
      <c r="N12" s="19"/>
      <c r="O12" s="19"/>
      <c r="P12" s="19"/>
      <c r="Q12" s="19"/>
      <c r="R12" s="19" t="s">
        <v>668</v>
      </c>
      <c r="S12" s="19"/>
      <c r="T12" s="19" t="s">
        <v>669</v>
      </c>
      <c r="U12" s="21" t="s">
        <v>673</v>
      </c>
    </row>
    <row r="13" spans="1:21" ht="58" x14ac:dyDescent="0.35">
      <c r="A13" s="13" t="s">
        <v>108</v>
      </c>
      <c r="B13" s="13" t="s">
        <v>109</v>
      </c>
      <c r="C13" s="14">
        <v>45805.688888888886</v>
      </c>
      <c r="D13" s="13" t="s">
        <v>209</v>
      </c>
      <c r="E13" s="13" t="s">
        <v>654</v>
      </c>
      <c r="F13" s="15" t="s">
        <v>125</v>
      </c>
      <c r="G13" s="13" t="s">
        <v>683</v>
      </c>
      <c r="H13" s="14">
        <v>40725</v>
      </c>
      <c r="I13" s="14">
        <v>45781</v>
      </c>
      <c r="J13" s="15" t="s">
        <v>665</v>
      </c>
      <c r="K13" s="15" t="s">
        <v>675</v>
      </c>
      <c r="L13" s="13" t="s">
        <v>667</v>
      </c>
      <c r="M13" s="15"/>
      <c r="N13" s="13"/>
      <c r="O13" s="13"/>
      <c r="P13" s="13"/>
      <c r="Q13" s="13"/>
      <c r="R13" s="13"/>
      <c r="S13" s="13"/>
      <c r="T13" s="13" t="s">
        <v>669</v>
      </c>
      <c r="U13" s="15" t="s">
        <v>676</v>
      </c>
    </row>
    <row r="14" spans="1:21" s="22" customFormat="1" ht="43.5" x14ac:dyDescent="0.35">
      <c r="A14" s="19" t="s">
        <v>663</v>
      </c>
      <c r="B14" s="19" t="s">
        <v>109</v>
      </c>
      <c r="C14" s="20">
        <v>45993.570138888892</v>
      </c>
      <c r="D14" s="19" t="s">
        <v>310</v>
      </c>
      <c r="E14" s="19" t="s">
        <v>654</v>
      </c>
      <c r="F14" s="21" t="s">
        <v>241</v>
      </c>
      <c r="G14" s="19" t="s">
        <v>684</v>
      </c>
      <c r="H14" s="20">
        <v>40725</v>
      </c>
      <c r="I14" s="20"/>
      <c r="J14" s="21"/>
      <c r="K14" s="21" t="s">
        <v>677</v>
      </c>
      <c r="L14" s="19" t="s">
        <v>667</v>
      </c>
      <c r="M14" s="21"/>
      <c r="N14" s="19"/>
      <c r="O14" s="19"/>
      <c r="P14" s="19"/>
      <c r="Q14" s="19"/>
      <c r="R14" s="19" t="s">
        <v>668</v>
      </c>
      <c r="S14" s="19"/>
      <c r="T14" s="19" t="s">
        <v>669</v>
      </c>
      <c r="U14" s="21" t="s">
        <v>678</v>
      </c>
    </row>
    <row r="15" spans="1:21" s="22" customFormat="1" ht="43.5" x14ac:dyDescent="0.35">
      <c r="A15" s="19" t="s">
        <v>663</v>
      </c>
      <c r="B15" s="19" t="s">
        <v>109</v>
      </c>
      <c r="C15" s="20">
        <v>45993.570138888892</v>
      </c>
      <c r="D15" s="19" t="s">
        <v>335</v>
      </c>
      <c r="E15" s="19" t="s">
        <v>654</v>
      </c>
      <c r="F15" s="21" t="s">
        <v>280</v>
      </c>
      <c r="G15" s="19" t="s">
        <v>682</v>
      </c>
      <c r="H15" s="20">
        <v>40725</v>
      </c>
      <c r="I15" s="20"/>
      <c r="J15" s="21"/>
      <c r="K15" s="21" t="s">
        <v>679</v>
      </c>
      <c r="L15" s="19" t="s">
        <v>667</v>
      </c>
      <c r="M15" s="21" t="s">
        <v>685</v>
      </c>
      <c r="N15" s="19"/>
      <c r="O15" s="19"/>
      <c r="P15" s="19"/>
      <c r="Q15" s="19"/>
      <c r="R15" s="19" t="s">
        <v>668</v>
      </c>
      <c r="S15" s="19"/>
      <c r="T15" s="19"/>
      <c r="U15" s="21"/>
    </row>
    <row r="16" spans="1:21" ht="87" x14ac:dyDescent="0.35">
      <c r="A16" s="13" t="s">
        <v>165</v>
      </c>
      <c r="B16" s="13" t="s">
        <v>109</v>
      </c>
      <c r="C16" s="14">
        <v>44715.629861111112</v>
      </c>
      <c r="D16" s="13" t="s">
        <v>541</v>
      </c>
      <c r="E16" s="13" t="s">
        <v>654</v>
      </c>
      <c r="F16" s="15" t="s">
        <v>542</v>
      </c>
      <c r="G16" s="13" t="s">
        <v>686</v>
      </c>
      <c r="H16" s="14">
        <v>40725</v>
      </c>
      <c r="I16" s="14">
        <v>44633</v>
      </c>
      <c r="J16" s="15" t="s">
        <v>665</v>
      </c>
      <c r="K16" s="15" t="s">
        <v>666</v>
      </c>
      <c r="L16" s="13" t="s">
        <v>667</v>
      </c>
      <c r="M16" s="15"/>
      <c r="N16" s="13"/>
      <c r="O16" s="13"/>
      <c r="P16" s="13"/>
      <c r="Q16" s="13"/>
      <c r="R16" s="13"/>
      <c r="S16" s="13"/>
      <c r="T16" s="13" t="s">
        <v>669</v>
      </c>
      <c r="U16" s="15" t="s">
        <v>670</v>
      </c>
    </row>
    <row r="17" spans="1:21" s="22" customFormat="1" ht="43.5" x14ac:dyDescent="0.35">
      <c r="A17" s="19" t="s">
        <v>663</v>
      </c>
      <c r="B17" s="19" t="s">
        <v>109</v>
      </c>
      <c r="C17" s="20">
        <v>45993.570833333331</v>
      </c>
      <c r="D17" s="19" t="s">
        <v>426</v>
      </c>
      <c r="E17" s="19" t="s">
        <v>654</v>
      </c>
      <c r="F17" s="21" t="s">
        <v>427</v>
      </c>
      <c r="G17" s="19" t="s">
        <v>687</v>
      </c>
      <c r="H17" s="20">
        <v>40725</v>
      </c>
      <c r="I17" s="20"/>
      <c r="J17" s="21" t="s">
        <v>688</v>
      </c>
      <c r="K17" s="21" t="s">
        <v>689</v>
      </c>
      <c r="L17" s="19" t="s">
        <v>667</v>
      </c>
      <c r="M17" s="21"/>
      <c r="N17" s="19"/>
      <c r="O17" s="19"/>
      <c r="P17" s="19"/>
      <c r="Q17" s="19"/>
      <c r="R17" s="19" t="s">
        <v>668</v>
      </c>
      <c r="S17" s="19"/>
      <c r="T17" s="19" t="s">
        <v>669</v>
      </c>
      <c r="U17" s="21" t="s">
        <v>690</v>
      </c>
    </row>
    <row r="18" spans="1:21" ht="58" x14ac:dyDescent="0.35">
      <c r="A18" s="13" t="s">
        <v>421</v>
      </c>
      <c r="B18" s="13" t="s">
        <v>77</v>
      </c>
      <c r="C18" s="14">
        <v>44889.472222222219</v>
      </c>
      <c r="D18" s="13" t="s">
        <v>430</v>
      </c>
      <c r="E18" s="13" t="s">
        <v>654</v>
      </c>
      <c r="F18" s="15" t="s">
        <v>431</v>
      </c>
      <c r="G18" s="13" t="s">
        <v>691</v>
      </c>
      <c r="H18" s="14">
        <v>40725</v>
      </c>
      <c r="I18" s="14"/>
      <c r="J18" s="15" t="s">
        <v>692</v>
      </c>
      <c r="K18" s="15" t="s">
        <v>693</v>
      </c>
      <c r="L18" s="13" t="s">
        <v>667</v>
      </c>
      <c r="M18" s="15"/>
      <c r="N18" s="13" t="s">
        <v>694</v>
      </c>
      <c r="O18" s="13"/>
      <c r="P18" s="13"/>
      <c r="Q18" s="13"/>
      <c r="R18" s="13"/>
      <c r="S18" s="13"/>
      <c r="T18" s="13" t="s">
        <v>669</v>
      </c>
      <c r="U18" s="15" t="s">
        <v>695</v>
      </c>
    </row>
    <row r="19" spans="1:21" ht="29" x14ac:dyDescent="0.35">
      <c r="A19" s="13" t="s">
        <v>76</v>
      </c>
      <c r="B19" s="13" t="s">
        <v>77</v>
      </c>
      <c r="C19" s="14">
        <v>43166.729166666664</v>
      </c>
      <c r="D19" s="13" t="s">
        <v>385</v>
      </c>
      <c r="E19" s="13" t="s">
        <v>654</v>
      </c>
      <c r="F19" s="15" t="s">
        <v>386</v>
      </c>
      <c r="G19" s="13" t="s">
        <v>696</v>
      </c>
      <c r="H19" s="14">
        <v>40725</v>
      </c>
      <c r="I19" s="14">
        <v>41517</v>
      </c>
      <c r="J19" s="15" t="s">
        <v>665</v>
      </c>
      <c r="K19" s="15" t="s">
        <v>693</v>
      </c>
      <c r="L19" s="13" t="s">
        <v>667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s="22" customFormat="1" ht="101.5" x14ac:dyDescent="0.35">
      <c r="A20" s="19" t="s">
        <v>663</v>
      </c>
      <c r="B20" s="19" t="s">
        <v>109</v>
      </c>
      <c r="C20" s="20">
        <v>45993.572222222225</v>
      </c>
      <c r="D20" s="19" t="s">
        <v>509</v>
      </c>
      <c r="E20" s="19" t="s">
        <v>654</v>
      </c>
      <c r="F20" s="21" t="s">
        <v>510</v>
      </c>
      <c r="G20" s="19" t="s">
        <v>697</v>
      </c>
      <c r="H20" s="20">
        <v>40725</v>
      </c>
      <c r="I20" s="20"/>
      <c r="J20" s="21" t="s">
        <v>665</v>
      </c>
      <c r="K20" s="21" t="s">
        <v>698</v>
      </c>
      <c r="L20" s="19" t="s">
        <v>667</v>
      </c>
      <c r="M20" s="21"/>
      <c r="N20" s="19"/>
      <c r="O20" s="19"/>
      <c r="P20" s="19"/>
      <c r="Q20" s="19"/>
      <c r="R20" s="19" t="s">
        <v>668</v>
      </c>
      <c r="S20" s="19"/>
      <c r="T20" s="19" t="s">
        <v>669</v>
      </c>
      <c r="U20" s="21" t="s">
        <v>699</v>
      </c>
    </row>
    <row r="21" spans="1:21" s="22" customFormat="1" ht="43.5" x14ac:dyDescent="0.35">
      <c r="A21" s="19" t="s">
        <v>663</v>
      </c>
      <c r="B21" s="19" t="s">
        <v>109</v>
      </c>
      <c r="C21" s="20">
        <v>45993.573611111111</v>
      </c>
      <c r="D21" s="19" t="s">
        <v>445</v>
      </c>
      <c r="E21" s="19" t="s">
        <v>654</v>
      </c>
      <c r="F21" s="21" t="s">
        <v>440</v>
      </c>
      <c r="G21" s="19" t="s">
        <v>700</v>
      </c>
      <c r="H21" s="20">
        <v>40725</v>
      </c>
      <c r="I21" s="20"/>
      <c r="J21" s="21" t="s">
        <v>665</v>
      </c>
      <c r="K21" s="21" t="s">
        <v>689</v>
      </c>
      <c r="L21" s="19" t="s">
        <v>667</v>
      </c>
      <c r="M21" s="21"/>
      <c r="N21" s="19"/>
      <c r="O21" s="19"/>
      <c r="P21" s="19"/>
      <c r="Q21" s="19"/>
      <c r="R21" s="19" t="s">
        <v>668</v>
      </c>
      <c r="S21" s="19"/>
      <c r="T21" s="19" t="s">
        <v>669</v>
      </c>
      <c r="U21" s="21" t="s">
        <v>690</v>
      </c>
    </row>
    <row r="22" spans="1:21" s="22" customFormat="1" ht="101.5" x14ac:dyDescent="0.35">
      <c r="A22" s="19" t="s">
        <v>663</v>
      </c>
      <c r="B22" s="19" t="s">
        <v>109</v>
      </c>
      <c r="C22" s="20">
        <v>45993.573611111111</v>
      </c>
      <c r="D22" s="19" t="s">
        <v>553</v>
      </c>
      <c r="E22" s="19" t="s">
        <v>654</v>
      </c>
      <c r="F22" s="21" t="s">
        <v>510</v>
      </c>
      <c r="G22" s="19" t="s">
        <v>701</v>
      </c>
      <c r="H22" s="20">
        <v>40725</v>
      </c>
      <c r="I22" s="20"/>
      <c r="J22" s="21" t="s">
        <v>665</v>
      </c>
      <c r="K22" s="21" t="s">
        <v>698</v>
      </c>
      <c r="L22" s="19" t="s">
        <v>667</v>
      </c>
      <c r="M22" s="21"/>
      <c r="N22" s="19"/>
      <c r="O22" s="19"/>
      <c r="P22" s="19"/>
      <c r="Q22" s="19"/>
      <c r="R22" s="19" t="s">
        <v>668</v>
      </c>
      <c r="S22" s="19"/>
      <c r="T22" s="19" t="s">
        <v>669</v>
      </c>
      <c r="U22" s="21" t="s">
        <v>699</v>
      </c>
    </row>
    <row r="23" spans="1:21" s="22" customFormat="1" ht="43.5" x14ac:dyDescent="0.35">
      <c r="A23" s="19" t="s">
        <v>663</v>
      </c>
      <c r="B23" s="19" t="s">
        <v>109</v>
      </c>
      <c r="C23" s="20">
        <v>45993.574999999997</v>
      </c>
      <c r="D23" s="19" t="s">
        <v>183</v>
      </c>
      <c r="E23" s="19" t="s">
        <v>654</v>
      </c>
      <c r="F23" s="21" t="s">
        <v>119</v>
      </c>
      <c r="G23" s="19" t="s">
        <v>702</v>
      </c>
      <c r="H23" s="20">
        <v>40725</v>
      </c>
      <c r="I23" s="20"/>
      <c r="J23" s="21" t="s">
        <v>665</v>
      </c>
      <c r="K23" s="21" t="s">
        <v>666</v>
      </c>
      <c r="L23" s="19" t="s">
        <v>667</v>
      </c>
      <c r="M23" s="21"/>
      <c r="N23" s="19"/>
      <c r="O23" s="19"/>
      <c r="P23" s="19"/>
      <c r="Q23" s="19"/>
      <c r="R23" s="19" t="s">
        <v>668</v>
      </c>
      <c r="S23" s="19"/>
      <c r="T23" s="19" t="s">
        <v>669</v>
      </c>
      <c r="U23" s="21" t="s">
        <v>670</v>
      </c>
    </row>
    <row r="24" spans="1:21" ht="58" x14ac:dyDescent="0.35">
      <c r="A24" s="13" t="s">
        <v>108</v>
      </c>
      <c r="B24" s="13" t="s">
        <v>109</v>
      </c>
      <c r="C24" s="14">
        <v>45805.689583333333</v>
      </c>
      <c r="D24" s="13" t="s">
        <v>186</v>
      </c>
      <c r="E24" s="13" t="s">
        <v>654</v>
      </c>
      <c r="F24" s="15" t="s">
        <v>125</v>
      </c>
      <c r="G24" s="13" t="s">
        <v>703</v>
      </c>
      <c r="H24" s="14">
        <v>40725</v>
      </c>
      <c r="I24" s="14">
        <v>45781</v>
      </c>
      <c r="J24" s="15" t="s">
        <v>665</v>
      </c>
      <c r="K24" s="15" t="s">
        <v>675</v>
      </c>
      <c r="L24" s="13" t="s">
        <v>667</v>
      </c>
      <c r="M24" s="15"/>
      <c r="N24" s="13"/>
      <c r="O24" s="13"/>
      <c r="P24" s="13"/>
      <c r="Q24" s="13"/>
      <c r="R24" s="13"/>
      <c r="S24" s="13"/>
      <c r="T24" s="13" t="s">
        <v>669</v>
      </c>
      <c r="U24" s="15" t="s">
        <v>676</v>
      </c>
    </row>
    <row r="25" spans="1:21" s="22" customFormat="1" ht="43.5" x14ac:dyDescent="0.35">
      <c r="A25" s="19" t="s">
        <v>663</v>
      </c>
      <c r="B25" s="19" t="s">
        <v>109</v>
      </c>
      <c r="C25" s="20">
        <v>45993.574999999997</v>
      </c>
      <c r="D25" s="19" t="s">
        <v>305</v>
      </c>
      <c r="E25" s="19" t="s">
        <v>654</v>
      </c>
      <c r="F25" s="21" t="s">
        <v>241</v>
      </c>
      <c r="G25" s="19" t="s">
        <v>702</v>
      </c>
      <c r="H25" s="20">
        <v>40725</v>
      </c>
      <c r="I25" s="20"/>
      <c r="J25" s="21"/>
      <c r="K25" s="21" t="s">
        <v>677</v>
      </c>
      <c r="L25" s="19" t="s">
        <v>667</v>
      </c>
      <c r="M25" s="21"/>
      <c r="N25" s="19"/>
      <c r="O25" s="19"/>
      <c r="P25" s="19"/>
      <c r="Q25" s="19"/>
      <c r="R25" s="19" t="s">
        <v>668</v>
      </c>
      <c r="S25" s="19"/>
      <c r="T25" s="19" t="s">
        <v>669</v>
      </c>
      <c r="U25" s="21" t="s">
        <v>678</v>
      </c>
    </row>
    <row r="26" spans="1:21" s="22" customFormat="1" ht="43.5" x14ac:dyDescent="0.35">
      <c r="A26" s="19" t="s">
        <v>663</v>
      </c>
      <c r="B26" s="19" t="s">
        <v>109</v>
      </c>
      <c r="C26" s="20">
        <v>45993.576388888891</v>
      </c>
      <c r="D26" s="19" t="s">
        <v>330</v>
      </c>
      <c r="E26" s="19" t="s">
        <v>654</v>
      </c>
      <c r="F26" s="21" t="s">
        <v>280</v>
      </c>
      <c r="G26" s="19" t="s">
        <v>702</v>
      </c>
      <c r="H26" s="20">
        <v>40725</v>
      </c>
      <c r="I26" s="20"/>
      <c r="J26" s="21"/>
      <c r="K26" s="21" t="s">
        <v>679</v>
      </c>
      <c r="L26" s="19" t="s">
        <v>667</v>
      </c>
      <c r="M26" s="21" t="s">
        <v>685</v>
      </c>
      <c r="N26" s="19"/>
      <c r="O26" s="19"/>
      <c r="P26" s="19"/>
      <c r="Q26" s="19"/>
      <c r="R26" s="19" t="s">
        <v>668</v>
      </c>
      <c r="S26" s="19"/>
      <c r="T26" s="19"/>
      <c r="U26" s="21"/>
    </row>
    <row r="27" spans="1:21" s="22" customFormat="1" ht="43.5" x14ac:dyDescent="0.35">
      <c r="A27" s="19" t="s">
        <v>663</v>
      </c>
      <c r="B27" s="19" t="s">
        <v>109</v>
      </c>
      <c r="C27" s="20">
        <v>45993.57708333333</v>
      </c>
      <c r="D27" s="19" t="s">
        <v>246</v>
      </c>
      <c r="E27" s="19" t="s">
        <v>654</v>
      </c>
      <c r="F27" s="21" t="s">
        <v>241</v>
      </c>
      <c r="G27" s="19" t="s">
        <v>702</v>
      </c>
      <c r="H27" s="20">
        <v>40725</v>
      </c>
      <c r="I27" s="20"/>
      <c r="J27" s="21"/>
      <c r="K27" s="21" t="s">
        <v>677</v>
      </c>
      <c r="L27" s="19" t="s">
        <v>667</v>
      </c>
      <c r="M27" s="21"/>
      <c r="N27" s="19"/>
      <c r="O27" s="19"/>
      <c r="P27" s="19"/>
      <c r="Q27" s="19"/>
      <c r="R27" s="19" t="s">
        <v>668</v>
      </c>
      <c r="S27" s="19"/>
      <c r="T27" s="19" t="s">
        <v>669</v>
      </c>
      <c r="U27" s="21" t="s">
        <v>678</v>
      </c>
    </row>
    <row r="28" spans="1:21" s="22" customFormat="1" ht="43.5" x14ac:dyDescent="0.35">
      <c r="A28" s="19" t="s">
        <v>663</v>
      </c>
      <c r="B28" s="19" t="s">
        <v>109</v>
      </c>
      <c r="C28" s="20">
        <v>45993.57916666667</v>
      </c>
      <c r="D28" s="19" t="s">
        <v>285</v>
      </c>
      <c r="E28" s="19" t="s">
        <v>654</v>
      </c>
      <c r="F28" s="21" t="s">
        <v>280</v>
      </c>
      <c r="G28" s="19" t="s">
        <v>702</v>
      </c>
      <c r="H28" s="20">
        <v>40725</v>
      </c>
      <c r="I28" s="20"/>
      <c r="J28" s="21"/>
      <c r="K28" s="21" t="s">
        <v>679</v>
      </c>
      <c r="L28" s="19" t="s">
        <v>667</v>
      </c>
      <c r="M28" s="21" t="s">
        <v>685</v>
      </c>
      <c r="N28" s="19"/>
      <c r="O28" s="19"/>
      <c r="P28" s="19"/>
      <c r="Q28" s="19"/>
      <c r="R28" s="19" t="s">
        <v>668</v>
      </c>
      <c r="S28" s="19"/>
      <c r="T28" s="19"/>
      <c r="U28" s="21"/>
    </row>
    <row r="29" spans="1:21" s="22" customFormat="1" ht="43.5" x14ac:dyDescent="0.35">
      <c r="A29" s="19" t="s">
        <v>663</v>
      </c>
      <c r="B29" s="19" t="s">
        <v>109</v>
      </c>
      <c r="C29" s="20">
        <v>45993.57916666667</v>
      </c>
      <c r="D29" s="19" t="s">
        <v>369</v>
      </c>
      <c r="E29" s="19" t="s">
        <v>654</v>
      </c>
      <c r="F29" s="21" t="s">
        <v>241</v>
      </c>
      <c r="G29" s="19" t="s">
        <v>702</v>
      </c>
      <c r="H29" s="20">
        <v>40725</v>
      </c>
      <c r="I29" s="20"/>
      <c r="J29" s="21"/>
      <c r="K29" s="21" t="s">
        <v>677</v>
      </c>
      <c r="L29" s="19" t="s">
        <v>667</v>
      </c>
      <c r="M29" s="21"/>
      <c r="N29" s="19"/>
      <c r="O29" s="19"/>
      <c r="P29" s="19"/>
      <c r="Q29" s="19"/>
      <c r="R29" s="19" t="s">
        <v>668</v>
      </c>
      <c r="S29" s="19"/>
      <c r="T29" s="19" t="s">
        <v>669</v>
      </c>
      <c r="U29" s="21" t="s">
        <v>678</v>
      </c>
    </row>
    <row r="30" spans="1:21" s="22" customFormat="1" ht="43.5" x14ac:dyDescent="0.35">
      <c r="A30" s="19" t="s">
        <v>663</v>
      </c>
      <c r="B30" s="19" t="s">
        <v>109</v>
      </c>
      <c r="C30" s="20">
        <v>45993.57916666667</v>
      </c>
      <c r="D30" s="19" t="s">
        <v>439</v>
      </c>
      <c r="E30" s="19" t="s">
        <v>654</v>
      </c>
      <c r="F30" s="21" t="s">
        <v>440</v>
      </c>
      <c r="G30" s="19" t="s">
        <v>704</v>
      </c>
      <c r="H30" s="20">
        <v>40725</v>
      </c>
      <c r="I30" s="20"/>
      <c r="J30" s="21" t="s">
        <v>665</v>
      </c>
      <c r="K30" s="21" t="s">
        <v>689</v>
      </c>
      <c r="L30" s="19" t="s">
        <v>667</v>
      </c>
      <c r="M30" s="21"/>
      <c r="N30" s="19"/>
      <c r="O30" s="19"/>
      <c r="P30" s="19"/>
      <c r="Q30" s="19"/>
      <c r="R30" s="19" t="s">
        <v>668</v>
      </c>
      <c r="S30" s="19"/>
      <c r="T30" s="19" t="s">
        <v>669</v>
      </c>
      <c r="U30" s="21" t="s">
        <v>690</v>
      </c>
    </row>
    <row r="31" spans="1:21" ht="87" x14ac:dyDescent="0.35">
      <c r="A31" s="13" t="s">
        <v>165</v>
      </c>
      <c r="B31" s="13" t="s">
        <v>109</v>
      </c>
      <c r="C31" s="14">
        <v>44715.629861111112</v>
      </c>
      <c r="D31" s="13" t="s">
        <v>524</v>
      </c>
      <c r="E31" s="13" t="s">
        <v>654</v>
      </c>
      <c r="F31" s="15" t="s">
        <v>497</v>
      </c>
      <c r="G31" s="13" t="s">
        <v>705</v>
      </c>
      <c r="H31" s="14">
        <v>40725</v>
      </c>
      <c r="I31" s="14">
        <v>44633</v>
      </c>
      <c r="J31" s="15" t="s">
        <v>665</v>
      </c>
      <c r="K31" s="15" t="s">
        <v>666</v>
      </c>
      <c r="L31" s="13" t="s">
        <v>667</v>
      </c>
      <c r="M31" s="15"/>
      <c r="N31" s="13"/>
      <c r="O31" s="13"/>
      <c r="P31" s="13"/>
      <c r="Q31" s="13"/>
      <c r="R31" s="13"/>
      <c r="S31" s="13"/>
      <c r="T31" s="13" t="s">
        <v>669</v>
      </c>
      <c r="U31" s="15" t="s">
        <v>670</v>
      </c>
    </row>
    <row r="32" spans="1:21" s="22" customFormat="1" ht="101.5" x14ac:dyDescent="0.35">
      <c r="A32" s="19" t="s">
        <v>663</v>
      </c>
      <c r="B32" s="19" t="s">
        <v>109</v>
      </c>
      <c r="C32" s="20">
        <v>45993.579861111109</v>
      </c>
      <c r="D32" s="19" t="s">
        <v>532</v>
      </c>
      <c r="E32" s="19" t="s">
        <v>654</v>
      </c>
      <c r="F32" s="21" t="s">
        <v>510</v>
      </c>
      <c r="G32" s="19" t="s">
        <v>706</v>
      </c>
      <c r="H32" s="20">
        <v>40725</v>
      </c>
      <c r="I32" s="20"/>
      <c r="J32" s="21" t="s">
        <v>665</v>
      </c>
      <c r="K32" s="21" t="s">
        <v>698</v>
      </c>
      <c r="L32" s="19" t="s">
        <v>667</v>
      </c>
      <c r="M32" s="21"/>
      <c r="N32" s="19"/>
      <c r="O32" s="19"/>
      <c r="P32" s="19"/>
      <c r="Q32" s="19"/>
      <c r="R32" s="19" t="s">
        <v>668</v>
      </c>
      <c r="S32" s="19"/>
      <c r="T32" s="19" t="s">
        <v>669</v>
      </c>
      <c r="U32" s="21" t="s">
        <v>699</v>
      </c>
    </row>
    <row r="33" spans="1:21" ht="43.5" x14ac:dyDescent="0.35">
      <c r="A33" s="13" t="s">
        <v>76</v>
      </c>
      <c r="B33" s="13" t="s">
        <v>77</v>
      </c>
      <c r="C33" s="14">
        <v>43166.734027777777</v>
      </c>
      <c r="D33" s="13" t="s">
        <v>466</v>
      </c>
      <c r="E33" s="13" t="s">
        <v>654</v>
      </c>
      <c r="F33" s="15" t="s">
        <v>467</v>
      </c>
      <c r="G33" s="13" t="s">
        <v>707</v>
      </c>
      <c r="H33" s="14">
        <v>40725</v>
      </c>
      <c r="I33" s="14"/>
      <c r="J33" s="15" t="s">
        <v>665</v>
      </c>
      <c r="K33" s="15" t="s">
        <v>708</v>
      </c>
      <c r="L33" s="13" t="s">
        <v>667</v>
      </c>
      <c r="M33" s="15"/>
      <c r="N33" s="13"/>
      <c r="O33" s="13"/>
      <c r="P33" s="13"/>
      <c r="Q33" s="13"/>
      <c r="R33" s="13"/>
      <c r="S33" s="13"/>
      <c r="T33" s="13" t="s">
        <v>669</v>
      </c>
      <c r="U33" s="15" t="s">
        <v>709</v>
      </c>
    </row>
    <row r="34" spans="1:21" s="22" customFormat="1" ht="116" x14ac:dyDescent="0.35">
      <c r="A34" s="19" t="s">
        <v>663</v>
      </c>
      <c r="B34" s="19" t="s">
        <v>109</v>
      </c>
      <c r="C34" s="20">
        <v>45993.581250000003</v>
      </c>
      <c r="D34" s="19" t="s">
        <v>185</v>
      </c>
      <c r="E34" s="19" t="s">
        <v>654</v>
      </c>
      <c r="F34" s="21" t="s">
        <v>123</v>
      </c>
      <c r="G34" s="19" t="s">
        <v>702</v>
      </c>
      <c r="H34" s="20">
        <v>40725</v>
      </c>
      <c r="I34" s="20"/>
      <c r="J34" s="21"/>
      <c r="K34" s="21" t="s">
        <v>671</v>
      </c>
      <c r="L34" s="19" t="s">
        <v>667</v>
      </c>
      <c r="M34" s="21" t="s">
        <v>672</v>
      </c>
      <c r="N34" s="19"/>
      <c r="O34" s="19"/>
      <c r="P34" s="19"/>
      <c r="Q34" s="19"/>
      <c r="R34" s="19" t="s">
        <v>668</v>
      </c>
      <c r="S34" s="19"/>
      <c r="T34" s="19" t="s">
        <v>669</v>
      </c>
      <c r="U34" s="21" t="s">
        <v>673</v>
      </c>
    </row>
    <row r="35" spans="1:21" ht="29" x14ac:dyDescent="0.35">
      <c r="A35" s="13" t="s">
        <v>76</v>
      </c>
      <c r="B35" s="13" t="s">
        <v>77</v>
      </c>
      <c r="C35" s="14">
        <v>43166.734027777777</v>
      </c>
      <c r="D35" s="13" t="s">
        <v>570</v>
      </c>
      <c r="E35" s="13" t="s">
        <v>654</v>
      </c>
      <c r="F35" s="15" t="s">
        <v>386</v>
      </c>
      <c r="G35" s="13" t="s">
        <v>710</v>
      </c>
      <c r="H35" s="14">
        <v>41518</v>
      </c>
      <c r="I35" s="14"/>
      <c r="J35" s="15" t="s">
        <v>665</v>
      </c>
      <c r="K35" s="15" t="s">
        <v>693</v>
      </c>
      <c r="L35" s="13" t="s">
        <v>667</v>
      </c>
      <c r="M35" s="15"/>
      <c r="N35" s="13"/>
      <c r="O35" s="13"/>
      <c r="P35" s="13"/>
      <c r="Q35" s="13"/>
      <c r="R35" s="13"/>
      <c r="S35" s="13"/>
      <c r="T35" s="13" t="s">
        <v>669</v>
      </c>
      <c r="U35" s="15" t="s">
        <v>711</v>
      </c>
    </row>
    <row r="36" spans="1:21" s="22" customFormat="1" ht="29" x14ac:dyDescent="0.35">
      <c r="A36" s="19" t="s">
        <v>663</v>
      </c>
      <c r="B36" s="19" t="s">
        <v>109</v>
      </c>
      <c r="C36" s="20">
        <v>45993.581250000003</v>
      </c>
      <c r="D36" s="19" t="s">
        <v>120</v>
      </c>
      <c r="E36" s="19" t="s">
        <v>654</v>
      </c>
      <c r="F36" s="21" t="s">
        <v>121</v>
      </c>
      <c r="G36" s="19" t="s">
        <v>664</v>
      </c>
      <c r="H36" s="20">
        <v>40725</v>
      </c>
      <c r="I36" s="20"/>
      <c r="J36" s="21" t="s">
        <v>712</v>
      </c>
      <c r="K36" s="21" t="s">
        <v>713</v>
      </c>
      <c r="L36" s="19" t="s">
        <v>667</v>
      </c>
      <c r="M36" s="21"/>
      <c r="N36" s="19"/>
      <c r="O36" s="19"/>
      <c r="P36" s="19"/>
      <c r="Q36" s="19"/>
      <c r="R36" s="19" t="s">
        <v>668</v>
      </c>
      <c r="S36" s="19"/>
      <c r="T36" s="19"/>
      <c r="U36" s="21"/>
    </row>
    <row r="37" spans="1:21" ht="58" x14ac:dyDescent="0.35">
      <c r="A37" s="13" t="s">
        <v>421</v>
      </c>
      <c r="B37" s="13" t="s">
        <v>77</v>
      </c>
      <c r="C37" s="14">
        <v>44889.477083333331</v>
      </c>
      <c r="D37" s="13" t="s">
        <v>432</v>
      </c>
      <c r="E37" s="13" t="s">
        <v>654</v>
      </c>
      <c r="F37" s="15" t="s">
        <v>433</v>
      </c>
      <c r="G37" s="13" t="s">
        <v>691</v>
      </c>
      <c r="H37" s="14">
        <v>40725</v>
      </c>
      <c r="I37" s="14"/>
      <c r="J37" s="15" t="s">
        <v>714</v>
      </c>
      <c r="K37" s="15" t="s">
        <v>715</v>
      </c>
      <c r="L37" s="13" t="s">
        <v>667</v>
      </c>
      <c r="M37" s="15"/>
      <c r="N37" s="13" t="s">
        <v>694</v>
      </c>
      <c r="O37" s="13"/>
      <c r="P37" s="13"/>
      <c r="Q37" s="13"/>
      <c r="R37" s="13"/>
      <c r="S37" s="13"/>
      <c r="T37" s="13"/>
      <c r="U37" s="15"/>
    </row>
    <row r="38" spans="1:21" ht="43.5" x14ac:dyDescent="0.35">
      <c r="A38" s="13" t="s">
        <v>108</v>
      </c>
      <c r="B38" s="13" t="s">
        <v>109</v>
      </c>
      <c r="C38" s="14">
        <v>45805.69027777778</v>
      </c>
      <c r="D38" s="13" t="s">
        <v>126</v>
      </c>
      <c r="E38" s="13" t="s">
        <v>654</v>
      </c>
      <c r="F38" s="15" t="s">
        <v>127</v>
      </c>
      <c r="G38" s="13" t="s">
        <v>674</v>
      </c>
      <c r="H38" s="14">
        <v>40725</v>
      </c>
      <c r="I38" s="14">
        <v>45781</v>
      </c>
      <c r="J38" s="15" t="s">
        <v>712</v>
      </c>
      <c r="K38" s="15" t="s">
        <v>716</v>
      </c>
      <c r="L38" s="13" t="s">
        <v>667</v>
      </c>
      <c r="M38" s="15"/>
      <c r="N38" s="13"/>
      <c r="O38" s="13"/>
      <c r="P38" s="13"/>
      <c r="Q38" s="13"/>
      <c r="R38" s="13"/>
      <c r="S38" s="13"/>
      <c r="T38" s="13"/>
      <c r="U38" s="15"/>
    </row>
    <row r="39" spans="1:21" s="22" customFormat="1" ht="43.5" x14ac:dyDescent="0.35">
      <c r="A39" s="19" t="s">
        <v>663</v>
      </c>
      <c r="B39" s="19" t="s">
        <v>109</v>
      </c>
      <c r="C39" s="20">
        <v>45993.581944444442</v>
      </c>
      <c r="D39" s="19" t="s">
        <v>428</v>
      </c>
      <c r="E39" s="19" t="s">
        <v>654</v>
      </c>
      <c r="F39" s="21" t="s">
        <v>429</v>
      </c>
      <c r="G39" s="19" t="s">
        <v>687</v>
      </c>
      <c r="H39" s="20">
        <v>40725</v>
      </c>
      <c r="I39" s="20"/>
      <c r="J39" s="21" t="s">
        <v>717</v>
      </c>
      <c r="K39" s="21" t="s">
        <v>718</v>
      </c>
      <c r="L39" s="19" t="s">
        <v>667</v>
      </c>
      <c r="M39" s="21"/>
      <c r="N39" s="19"/>
      <c r="O39" s="19"/>
      <c r="P39" s="19"/>
      <c r="Q39" s="19"/>
      <c r="R39" s="19" t="s">
        <v>668</v>
      </c>
      <c r="S39" s="19"/>
      <c r="T39" s="19"/>
      <c r="U39" s="21"/>
    </row>
    <row r="40" spans="1:21" ht="43.5" x14ac:dyDescent="0.35">
      <c r="A40" s="13" t="s">
        <v>76</v>
      </c>
      <c r="B40" s="13" t="s">
        <v>77</v>
      </c>
      <c r="C40" s="14">
        <v>43166.73541666667</v>
      </c>
      <c r="D40" s="13" t="s">
        <v>468</v>
      </c>
      <c r="E40" s="13" t="s">
        <v>654</v>
      </c>
      <c r="F40" s="15" t="s">
        <v>469</v>
      </c>
      <c r="G40" s="13" t="s">
        <v>707</v>
      </c>
      <c r="H40" s="14">
        <v>40725</v>
      </c>
      <c r="I40" s="14"/>
      <c r="J40" s="15" t="s">
        <v>712</v>
      </c>
      <c r="K40" s="15" t="s">
        <v>719</v>
      </c>
      <c r="L40" s="13" t="s">
        <v>667</v>
      </c>
      <c r="M40" s="15"/>
      <c r="N40" s="13"/>
      <c r="O40" s="13"/>
      <c r="P40" s="13"/>
      <c r="Q40" s="13"/>
      <c r="R40" s="13"/>
      <c r="S40" s="13"/>
      <c r="T40" s="13"/>
      <c r="U40" s="15"/>
    </row>
    <row r="41" spans="1:21" ht="29" x14ac:dyDescent="0.35">
      <c r="A41" s="13" t="s">
        <v>76</v>
      </c>
      <c r="B41" s="13" t="s">
        <v>77</v>
      </c>
      <c r="C41" s="14">
        <v>43166.73541666667</v>
      </c>
      <c r="D41" s="13" t="s">
        <v>387</v>
      </c>
      <c r="E41" s="13" t="s">
        <v>654</v>
      </c>
      <c r="F41" s="15" t="s">
        <v>388</v>
      </c>
      <c r="G41" s="13" t="s">
        <v>696</v>
      </c>
      <c r="H41" s="14">
        <v>40725</v>
      </c>
      <c r="I41" s="14">
        <v>41517</v>
      </c>
      <c r="J41" s="15" t="s">
        <v>712</v>
      </c>
      <c r="K41" s="15" t="s">
        <v>715</v>
      </c>
      <c r="L41" s="13" t="s">
        <v>667</v>
      </c>
      <c r="M41" s="15"/>
      <c r="N41" s="13"/>
      <c r="O41" s="13"/>
      <c r="P41" s="13"/>
      <c r="Q41" s="13"/>
      <c r="R41" s="13"/>
      <c r="S41" s="13"/>
      <c r="T41" s="13"/>
      <c r="U41" s="15"/>
    </row>
    <row r="42" spans="1:21" ht="29" x14ac:dyDescent="0.35">
      <c r="A42" s="13" t="s">
        <v>76</v>
      </c>
      <c r="B42" s="13" t="s">
        <v>77</v>
      </c>
      <c r="C42" s="14">
        <v>43166.73541666667</v>
      </c>
      <c r="D42" s="13" t="s">
        <v>571</v>
      </c>
      <c r="E42" s="13" t="s">
        <v>654</v>
      </c>
      <c r="F42" s="15" t="s">
        <v>388</v>
      </c>
      <c r="G42" s="13" t="s">
        <v>710</v>
      </c>
      <c r="H42" s="14">
        <v>41518</v>
      </c>
      <c r="I42" s="14"/>
      <c r="J42" s="15" t="s">
        <v>712</v>
      </c>
      <c r="K42" s="15" t="s">
        <v>715</v>
      </c>
      <c r="L42" s="13" t="s">
        <v>667</v>
      </c>
      <c r="M42" s="15"/>
      <c r="N42" s="13"/>
      <c r="O42" s="13"/>
      <c r="P42" s="13"/>
      <c r="Q42" s="13"/>
      <c r="R42" s="13"/>
      <c r="S42" s="13"/>
      <c r="T42" s="13"/>
      <c r="U42" s="15"/>
    </row>
    <row r="43" spans="1:21" ht="72.5" x14ac:dyDescent="0.35">
      <c r="A43" s="13" t="s">
        <v>165</v>
      </c>
      <c r="B43" s="13" t="s">
        <v>109</v>
      </c>
      <c r="C43" s="14">
        <v>44715.630555555559</v>
      </c>
      <c r="D43" s="13" t="s">
        <v>498</v>
      </c>
      <c r="E43" s="13" t="s">
        <v>654</v>
      </c>
      <c r="F43" s="15" t="s">
        <v>499</v>
      </c>
      <c r="G43" s="13" t="s">
        <v>681</v>
      </c>
      <c r="H43" s="14">
        <v>40725</v>
      </c>
      <c r="I43" s="14">
        <v>44633</v>
      </c>
      <c r="J43" s="15" t="s">
        <v>712</v>
      </c>
      <c r="K43" s="15" t="s">
        <v>713</v>
      </c>
      <c r="L43" s="13" t="s">
        <v>667</v>
      </c>
      <c r="M43" s="15"/>
      <c r="N43" s="13"/>
      <c r="O43" s="13"/>
      <c r="P43" s="13"/>
      <c r="Q43" s="13"/>
      <c r="R43" s="13"/>
      <c r="S43" s="13"/>
      <c r="T43" s="13"/>
      <c r="U43" s="15"/>
    </row>
    <row r="44" spans="1:21" s="22" customFormat="1" ht="101.5" x14ac:dyDescent="0.35">
      <c r="A44" s="19" t="s">
        <v>663</v>
      </c>
      <c r="B44" s="19" t="s">
        <v>109</v>
      </c>
      <c r="C44" s="20">
        <v>45993.584027777775</v>
      </c>
      <c r="D44" s="19" t="s">
        <v>511</v>
      </c>
      <c r="E44" s="19" t="s">
        <v>654</v>
      </c>
      <c r="F44" s="21" t="s">
        <v>512</v>
      </c>
      <c r="G44" s="19" t="s">
        <v>697</v>
      </c>
      <c r="H44" s="20">
        <v>40725</v>
      </c>
      <c r="I44" s="20"/>
      <c r="J44" s="21" t="s">
        <v>712</v>
      </c>
      <c r="K44" s="21" t="s">
        <v>720</v>
      </c>
      <c r="L44" s="19" t="s">
        <v>667</v>
      </c>
      <c r="M44" s="21"/>
      <c r="N44" s="19"/>
      <c r="O44" s="19"/>
      <c r="P44" s="19"/>
      <c r="Q44" s="19"/>
      <c r="R44" s="19" t="s">
        <v>668</v>
      </c>
      <c r="S44" s="19"/>
      <c r="T44" s="19"/>
      <c r="U44" s="21"/>
    </row>
    <row r="45" spans="1:21" s="22" customFormat="1" ht="43.5" x14ac:dyDescent="0.35">
      <c r="A45" s="19" t="s">
        <v>663</v>
      </c>
      <c r="B45" s="19" t="s">
        <v>109</v>
      </c>
      <c r="C45" s="20">
        <v>45993.584027777775</v>
      </c>
      <c r="D45" s="19" t="s">
        <v>184</v>
      </c>
      <c r="E45" s="19" t="s">
        <v>654</v>
      </c>
      <c r="F45" s="21" t="s">
        <v>121</v>
      </c>
      <c r="G45" s="19" t="s">
        <v>702</v>
      </c>
      <c r="H45" s="20">
        <v>40725</v>
      </c>
      <c r="I45" s="20"/>
      <c r="J45" s="21" t="s">
        <v>712</v>
      </c>
      <c r="K45" s="21" t="s">
        <v>713</v>
      </c>
      <c r="L45" s="19" t="s">
        <v>667</v>
      </c>
      <c r="M45" s="21"/>
      <c r="N45" s="19"/>
      <c r="O45" s="19"/>
      <c r="P45" s="19"/>
      <c r="Q45" s="19"/>
      <c r="R45" s="19" t="s">
        <v>668</v>
      </c>
      <c r="S45" s="19"/>
      <c r="T45" s="19"/>
      <c r="U45" s="21"/>
    </row>
    <row r="46" spans="1:21" ht="43.5" x14ac:dyDescent="0.35">
      <c r="A46" s="13" t="s">
        <v>108</v>
      </c>
      <c r="B46" s="13" t="s">
        <v>109</v>
      </c>
      <c r="C46" s="14">
        <v>45805.690972222219</v>
      </c>
      <c r="D46" s="13" t="s">
        <v>187</v>
      </c>
      <c r="E46" s="13" t="s">
        <v>654</v>
      </c>
      <c r="F46" s="15" t="s">
        <v>127</v>
      </c>
      <c r="G46" s="13" t="s">
        <v>703</v>
      </c>
      <c r="H46" s="14">
        <v>40725</v>
      </c>
      <c r="I46" s="14">
        <v>45781</v>
      </c>
      <c r="J46" s="15" t="s">
        <v>712</v>
      </c>
      <c r="K46" s="15" t="s">
        <v>716</v>
      </c>
      <c r="L46" s="13" t="s">
        <v>667</v>
      </c>
      <c r="M46" s="15"/>
      <c r="N46" s="13"/>
      <c r="O46" s="13"/>
      <c r="P46" s="13"/>
      <c r="Q46" s="13"/>
      <c r="R46" s="13"/>
      <c r="S46" s="13"/>
      <c r="T46" s="13"/>
      <c r="U46" s="15"/>
    </row>
    <row r="47" spans="1:21" s="22" customFormat="1" ht="43.5" x14ac:dyDescent="0.35">
      <c r="A47" s="19" t="s">
        <v>663</v>
      </c>
      <c r="B47" s="19" t="s">
        <v>109</v>
      </c>
      <c r="C47" s="20">
        <v>45993.584722222222</v>
      </c>
      <c r="D47" s="19" t="s">
        <v>441</v>
      </c>
      <c r="E47" s="19" t="s">
        <v>654</v>
      </c>
      <c r="F47" s="21" t="s">
        <v>429</v>
      </c>
      <c r="G47" s="19" t="s">
        <v>704</v>
      </c>
      <c r="H47" s="20">
        <v>40725</v>
      </c>
      <c r="I47" s="20"/>
      <c r="J47" s="21" t="s">
        <v>712</v>
      </c>
      <c r="K47" s="21" t="s">
        <v>718</v>
      </c>
      <c r="L47" s="19" t="s">
        <v>667</v>
      </c>
      <c r="M47" s="21"/>
      <c r="N47" s="19"/>
      <c r="O47" s="19"/>
      <c r="P47" s="19"/>
      <c r="Q47" s="19"/>
      <c r="R47" s="19" t="s">
        <v>668</v>
      </c>
      <c r="S47" s="19"/>
      <c r="T47" s="19"/>
      <c r="U47" s="21"/>
    </row>
    <row r="48" spans="1:21" ht="72.5" x14ac:dyDescent="0.35">
      <c r="A48" s="13" t="s">
        <v>165</v>
      </c>
      <c r="B48" s="13" t="s">
        <v>109</v>
      </c>
      <c r="C48" s="14">
        <v>44715.630555555559</v>
      </c>
      <c r="D48" s="13" t="s">
        <v>525</v>
      </c>
      <c r="E48" s="13" t="s">
        <v>654</v>
      </c>
      <c r="F48" s="15" t="s">
        <v>499</v>
      </c>
      <c r="G48" s="13" t="s">
        <v>705</v>
      </c>
      <c r="H48" s="14">
        <v>40725</v>
      </c>
      <c r="I48" s="14">
        <v>44633</v>
      </c>
      <c r="J48" s="15" t="s">
        <v>712</v>
      </c>
      <c r="K48" s="15" t="s">
        <v>713</v>
      </c>
      <c r="L48" s="13" t="s">
        <v>667</v>
      </c>
      <c r="M48" s="15"/>
      <c r="N48" s="13"/>
      <c r="O48" s="13"/>
      <c r="P48" s="13"/>
      <c r="Q48" s="13"/>
      <c r="R48" s="13"/>
      <c r="S48" s="13"/>
      <c r="T48" s="13"/>
      <c r="U48" s="15"/>
    </row>
    <row r="49" spans="1:21" s="22" customFormat="1" ht="101.5" x14ac:dyDescent="0.35">
      <c r="A49" s="19" t="s">
        <v>663</v>
      </c>
      <c r="B49" s="19" t="s">
        <v>109</v>
      </c>
      <c r="C49" s="20">
        <v>45993.585416666669</v>
      </c>
      <c r="D49" s="19" t="s">
        <v>533</v>
      </c>
      <c r="E49" s="19" t="s">
        <v>654</v>
      </c>
      <c r="F49" s="21" t="s">
        <v>512</v>
      </c>
      <c r="G49" s="19" t="s">
        <v>706</v>
      </c>
      <c r="H49" s="20">
        <v>40725</v>
      </c>
      <c r="I49" s="20"/>
      <c r="J49" s="21" t="s">
        <v>712</v>
      </c>
      <c r="K49" s="21" t="s">
        <v>720</v>
      </c>
      <c r="L49" s="19" t="s">
        <v>667</v>
      </c>
      <c r="M49" s="21"/>
      <c r="N49" s="19"/>
      <c r="O49" s="19"/>
      <c r="P49" s="19"/>
      <c r="Q49" s="19"/>
      <c r="R49" s="19" t="s">
        <v>668</v>
      </c>
      <c r="S49" s="19"/>
      <c r="T49" s="19"/>
      <c r="U49" s="21"/>
    </row>
    <row r="50" spans="1:21" s="22" customFormat="1" ht="43.5" x14ac:dyDescent="0.35">
      <c r="A50" s="19" t="s">
        <v>663</v>
      </c>
      <c r="B50" s="19" t="s">
        <v>109</v>
      </c>
      <c r="C50" s="20">
        <v>45993.586111111108</v>
      </c>
      <c r="D50" s="19" t="s">
        <v>207</v>
      </c>
      <c r="E50" s="19" t="s">
        <v>654</v>
      </c>
      <c r="F50" s="21" t="s">
        <v>121</v>
      </c>
      <c r="G50" s="19" t="s">
        <v>682</v>
      </c>
      <c r="H50" s="20">
        <v>40725</v>
      </c>
      <c r="I50" s="20"/>
      <c r="J50" s="21" t="s">
        <v>712</v>
      </c>
      <c r="K50" s="21" t="s">
        <v>713</v>
      </c>
      <c r="L50" s="19" t="s">
        <v>667</v>
      </c>
      <c r="M50" s="21"/>
      <c r="N50" s="19"/>
      <c r="O50" s="19"/>
      <c r="P50" s="19"/>
      <c r="Q50" s="19"/>
      <c r="R50" s="19" t="s">
        <v>668</v>
      </c>
      <c r="S50" s="19"/>
      <c r="T50" s="19"/>
      <c r="U50" s="21"/>
    </row>
    <row r="51" spans="1:21" ht="43.5" x14ac:dyDescent="0.35">
      <c r="A51" s="13" t="s">
        <v>108</v>
      </c>
      <c r="B51" s="13" t="s">
        <v>109</v>
      </c>
      <c r="C51" s="14">
        <v>45805.692361111112</v>
      </c>
      <c r="D51" s="13" t="s">
        <v>210</v>
      </c>
      <c r="E51" s="13" t="s">
        <v>654</v>
      </c>
      <c r="F51" s="15" t="s">
        <v>127</v>
      </c>
      <c r="G51" s="13" t="s">
        <v>683</v>
      </c>
      <c r="H51" s="14">
        <v>40725</v>
      </c>
      <c r="I51" s="14">
        <v>45781</v>
      </c>
      <c r="J51" s="15" t="s">
        <v>712</v>
      </c>
      <c r="K51" s="15" t="s">
        <v>716</v>
      </c>
      <c r="L51" s="13" t="s">
        <v>667</v>
      </c>
      <c r="M51" s="15"/>
      <c r="N51" s="13"/>
      <c r="O51" s="13"/>
      <c r="P51" s="13"/>
      <c r="Q51" s="13"/>
      <c r="R51" s="13"/>
      <c r="S51" s="13"/>
      <c r="T51" s="13"/>
      <c r="U51" s="15"/>
    </row>
    <row r="52" spans="1:21" s="22" customFormat="1" ht="43.5" x14ac:dyDescent="0.35">
      <c r="A52" s="19" t="s">
        <v>663</v>
      </c>
      <c r="B52" s="19" t="s">
        <v>109</v>
      </c>
      <c r="C52" s="20">
        <v>45993.586805555555</v>
      </c>
      <c r="D52" s="19" t="s">
        <v>446</v>
      </c>
      <c r="E52" s="19" t="s">
        <v>654</v>
      </c>
      <c r="F52" s="21" t="s">
        <v>429</v>
      </c>
      <c r="G52" s="19" t="s">
        <v>700</v>
      </c>
      <c r="H52" s="20">
        <v>40725</v>
      </c>
      <c r="I52" s="20"/>
      <c r="J52" s="21" t="s">
        <v>712</v>
      </c>
      <c r="K52" s="21" t="s">
        <v>718</v>
      </c>
      <c r="L52" s="19" t="s">
        <v>667</v>
      </c>
      <c r="M52" s="21"/>
      <c r="N52" s="19"/>
      <c r="O52" s="19"/>
      <c r="P52" s="19"/>
      <c r="Q52" s="19"/>
      <c r="R52" s="19" t="s">
        <v>668</v>
      </c>
      <c r="S52" s="19"/>
      <c r="T52" s="19"/>
      <c r="U52" s="21"/>
    </row>
    <row r="53" spans="1:21" ht="72.5" x14ac:dyDescent="0.35">
      <c r="A53" s="13" t="s">
        <v>165</v>
      </c>
      <c r="B53" s="13" t="s">
        <v>109</v>
      </c>
      <c r="C53" s="14">
        <v>44715.631249999999</v>
      </c>
      <c r="D53" s="13" t="s">
        <v>543</v>
      </c>
      <c r="E53" s="13" t="s">
        <v>654</v>
      </c>
      <c r="F53" s="15" t="s">
        <v>544</v>
      </c>
      <c r="G53" s="13" t="s">
        <v>686</v>
      </c>
      <c r="H53" s="14">
        <v>40725</v>
      </c>
      <c r="I53" s="14">
        <v>44633</v>
      </c>
      <c r="J53" s="15" t="s">
        <v>712</v>
      </c>
      <c r="K53" s="15" t="s">
        <v>713</v>
      </c>
      <c r="L53" s="13" t="s">
        <v>667</v>
      </c>
      <c r="M53" s="15"/>
      <c r="N53" s="13"/>
      <c r="O53" s="13"/>
      <c r="P53" s="13"/>
      <c r="Q53" s="13"/>
      <c r="R53" s="13"/>
      <c r="S53" s="13"/>
      <c r="T53" s="13"/>
      <c r="U53" s="15"/>
    </row>
    <row r="54" spans="1:21" s="22" customFormat="1" ht="101.5" x14ac:dyDescent="0.35">
      <c r="A54" s="19" t="s">
        <v>663</v>
      </c>
      <c r="B54" s="19" t="s">
        <v>109</v>
      </c>
      <c r="C54" s="20">
        <v>45993.587500000001</v>
      </c>
      <c r="D54" s="19" t="s">
        <v>554</v>
      </c>
      <c r="E54" s="19" t="s">
        <v>654</v>
      </c>
      <c r="F54" s="21" t="s">
        <v>512</v>
      </c>
      <c r="G54" s="19" t="s">
        <v>701</v>
      </c>
      <c r="H54" s="20">
        <v>40725</v>
      </c>
      <c r="I54" s="20"/>
      <c r="J54" s="21" t="s">
        <v>712</v>
      </c>
      <c r="K54" s="21" t="s">
        <v>720</v>
      </c>
      <c r="L54" s="19" t="s">
        <v>667</v>
      </c>
      <c r="M54" s="21"/>
      <c r="N54" s="19"/>
      <c r="O54" s="19"/>
      <c r="P54" s="19"/>
      <c r="Q54" s="19"/>
      <c r="R54" s="19" t="s">
        <v>668</v>
      </c>
      <c r="S54" s="19"/>
      <c r="T54" s="19"/>
      <c r="U54" s="21"/>
    </row>
    <row r="55" spans="1:21" s="22" customFormat="1" ht="72.5" x14ac:dyDescent="0.35">
      <c r="A55" s="19" t="s">
        <v>663</v>
      </c>
      <c r="B55" s="19" t="s">
        <v>109</v>
      </c>
      <c r="C55" s="20">
        <v>45993.588194444441</v>
      </c>
      <c r="D55" s="19" t="s">
        <v>503</v>
      </c>
      <c r="E55" s="19" t="s">
        <v>654</v>
      </c>
      <c r="F55" s="21" t="s">
        <v>504</v>
      </c>
      <c r="G55" s="19" t="s">
        <v>697</v>
      </c>
      <c r="H55" s="20">
        <v>44634</v>
      </c>
      <c r="I55" s="20"/>
      <c r="J55" s="21" t="s">
        <v>665</v>
      </c>
      <c r="K55" s="21" t="s">
        <v>666</v>
      </c>
      <c r="L55" s="19" t="s">
        <v>667</v>
      </c>
      <c r="M55" s="21"/>
      <c r="N55" s="19" t="s">
        <v>721</v>
      </c>
      <c r="O55" s="19"/>
      <c r="P55" s="19"/>
      <c r="Q55" s="19"/>
      <c r="R55" s="19" t="s">
        <v>668</v>
      </c>
      <c r="S55" s="19"/>
      <c r="T55" s="19" t="s">
        <v>669</v>
      </c>
      <c r="U55" s="21" t="s">
        <v>670</v>
      </c>
    </row>
    <row r="56" spans="1:21" s="22" customFormat="1" ht="72.5" x14ac:dyDescent="0.35">
      <c r="A56" s="19" t="s">
        <v>663</v>
      </c>
      <c r="B56" s="19" t="s">
        <v>109</v>
      </c>
      <c r="C56" s="20">
        <v>45993.588888888888</v>
      </c>
      <c r="D56" s="19" t="s">
        <v>547</v>
      </c>
      <c r="E56" s="19" t="s">
        <v>654</v>
      </c>
      <c r="F56" s="21" t="s">
        <v>548</v>
      </c>
      <c r="G56" s="19" t="s">
        <v>701</v>
      </c>
      <c r="H56" s="20">
        <v>44634</v>
      </c>
      <c r="I56" s="20"/>
      <c r="J56" s="21" t="s">
        <v>665</v>
      </c>
      <c r="K56" s="21" t="s">
        <v>666</v>
      </c>
      <c r="L56" s="19" t="s">
        <v>667</v>
      </c>
      <c r="M56" s="21"/>
      <c r="N56" s="19" t="s">
        <v>722</v>
      </c>
      <c r="O56" s="19"/>
      <c r="P56" s="19"/>
      <c r="Q56" s="19"/>
      <c r="R56" s="19" t="s">
        <v>668</v>
      </c>
      <c r="S56" s="19"/>
      <c r="T56" s="19" t="s">
        <v>669</v>
      </c>
      <c r="U56" s="21" t="s">
        <v>670</v>
      </c>
    </row>
    <row r="57" spans="1:21" s="22" customFormat="1" ht="72.5" x14ac:dyDescent="0.35">
      <c r="A57" s="19" t="s">
        <v>663</v>
      </c>
      <c r="B57" s="19" t="s">
        <v>109</v>
      </c>
      <c r="C57" s="20">
        <v>45993.589583333334</v>
      </c>
      <c r="D57" s="19" t="s">
        <v>528</v>
      </c>
      <c r="E57" s="19" t="s">
        <v>654</v>
      </c>
      <c r="F57" s="21" t="s">
        <v>504</v>
      </c>
      <c r="G57" s="19" t="s">
        <v>706</v>
      </c>
      <c r="H57" s="20">
        <v>44634</v>
      </c>
      <c r="I57" s="20"/>
      <c r="J57" s="21" t="s">
        <v>665</v>
      </c>
      <c r="K57" s="21" t="s">
        <v>666</v>
      </c>
      <c r="L57" s="19" t="s">
        <v>667</v>
      </c>
      <c r="M57" s="21"/>
      <c r="N57" s="19" t="s">
        <v>723</v>
      </c>
      <c r="O57" s="19"/>
      <c r="P57" s="19"/>
      <c r="Q57" s="19"/>
      <c r="R57" s="19" t="s">
        <v>668</v>
      </c>
      <c r="S57" s="19"/>
      <c r="T57" s="19" t="s">
        <v>669</v>
      </c>
      <c r="U57" s="21" t="s">
        <v>670</v>
      </c>
    </row>
    <row r="58" spans="1:21" s="22" customFormat="1" ht="72.5" x14ac:dyDescent="0.35">
      <c r="A58" s="19" t="s">
        <v>663</v>
      </c>
      <c r="B58" s="19" t="s">
        <v>109</v>
      </c>
      <c r="C58" s="20">
        <v>45993.590277777781</v>
      </c>
      <c r="D58" s="19" t="s">
        <v>505</v>
      </c>
      <c r="E58" s="19" t="s">
        <v>654</v>
      </c>
      <c r="F58" s="21" t="s">
        <v>506</v>
      </c>
      <c r="G58" s="19" t="s">
        <v>697</v>
      </c>
      <c r="H58" s="20">
        <v>44634</v>
      </c>
      <c r="I58" s="20"/>
      <c r="J58" s="21" t="s">
        <v>712</v>
      </c>
      <c r="K58" s="21" t="s">
        <v>713</v>
      </c>
      <c r="L58" s="19" t="s">
        <v>667</v>
      </c>
      <c r="M58" s="21"/>
      <c r="N58" s="19" t="s">
        <v>721</v>
      </c>
      <c r="O58" s="19"/>
      <c r="P58" s="19"/>
      <c r="Q58" s="19"/>
      <c r="R58" s="19" t="s">
        <v>668</v>
      </c>
      <c r="S58" s="19"/>
      <c r="T58" s="19"/>
      <c r="U58" s="21"/>
    </row>
    <row r="59" spans="1:21" s="22" customFormat="1" ht="72.5" x14ac:dyDescent="0.35">
      <c r="A59" s="19" t="s">
        <v>663</v>
      </c>
      <c r="B59" s="19" t="s">
        <v>109</v>
      </c>
      <c r="C59" s="20">
        <v>45993.59097222222</v>
      </c>
      <c r="D59" s="19" t="s">
        <v>529</v>
      </c>
      <c r="E59" s="19" t="s">
        <v>654</v>
      </c>
      <c r="F59" s="21" t="s">
        <v>506</v>
      </c>
      <c r="G59" s="19" t="s">
        <v>706</v>
      </c>
      <c r="H59" s="20">
        <v>44634</v>
      </c>
      <c r="I59" s="20"/>
      <c r="J59" s="21" t="s">
        <v>712</v>
      </c>
      <c r="K59" s="21" t="s">
        <v>713</v>
      </c>
      <c r="L59" s="19" t="s">
        <v>667</v>
      </c>
      <c r="M59" s="21"/>
      <c r="N59" s="19" t="s">
        <v>723</v>
      </c>
      <c r="O59" s="19"/>
      <c r="P59" s="19"/>
      <c r="Q59" s="19"/>
      <c r="R59" s="19" t="s">
        <v>668</v>
      </c>
      <c r="S59" s="19"/>
      <c r="T59" s="19"/>
      <c r="U59" s="21"/>
    </row>
    <row r="60" spans="1:21" s="22" customFormat="1" ht="72.5" x14ac:dyDescent="0.35">
      <c r="A60" s="19" t="s">
        <v>663</v>
      </c>
      <c r="B60" s="19" t="s">
        <v>109</v>
      </c>
      <c r="C60" s="20">
        <v>45993.599305555559</v>
      </c>
      <c r="D60" s="19" t="s">
        <v>549</v>
      </c>
      <c r="E60" s="19" t="s">
        <v>654</v>
      </c>
      <c r="F60" s="21" t="s">
        <v>550</v>
      </c>
      <c r="G60" s="19" t="s">
        <v>701</v>
      </c>
      <c r="H60" s="20">
        <v>44634</v>
      </c>
      <c r="I60" s="20"/>
      <c r="J60" s="21" t="s">
        <v>712</v>
      </c>
      <c r="K60" s="21" t="s">
        <v>713</v>
      </c>
      <c r="L60" s="19" t="s">
        <v>667</v>
      </c>
      <c r="M60" s="21"/>
      <c r="N60" s="19" t="s">
        <v>722</v>
      </c>
      <c r="O60" s="19"/>
      <c r="P60" s="19"/>
      <c r="Q60" s="19"/>
      <c r="R60" s="19" t="s">
        <v>668</v>
      </c>
      <c r="S60" s="19"/>
      <c r="T60" s="19"/>
      <c r="U60" s="21"/>
    </row>
    <row r="61" spans="1:21" s="22" customFormat="1" ht="58" x14ac:dyDescent="0.35">
      <c r="A61" s="19" t="s">
        <v>663</v>
      </c>
      <c r="B61" s="19" t="s">
        <v>109</v>
      </c>
      <c r="C61" s="20">
        <v>45993.599999999999</v>
      </c>
      <c r="D61" s="19" t="s">
        <v>157</v>
      </c>
      <c r="E61" s="19" t="s">
        <v>654</v>
      </c>
      <c r="F61" s="21" t="s">
        <v>158</v>
      </c>
      <c r="G61" s="19" t="s">
        <v>664</v>
      </c>
      <c r="H61" s="20">
        <v>45782</v>
      </c>
      <c r="I61" s="20"/>
      <c r="J61" s="21" t="s">
        <v>665</v>
      </c>
      <c r="K61" s="21" t="s">
        <v>724</v>
      </c>
      <c r="L61" s="19" t="s">
        <v>667</v>
      </c>
      <c r="M61" s="21"/>
      <c r="N61" s="19" t="s">
        <v>725</v>
      </c>
      <c r="O61" s="19"/>
      <c r="P61" s="19"/>
      <c r="Q61" s="19"/>
      <c r="R61" s="19" t="s">
        <v>668</v>
      </c>
      <c r="S61" s="19"/>
      <c r="T61" s="19" t="s">
        <v>669</v>
      </c>
      <c r="U61" s="21" t="s">
        <v>726</v>
      </c>
    </row>
    <row r="62" spans="1:21" s="22" customFormat="1" ht="43.5" x14ac:dyDescent="0.35">
      <c r="A62" s="19" t="s">
        <v>663</v>
      </c>
      <c r="B62" s="19" t="s">
        <v>109</v>
      </c>
      <c r="C62" s="20">
        <v>45993.600694444445</v>
      </c>
      <c r="D62" s="19" t="s">
        <v>159</v>
      </c>
      <c r="E62" s="19" t="s">
        <v>654</v>
      </c>
      <c r="F62" s="21" t="s">
        <v>160</v>
      </c>
      <c r="G62" s="19" t="s">
        <v>664</v>
      </c>
      <c r="H62" s="20">
        <v>45782</v>
      </c>
      <c r="I62" s="20"/>
      <c r="J62" s="21" t="s">
        <v>712</v>
      </c>
      <c r="K62" s="21" t="s">
        <v>727</v>
      </c>
      <c r="L62" s="19" t="s">
        <v>667</v>
      </c>
      <c r="M62" s="21"/>
      <c r="N62" s="19" t="s">
        <v>728</v>
      </c>
      <c r="O62" s="19"/>
      <c r="P62" s="19"/>
      <c r="Q62" s="19"/>
      <c r="R62" s="19" t="s">
        <v>668</v>
      </c>
      <c r="S62" s="19"/>
      <c r="T62" s="19"/>
      <c r="U62" s="21"/>
    </row>
    <row r="63" spans="1:21" ht="116" x14ac:dyDescent="0.35">
      <c r="A63" s="13" t="s">
        <v>76</v>
      </c>
      <c r="B63" s="13" t="s">
        <v>77</v>
      </c>
      <c r="C63" s="14">
        <v>43662.665277777778</v>
      </c>
      <c r="D63" s="13" t="s">
        <v>134</v>
      </c>
      <c r="E63" s="13" t="s">
        <v>729</v>
      </c>
      <c r="F63" s="15" t="s">
        <v>135</v>
      </c>
      <c r="G63" s="13"/>
      <c r="H63" s="14">
        <v>40725</v>
      </c>
      <c r="I63" s="14"/>
      <c r="J63" s="15" t="s">
        <v>665</v>
      </c>
      <c r="K63" s="15" t="s">
        <v>730</v>
      </c>
      <c r="L63" s="13" t="s">
        <v>667</v>
      </c>
      <c r="M63" s="15"/>
      <c r="N63" s="13"/>
      <c r="O63" s="13" t="s">
        <v>731</v>
      </c>
      <c r="P63" s="13"/>
      <c r="Q63" s="13"/>
      <c r="R63" s="13"/>
      <c r="S63" s="13"/>
      <c r="T63" s="13"/>
      <c r="U63" s="15"/>
    </row>
    <row r="64" spans="1:21" ht="101.5" x14ac:dyDescent="0.35">
      <c r="A64" s="13" t="s">
        <v>76</v>
      </c>
      <c r="B64" s="13" t="s">
        <v>77</v>
      </c>
      <c r="C64" s="14">
        <v>43662.665972222225</v>
      </c>
      <c r="D64" s="13" t="s">
        <v>130</v>
      </c>
      <c r="E64" s="13" t="s">
        <v>729</v>
      </c>
      <c r="F64" s="15" t="s">
        <v>131</v>
      </c>
      <c r="G64" s="13"/>
      <c r="H64" s="14">
        <v>40725</v>
      </c>
      <c r="I64" s="14"/>
      <c r="J64" s="15"/>
      <c r="K64" s="15" t="s">
        <v>732</v>
      </c>
      <c r="L64" s="13" t="s">
        <v>667</v>
      </c>
      <c r="M64" s="15"/>
      <c r="N64" s="13"/>
      <c r="O64" s="13" t="s">
        <v>733</v>
      </c>
      <c r="P64" s="13"/>
      <c r="Q64" s="13"/>
      <c r="R64" s="13"/>
      <c r="S64" s="13"/>
      <c r="T64" s="13"/>
      <c r="U64" s="15"/>
    </row>
    <row r="65" spans="1:21" ht="43.5" x14ac:dyDescent="0.35">
      <c r="A65" s="13" t="s">
        <v>76</v>
      </c>
      <c r="B65" s="13" t="s">
        <v>77</v>
      </c>
      <c r="C65" s="14">
        <v>43152.5</v>
      </c>
      <c r="D65" s="13" t="s">
        <v>213</v>
      </c>
      <c r="E65" s="13" t="s">
        <v>729</v>
      </c>
      <c r="F65" s="15" t="s">
        <v>214</v>
      </c>
      <c r="G65" s="13"/>
      <c r="H65" s="14">
        <v>40725</v>
      </c>
      <c r="I65" s="14"/>
      <c r="J65" s="15" t="s">
        <v>734</v>
      </c>
      <c r="K65" s="15" t="s">
        <v>735</v>
      </c>
      <c r="L65" s="13" t="s">
        <v>667</v>
      </c>
      <c r="M65" s="15"/>
      <c r="N65" s="13"/>
      <c r="O65" s="13" t="s">
        <v>736</v>
      </c>
      <c r="P65" s="13"/>
      <c r="Q65" s="13"/>
      <c r="R65" s="13"/>
      <c r="S65" s="13"/>
      <c r="T65" s="13"/>
      <c r="U65" s="15"/>
    </row>
    <row r="66" spans="1:21" ht="101.5" x14ac:dyDescent="0.35">
      <c r="A66" s="13" t="s">
        <v>76</v>
      </c>
      <c r="B66" s="13" t="s">
        <v>77</v>
      </c>
      <c r="C66" s="14">
        <v>44895.470833333333</v>
      </c>
      <c r="D66" s="13" t="s">
        <v>140</v>
      </c>
      <c r="E66" s="13" t="s">
        <v>729</v>
      </c>
      <c r="F66" s="15" t="s">
        <v>141</v>
      </c>
      <c r="G66" s="13"/>
      <c r="H66" s="14">
        <v>40725</v>
      </c>
      <c r="I66" s="14"/>
      <c r="J66" s="15" t="s">
        <v>712</v>
      </c>
      <c r="K66" s="15" t="s">
        <v>737</v>
      </c>
      <c r="L66" s="13" t="s">
        <v>738</v>
      </c>
      <c r="M66" s="15" t="s">
        <v>739</v>
      </c>
      <c r="N66" s="13"/>
      <c r="O66" s="13" t="s">
        <v>740</v>
      </c>
      <c r="P66" s="13"/>
      <c r="Q66" s="13"/>
      <c r="R66" s="13"/>
      <c r="S66" s="13"/>
      <c r="T66" s="13"/>
      <c r="U66" s="15"/>
    </row>
    <row r="67" spans="1:21" ht="43.5" x14ac:dyDescent="0.35">
      <c r="A67" s="13" t="s">
        <v>76</v>
      </c>
      <c r="B67" s="13" t="s">
        <v>77</v>
      </c>
      <c r="C67" s="14">
        <v>43152.5</v>
      </c>
      <c r="D67" s="13" t="s">
        <v>211</v>
      </c>
      <c r="E67" s="13" t="s">
        <v>729</v>
      </c>
      <c r="F67" s="15" t="s">
        <v>212</v>
      </c>
      <c r="G67" s="13"/>
      <c r="H67" s="14">
        <v>40725</v>
      </c>
      <c r="I67" s="14"/>
      <c r="J67" s="15"/>
      <c r="K67" s="15" t="s">
        <v>741</v>
      </c>
      <c r="L67" s="13" t="s">
        <v>667</v>
      </c>
      <c r="M67" s="15"/>
      <c r="N67" s="13"/>
      <c r="O67" s="13" t="s">
        <v>742</v>
      </c>
      <c r="P67" s="13"/>
      <c r="Q67" s="13"/>
      <c r="R67" s="13"/>
      <c r="S67" s="13"/>
      <c r="T67" s="13"/>
      <c r="U67" s="15"/>
    </row>
    <row r="68" spans="1:21" ht="101.5" x14ac:dyDescent="0.35">
      <c r="A68" s="13" t="s">
        <v>76</v>
      </c>
      <c r="B68" s="13" t="s">
        <v>77</v>
      </c>
      <c r="C68" s="14">
        <v>43662.667361111111</v>
      </c>
      <c r="D68" s="13" t="s">
        <v>136</v>
      </c>
      <c r="E68" s="13" t="s">
        <v>729</v>
      </c>
      <c r="F68" s="15" t="s">
        <v>137</v>
      </c>
      <c r="G68" s="13"/>
      <c r="H68" s="14">
        <v>40725</v>
      </c>
      <c r="I68" s="14"/>
      <c r="J68" s="15" t="s">
        <v>712</v>
      </c>
      <c r="K68" s="15" t="s">
        <v>743</v>
      </c>
      <c r="L68" s="13" t="s">
        <v>667</v>
      </c>
      <c r="M68" s="15"/>
      <c r="N68" s="13"/>
      <c r="O68" s="13" t="s">
        <v>733</v>
      </c>
      <c r="P68" s="13"/>
      <c r="Q68" s="13"/>
      <c r="R68" s="13"/>
      <c r="S68" s="13"/>
      <c r="T68" s="13"/>
      <c r="U68" s="15"/>
    </row>
    <row r="69" spans="1:21" ht="101.5" x14ac:dyDescent="0.35">
      <c r="A69" s="13" t="s">
        <v>76</v>
      </c>
      <c r="B69" s="13" t="s">
        <v>77</v>
      </c>
      <c r="C69" s="14">
        <v>43662.674305555556</v>
      </c>
      <c r="D69" s="13" t="s">
        <v>138</v>
      </c>
      <c r="E69" s="13" t="s">
        <v>729</v>
      </c>
      <c r="F69" s="15" t="s">
        <v>139</v>
      </c>
      <c r="G69" s="13"/>
      <c r="H69" s="14">
        <v>40725</v>
      </c>
      <c r="I69" s="14"/>
      <c r="J69" s="15" t="s">
        <v>665</v>
      </c>
      <c r="K69" s="15" t="s">
        <v>744</v>
      </c>
      <c r="L69" s="13" t="s">
        <v>738</v>
      </c>
      <c r="M69" s="15" t="s">
        <v>739</v>
      </c>
      <c r="N69" s="13"/>
      <c r="O69" s="13" t="s">
        <v>745</v>
      </c>
      <c r="P69" s="13"/>
      <c r="Q69" s="13"/>
      <c r="R69" s="13"/>
      <c r="S69" s="13"/>
      <c r="T69" s="13"/>
      <c r="U69" s="15"/>
    </row>
    <row r="70" spans="1:21" ht="101.5" x14ac:dyDescent="0.35">
      <c r="A70" s="13" t="s">
        <v>76</v>
      </c>
      <c r="B70" s="13" t="s">
        <v>77</v>
      </c>
      <c r="C70" s="14">
        <v>43152.5</v>
      </c>
      <c r="D70" s="13" t="s">
        <v>132</v>
      </c>
      <c r="E70" s="13" t="s">
        <v>729</v>
      </c>
      <c r="F70" s="15" t="s">
        <v>133</v>
      </c>
      <c r="G70" s="13"/>
      <c r="H70" s="14">
        <v>40725</v>
      </c>
      <c r="I70" s="14"/>
      <c r="J70" s="15" t="s">
        <v>746</v>
      </c>
      <c r="K70" s="15" t="s">
        <v>747</v>
      </c>
      <c r="L70" s="13" t="s">
        <v>667</v>
      </c>
      <c r="M70" s="15" t="s">
        <v>748</v>
      </c>
      <c r="N70" s="13"/>
      <c r="O70" s="13" t="s">
        <v>749</v>
      </c>
      <c r="P70" s="13"/>
      <c r="Q70" s="13"/>
      <c r="R70" s="13"/>
      <c r="S70" s="13"/>
      <c r="T70" s="13"/>
      <c r="U70" s="15"/>
    </row>
    <row r="71" spans="1:21" x14ac:dyDescent="0.35">
      <c r="A71" s="13" t="s">
        <v>76</v>
      </c>
      <c r="B71" s="13" t="s">
        <v>77</v>
      </c>
      <c r="C71" s="14">
        <v>43152.5</v>
      </c>
      <c r="D71" s="13" t="s">
        <v>144</v>
      </c>
      <c r="E71" s="13" t="s">
        <v>729</v>
      </c>
      <c r="F71" s="15" t="s">
        <v>145</v>
      </c>
      <c r="G71" s="13"/>
      <c r="H71" s="14">
        <v>40725</v>
      </c>
      <c r="I71" s="14"/>
      <c r="J71" s="15"/>
      <c r="K71" s="15" t="s">
        <v>750</v>
      </c>
      <c r="L71" s="13" t="s">
        <v>667</v>
      </c>
      <c r="M71" s="15"/>
      <c r="N71" s="13"/>
      <c r="O71" s="13"/>
      <c r="P71" s="13"/>
      <c r="Q71" s="13"/>
      <c r="R71" s="13"/>
      <c r="S71" s="13"/>
      <c r="T71" s="13"/>
      <c r="U71" s="15"/>
    </row>
    <row r="72" spans="1:21" ht="29" x14ac:dyDescent="0.35">
      <c r="A72" s="13" t="s">
        <v>76</v>
      </c>
      <c r="B72" s="13" t="s">
        <v>77</v>
      </c>
      <c r="C72" s="14">
        <v>43152.5</v>
      </c>
      <c r="D72" s="13" t="s">
        <v>146</v>
      </c>
      <c r="E72" s="13" t="s">
        <v>729</v>
      </c>
      <c r="F72" s="15" t="s">
        <v>147</v>
      </c>
      <c r="G72" s="13"/>
      <c r="H72" s="14">
        <v>40725</v>
      </c>
      <c r="I72" s="14"/>
      <c r="J72" s="15"/>
      <c r="K72" s="15" t="s">
        <v>751</v>
      </c>
      <c r="L72" s="13" t="s">
        <v>667</v>
      </c>
      <c r="M72" s="15"/>
      <c r="N72" s="13"/>
      <c r="O72" s="13"/>
      <c r="P72" s="13"/>
      <c r="Q72" s="13"/>
      <c r="R72" s="13"/>
      <c r="S72" s="13"/>
      <c r="T72" s="13"/>
      <c r="U72" s="15"/>
    </row>
    <row r="73" spans="1:21" ht="29" x14ac:dyDescent="0.35">
      <c r="A73" s="13" t="s">
        <v>76</v>
      </c>
      <c r="B73" s="13" t="s">
        <v>77</v>
      </c>
      <c r="C73" s="14">
        <v>43178.390972222223</v>
      </c>
      <c r="D73" s="13" t="s">
        <v>389</v>
      </c>
      <c r="E73" s="13" t="s">
        <v>729</v>
      </c>
      <c r="F73" s="15" t="s">
        <v>390</v>
      </c>
      <c r="G73" s="13"/>
      <c r="H73" s="14">
        <v>40725</v>
      </c>
      <c r="I73" s="14"/>
      <c r="J73" s="15"/>
      <c r="K73" s="15" t="s">
        <v>752</v>
      </c>
      <c r="L73" s="13" t="s">
        <v>667</v>
      </c>
      <c r="M73" s="15"/>
      <c r="N73" s="13"/>
      <c r="O73" s="13"/>
      <c r="P73" s="13"/>
      <c r="Q73" s="13"/>
      <c r="R73" s="13"/>
      <c r="S73" s="13"/>
      <c r="T73" s="13" t="s">
        <v>669</v>
      </c>
      <c r="U73" s="15" t="s">
        <v>753</v>
      </c>
    </row>
    <row r="74" spans="1:21" ht="43.5" x14ac:dyDescent="0.35">
      <c r="A74" s="13" t="s">
        <v>76</v>
      </c>
      <c r="B74" s="13" t="s">
        <v>77</v>
      </c>
      <c r="C74" s="14">
        <v>43152.5</v>
      </c>
      <c r="D74" s="13" t="s">
        <v>148</v>
      </c>
      <c r="E74" s="13" t="s">
        <v>729</v>
      </c>
      <c r="F74" s="15" t="s">
        <v>149</v>
      </c>
      <c r="G74" s="13"/>
      <c r="H74" s="14">
        <v>40725</v>
      </c>
      <c r="I74" s="14"/>
      <c r="J74" s="15" t="s">
        <v>754</v>
      </c>
      <c r="K74" s="15" t="s">
        <v>755</v>
      </c>
      <c r="L74" s="13" t="s">
        <v>667</v>
      </c>
      <c r="M74" s="15"/>
      <c r="N74" s="13"/>
      <c r="O74" s="13"/>
      <c r="P74" s="13"/>
      <c r="Q74" s="13"/>
      <c r="R74" s="13"/>
      <c r="S74" s="13"/>
      <c r="T74" s="13"/>
      <c r="U74" s="15"/>
    </row>
    <row r="75" spans="1:21" ht="58" x14ac:dyDescent="0.35">
      <c r="A75" s="13" t="s">
        <v>76</v>
      </c>
      <c r="B75" s="13" t="s">
        <v>77</v>
      </c>
      <c r="C75" s="14">
        <v>43152.5</v>
      </c>
      <c r="D75" s="13" t="s">
        <v>150</v>
      </c>
      <c r="E75" s="13" t="s">
        <v>729</v>
      </c>
      <c r="F75" s="15" t="s">
        <v>151</v>
      </c>
      <c r="G75" s="13"/>
      <c r="H75" s="14">
        <v>40725</v>
      </c>
      <c r="I75" s="14"/>
      <c r="J75" s="15" t="s">
        <v>756</v>
      </c>
      <c r="K75" s="15" t="s">
        <v>757</v>
      </c>
      <c r="L75" s="13" t="s">
        <v>667</v>
      </c>
      <c r="M75" s="15"/>
      <c r="N75" s="13"/>
      <c r="O75" s="13"/>
      <c r="P75" s="13"/>
      <c r="Q75" s="13"/>
      <c r="R75" s="13"/>
      <c r="S75" s="13"/>
      <c r="T75" s="13"/>
      <c r="U75" s="15"/>
    </row>
    <row r="76" spans="1:21" ht="87" x14ac:dyDescent="0.35">
      <c r="A76" s="13" t="s">
        <v>758</v>
      </c>
      <c r="B76" s="13" t="s">
        <v>109</v>
      </c>
      <c r="C76" s="14">
        <v>43689.618055555555</v>
      </c>
      <c r="D76" s="13" t="s">
        <v>128</v>
      </c>
      <c r="E76" s="13" t="s">
        <v>729</v>
      </c>
      <c r="F76" s="15" t="s">
        <v>129</v>
      </c>
      <c r="G76" s="13"/>
      <c r="H76" s="14">
        <v>40725</v>
      </c>
      <c r="I76" s="14"/>
      <c r="J76" s="15"/>
      <c r="K76" s="15" t="s">
        <v>759</v>
      </c>
      <c r="L76" s="13" t="s">
        <v>738</v>
      </c>
      <c r="M76" s="15" t="s">
        <v>760</v>
      </c>
      <c r="N76" s="13"/>
      <c r="O76" s="13" t="s">
        <v>761</v>
      </c>
      <c r="P76" s="13"/>
      <c r="Q76" s="13"/>
      <c r="R76" s="13"/>
      <c r="S76" s="13"/>
      <c r="T76" s="13" t="s">
        <v>669</v>
      </c>
      <c r="U76" s="15" t="s">
        <v>129</v>
      </c>
    </row>
    <row r="77" spans="1:21" ht="43.5" x14ac:dyDescent="0.35">
      <c r="A77" s="13" t="s">
        <v>76</v>
      </c>
      <c r="B77" s="13" t="s">
        <v>77</v>
      </c>
      <c r="C77" s="14">
        <v>43152.5</v>
      </c>
      <c r="D77" s="13" t="s">
        <v>215</v>
      </c>
      <c r="E77" s="13" t="s">
        <v>729</v>
      </c>
      <c r="F77" s="15" t="s">
        <v>216</v>
      </c>
      <c r="G77" s="13"/>
      <c r="H77" s="14">
        <v>40725</v>
      </c>
      <c r="I77" s="14"/>
      <c r="J77" s="15" t="s">
        <v>762</v>
      </c>
      <c r="K77" s="15" t="s">
        <v>763</v>
      </c>
      <c r="L77" s="13" t="s">
        <v>667</v>
      </c>
      <c r="M77" s="15"/>
      <c r="N77" s="13"/>
      <c r="O77" s="13" t="s">
        <v>764</v>
      </c>
      <c r="P77" s="13"/>
      <c r="Q77" s="13"/>
      <c r="R77" s="13"/>
      <c r="S77" s="13"/>
      <c r="T77" s="13"/>
      <c r="U77" s="15"/>
    </row>
    <row r="78" spans="1:21" ht="101.5" x14ac:dyDescent="0.35">
      <c r="A78" s="13" t="s">
        <v>76</v>
      </c>
      <c r="B78" s="13" t="s">
        <v>77</v>
      </c>
      <c r="C78" s="14">
        <v>43662.668749999997</v>
      </c>
      <c r="D78" s="13" t="s">
        <v>142</v>
      </c>
      <c r="E78" s="13" t="s">
        <v>729</v>
      </c>
      <c r="F78" s="15" t="s">
        <v>143</v>
      </c>
      <c r="G78" s="13"/>
      <c r="H78" s="14">
        <v>40725</v>
      </c>
      <c r="I78" s="14"/>
      <c r="J78" s="15"/>
      <c r="K78" s="15" t="s">
        <v>765</v>
      </c>
      <c r="L78" s="13" t="s">
        <v>667</v>
      </c>
      <c r="M78" s="15"/>
      <c r="N78" s="13"/>
      <c r="O78" s="13" t="s">
        <v>766</v>
      </c>
      <c r="P78" s="13"/>
      <c r="Q78" s="13"/>
      <c r="R78" s="13"/>
      <c r="S78" s="13"/>
      <c r="T78" s="13"/>
      <c r="U78" s="15"/>
    </row>
    <row r="79" spans="1:21" ht="29" x14ac:dyDescent="0.35">
      <c r="A79" s="13" t="s">
        <v>238</v>
      </c>
      <c r="B79" s="13" t="s">
        <v>77</v>
      </c>
      <c r="C79" s="14">
        <v>44321.754861111112</v>
      </c>
      <c r="D79" s="13" t="s">
        <v>152</v>
      </c>
      <c r="E79" s="13" t="s">
        <v>729</v>
      </c>
      <c r="F79" s="15" t="s">
        <v>153</v>
      </c>
      <c r="G79" s="13"/>
      <c r="H79" s="14">
        <v>40725</v>
      </c>
      <c r="I79" s="14"/>
      <c r="J79" s="15" t="s">
        <v>767</v>
      </c>
      <c r="K79" s="15" t="s">
        <v>768</v>
      </c>
      <c r="L79" s="13" t="s">
        <v>667</v>
      </c>
      <c r="M79" s="15"/>
      <c r="N79" s="13"/>
      <c r="O79" s="13" t="s">
        <v>769</v>
      </c>
      <c r="P79" s="13"/>
      <c r="Q79" s="13"/>
      <c r="R79" s="13"/>
      <c r="S79" s="13"/>
      <c r="T79" s="13" t="s">
        <v>669</v>
      </c>
      <c r="U79" s="15" t="s">
        <v>770</v>
      </c>
    </row>
    <row r="80" spans="1:21" ht="29" x14ac:dyDescent="0.35">
      <c r="A80" s="13" t="s">
        <v>238</v>
      </c>
      <c r="B80" s="13" t="s">
        <v>77</v>
      </c>
      <c r="C80" s="14">
        <v>44368.459027777775</v>
      </c>
      <c r="D80" s="13" t="s">
        <v>154</v>
      </c>
      <c r="E80" s="13" t="s">
        <v>729</v>
      </c>
      <c r="F80" s="15" t="s">
        <v>155</v>
      </c>
      <c r="G80" s="13"/>
      <c r="H80" s="14">
        <v>40725</v>
      </c>
      <c r="I80" s="14"/>
      <c r="J80" s="15" t="s">
        <v>771</v>
      </c>
      <c r="K80" s="15" t="s">
        <v>772</v>
      </c>
      <c r="L80" s="13" t="s">
        <v>667</v>
      </c>
      <c r="M80" s="15"/>
      <c r="N80" s="13"/>
      <c r="O80" s="13" t="s">
        <v>769</v>
      </c>
      <c r="P80" s="13"/>
      <c r="Q80" s="13"/>
      <c r="R80" s="13"/>
      <c r="S80" s="13"/>
      <c r="T80" s="13"/>
      <c r="U80" s="15"/>
    </row>
    <row r="81" spans="1:21" s="22" customFormat="1" ht="29" x14ac:dyDescent="0.35">
      <c r="A81" s="19" t="s">
        <v>663</v>
      </c>
      <c r="B81" s="19" t="s">
        <v>109</v>
      </c>
      <c r="C81" s="20">
        <v>45993.61041666667</v>
      </c>
      <c r="D81" s="19" t="s">
        <v>114</v>
      </c>
      <c r="E81" s="19" t="s">
        <v>773</v>
      </c>
      <c r="F81" s="21" t="s">
        <v>115</v>
      </c>
      <c r="G81" s="19" t="s">
        <v>664</v>
      </c>
      <c r="H81" s="20">
        <v>40725</v>
      </c>
      <c r="I81" s="20"/>
      <c r="J81" s="21"/>
      <c r="K81" s="21"/>
      <c r="L81" s="19" t="s">
        <v>738</v>
      </c>
      <c r="M81" s="21"/>
      <c r="N81" s="19"/>
      <c r="O81" s="19"/>
      <c r="P81" s="19"/>
      <c r="Q81" s="19"/>
      <c r="R81" s="19" t="s">
        <v>668</v>
      </c>
      <c r="S81" s="19"/>
      <c r="T81" s="19" t="s">
        <v>669</v>
      </c>
      <c r="U81" s="21" t="s">
        <v>115</v>
      </c>
    </row>
    <row r="82" spans="1:21" s="22" customFormat="1" ht="29" x14ac:dyDescent="0.35">
      <c r="A82" s="19" t="s">
        <v>663</v>
      </c>
      <c r="B82" s="19" t="s">
        <v>109</v>
      </c>
      <c r="C82" s="20">
        <v>45993.613194444442</v>
      </c>
      <c r="D82" s="19" t="s">
        <v>116</v>
      </c>
      <c r="E82" s="19" t="s">
        <v>773</v>
      </c>
      <c r="F82" s="21" t="s">
        <v>117</v>
      </c>
      <c r="G82" s="19" t="s">
        <v>664</v>
      </c>
      <c r="H82" s="20">
        <v>40725</v>
      </c>
      <c r="I82" s="20"/>
      <c r="J82" s="21"/>
      <c r="K82" s="21"/>
      <c r="L82" s="19" t="s">
        <v>738</v>
      </c>
      <c r="M82" s="21"/>
      <c r="N82" s="19"/>
      <c r="O82" s="19"/>
      <c r="P82" s="19"/>
      <c r="Q82" s="19"/>
      <c r="R82" s="19" t="s">
        <v>668</v>
      </c>
      <c r="S82" s="19"/>
      <c r="T82" s="19" t="s">
        <v>669</v>
      </c>
      <c r="U82" s="21" t="s">
        <v>117</v>
      </c>
    </row>
    <row r="83" spans="1:21" s="22" customFormat="1" ht="29" x14ac:dyDescent="0.35">
      <c r="A83" s="19" t="s">
        <v>663</v>
      </c>
      <c r="B83" s="19" t="s">
        <v>109</v>
      </c>
      <c r="C83" s="20">
        <v>45993.613194444442</v>
      </c>
      <c r="D83" s="19" t="s">
        <v>162</v>
      </c>
      <c r="E83" s="19" t="s">
        <v>773</v>
      </c>
      <c r="F83" s="21" t="s">
        <v>163</v>
      </c>
      <c r="G83" s="19" t="s">
        <v>664</v>
      </c>
      <c r="H83" s="20">
        <v>40725</v>
      </c>
      <c r="I83" s="20"/>
      <c r="J83" s="21"/>
      <c r="K83" s="21"/>
      <c r="L83" s="19" t="s">
        <v>738</v>
      </c>
      <c r="M83" s="21"/>
      <c r="N83" s="19"/>
      <c r="O83" s="19"/>
      <c r="P83" s="19"/>
      <c r="Q83" s="19"/>
      <c r="R83" s="19" t="s">
        <v>668</v>
      </c>
      <c r="S83" s="19"/>
      <c r="T83" s="19" t="s">
        <v>669</v>
      </c>
      <c r="U83" s="21" t="s">
        <v>163</v>
      </c>
    </row>
    <row r="84" spans="1:21" s="22" customFormat="1" ht="29" x14ac:dyDescent="0.35">
      <c r="A84" s="19" t="s">
        <v>663</v>
      </c>
      <c r="B84" s="19" t="s">
        <v>109</v>
      </c>
      <c r="C84" s="20">
        <v>45993.613194444442</v>
      </c>
      <c r="D84" s="19" t="s">
        <v>401</v>
      </c>
      <c r="E84" s="19" t="s">
        <v>773</v>
      </c>
      <c r="F84" s="21" t="s">
        <v>115</v>
      </c>
      <c r="G84" s="19" t="s">
        <v>774</v>
      </c>
      <c r="H84" s="20">
        <v>40725</v>
      </c>
      <c r="I84" s="20"/>
      <c r="J84" s="21"/>
      <c r="K84" s="21"/>
      <c r="L84" s="19" t="s">
        <v>738</v>
      </c>
      <c r="M84" s="21"/>
      <c r="N84" s="19"/>
      <c r="O84" s="19"/>
      <c r="P84" s="19"/>
      <c r="Q84" s="19"/>
      <c r="R84" s="19" t="s">
        <v>668</v>
      </c>
      <c r="S84" s="19"/>
      <c r="T84" s="19" t="s">
        <v>669</v>
      </c>
      <c r="U84" s="21" t="s">
        <v>115</v>
      </c>
    </row>
    <row r="85" spans="1:21" s="22" customFormat="1" ht="29" x14ac:dyDescent="0.35">
      <c r="A85" s="19" t="s">
        <v>663</v>
      </c>
      <c r="B85" s="19" t="s">
        <v>109</v>
      </c>
      <c r="C85" s="20">
        <v>45993.614583333336</v>
      </c>
      <c r="D85" s="19" t="s">
        <v>402</v>
      </c>
      <c r="E85" s="19" t="s">
        <v>773</v>
      </c>
      <c r="F85" s="21" t="s">
        <v>117</v>
      </c>
      <c r="G85" s="19" t="s">
        <v>774</v>
      </c>
      <c r="H85" s="20">
        <v>40725</v>
      </c>
      <c r="I85" s="20"/>
      <c r="J85" s="21"/>
      <c r="K85" s="21"/>
      <c r="L85" s="19" t="s">
        <v>738</v>
      </c>
      <c r="M85" s="21"/>
      <c r="N85" s="19"/>
      <c r="O85" s="19"/>
      <c r="P85" s="19"/>
      <c r="Q85" s="19"/>
      <c r="R85" s="19" t="s">
        <v>668</v>
      </c>
      <c r="S85" s="19"/>
      <c r="T85" s="19" t="s">
        <v>669</v>
      </c>
      <c r="U85" s="21" t="s">
        <v>117</v>
      </c>
    </row>
    <row r="86" spans="1:21" s="22" customFormat="1" ht="29" x14ac:dyDescent="0.35">
      <c r="A86" s="19" t="s">
        <v>663</v>
      </c>
      <c r="B86" s="19" t="s">
        <v>109</v>
      </c>
      <c r="C86" s="20">
        <v>45993.614583333336</v>
      </c>
      <c r="D86" s="19" t="s">
        <v>403</v>
      </c>
      <c r="E86" s="19" t="s">
        <v>773</v>
      </c>
      <c r="F86" s="21" t="s">
        <v>404</v>
      </c>
      <c r="G86" s="19" t="s">
        <v>774</v>
      </c>
      <c r="H86" s="20">
        <v>40725</v>
      </c>
      <c r="I86" s="20"/>
      <c r="J86" s="21"/>
      <c r="K86" s="21"/>
      <c r="L86" s="19" t="s">
        <v>738</v>
      </c>
      <c r="M86" s="21"/>
      <c r="N86" s="19"/>
      <c r="O86" s="19"/>
      <c r="P86" s="19"/>
      <c r="Q86" s="19"/>
      <c r="R86" s="19" t="s">
        <v>668</v>
      </c>
      <c r="S86" s="19"/>
      <c r="T86" s="19" t="s">
        <v>669</v>
      </c>
      <c r="U86" s="21" t="s">
        <v>404</v>
      </c>
    </row>
    <row r="87" spans="1:21" s="22" customFormat="1" ht="29" x14ac:dyDescent="0.35">
      <c r="A87" s="19" t="s">
        <v>663</v>
      </c>
      <c r="B87" s="19" t="s">
        <v>109</v>
      </c>
      <c r="C87" s="20">
        <v>45993.614583333336</v>
      </c>
      <c r="D87" s="19" t="s">
        <v>405</v>
      </c>
      <c r="E87" s="19" t="s">
        <v>773</v>
      </c>
      <c r="F87" s="21" t="s">
        <v>406</v>
      </c>
      <c r="G87" s="19" t="s">
        <v>774</v>
      </c>
      <c r="H87" s="20">
        <v>40725</v>
      </c>
      <c r="I87" s="20"/>
      <c r="J87" s="21"/>
      <c r="K87" s="21"/>
      <c r="L87" s="19" t="s">
        <v>738</v>
      </c>
      <c r="M87" s="21"/>
      <c r="N87" s="19"/>
      <c r="O87" s="19"/>
      <c r="P87" s="19"/>
      <c r="Q87" s="19"/>
      <c r="R87" s="19" t="s">
        <v>668</v>
      </c>
      <c r="S87" s="19"/>
      <c r="T87" s="19" t="s">
        <v>669</v>
      </c>
      <c r="U87" s="21" t="s">
        <v>406</v>
      </c>
    </row>
    <row r="88" spans="1:21" s="22" customFormat="1" ht="29" x14ac:dyDescent="0.35">
      <c r="A88" s="19" t="s">
        <v>663</v>
      </c>
      <c r="B88" s="19" t="s">
        <v>109</v>
      </c>
      <c r="C88" s="20">
        <v>45993.614583333336</v>
      </c>
      <c r="D88" s="19" t="s">
        <v>423</v>
      </c>
      <c r="E88" s="19" t="s">
        <v>773</v>
      </c>
      <c r="F88" s="21" t="s">
        <v>115</v>
      </c>
      <c r="G88" s="19" t="s">
        <v>687</v>
      </c>
      <c r="H88" s="20">
        <v>40725</v>
      </c>
      <c r="I88" s="20"/>
      <c r="J88" s="21"/>
      <c r="K88" s="21"/>
      <c r="L88" s="19" t="s">
        <v>738</v>
      </c>
      <c r="M88" s="21"/>
      <c r="N88" s="19"/>
      <c r="O88" s="19"/>
      <c r="P88" s="19"/>
      <c r="Q88" s="19"/>
      <c r="R88" s="19" t="s">
        <v>668</v>
      </c>
      <c r="S88" s="19"/>
      <c r="T88" s="19" t="s">
        <v>669</v>
      </c>
      <c r="U88" s="21" t="s">
        <v>115</v>
      </c>
    </row>
    <row r="89" spans="1:21" s="22" customFormat="1" ht="29" x14ac:dyDescent="0.35">
      <c r="A89" s="19" t="s">
        <v>663</v>
      </c>
      <c r="B89" s="19" t="s">
        <v>109</v>
      </c>
      <c r="C89" s="20">
        <v>45993.616666666669</v>
      </c>
      <c r="D89" s="19" t="s">
        <v>424</v>
      </c>
      <c r="E89" s="19" t="s">
        <v>773</v>
      </c>
      <c r="F89" s="21" t="s">
        <v>425</v>
      </c>
      <c r="G89" s="19" t="s">
        <v>687</v>
      </c>
      <c r="H89" s="20">
        <v>40725</v>
      </c>
      <c r="I89" s="20"/>
      <c r="J89" s="21"/>
      <c r="K89" s="21"/>
      <c r="L89" s="19" t="s">
        <v>738</v>
      </c>
      <c r="M89" s="21"/>
      <c r="N89" s="19"/>
      <c r="O89" s="19"/>
      <c r="P89" s="19"/>
      <c r="Q89" s="19"/>
      <c r="R89" s="19" t="s">
        <v>668</v>
      </c>
      <c r="S89" s="19"/>
      <c r="T89" s="19" t="s">
        <v>669</v>
      </c>
      <c r="U89" s="21" t="s">
        <v>425</v>
      </c>
    </row>
    <row r="90" spans="1:21" ht="58" x14ac:dyDescent="0.35">
      <c r="A90" s="13" t="s">
        <v>76</v>
      </c>
      <c r="B90" s="13" t="s">
        <v>77</v>
      </c>
      <c r="C90" s="14">
        <v>43166.582638888889</v>
      </c>
      <c r="D90" s="13" t="s">
        <v>462</v>
      </c>
      <c r="E90" s="13" t="s">
        <v>773</v>
      </c>
      <c r="F90" s="15" t="s">
        <v>463</v>
      </c>
      <c r="G90" s="13" t="s">
        <v>707</v>
      </c>
      <c r="H90" s="14">
        <v>40725</v>
      </c>
      <c r="I90" s="14"/>
      <c r="J90" s="15"/>
      <c r="K90" s="15"/>
      <c r="L90" s="13" t="s">
        <v>738</v>
      </c>
      <c r="M90" s="15"/>
      <c r="N90" s="13"/>
      <c r="O90" s="13"/>
      <c r="P90" s="13"/>
      <c r="Q90" s="13"/>
      <c r="R90" s="13"/>
      <c r="S90" s="13"/>
      <c r="T90" s="13" t="s">
        <v>669</v>
      </c>
      <c r="U90" s="15" t="s">
        <v>463</v>
      </c>
    </row>
    <row r="91" spans="1:21" ht="29" x14ac:dyDescent="0.35">
      <c r="A91" s="13" t="s">
        <v>76</v>
      </c>
      <c r="B91" s="13" t="s">
        <v>77</v>
      </c>
      <c r="C91" s="14">
        <v>43166.582638888889</v>
      </c>
      <c r="D91" s="13" t="s">
        <v>569</v>
      </c>
      <c r="E91" s="13" t="s">
        <v>773</v>
      </c>
      <c r="F91" s="15" t="s">
        <v>115</v>
      </c>
      <c r="G91" s="13" t="s">
        <v>710</v>
      </c>
      <c r="H91" s="14">
        <v>41518</v>
      </c>
      <c r="I91" s="14"/>
      <c r="J91" s="15"/>
      <c r="K91" s="15"/>
      <c r="L91" s="13" t="s">
        <v>738</v>
      </c>
      <c r="M91" s="15"/>
      <c r="N91" s="13"/>
      <c r="O91" s="13"/>
      <c r="P91" s="13"/>
      <c r="Q91" s="13"/>
      <c r="R91" s="13"/>
      <c r="S91" s="13"/>
      <c r="T91" s="13" t="s">
        <v>669</v>
      </c>
      <c r="U91" s="15" t="s">
        <v>115</v>
      </c>
    </row>
    <row r="92" spans="1:21" ht="29" x14ac:dyDescent="0.35">
      <c r="A92" s="13" t="s">
        <v>76</v>
      </c>
      <c r="B92" s="13" t="s">
        <v>77</v>
      </c>
      <c r="C92" s="14">
        <v>43166.582638888889</v>
      </c>
      <c r="D92" s="13" t="s">
        <v>573</v>
      </c>
      <c r="E92" s="13" t="s">
        <v>773</v>
      </c>
      <c r="F92" s="15" t="s">
        <v>574</v>
      </c>
      <c r="G92" s="13" t="s">
        <v>775</v>
      </c>
      <c r="H92" s="14">
        <v>41518</v>
      </c>
      <c r="I92" s="14"/>
      <c r="J92" s="15"/>
      <c r="K92" s="15"/>
      <c r="L92" s="13" t="s">
        <v>738</v>
      </c>
      <c r="M92" s="15"/>
      <c r="N92" s="13"/>
      <c r="O92" s="13"/>
      <c r="P92" s="13"/>
      <c r="Q92" s="13"/>
      <c r="R92" s="13"/>
      <c r="S92" s="13"/>
      <c r="T92" s="13" t="s">
        <v>669</v>
      </c>
      <c r="U92" s="15" t="s">
        <v>574</v>
      </c>
    </row>
    <row r="93" spans="1:21" s="22" customFormat="1" ht="43.5" x14ac:dyDescent="0.35">
      <c r="A93" s="19" t="s">
        <v>663</v>
      </c>
      <c r="B93" s="19" t="s">
        <v>109</v>
      </c>
      <c r="C93" s="20">
        <v>45993.616666666669</v>
      </c>
      <c r="D93" s="19" t="s">
        <v>167</v>
      </c>
      <c r="E93" s="19" t="s">
        <v>773</v>
      </c>
      <c r="F93" s="21" t="s">
        <v>168</v>
      </c>
      <c r="G93" s="19" t="s">
        <v>664</v>
      </c>
      <c r="H93" s="20">
        <v>40725</v>
      </c>
      <c r="I93" s="20"/>
      <c r="J93" s="21"/>
      <c r="K93" s="21"/>
      <c r="L93" s="19" t="s">
        <v>738</v>
      </c>
      <c r="M93" s="21"/>
      <c r="N93" s="19"/>
      <c r="O93" s="19"/>
      <c r="P93" s="19"/>
      <c r="Q93" s="19"/>
      <c r="R93" s="19" t="s">
        <v>668</v>
      </c>
      <c r="S93" s="19"/>
      <c r="T93" s="19" t="s">
        <v>669</v>
      </c>
      <c r="U93" s="21" t="s">
        <v>168</v>
      </c>
    </row>
    <row r="94" spans="1:21" ht="87" x14ac:dyDescent="0.35">
      <c r="A94" s="13" t="s">
        <v>165</v>
      </c>
      <c r="B94" s="13" t="s">
        <v>109</v>
      </c>
      <c r="C94" s="14">
        <v>44715.634722222225</v>
      </c>
      <c r="D94" s="13" t="s">
        <v>169</v>
      </c>
      <c r="E94" s="13" t="s">
        <v>773</v>
      </c>
      <c r="F94" s="15" t="s">
        <v>170</v>
      </c>
      <c r="G94" s="13" t="s">
        <v>776</v>
      </c>
      <c r="H94" s="14">
        <v>40725</v>
      </c>
      <c r="I94" s="14">
        <v>44633</v>
      </c>
      <c r="J94" s="15"/>
      <c r="K94" s="15"/>
      <c r="L94" s="13" t="s">
        <v>738</v>
      </c>
      <c r="M94" s="15"/>
      <c r="N94" s="13"/>
      <c r="O94" s="13"/>
      <c r="P94" s="13"/>
      <c r="Q94" s="13"/>
      <c r="R94" s="13"/>
      <c r="S94" s="13"/>
      <c r="T94" s="13" t="s">
        <v>669</v>
      </c>
      <c r="U94" s="15" t="s">
        <v>170</v>
      </c>
    </row>
    <row r="95" spans="1:21" ht="43.5" x14ac:dyDescent="0.35">
      <c r="A95" s="13" t="s">
        <v>76</v>
      </c>
      <c r="B95" s="13" t="s">
        <v>77</v>
      </c>
      <c r="C95" s="14">
        <v>43166.582638888889</v>
      </c>
      <c r="D95" s="13" t="s">
        <v>575</v>
      </c>
      <c r="E95" s="13" t="s">
        <v>773</v>
      </c>
      <c r="F95" s="15" t="s">
        <v>576</v>
      </c>
      <c r="G95" s="13" t="s">
        <v>775</v>
      </c>
      <c r="H95" s="14">
        <v>41518</v>
      </c>
      <c r="I95" s="14"/>
      <c r="J95" s="15"/>
      <c r="K95" s="15"/>
      <c r="L95" s="13" t="s">
        <v>738</v>
      </c>
      <c r="M95" s="15"/>
      <c r="N95" s="13"/>
      <c r="O95" s="13"/>
      <c r="P95" s="13"/>
      <c r="Q95" s="13"/>
      <c r="R95" s="13"/>
      <c r="S95" s="13"/>
      <c r="T95" s="13" t="s">
        <v>669</v>
      </c>
      <c r="U95" s="15" t="s">
        <v>576</v>
      </c>
    </row>
    <row r="96" spans="1:21" ht="29" x14ac:dyDescent="0.35">
      <c r="A96" s="13" t="s">
        <v>165</v>
      </c>
      <c r="B96" s="13" t="s">
        <v>109</v>
      </c>
      <c r="C96" s="14">
        <v>44715.635416666664</v>
      </c>
      <c r="D96" s="13" t="s">
        <v>494</v>
      </c>
      <c r="E96" s="13" t="s">
        <v>773</v>
      </c>
      <c r="F96" s="15" t="s">
        <v>495</v>
      </c>
      <c r="G96" s="13" t="s">
        <v>681</v>
      </c>
      <c r="H96" s="14">
        <v>40725</v>
      </c>
      <c r="I96" s="14">
        <v>44633</v>
      </c>
      <c r="J96" s="15"/>
      <c r="K96" s="15"/>
      <c r="L96" s="13" t="s">
        <v>738</v>
      </c>
      <c r="M96" s="15"/>
      <c r="N96" s="13"/>
      <c r="O96" s="13"/>
      <c r="P96" s="13"/>
      <c r="Q96" s="13"/>
      <c r="R96" s="13"/>
      <c r="S96" s="13"/>
      <c r="T96" s="13" t="s">
        <v>669</v>
      </c>
      <c r="U96" s="15" t="s">
        <v>495</v>
      </c>
    </row>
    <row r="97" spans="1:21" s="22" customFormat="1" ht="29" x14ac:dyDescent="0.35">
      <c r="A97" s="19" t="s">
        <v>663</v>
      </c>
      <c r="B97" s="19" t="s">
        <v>109</v>
      </c>
      <c r="C97" s="20">
        <v>45993.618055555555</v>
      </c>
      <c r="D97" s="19" t="s">
        <v>508</v>
      </c>
      <c r="E97" s="19" t="s">
        <v>773</v>
      </c>
      <c r="F97" s="21" t="s">
        <v>163</v>
      </c>
      <c r="G97" s="19" t="s">
        <v>697</v>
      </c>
      <c r="H97" s="20">
        <v>40725</v>
      </c>
      <c r="I97" s="20"/>
      <c r="J97" s="21"/>
      <c r="K97" s="21"/>
      <c r="L97" s="19" t="s">
        <v>738</v>
      </c>
      <c r="M97" s="21"/>
      <c r="N97" s="19"/>
      <c r="O97" s="19"/>
      <c r="P97" s="19"/>
      <c r="Q97" s="19"/>
      <c r="R97" s="19" t="s">
        <v>668</v>
      </c>
      <c r="S97" s="19"/>
      <c r="T97" s="19" t="s">
        <v>669</v>
      </c>
      <c r="U97" s="21" t="s">
        <v>163</v>
      </c>
    </row>
    <row r="98" spans="1:21" ht="58" x14ac:dyDescent="0.35">
      <c r="A98" s="13" t="s">
        <v>76</v>
      </c>
      <c r="B98" s="13" t="s">
        <v>77</v>
      </c>
      <c r="C98" s="14">
        <v>43166.587500000001</v>
      </c>
      <c r="D98" s="13" t="s">
        <v>590</v>
      </c>
      <c r="E98" s="13" t="s">
        <v>773</v>
      </c>
      <c r="F98" s="15" t="s">
        <v>591</v>
      </c>
      <c r="G98" s="13" t="s">
        <v>777</v>
      </c>
      <c r="H98" s="14">
        <v>41640</v>
      </c>
      <c r="I98" s="14"/>
      <c r="J98" s="15"/>
      <c r="K98" s="15"/>
      <c r="L98" s="13" t="s">
        <v>738</v>
      </c>
      <c r="M98" s="15"/>
      <c r="N98" s="13"/>
      <c r="O98" s="13"/>
      <c r="P98" s="13"/>
      <c r="Q98" s="13"/>
      <c r="R98" s="13"/>
      <c r="S98" s="13"/>
      <c r="T98" s="13" t="s">
        <v>669</v>
      </c>
      <c r="U98" s="15" t="s">
        <v>591</v>
      </c>
    </row>
    <row r="99" spans="1:21" ht="29" x14ac:dyDescent="0.35">
      <c r="A99" s="13" t="s">
        <v>76</v>
      </c>
      <c r="B99" s="13" t="s">
        <v>77</v>
      </c>
      <c r="C99" s="14">
        <v>43166.587500000001</v>
      </c>
      <c r="D99" s="13" t="s">
        <v>592</v>
      </c>
      <c r="E99" s="13" t="s">
        <v>773</v>
      </c>
      <c r="F99" s="15" t="s">
        <v>593</v>
      </c>
      <c r="G99" s="13" t="s">
        <v>777</v>
      </c>
      <c r="H99" s="14">
        <v>41640</v>
      </c>
      <c r="I99" s="14"/>
      <c r="J99" s="15"/>
      <c r="K99" s="15"/>
      <c r="L99" s="13" t="s">
        <v>738</v>
      </c>
      <c r="M99" s="15"/>
      <c r="N99" s="13"/>
      <c r="O99" s="13"/>
      <c r="P99" s="13"/>
      <c r="Q99" s="13"/>
      <c r="R99" s="13"/>
      <c r="S99" s="13"/>
      <c r="T99" s="13" t="s">
        <v>669</v>
      </c>
      <c r="U99" s="15" t="s">
        <v>593</v>
      </c>
    </row>
    <row r="100" spans="1:21" ht="29" x14ac:dyDescent="0.35">
      <c r="A100" s="13" t="s">
        <v>165</v>
      </c>
      <c r="B100" s="13" t="s">
        <v>109</v>
      </c>
      <c r="C100" s="14">
        <v>44715.636111111111</v>
      </c>
      <c r="D100" s="13" t="s">
        <v>515</v>
      </c>
      <c r="E100" s="13" t="s">
        <v>773</v>
      </c>
      <c r="F100" s="15" t="s">
        <v>516</v>
      </c>
      <c r="G100" s="13" t="s">
        <v>778</v>
      </c>
      <c r="H100" s="14">
        <v>40725</v>
      </c>
      <c r="I100" s="14">
        <v>44633</v>
      </c>
      <c r="J100" s="15"/>
      <c r="K100" s="15"/>
      <c r="L100" s="13" t="s">
        <v>738</v>
      </c>
      <c r="M100" s="15"/>
      <c r="N100" s="13"/>
      <c r="O100" s="13"/>
      <c r="P100" s="13"/>
      <c r="Q100" s="13"/>
      <c r="R100" s="13"/>
      <c r="S100" s="13"/>
      <c r="T100" s="13" t="s">
        <v>669</v>
      </c>
      <c r="U100" s="15" t="s">
        <v>516</v>
      </c>
    </row>
    <row r="101" spans="1:21" s="22" customFormat="1" ht="43.5" x14ac:dyDescent="0.35">
      <c r="A101" s="19" t="s">
        <v>663</v>
      </c>
      <c r="B101" s="19" t="s">
        <v>109</v>
      </c>
      <c r="C101" s="20">
        <v>45993.618055555555</v>
      </c>
      <c r="D101" s="19" t="s">
        <v>181</v>
      </c>
      <c r="E101" s="19" t="s">
        <v>773</v>
      </c>
      <c r="F101" s="21" t="s">
        <v>115</v>
      </c>
      <c r="G101" s="19" t="s">
        <v>702</v>
      </c>
      <c r="H101" s="20">
        <v>40725</v>
      </c>
      <c r="I101" s="20"/>
      <c r="J101" s="21"/>
      <c r="K101" s="21"/>
      <c r="L101" s="19" t="s">
        <v>738</v>
      </c>
      <c r="M101" s="21"/>
      <c r="N101" s="19"/>
      <c r="O101" s="19"/>
      <c r="P101" s="19"/>
      <c r="Q101" s="19"/>
      <c r="R101" s="19" t="s">
        <v>668</v>
      </c>
      <c r="S101" s="19"/>
      <c r="T101" s="19" t="s">
        <v>669</v>
      </c>
      <c r="U101" s="21" t="s">
        <v>115</v>
      </c>
    </row>
    <row r="102" spans="1:21" s="22" customFormat="1" ht="43.5" x14ac:dyDescent="0.35">
      <c r="A102" s="19" t="s">
        <v>663</v>
      </c>
      <c r="B102" s="19" t="s">
        <v>109</v>
      </c>
      <c r="C102" s="20">
        <v>45993.618750000001</v>
      </c>
      <c r="D102" s="19" t="s">
        <v>182</v>
      </c>
      <c r="E102" s="19" t="s">
        <v>773</v>
      </c>
      <c r="F102" s="21" t="s">
        <v>117</v>
      </c>
      <c r="G102" s="19" t="s">
        <v>702</v>
      </c>
      <c r="H102" s="20">
        <v>40725</v>
      </c>
      <c r="I102" s="20"/>
      <c r="J102" s="21"/>
      <c r="K102" s="21"/>
      <c r="L102" s="19" t="s">
        <v>738</v>
      </c>
      <c r="M102" s="21"/>
      <c r="N102" s="19"/>
      <c r="O102" s="19"/>
      <c r="P102" s="19"/>
      <c r="Q102" s="19"/>
      <c r="R102" s="19" t="s">
        <v>668</v>
      </c>
      <c r="S102" s="19"/>
      <c r="T102" s="19" t="s">
        <v>669</v>
      </c>
      <c r="U102" s="21" t="s">
        <v>117</v>
      </c>
    </row>
    <row r="103" spans="1:21" s="22" customFormat="1" ht="43.5" x14ac:dyDescent="0.35">
      <c r="A103" s="19" t="s">
        <v>663</v>
      </c>
      <c r="B103" s="19" t="s">
        <v>109</v>
      </c>
      <c r="C103" s="20">
        <v>45993.619444444441</v>
      </c>
      <c r="D103" s="19" t="s">
        <v>192</v>
      </c>
      <c r="E103" s="19" t="s">
        <v>773</v>
      </c>
      <c r="F103" s="21" t="s">
        <v>163</v>
      </c>
      <c r="G103" s="19" t="s">
        <v>702</v>
      </c>
      <c r="H103" s="20">
        <v>40725</v>
      </c>
      <c r="I103" s="20"/>
      <c r="J103" s="21"/>
      <c r="K103" s="21"/>
      <c r="L103" s="19" t="s">
        <v>738</v>
      </c>
      <c r="M103" s="21"/>
      <c r="N103" s="19"/>
      <c r="O103" s="19"/>
      <c r="P103" s="19"/>
      <c r="Q103" s="19"/>
      <c r="R103" s="19" t="s">
        <v>668</v>
      </c>
      <c r="S103" s="19"/>
      <c r="T103" s="19" t="s">
        <v>669</v>
      </c>
      <c r="U103" s="21" t="s">
        <v>163</v>
      </c>
    </row>
    <row r="104" spans="1:21" s="22" customFormat="1" ht="43.5" x14ac:dyDescent="0.35">
      <c r="A104" s="19" t="s">
        <v>663</v>
      </c>
      <c r="B104" s="19" t="s">
        <v>109</v>
      </c>
      <c r="C104" s="20">
        <v>45993.620138888888</v>
      </c>
      <c r="D104" s="19" t="s">
        <v>436</v>
      </c>
      <c r="E104" s="19" t="s">
        <v>773</v>
      </c>
      <c r="F104" s="21" t="s">
        <v>115</v>
      </c>
      <c r="G104" s="19" t="s">
        <v>704</v>
      </c>
      <c r="H104" s="20">
        <v>40725</v>
      </c>
      <c r="I104" s="20"/>
      <c r="J104" s="21"/>
      <c r="K104" s="21"/>
      <c r="L104" s="19" t="s">
        <v>738</v>
      </c>
      <c r="M104" s="21"/>
      <c r="N104" s="19"/>
      <c r="O104" s="19"/>
      <c r="P104" s="19"/>
      <c r="Q104" s="19"/>
      <c r="R104" s="19" t="s">
        <v>668</v>
      </c>
      <c r="S104" s="19"/>
      <c r="T104" s="19" t="s">
        <v>669</v>
      </c>
      <c r="U104" s="21" t="s">
        <v>115</v>
      </c>
    </row>
    <row r="105" spans="1:21" s="22" customFormat="1" ht="43.5" x14ac:dyDescent="0.35">
      <c r="A105" s="19" t="s">
        <v>663</v>
      </c>
      <c r="B105" s="19" t="s">
        <v>109</v>
      </c>
      <c r="C105" s="20">
        <v>45993.620833333334</v>
      </c>
      <c r="D105" s="19" t="s">
        <v>437</v>
      </c>
      <c r="E105" s="19" t="s">
        <v>773</v>
      </c>
      <c r="F105" s="21" t="s">
        <v>438</v>
      </c>
      <c r="G105" s="19" t="s">
        <v>704</v>
      </c>
      <c r="H105" s="20">
        <v>40725</v>
      </c>
      <c r="I105" s="20"/>
      <c r="J105" s="21"/>
      <c r="K105" s="21"/>
      <c r="L105" s="19" t="s">
        <v>738</v>
      </c>
      <c r="M105" s="21"/>
      <c r="N105" s="19"/>
      <c r="O105" s="19"/>
      <c r="P105" s="19"/>
      <c r="Q105" s="19"/>
      <c r="R105" s="19" t="s">
        <v>668</v>
      </c>
      <c r="S105" s="19"/>
      <c r="T105" s="19" t="s">
        <v>669</v>
      </c>
      <c r="U105" s="21" t="s">
        <v>438</v>
      </c>
    </row>
    <row r="106" spans="1:21" s="22" customFormat="1" ht="43.5" x14ac:dyDescent="0.35">
      <c r="A106" s="19" t="s">
        <v>663</v>
      </c>
      <c r="B106" s="19" t="s">
        <v>109</v>
      </c>
      <c r="C106" s="20">
        <v>45993.62222222222</v>
      </c>
      <c r="D106" s="19" t="s">
        <v>195</v>
      </c>
      <c r="E106" s="19" t="s">
        <v>773</v>
      </c>
      <c r="F106" s="21" t="s">
        <v>196</v>
      </c>
      <c r="G106" s="19" t="s">
        <v>702</v>
      </c>
      <c r="H106" s="20">
        <v>40725</v>
      </c>
      <c r="I106" s="20"/>
      <c r="J106" s="21"/>
      <c r="K106" s="21"/>
      <c r="L106" s="19" t="s">
        <v>738</v>
      </c>
      <c r="M106" s="21"/>
      <c r="N106" s="19"/>
      <c r="O106" s="19"/>
      <c r="P106" s="19"/>
      <c r="Q106" s="19"/>
      <c r="R106" s="19" t="s">
        <v>668</v>
      </c>
      <c r="S106" s="19"/>
      <c r="T106" s="19" t="s">
        <v>669</v>
      </c>
      <c r="U106" s="21" t="s">
        <v>196</v>
      </c>
    </row>
    <row r="107" spans="1:21" ht="87" x14ac:dyDescent="0.35">
      <c r="A107" s="13" t="s">
        <v>165</v>
      </c>
      <c r="B107" s="13" t="s">
        <v>109</v>
      </c>
      <c r="C107" s="14">
        <v>44715.636111111111</v>
      </c>
      <c r="D107" s="13" t="s">
        <v>197</v>
      </c>
      <c r="E107" s="13" t="s">
        <v>773</v>
      </c>
      <c r="F107" s="15" t="s">
        <v>170</v>
      </c>
      <c r="G107" s="13" t="s">
        <v>779</v>
      </c>
      <c r="H107" s="14">
        <v>40725</v>
      </c>
      <c r="I107" s="14">
        <v>44633</v>
      </c>
      <c r="J107" s="15"/>
      <c r="K107" s="15"/>
      <c r="L107" s="13" t="s">
        <v>738</v>
      </c>
      <c r="M107" s="15"/>
      <c r="N107" s="13"/>
      <c r="O107" s="13"/>
      <c r="P107" s="13"/>
      <c r="Q107" s="13"/>
      <c r="R107" s="13"/>
      <c r="S107" s="13"/>
      <c r="T107" s="13" t="s">
        <v>669</v>
      </c>
      <c r="U107" s="15" t="s">
        <v>170</v>
      </c>
    </row>
    <row r="108" spans="1:21" ht="29" x14ac:dyDescent="0.35">
      <c r="A108" s="13" t="s">
        <v>76</v>
      </c>
      <c r="B108" s="13" t="s">
        <v>77</v>
      </c>
      <c r="C108" s="14">
        <v>43166.587500000001</v>
      </c>
      <c r="D108" s="13" t="s">
        <v>521</v>
      </c>
      <c r="E108" s="13" t="s">
        <v>773</v>
      </c>
      <c r="F108" s="15" t="s">
        <v>522</v>
      </c>
      <c r="G108" s="13" t="s">
        <v>780</v>
      </c>
      <c r="H108" s="14">
        <v>40725</v>
      </c>
      <c r="I108" s="14"/>
      <c r="J108" s="15"/>
      <c r="K108" s="15"/>
      <c r="L108" s="13" t="s">
        <v>738</v>
      </c>
      <c r="M108" s="15"/>
      <c r="N108" s="13"/>
      <c r="O108" s="13"/>
      <c r="P108" s="13"/>
      <c r="Q108" s="13"/>
      <c r="R108" s="13"/>
      <c r="S108" s="13"/>
      <c r="T108" s="13" t="s">
        <v>669</v>
      </c>
      <c r="U108" s="15" t="s">
        <v>522</v>
      </c>
    </row>
    <row r="109" spans="1:21" ht="29" x14ac:dyDescent="0.35">
      <c r="A109" s="13" t="s">
        <v>165</v>
      </c>
      <c r="B109" s="13" t="s">
        <v>109</v>
      </c>
      <c r="C109" s="14">
        <v>44715.636805555558</v>
      </c>
      <c r="D109" s="13" t="s">
        <v>523</v>
      </c>
      <c r="E109" s="13" t="s">
        <v>773</v>
      </c>
      <c r="F109" s="15" t="s">
        <v>495</v>
      </c>
      <c r="G109" s="13" t="s">
        <v>705</v>
      </c>
      <c r="H109" s="14">
        <v>40725</v>
      </c>
      <c r="I109" s="14">
        <v>44633</v>
      </c>
      <c r="J109" s="15"/>
      <c r="K109" s="15"/>
      <c r="L109" s="13" t="s">
        <v>738</v>
      </c>
      <c r="M109" s="15"/>
      <c r="N109" s="13"/>
      <c r="O109" s="13"/>
      <c r="P109" s="13"/>
      <c r="Q109" s="13"/>
      <c r="R109" s="13"/>
      <c r="S109" s="13"/>
      <c r="T109" s="13" t="s">
        <v>669</v>
      </c>
      <c r="U109" s="15" t="s">
        <v>495</v>
      </c>
    </row>
    <row r="110" spans="1:21" s="22" customFormat="1" ht="43.5" x14ac:dyDescent="0.35">
      <c r="A110" s="19" t="s">
        <v>663</v>
      </c>
      <c r="B110" s="19" t="s">
        <v>109</v>
      </c>
      <c r="C110" s="20">
        <v>45993.623611111114</v>
      </c>
      <c r="D110" s="19" t="s">
        <v>531</v>
      </c>
      <c r="E110" s="19" t="s">
        <v>773</v>
      </c>
      <c r="F110" s="21" t="s">
        <v>163</v>
      </c>
      <c r="G110" s="19" t="s">
        <v>706</v>
      </c>
      <c r="H110" s="20">
        <v>40725</v>
      </c>
      <c r="I110" s="20"/>
      <c r="J110" s="21"/>
      <c r="K110" s="21"/>
      <c r="L110" s="19" t="s">
        <v>738</v>
      </c>
      <c r="M110" s="21"/>
      <c r="N110" s="19"/>
      <c r="O110" s="19"/>
      <c r="P110" s="19"/>
      <c r="Q110" s="19"/>
      <c r="R110" s="19" t="s">
        <v>668</v>
      </c>
      <c r="S110" s="19"/>
      <c r="T110" s="19" t="s">
        <v>669</v>
      </c>
      <c r="U110" s="21" t="s">
        <v>163</v>
      </c>
    </row>
    <row r="111" spans="1:21" ht="29" x14ac:dyDescent="0.35">
      <c r="A111" s="13" t="s">
        <v>165</v>
      </c>
      <c r="B111" s="13" t="s">
        <v>109</v>
      </c>
      <c r="C111" s="14">
        <v>44715.636805555558</v>
      </c>
      <c r="D111" s="13" t="s">
        <v>536</v>
      </c>
      <c r="E111" s="13" t="s">
        <v>773</v>
      </c>
      <c r="F111" s="15" t="s">
        <v>516</v>
      </c>
      <c r="G111" s="13" t="s">
        <v>781</v>
      </c>
      <c r="H111" s="14">
        <v>40725</v>
      </c>
      <c r="I111" s="14">
        <v>44633</v>
      </c>
      <c r="J111" s="15"/>
      <c r="K111" s="15"/>
      <c r="L111" s="13" t="s">
        <v>738</v>
      </c>
      <c r="M111" s="15"/>
      <c r="N111" s="13"/>
      <c r="O111" s="13"/>
      <c r="P111" s="13"/>
      <c r="Q111" s="13"/>
      <c r="R111" s="13"/>
      <c r="S111" s="13"/>
      <c r="T111" s="13" t="s">
        <v>669</v>
      </c>
      <c r="U111" s="15" t="s">
        <v>516</v>
      </c>
    </row>
    <row r="112" spans="1:21" s="22" customFormat="1" ht="43.5" x14ac:dyDescent="0.35">
      <c r="A112" s="19" t="s">
        <v>663</v>
      </c>
      <c r="B112" s="19" t="s">
        <v>109</v>
      </c>
      <c r="C112" s="20">
        <v>45993.624305555553</v>
      </c>
      <c r="D112" s="19" t="s">
        <v>220</v>
      </c>
      <c r="E112" s="19" t="s">
        <v>773</v>
      </c>
      <c r="F112" s="21" t="s">
        <v>163</v>
      </c>
      <c r="G112" s="19" t="s">
        <v>682</v>
      </c>
      <c r="H112" s="20">
        <v>40725</v>
      </c>
      <c r="I112" s="20"/>
      <c r="J112" s="21"/>
      <c r="K112" s="21"/>
      <c r="L112" s="19" t="s">
        <v>738</v>
      </c>
      <c r="M112" s="21"/>
      <c r="N112" s="19"/>
      <c r="O112" s="19"/>
      <c r="P112" s="19"/>
      <c r="Q112" s="19"/>
      <c r="R112" s="19" t="s">
        <v>668</v>
      </c>
      <c r="S112" s="19"/>
      <c r="T112" s="19" t="s">
        <v>669</v>
      </c>
      <c r="U112" s="21" t="s">
        <v>163</v>
      </c>
    </row>
    <row r="113" spans="1:21" s="22" customFormat="1" ht="43.5" x14ac:dyDescent="0.35">
      <c r="A113" s="19" t="s">
        <v>663</v>
      </c>
      <c r="B113" s="19" t="s">
        <v>109</v>
      </c>
      <c r="C113" s="20">
        <v>45993.625</v>
      </c>
      <c r="D113" s="19" t="s">
        <v>444</v>
      </c>
      <c r="E113" s="19" t="s">
        <v>773</v>
      </c>
      <c r="F113" s="21" t="s">
        <v>115</v>
      </c>
      <c r="G113" s="19" t="s">
        <v>700</v>
      </c>
      <c r="H113" s="20">
        <v>40725</v>
      </c>
      <c r="I113" s="20"/>
      <c r="J113" s="21"/>
      <c r="K113" s="21"/>
      <c r="L113" s="19" t="s">
        <v>738</v>
      </c>
      <c r="M113" s="21"/>
      <c r="N113" s="19"/>
      <c r="O113" s="19"/>
      <c r="P113" s="19"/>
      <c r="Q113" s="19"/>
      <c r="R113" s="19" t="s">
        <v>668</v>
      </c>
      <c r="S113" s="19"/>
      <c r="T113" s="19" t="s">
        <v>669</v>
      </c>
      <c r="U113" s="21" t="s">
        <v>115</v>
      </c>
    </row>
    <row r="114" spans="1:21" s="22" customFormat="1" ht="43.5" x14ac:dyDescent="0.35">
      <c r="A114" s="19" t="s">
        <v>663</v>
      </c>
      <c r="B114" s="19" t="s">
        <v>109</v>
      </c>
      <c r="C114" s="20">
        <v>45993.625694444447</v>
      </c>
      <c r="D114" s="19" t="s">
        <v>409</v>
      </c>
      <c r="E114" s="19" t="s">
        <v>773</v>
      </c>
      <c r="F114" s="21" t="s">
        <v>115</v>
      </c>
      <c r="G114" s="19" t="s">
        <v>782</v>
      </c>
      <c r="H114" s="20">
        <v>40725</v>
      </c>
      <c r="I114" s="20"/>
      <c r="J114" s="21"/>
      <c r="K114" s="21"/>
      <c r="L114" s="19" t="s">
        <v>738</v>
      </c>
      <c r="M114" s="21"/>
      <c r="N114" s="19"/>
      <c r="O114" s="19"/>
      <c r="P114" s="19"/>
      <c r="Q114" s="19"/>
      <c r="R114" s="19" t="s">
        <v>668</v>
      </c>
      <c r="S114" s="19"/>
      <c r="T114" s="19" t="s">
        <v>669</v>
      </c>
      <c r="U114" s="21" t="s">
        <v>115</v>
      </c>
    </row>
    <row r="115" spans="1:21" s="22" customFormat="1" ht="43.5" x14ac:dyDescent="0.35">
      <c r="A115" s="19" t="s">
        <v>663</v>
      </c>
      <c r="B115" s="19" t="s">
        <v>109</v>
      </c>
      <c r="C115" s="20">
        <v>45993.626388888886</v>
      </c>
      <c r="D115" s="19" t="s">
        <v>411</v>
      </c>
      <c r="E115" s="19" t="s">
        <v>773</v>
      </c>
      <c r="F115" s="21" t="s">
        <v>404</v>
      </c>
      <c r="G115" s="19" t="s">
        <v>782</v>
      </c>
      <c r="H115" s="20">
        <v>40725</v>
      </c>
      <c r="I115" s="20"/>
      <c r="J115" s="21"/>
      <c r="K115" s="21"/>
      <c r="L115" s="19" t="s">
        <v>738</v>
      </c>
      <c r="M115" s="21"/>
      <c r="N115" s="19"/>
      <c r="O115" s="19"/>
      <c r="P115" s="19"/>
      <c r="Q115" s="19"/>
      <c r="R115" s="19" t="s">
        <v>668</v>
      </c>
      <c r="S115" s="19"/>
      <c r="T115" s="19" t="s">
        <v>669</v>
      </c>
      <c r="U115" s="21" t="s">
        <v>404</v>
      </c>
    </row>
    <row r="116" spans="1:21" s="22" customFormat="1" ht="43.5" x14ac:dyDescent="0.35">
      <c r="A116" s="19" t="s">
        <v>663</v>
      </c>
      <c r="B116" s="19" t="s">
        <v>109</v>
      </c>
      <c r="C116" s="20">
        <v>45993.628472222219</v>
      </c>
      <c r="D116" s="19" t="s">
        <v>410</v>
      </c>
      <c r="E116" s="19" t="s">
        <v>773</v>
      </c>
      <c r="F116" s="21" t="s">
        <v>406</v>
      </c>
      <c r="G116" s="19" t="s">
        <v>782</v>
      </c>
      <c r="H116" s="20">
        <v>40725</v>
      </c>
      <c r="I116" s="20"/>
      <c r="J116" s="21"/>
      <c r="K116" s="21"/>
      <c r="L116" s="19" t="s">
        <v>738</v>
      </c>
      <c r="M116" s="21"/>
      <c r="N116" s="19"/>
      <c r="O116" s="19"/>
      <c r="P116" s="19"/>
      <c r="Q116" s="19"/>
      <c r="R116" s="19" t="s">
        <v>668</v>
      </c>
      <c r="S116" s="19"/>
      <c r="T116" s="19" t="s">
        <v>669</v>
      </c>
      <c r="U116" s="21" t="s">
        <v>406</v>
      </c>
    </row>
    <row r="117" spans="1:21" s="22" customFormat="1" ht="43.5" x14ac:dyDescent="0.35">
      <c r="A117" s="19" t="s">
        <v>663</v>
      </c>
      <c r="B117" s="19" t="s">
        <v>109</v>
      </c>
      <c r="C117" s="20">
        <v>46029.620833333334</v>
      </c>
      <c r="D117" s="19" t="s">
        <v>223</v>
      </c>
      <c r="E117" s="19" t="s">
        <v>773</v>
      </c>
      <c r="F117" s="21" t="s">
        <v>196</v>
      </c>
      <c r="G117" s="19" t="s">
        <v>682</v>
      </c>
      <c r="H117" s="20">
        <v>40725</v>
      </c>
      <c r="I117" s="20"/>
      <c r="J117" s="21"/>
      <c r="K117" s="21"/>
      <c r="L117" s="19" t="s">
        <v>738</v>
      </c>
      <c r="M117" s="21"/>
      <c r="N117" s="19"/>
      <c r="O117" s="19"/>
      <c r="P117" s="19"/>
      <c r="Q117" s="19"/>
      <c r="R117" s="19" t="s">
        <v>668</v>
      </c>
      <c r="S117" s="19"/>
      <c r="T117" s="19" t="s">
        <v>669</v>
      </c>
      <c r="U117" s="21" t="s">
        <v>196</v>
      </c>
    </row>
    <row r="118" spans="1:21" ht="87" x14ac:dyDescent="0.35">
      <c r="A118" s="13" t="s">
        <v>165</v>
      </c>
      <c r="B118" s="13" t="s">
        <v>109</v>
      </c>
      <c r="C118" s="14">
        <v>44715.637499999997</v>
      </c>
      <c r="D118" s="13" t="s">
        <v>224</v>
      </c>
      <c r="E118" s="13" t="s">
        <v>773</v>
      </c>
      <c r="F118" s="15" t="s">
        <v>170</v>
      </c>
      <c r="G118" s="13" t="s">
        <v>783</v>
      </c>
      <c r="H118" s="14">
        <v>40725</v>
      </c>
      <c r="I118" s="14">
        <v>44633</v>
      </c>
      <c r="J118" s="15"/>
      <c r="K118" s="15"/>
      <c r="L118" s="13" t="s">
        <v>738</v>
      </c>
      <c r="M118" s="15"/>
      <c r="N118" s="13"/>
      <c r="O118" s="13"/>
      <c r="P118" s="13"/>
      <c r="Q118" s="13"/>
      <c r="R118" s="13"/>
      <c r="S118" s="13"/>
      <c r="T118" s="13" t="s">
        <v>669</v>
      </c>
      <c r="U118" s="15" t="s">
        <v>170</v>
      </c>
    </row>
    <row r="119" spans="1:21" ht="43.5" x14ac:dyDescent="0.35">
      <c r="A119" s="13" t="s">
        <v>165</v>
      </c>
      <c r="B119" s="13" t="s">
        <v>109</v>
      </c>
      <c r="C119" s="14">
        <v>44715.637499999997</v>
      </c>
      <c r="D119" s="13" t="s">
        <v>540</v>
      </c>
      <c r="E119" s="13" t="s">
        <v>773</v>
      </c>
      <c r="F119" s="15" t="s">
        <v>495</v>
      </c>
      <c r="G119" s="13" t="s">
        <v>686</v>
      </c>
      <c r="H119" s="14">
        <v>40725</v>
      </c>
      <c r="I119" s="14">
        <v>44633</v>
      </c>
      <c r="J119" s="15"/>
      <c r="K119" s="15"/>
      <c r="L119" s="13" t="s">
        <v>738</v>
      </c>
      <c r="M119" s="15"/>
      <c r="N119" s="13"/>
      <c r="O119" s="13"/>
      <c r="P119" s="13"/>
      <c r="Q119" s="13"/>
      <c r="R119" s="13"/>
      <c r="S119" s="13"/>
      <c r="T119" s="13" t="s">
        <v>669</v>
      </c>
      <c r="U119" s="15" t="s">
        <v>495</v>
      </c>
    </row>
    <row r="120" spans="1:21" s="22" customFormat="1" ht="43.5" x14ac:dyDescent="0.35">
      <c r="A120" s="19" t="s">
        <v>663</v>
      </c>
      <c r="B120" s="19" t="s">
        <v>109</v>
      </c>
      <c r="C120" s="20">
        <v>45993.628472222219</v>
      </c>
      <c r="D120" s="19" t="s">
        <v>552</v>
      </c>
      <c r="E120" s="19" t="s">
        <v>773</v>
      </c>
      <c r="F120" s="21" t="s">
        <v>163</v>
      </c>
      <c r="G120" s="19" t="s">
        <v>701</v>
      </c>
      <c r="H120" s="20">
        <v>40725</v>
      </c>
      <c r="I120" s="20"/>
      <c r="J120" s="21"/>
      <c r="K120" s="21"/>
      <c r="L120" s="19" t="s">
        <v>738</v>
      </c>
      <c r="M120" s="21"/>
      <c r="N120" s="19"/>
      <c r="O120" s="19"/>
      <c r="P120" s="19"/>
      <c r="Q120" s="19"/>
      <c r="R120" s="19" t="s">
        <v>668</v>
      </c>
      <c r="S120" s="19"/>
      <c r="T120" s="19" t="s">
        <v>669</v>
      </c>
      <c r="U120" s="21" t="s">
        <v>163</v>
      </c>
    </row>
    <row r="121" spans="1:21" ht="43.5" x14ac:dyDescent="0.35">
      <c r="A121" s="13" t="s">
        <v>165</v>
      </c>
      <c r="B121" s="13" t="s">
        <v>109</v>
      </c>
      <c r="C121" s="14">
        <v>44715.63958333333</v>
      </c>
      <c r="D121" s="13" t="s">
        <v>557</v>
      </c>
      <c r="E121" s="13" t="s">
        <v>773</v>
      </c>
      <c r="F121" s="15" t="s">
        <v>516</v>
      </c>
      <c r="G121" s="13" t="s">
        <v>686</v>
      </c>
      <c r="H121" s="14">
        <v>40725</v>
      </c>
      <c r="I121" s="14">
        <v>44633</v>
      </c>
      <c r="J121" s="15"/>
      <c r="K121" s="15"/>
      <c r="L121" s="13" t="s">
        <v>738</v>
      </c>
      <c r="M121" s="15"/>
      <c r="N121" s="13"/>
      <c r="O121" s="13"/>
      <c r="P121" s="13"/>
      <c r="Q121" s="13"/>
      <c r="R121" s="13"/>
      <c r="S121" s="13"/>
      <c r="T121" s="13" t="s">
        <v>669</v>
      </c>
      <c r="U121" s="15" t="s">
        <v>516</v>
      </c>
    </row>
    <row r="122" spans="1:21" ht="29" x14ac:dyDescent="0.35">
      <c r="A122" s="13" t="s">
        <v>76</v>
      </c>
      <c r="B122" s="13" t="s">
        <v>77</v>
      </c>
      <c r="C122" s="14">
        <v>43166.585416666669</v>
      </c>
      <c r="D122" s="13" t="s">
        <v>459</v>
      </c>
      <c r="E122" s="13" t="s">
        <v>773</v>
      </c>
      <c r="F122" s="15" t="s">
        <v>115</v>
      </c>
      <c r="G122" s="13" t="s">
        <v>707</v>
      </c>
      <c r="H122" s="14">
        <v>40725</v>
      </c>
      <c r="I122" s="14"/>
      <c r="J122" s="15"/>
      <c r="K122" s="15"/>
      <c r="L122" s="13" t="s">
        <v>738</v>
      </c>
      <c r="M122" s="15"/>
      <c r="N122" s="13"/>
      <c r="O122" s="13"/>
      <c r="P122" s="13"/>
      <c r="Q122" s="13"/>
      <c r="R122" s="13"/>
      <c r="S122" s="13"/>
      <c r="T122" s="13" t="s">
        <v>669</v>
      </c>
      <c r="U122" s="15" t="s">
        <v>115</v>
      </c>
    </row>
    <row r="123" spans="1:21" ht="29" x14ac:dyDescent="0.35">
      <c r="A123" s="13" t="s">
        <v>76</v>
      </c>
      <c r="B123" s="13" t="s">
        <v>77</v>
      </c>
      <c r="C123" s="14">
        <v>43166.585416666669</v>
      </c>
      <c r="D123" s="13" t="s">
        <v>460</v>
      </c>
      <c r="E123" s="13" t="s">
        <v>773</v>
      </c>
      <c r="F123" s="15" t="s">
        <v>461</v>
      </c>
      <c r="G123" s="13" t="s">
        <v>707</v>
      </c>
      <c r="H123" s="14">
        <v>40725</v>
      </c>
      <c r="I123" s="14"/>
      <c r="J123" s="15"/>
      <c r="K123" s="15"/>
      <c r="L123" s="13" t="s">
        <v>738</v>
      </c>
      <c r="M123" s="15"/>
      <c r="N123" s="13"/>
      <c r="O123" s="13"/>
      <c r="P123" s="13"/>
      <c r="Q123" s="13"/>
      <c r="R123" s="13"/>
      <c r="S123" s="13"/>
      <c r="T123" s="13" t="s">
        <v>669</v>
      </c>
      <c r="U123" s="15" t="s">
        <v>461</v>
      </c>
    </row>
    <row r="124" spans="1:21" ht="58" x14ac:dyDescent="0.35">
      <c r="A124" s="13" t="s">
        <v>76</v>
      </c>
      <c r="B124" s="13" t="s">
        <v>77</v>
      </c>
      <c r="C124" s="14">
        <v>43166.585416666669</v>
      </c>
      <c r="D124" s="13" t="s">
        <v>464</v>
      </c>
      <c r="E124" s="13" t="s">
        <v>773</v>
      </c>
      <c r="F124" s="15" t="s">
        <v>465</v>
      </c>
      <c r="G124" s="13" t="s">
        <v>707</v>
      </c>
      <c r="H124" s="14">
        <v>40725</v>
      </c>
      <c r="I124" s="14"/>
      <c r="J124" s="15"/>
      <c r="K124" s="15"/>
      <c r="L124" s="13" t="s">
        <v>738</v>
      </c>
      <c r="M124" s="15"/>
      <c r="N124" s="13"/>
      <c r="O124" s="13"/>
      <c r="P124" s="13"/>
      <c r="Q124" s="13"/>
      <c r="R124" s="13"/>
      <c r="S124" s="13"/>
      <c r="T124" s="13" t="s">
        <v>669</v>
      </c>
      <c r="U124" s="15" t="s">
        <v>465</v>
      </c>
    </row>
    <row r="125" spans="1:21" s="22" customFormat="1" ht="43.5" x14ac:dyDescent="0.35">
      <c r="A125" s="19" t="s">
        <v>663</v>
      </c>
      <c r="B125" s="19" t="s">
        <v>109</v>
      </c>
      <c r="C125" s="20">
        <v>45993.629861111112</v>
      </c>
      <c r="D125" s="19" t="s">
        <v>204</v>
      </c>
      <c r="E125" s="19" t="s">
        <v>773</v>
      </c>
      <c r="F125" s="21" t="s">
        <v>115</v>
      </c>
      <c r="G125" s="19" t="s">
        <v>682</v>
      </c>
      <c r="H125" s="20">
        <v>40725</v>
      </c>
      <c r="I125" s="20"/>
      <c r="J125" s="21"/>
      <c r="K125" s="21"/>
      <c r="L125" s="19" t="s">
        <v>738</v>
      </c>
      <c r="M125" s="21"/>
      <c r="N125" s="19"/>
      <c r="O125" s="19"/>
      <c r="P125" s="19"/>
      <c r="Q125" s="19"/>
      <c r="R125" s="19" t="s">
        <v>668</v>
      </c>
      <c r="S125" s="19"/>
      <c r="T125" s="19" t="s">
        <v>669</v>
      </c>
      <c r="U125" s="21" t="s">
        <v>115</v>
      </c>
    </row>
    <row r="126" spans="1:21" s="22" customFormat="1" ht="43.5" x14ac:dyDescent="0.35">
      <c r="A126" s="19" t="s">
        <v>663</v>
      </c>
      <c r="B126" s="19" t="s">
        <v>109</v>
      </c>
      <c r="C126" s="20">
        <v>45993.629861111112</v>
      </c>
      <c r="D126" s="19" t="s">
        <v>205</v>
      </c>
      <c r="E126" s="19" t="s">
        <v>773</v>
      </c>
      <c r="F126" s="21" t="s">
        <v>117</v>
      </c>
      <c r="G126" s="19" t="s">
        <v>682</v>
      </c>
      <c r="H126" s="20">
        <v>40725</v>
      </c>
      <c r="I126" s="20"/>
      <c r="J126" s="21"/>
      <c r="K126" s="21"/>
      <c r="L126" s="19" t="s">
        <v>738</v>
      </c>
      <c r="M126" s="21"/>
      <c r="N126" s="19"/>
      <c r="O126" s="19"/>
      <c r="P126" s="19"/>
      <c r="Q126" s="19"/>
      <c r="R126" s="19" t="s">
        <v>668</v>
      </c>
      <c r="S126" s="19"/>
      <c r="T126" s="19" t="s">
        <v>669</v>
      </c>
      <c r="U126" s="21" t="s">
        <v>117</v>
      </c>
    </row>
    <row r="127" spans="1:21" s="22" customFormat="1" ht="87" x14ac:dyDescent="0.35">
      <c r="A127" s="19" t="s">
        <v>663</v>
      </c>
      <c r="B127" s="19" t="s">
        <v>109</v>
      </c>
      <c r="C127" s="20">
        <v>45993.629861111112</v>
      </c>
      <c r="D127" s="19" t="s">
        <v>172</v>
      </c>
      <c r="E127" s="19" t="s">
        <v>773</v>
      </c>
      <c r="F127" s="21" t="s">
        <v>173</v>
      </c>
      <c r="G127" s="19" t="s">
        <v>664</v>
      </c>
      <c r="H127" s="20">
        <v>44634</v>
      </c>
      <c r="I127" s="20"/>
      <c r="J127" s="21"/>
      <c r="K127" s="21"/>
      <c r="L127" s="19" t="s">
        <v>738</v>
      </c>
      <c r="M127" s="21"/>
      <c r="N127" s="19"/>
      <c r="O127" s="19"/>
      <c r="P127" s="19" t="s">
        <v>784</v>
      </c>
      <c r="Q127" s="19"/>
      <c r="R127" s="19" t="s">
        <v>668</v>
      </c>
      <c r="S127" s="19"/>
      <c r="T127" s="19" t="s">
        <v>669</v>
      </c>
      <c r="U127" s="21" t="s">
        <v>173</v>
      </c>
    </row>
    <row r="128" spans="1:21" s="22" customFormat="1" ht="29" x14ac:dyDescent="0.35">
      <c r="A128" s="19" t="s">
        <v>663</v>
      </c>
      <c r="B128" s="19" t="s">
        <v>109</v>
      </c>
      <c r="C128" s="20">
        <v>45993.630555555559</v>
      </c>
      <c r="D128" s="19" t="s">
        <v>501</v>
      </c>
      <c r="E128" s="19" t="s">
        <v>773</v>
      </c>
      <c r="F128" s="21" t="s">
        <v>502</v>
      </c>
      <c r="G128" s="19" t="s">
        <v>697</v>
      </c>
      <c r="H128" s="20">
        <v>44634</v>
      </c>
      <c r="I128" s="20"/>
      <c r="J128" s="21"/>
      <c r="K128" s="21"/>
      <c r="L128" s="19" t="s">
        <v>738</v>
      </c>
      <c r="M128" s="21"/>
      <c r="N128" s="19"/>
      <c r="O128" s="19"/>
      <c r="P128" s="19" t="s">
        <v>721</v>
      </c>
      <c r="Q128" s="19"/>
      <c r="R128" s="19" t="s">
        <v>668</v>
      </c>
      <c r="S128" s="19"/>
      <c r="T128" s="19" t="s">
        <v>669</v>
      </c>
      <c r="U128" s="21" t="s">
        <v>502</v>
      </c>
    </row>
    <row r="129" spans="1:21" s="22" customFormat="1" ht="87" x14ac:dyDescent="0.35">
      <c r="A129" s="19" t="s">
        <v>663</v>
      </c>
      <c r="B129" s="19" t="s">
        <v>109</v>
      </c>
      <c r="C129" s="20">
        <v>45993.630555555559</v>
      </c>
      <c r="D129" s="19" t="s">
        <v>199</v>
      </c>
      <c r="E129" s="19" t="s">
        <v>773</v>
      </c>
      <c r="F129" s="21" t="s">
        <v>173</v>
      </c>
      <c r="G129" s="19" t="s">
        <v>702</v>
      </c>
      <c r="H129" s="20">
        <v>44634</v>
      </c>
      <c r="I129" s="20"/>
      <c r="J129" s="21"/>
      <c r="K129" s="21"/>
      <c r="L129" s="19" t="s">
        <v>738</v>
      </c>
      <c r="M129" s="21"/>
      <c r="N129" s="19"/>
      <c r="O129" s="19"/>
      <c r="P129" s="19" t="s">
        <v>785</v>
      </c>
      <c r="Q129" s="19"/>
      <c r="R129" s="19" t="s">
        <v>668</v>
      </c>
      <c r="S129" s="19"/>
      <c r="T129" s="19" t="s">
        <v>669</v>
      </c>
      <c r="U129" s="21" t="s">
        <v>173</v>
      </c>
    </row>
    <row r="130" spans="1:21" s="22" customFormat="1" ht="43.5" x14ac:dyDescent="0.35">
      <c r="A130" s="19" t="s">
        <v>663</v>
      </c>
      <c r="B130" s="19" t="s">
        <v>109</v>
      </c>
      <c r="C130" s="20">
        <v>45993.632638888892</v>
      </c>
      <c r="D130" s="19" t="s">
        <v>527</v>
      </c>
      <c r="E130" s="19" t="s">
        <v>773</v>
      </c>
      <c r="F130" s="21" t="s">
        <v>502</v>
      </c>
      <c r="G130" s="19" t="s">
        <v>702</v>
      </c>
      <c r="H130" s="20">
        <v>44634</v>
      </c>
      <c r="I130" s="20"/>
      <c r="J130" s="21"/>
      <c r="K130" s="21"/>
      <c r="L130" s="19" t="s">
        <v>738</v>
      </c>
      <c r="M130" s="21"/>
      <c r="N130" s="19"/>
      <c r="O130" s="19"/>
      <c r="P130" s="19" t="s">
        <v>723</v>
      </c>
      <c r="Q130" s="19"/>
      <c r="R130" s="19" t="s">
        <v>668</v>
      </c>
      <c r="S130" s="19"/>
      <c r="T130" s="19" t="s">
        <v>669</v>
      </c>
      <c r="U130" s="21" t="s">
        <v>502</v>
      </c>
    </row>
    <row r="131" spans="1:21" s="22" customFormat="1" ht="87" x14ac:dyDescent="0.35">
      <c r="A131" s="19" t="s">
        <v>663</v>
      </c>
      <c r="B131" s="19" t="s">
        <v>109</v>
      </c>
      <c r="C131" s="20">
        <v>45993.632638888892</v>
      </c>
      <c r="D131" s="19" t="s">
        <v>226</v>
      </c>
      <c r="E131" s="19" t="s">
        <v>773</v>
      </c>
      <c r="F131" s="21" t="s">
        <v>173</v>
      </c>
      <c r="G131" s="19" t="s">
        <v>682</v>
      </c>
      <c r="H131" s="20">
        <v>44634</v>
      </c>
      <c r="I131" s="20"/>
      <c r="J131" s="21"/>
      <c r="K131" s="21"/>
      <c r="L131" s="19" t="s">
        <v>738</v>
      </c>
      <c r="M131" s="21"/>
      <c r="N131" s="19"/>
      <c r="O131" s="19"/>
      <c r="P131" s="19" t="s">
        <v>786</v>
      </c>
      <c r="Q131" s="19"/>
      <c r="R131" s="19" t="s">
        <v>668</v>
      </c>
      <c r="S131" s="19"/>
      <c r="T131" s="19" t="s">
        <v>669</v>
      </c>
      <c r="U131" s="21" t="s">
        <v>173</v>
      </c>
    </row>
    <row r="132" spans="1:21" s="22" customFormat="1" ht="43.5" x14ac:dyDescent="0.35">
      <c r="A132" s="19" t="s">
        <v>663</v>
      </c>
      <c r="B132" s="19" t="s">
        <v>109</v>
      </c>
      <c r="C132" s="20">
        <v>45993.632638888892</v>
      </c>
      <c r="D132" s="19" t="s">
        <v>546</v>
      </c>
      <c r="E132" s="19" t="s">
        <v>773</v>
      </c>
      <c r="F132" s="21" t="s">
        <v>502</v>
      </c>
      <c r="G132" s="19" t="s">
        <v>701</v>
      </c>
      <c r="H132" s="20">
        <v>44634</v>
      </c>
      <c r="I132" s="20"/>
      <c r="J132" s="21"/>
      <c r="K132" s="21"/>
      <c r="L132" s="19" t="s">
        <v>738</v>
      </c>
      <c r="M132" s="21"/>
      <c r="N132" s="19"/>
      <c r="O132" s="19"/>
      <c r="P132" s="19" t="s">
        <v>722</v>
      </c>
      <c r="Q132" s="19"/>
      <c r="R132" s="19" t="s">
        <v>668</v>
      </c>
      <c r="S132" s="19"/>
      <c r="T132" s="19" t="s">
        <v>669</v>
      </c>
      <c r="U132" s="21" t="s">
        <v>502</v>
      </c>
    </row>
    <row r="133" spans="1:21" s="22" customFormat="1" ht="29" x14ac:dyDescent="0.35">
      <c r="A133" s="19" t="s">
        <v>663</v>
      </c>
      <c r="B133" s="19" t="s">
        <v>109</v>
      </c>
      <c r="C133" s="20">
        <v>45993.635416666664</v>
      </c>
      <c r="D133" s="19" t="s">
        <v>518</v>
      </c>
      <c r="E133" s="19" t="s">
        <v>773</v>
      </c>
      <c r="F133" s="21" t="s">
        <v>519</v>
      </c>
      <c r="G133" s="19" t="s">
        <v>787</v>
      </c>
      <c r="H133" s="20">
        <v>44634</v>
      </c>
      <c r="I133" s="20"/>
      <c r="J133" s="21"/>
      <c r="K133" s="21"/>
      <c r="L133" s="19" t="s">
        <v>738</v>
      </c>
      <c r="M133" s="21"/>
      <c r="N133" s="19"/>
      <c r="O133" s="19"/>
      <c r="P133" s="19" t="s">
        <v>721</v>
      </c>
      <c r="Q133" s="19"/>
      <c r="R133" s="19" t="s">
        <v>668</v>
      </c>
      <c r="S133" s="19"/>
      <c r="T133" s="19" t="s">
        <v>669</v>
      </c>
      <c r="U133" s="21" t="s">
        <v>519</v>
      </c>
    </row>
    <row r="134" spans="1:21" s="22" customFormat="1" ht="43.5" x14ac:dyDescent="0.35">
      <c r="A134" s="19" t="s">
        <v>663</v>
      </c>
      <c r="B134" s="19" t="s">
        <v>109</v>
      </c>
      <c r="C134" s="20">
        <v>45993.635416666664</v>
      </c>
      <c r="D134" s="19" t="s">
        <v>538</v>
      </c>
      <c r="E134" s="19" t="s">
        <v>773</v>
      </c>
      <c r="F134" s="21" t="s">
        <v>519</v>
      </c>
      <c r="G134" s="19" t="s">
        <v>788</v>
      </c>
      <c r="H134" s="20">
        <v>44634</v>
      </c>
      <c r="I134" s="20"/>
      <c r="J134" s="21"/>
      <c r="K134" s="21"/>
      <c r="L134" s="19" t="s">
        <v>738</v>
      </c>
      <c r="M134" s="21"/>
      <c r="N134" s="19"/>
      <c r="O134" s="19"/>
      <c r="P134" s="19" t="s">
        <v>723</v>
      </c>
      <c r="Q134" s="19"/>
      <c r="R134" s="19" t="s">
        <v>668</v>
      </c>
      <c r="S134" s="19"/>
      <c r="T134" s="19" t="s">
        <v>669</v>
      </c>
      <c r="U134" s="21" t="s">
        <v>519</v>
      </c>
    </row>
    <row r="135" spans="1:21" s="22" customFormat="1" ht="43.5" x14ac:dyDescent="0.35">
      <c r="A135" s="19" t="s">
        <v>663</v>
      </c>
      <c r="B135" s="19" t="s">
        <v>109</v>
      </c>
      <c r="C135" s="20">
        <v>45993.635416666664</v>
      </c>
      <c r="D135" s="19" t="s">
        <v>559</v>
      </c>
      <c r="E135" s="19" t="s">
        <v>773</v>
      </c>
      <c r="F135" s="21" t="s">
        <v>519</v>
      </c>
      <c r="G135" s="19" t="s">
        <v>701</v>
      </c>
      <c r="H135" s="20">
        <v>44634</v>
      </c>
      <c r="I135" s="20"/>
      <c r="J135" s="21"/>
      <c r="K135" s="21"/>
      <c r="L135" s="19" t="s">
        <v>738</v>
      </c>
      <c r="M135" s="21"/>
      <c r="N135" s="19"/>
      <c r="O135" s="19"/>
      <c r="P135" s="19" t="s">
        <v>722</v>
      </c>
      <c r="Q135" s="19"/>
      <c r="R135" s="19" t="s">
        <v>668</v>
      </c>
      <c r="S135" s="19"/>
      <c r="T135" s="19" t="s">
        <v>669</v>
      </c>
      <c r="U135" s="21" t="s">
        <v>519</v>
      </c>
    </row>
    <row r="136" spans="1:21" s="22" customFormat="1" ht="43.5" x14ac:dyDescent="0.35">
      <c r="A136" s="19" t="s">
        <v>663</v>
      </c>
      <c r="B136" s="19" t="s">
        <v>109</v>
      </c>
      <c r="C136" s="20">
        <v>45993.635416666664</v>
      </c>
      <c r="D136" s="19" t="s">
        <v>218</v>
      </c>
      <c r="E136" s="19" t="s">
        <v>773</v>
      </c>
      <c r="F136" s="21" t="s">
        <v>190</v>
      </c>
      <c r="G136" s="19" t="s">
        <v>789</v>
      </c>
      <c r="H136" s="20">
        <v>45782</v>
      </c>
      <c r="I136" s="20"/>
      <c r="J136" s="21"/>
      <c r="K136" s="21"/>
      <c r="L136" s="19" t="s">
        <v>738</v>
      </c>
      <c r="M136" s="21"/>
      <c r="N136" s="19"/>
      <c r="O136" s="19"/>
      <c r="P136" s="19" t="s">
        <v>790</v>
      </c>
      <c r="Q136" s="19"/>
      <c r="R136" s="19" t="s">
        <v>668</v>
      </c>
      <c r="S136" s="19"/>
      <c r="T136" s="19" t="s">
        <v>669</v>
      </c>
      <c r="U136" s="21" t="s">
        <v>190</v>
      </c>
    </row>
    <row r="137" spans="1:21" s="22" customFormat="1" ht="43.5" x14ac:dyDescent="0.35">
      <c r="A137" s="19" t="s">
        <v>663</v>
      </c>
      <c r="B137" s="19" t="s">
        <v>109</v>
      </c>
      <c r="C137" s="20">
        <v>45993.635416666664</v>
      </c>
      <c r="D137" s="19" t="s">
        <v>189</v>
      </c>
      <c r="E137" s="19" t="s">
        <v>773</v>
      </c>
      <c r="F137" s="21" t="s">
        <v>190</v>
      </c>
      <c r="G137" s="19" t="s">
        <v>702</v>
      </c>
      <c r="H137" s="20">
        <v>45782</v>
      </c>
      <c r="I137" s="20"/>
      <c r="J137" s="21"/>
      <c r="K137" s="21"/>
      <c r="L137" s="19" t="s">
        <v>738</v>
      </c>
      <c r="M137" s="21"/>
      <c r="N137" s="19"/>
      <c r="O137" s="19"/>
      <c r="P137" s="19" t="s">
        <v>791</v>
      </c>
      <c r="Q137" s="19"/>
      <c r="R137" s="19" t="s">
        <v>668</v>
      </c>
      <c r="S137" s="19"/>
      <c r="T137" s="19" t="s">
        <v>669</v>
      </c>
      <c r="U137" s="21" t="s">
        <v>190</v>
      </c>
    </row>
    <row r="138" spans="1:21" ht="87" x14ac:dyDescent="0.35">
      <c r="A138" s="13" t="s">
        <v>76</v>
      </c>
      <c r="B138" s="13" t="s">
        <v>77</v>
      </c>
      <c r="C138" s="14">
        <v>43160.693749999999</v>
      </c>
      <c r="D138" s="13" t="s">
        <v>614</v>
      </c>
      <c r="E138" s="13" t="s">
        <v>792</v>
      </c>
      <c r="F138" s="15" t="s">
        <v>615</v>
      </c>
      <c r="G138" s="13"/>
      <c r="H138" s="14">
        <v>40725</v>
      </c>
      <c r="I138" s="14"/>
      <c r="J138" s="15"/>
      <c r="K138" s="15"/>
      <c r="L138" s="13" t="s">
        <v>738</v>
      </c>
      <c r="M138" s="15"/>
      <c r="N138" s="13"/>
      <c r="O138" s="13"/>
      <c r="P138" s="13"/>
      <c r="Q138" s="13" t="s">
        <v>793</v>
      </c>
      <c r="R138" s="13"/>
      <c r="S138" s="13"/>
      <c r="T138" s="13" t="s">
        <v>669</v>
      </c>
      <c r="U138" s="15" t="s">
        <v>615</v>
      </c>
    </row>
    <row r="139" spans="1:21" ht="87" x14ac:dyDescent="0.35">
      <c r="A139" s="13" t="s">
        <v>76</v>
      </c>
      <c r="B139" s="13" t="s">
        <v>77</v>
      </c>
      <c r="C139" s="14">
        <v>43157.60833333333</v>
      </c>
      <c r="D139" s="13" t="s">
        <v>616</v>
      </c>
      <c r="E139" s="13" t="s">
        <v>792</v>
      </c>
      <c r="F139" s="15" t="s">
        <v>617</v>
      </c>
      <c r="G139" s="13"/>
      <c r="H139" s="14">
        <v>40725</v>
      </c>
      <c r="I139" s="14"/>
      <c r="J139" s="15"/>
      <c r="K139" s="15"/>
      <c r="L139" s="13" t="s">
        <v>738</v>
      </c>
      <c r="M139" s="15"/>
      <c r="N139" s="13"/>
      <c r="O139" s="13"/>
      <c r="P139" s="13"/>
      <c r="Q139" s="13" t="s">
        <v>794</v>
      </c>
      <c r="R139" s="13"/>
      <c r="S139" s="13"/>
      <c r="T139" s="13" t="s">
        <v>669</v>
      </c>
      <c r="U139" s="15" t="s">
        <v>617</v>
      </c>
    </row>
    <row r="140" spans="1:21" ht="72.5" x14ac:dyDescent="0.35">
      <c r="A140" s="13" t="s">
        <v>76</v>
      </c>
      <c r="B140" s="13" t="s">
        <v>77</v>
      </c>
      <c r="C140" s="14">
        <v>43157.60833333333</v>
      </c>
      <c r="D140" s="13" t="s">
        <v>618</v>
      </c>
      <c r="E140" s="13" t="s">
        <v>792</v>
      </c>
      <c r="F140" s="15" t="s">
        <v>619</v>
      </c>
      <c r="G140" s="13"/>
      <c r="H140" s="14">
        <v>40725</v>
      </c>
      <c r="I140" s="14"/>
      <c r="J140" s="15"/>
      <c r="K140" s="15"/>
      <c r="L140" s="13" t="s">
        <v>738</v>
      </c>
      <c r="M140" s="15"/>
      <c r="N140" s="13"/>
      <c r="O140" s="13"/>
      <c r="P140" s="13"/>
      <c r="Q140" s="13" t="s">
        <v>795</v>
      </c>
      <c r="R140" s="13"/>
      <c r="S140" s="13"/>
      <c r="T140" s="13" t="s">
        <v>669</v>
      </c>
      <c r="U140" s="15" t="s">
        <v>619</v>
      </c>
    </row>
    <row r="141" spans="1:21" ht="72.5" x14ac:dyDescent="0.35">
      <c r="A141" s="13" t="s">
        <v>76</v>
      </c>
      <c r="B141" s="13" t="s">
        <v>77</v>
      </c>
      <c r="C141" s="14">
        <v>43157.590277777781</v>
      </c>
      <c r="D141" s="13" t="s">
        <v>620</v>
      </c>
      <c r="E141" s="13" t="s">
        <v>792</v>
      </c>
      <c r="F141" s="15" t="s">
        <v>621</v>
      </c>
      <c r="G141" s="13"/>
      <c r="H141" s="14">
        <v>40725</v>
      </c>
      <c r="I141" s="14"/>
      <c r="J141" s="15"/>
      <c r="K141" s="15"/>
      <c r="L141" s="13" t="s">
        <v>738</v>
      </c>
      <c r="M141" s="15"/>
      <c r="N141" s="13"/>
      <c r="O141" s="13"/>
      <c r="P141" s="13"/>
      <c r="Q141" s="13" t="s">
        <v>796</v>
      </c>
      <c r="R141" s="13"/>
      <c r="S141" s="13"/>
      <c r="T141" s="13" t="s">
        <v>669</v>
      </c>
      <c r="U141" s="15" t="s">
        <v>621</v>
      </c>
    </row>
    <row r="142" spans="1:21" ht="87" x14ac:dyDescent="0.35">
      <c r="A142" s="13" t="s">
        <v>76</v>
      </c>
      <c r="B142" s="13" t="s">
        <v>77</v>
      </c>
      <c r="C142" s="14">
        <v>43157.60833333333</v>
      </c>
      <c r="D142" s="13" t="s">
        <v>622</v>
      </c>
      <c r="E142" s="13" t="s">
        <v>792</v>
      </c>
      <c r="F142" s="15" t="s">
        <v>623</v>
      </c>
      <c r="G142" s="13"/>
      <c r="H142" s="14">
        <v>40725</v>
      </c>
      <c r="I142" s="14"/>
      <c r="J142" s="15"/>
      <c r="K142" s="15"/>
      <c r="L142" s="13" t="s">
        <v>738</v>
      </c>
      <c r="M142" s="15"/>
      <c r="N142" s="13"/>
      <c r="O142" s="13"/>
      <c r="P142" s="13"/>
      <c r="Q142" s="13" t="s">
        <v>797</v>
      </c>
      <c r="R142" s="13"/>
      <c r="S142" s="13"/>
      <c r="T142" s="13" t="s">
        <v>669</v>
      </c>
      <c r="U142" s="15" t="s">
        <v>623</v>
      </c>
    </row>
    <row r="143" spans="1:21" ht="87" x14ac:dyDescent="0.35">
      <c r="A143" s="13" t="s">
        <v>76</v>
      </c>
      <c r="B143" s="13" t="s">
        <v>77</v>
      </c>
      <c r="C143" s="14">
        <v>43157.60833333333</v>
      </c>
      <c r="D143" s="13" t="s">
        <v>624</v>
      </c>
      <c r="E143" s="13" t="s">
        <v>792</v>
      </c>
      <c r="F143" s="15" t="s">
        <v>625</v>
      </c>
      <c r="G143" s="13"/>
      <c r="H143" s="14">
        <v>40725</v>
      </c>
      <c r="I143" s="14"/>
      <c r="J143" s="15"/>
      <c r="K143" s="15"/>
      <c r="L143" s="13" t="s">
        <v>738</v>
      </c>
      <c r="M143" s="15"/>
      <c r="N143" s="13"/>
      <c r="O143" s="13"/>
      <c r="P143" s="13"/>
      <c r="Q143" s="13" t="s">
        <v>798</v>
      </c>
      <c r="R143" s="13"/>
      <c r="S143" s="13"/>
      <c r="T143" s="13" t="s">
        <v>669</v>
      </c>
      <c r="U143" s="15" t="s">
        <v>799</v>
      </c>
    </row>
    <row r="144" spans="1:21" ht="72.5" x14ac:dyDescent="0.35">
      <c r="A144" s="13" t="s">
        <v>76</v>
      </c>
      <c r="B144" s="13" t="s">
        <v>77</v>
      </c>
      <c r="C144" s="14">
        <v>43160.678472222222</v>
      </c>
      <c r="D144" s="13" t="s">
        <v>626</v>
      </c>
      <c r="E144" s="13" t="s">
        <v>792</v>
      </c>
      <c r="F144" s="15" t="s">
        <v>627</v>
      </c>
      <c r="G144" s="13"/>
      <c r="H144" s="14">
        <v>40725</v>
      </c>
      <c r="I144" s="14"/>
      <c r="J144" s="15"/>
      <c r="K144" s="15"/>
      <c r="L144" s="13" t="s">
        <v>738</v>
      </c>
      <c r="M144" s="15"/>
      <c r="N144" s="13"/>
      <c r="O144" s="13"/>
      <c r="P144" s="13"/>
      <c r="Q144" s="13" t="s">
        <v>800</v>
      </c>
      <c r="R144" s="13"/>
      <c r="S144" s="13"/>
      <c r="T144" s="13" t="s">
        <v>669</v>
      </c>
      <c r="U144" s="15" t="s">
        <v>627</v>
      </c>
    </row>
    <row r="145" spans="1:21" ht="72.5" x14ac:dyDescent="0.35">
      <c r="A145" s="13" t="s">
        <v>76</v>
      </c>
      <c r="B145" s="13" t="s">
        <v>77</v>
      </c>
      <c r="C145" s="14">
        <v>43157.60833333333</v>
      </c>
      <c r="D145" s="13" t="s">
        <v>628</v>
      </c>
      <c r="E145" s="13" t="s">
        <v>792</v>
      </c>
      <c r="F145" s="15" t="s">
        <v>629</v>
      </c>
      <c r="G145" s="13"/>
      <c r="H145" s="14">
        <v>40725</v>
      </c>
      <c r="I145" s="14"/>
      <c r="J145" s="15"/>
      <c r="K145" s="15"/>
      <c r="L145" s="13" t="s">
        <v>738</v>
      </c>
      <c r="M145" s="15"/>
      <c r="N145" s="13"/>
      <c r="O145" s="13"/>
      <c r="P145" s="13"/>
      <c r="Q145" s="13" t="s">
        <v>801</v>
      </c>
      <c r="R145" s="13"/>
      <c r="S145" s="13"/>
      <c r="T145" s="13" t="s">
        <v>669</v>
      </c>
      <c r="U145" s="15" t="s">
        <v>629</v>
      </c>
    </row>
    <row r="146" spans="1:21" ht="72.5" x14ac:dyDescent="0.35">
      <c r="A146" s="13" t="s">
        <v>76</v>
      </c>
      <c r="B146" s="13" t="s">
        <v>77</v>
      </c>
      <c r="C146" s="14">
        <v>43160.678472222222</v>
      </c>
      <c r="D146" s="13" t="s">
        <v>631</v>
      </c>
      <c r="E146" s="13" t="s">
        <v>792</v>
      </c>
      <c r="F146" s="15" t="s">
        <v>632</v>
      </c>
      <c r="G146" s="13"/>
      <c r="H146" s="14">
        <v>40725</v>
      </c>
      <c r="I146" s="14"/>
      <c r="J146" s="15"/>
      <c r="K146" s="15"/>
      <c r="L146" s="13" t="s">
        <v>738</v>
      </c>
      <c r="M146" s="15"/>
      <c r="N146" s="13"/>
      <c r="O146" s="13"/>
      <c r="P146" s="13"/>
      <c r="Q146" s="13" t="s">
        <v>802</v>
      </c>
      <c r="R146" s="13"/>
      <c r="S146" s="13"/>
      <c r="T146" s="13" t="s">
        <v>669</v>
      </c>
      <c r="U146" s="15" t="s">
        <v>632</v>
      </c>
    </row>
  </sheetData>
  <autoFilter ref="A1:Z146" xr:uid="{6BA2D79C-73B2-4D23-B6F3-B397B35E6C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2026-01-21T15:06:36Z</dcterms:created>
  <dcterms:modified xsi:type="dcterms:W3CDTF">2026-01-21T15:10:57Z</dcterms:modified>
</cp:coreProperties>
</file>