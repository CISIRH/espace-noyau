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8CBEDAE6-B0E7-47A6-936B-D68D1003921F}" xr6:coauthVersionLast="47" xr6:coauthVersionMax="47" xr10:uidLastSave="{00000000-0000-0000-0000-000000000000}"/>
  <bookViews>
    <workbookView xWindow="25080" yWindow="-90" windowWidth="25440" windowHeight="15270" xr2:uid="{4D4BFB8B-099A-4E7F-A2D5-DE4D151721D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RG'!$A$1:$OJ$471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gestion'!$A$1:$Z$41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26" i="4" l="1"/>
  <c r="AN120" i="4"/>
  <c r="AN117" i="4"/>
  <c r="AN116" i="4"/>
  <c r="AN111" i="4"/>
  <c r="AN110" i="4"/>
  <c r="AN78" i="4"/>
  <c r="AN69" i="4"/>
  <c r="AN57" i="4"/>
  <c r="AN48" i="4"/>
  <c r="AN24" i="4"/>
  <c r="AN18" i="4"/>
  <c r="AN17" i="4"/>
  <c r="AN9" i="4"/>
  <c r="AN3" i="4"/>
  <c r="AN2" i="4"/>
  <c r="AL126" i="4"/>
  <c r="AL120" i="4"/>
  <c r="AL117" i="4"/>
  <c r="AL116" i="4"/>
  <c r="AL111" i="4"/>
  <c r="AL110" i="4"/>
  <c r="AL78" i="4"/>
  <c r="AL69" i="4"/>
  <c r="AL57" i="4"/>
  <c r="AL48" i="4"/>
  <c r="AL24" i="4"/>
  <c r="AL18" i="4"/>
  <c r="AL17" i="4"/>
  <c r="AL9" i="4"/>
  <c r="AL3" i="4"/>
  <c r="AL2" i="4"/>
  <c r="AJ126" i="4"/>
  <c r="AJ120" i="4"/>
  <c r="AJ117" i="4"/>
  <c r="AJ116" i="4"/>
  <c r="AJ111" i="4"/>
  <c r="AJ110" i="4"/>
  <c r="AJ78" i="4"/>
  <c r="AJ69" i="4"/>
  <c r="AJ57" i="4"/>
  <c r="AJ48" i="4"/>
  <c r="AJ24" i="4"/>
  <c r="AJ18" i="4"/>
  <c r="AJ17" i="4"/>
  <c r="AJ9" i="4"/>
  <c r="AJ3" i="4"/>
  <c r="AJ2" i="4"/>
  <c r="AH126" i="4"/>
  <c r="AH120" i="4"/>
  <c r="AH117" i="4"/>
  <c r="AH116" i="4"/>
  <c r="AH111" i="4"/>
  <c r="AH110" i="4"/>
  <c r="AH78" i="4"/>
  <c r="AH69" i="4"/>
  <c r="AH57" i="4"/>
  <c r="AH48" i="4"/>
  <c r="AH24" i="4"/>
  <c r="AH18" i="4"/>
  <c r="AH17" i="4"/>
  <c r="AH9" i="4"/>
  <c r="AH3" i="4"/>
  <c r="AH2" i="4"/>
  <c r="AF126" i="4"/>
  <c r="AF120" i="4"/>
  <c r="AF117" i="4"/>
  <c r="AF116" i="4"/>
  <c r="AF111" i="4"/>
  <c r="AF110" i="4"/>
  <c r="AF78" i="4"/>
  <c r="AF69" i="4"/>
  <c r="AF57" i="4"/>
  <c r="AF48" i="4"/>
  <c r="AF24" i="4"/>
  <c r="AF18" i="4"/>
  <c r="AF17" i="4"/>
  <c r="AF9" i="4"/>
  <c r="AF3" i="4"/>
  <c r="AF2" i="4"/>
  <c r="AD126" i="4"/>
  <c r="AD120" i="4"/>
  <c r="AD117" i="4"/>
  <c r="AD116" i="4"/>
  <c r="AD111" i="4"/>
  <c r="AD110" i="4"/>
  <c r="AD78" i="4"/>
  <c r="AD69" i="4"/>
  <c r="AD57" i="4"/>
  <c r="AD48" i="4"/>
  <c r="AD24" i="4"/>
  <c r="AD18" i="4"/>
  <c r="AD17" i="4"/>
  <c r="AD9" i="4"/>
  <c r="AD3" i="4"/>
  <c r="AD2" i="4"/>
  <c r="AB126" i="4"/>
  <c r="AB120" i="4"/>
  <c r="AB117" i="4"/>
  <c r="AB116" i="4"/>
  <c r="AB111" i="4"/>
  <c r="AB110" i="4"/>
  <c r="AB78" i="4"/>
  <c r="AB69" i="4"/>
  <c r="AB57" i="4"/>
  <c r="AB48" i="4"/>
  <c r="AB24" i="4"/>
  <c r="AB18" i="4"/>
  <c r="AB17" i="4"/>
  <c r="AB9" i="4"/>
  <c r="AB3" i="4"/>
  <c r="AB2" i="4"/>
  <c r="Z126" i="4"/>
  <c r="Z120" i="4"/>
  <c r="Z117" i="4"/>
  <c r="Z116" i="4"/>
  <c r="Z111" i="4"/>
  <c r="Z110" i="4"/>
  <c r="Z78" i="4"/>
  <c r="Z69" i="4"/>
  <c r="Z57" i="4"/>
  <c r="Z48" i="4"/>
  <c r="Z24" i="4"/>
  <c r="Z18" i="4"/>
  <c r="Z17" i="4"/>
  <c r="Z9" i="4"/>
  <c r="Z3" i="4"/>
  <c r="Z2" i="4"/>
  <c r="BP151" i="5"/>
  <c r="BP150" i="5"/>
  <c r="BP149" i="5"/>
  <c r="BP142" i="5"/>
  <c r="BP141" i="5"/>
  <c r="BP140" i="5"/>
  <c r="BP136" i="5"/>
  <c r="BP130" i="5"/>
  <c r="BP126" i="5"/>
  <c r="BP120" i="5"/>
  <c r="BP116" i="5"/>
  <c r="BP110" i="5"/>
  <c r="BP99" i="5"/>
  <c r="BP90" i="5"/>
  <c r="BP78" i="5"/>
  <c r="BP69" i="5"/>
  <c r="BP57" i="5"/>
  <c r="BP48" i="5"/>
  <c r="BP39" i="5"/>
  <c r="BP33" i="5"/>
  <c r="BP32" i="5"/>
  <c r="BP24" i="5"/>
  <c r="BP18" i="5"/>
  <c r="BP17" i="5"/>
  <c r="BP9" i="5"/>
  <c r="BP3" i="5"/>
  <c r="BP2" i="5"/>
  <c r="BN151" i="5"/>
  <c r="BN150" i="5"/>
  <c r="BN149" i="5"/>
  <c r="BN142" i="5"/>
  <c r="BN141" i="5"/>
  <c r="BN140" i="5"/>
  <c r="BN136" i="5"/>
  <c r="BN130" i="5"/>
  <c r="BN126" i="5"/>
  <c r="BN120" i="5"/>
  <c r="BN116" i="5"/>
  <c r="BN110" i="5"/>
  <c r="BN99" i="5"/>
  <c r="BN90" i="5"/>
  <c r="BN78" i="5"/>
  <c r="BN69" i="5"/>
  <c r="BN57" i="5"/>
  <c r="BN48" i="5"/>
  <c r="BN39" i="5"/>
  <c r="BN33" i="5"/>
  <c r="BN32" i="5"/>
  <c r="BN24" i="5"/>
  <c r="BN18" i="5"/>
  <c r="BN17" i="5"/>
  <c r="BN9" i="5"/>
  <c r="BN3" i="5"/>
  <c r="BN2" i="5"/>
  <c r="BL151" i="5"/>
  <c r="BL150" i="5"/>
  <c r="BL149" i="5"/>
  <c r="BL142" i="5"/>
  <c r="BL141" i="5"/>
  <c r="BL140" i="5"/>
  <c r="BL137" i="5"/>
  <c r="BL136" i="5"/>
  <c r="BL131" i="5"/>
  <c r="BL130" i="5"/>
  <c r="BL127" i="5"/>
  <c r="BL126" i="5"/>
  <c r="BL121" i="5"/>
  <c r="BL120" i="5"/>
  <c r="BL117" i="5"/>
  <c r="BL116" i="5"/>
  <c r="BL111" i="5"/>
  <c r="BL110" i="5"/>
  <c r="BL100" i="5"/>
  <c r="BL99" i="5"/>
  <c r="BL91" i="5"/>
  <c r="BL90" i="5"/>
  <c r="BL79" i="5"/>
  <c r="BL78" i="5"/>
  <c r="BL70" i="5"/>
  <c r="BL69" i="5"/>
  <c r="BL58" i="5"/>
  <c r="BL57" i="5"/>
  <c r="BL49" i="5"/>
  <c r="BL48" i="5"/>
  <c r="BL40" i="5"/>
  <c r="BL39" i="5"/>
  <c r="BL34" i="5"/>
  <c r="BL33" i="5"/>
  <c r="BL32" i="5"/>
  <c r="BL25" i="5"/>
  <c r="BL24" i="5"/>
  <c r="BL19" i="5"/>
  <c r="BL18" i="5"/>
  <c r="BL17" i="5"/>
  <c r="BL10" i="5"/>
  <c r="BL9" i="5"/>
  <c r="BL4" i="5"/>
  <c r="BL3" i="5"/>
  <c r="BL2" i="5"/>
  <c r="BJ151" i="5"/>
  <c r="BJ150" i="5"/>
  <c r="BJ149" i="5"/>
  <c r="BJ142" i="5"/>
  <c r="BJ141" i="5"/>
  <c r="BJ140" i="5"/>
  <c r="BJ137" i="5"/>
  <c r="BJ136" i="5"/>
  <c r="BJ131" i="5"/>
  <c r="BJ130" i="5"/>
  <c r="BJ127" i="5"/>
  <c r="BJ126" i="5"/>
  <c r="BJ121" i="5"/>
  <c r="BJ120" i="5"/>
  <c r="BJ117" i="5"/>
  <c r="BJ116" i="5"/>
  <c r="BJ111" i="5"/>
  <c r="BJ110" i="5"/>
  <c r="BJ100" i="5"/>
  <c r="BJ99" i="5"/>
  <c r="BJ91" i="5"/>
  <c r="BJ90" i="5"/>
  <c r="BJ79" i="5"/>
  <c r="BJ78" i="5"/>
  <c r="BJ70" i="5"/>
  <c r="BJ69" i="5"/>
  <c r="BJ58" i="5"/>
  <c r="BJ57" i="5"/>
  <c r="BJ49" i="5"/>
  <c r="BJ48" i="5"/>
  <c r="BJ40" i="5"/>
  <c r="BJ39" i="5"/>
  <c r="BJ34" i="5"/>
  <c r="BJ33" i="5"/>
  <c r="BJ32" i="5"/>
  <c r="BJ25" i="5"/>
  <c r="BJ24" i="5"/>
  <c r="BJ19" i="5"/>
  <c r="BJ18" i="5"/>
  <c r="BJ17" i="5"/>
  <c r="BJ10" i="5"/>
  <c r="BJ9" i="5"/>
  <c r="BJ4" i="5"/>
  <c r="BJ3" i="5"/>
  <c r="BJ2" i="5"/>
  <c r="BH151" i="5"/>
  <c r="BH150" i="5"/>
  <c r="BH149" i="5"/>
  <c r="BH142" i="5"/>
  <c r="BH141" i="5"/>
  <c r="BH140" i="5"/>
  <c r="BH137" i="5"/>
  <c r="BH136" i="5"/>
  <c r="BH131" i="5"/>
  <c r="BH130" i="5"/>
  <c r="BH127" i="5"/>
  <c r="BH126" i="5"/>
  <c r="BH121" i="5"/>
  <c r="BH120" i="5"/>
  <c r="BH117" i="5"/>
  <c r="BH116" i="5"/>
  <c r="BH111" i="5"/>
  <c r="BH110" i="5"/>
  <c r="BH100" i="5"/>
  <c r="BH99" i="5"/>
  <c r="BH91" i="5"/>
  <c r="BH90" i="5"/>
  <c r="BH79" i="5"/>
  <c r="BH78" i="5"/>
  <c r="BH70" i="5"/>
  <c r="BH69" i="5"/>
  <c r="BH58" i="5"/>
  <c r="BH57" i="5"/>
  <c r="BH49" i="5"/>
  <c r="BH48" i="5"/>
  <c r="BH40" i="5"/>
  <c r="BH39" i="5"/>
  <c r="BH34" i="5"/>
  <c r="BH33" i="5"/>
  <c r="BH32" i="5"/>
  <c r="BH25" i="5"/>
  <c r="BH24" i="5"/>
  <c r="BH19" i="5"/>
  <c r="BH18" i="5"/>
  <c r="BH17" i="5"/>
  <c r="BH10" i="5"/>
  <c r="BH9" i="5"/>
  <c r="BH4" i="5"/>
  <c r="BH3" i="5"/>
  <c r="BH2" i="5"/>
  <c r="BF151" i="5"/>
  <c r="BF150" i="5"/>
  <c r="BF149" i="5"/>
  <c r="BF142" i="5"/>
  <c r="BF141" i="5"/>
  <c r="BF140" i="5"/>
  <c r="BF137" i="5"/>
  <c r="BF136" i="5"/>
  <c r="BF131" i="5"/>
  <c r="BF130" i="5"/>
  <c r="BF127" i="5"/>
  <c r="BF126" i="5"/>
  <c r="BF121" i="5"/>
  <c r="BF120" i="5"/>
  <c r="BF117" i="5"/>
  <c r="BF116" i="5"/>
  <c r="BF111" i="5"/>
  <c r="BF110" i="5"/>
  <c r="BF100" i="5"/>
  <c r="BF99" i="5"/>
  <c r="BF91" i="5"/>
  <c r="BF90" i="5"/>
  <c r="BF79" i="5"/>
  <c r="BF78" i="5"/>
  <c r="BF70" i="5"/>
  <c r="BF69" i="5"/>
  <c r="BF58" i="5"/>
  <c r="BF57" i="5"/>
  <c r="BF49" i="5"/>
  <c r="BF48" i="5"/>
  <c r="BF40" i="5"/>
  <c r="BF39" i="5"/>
  <c r="BF34" i="5"/>
  <c r="BF33" i="5"/>
  <c r="BF32" i="5"/>
  <c r="BF25" i="5"/>
  <c r="BF24" i="5"/>
  <c r="BF19" i="5"/>
  <c r="BF18" i="5"/>
  <c r="BF17" i="5"/>
  <c r="BF10" i="5"/>
  <c r="BF9" i="5"/>
  <c r="BF4" i="5"/>
  <c r="BF3" i="5"/>
  <c r="BF2" i="5"/>
  <c r="BD151" i="5"/>
  <c r="BD150" i="5"/>
  <c r="BD149" i="5"/>
  <c r="BD142" i="5"/>
  <c r="BD141" i="5"/>
  <c r="BD140" i="5"/>
  <c r="BD137" i="5"/>
  <c r="BD136" i="5"/>
  <c r="BD131" i="5"/>
  <c r="BD130" i="5"/>
  <c r="BD127" i="5"/>
  <c r="BD126" i="5"/>
  <c r="BD121" i="5"/>
  <c r="BD120" i="5"/>
  <c r="BD117" i="5"/>
  <c r="BD116" i="5"/>
  <c r="BD111" i="5"/>
  <c r="BD110" i="5"/>
  <c r="BD100" i="5"/>
  <c r="BD99" i="5"/>
  <c r="BD91" i="5"/>
  <c r="BD90" i="5"/>
  <c r="BD79" i="5"/>
  <c r="BD78" i="5"/>
  <c r="BD70" i="5"/>
  <c r="BD69" i="5"/>
  <c r="BD58" i="5"/>
  <c r="BD57" i="5"/>
  <c r="BD49" i="5"/>
  <c r="BD48" i="5"/>
  <c r="BD40" i="5"/>
  <c r="BD39" i="5"/>
  <c r="BD34" i="5"/>
  <c r="BD33" i="5"/>
  <c r="BD32" i="5"/>
  <c r="BD25" i="5"/>
  <c r="BD24" i="5"/>
  <c r="BD19" i="5"/>
  <c r="BD18" i="5"/>
  <c r="BD17" i="5"/>
  <c r="BD10" i="5"/>
  <c r="BD9" i="5"/>
  <c r="BD4" i="5"/>
  <c r="BD3" i="5"/>
  <c r="BD2" i="5"/>
  <c r="BB151" i="5"/>
  <c r="BB150" i="5"/>
  <c r="BB149" i="5"/>
  <c r="BB142" i="5"/>
  <c r="BB141" i="5"/>
  <c r="BB140" i="5"/>
  <c r="BB137" i="5"/>
  <c r="BB136" i="5"/>
  <c r="BB131" i="5"/>
  <c r="BB130" i="5"/>
  <c r="BB127" i="5"/>
  <c r="BB126" i="5"/>
  <c r="BB121" i="5"/>
  <c r="BB120" i="5"/>
  <c r="BB117" i="5"/>
  <c r="BB116" i="5"/>
  <c r="BB111" i="5"/>
  <c r="BB110" i="5"/>
  <c r="BB100" i="5"/>
  <c r="BB99" i="5"/>
  <c r="BB91" i="5"/>
  <c r="BB90" i="5"/>
  <c r="BB79" i="5"/>
  <c r="BB78" i="5"/>
  <c r="BB70" i="5"/>
  <c r="BB69" i="5"/>
  <c r="BB58" i="5"/>
  <c r="BB57" i="5"/>
  <c r="BB49" i="5"/>
  <c r="BB48" i="5"/>
  <c r="BB40" i="5"/>
  <c r="BB39" i="5"/>
  <c r="BB34" i="5"/>
  <c r="BB33" i="5"/>
  <c r="BB32" i="5"/>
  <c r="BB25" i="5"/>
  <c r="BB24" i="5"/>
  <c r="BB19" i="5"/>
  <c r="BB18" i="5"/>
  <c r="BB17" i="5"/>
  <c r="BB10" i="5"/>
  <c r="BB9" i="5"/>
  <c r="BB4" i="5"/>
  <c r="BB3" i="5"/>
  <c r="BB2" i="5"/>
  <c r="AZ151" i="5"/>
  <c r="AZ150" i="5"/>
  <c r="AZ149" i="5"/>
  <c r="AZ142" i="5"/>
  <c r="AZ141" i="5"/>
  <c r="AZ140" i="5"/>
  <c r="AZ137" i="5"/>
  <c r="AZ136" i="5"/>
  <c r="AZ131" i="5"/>
  <c r="AZ130" i="5"/>
  <c r="AZ127" i="5"/>
  <c r="AZ126" i="5"/>
  <c r="AZ121" i="5"/>
  <c r="AZ120" i="5"/>
  <c r="AZ117" i="5"/>
  <c r="AZ116" i="5"/>
  <c r="AZ111" i="5"/>
  <c r="AZ110" i="5"/>
  <c r="AZ100" i="5"/>
  <c r="AZ99" i="5"/>
  <c r="AZ91" i="5"/>
  <c r="AZ90" i="5"/>
  <c r="AZ79" i="5"/>
  <c r="AZ78" i="5"/>
  <c r="AZ70" i="5"/>
  <c r="AZ69" i="5"/>
  <c r="AZ58" i="5"/>
  <c r="AZ57" i="5"/>
  <c r="AZ49" i="5"/>
  <c r="AZ48" i="5"/>
  <c r="AZ40" i="5"/>
  <c r="AZ39" i="5"/>
  <c r="AZ34" i="5"/>
  <c r="AZ33" i="5"/>
  <c r="AZ32" i="5"/>
  <c r="AZ25" i="5"/>
  <c r="AZ24" i="5"/>
  <c r="AZ19" i="5"/>
  <c r="AZ18" i="5"/>
  <c r="AZ17" i="5"/>
  <c r="AZ10" i="5"/>
  <c r="AZ9" i="5"/>
  <c r="AZ4" i="5"/>
  <c r="AZ3" i="5"/>
  <c r="AZ2" i="5"/>
  <c r="AX151" i="5"/>
  <c r="AX150" i="5"/>
  <c r="AX149" i="5"/>
  <c r="AX142" i="5"/>
  <c r="AX141" i="5"/>
  <c r="AX140" i="5"/>
  <c r="AX137" i="5"/>
  <c r="AX136" i="5"/>
  <c r="AX131" i="5"/>
  <c r="AX130" i="5"/>
  <c r="AX127" i="5"/>
  <c r="AX126" i="5"/>
  <c r="AX121" i="5"/>
  <c r="AX120" i="5"/>
  <c r="AX117" i="5"/>
  <c r="AX116" i="5"/>
  <c r="AX111" i="5"/>
  <c r="AX110" i="5"/>
  <c r="AX100" i="5"/>
  <c r="AX99" i="5"/>
  <c r="AX91" i="5"/>
  <c r="AX90" i="5"/>
  <c r="AX79" i="5"/>
  <c r="AX78" i="5"/>
  <c r="AX70" i="5"/>
  <c r="AX69" i="5"/>
  <c r="AX58" i="5"/>
  <c r="AX57" i="5"/>
  <c r="AX49" i="5"/>
  <c r="AX48" i="5"/>
  <c r="AX40" i="5"/>
  <c r="AX39" i="5"/>
  <c r="AX34" i="5"/>
  <c r="AX33" i="5"/>
  <c r="AX32" i="5"/>
  <c r="AX25" i="5"/>
  <c r="AX24" i="5"/>
  <c r="AX19" i="5"/>
  <c r="AX18" i="5"/>
  <c r="AX17" i="5"/>
  <c r="AX10" i="5"/>
  <c r="AX9" i="5"/>
  <c r="AX4" i="5"/>
  <c r="AX3" i="5"/>
  <c r="AX2" i="5"/>
  <c r="AV151" i="5"/>
  <c r="AV150" i="5"/>
  <c r="AV149" i="5"/>
  <c r="AV142" i="5"/>
  <c r="AV141" i="5"/>
  <c r="AV140" i="5"/>
  <c r="AV137" i="5"/>
  <c r="AV136" i="5"/>
  <c r="AV131" i="5"/>
  <c r="AV130" i="5"/>
  <c r="AV127" i="5"/>
  <c r="AV126" i="5"/>
  <c r="AV121" i="5"/>
  <c r="AV120" i="5"/>
  <c r="AV117" i="5"/>
  <c r="AV116" i="5"/>
  <c r="AV111" i="5"/>
  <c r="AV110" i="5"/>
  <c r="AV100" i="5"/>
  <c r="AV99" i="5"/>
  <c r="AV91" i="5"/>
  <c r="AV90" i="5"/>
  <c r="AV79" i="5"/>
  <c r="AV78" i="5"/>
  <c r="AV70" i="5"/>
  <c r="AV69" i="5"/>
  <c r="AV58" i="5"/>
  <c r="AV57" i="5"/>
  <c r="AV49" i="5"/>
  <c r="AV48" i="5"/>
  <c r="AV40" i="5"/>
  <c r="AV39" i="5"/>
  <c r="AV34" i="5"/>
  <c r="AV33" i="5"/>
  <c r="AV32" i="5"/>
  <c r="AV25" i="5"/>
  <c r="AV24" i="5"/>
  <c r="AV19" i="5"/>
  <c r="AV18" i="5"/>
  <c r="AV17" i="5"/>
  <c r="AV10" i="5"/>
  <c r="AV9" i="5"/>
  <c r="AV4" i="5"/>
  <c r="AV3" i="5"/>
  <c r="AV2" i="5"/>
  <c r="AT151" i="5"/>
  <c r="AT150" i="5"/>
  <c r="AT149" i="5"/>
  <c r="AT142" i="5"/>
  <c r="AT141" i="5"/>
  <c r="AT140" i="5"/>
  <c r="AT100" i="5"/>
  <c r="AT99" i="5"/>
  <c r="AT98" i="5"/>
  <c r="AT91" i="5"/>
  <c r="AT90" i="5"/>
  <c r="AT89" i="5"/>
  <c r="AT79" i="5"/>
  <c r="AT78" i="5"/>
  <c r="AT77" i="5"/>
  <c r="AT70" i="5"/>
  <c r="AT69" i="5"/>
  <c r="AT68" i="5"/>
  <c r="AT58" i="5"/>
  <c r="AT57" i="5"/>
  <c r="AT56" i="5"/>
  <c r="AT49" i="5"/>
  <c r="AT48" i="5"/>
  <c r="AT47" i="5"/>
  <c r="AR151" i="5"/>
  <c r="AR150" i="5"/>
  <c r="AR149" i="5"/>
  <c r="AR142" i="5"/>
  <c r="AR141" i="5"/>
  <c r="AR140" i="5"/>
  <c r="AR100" i="5"/>
  <c r="AR99" i="5"/>
  <c r="AR98" i="5"/>
  <c r="AR91" i="5"/>
  <c r="AR90" i="5"/>
  <c r="AR89" i="5"/>
  <c r="AR79" i="5"/>
  <c r="AR78" i="5"/>
  <c r="AR77" i="5"/>
  <c r="AR70" i="5"/>
  <c r="AR69" i="5"/>
  <c r="AR68" i="5"/>
  <c r="AR58" i="5"/>
  <c r="AR57" i="5"/>
  <c r="AR56" i="5"/>
  <c r="AR49" i="5"/>
  <c r="AR48" i="5"/>
  <c r="AR47" i="5"/>
  <c r="AP141" i="5"/>
  <c r="AP140" i="5"/>
  <c r="AN142" i="5"/>
  <c r="AN141" i="5"/>
  <c r="AN140" i="5"/>
  <c r="AN90" i="5"/>
  <c r="AN69" i="5"/>
  <c r="AN48" i="5"/>
  <c r="AN33" i="5"/>
  <c r="AN32" i="5"/>
  <c r="AN18" i="5"/>
  <c r="AN17" i="5"/>
  <c r="AN3" i="5"/>
  <c r="AN2" i="5"/>
  <c r="AL142" i="5"/>
  <c r="AL141" i="5"/>
  <c r="AL140" i="5"/>
  <c r="AL90" i="5"/>
  <c r="AL69" i="5"/>
  <c r="AL48" i="5"/>
  <c r="AL33" i="5"/>
  <c r="AL32" i="5"/>
  <c r="AL18" i="5"/>
  <c r="AL17" i="5"/>
  <c r="AL3" i="5"/>
  <c r="AL2" i="5"/>
  <c r="AJ150" i="5"/>
  <c r="AJ149" i="5"/>
  <c r="AJ142" i="5"/>
  <c r="AJ141" i="5"/>
  <c r="AJ140" i="5"/>
  <c r="AJ90" i="5"/>
  <c r="AJ69" i="5"/>
  <c r="AJ48" i="5"/>
  <c r="AJ33" i="5"/>
  <c r="AJ32" i="5"/>
  <c r="AJ18" i="5"/>
  <c r="AJ17" i="5"/>
  <c r="AJ3" i="5"/>
  <c r="AJ2" i="5"/>
  <c r="AH151" i="5"/>
  <c r="AH150" i="5"/>
  <c r="AH149" i="5"/>
  <c r="AH142" i="5"/>
  <c r="AH141" i="5"/>
  <c r="AH140" i="5"/>
  <c r="AH99" i="5"/>
  <c r="AH90" i="5"/>
  <c r="AH78" i="5"/>
  <c r="AH69" i="5"/>
  <c r="AH57" i="5"/>
  <c r="AH48" i="5"/>
  <c r="AH39" i="5"/>
  <c r="AH33" i="5"/>
  <c r="AH32" i="5"/>
  <c r="AH24" i="5"/>
  <c r="AH18" i="5"/>
  <c r="AH17" i="5"/>
  <c r="AH9" i="5"/>
  <c r="AH3" i="5"/>
  <c r="AH2" i="5"/>
  <c r="AF151" i="5"/>
  <c r="AF150" i="5"/>
  <c r="AF149" i="5"/>
  <c r="AF142" i="5"/>
  <c r="AF141" i="5"/>
  <c r="AF140" i="5"/>
  <c r="AF99" i="5"/>
  <c r="AF90" i="5"/>
  <c r="AF78" i="5"/>
  <c r="AF69" i="5"/>
  <c r="AF57" i="5"/>
  <c r="AF48" i="5"/>
  <c r="AF39" i="5"/>
  <c r="AF33" i="5"/>
  <c r="AF32" i="5"/>
  <c r="AF24" i="5"/>
  <c r="AF18" i="5"/>
  <c r="AF17" i="5"/>
  <c r="AF9" i="5"/>
  <c r="AF3" i="5"/>
  <c r="AF2" i="5"/>
  <c r="AD151" i="5"/>
  <c r="AD150" i="5"/>
  <c r="AD149" i="5"/>
  <c r="AD142" i="5"/>
  <c r="AD141" i="5"/>
  <c r="AD140" i="5"/>
  <c r="AD100" i="5"/>
  <c r="AD99" i="5"/>
  <c r="AD91" i="5"/>
  <c r="AD90" i="5"/>
  <c r="AD79" i="5"/>
  <c r="AD78" i="5"/>
  <c r="AD70" i="5"/>
  <c r="AD69" i="5"/>
  <c r="AD58" i="5"/>
  <c r="AD57" i="5"/>
  <c r="AD49" i="5"/>
  <c r="AD48" i="5"/>
  <c r="AD39" i="5"/>
  <c r="AD33" i="5"/>
  <c r="AD32" i="5"/>
  <c r="AD24" i="5"/>
  <c r="AD18" i="5"/>
  <c r="AD17" i="5"/>
  <c r="AD9" i="5"/>
  <c r="AD3" i="5"/>
  <c r="AD2" i="5"/>
  <c r="AB151" i="5"/>
  <c r="AB150" i="5"/>
  <c r="AB149" i="5"/>
  <c r="AB142" i="5"/>
  <c r="AB141" i="5"/>
  <c r="AB140" i="5"/>
  <c r="AB100" i="5"/>
  <c r="AB99" i="5"/>
  <c r="AB98" i="5"/>
  <c r="AB91" i="5"/>
  <c r="AB90" i="5"/>
  <c r="AB89" i="5"/>
  <c r="AB79" i="5"/>
  <c r="AB78" i="5"/>
  <c r="AB77" i="5"/>
  <c r="AB70" i="5"/>
  <c r="AB69" i="5"/>
  <c r="AB68" i="5"/>
  <c r="AB58" i="5"/>
  <c r="AB57" i="5"/>
  <c r="AB56" i="5"/>
  <c r="AB49" i="5"/>
  <c r="AB48" i="5"/>
  <c r="AB47" i="5"/>
  <c r="AB39" i="5"/>
  <c r="AB33" i="5"/>
  <c r="AB32" i="5"/>
  <c r="AB24" i="5"/>
  <c r="AB18" i="5"/>
  <c r="AB17" i="5"/>
  <c r="AB9" i="5"/>
  <c r="AB3" i="5"/>
  <c r="AB2" i="5"/>
  <c r="Z151" i="5"/>
  <c r="Z150" i="5"/>
  <c r="Z149" i="5"/>
  <c r="Z142" i="5"/>
  <c r="Z141" i="5"/>
  <c r="Z140" i="5"/>
  <c r="Z137" i="5"/>
  <c r="Z136" i="5"/>
  <c r="Z131" i="5"/>
  <c r="Z130" i="5"/>
  <c r="Z127" i="5"/>
  <c r="Z126" i="5"/>
  <c r="Z121" i="5"/>
  <c r="Z120" i="5"/>
  <c r="Z117" i="5"/>
  <c r="Z116" i="5"/>
  <c r="Z111" i="5"/>
  <c r="Z110" i="5"/>
  <c r="Z100" i="5"/>
  <c r="Z99" i="5"/>
  <c r="Z98" i="5"/>
  <c r="Z91" i="5"/>
  <c r="Z90" i="5"/>
  <c r="Z89" i="5"/>
  <c r="Z79" i="5"/>
  <c r="Z78" i="5"/>
  <c r="Z77" i="5"/>
  <c r="Z70" i="5"/>
  <c r="Z69" i="5"/>
  <c r="Z68" i="5"/>
  <c r="Z58" i="5"/>
  <c r="Z57" i="5"/>
  <c r="Z56" i="5"/>
  <c r="Z49" i="5"/>
  <c r="Z48" i="5"/>
  <c r="Z47" i="5"/>
  <c r="Z40" i="5"/>
  <c r="Z39" i="5"/>
  <c r="Z34" i="5"/>
  <c r="Z33" i="5"/>
  <c r="Z32" i="5"/>
  <c r="Z25" i="5"/>
  <c r="Z24" i="5"/>
  <c r="Z19" i="5"/>
  <c r="Z18" i="5"/>
  <c r="Z17" i="5"/>
  <c r="Z10" i="5"/>
  <c r="Z9" i="5"/>
  <c r="Z4" i="5"/>
  <c r="Z3" i="5"/>
  <c r="Z2" i="5"/>
</calcChain>
</file>

<file path=xl/sharedStrings.xml><?xml version="1.0" encoding="utf-8"?>
<sst xmlns="http://schemas.openxmlformats.org/spreadsheetml/2006/main" count="17595" uniqueCount="424">
  <si>
    <t>MODE OPERATOIRE</t>
  </si>
  <si>
    <t>La description d'une position entrante dans un dossier agent, nécessite la MAJ des données portées par les 2 sous-rubriques suivantes :
- Position statutaire/situation administrative
- Détachement, affectation ou MAD entrant
La spécification métier regroupe au sein d'un évènement unique l'articulation des RG mobilisant des données appartenant à ces deux sous-rubriques. Ainsi, le métier considère que les données associées à ces deux sous rubriques sont mises à jour dans la même transaction.
!N!Les positions concernées sont les codes de positions mobilisés dans l'axe1.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</si>
  <si>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</si>
  <si>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</si>
  <si>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</si>
  <si>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</si>
  <si>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</si>
  <si>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</si>
  <si>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</si>
  <si>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</si>
  <si>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</si>
  <si>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</si>
  <si>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</si>
  <si>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</si>
  <si>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</si>
  <si>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</si>
  <si>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</si>
  <si>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</si>
  <si>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</si>
  <si>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</si>
  <si>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</si>
  <si>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</si>
  <si>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</si>
  <si>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</si>
  <si>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</si>
  <si>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</si>
  <si>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</si>
  <si>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</si>
  <si>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</si>
  <si>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</si>
  <si>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</si>
  <si>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</si>
  <si>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</si>
  <si>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</si>
  <si>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</si>
  <si>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</si>
  <si>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</si>
  <si>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</si>
  <si>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</si>
  <si>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</si>
  <si>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</si>
  <si>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</si>
  <si>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</si>
  <si>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</si>
  <si>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</si>
  <si>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</si>
  <si>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</si>
  <si>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</si>
  <si>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</si>
  <si>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</si>
  <si>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</si>
  <si>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</si>
  <si>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</si>
  <si>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</si>
  <si>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</si>
  <si>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</si>
  <si>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</si>
  <si>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</si>
  <si>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</si>
  <si>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</si>
  <si>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</si>
  <si>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</si>
  <si>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</si>
  <si>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</si>
  <si>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</si>
  <si>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</si>
  <si>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</si>
  <si>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</si>
  <si>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</si>
  <si>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</si>
  <si>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</si>
  <si>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22.00.00</t>
  </si>
  <si>
    <t>M</t>
  </si>
  <si>
    <t>D0004</t>
  </si>
  <si>
    <t>Position</t>
  </si>
  <si>
    <t>S0011</t>
  </si>
  <si>
    <t>Position normale d'activité entrante et entrante sortante</t>
  </si>
  <si>
    <t>E0158</t>
  </si>
  <si>
    <t>Position normale d'activité entrante payée ancien dispositif</t>
  </si>
  <si>
    <t>Position / Situation saisie égale à 'Position normale d'activité entrante payée' ET Date de début position &lt; 18/04/2020</t>
  </si>
  <si>
    <t>A_POS_POSIAD [Saisi] = 'ACI0A' ET A_POS_DATEB [Saisi] &lt; 18/04/2020</t>
  </si>
  <si>
    <t>T0465</t>
  </si>
  <si>
    <t>Position normale d'activité entrante payée  - Demande</t>
  </si>
  <si>
    <t>Création</t>
  </si>
  <si>
    <t/>
  </si>
  <si>
    <t>Titulaire ou magistrat</t>
  </si>
  <si>
    <t>P0001</t>
  </si>
  <si>
    <t>T</t>
  </si>
  <si>
    <t>Général</t>
  </si>
  <si>
    <t>Passant</t>
  </si>
  <si>
    <t>PNE_I_002 ET PNE_I_001 ET PNE_I_006 ET PNE_I_004 ET PNE_I_005 ET PNE_I_003 ET PNE_I_007 ET PNE_I_014 ET POS_C_005 ET POS_C_022 ET POS_C_010 ET POS_C_004 ET POS_C_007 ET POS_C_012 ET POS_C_030 ET POS_C_031 ET POS_C_034 ET POS_C_035 ET POS_C_036</t>
  </si>
  <si>
    <t>PNE_I_002</t>
  </si>
  <si>
    <t>L'agent doit effectuer une demande.</t>
  </si>
  <si>
    <t>PNE_I_001</t>
  </si>
  <si>
    <t>L'affectation intervient à l'initiative de l'agent ou de l'administration.</t>
  </si>
  <si>
    <t>PNE_I_006</t>
  </si>
  <si>
    <t>L'administration ne peut s'opposer à un changement d'affectation d'un agent qui a obtenu l'accord de l'organisme d'accueil que pour des motifs liés aux nécessités du service ou liés à un avis d'incompatibilité rendu par la commission de déontologie.</t>
  </si>
  <si>
    <t>PNE_I_004</t>
  </si>
  <si>
    <t>Un avis conforme de l'administration d'accueil a préalablement été transmis à l'administration d'origine sauf dans le cadre d'un transfert de service.</t>
  </si>
  <si>
    <t>PNE_I_005</t>
  </si>
  <si>
    <t>Lorsque l'affectation de l'agent est prononcée dans un établissement public, le ministère de tutelle en est préalablement informé.</t>
  </si>
  <si>
    <t>PNE_I_003</t>
  </si>
  <si>
    <t>L'affectation en position normale d'activité hors de l'administration d'origine est prononcée sans limitation de durée.</t>
  </si>
  <si>
    <t>PNE_I_007</t>
  </si>
  <si>
    <t>L'administration peut exiger que l'agent respecte un délai maximal de préavis de 3 mois. Ce délai peut être porté à une durée plus longue, qui ne saurait toutefois excéder 6 mois.</t>
  </si>
  <si>
    <t>PNE_I_014</t>
  </si>
  <si>
    <t>Le silence de l'administration gardé pendant 2 mois à compter de la réception de la demande de l'agent vaut acceptation.</t>
  </si>
  <si>
    <t>POS_C_005</t>
  </si>
  <si>
    <t>La date de début de la position doit être postérieure ou égale à la date d'entrée dans la FPE ou dans la carrière militaire.</t>
  </si>
  <si>
    <t>POS_C_022</t>
  </si>
  <si>
    <t>La date de début de position est à J+1 de la date de fin de position de l'occurrence précédente.</t>
  </si>
  <si>
    <t>POS_C_010</t>
  </si>
  <si>
    <t>La date de début de position doit être antérieure ou égale à la date de fin réelle de position.</t>
  </si>
  <si>
    <t>POS_C_004</t>
  </si>
  <si>
    <t>La date de début de position doit être antérieure ou égale à la date de fin prévisionnelle de position.</t>
  </si>
  <si>
    <t>POS_C_007</t>
  </si>
  <si>
    <t>La date de fin réelle de la position doit être antérieure à la date limite de départ à la retraite.</t>
  </si>
  <si>
    <t>POS_C_012</t>
  </si>
  <si>
    <t>La date de fin prévisionnelle de la position doit être antérieure à la date limite de départ à la retraite.</t>
  </si>
  <si>
    <t>POS_C_030</t>
  </si>
  <si>
    <t>Les champs "Type d'organisme d'origine", "Catégorie statutaire d'origine" et "Pays" de l'organisme d'origine doivent être renseignés.</t>
  </si>
  <si>
    <t>POS_C_031</t>
  </si>
  <si>
    <t>Les champs "Ministère (ou institution de la République) d'origine", "Corps d'origine", "Grade d'origine", "Echelon d'origine" sont renseignés si le "Type d'organisme d'origine" est valorisé à FPE.</t>
  </si>
  <si>
    <t>POS_C_034</t>
  </si>
  <si>
    <t>Le champ "Organisme d'origine" doit être alimenté si le type d'organisme d'origine est égal à 'Autre organisme', 'Fonction publique d'un état de l'Union Européenne' ou 'Fonction publique Européenne'.</t>
  </si>
  <si>
    <t>POS_C_035</t>
  </si>
  <si>
    <t>Le champ "Code emploi statutaire FPT (NET)" est renseigné si le "Type d'organisme d'origine" est valorisé à FPT.</t>
  </si>
  <si>
    <t>POS_C_036</t>
  </si>
  <si>
    <t>Le champ "Code emploi statutaire FPH (NEH)" est renseigné si le "Type d'organisme d'origine" est valorisé à FPH.</t>
  </si>
  <si>
    <t>A</t>
  </si>
  <si>
    <t>PNE_I_002 ET PNE_I_001 ET PNE_I_013 ET PNE_I_004 ET PNE_I_005 ET PNE_I_003 ET PNE_I_007 ET PNE_I_014 ET POS_C_005 ET POS_C_022 ET POS_C_010 ET POS_C_004 ET POS_C_007 ET POS_C_012 ET POS_C_030 ET POS_C_031 ET POS_C_034 ET POS_C_035 ET POS_C_036</t>
  </si>
  <si>
    <t>PNE_I_013</t>
  </si>
  <si>
    <t>L'administration ne peut s'opposer au changement d'affectation d'un agent qui a obtenu l'accord de l'organisme d'accueil que pour des motifs liés aux nécessités du service ou à un avis rendu par la Haute Autorité pour la transparence de la vie publique.</t>
  </si>
  <si>
    <t>20.00.00</t>
  </si>
  <si>
    <t>T0466</t>
  </si>
  <si>
    <t>Position normale d'activité entrante payée- Fin</t>
  </si>
  <si>
    <t>Modification</t>
  </si>
  <si>
    <t>PNE_I_003 ET POS_C_010 ET POS_C_004 ET POS_C_007 ET POS_C_012 ET POS_C_030 ET POS_C_031 ET POS_C_034 ET POS_C_035 ET POS_C_036</t>
  </si>
  <si>
    <t>Militaire</t>
  </si>
  <si>
    <t>P0002</t>
  </si>
  <si>
    <t>Exclu</t>
  </si>
  <si>
    <t>Contractuel</t>
  </si>
  <si>
    <t>P0003</t>
  </si>
  <si>
    <t>N</t>
  </si>
  <si>
    <t>Stagiaire ou auditeur ou élève</t>
  </si>
  <si>
    <t>P0004</t>
  </si>
  <si>
    <t>S</t>
  </si>
  <si>
    <t>PNE_I_002 ET PNE_I_001 ET PNE_I_004 ET PNE_I_005 ET PNE_I_003 ET POS_C_005 ET POS_C_022 ET POS_C_010 ET POS_C_004 ET POS_C_007 ET POS_C_012 ET POS_C_030 ET POS_C_031 ET POS_C_034 ET POS_C_035 ET POS_C_036</t>
  </si>
  <si>
    <t>Ouvrier d'état</t>
  </si>
  <si>
    <t>P0005</t>
  </si>
  <si>
    <t>O</t>
  </si>
  <si>
    <t>Magistrat de l'ordre judiciaire</t>
  </si>
  <si>
    <t>P0007</t>
  </si>
  <si>
    <t>Particulier</t>
  </si>
  <si>
    <t>Auditeur de justice ou élève</t>
  </si>
  <si>
    <t>P0034</t>
  </si>
  <si>
    <t>E0159</t>
  </si>
  <si>
    <t>Position normale d'activité entrante non payée ancien dispositif</t>
  </si>
  <si>
    <t>Position / Situation saisie égale à 'Position normale d'activité entrante non payée' ET Date de début position &lt; 18/04/2020</t>
  </si>
  <si>
    <t>A_POS_POSIAD [Saisi] = 'ACI0B' ET A_POS_DATEB [Saisi] &lt; 18/04/2020</t>
  </si>
  <si>
    <t>T0467</t>
  </si>
  <si>
    <t>Position normale d'activité entrante non payée - Demande</t>
  </si>
  <si>
    <t>T0468</t>
  </si>
  <si>
    <t>Position normale d'activité entrante non payée - Fin</t>
  </si>
  <si>
    <t>E0160</t>
  </si>
  <si>
    <t>Position normale d'activité entrante/sortante ancien dispositif</t>
  </si>
  <si>
    <t>Position / Situation saisie égale à 'Position normale d'activité entrante/sortante' ET Date de début position &lt; 18/04/2020</t>
  </si>
  <si>
    <t>A_POS_POSIAD [Saisi] = 'ACI0E' ET A_POS_DATEB [Saisi] &lt; 18/04/2020</t>
  </si>
  <si>
    <t>T0469</t>
  </si>
  <si>
    <t>Position normale d'activité entrante/sortante - Demande</t>
  </si>
  <si>
    <t>T0470</t>
  </si>
  <si>
    <t>Position normale d'activité entrante/sortante - Fin</t>
  </si>
  <si>
    <t>E0829</t>
  </si>
  <si>
    <t>Position normale d'activité entrante payée</t>
  </si>
  <si>
    <t>Position / Situation saisie égale à 'Position normale d'activité entrante payée' ET Date de début position &gt;= 18/04/2020</t>
  </si>
  <si>
    <t>A_POS_POSIAD [Saisi] = 'ACI0A' ET A_POS_DATEB [Saisi] &gt;= 18/04/2020</t>
  </si>
  <si>
    <t>T2028</t>
  </si>
  <si>
    <t>Position normale d'activité entrante payée - Renouvellement</t>
  </si>
  <si>
    <t>Création Modification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</si>
  <si>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</si>
  <si>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</si>
  <si>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PNE_I_008 ET PNE_I_012 ET PNE_D_001 ET PNE_D_002</t>
  </si>
  <si>
    <t>PNE_I_008</t>
  </si>
  <si>
    <t>L'administration d'accueil fait connaître à l'administration d'origine et à l'agent sa décision de renouveler ou non son affectation 4 mois avant le terme de la période.</t>
  </si>
  <si>
    <t>PNE_I_012</t>
  </si>
  <si>
    <t>Pour les positions normales d'activité prises avant le 18/04/2020, le renouvellement n'est pas possible.</t>
  </si>
  <si>
    <t>PNE_D_001</t>
  </si>
  <si>
    <t>La durée prévisionnelle de l'affectation en position normale d'activité hors de l'administration d'origine est fixée à 3 ans.</t>
  </si>
  <si>
    <t>PNE_D_002</t>
  </si>
  <si>
    <t>La durée réelle de l'affectation en position normale d'activité hors de l'administration d'origine est fixée à 3 ans.</t>
  </si>
  <si>
    <t>T2033</t>
  </si>
  <si>
    <t>Position normale d'activité entrante payée avec durée - Demande</t>
  </si>
  <si>
    <t>Indicateur Renouvellement Position est non activé ET l'indicateur de renouvellement saisi est différent de l'indicateur de renouvellement avant saisie</t>
  </si>
  <si>
    <t>A_POS_INDREN [Saisi] = '0' ET A_POS_INDREN [Saisi] &lt;&gt; A_POS_INDREN [Valeur avant saisie]</t>
  </si>
  <si>
    <t>PNE_I_002 ET PNE_I_001 ET PNE_I_013 ET PNE_I_004 ET PNE_I_005 ET PNE_I_007 ET PNE_I_014 ET PNE_I_010 ET PNE_D_001 ET PNE_D_002 ET POS_C_005 ET POS_C_022 ET POS_C_010 ET POS_C_004 ET POS_C_007 ET POS_C_012 ET POS_C_030 ET POS_C_031 ET POS_C_034 ET POS_C_035 ET POS_C_036</t>
  </si>
  <si>
    <t>PNE_I_010</t>
  </si>
  <si>
    <t>Pour les positions normales d'activité prises avant le 18/04/2020, la limitation de durée ne s'applique pas.</t>
  </si>
  <si>
    <t>T2038</t>
  </si>
  <si>
    <t>Position normale d'activité entrante payée avec durée - Fin</t>
  </si>
  <si>
    <t>L'indicateur de renouvellement saisi est égal à l'indicateur de renouvellement avant saisie</t>
  </si>
  <si>
    <t>A_POS_INDREN [Saisi] = A_POS_INDREN [Valeur avant saisie]</t>
  </si>
  <si>
    <t>PNE_I_008 ET PNE_I_009 ET PNE_I_010 ET PNE_D_001 ET PNE_D_002 ET POS_C_010 ET POS_C_004 ET POS_C_007 ET POS_C_012 ET POS_C_030 ET POS_C_031 ET POS_C_034 ET POS_C_035 ET POS_C_036</t>
  </si>
  <si>
    <t>PNE_I_009</t>
  </si>
  <si>
    <t>Lorsque l'administration d'accueil décide de ne pas renouveler l'affectation, l'agent est réintégré dans le département ministériel dont il relève, au besoin en surnombre.</t>
  </si>
  <si>
    <t>PNE_I_002 ET PNE_I_001 ET PNE_I_004 ET PNE_I_005 ET PNE_I_010 ET PNE_D_001 ET PNE_D_002 ET POS_C_005 ET POS_C_022 ET POS_C_010 ET POS_C_004 ET POS_C_007 ET POS_C_012 ET POS_C_030 ET POS_C_031 ET POS_C_034 ET POS_C_035 ET POS_C_036</t>
  </si>
  <si>
    <t>E0830</t>
  </si>
  <si>
    <t>Position normale d'activité entrante non payée</t>
  </si>
  <si>
    <t>Position / Situation saisie égale à 'Position normale d'activité entrante non payée' ET Date de début position &gt;= 18/04/2020</t>
  </si>
  <si>
    <t>A_POS_POSIAD [Saisi] = 'ACI0B' ET A_POS_DATEB [Saisi] &gt;= 18/04/2020</t>
  </si>
  <si>
    <t>T2029</t>
  </si>
  <si>
    <t>Position normale d'activité entrante non payée - Renouvellement</t>
  </si>
  <si>
    <t>T2034</t>
  </si>
  <si>
    <t>Position normale d'activité entrante non payée avec durée - Demande</t>
  </si>
  <si>
    <t>T2039</t>
  </si>
  <si>
    <t>Position normale d'activité entrante non payée avec durée - Fin</t>
  </si>
  <si>
    <t>E0831</t>
  </si>
  <si>
    <t>Position normale d'activité entrante/sortante</t>
  </si>
  <si>
    <t>Position / Situation saisie égale à 'Position normale d'activité entrante/sortante' ET Date de début position &gt;= 18/04/2020</t>
  </si>
  <si>
    <t>A_POS_POSIAD [Saisi] = 'ACI0E' ET A_POS_DATEB [Saisi] &gt;= 18/04/2020</t>
  </si>
  <si>
    <t>T2030</t>
  </si>
  <si>
    <t>Position normale d'activité entrante/sortante - Renouvellement</t>
  </si>
  <si>
    <t>T2035</t>
  </si>
  <si>
    <t>Position normale d'activité entrante/sortante avec durée - Demande</t>
  </si>
  <si>
    <t>T2040</t>
  </si>
  <si>
    <t>Position normale d'activité entrante/sortante avec durée - Fin</t>
  </si>
  <si>
    <t>23.00.00</t>
  </si>
  <si>
    <t>E0920</t>
  </si>
  <si>
    <t>Position normale d'activité entrante payée sans limitation de durée</t>
  </si>
  <si>
    <t>Position / Situation saisie égale à 'Position normale d'activité entrante payée sans limitation de durée'</t>
  </si>
  <si>
    <t>A_POS_POSIAD [Saisi] = 'ACI0N'</t>
  </si>
  <si>
    <t>T2246</t>
  </si>
  <si>
    <t>Position normale d'activité entrante payée sans limitation de durée - Demande</t>
  </si>
  <si>
    <t>PNE_I_015 ET POS_C_005 ET POS_C_022 ET POS_C_010 ET POS_C_004 ET POS_C_007 ET POS_C_012 ET POS_C_030 ET POS_C_031 ET POS_C_034 ET POS_C_035 ET POS_C_036</t>
  </si>
  <si>
    <t>PNE_I_015</t>
  </si>
  <si>
    <t>L'agent est affecté dans le cadre d'une réorganisation de service.</t>
  </si>
  <si>
    <t>T2247</t>
  </si>
  <si>
    <t>Position normale d'activité entrante payée sans limitation de durée - Fin</t>
  </si>
  <si>
    <t>PNE_I_015 ET POS_C_010 ET POS_C_004 ET POS_C_007 ET POS_C_012 ET POS_C_030 ET POS_C_031 ET POS_C_034 ET POS_C_035 ET POS_C_036</t>
  </si>
  <si>
    <t>E0921</t>
  </si>
  <si>
    <t>Position normale d'activité entrante non payée sans limitation de durée</t>
  </si>
  <si>
    <t>Position / Situation saisie égale à 'Position normale d'activité entrante non payée sans limitation de durée'</t>
  </si>
  <si>
    <t>A_POS_POSIAD [Saisi] = 'ACI0O'</t>
  </si>
  <si>
    <t>T2248</t>
  </si>
  <si>
    <t>Position normale d'activité entrante non payée sans limitation de durée - Demande</t>
  </si>
  <si>
    <t>T2249</t>
  </si>
  <si>
    <t>Position normale d'activité entrante non payée sans limitation de durée - Fin</t>
  </si>
  <si>
    <t>E0924</t>
  </si>
  <si>
    <t>Position normale d'activité entrante/sortante sans limitation de durée</t>
  </si>
  <si>
    <t>Position / Situation saisie égale à 'Position normale d'activité entrante/sortante sans limitation de durée'</t>
  </si>
  <si>
    <t>A_POS_POSIAD [Saisi] = 'ACI0R'</t>
  </si>
  <si>
    <t>T2254</t>
  </si>
  <si>
    <t>Position normale d'activité entrante/sortante sans limitation de durée - Demande</t>
  </si>
  <si>
    <t>T2255</t>
  </si>
  <si>
    <t>Position normale d'activité entrante/sortante sans limitation de durée - Fin</t>
  </si>
  <si>
    <t>26.00.00</t>
  </si>
  <si>
    <t>E1094</t>
  </si>
  <si>
    <t>Position normale d'activité entrante payée par l'administration d'origine via une délégation de gestion sur le budget de l'administration d'accueil</t>
  </si>
  <si>
    <t>La position/situation administrative saisie est égale à 'Position normale d'activité entrante payée par l'administration d'origine via une délégation de gestion sur le budget de l'administration d'accueil'</t>
  </si>
  <si>
    <t>A_POS_POSIAD [Saisi] = 'ACI0G'</t>
  </si>
  <si>
    <t>T2556</t>
  </si>
  <si>
    <t>PNA entrante payée par l'administration d'origine via une délégation de gestion sur le budget de l'administration d'accueil - Demande</t>
  </si>
  <si>
    <t>Indicateur de renouvellement saisi = Non ET (Indicateur de renouvellement saisi différent d'Indicateur de renouvellement avant saisi OU Indicateur de maintien saisi différent de Indicateur de maintien avant saisi)</t>
  </si>
  <si>
    <t>A_POS_INDREN [Saisi] = '0' ET (A_POS_INDREN [Saisi] &lt;&gt; A_POS_INDREN [Valeur avant saisie] OU A_POS_INDMAI [Saisi] &lt;&gt; A_POS_INDMAI [Valeur avant saisie])</t>
  </si>
  <si>
    <t>PNE_I_002 ET PNE_I_001 ET PNE_I_013 ET PNE_I_004 ET PNE_I_005 ET PNE_I_007 ET PNE_I_014 ET PNE_I_010 ET PNE_I_016 ET PNE_D_001 ET PNE_D_002 ET POS_C_005 ET POS_C_022 ET POS_C_010 ET POS_C_004 ET POS_C_007 ET POS_C_012 ET POS_C_030 ET POS_C_031 ET POS_C_034 ET POS_C_035 ET POS_C_036</t>
  </si>
  <si>
    <t>PNE_I_016</t>
  </si>
  <si>
    <t>L'agent est affecté en position normale d'activité et payé par son administration d'origine sur les budgets de son administration d'accueil dans le cadre d'une convention de délégation de gestion.</t>
  </si>
  <si>
    <t>2026-21</t>
  </si>
  <si>
    <t>T2557</t>
  </si>
  <si>
    <t>PNA entrante payée par l'administration d'origine via une délégation de gestion sur le budget de l'administration d'accueil - Renouvellement</t>
  </si>
  <si>
    <t>Indicateur de renouvellement saisi = Oui ET (Indicateur de renouvellement saisi différent d'Indicateur de renouvellement avant saisi OU Indicateur de maintien saisi différent de Indicateur de maintien avant saisi)</t>
  </si>
  <si>
    <t>A_POS_INDREN [Saisi] = '1' ET (A_POS_INDREN [Saisi] &lt;&gt; A_POS_INDREN [Valeur avant saisie] OU A_POS_INDMAI [Saisi] &lt;&gt; A_POS_INDMAI [Valeur avant saisie])</t>
  </si>
  <si>
    <t>T2558</t>
  </si>
  <si>
    <t>PNA entrante payée par l'administration d'origine via une délégation de gestion sur le budget de l'administration d'accueil - Fin</t>
  </si>
  <si>
    <t>Indicateur de renouvellement saisi identique à Indicateur de renouvellement avant saisi ET Indicateur de maintien saisi identique à Indicateur de maintien avant saisi</t>
  </si>
  <si>
    <t>A_POS_INDREN [Saisi] = A_POS_INDREN [Valeur avant saisie] ET A_POS_INDMAI [Saisi] = A_POS_INDMAI [Valeur avant saisie]</t>
  </si>
  <si>
    <t>PNE_I_002 ET PNE_I_001 ET PNE_I_004 ET PNE_I_005 ET PNE_I_010 ET PNE_I_016 ET PNE_D_001 ET PNE_D_002 ET POS_C_005 ET POS_C_022 ET POS_C_010 ET POS_C_004 ET POS_C_007 ET POS_C_012 ET POS_C_030 ET POS_C_031 ET POS_C_034 ET POS_C_035 ET POS_C_036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</si>
  <si>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</si>
  <si>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</si>
  <si>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</si>
  <si>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</si>
  <si>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</si>
  <si>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</si>
  <si>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</si>
  <si>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</si>
  <si>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</si>
  <si>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</si>
  <si>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</si>
  <si>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</si>
  <si>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</si>
  <si>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</si>
  <si>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</si>
  <si>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</si>
  <si>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</si>
  <si>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PNE_P_001 ET PNE_P_003 ET PNE_P_004 ET PNE_P_006 ET PNE_P_008 ET PNE_P_009 ET PNE_P_010 ET PNE_P_012</t>
  </si>
  <si>
    <t>PNE_P_001</t>
  </si>
  <si>
    <t>Rémunération : L'administration d'accueil rémunère l'agent. Il bénéficie du régime indemnitaire de son corps. Les primes sont modulées par l'administration d'accueil. Il peut percevoir les indemnités de l'emploi occupé.</t>
  </si>
  <si>
    <t>PNE_P_003</t>
  </si>
  <si>
    <t>Classement : L'agent est classé dans son corps.</t>
  </si>
  <si>
    <t>PNE_P_004</t>
  </si>
  <si>
    <t>Carrière : L'administration d'origine assure la gestion de l'agent. Il conserve son droit à l'avancement dans son corps et relève de la commission administrative paritaire de son corps dans son ministère d'origine.</t>
  </si>
  <si>
    <t>PNE_P_006</t>
  </si>
  <si>
    <t>Evaluation professionnelle : L'agent est évalué par l'administration d'accueil.</t>
  </si>
  <si>
    <t>PNE_P_008</t>
  </si>
  <si>
    <t>Congés annuels : L'agent cumule des droits à congé. L'administration d'accueil gère les droits à congés annuels de l'agent.</t>
  </si>
  <si>
    <t>PNE_P_009</t>
  </si>
  <si>
    <t>Maladie : A l'appui d'une délégation de pouvoir, les congés maladie sont gérés par l'administration d'accueil. Elle est responsable du conseil médical éventuellement compétent pour examiner la situation de l'agent affecté.</t>
  </si>
  <si>
    <t>PNE_P_010</t>
  </si>
  <si>
    <t>Retraite : L'agent cumule de l'ancienneté. La mise à la retraite de l'agent intervient normalement lorsque celui-ci a atteint la limite d'âge prévue par les statuts de son corps d'origine.</t>
  </si>
  <si>
    <t>PNE_P_012</t>
  </si>
  <si>
    <t>Acte : Un acte administratif doit être produit.</t>
  </si>
  <si>
    <t>PNE_P_001 ET PNE_P_003 ET PNE_P_005 ET PNE_P_007 ET PNE_P_008 ET PNE_P_009 ET PNE_P_011 ET PNE_P_012</t>
  </si>
  <si>
    <t>PNE_P_005</t>
  </si>
  <si>
    <t>Carrière : L'administration d'origine assure la gestion de l'agent. Il conserve son droit à titularisation dans son corps et relève de la commission administrative paritaire de son corps dans son ministère d'origine.</t>
  </si>
  <si>
    <t>PNE_P_007</t>
  </si>
  <si>
    <t>Evaluation professionnelle : L'administration d'accueil établit le rapport de titularisation de l'agent.</t>
  </si>
  <si>
    <t>PNE_P_011</t>
  </si>
  <si>
    <t>Retraite : Une fois titularisé, l'agent cumule de l'ancienneté. La mise à la retraite de l'agent intervient normalement lorsque celui-ci a atteint la limite d'âge prévue par les statuts de son corps d'origine.</t>
  </si>
  <si>
    <t>PNE_P_002 ET PNE_P_003 ET PNE_P_004 ET PNE_P_006 ET PNE_P_008 ET PNE_P_009 ET PNE_P_010 ET PNE_P_012</t>
  </si>
  <si>
    <t>PNE_P_002</t>
  </si>
  <si>
    <t>Rémunération : L'agent ne perçoit plus de rémunération.</t>
  </si>
  <si>
    <t>PNE_P_002 ET PNE_P_003 ET PNE_P_005 ET PNE_P_007 ET PNE_P_008 ET PNE_P_009 ET PNE_P_011 ET PNE_P_012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</si>
  <si>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</si>
  <si>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</si>
  <si>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</si>
  <si>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</si>
  <si>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</si>
  <si>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</si>
  <si>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</si>
  <si>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</si>
  <si>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</si>
  <si>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</si>
  <si>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</si>
  <si>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</si>
  <si>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</si>
  <si>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</si>
  <si>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</si>
  <si>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</si>
  <si>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</si>
  <si>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18/04/2020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</si>
  <si>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</si>
  <si>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</si>
  <si>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</si>
  <si>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</si>
  <si>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</si>
  <si>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</si>
  <si>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</si>
  <si>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</si>
  <si>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</si>
  <si>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</si>
  <si>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</si>
  <si>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</si>
  <si>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</si>
  <si>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</si>
  <si>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24.00.00</t>
  </si>
  <si>
    <t>Décret 2020-436 A1</t>
  </si>
  <si>
    <t>SI A_POS_DAFPRE [Saisi] &lt;&gt; Vide ET A_POS_DAFIPS [Saisi] = Vide ET SI A_POS_PROACT[Saisi] = Vide</t>
  </si>
  <si>
    <t>A_POS_DAFPRE [Saisi] - A_POS_DADEPS [Saisi] = 3 AN</t>
  </si>
  <si>
    <t>Bloquant</t>
  </si>
  <si>
    <t>P0001 / P0004 - E1094 / E0829 / E0830 / E0831</t>
  </si>
  <si>
    <t>x</t>
  </si>
  <si>
    <t>La durée de l'affectation en position normale d'activité hors de l'administration d'origine est fixée à 3 ans.</t>
  </si>
  <si>
    <t>SI A_POS_DAFIPS [Saisi] &lt;&gt; Vide ET SI A_POS_PROACT[Saisi] = Vide</t>
  </si>
  <si>
    <t>A_POS_DAFIPS [Saisi] - A_POS_DADEPS [Saisi] = 3 AN</t>
  </si>
  <si>
    <t>P0001 / P0004 - E0829 / E0830 / E0831 / E1094</t>
  </si>
  <si>
    <t>17.10.00</t>
  </si>
  <si>
    <t>Contrôle</t>
  </si>
  <si>
    <t>SI A_POS_DAFPRE [Saisi] &lt;&gt; Vide ET A_POS_DAFIPS [Saisi] = Vide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</si>
  <si>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</si>
  <si>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</si>
  <si>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</si>
  <si>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</si>
  <si>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SI A_POS_DAFIPS [Saisi] &lt;&gt; Vide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</si>
  <si>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</si>
  <si>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</si>
  <si>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</si>
  <si>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</si>
  <si>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</si>
  <si>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</si>
  <si>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</si>
  <si>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</si>
  <si>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A_POS_TYOROR [Saisi] &lt;&gt; Vide ET A_POS_CATORI [Saisi] &lt;&gt; Vide ET A_POS_PAYSDEN [Saisi] &lt;&gt; Vide</t>
  </si>
  <si>
    <t>SI A_POS_TYOROR [Saisi] = 'FPE'</t>
  </si>
  <si>
    <t>A_POS_MINREO [Saisi] &lt;&gt; Vide ET A_POS_COORIG [Saisi] &lt;&gt; Vide ET A_POS_GRORIG [Saisi] &lt;&gt; Vide ET A_POS_ECHORIG [Saisi] &lt;&gt; Vide</t>
  </si>
  <si>
    <t>SI A_POS_TYOROR [Saisi] DANS ('ORG', 'FEU', 'EUR')</t>
  </si>
  <si>
    <t>A_POS_ORGORI [Saisi] &lt;&gt; Vide</t>
  </si>
  <si>
    <t>SI A_POS_TYOROR [Saisi] = 'FPT'</t>
  </si>
  <si>
    <t>A_POS_CODNET [Saisi] &lt;&gt; Vide</t>
  </si>
  <si>
    <t>SI A_POS_TYOROR [Saisi] = 'FPH'</t>
  </si>
  <si>
    <t>A_POS_CODNEH [Saisi] &lt;&gt; Vide</t>
  </si>
  <si>
    <t>Intellectuel</t>
  </si>
  <si>
    <t>Circulaire 2179 1.2</t>
  </si>
  <si>
    <t>Décret 2008-370 A1 / Circulaire 2179 1.3</t>
  </si>
  <si>
    <t>Loi 83-634 A14 bis</t>
  </si>
  <si>
    <t>La demande de l'agent peut être refusée pour des raisons de nécessité de service ou un avis défavorable de la commission de déontologie.</t>
  </si>
  <si>
    <t>Code général de la fonction publique L511-3</t>
  </si>
  <si>
    <t>L'administration peut exiger de l'agent qu'il respecte un délai maximal de préavis de 3 mois, pouvant être porté dans certains cas à 6 mois.</t>
  </si>
  <si>
    <t>P0001 / P0004 - E0831 / E0829 / E0830</t>
  </si>
  <si>
    <t>P0001 / P0004 - E0829 / E0830 / E0831</t>
  </si>
  <si>
    <t>P0001 - E1094 / E0158 / E0159 / E0160 / E0829 / E0830 / E0831 - Demande - T0465 / T0467 / T0469 / T2033 / T2034 / T2035</t>
  </si>
  <si>
    <t>P0001 - E0158 / E0159 / E0160 / E0829 / E0830 / E0831 / E1094 - Demande - T0465 / T0467 / T0469 / T2033 / T2034 / T2035</t>
  </si>
  <si>
    <t>Décret 2008-370 A1-3</t>
  </si>
  <si>
    <t>P0001 / P0004 - E0920 / E0921 / E0924</t>
  </si>
  <si>
    <t>Décret 2004-1085  / Circulaire 2179</t>
  </si>
  <si>
    <t>P0001 / P0004 - E1094 - Demande / Renouvellement</t>
  </si>
  <si>
    <t>Impact</t>
  </si>
  <si>
    <t>P0001 / P0004 - E0158 / E0829 / E0920 / E0921 - Rémunération</t>
  </si>
  <si>
    <t>Rémunération : L'administration d'accueil rémunère l'agent. Il bénéficie du régime indemnitaire de son corps. Les primes sont modulées par l'administration d'accueil. Il peut percevoir les indemnités de l'emploi occupé.</t>
  </si>
  <si>
    <t>P0001 / P0004 - E0159 / E0830 / E0920 / E0921 - Rémunération</t>
  </si>
  <si>
    <t>P0001 / P0004 - E0158 / E0159 / E0829 / E0830 / E0920 / E0921 - Classement</t>
  </si>
  <si>
    <t>P0001 / P0004 - E0158 / E0159 / E0829 / E0830 / E0920 / E0921 - Carrière</t>
  </si>
  <si>
    <t>Carrière : L'administration d'origine assure la gestion de l'agent. Il conserve son droit à l'avancement dans son corps et relève de la commission administrative paritaire de son corps dans son ministère d'origine.</t>
  </si>
  <si>
    <t>Carrière : L'administration d'origine assure la gestion de l'agent. Il conserve son droit à titularisation dans son corps et relève de la commission administrative paritaire de son corps dans son ministère d'origine.</t>
  </si>
  <si>
    <t>P0001 / P0004 - E0829 / E0158 / E0159 / E0830 / E0920 / E0921 - Evaluation</t>
  </si>
  <si>
    <t>P0001 / P0004 - E0158 / E0159 / E0829 / E0830 / E0920 / E0921 - Evaluation</t>
  </si>
  <si>
    <t>P0001 / P0004 - E0158 / E0159 / E0829 / E0830 / E0920 / E0921 - Congés annuels</t>
  </si>
  <si>
    <t>Congés annuels : L'agent cumule des droits à congé. L'administration d'accueil gère les droits à congés annuels de l'agent.</t>
  </si>
  <si>
    <t>A partir du 14/03/2022, le mot "comité médical" est remplacé par "conseil médical" conformément au décret n° 2022-353. Cette règle d'impact n'est, par conséquent, pas historisée.</t>
  </si>
  <si>
    <t>P0001 / P0004 - E0158 / E0829 / E0159 / E0830 / E0920 / E0921 - Maladie</t>
  </si>
  <si>
    <t>18.10.00</t>
  </si>
  <si>
    <t>P0001 / P0004 - E0829 / E0158 / E0159 / E0830 / E0920 / E0921 - Retraite</t>
  </si>
  <si>
    <t>Retraite : L'agent cumule de l'ancienneté. La mise à la retraite de l'agent intervient normalement lorsque celui-ci a atteint la limite d'âge prévue par les statuts de son corps d'origine.</t>
  </si>
  <si>
    <t>P0001 / P0004 - E0830 / E0158 / E0159 / E0829 / E0920 / E0921 - Retraite</t>
  </si>
  <si>
    <t>Retraite : Une fois titularisé, l'agent cumule de l'ancienneté. La mise à la retraite de l'agent intervient normalement lorsque celui-ci a atteint la limite d'âge prévue par les statuts de son corps d'origine.</t>
  </si>
  <si>
    <t>P0001 / P0004 - E0158 / E0159 / E0829 / E0830 / E0920 / E0921 -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</si>
</sst>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AE84-FF3C-46A4-B38B-829FBCACD97D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ht="105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2661-EEFC-4AEF-A22C-5F1A4538D3DF}">
  <dimension ref="A1:BR47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15.7109375" style="23" customWidth="1"/>
    <col min="58" max="58" width="25.7109375" style="24" customWidth="1"/>
    <col min="59" max="59" width="15.7109375" style="23" customWidth="1"/>
    <col min="60" max="60" width="25.7109375" style="24" customWidth="1"/>
    <col min="61" max="61" width="15.7109375" style="23" customWidth="1"/>
    <col min="62" max="62" width="25.7109375" style="24" customWidth="1"/>
    <col min="63" max="63" width="15.7109375" style="23" customWidth="1"/>
    <col min="64" max="64" width="25.7109375" style="24" customWidth="1"/>
    <col min="65" max="65" width="15.7109375" style="23" customWidth="1"/>
    <col min="66" max="66" width="25.7109375" style="24" customWidth="1"/>
    <col min="67" max="67" width="15.7109375" style="23" customWidth="1"/>
    <col min="68" max="68" width="25.7109375" style="24" customWidth="1"/>
    <col min="69" max="69" width="9.7109375" style="23" customWidth="1"/>
    <col min="70" max="70" width="15.7109375" style="24" customWidth="1"/>
    <col min="71" max="16384" width="11.42578125" style="13"/>
  </cols>
  <sheetData>
    <row r="1" spans="1:70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0" t="s">
        <v>69</v>
      </c>
      <c r="BR1" s="10" t="s">
        <v>70</v>
      </c>
    </row>
    <row r="2" spans="1:70" ht="165" x14ac:dyDescent="0.25">
      <c r="A2" s="14" t="s">
        <v>71</v>
      </c>
      <c r="B2" s="14" t="s">
        <v>72</v>
      </c>
      <c r="C2" s="15">
        <v>44711.679166666669</v>
      </c>
      <c r="D2" s="14" t="s">
        <v>73</v>
      </c>
      <c r="E2" s="16" t="s">
        <v>74</v>
      </c>
      <c r="F2" s="14" t="s">
        <v>75</v>
      </c>
      <c r="G2" s="16" t="s">
        <v>76</v>
      </c>
      <c r="H2" s="14" t="s">
        <v>77</v>
      </c>
      <c r="I2" s="16" t="s">
        <v>78</v>
      </c>
      <c r="J2" s="16" t="s">
        <v>79</v>
      </c>
      <c r="K2" s="16" t="s">
        <v>80</v>
      </c>
      <c r="L2" s="14" t="s">
        <v>81</v>
      </c>
      <c r="M2" s="16" t="s">
        <v>82</v>
      </c>
      <c r="N2" s="14" t="s">
        <v>83</v>
      </c>
      <c r="O2" s="16" t="s">
        <v>84</v>
      </c>
      <c r="P2" s="16" t="s">
        <v>84</v>
      </c>
      <c r="Q2" s="16" t="s">
        <v>85</v>
      </c>
      <c r="R2" s="14" t="s">
        <v>86</v>
      </c>
      <c r="S2" s="14" t="s">
        <v>87</v>
      </c>
      <c r="T2" s="14" t="s">
        <v>88</v>
      </c>
      <c r="U2" s="14" t="s">
        <v>89</v>
      </c>
      <c r="V2" s="15">
        <v>40725</v>
      </c>
      <c r="W2" s="15">
        <v>43861</v>
      </c>
      <c r="X2" s="16" t="s">
        <v>90</v>
      </c>
      <c r="Y2" s="17" t="s">
        <v>91</v>
      </c>
      <c r="Z2" s="18" t="str">
        <f>VLOOKUP(Y2,'Axe 2 Règles de gestion'!$D$2:$F$41,3, FALSE)</f>
        <v>L'agent doit effectuer une demande.</v>
      </c>
      <c r="AA2" s="17" t="s">
        <v>93</v>
      </c>
      <c r="AB2" s="18" t="str">
        <f>VLOOKUP(AA2,'Axe 2 Règles de gestion'!$D$2:$F$41,3, FALSE)</f>
        <v>L'affectation intervient à l'initiative de l'agent ou de l'administration.</v>
      </c>
      <c r="AC2" s="17" t="s">
        <v>95</v>
      </c>
      <c r="AD2" s="18" t="str">
        <f>VLOOKUP(AC2,'Axe 2 Règles de gestion'!$D$2:$F$41,3,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E2" s="17" t="s">
        <v>97</v>
      </c>
      <c r="AF2" s="18" t="str">
        <f>VLOOKUP(AE2,'Axe 2 Règles de gestion'!$D$2:$F$41,3, FALSE)</f>
        <v>Un avis conforme de l'administration d'accueil a préalablement été transmis à l'administration d'origine sauf dans le cadre d'un transfert de service.</v>
      </c>
      <c r="AG2" s="17" t="s">
        <v>99</v>
      </c>
      <c r="AH2" s="18" t="str">
        <f>VLOOKUP(AG2,'Axe 2 Règles de gestion'!$D$2:$F$41,3, FALSE)</f>
        <v>Lorsque l'affectation de l'agent est prononcée dans un établissement public, le ministère de tutelle en est préalablement informé.</v>
      </c>
      <c r="AI2" s="17" t="s">
        <v>101</v>
      </c>
      <c r="AJ2" s="18" t="str">
        <f>VLOOKUP(AI2,'Axe 2 Règles de gestion'!$D$2:$F$41,3, FALSE)</f>
        <v>L'affectation en position normale d'activité hors de l'administration d'origine est prononcée sans limitation de durée.</v>
      </c>
      <c r="AK2" s="17" t="s">
        <v>103</v>
      </c>
      <c r="AL2" s="18" t="str">
        <f>VLOOKUP(AK2,'Axe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2" s="17" t="s">
        <v>105</v>
      </c>
      <c r="AN2" s="18" t="str">
        <f>VLOOKUP(AM2,'Axe 2 Règles de gestion'!$D$2:$F$41,3, FALSE)</f>
        <v>Le silence de l'administration gardé pendant 2 mois à compter de la réception de la demande de l'agent vaut acceptation.</v>
      </c>
      <c r="AO2" s="17"/>
      <c r="AP2" s="18"/>
      <c r="AQ2" s="17"/>
      <c r="AR2" s="18"/>
      <c r="AS2" s="17"/>
      <c r="AT2" s="18"/>
      <c r="AU2" s="17" t="s">
        <v>107</v>
      </c>
      <c r="AV2" s="18" t="str">
        <f>VLOOKUP(AU2,'Axe 2 Règles de gestion'!$D$2:$F$41,3, FALSE)</f>
        <v>La date de début de la position doit être postérieure ou égale à la date d'entrée dans la FPE ou dans la carrière militaire.</v>
      </c>
      <c r="AW2" s="17" t="s">
        <v>109</v>
      </c>
      <c r="AX2" s="18" t="str">
        <f>VLOOKUP(AW2,'Axe 2 Règles de gestion'!$D$2:$F$41,3, FALSE)</f>
        <v>La date de début de position est à J+1 de la date de fin de position de l'occurrence précédente.</v>
      </c>
      <c r="AY2" s="17" t="s">
        <v>111</v>
      </c>
      <c r="AZ2" s="18" t="str">
        <f>VLOOKUP(AY2,'Axe 2 Règles de gestion'!$D$2:$F$41,3, FALSE)</f>
        <v>La date de début de position doit être antérieure ou égale à la date de fin réelle de position.</v>
      </c>
      <c r="BA2" s="17" t="s">
        <v>113</v>
      </c>
      <c r="BB2" s="18" t="str">
        <f>VLOOKUP(BA2,'Axe 2 Règles de gestion'!$D$2:$F$41,3, FALSE)</f>
        <v>La date de début de position doit être antérieure ou égale à la date de fin prévisionnelle de position.</v>
      </c>
      <c r="BC2" s="17" t="s">
        <v>115</v>
      </c>
      <c r="BD2" s="18" t="str">
        <f>VLOOKUP(BC2,'Axe 2 Règles de gestion'!$D$2:$F$41,3, FALSE)</f>
        <v>La date de fin réelle de la position doit être antérieure à la date limite de départ à la retraite.</v>
      </c>
      <c r="BE2" s="17" t="s">
        <v>117</v>
      </c>
      <c r="BF2" s="18" t="str">
        <f>VLOOKUP(BE2,'Axe 2 Règles de gestion'!$D$2:$F$41,3, FALSE)</f>
        <v>La date de fin prévisionnelle de la position doit être antérieure à la date limite de départ à la retraite.</v>
      </c>
      <c r="BG2" s="17" t="s">
        <v>119</v>
      </c>
      <c r="BH2" s="18" t="str">
        <f>VLOOKUP(BG2,'Axe 2 Règles de gestion'!$D$2:$F$41,3, FALSE)</f>
        <v>Les champs "Type d'organisme d'origine", "Catégorie statutaire d'origine" et "Pays" de l'organisme d'origine doivent être renseignés.</v>
      </c>
      <c r="BI2" s="17" t="s">
        <v>121</v>
      </c>
      <c r="BJ2" s="18" t="str">
        <f>VLOOKUP(BI2,'Axe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2" s="17" t="s">
        <v>123</v>
      </c>
      <c r="BL2" s="18" t="str">
        <f>VLOOKUP(BK2,'Axe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2" s="17" t="s">
        <v>125</v>
      </c>
      <c r="BN2" s="18" t="str">
        <f>VLOOKUP(BM2,'Axe 2 Règles de gestion'!$D$2:$F$41,3, FALSE)</f>
        <v>Le champ "Code emploi statutaire FPT (NET)" est renseigné si le "Type d'organisme d'origine" est valorisé à FPT.</v>
      </c>
      <c r="BO2" s="17" t="s">
        <v>127</v>
      </c>
      <c r="BP2" s="18" t="str">
        <f>VLOOKUP(BO2,'Axe 2 Règles de gestion'!$D$2:$F$41,3, FALSE)</f>
        <v>Le champ "Code emploi statutaire FPH (NEH)" est renseigné si le "Type d'organisme d'origine" est valorisé à FPH.</v>
      </c>
      <c r="BQ2" s="14" t="s">
        <v>84</v>
      </c>
      <c r="BR2" s="16" t="s">
        <v>84</v>
      </c>
    </row>
    <row r="3" spans="1:70" ht="165" x14ac:dyDescent="0.25">
      <c r="A3" s="14" t="s">
        <v>71</v>
      </c>
      <c r="B3" s="14" t="s">
        <v>129</v>
      </c>
      <c r="C3" s="15">
        <v>44711.421527777777</v>
      </c>
      <c r="D3" s="14" t="s">
        <v>73</v>
      </c>
      <c r="E3" s="16" t="s">
        <v>74</v>
      </c>
      <c r="F3" s="14" t="s">
        <v>75</v>
      </c>
      <c r="G3" s="16" t="s">
        <v>76</v>
      </c>
      <c r="H3" s="14" t="s">
        <v>77</v>
      </c>
      <c r="I3" s="16" t="s">
        <v>78</v>
      </c>
      <c r="J3" s="16" t="s">
        <v>79</v>
      </c>
      <c r="K3" s="16" t="s">
        <v>80</v>
      </c>
      <c r="L3" s="14" t="s">
        <v>81</v>
      </c>
      <c r="M3" s="16" t="s">
        <v>82</v>
      </c>
      <c r="N3" s="14" t="s">
        <v>83</v>
      </c>
      <c r="O3" s="16" t="s">
        <v>84</v>
      </c>
      <c r="P3" s="16" t="s">
        <v>84</v>
      </c>
      <c r="Q3" s="16" t="s">
        <v>85</v>
      </c>
      <c r="R3" s="14" t="s">
        <v>86</v>
      </c>
      <c r="S3" s="14" t="s">
        <v>87</v>
      </c>
      <c r="T3" s="14" t="s">
        <v>88</v>
      </c>
      <c r="U3" s="14" t="s">
        <v>89</v>
      </c>
      <c r="V3" s="15">
        <v>43862</v>
      </c>
      <c r="W3" s="15">
        <v>43938</v>
      </c>
      <c r="X3" s="16" t="s">
        <v>130</v>
      </c>
      <c r="Y3" s="17" t="s">
        <v>91</v>
      </c>
      <c r="Z3" s="18" t="str">
        <f>VLOOKUP(Y3,'Axe 2 Règles de gestion'!$D$2:$F$41,3, FALSE)</f>
        <v>L'agent doit effectuer une demande.</v>
      </c>
      <c r="AA3" s="17" t="s">
        <v>93</v>
      </c>
      <c r="AB3" s="18" t="str">
        <f>VLOOKUP(AA3,'Axe 2 Règles de gestion'!$D$2:$F$41,3, FALSE)</f>
        <v>L'affectation intervient à l'initiative de l'agent ou de l'administration.</v>
      </c>
      <c r="AC3" s="17" t="s">
        <v>131</v>
      </c>
      <c r="AD3" s="18" t="str">
        <f>VLOOKUP(AC3,'Axe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3" s="17" t="s">
        <v>97</v>
      </c>
      <c r="AF3" s="18" t="str">
        <f>VLOOKUP(AE3,'Axe 2 Règles de gestion'!$D$2:$F$41,3, FALSE)</f>
        <v>Un avis conforme de l'administration d'accueil a préalablement été transmis à l'administration d'origine sauf dans le cadre d'un transfert de service.</v>
      </c>
      <c r="AG3" s="17" t="s">
        <v>99</v>
      </c>
      <c r="AH3" s="18" t="str">
        <f>VLOOKUP(AG3,'Axe 2 Règles de gestion'!$D$2:$F$41,3, FALSE)</f>
        <v>Lorsque l'affectation de l'agent est prononcée dans un établissement public, le ministère de tutelle en est préalablement informé.</v>
      </c>
      <c r="AI3" s="17" t="s">
        <v>101</v>
      </c>
      <c r="AJ3" s="18" t="str">
        <f>VLOOKUP(AI3,'Axe 2 Règles de gestion'!$D$2:$F$41,3, FALSE)</f>
        <v>L'affectation en position normale d'activité hors de l'administration d'origine est prononcée sans limitation de durée.</v>
      </c>
      <c r="AK3" s="17" t="s">
        <v>103</v>
      </c>
      <c r="AL3" s="18" t="str">
        <f>VLOOKUP(AK3,'Axe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3" s="17" t="s">
        <v>105</v>
      </c>
      <c r="AN3" s="18" t="str">
        <f>VLOOKUP(AM3,'Axe 2 Règles de gestion'!$D$2:$F$41,3, FALSE)</f>
        <v>Le silence de l'administration gardé pendant 2 mois à compter de la réception de la demande de l'agent vaut acceptation.</v>
      </c>
      <c r="AO3" s="17"/>
      <c r="AP3" s="18"/>
      <c r="AQ3" s="17"/>
      <c r="AR3" s="18"/>
      <c r="AS3" s="17"/>
      <c r="AT3" s="18"/>
      <c r="AU3" s="17" t="s">
        <v>107</v>
      </c>
      <c r="AV3" s="18" t="str">
        <f>VLOOKUP(AU3,'Axe 2 Règles de gestion'!$D$2:$F$41,3, FALSE)</f>
        <v>La date de début de la position doit être postérieure ou égale à la date d'entrée dans la FPE ou dans la carrière militaire.</v>
      </c>
      <c r="AW3" s="17" t="s">
        <v>109</v>
      </c>
      <c r="AX3" s="18" t="str">
        <f>VLOOKUP(AW3,'Axe 2 Règles de gestion'!$D$2:$F$41,3, FALSE)</f>
        <v>La date de début de position est à J+1 de la date de fin de position de l'occurrence précédente.</v>
      </c>
      <c r="AY3" s="17" t="s">
        <v>111</v>
      </c>
      <c r="AZ3" s="18" t="str">
        <f>VLOOKUP(AY3,'Axe 2 Règles de gestion'!$D$2:$F$41,3, FALSE)</f>
        <v>La date de début de position doit être antérieure ou égale à la date de fin réelle de position.</v>
      </c>
      <c r="BA3" s="17" t="s">
        <v>113</v>
      </c>
      <c r="BB3" s="18" t="str">
        <f>VLOOKUP(BA3,'Axe 2 Règles de gestion'!$D$2:$F$41,3, FALSE)</f>
        <v>La date de début de position doit être antérieure ou égale à la date de fin prévisionnelle de position.</v>
      </c>
      <c r="BC3" s="17" t="s">
        <v>115</v>
      </c>
      <c r="BD3" s="18" t="str">
        <f>VLOOKUP(BC3,'Axe 2 Règles de gestion'!$D$2:$F$41,3, FALSE)</f>
        <v>La date de fin réelle de la position doit être antérieure à la date limite de départ à la retraite.</v>
      </c>
      <c r="BE3" s="17" t="s">
        <v>117</v>
      </c>
      <c r="BF3" s="18" t="str">
        <f>VLOOKUP(BE3,'Axe 2 Règles de gestion'!$D$2:$F$41,3, FALSE)</f>
        <v>La date de fin prévisionnelle de la position doit être antérieure à la date limite de départ à la retraite.</v>
      </c>
      <c r="BG3" s="17" t="s">
        <v>119</v>
      </c>
      <c r="BH3" s="18" t="str">
        <f>VLOOKUP(BG3,'Axe 2 Règles de gestion'!$D$2:$F$41,3, FALSE)</f>
        <v>Les champs "Type d'organisme d'origine", "Catégorie statutaire d'origine" et "Pays" de l'organisme d'origine doivent être renseignés.</v>
      </c>
      <c r="BI3" s="17" t="s">
        <v>121</v>
      </c>
      <c r="BJ3" s="18" t="str">
        <f>VLOOKUP(BI3,'Axe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3" s="17" t="s">
        <v>123</v>
      </c>
      <c r="BL3" s="18" t="str">
        <f>VLOOKUP(BK3,'Axe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3" s="17" t="s">
        <v>125</v>
      </c>
      <c r="BN3" s="18" t="str">
        <f>VLOOKUP(BM3,'Axe 2 Règles de gestion'!$D$2:$F$41,3, FALSE)</f>
        <v>Le champ "Code emploi statutaire FPT (NET)" est renseigné si le "Type d'organisme d'origine" est valorisé à FPT.</v>
      </c>
      <c r="BO3" s="17" t="s">
        <v>127</v>
      </c>
      <c r="BP3" s="18" t="str">
        <f>VLOOKUP(BO3,'Axe 2 Règles de gestion'!$D$2:$F$41,3, FALSE)</f>
        <v>Le champ "Code emploi statutaire FPH (NEH)" est renseigné si le "Type d'organisme d'origine" est valorisé à FPH.</v>
      </c>
      <c r="BQ3" s="14" t="s">
        <v>84</v>
      </c>
      <c r="BR3" s="16" t="s">
        <v>84</v>
      </c>
    </row>
    <row r="4" spans="1:70" ht="135" x14ac:dyDescent="0.25">
      <c r="A4" s="14" t="s">
        <v>133</v>
      </c>
      <c r="B4" s="14" t="s">
        <v>72</v>
      </c>
      <c r="C4" s="15">
        <v>43999.45416666667</v>
      </c>
      <c r="D4" s="14" t="s">
        <v>73</v>
      </c>
      <c r="E4" s="16" t="s">
        <v>74</v>
      </c>
      <c r="F4" s="14" t="s">
        <v>75</v>
      </c>
      <c r="G4" s="16" t="s">
        <v>76</v>
      </c>
      <c r="H4" s="14" t="s">
        <v>77</v>
      </c>
      <c r="I4" s="16" t="s">
        <v>78</v>
      </c>
      <c r="J4" s="16" t="s">
        <v>79</v>
      </c>
      <c r="K4" s="16" t="s">
        <v>80</v>
      </c>
      <c r="L4" s="14" t="s">
        <v>134</v>
      </c>
      <c r="M4" s="16" t="s">
        <v>135</v>
      </c>
      <c r="N4" s="14" t="s">
        <v>136</v>
      </c>
      <c r="O4" s="16" t="s">
        <v>84</v>
      </c>
      <c r="P4" s="16" t="s">
        <v>84</v>
      </c>
      <c r="Q4" s="16" t="s">
        <v>85</v>
      </c>
      <c r="R4" s="14" t="s">
        <v>86</v>
      </c>
      <c r="S4" s="14" t="s">
        <v>87</v>
      </c>
      <c r="T4" s="14" t="s">
        <v>88</v>
      </c>
      <c r="U4" s="14" t="s">
        <v>89</v>
      </c>
      <c r="V4" s="15">
        <v>40725</v>
      </c>
      <c r="W4" s="15">
        <v>43938</v>
      </c>
      <c r="X4" s="16" t="s">
        <v>137</v>
      </c>
      <c r="Y4" s="17" t="s">
        <v>101</v>
      </c>
      <c r="Z4" s="18" t="str">
        <f>VLOOKUP(Y4,'Axe 2 Règles de gestion'!$D$2:$F$41,3, FALSE)</f>
        <v>L'affectation en position normale d'activité hors de l'administration d'origine est prononcée sans limitation de durée.</v>
      </c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 t="s">
        <v>111</v>
      </c>
      <c r="AV4" s="18" t="str">
        <f>VLOOKUP(AU4,'Axe 2 Règles de gestion'!$D$2:$F$41,3, FALSE)</f>
        <v>La date de début de position doit être antérieure ou égale à la date de fin réelle de position.</v>
      </c>
      <c r="AW4" s="17" t="s">
        <v>113</v>
      </c>
      <c r="AX4" s="18" t="str">
        <f>VLOOKUP(AW4,'Axe 2 Règles de gestion'!$D$2:$F$41,3, FALSE)</f>
        <v>La date de début de position doit être antérieure ou égale à la date de fin prévisionnelle de position.</v>
      </c>
      <c r="AY4" s="17" t="s">
        <v>115</v>
      </c>
      <c r="AZ4" s="18" t="str">
        <f>VLOOKUP(AY4,'Axe 2 Règles de gestion'!$D$2:$F$41,3, FALSE)</f>
        <v>La date de fin réelle de la position doit être antérieure à la date limite de départ à la retraite.</v>
      </c>
      <c r="BA4" s="17" t="s">
        <v>117</v>
      </c>
      <c r="BB4" s="18" t="str">
        <f>VLOOKUP(BA4,'Axe 2 Règles de gestion'!$D$2:$F$41,3, FALSE)</f>
        <v>La date de fin prévisionnelle de la position doit être antérieure à la date limite de départ à la retraite.</v>
      </c>
      <c r="BC4" s="17" t="s">
        <v>119</v>
      </c>
      <c r="BD4" s="18" t="str">
        <f>VLOOKUP(BC4,'Axe 2 Règles de gestion'!$D$2:$F$41,3, FALSE)</f>
        <v>Les champs "Type d'organisme d'origine", "Catégorie statutaire d'origine" et "Pays" de l'organisme d'origine doivent être renseignés.</v>
      </c>
      <c r="BE4" s="17" t="s">
        <v>121</v>
      </c>
      <c r="BF4" s="18" t="str">
        <f>VLOOKUP(BE4,'Axe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4" s="17" t="s">
        <v>123</v>
      </c>
      <c r="BH4" s="18" t="str">
        <f>VLOOKUP(BG4,'Axe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4" s="17" t="s">
        <v>125</v>
      </c>
      <c r="BJ4" s="18" t="str">
        <f>VLOOKUP(BI4,'Axe 2 Règles de gestion'!$D$2:$F$41,3, FALSE)</f>
        <v>Le champ "Code emploi statutaire FPT (NET)" est renseigné si le "Type d'organisme d'origine" est valorisé à FPT.</v>
      </c>
      <c r="BK4" s="17" t="s">
        <v>127</v>
      </c>
      <c r="BL4" s="18" t="str">
        <f>VLOOKUP(BK4,'Axe 2 Règles de gestion'!$D$2:$F$41,3, FALSE)</f>
        <v>Le champ "Code emploi statutaire FPH (NEH)" est renseigné si le "Type d'organisme d'origine" est valorisé à FPH.</v>
      </c>
      <c r="BM4" s="17"/>
      <c r="BN4" s="18"/>
      <c r="BO4" s="17"/>
      <c r="BP4" s="18"/>
      <c r="BQ4" s="14" t="s">
        <v>84</v>
      </c>
      <c r="BR4" s="16" t="s">
        <v>84</v>
      </c>
    </row>
    <row r="5" spans="1:70" ht="75" x14ac:dyDescent="0.25">
      <c r="A5" s="14" t="s">
        <v>133</v>
      </c>
      <c r="B5" s="14" t="s">
        <v>72</v>
      </c>
      <c r="C5" s="15">
        <v>43999.64166666667</v>
      </c>
      <c r="D5" s="14" t="s">
        <v>73</v>
      </c>
      <c r="E5" s="16" t="s">
        <v>74</v>
      </c>
      <c r="F5" s="14" t="s">
        <v>75</v>
      </c>
      <c r="G5" s="16" t="s">
        <v>76</v>
      </c>
      <c r="H5" s="14" t="s">
        <v>77</v>
      </c>
      <c r="I5" s="16" t="s">
        <v>78</v>
      </c>
      <c r="J5" s="16" t="s">
        <v>79</v>
      </c>
      <c r="K5" s="16" t="s">
        <v>80</v>
      </c>
      <c r="L5" s="14" t="s">
        <v>81</v>
      </c>
      <c r="M5" s="16" t="s">
        <v>82</v>
      </c>
      <c r="N5" s="14" t="s">
        <v>83</v>
      </c>
      <c r="O5" s="16" t="s">
        <v>84</v>
      </c>
      <c r="P5" s="16" t="s">
        <v>84</v>
      </c>
      <c r="Q5" s="16" t="s">
        <v>138</v>
      </c>
      <c r="R5" s="14" t="s">
        <v>139</v>
      </c>
      <c r="S5" s="14" t="s">
        <v>72</v>
      </c>
      <c r="T5" s="14" t="s">
        <v>88</v>
      </c>
      <c r="U5" s="14" t="s">
        <v>140</v>
      </c>
      <c r="V5" s="15">
        <v>40725</v>
      </c>
      <c r="W5" s="15">
        <v>43938</v>
      </c>
      <c r="X5" s="16" t="s">
        <v>84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4" t="s">
        <v>84</v>
      </c>
      <c r="BR5" s="16" t="s">
        <v>84</v>
      </c>
    </row>
    <row r="6" spans="1:70" ht="75" x14ac:dyDescent="0.25">
      <c r="A6" s="14" t="s">
        <v>133</v>
      </c>
      <c r="B6" s="14" t="s">
        <v>72</v>
      </c>
      <c r="C6" s="15">
        <v>43999.640277777777</v>
      </c>
      <c r="D6" s="14" t="s">
        <v>73</v>
      </c>
      <c r="E6" s="16" t="s">
        <v>74</v>
      </c>
      <c r="F6" s="14" t="s">
        <v>75</v>
      </c>
      <c r="G6" s="16" t="s">
        <v>76</v>
      </c>
      <c r="H6" s="14" t="s">
        <v>77</v>
      </c>
      <c r="I6" s="16" t="s">
        <v>78</v>
      </c>
      <c r="J6" s="16" t="s">
        <v>79</v>
      </c>
      <c r="K6" s="16" t="s">
        <v>80</v>
      </c>
      <c r="L6" s="14" t="s">
        <v>134</v>
      </c>
      <c r="M6" s="16" t="s">
        <v>135</v>
      </c>
      <c r="N6" s="14" t="s">
        <v>136</v>
      </c>
      <c r="O6" s="16" t="s">
        <v>84</v>
      </c>
      <c r="P6" s="16" t="s">
        <v>84</v>
      </c>
      <c r="Q6" s="16" t="s">
        <v>138</v>
      </c>
      <c r="R6" s="14" t="s">
        <v>139</v>
      </c>
      <c r="S6" s="14" t="s">
        <v>72</v>
      </c>
      <c r="T6" s="14" t="s">
        <v>88</v>
      </c>
      <c r="U6" s="14" t="s">
        <v>140</v>
      </c>
      <c r="V6" s="15">
        <v>40725</v>
      </c>
      <c r="W6" s="15">
        <v>43938</v>
      </c>
      <c r="X6" s="16" t="s">
        <v>84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7"/>
      <c r="BP6" s="18"/>
      <c r="BQ6" s="14" t="s">
        <v>84</v>
      </c>
      <c r="BR6" s="16" t="s">
        <v>84</v>
      </c>
    </row>
    <row r="7" spans="1:70" ht="75" x14ac:dyDescent="0.25">
      <c r="A7" s="14" t="s">
        <v>133</v>
      </c>
      <c r="B7" s="14" t="s">
        <v>72</v>
      </c>
      <c r="C7" s="15">
        <v>43999.642361111109</v>
      </c>
      <c r="D7" s="14" t="s">
        <v>73</v>
      </c>
      <c r="E7" s="16" t="s">
        <v>74</v>
      </c>
      <c r="F7" s="14" t="s">
        <v>75</v>
      </c>
      <c r="G7" s="16" t="s">
        <v>76</v>
      </c>
      <c r="H7" s="14" t="s">
        <v>77</v>
      </c>
      <c r="I7" s="16" t="s">
        <v>78</v>
      </c>
      <c r="J7" s="16" t="s">
        <v>79</v>
      </c>
      <c r="K7" s="16" t="s">
        <v>80</v>
      </c>
      <c r="L7" s="14" t="s">
        <v>81</v>
      </c>
      <c r="M7" s="16" t="s">
        <v>82</v>
      </c>
      <c r="N7" s="14" t="s">
        <v>83</v>
      </c>
      <c r="O7" s="16" t="s">
        <v>84</v>
      </c>
      <c r="P7" s="16" t="s">
        <v>84</v>
      </c>
      <c r="Q7" s="16" t="s">
        <v>141</v>
      </c>
      <c r="R7" s="14" t="s">
        <v>142</v>
      </c>
      <c r="S7" s="14" t="s">
        <v>143</v>
      </c>
      <c r="T7" s="14" t="s">
        <v>88</v>
      </c>
      <c r="U7" s="14" t="s">
        <v>140</v>
      </c>
      <c r="V7" s="15">
        <v>40725</v>
      </c>
      <c r="W7" s="15">
        <v>43938</v>
      </c>
      <c r="X7" s="16" t="s">
        <v>84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4" t="s">
        <v>84</v>
      </c>
      <c r="BR7" s="16" t="s">
        <v>84</v>
      </c>
    </row>
    <row r="8" spans="1:70" ht="75" x14ac:dyDescent="0.25">
      <c r="A8" s="14" t="s">
        <v>133</v>
      </c>
      <c r="B8" s="14" t="s">
        <v>72</v>
      </c>
      <c r="C8" s="15">
        <v>43999.640972222223</v>
      </c>
      <c r="D8" s="14" t="s">
        <v>73</v>
      </c>
      <c r="E8" s="16" t="s">
        <v>74</v>
      </c>
      <c r="F8" s="14" t="s">
        <v>75</v>
      </c>
      <c r="G8" s="16" t="s">
        <v>76</v>
      </c>
      <c r="H8" s="14" t="s">
        <v>77</v>
      </c>
      <c r="I8" s="16" t="s">
        <v>78</v>
      </c>
      <c r="J8" s="16" t="s">
        <v>79</v>
      </c>
      <c r="K8" s="16" t="s">
        <v>80</v>
      </c>
      <c r="L8" s="14" t="s">
        <v>134</v>
      </c>
      <c r="M8" s="16" t="s">
        <v>135</v>
      </c>
      <c r="N8" s="14" t="s">
        <v>136</v>
      </c>
      <c r="O8" s="16" t="s">
        <v>84</v>
      </c>
      <c r="P8" s="16" t="s">
        <v>84</v>
      </c>
      <c r="Q8" s="16" t="s">
        <v>141</v>
      </c>
      <c r="R8" s="14" t="s">
        <v>142</v>
      </c>
      <c r="S8" s="14" t="s">
        <v>143</v>
      </c>
      <c r="T8" s="14" t="s">
        <v>88</v>
      </c>
      <c r="U8" s="14" t="s">
        <v>140</v>
      </c>
      <c r="V8" s="15">
        <v>40725</v>
      </c>
      <c r="W8" s="15">
        <v>43938</v>
      </c>
      <c r="X8" s="16" t="s">
        <v>84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7"/>
      <c r="BP8" s="18"/>
      <c r="BQ8" s="14" t="s">
        <v>84</v>
      </c>
      <c r="BR8" s="16" t="s">
        <v>84</v>
      </c>
    </row>
    <row r="9" spans="1:70" ht="135" x14ac:dyDescent="0.25">
      <c r="A9" s="14" t="s">
        <v>71</v>
      </c>
      <c r="B9" s="14" t="s">
        <v>72</v>
      </c>
      <c r="C9" s="15">
        <v>44711.426388888889</v>
      </c>
      <c r="D9" s="14" t="s">
        <v>73</v>
      </c>
      <c r="E9" s="16" t="s">
        <v>74</v>
      </c>
      <c r="F9" s="14" t="s">
        <v>75</v>
      </c>
      <c r="G9" s="16" t="s">
        <v>76</v>
      </c>
      <c r="H9" s="14" t="s">
        <v>77</v>
      </c>
      <c r="I9" s="16" t="s">
        <v>78</v>
      </c>
      <c r="J9" s="16" t="s">
        <v>79</v>
      </c>
      <c r="K9" s="16" t="s">
        <v>80</v>
      </c>
      <c r="L9" s="14" t="s">
        <v>81</v>
      </c>
      <c r="M9" s="16" t="s">
        <v>82</v>
      </c>
      <c r="N9" s="14" t="s">
        <v>83</v>
      </c>
      <c r="O9" s="16" t="s">
        <v>84</v>
      </c>
      <c r="P9" s="16" t="s">
        <v>84</v>
      </c>
      <c r="Q9" s="16" t="s">
        <v>144</v>
      </c>
      <c r="R9" s="14" t="s">
        <v>145</v>
      </c>
      <c r="S9" s="14" t="s">
        <v>146</v>
      </c>
      <c r="T9" s="14" t="s">
        <v>88</v>
      </c>
      <c r="U9" s="14" t="s">
        <v>89</v>
      </c>
      <c r="V9" s="15">
        <v>40725</v>
      </c>
      <c r="W9" s="15">
        <v>43938</v>
      </c>
      <c r="X9" s="16" t="s">
        <v>147</v>
      </c>
      <c r="Y9" s="17" t="s">
        <v>91</v>
      </c>
      <c r="Z9" s="18" t="str">
        <f>VLOOKUP(Y9,'Axe 2 Règles de gestion'!$D$2:$F$41,3, FALSE)</f>
        <v>L'agent doit effectuer une demande.</v>
      </c>
      <c r="AA9" s="17" t="s">
        <v>93</v>
      </c>
      <c r="AB9" s="18" t="str">
        <f>VLOOKUP(AA9,'Axe 2 Règles de gestion'!$D$2:$F$41,3, FALSE)</f>
        <v>L'affectation intervient à l'initiative de l'agent ou de l'administration.</v>
      </c>
      <c r="AC9" s="17" t="s">
        <v>97</v>
      </c>
      <c r="AD9" s="18" t="str">
        <f>VLOOKUP(AC9,'Axe 2 Règles de gestion'!$D$2:$F$41,3, FALSE)</f>
        <v>Un avis conforme de l'administration d'accueil a préalablement été transmis à l'administration d'origine sauf dans le cadre d'un transfert de service.</v>
      </c>
      <c r="AE9" s="17" t="s">
        <v>99</v>
      </c>
      <c r="AF9" s="18" t="str">
        <f>VLOOKUP(AE9,'Axe 2 Règles de gestion'!$D$2:$F$41,3, FALSE)</f>
        <v>Lorsque l'affectation de l'agent est prononcée dans un établissement public, le ministère de tutelle en est préalablement informé.</v>
      </c>
      <c r="AG9" s="17" t="s">
        <v>101</v>
      </c>
      <c r="AH9" s="18" t="str">
        <f>VLOOKUP(AG9,'Axe 2 Règles de gestion'!$D$2:$F$41,3, FALSE)</f>
        <v>L'affectation en position normale d'activité hors de l'administration d'origine est prononcée sans limitation de durée.</v>
      </c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 t="s">
        <v>107</v>
      </c>
      <c r="AV9" s="18" t="str">
        <f>VLOOKUP(AU9,'Axe 2 Règles de gestion'!$D$2:$F$41,3, FALSE)</f>
        <v>La date de début de la position doit être postérieure ou égale à la date d'entrée dans la FPE ou dans la carrière militaire.</v>
      </c>
      <c r="AW9" s="17" t="s">
        <v>109</v>
      </c>
      <c r="AX9" s="18" t="str">
        <f>VLOOKUP(AW9,'Axe 2 Règles de gestion'!$D$2:$F$41,3, FALSE)</f>
        <v>La date de début de position est à J+1 de la date de fin de position de l'occurrence précédente.</v>
      </c>
      <c r="AY9" s="17" t="s">
        <v>111</v>
      </c>
      <c r="AZ9" s="18" t="str">
        <f>VLOOKUP(AY9,'Axe 2 Règles de gestion'!$D$2:$F$41,3, FALSE)</f>
        <v>La date de début de position doit être antérieure ou égale à la date de fin réelle de position.</v>
      </c>
      <c r="BA9" s="17" t="s">
        <v>113</v>
      </c>
      <c r="BB9" s="18" t="str">
        <f>VLOOKUP(BA9,'Axe 2 Règles de gestion'!$D$2:$F$41,3, FALSE)</f>
        <v>La date de début de position doit être antérieure ou égale à la date de fin prévisionnelle de position.</v>
      </c>
      <c r="BC9" s="17" t="s">
        <v>115</v>
      </c>
      <c r="BD9" s="18" t="str">
        <f>VLOOKUP(BC9,'Axe 2 Règles de gestion'!$D$2:$F$41,3, FALSE)</f>
        <v>La date de fin réelle de la position doit être antérieure à la date limite de départ à la retraite.</v>
      </c>
      <c r="BE9" s="17" t="s">
        <v>117</v>
      </c>
      <c r="BF9" s="18" t="str">
        <f>VLOOKUP(BE9,'Axe 2 Règles de gestion'!$D$2:$F$41,3, FALSE)</f>
        <v>La date de fin prévisionnelle de la position doit être antérieure à la date limite de départ à la retraite.</v>
      </c>
      <c r="BG9" s="17" t="s">
        <v>119</v>
      </c>
      <c r="BH9" s="18" t="str">
        <f>VLOOKUP(BG9,'Axe 2 Règles de gestion'!$D$2:$F$41,3, FALSE)</f>
        <v>Les champs "Type d'organisme d'origine", "Catégorie statutaire d'origine" et "Pays" de l'organisme d'origine doivent être renseignés.</v>
      </c>
      <c r="BI9" s="17" t="s">
        <v>121</v>
      </c>
      <c r="BJ9" s="18" t="str">
        <f>VLOOKUP(BI9,'Axe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9" s="17" t="s">
        <v>123</v>
      </c>
      <c r="BL9" s="18" t="str">
        <f>VLOOKUP(BK9,'Axe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9" s="17" t="s">
        <v>125</v>
      </c>
      <c r="BN9" s="18" t="str">
        <f>VLOOKUP(BM9,'Axe 2 Règles de gestion'!$D$2:$F$41,3, FALSE)</f>
        <v>Le champ "Code emploi statutaire FPT (NET)" est renseigné si le "Type d'organisme d'origine" est valorisé à FPT.</v>
      </c>
      <c r="BO9" s="17" t="s">
        <v>127</v>
      </c>
      <c r="BP9" s="18" t="str">
        <f>VLOOKUP(BO9,'Axe 2 Règles de gestion'!$D$2:$F$41,3, FALSE)</f>
        <v>Le champ "Code emploi statutaire FPH (NEH)" est renseigné si le "Type d'organisme d'origine" est valorisé à FPH.</v>
      </c>
      <c r="BQ9" s="14" t="s">
        <v>84</v>
      </c>
      <c r="BR9" s="16" t="s">
        <v>84</v>
      </c>
    </row>
    <row r="10" spans="1:70" ht="135" x14ac:dyDescent="0.25">
      <c r="A10" s="14" t="s">
        <v>133</v>
      </c>
      <c r="B10" s="14" t="s">
        <v>72</v>
      </c>
      <c r="C10" s="15">
        <v>43999.453472222223</v>
      </c>
      <c r="D10" s="14" t="s">
        <v>73</v>
      </c>
      <c r="E10" s="16" t="s">
        <v>74</v>
      </c>
      <c r="F10" s="14" t="s">
        <v>75</v>
      </c>
      <c r="G10" s="16" t="s">
        <v>76</v>
      </c>
      <c r="H10" s="14" t="s">
        <v>77</v>
      </c>
      <c r="I10" s="16" t="s">
        <v>78</v>
      </c>
      <c r="J10" s="16" t="s">
        <v>79</v>
      </c>
      <c r="K10" s="16" t="s">
        <v>80</v>
      </c>
      <c r="L10" s="14" t="s">
        <v>134</v>
      </c>
      <c r="M10" s="16" t="s">
        <v>135</v>
      </c>
      <c r="N10" s="14" t="s">
        <v>136</v>
      </c>
      <c r="O10" s="16" t="s">
        <v>84</v>
      </c>
      <c r="P10" s="16" t="s">
        <v>84</v>
      </c>
      <c r="Q10" s="16" t="s">
        <v>144</v>
      </c>
      <c r="R10" s="14" t="s">
        <v>145</v>
      </c>
      <c r="S10" s="14" t="s">
        <v>146</v>
      </c>
      <c r="T10" s="14" t="s">
        <v>88</v>
      </c>
      <c r="U10" s="14" t="s">
        <v>89</v>
      </c>
      <c r="V10" s="15">
        <v>40725</v>
      </c>
      <c r="W10" s="15">
        <v>43938</v>
      </c>
      <c r="X10" s="16" t="s">
        <v>137</v>
      </c>
      <c r="Y10" s="17" t="s">
        <v>101</v>
      </c>
      <c r="Z10" s="18" t="str">
        <f>VLOOKUP(Y10,'Axe 2 Règles de gestion'!$D$2:$F$41,3, FALSE)</f>
        <v>L'affectation en position normale d'activité hors de l'administration d'origine est prononcée sans limitation de durée.</v>
      </c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 t="s">
        <v>111</v>
      </c>
      <c r="AV10" s="18" t="str">
        <f>VLOOKUP(AU10,'Axe 2 Règles de gestion'!$D$2:$F$41,3, FALSE)</f>
        <v>La date de début de position doit être antérieure ou égale à la date de fin réelle de position.</v>
      </c>
      <c r="AW10" s="17" t="s">
        <v>113</v>
      </c>
      <c r="AX10" s="18" t="str">
        <f>VLOOKUP(AW10,'Axe 2 Règles de gestion'!$D$2:$F$41,3, FALSE)</f>
        <v>La date de début de position doit être antérieure ou égale à la date de fin prévisionnelle de position.</v>
      </c>
      <c r="AY10" s="17" t="s">
        <v>115</v>
      </c>
      <c r="AZ10" s="18" t="str">
        <f>VLOOKUP(AY10,'Axe 2 Règles de gestion'!$D$2:$F$41,3, FALSE)</f>
        <v>La date de fin réelle de la position doit être antérieure à la date limite de départ à la retraite.</v>
      </c>
      <c r="BA10" s="17" t="s">
        <v>117</v>
      </c>
      <c r="BB10" s="18" t="str">
        <f>VLOOKUP(BA10,'Axe 2 Règles de gestion'!$D$2:$F$41,3, FALSE)</f>
        <v>La date de fin prévisionnelle de la position doit être antérieure à la date limite de départ à la retraite.</v>
      </c>
      <c r="BC10" s="17" t="s">
        <v>119</v>
      </c>
      <c r="BD10" s="18" t="str">
        <f>VLOOKUP(BC10,'Axe 2 Règles de gestion'!$D$2:$F$41,3, FALSE)</f>
        <v>Les champs "Type d'organisme d'origine", "Catégorie statutaire d'origine" et "Pays" de l'organisme d'origine doivent être renseignés.</v>
      </c>
      <c r="BE10" s="17" t="s">
        <v>121</v>
      </c>
      <c r="BF10" s="18" t="str">
        <f>VLOOKUP(BE10,'Axe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0" s="17" t="s">
        <v>123</v>
      </c>
      <c r="BH10" s="18" t="str">
        <f>VLOOKUP(BG10,'Axe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0" s="17" t="s">
        <v>125</v>
      </c>
      <c r="BJ10" s="18" t="str">
        <f>VLOOKUP(BI10,'Axe 2 Règles de gestion'!$D$2:$F$41,3, FALSE)</f>
        <v>Le champ "Code emploi statutaire FPT (NET)" est renseigné si le "Type d'organisme d'origine" est valorisé à FPT.</v>
      </c>
      <c r="BK10" s="17" t="s">
        <v>127</v>
      </c>
      <c r="BL10" s="18" t="str">
        <f>VLOOKUP(BK10,'Axe 2 Règles de gestion'!$D$2:$F$41,3, FALSE)</f>
        <v>Le champ "Code emploi statutaire FPH (NEH)" est renseigné si le "Type d'organisme d'origine" est valorisé à FPH.</v>
      </c>
      <c r="BM10" s="17"/>
      <c r="BN10" s="18"/>
      <c r="BO10" s="17"/>
      <c r="BP10" s="18"/>
      <c r="BQ10" s="14" t="s">
        <v>84</v>
      </c>
      <c r="BR10" s="16" t="s">
        <v>84</v>
      </c>
    </row>
    <row r="11" spans="1:70" ht="75" x14ac:dyDescent="0.25">
      <c r="A11" s="14" t="s">
        <v>133</v>
      </c>
      <c r="B11" s="14" t="s">
        <v>72</v>
      </c>
      <c r="C11" s="15">
        <v>43999.642361111109</v>
      </c>
      <c r="D11" s="14" t="s">
        <v>73</v>
      </c>
      <c r="E11" s="16" t="s">
        <v>74</v>
      </c>
      <c r="F11" s="14" t="s">
        <v>75</v>
      </c>
      <c r="G11" s="16" t="s">
        <v>76</v>
      </c>
      <c r="H11" s="14" t="s">
        <v>77</v>
      </c>
      <c r="I11" s="16" t="s">
        <v>78</v>
      </c>
      <c r="J11" s="16" t="s">
        <v>79</v>
      </c>
      <c r="K11" s="16" t="s">
        <v>80</v>
      </c>
      <c r="L11" s="14" t="s">
        <v>81</v>
      </c>
      <c r="M11" s="16" t="s">
        <v>82</v>
      </c>
      <c r="N11" s="14" t="s">
        <v>83</v>
      </c>
      <c r="O11" s="16" t="s">
        <v>84</v>
      </c>
      <c r="P11" s="16" t="s">
        <v>84</v>
      </c>
      <c r="Q11" s="16" t="s">
        <v>148</v>
      </c>
      <c r="R11" s="14" t="s">
        <v>149</v>
      </c>
      <c r="S11" s="14" t="s">
        <v>150</v>
      </c>
      <c r="T11" s="14" t="s">
        <v>88</v>
      </c>
      <c r="U11" s="14" t="s">
        <v>140</v>
      </c>
      <c r="V11" s="15">
        <v>40725</v>
      </c>
      <c r="W11" s="15">
        <v>43938</v>
      </c>
      <c r="X11" s="16" t="s">
        <v>84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7"/>
      <c r="BJ11" s="18"/>
      <c r="BK11" s="17"/>
      <c r="BL11" s="18"/>
      <c r="BM11" s="17"/>
      <c r="BN11" s="18"/>
      <c r="BO11" s="17"/>
      <c r="BP11" s="18"/>
      <c r="BQ11" s="14" t="s">
        <v>84</v>
      </c>
      <c r="BR11" s="16" t="s">
        <v>84</v>
      </c>
    </row>
    <row r="12" spans="1:70" ht="75" x14ac:dyDescent="0.25">
      <c r="A12" s="14" t="s">
        <v>133</v>
      </c>
      <c r="B12" s="14" t="s">
        <v>72</v>
      </c>
      <c r="C12" s="15">
        <v>43999.64166666667</v>
      </c>
      <c r="D12" s="14" t="s">
        <v>73</v>
      </c>
      <c r="E12" s="16" t="s">
        <v>74</v>
      </c>
      <c r="F12" s="14" t="s">
        <v>75</v>
      </c>
      <c r="G12" s="16" t="s">
        <v>76</v>
      </c>
      <c r="H12" s="14" t="s">
        <v>77</v>
      </c>
      <c r="I12" s="16" t="s">
        <v>78</v>
      </c>
      <c r="J12" s="16" t="s">
        <v>79</v>
      </c>
      <c r="K12" s="16" t="s">
        <v>80</v>
      </c>
      <c r="L12" s="14" t="s">
        <v>134</v>
      </c>
      <c r="M12" s="16" t="s">
        <v>135</v>
      </c>
      <c r="N12" s="14" t="s">
        <v>136</v>
      </c>
      <c r="O12" s="16" t="s">
        <v>84</v>
      </c>
      <c r="P12" s="16" t="s">
        <v>84</v>
      </c>
      <c r="Q12" s="16" t="s">
        <v>148</v>
      </c>
      <c r="R12" s="14" t="s">
        <v>149</v>
      </c>
      <c r="S12" s="14" t="s">
        <v>150</v>
      </c>
      <c r="T12" s="14" t="s">
        <v>88</v>
      </c>
      <c r="U12" s="14" t="s">
        <v>140</v>
      </c>
      <c r="V12" s="15">
        <v>40725</v>
      </c>
      <c r="W12" s="15">
        <v>43938</v>
      </c>
      <c r="X12" s="16" t="s">
        <v>84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/>
      <c r="BF12" s="18"/>
      <c r="BG12" s="17"/>
      <c r="BH12" s="18"/>
      <c r="BI12" s="17"/>
      <c r="BJ12" s="18"/>
      <c r="BK12" s="17"/>
      <c r="BL12" s="18"/>
      <c r="BM12" s="17"/>
      <c r="BN12" s="18"/>
      <c r="BO12" s="17"/>
      <c r="BP12" s="18"/>
      <c r="BQ12" s="14" t="s">
        <v>84</v>
      </c>
      <c r="BR12" s="16" t="s">
        <v>84</v>
      </c>
    </row>
    <row r="13" spans="1:70" ht="75" x14ac:dyDescent="0.25">
      <c r="A13" s="14" t="s">
        <v>133</v>
      </c>
      <c r="B13" s="14" t="s">
        <v>72</v>
      </c>
      <c r="C13" s="15">
        <v>43999.643055555556</v>
      </c>
      <c r="D13" s="14" t="s">
        <v>73</v>
      </c>
      <c r="E13" s="16" t="s">
        <v>74</v>
      </c>
      <c r="F13" s="14" t="s">
        <v>75</v>
      </c>
      <c r="G13" s="16" t="s">
        <v>76</v>
      </c>
      <c r="H13" s="14" t="s">
        <v>77</v>
      </c>
      <c r="I13" s="16" t="s">
        <v>78</v>
      </c>
      <c r="J13" s="16" t="s">
        <v>79</v>
      </c>
      <c r="K13" s="16" t="s">
        <v>80</v>
      </c>
      <c r="L13" s="14" t="s">
        <v>81</v>
      </c>
      <c r="M13" s="16" t="s">
        <v>82</v>
      </c>
      <c r="N13" s="14" t="s">
        <v>83</v>
      </c>
      <c r="O13" s="16" t="s">
        <v>84</v>
      </c>
      <c r="P13" s="16" t="s">
        <v>84</v>
      </c>
      <c r="Q13" s="16" t="s">
        <v>151</v>
      </c>
      <c r="R13" s="14" t="s">
        <v>152</v>
      </c>
      <c r="S13" s="14" t="s">
        <v>87</v>
      </c>
      <c r="T13" s="14" t="s">
        <v>153</v>
      </c>
      <c r="U13" s="14" t="s">
        <v>140</v>
      </c>
      <c r="V13" s="15">
        <v>40725</v>
      </c>
      <c r="W13" s="15">
        <v>43938</v>
      </c>
      <c r="X13" s="16" t="s">
        <v>84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7"/>
      <c r="BH13" s="18"/>
      <c r="BI13" s="17"/>
      <c r="BJ13" s="18"/>
      <c r="BK13" s="17"/>
      <c r="BL13" s="18"/>
      <c r="BM13" s="17"/>
      <c r="BN13" s="18"/>
      <c r="BO13" s="17"/>
      <c r="BP13" s="18"/>
      <c r="BQ13" s="14" t="s">
        <v>84</v>
      </c>
      <c r="BR13" s="16" t="s">
        <v>84</v>
      </c>
    </row>
    <row r="14" spans="1:70" ht="75" x14ac:dyDescent="0.25">
      <c r="A14" s="14" t="s">
        <v>133</v>
      </c>
      <c r="B14" s="14" t="s">
        <v>72</v>
      </c>
      <c r="C14" s="15">
        <v>43999.643750000003</v>
      </c>
      <c r="D14" s="14" t="s">
        <v>73</v>
      </c>
      <c r="E14" s="16" t="s">
        <v>74</v>
      </c>
      <c r="F14" s="14" t="s">
        <v>75</v>
      </c>
      <c r="G14" s="16" t="s">
        <v>76</v>
      </c>
      <c r="H14" s="14" t="s">
        <v>77</v>
      </c>
      <c r="I14" s="16" t="s">
        <v>78</v>
      </c>
      <c r="J14" s="16" t="s">
        <v>79</v>
      </c>
      <c r="K14" s="16" t="s">
        <v>80</v>
      </c>
      <c r="L14" s="14" t="s">
        <v>134</v>
      </c>
      <c r="M14" s="16" t="s">
        <v>135</v>
      </c>
      <c r="N14" s="14" t="s">
        <v>136</v>
      </c>
      <c r="O14" s="16" t="s">
        <v>84</v>
      </c>
      <c r="P14" s="16" t="s">
        <v>84</v>
      </c>
      <c r="Q14" s="16" t="s">
        <v>151</v>
      </c>
      <c r="R14" s="14" t="s">
        <v>152</v>
      </c>
      <c r="S14" s="14" t="s">
        <v>87</v>
      </c>
      <c r="T14" s="14" t="s">
        <v>153</v>
      </c>
      <c r="U14" s="14" t="s">
        <v>140</v>
      </c>
      <c r="V14" s="15">
        <v>40725</v>
      </c>
      <c r="W14" s="15">
        <v>43938</v>
      </c>
      <c r="X14" s="16" t="s">
        <v>84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7"/>
      <c r="AX14" s="18"/>
      <c r="AY14" s="17"/>
      <c r="AZ14" s="18"/>
      <c r="BA14" s="17"/>
      <c r="BB14" s="18"/>
      <c r="BC14" s="17"/>
      <c r="BD14" s="18"/>
      <c r="BE14" s="17"/>
      <c r="BF14" s="18"/>
      <c r="BG14" s="17"/>
      <c r="BH14" s="18"/>
      <c r="BI14" s="17"/>
      <c r="BJ14" s="18"/>
      <c r="BK14" s="17"/>
      <c r="BL14" s="18"/>
      <c r="BM14" s="17"/>
      <c r="BN14" s="18"/>
      <c r="BO14" s="17"/>
      <c r="BP14" s="18"/>
      <c r="BQ14" s="14" t="s">
        <v>84</v>
      </c>
      <c r="BR14" s="16" t="s">
        <v>84</v>
      </c>
    </row>
    <row r="15" spans="1:70" ht="75" x14ac:dyDescent="0.25">
      <c r="A15" s="14" t="s">
        <v>133</v>
      </c>
      <c r="B15" s="14" t="s">
        <v>72</v>
      </c>
      <c r="C15" s="15">
        <v>43999.643055555556</v>
      </c>
      <c r="D15" s="14" t="s">
        <v>73</v>
      </c>
      <c r="E15" s="16" t="s">
        <v>74</v>
      </c>
      <c r="F15" s="14" t="s">
        <v>75</v>
      </c>
      <c r="G15" s="16" t="s">
        <v>76</v>
      </c>
      <c r="H15" s="14" t="s">
        <v>77</v>
      </c>
      <c r="I15" s="16" t="s">
        <v>78</v>
      </c>
      <c r="J15" s="16" t="s">
        <v>79</v>
      </c>
      <c r="K15" s="16" t="s">
        <v>80</v>
      </c>
      <c r="L15" s="14" t="s">
        <v>81</v>
      </c>
      <c r="M15" s="16" t="s">
        <v>82</v>
      </c>
      <c r="N15" s="14" t="s">
        <v>83</v>
      </c>
      <c r="O15" s="16" t="s">
        <v>84</v>
      </c>
      <c r="P15" s="16" t="s">
        <v>84</v>
      </c>
      <c r="Q15" s="16" t="s">
        <v>154</v>
      </c>
      <c r="R15" s="14" t="s">
        <v>155</v>
      </c>
      <c r="S15" s="14" t="s">
        <v>146</v>
      </c>
      <c r="T15" s="14" t="s">
        <v>153</v>
      </c>
      <c r="U15" s="14" t="s">
        <v>140</v>
      </c>
      <c r="V15" s="15">
        <v>40725</v>
      </c>
      <c r="W15" s="15">
        <v>43938</v>
      </c>
      <c r="X15" s="16" t="s">
        <v>84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7"/>
      <c r="AZ15" s="18"/>
      <c r="BA15" s="17"/>
      <c r="BB15" s="18"/>
      <c r="BC15" s="17"/>
      <c r="BD15" s="18"/>
      <c r="BE15" s="17"/>
      <c r="BF15" s="18"/>
      <c r="BG15" s="17"/>
      <c r="BH15" s="18"/>
      <c r="BI15" s="17"/>
      <c r="BJ15" s="18"/>
      <c r="BK15" s="17"/>
      <c r="BL15" s="18"/>
      <c r="BM15" s="17"/>
      <c r="BN15" s="18"/>
      <c r="BO15" s="17"/>
      <c r="BP15" s="18"/>
      <c r="BQ15" s="14" t="s">
        <v>84</v>
      </c>
      <c r="BR15" s="16" t="s">
        <v>84</v>
      </c>
    </row>
    <row r="16" spans="1:70" ht="75" x14ac:dyDescent="0.25">
      <c r="A16" s="14" t="s">
        <v>133</v>
      </c>
      <c r="B16" s="14" t="s">
        <v>72</v>
      </c>
      <c r="C16" s="15">
        <v>43999.643750000003</v>
      </c>
      <c r="D16" s="14" t="s">
        <v>73</v>
      </c>
      <c r="E16" s="16" t="s">
        <v>74</v>
      </c>
      <c r="F16" s="14" t="s">
        <v>75</v>
      </c>
      <c r="G16" s="16" t="s">
        <v>76</v>
      </c>
      <c r="H16" s="14" t="s">
        <v>77</v>
      </c>
      <c r="I16" s="16" t="s">
        <v>78</v>
      </c>
      <c r="J16" s="16" t="s">
        <v>79</v>
      </c>
      <c r="K16" s="16" t="s">
        <v>80</v>
      </c>
      <c r="L16" s="14" t="s">
        <v>134</v>
      </c>
      <c r="M16" s="16" t="s">
        <v>135</v>
      </c>
      <c r="N16" s="14" t="s">
        <v>136</v>
      </c>
      <c r="O16" s="16" t="s">
        <v>84</v>
      </c>
      <c r="P16" s="16" t="s">
        <v>84</v>
      </c>
      <c r="Q16" s="16" t="s">
        <v>154</v>
      </c>
      <c r="R16" s="14" t="s">
        <v>155</v>
      </c>
      <c r="S16" s="14" t="s">
        <v>146</v>
      </c>
      <c r="T16" s="14" t="s">
        <v>153</v>
      </c>
      <c r="U16" s="14" t="s">
        <v>140</v>
      </c>
      <c r="V16" s="15">
        <v>40725</v>
      </c>
      <c r="W16" s="15">
        <v>43938</v>
      </c>
      <c r="X16" s="16" t="s">
        <v>84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7"/>
      <c r="AX16" s="18"/>
      <c r="AY16" s="17"/>
      <c r="AZ16" s="18"/>
      <c r="BA16" s="17"/>
      <c r="BB16" s="18"/>
      <c r="BC16" s="17"/>
      <c r="BD16" s="18"/>
      <c r="BE16" s="17"/>
      <c r="BF16" s="18"/>
      <c r="BG16" s="17"/>
      <c r="BH16" s="18"/>
      <c r="BI16" s="17"/>
      <c r="BJ16" s="18"/>
      <c r="BK16" s="17"/>
      <c r="BL16" s="18"/>
      <c r="BM16" s="17"/>
      <c r="BN16" s="18"/>
      <c r="BO16" s="17"/>
      <c r="BP16" s="18"/>
      <c r="BQ16" s="14" t="s">
        <v>84</v>
      </c>
      <c r="BR16" s="16" t="s">
        <v>84</v>
      </c>
    </row>
    <row r="17" spans="1:70" ht="165" x14ac:dyDescent="0.25">
      <c r="A17" s="14" t="s">
        <v>71</v>
      </c>
      <c r="B17" s="14" t="s">
        <v>72</v>
      </c>
      <c r="C17" s="15">
        <v>44711.679861111108</v>
      </c>
      <c r="D17" s="14" t="s">
        <v>73</v>
      </c>
      <c r="E17" s="16" t="s">
        <v>74</v>
      </c>
      <c r="F17" s="14" t="s">
        <v>75</v>
      </c>
      <c r="G17" s="16" t="s">
        <v>76</v>
      </c>
      <c r="H17" s="14" t="s">
        <v>156</v>
      </c>
      <c r="I17" s="16" t="s">
        <v>157</v>
      </c>
      <c r="J17" s="16" t="s">
        <v>158</v>
      </c>
      <c r="K17" s="16" t="s">
        <v>159</v>
      </c>
      <c r="L17" s="14" t="s">
        <v>160</v>
      </c>
      <c r="M17" s="16" t="s">
        <v>161</v>
      </c>
      <c r="N17" s="14" t="s">
        <v>83</v>
      </c>
      <c r="O17" s="16" t="s">
        <v>84</v>
      </c>
      <c r="P17" s="16" t="s">
        <v>84</v>
      </c>
      <c r="Q17" s="16" t="s">
        <v>85</v>
      </c>
      <c r="R17" s="14" t="s">
        <v>86</v>
      </c>
      <c r="S17" s="14" t="s">
        <v>87</v>
      </c>
      <c r="T17" s="14" t="s">
        <v>88</v>
      </c>
      <c r="U17" s="14" t="s">
        <v>89</v>
      </c>
      <c r="V17" s="15">
        <v>40725</v>
      </c>
      <c r="W17" s="15">
        <v>43861</v>
      </c>
      <c r="X17" s="16" t="s">
        <v>90</v>
      </c>
      <c r="Y17" s="17" t="s">
        <v>91</v>
      </c>
      <c r="Z17" s="18" t="str">
        <f>VLOOKUP(Y17,'Axe 2 Règles de gestion'!$D$2:$F$41,3, FALSE)</f>
        <v>L'agent doit effectuer une demande.</v>
      </c>
      <c r="AA17" s="17" t="s">
        <v>93</v>
      </c>
      <c r="AB17" s="18" t="str">
        <f>VLOOKUP(AA17,'Axe 2 Règles de gestion'!$D$2:$F$41,3, FALSE)</f>
        <v>L'affectation intervient à l'initiative de l'agent ou de l'administration.</v>
      </c>
      <c r="AC17" s="17" t="s">
        <v>95</v>
      </c>
      <c r="AD17" s="18" t="str">
        <f>VLOOKUP(AC17,'Axe 2 Règles de gestion'!$D$2:$F$41,3,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E17" s="17" t="s">
        <v>97</v>
      </c>
      <c r="AF17" s="18" t="str">
        <f>VLOOKUP(AE17,'Axe 2 Règles de gestion'!$D$2:$F$41,3, FALSE)</f>
        <v>Un avis conforme de l'administration d'accueil a préalablement été transmis à l'administration d'origine sauf dans le cadre d'un transfert de service.</v>
      </c>
      <c r="AG17" s="17" t="s">
        <v>99</v>
      </c>
      <c r="AH17" s="18" t="str">
        <f>VLOOKUP(AG17,'Axe 2 Règles de gestion'!$D$2:$F$41,3, FALSE)</f>
        <v>Lorsque l'affectation de l'agent est prononcée dans un établissement public, le ministère de tutelle en est préalablement informé.</v>
      </c>
      <c r="AI17" s="17" t="s">
        <v>101</v>
      </c>
      <c r="AJ17" s="18" t="str">
        <f>VLOOKUP(AI17,'Axe 2 Règles de gestion'!$D$2:$F$41,3, FALSE)</f>
        <v>L'affectation en position normale d'activité hors de l'administration d'origine est prononcée sans limitation de durée.</v>
      </c>
      <c r="AK17" s="17" t="s">
        <v>103</v>
      </c>
      <c r="AL17" s="18" t="str">
        <f>VLOOKUP(AK17,'Axe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17" s="17" t="s">
        <v>105</v>
      </c>
      <c r="AN17" s="18" t="str">
        <f>VLOOKUP(AM17,'Axe 2 Règles de gestion'!$D$2:$F$41,3, FALSE)</f>
        <v>Le silence de l'administration gardé pendant 2 mois à compter de la réception de la demande de l'agent vaut acceptation.</v>
      </c>
      <c r="AO17" s="17"/>
      <c r="AP17" s="18"/>
      <c r="AQ17" s="17"/>
      <c r="AR17" s="18"/>
      <c r="AS17" s="17"/>
      <c r="AT17" s="18"/>
      <c r="AU17" s="17" t="s">
        <v>107</v>
      </c>
      <c r="AV17" s="18" t="str">
        <f>VLOOKUP(AU17,'Axe 2 Règles de gestion'!$D$2:$F$41,3, FALSE)</f>
        <v>La date de début de la position doit être postérieure ou égale à la date d'entrée dans la FPE ou dans la carrière militaire.</v>
      </c>
      <c r="AW17" s="17" t="s">
        <v>109</v>
      </c>
      <c r="AX17" s="18" t="str">
        <f>VLOOKUP(AW17,'Axe 2 Règles de gestion'!$D$2:$F$41,3, FALSE)</f>
        <v>La date de début de position est à J+1 de la date de fin de position de l'occurrence précédente.</v>
      </c>
      <c r="AY17" s="17" t="s">
        <v>111</v>
      </c>
      <c r="AZ17" s="18" t="str">
        <f>VLOOKUP(AY17,'Axe 2 Règles de gestion'!$D$2:$F$41,3, FALSE)</f>
        <v>La date de début de position doit être antérieure ou égale à la date de fin réelle de position.</v>
      </c>
      <c r="BA17" s="17" t="s">
        <v>113</v>
      </c>
      <c r="BB17" s="18" t="str">
        <f>VLOOKUP(BA17,'Axe 2 Règles de gestion'!$D$2:$F$41,3, FALSE)</f>
        <v>La date de début de position doit être antérieure ou égale à la date de fin prévisionnelle de position.</v>
      </c>
      <c r="BC17" s="17" t="s">
        <v>115</v>
      </c>
      <c r="BD17" s="18" t="str">
        <f>VLOOKUP(BC17,'Axe 2 Règles de gestion'!$D$2:$F$41,3, FALSE)</f>
        <v>La date de fin réelle de la position doit être antérieure à la date limite de départ à la retraite.</v>
      </c>
      <c r="BE17" s="17" t="s">
        <v>117</v>
      </c>
      <c r="BF17" s="18" t="str">
        <f>VLOOKUP(BE17,'Axe 2 Règles de gestion'!$D$2:$F$41,3, FALSE)</f>
        <v>La date de fin prévisionnelle de la position doit être antérieure à la date limite de départ à la retraite.</v>
      </c>
      <c r="BG17" s="17" t="s">
        <v>119</v>
      </c>
      <c r="BH17" s="18" t="str">
        <f>VLOOKUP(BG17,'Axe 2 Règles de gestion'!$D$2:$F$41,3, FALSE)</f>
        <v>Les champs "Type d'organisme d'origine", "Catégorie statutaire d'origine" et "Pays" de l'organisme d'origine doivent être renseignés.</v>
      </c>
      <c r="BI17" s="17" t="s">
        <v>121</v>
      </c>
      <c r="BJ17" s="18" t="str">
        <f>VLOOKUP(BI17,'Axe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7" s="17" t="s">
        <v>123</v>
      </c>
      <c r="BL17" s="18" t="str">
        <f>VLOOKUP(BK17,'Axe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7" s="17" t="s">
        <v>125</v>
      </c>
      <c r="BN17" s="18" t="str">
        <f>VLOOKUP(BM17,'Axe 2 Règles de gestion'!$D$2:$F$41,3, FALSE)</f>
        <v>Le champ "Code emploi statutaire FPT (NET)" est renseigné si le "Type d'organisme d'origine" est valorisé à FPT.</v>
      </c>
      <c r="BO17" s="17" t="s">
        <v>127</v>
      </c>
      <c r="BP17" s="18" t="str">
        <f>VLOOKUP(BO17,'Axe 2 Règles de gestion'!$D$2:$F$41,3, FALSE)</f>
        <v>Le champ "Code emploi statutaire FPH (NEH)" est renseigné si le "Type d'organisme d'origine" est valorisé à FPH.</v>
      </c>
      <c r="BQ17" s="14" t="s">
        <v>84</v>
      </c>
      <c r="BR17" s="16" t="s">
        <v>84</v>
      </c>
    </row>
    <row r="18" spans="1:70" ht="165" x14ac:dyDescent="0.25">
      <c r="A18" s="14" t="s">
        <v>71</v>
      </c>
      <c r="B18" s="14" t="s">
        <v>129</v>
      </c>
      <c r="C18" s="15">
        <v>44711.428472222222</v>
      </c>
      <c r="D18" s="14" t="s">
        <v>73</v>
      </c>
      <c r="E18" s="16" t="s">
        <v>74</v>
      </c>
      <c r="F18" s="14" t="s">
        <v>75</v>
      </c>
      <c r="G18" s="16" t="s">
        <v>76</v>
      </c>
      <c r="H18" s="14" t="s">
        <v>156</v>
      </c>
      <c r="I18" s="16" t="s">
        <v>157</v>
      </c>
      <c r="J18" s="16" t="s">
        <v>158</v>
      </c>
      <c r="K18" s="16" t="s">
        <v>159</v>
      </c>
      <c r="L18" s="14" t="s">
        <v>160</v>
      </c>
      <c r="M18" s="16" t="s">
        <v>161</v>
      </c>
      <c r="N18" s="14" t="s">
        <v>83</v>
      </c>
      <c r="O18" s="16" t="s">
        <v>84</v>
      </c>
      <c r="P18" s="16" t="s">
        <v>84</v>
      </c>
      <c r="Q18" s="16" t="s">
        <v>85</v>
      </c>
      <c r="R18" s="14" t="s">
        <v>86</v>
      </c>
      <c r="S18" s="14" t="s">
        <v>87</v>
      </c>
      <c r="T18" s="14" t="s">
        <v>88</v>
      </c>
      <c r="U18" s="14" t="s">
        <v>89</v>
      </c>
      <c r="V18" s="15">
        <v>43862</v>
      </c>
      <c r="W18" s="15">
        <v>43938</v>
      </c>
      <c r="X18" s="16" t="s">
        <v>130</v>
      </c>
      <c r="Y18" s="17" t="s">
        <v>91</v>
      </c>
      <c r="Z18" s="18" t="str">
        <f>VLOOKUP(Y18,'Axe 2 Règles de gestion'!$D$2:$F$41,3, FALSE)</f>
        <v>L'agent doit effectuer une demande.</v>
      </c>
      <c r="AA18" s="17" t="s">
        <v>93</v>
      </c>
      <c r="AB18" s="18" t="str">
        <f>VLOOKUP(AA18,'Axe 2 Règles de gestion'!$D$2:$F$41,3, FALSE)</f>
        <v>L'affectation intervient à l'initiative de l'agent ou de l'administration.</v>
      </c>
      <c r="AC18" s="17" t="s">
        <v>131</v>
      </c>
      <c r="AD18" s="18" t="str">
        <f>VLOOKUP(AC18,'Axe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18" s="17" t="s">
        <v>97</v>
      </c>
      <c r="AF18" s="18" t="str">
        <f>VLOOKUP(AE18,'Axe 2 Règles de gestion'!$D$2:$F$41,3, FALSE)</f>
        <v>Un avis conforme de l'administration d'accueil a préalablement été transmis à l'administration d'origine sauf dans le cadre d'un transfert de service.</v>
      </c>
      <c r="AG18" s="17" t="s">
        <v>99</v>
      </c>
      <c r="AH18" s="18" t="str">
        <f>VLOOKUP(AG18,'Axe 2 Règles de gestion'!$D$2:$F$41,3, FALSE)</f>
        <v>Lorsque l'affectation de l'agent est prononcée dans un établissement public, le ministère de tutelle en est préalablement informé.</v>
      </c>
      <c r="AI18" s="17" t="s">
        <v>101</v>
      </c>
      <c r="AJ18" s="18" t="str">
        <f>VLOOKUP(AI18,'Axe 2 Règles de gestion'!$D$2:$F$41,3, FALSE)</f>
        <v>L'affectation en position normale d'activité hors de l'administration d'origine est prononcée sans limitation de durée.</v>
      </c>
      <c r="AK18" s="17" t="s">
        <v>103</v>
      </c>
      <c r="AL18" s="18" t="str">
        <f>VLOOKUP(AK18,'Axe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18" s="17" t="s">
        <v>105</v>
      </c>
      <c r="AN18" s="18" t="str">
        <f>VLOOKUP(AM18,'Axe 2 Règles de gestion'!$D$2:$F$41,3, FALSE)</f>
        <v>Le silence de l'administration gardé pendant 2 mois à compter de la réception de la demande de l'agent vaut acceptation.</v>
      </c>
      <c r="AO18" s="17"/>
      <c r="AP18" s="18"/>
      <c r="AQ18" s="17"/>
      <c r="AR18" s="18"/>
      <c r="AS18" s="17"/>
      <c r="AT18" s="18"/>
      <c r="AU18" s="17" t="s">
        <v>107</v>
      </c>
      <c r="AV18" s="18" t="str">
        <f>VLOOKUP(AU18,'Axe 2 Règles de gestion'!$D$2:$F$41,3, FALSE)</f>
        <v>La date de début de la position doit être postérieure ou égale à la date d'entrée dans la FPE ou dans la carrière militaire.</v>
      </c>
      <c r="AW18" s="17" t="s">
        <v>109</v>
      </c>
      <c r="AX18" s="18" t="str">
        <f>VLOOKUP(AW18,'Axe 2 Règles de gestion'!$D$2:$F$41,3, FALSE)</f>
        <v>La date de début de position est à J+1 de la date de fin de position de l'occurrence précédente.</v>
      </c>
      <c r="AY18" s="17" t="s">
        <v>111</v>
      </c>
      <c r="AZ18" s="18" t="str">
        <f>VLOOKUP(AY18,'Axe 2 Règles de gestion'!$D$2:$F$41,3, FALSE)</f>
        <v>La date de début de position doit être antérieure ou égale à la date de fin réelle de position.</v>
      </c>
      <c r="BA18" s="17" t="s">
        <v>113</v>
      </c>
      <c r="BB18" s="18" t="str">
        <f>VLOOKUP(BA18,'Axe 2 Règles de gestion'!$D$2:$F$41,3, FALSE)</f>
        <v>La date de début de position doit être antérieure ou égale à la date de fin prévisionnelle de position.</v>
      </c>
      <c r="BC18" s="17" t="s">
        <v>115</v>
      </c>
      <c r="BD18" s="18" t="str">
        <f>VLOOKUP(BC18,'Axe 2 Règles de gestion'!$D$2:$F$41,3, FALSE)</f>
        <v>La date de fin réelle de la position doit être antérieure à la date limite de départ à la retraite.</v>
      </c>
      <c r="BE18" s="17" t="s">
        <v>117</v>
      </c>
      <c r="BF18" s="18" t="str">
        <f>VLOOKUP(BE18,'Axe 2 Règles de gestion'!$D$2:$F$41,3, FALSE)</f>
        <v>La date de fin prévisionnelle de la position doit être antérieure à la date limite de départ à la retraite.</v>
      </c>
      <c r="BG18" s="17" t="s">
        <v>119</v>
      </c>
      <c r="BH18" s="18" t="str">
        <f>VLOOKUP(BG18,'Axe 2 Règles de gestion'!$D$2:$F$41,3, FALSE)</f>
        <v>Les champs "Type d'organisme d'origine", "Catégorie statutaire d'origine" et "Pays" de l'organisme d'origine doivent être renseignés.</v>
      </c>
      <c r="BI18" s="17" t="s">
        <v>121</v>
      </c>
      <c r="BJ18" s="18" t="str">
        <f>VLOOKUP(BI18,'Axe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8" s="17" t="s">
        <v>123</v>
      </c>
      <c r="BL18" s="18" t="str">
        <f>VLOOKUP(BK18,'Axe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8" s="17" t="s">
        <v>125</v>
      </c>
      <c r="BN18" s="18" t="str">
        <f>VLOOKUP(BM18,'Axe 2 Règles de gestion'!$D$2:$F$41,3, FALSE)</f>
        <v>Le champ "Code emploi statutaire FPT (NET)" est renseigné si le "Type d'organisme d'origine" est valorisé à FPT.</v>
      </c>
      <c r="BO18" s="17" t="s">
        <v>127</v>
      </c>
      <c r="BP18" s="18" t="str">
        <f>VLOOKUP(BO18,'Axe 2 Règles de gestion'!$D$2:$F$41,3, FALSE)</f>
        <v>Le champ "Code emploi statutaire FPH (NEH)" est renseigné si le "Type d'organisme d'origine" est valorisé à FPH.</v>
      </c>
      <c r="BQ18" s="14" t="s">
        <v>84</v>
      </c>
      <c r="BR18" s="16" t="s">
        <v>84</v>
      </c>
    </row>
    <row r="19" spans="1:70" ht="135" x14ac:dyDescent="0.25">
      <c r="A19" s="14" t="s">
        <v>133</v>
      </c>
      <c r="B19" s="14" t="s">
        <v>72</v>
      </c>
      <c r="C19" s="15">
        <v>43999.455555555556</v>
      </c>
      <c r="D19" s="14" t="s">
        <v>73</v>
      </c>
      <c r="E19" s="16" t="s">
        <v>74</v>
      </c>
      <c r="F19" s="14" t="s">
        <v>75</v>
      </c>
      <c r="G19" s="16" t="s">
        <v>76</v>
      </c>
      <c r="H19" s="14" t="s">
        <v>156</v>
      </c>
      <c r="I19" s="16" t="s">
        <v>157</v>
      </c>
      <c r="J19" s="16" t="s">
        <v>158</v>
      </c>
      <c r="K19" s="16" t="s">
        <v>159</v>
      </c>
      <c r="L19" s="14" t="s">
        <v>162</v>
      </c>
      <c r="M19" s="16" t="s">
        <v>163</v>
      </c>
      <c r="N19" s="14" t="s">
        <v>136</v>
      </c>
      <c r="O19" s="16" t="s">
        <v>84</v>
      </c>
      <c r="P19" s="16" t="s">
        <v>84</v>
      </c>
      <c r="Q19" s="16" t="s">
        <v>85</v>
      </c>
      <c r="R19" s="14" t="s">
        <v>86</v>
      </c>
      <c r="S19" s="14" t="s">
        <v>87</v>
      </c>
      <c r="T19" s="14" t="s">
        <v>88</v>
      </c>
      <c r="U19" s="14" t="s">
        <v>89</v>
      </c>
      <c r="V19" s="15">
        <v>40725</v>
      </c>
      <c r="W19" s="15">
        <v>43938</v>
      </c>
      <c r="X19" s="16" t="s">
        <v>137</v>
      </c>
      <c r="Y19" s="17" t="s">
        <v>101</v>
      </c>
      <c r="Z19" s="18" t="str">
        <f>VLOOKUP(Y19,'Axe 2 Règles de gestion'!$D$2:$F$41,3, FALSE)</f>
        <v>L'affectation en position normale d'activité hors de l'administration d'origine est prononcée sans limitation de durée.</v>
      </c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 t="s">
        <v>111</v>
      </c>
      <c r="AV19" s="18" t="str">
        <f>VLOOKUP(AU19,'Axe 2 Règles de gestion'!$D$2:$F$41,3, FALSE)</f>
        <v>La date de début de position doit être antérieure ou égale à la date de fin réelle de position.</v>
      </c>
      <c r="AW19" s="17" t="s">
        <v>113</v>
      </c>
      <c r="AX19" s="18" t="str">
        <f>VLOOKUP(AW19,'Axe 2 Règles de gestion'!$D$2:$F$41,3, FALSE)</f>
        <v>La date de début de position doit être antérieure ou égale à la date de fin prévisionnelle de position.</v>
      </c>
      <c r="AY19" s="17" t="s">
        <v>115</v>
      </c>
      <c r="AZ19" s="18" t="str">
        <f>VLOOKUP(AY19,'Axe 2 Règles de gestion'!$D$2:$F$41,3, FALSE)</f>
        <v>La date de fin réelle de la position doit être antérieure à la date limite de départ à la retraite.</v>
      </c>
      <c r="BA19" s="17" t="s">
        <v>117</v>
      </c>
      <c r="BB19" s="18" t="str">
        <f>VLOOKUP(BA19,'Axe 2 Règles de gestion'!$D$2:$F$41,3, FALSE)</f>
        <v>La date de fin prévisionnelle de la position doit être antérieure à la date limite de départ à la retraite.</v>
      </c>
      <c r="BC19" s="17" t="s">
        <v>119</v>
      </c>
      <c r="BD19" s="18" t="str">
        <f>VLOOKUP(BC19,'Axe 2 Règles de gestion'!$D$2:$F$41,3, FALSE)</f>
        <v>Les champs "Type d'organisme d'origine", "Catégorie statutaire d'origine" et "Pays" de l'organisme d'origine doivent être renseignés.</v>
      </c>
      <c r="BE19" s="17" t="s">
        <v>121</v>
      </c>
      <c r="BF19" s="18" t="str">
        <f>VLOOKUP(BE19,'Axe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9" s="17" t="s">
        <v>123</v>
      </c>
      <c r="BH19" s="18" t="str">
        <f>VLOOKUP(BG19,'Axe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9" s="17" t="s">
        <v>125</v>
      </c>
      <c r="BJ19" s="18" t="str">
        <f>VLOOKUP(BI19,'Axe 2 Règles de gestion'!$D$2:$F$41,3, FALSE)</f>
        <v>Le champ "Code emploi statutaire FPT (NET)" est renseigné si le "Type d'organisme d'origine" est valorisé à FPT.</v>
      </c>
      <c r="BK19" s="17" t="s">
        <v>127</v>
      </c>
      <c r="BL19" s="18" t="str">
        <f>VLOOKUP(BK19,'Axe 2 Règles de gestion'!$D$2:$F$41,3, FALSE)</f>
        <v>Le champ "Code emploi statutaire FPH (NEH)" est renseigné si le "Type d'organisme d'origine" est valorisé à FPH.</v>
      </c>
      <c r="BM19" s="17"/>
      <c r="BN19" s="18"/>
      <c r="BO19" s="17"/>
      <c r="BP19" s="18"/>
      <c r="BQ19" s="14" t="s">
        <v>84</v>
      </c>
      <c r="BR19" s="16" t="s">
        <v>84</v>
      </c>
    </row>
    <row r="20" spans="1:70" ht="75" x14ac:dyDescent="0.25">
      <c r="A20" s="14" t="s">
        <v>133</v>
      </c>
      <c r="B20" s="14" t="s">
        <v>72</v>
      </c>
      <c r="C20" s="15">
        <v>43999.645138888889</v>
      </c>
      <c r="D20" s="14" t="s">
        <v>73</v>
      </c>
      <c r="E20" s="16" t="s">
        <v>74</v>
      </c>
      <c r="F20" s="14" t="s">
        <v>75</v>
      </c>
      <c r="G20" s="16" t="s">
        <v>76</v>
      </c>
      <c r="H20" s="14" t="s">
        <v>156</v>
      </c>
      <c r="I20" s="16" t="s">
        <v>157</v>
      </c>
      <c r="J20" s="16" t="s">
        <v>158</v>
      </c>
      <c r="K20" s="16" t="s">
        <v>159</v>
      </c>
      <c r="L20" s="14" t="s">
        <v>160</v>
      </c>
      <c r="M20" s="16" t="s">
        <v>161</v>
      </c>
      <c r="N20" s="14" t="s">
        <v>83</v>
      </c>
      <c r="O20" s="16" t="s">
        <v>84</v>
      </c>
      <c r="P20" s="16" t="s">
        <v>84</v>
      </c>
      <c r="Q20" s="16" t="s">
        <v>138</v>
      </c>
      <c r="R20" s="14" t="s">
        <v>139</v>
      </c>
      <c r="S20" s="14" t="s">
        <v>72</v>
      </c>
      <c r="T20" s="14" t="s">
        <v>88</v>
      </c>
      <c r="U20" s="14" t="s">
        <v>140</v>
      </c>
      <c r="V20" s="15">
        <v>40725</v>
      </c>
      <c r="W20" s="15">
        <v>43938</v>
      </c>
      <c r="X20" s="16" t="s">
        <v>84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/>
      <c r="BF20" s="18"/>
      <c r="BG20" s="17"/>
      <c r="BH20" s="18"/>
      <c r="BI20" s="17"/>
      <c r="BJ20" s="18"/>
      <c r="BK20" s="17"/>
      <c r="BL20" s="18"/>
      <c r="BM20" s="17"/>
      <c r="BN20" s="18"/>
      <c r="BO20" s="17"/>
      <c r="BP20" s="18"/>
      <c r="BQ20" s="14" t="s">
        <v>84</v>
      </c>
      <c r="BR20" s="16" t="s">
        <v>84</v>
      </c>
    </row>
    <row r="21" spans="1:70" ht="75" x14ac:dyDescent="0.25">
      <c r="A21" s="14" t="s">
        <v>133</v>
      </c>
      <c r="B21" s="14" t="s">
        <v>72</v>
      </c>
      <c r="C21" s="15">
        <v>43999.646527777775</v>
      </c>
      <c r="D21" s="14" t="s">
        <v>73</v>
      </c>
      <c r="E21" s="16" t="s">
        <v>74</v>
      </c>
      <c r="F21" s="14" t="s">
        <v>75</v>
      </c>
      <c r="G21" s="16" t="s">
        <v>76</v>
      </c>
      <c r="H21" s="14" t="s">
        <v>156</v>
      </c>
      <c r="I21" s="16" t="s">
        <v>157</v>
      </c>
      <c r="J21" s="16" t="s">
        <v>158</v>
      </c>
      <c r="K21" s="16" t="s">
        <v>159</v>
      </c>
      <c r="L21" s="14" t="s">
        <v>162</v>
      </c>
      <c r="M21" s="16" t="s">
        <v>163</v>
      </c>
      <c r="N21" s="14" t="s">
        <v>136</v>
      </c>
      <c r="O21" s="16" t="s">
        <v>84</v>
      </c>
      <c r="P21" s="16" t="s">
        <v>84</v>
      </c>
      <c r="Q21" s="16" t="s">
        <v>138</v>
      </c>
      <c r="R21" s="14" t="s">
        <v>139</v>
      </c>
      <c r="S21" s="14" t="s">
        <v>72</v>
      </c>
      <c r="T21" s="14" t="s">
        <v>88</v>
      </c>
      <c r="U21" s="14" t="s">
        <v>140</v>
      </c>
      <c r="V21" s="15">
        <v>40725</v>
      </c>
      <c r="W21" s="15">
        <v>43938</v>
      </c>
      <c r="X21" s="16" t="s">
        <v>84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7"/>
      <c r="BF21" s="18"/>
      <c r="BG21" s="17"/>
      <c r="BH21" s="18"/>
      <c r="BI21" s="17"/>
      <c r="BJ21" s="18"/>
      <c r="BK21" s="17"/>
      <c r="BL21" s="18"/>
      <c r="BM21" s="17"/>
      <c r="BN21" s="18"/>
      <c r="BO21" s="17"/>
      <c r="BP21" s="18"/>
      <c r="BQ21" s="14" t="s">
        <v>84</v>
      </c>
      <c r="BR21" s="16" t="s">
        <v>84</v>
      </c>
    </row>
    <row r="22" spans="1:70" ht="75" x14ac:dyDescent="0.25">
      <c r="A22" s="14" t="s">
        <v>133</v>
      </c>
      <c r="B22" s="14" t="s">
        <v>72</v>
      </c>
      <c r="C22" s="15">
        <v>43999.645833333336</v>
      </c>
      <c r="D22" s="14" t="s">
        <v>73</v>
      </c>
      <c r="E22" s="16" t="s">
        <v>74</v>
      </c>
      <c r="F22" s="14" t="s">
        <v>75</v>
      </c>
      <c r="G22" s="16" t="s">
        <v>76</v>
      </c>
      <c r="H22" s="14" t="s">
        <v>156</v>
      </c>
      <c r="I22" s="16" t="s">
        <v>157</v>
      </c>
      <c r="J22" s="16" t="s">
        <v>158</v>
      </c>
      <c r="K22" s="16" t="s">
        <v>159</v>
      </c>
      <c r="L22" s="14" t="s">
        <v>160</v>
      </c>
      <c r="M22" s="16" t="s">
        <v>161</v>
      </c>
      <c r="N22" s="14" t="s">
        <v>83</v>
      </c>
      <c r="O22" s="16" t="s">
        <v>84</v>
      </c>
      <c r="P22" s="16" t="s">
        <v>84</v>
      </c>
      <c r="Q22" s="16" t="s">
        <v>141</v>
      </c>
      <c r="R22" s="14" t="s">
        <v>142</v>
      </c>
      <c r="S22" s="14" t="s">
        <v>143</v>
      </c>
      <c r="T22" s="14" t="s">
        <v>88</v>
      </c>
      <c r="U22" s="14" t="s">
        <v>140</v>
      </c>
      <c r="V22" s="15">
        <v>40725</v>
      </c>
      <c r="W22" s="15">
        <v>43938</v>
      </c>
      <c r="X22" s="16" t="s">
        <v>84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7"/>
      <c r="BF22" s="18"/>
      <c r="BG22" s="17"/>
      <c r="BH22" s="18"/>
      <c r="BI22" s="17"/>
      <c r="BJ22" s="18"/>
      <c r="BK22" s="17"/>
      <c r="BL22" s="18"/>
      <c r="BM22" s="17"/>
      <c r="BN22" s="18"/>
      <c r="BO22" s="17"/>
      <c r="BP22" s="18"/>
      <c r="BQ22" s="14" t="s">
        <v>84</v>
      </c>
      <c r="BR22" s="16" t="s">
        <v>84</v>
      </c>
    </row>
    <row r="23" spans="1:70" ht="75" x14ac:dyDescent="0.25">
      <c r="A23" s="14" t="s">
        <v>133</v>
      </c>
      <c r="B23" s="14" t="s">
        <v>72</v>
      </c>
      <c r="C23" s="15">
        <v>43999.647222222222</v>
      </c>
      <c r="D23" s="14" t="s">
        <v>73</v>
      </c>
      <c r="E23" s="16" t="s">
        <v>74</v>
      </c>
      <c r="F23" s="14" t="s">
        <v>75</v>
      </c>
      <c r="G23" s="16" t="s">
        <v>76</v>
      </c>
      <c r="H23" s="14" t="s">
        <v>156</v>
      </c>
      <c r="I23" s="16" t="s">
        <v>157</v>
      </c>
      <c r="J23" s="16" t="s">
        <v>158</v>
      </c>
      <c r="K23" s="16" t="s">
        <v>159</v>
      </c>
      <c r="L23" s="14" t="s">
        <v>162</v>
      </c>
      <c r="M23" s="16" t="s">
        <v>163</v>
      </c>
      <c r="N23" s="14" t="s">
        <v>136</v>
      </c>
      <c r="O23" s="16" t="s">
        <v>84</v>
      </c>
      <c r="P23" s="16" t="s">
        <v>84</v>
      </c>
      <c r="Q23" s="16" t="s">
        <v>141</v>
      </c>
      <c r="R23" s="14" t="s">
        <v>142</v>
      </c>
      <c r="S23" s="14" t="s">
        <v>143</v>
      </c>
      <c r="T23" s="14" t="s">
        <v>88</v>
      </c>
      <c r="U23" s="14" t="s">
        <v>140</v>
      </c>
      <c r="V23" s="15">
        <v>40725</v>
      </c>
      <c r="W23" s="15">
        <v>43938</v>
      </c>
      <c r="X23" s="16" t="s">
        <v>84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7"/>
      <c r="BF23" s="18"/>
      <c r="BG23" s="17"/>
      <c r="BH23" s="18"/>
      <c r="BI23" s="17"/>
      <c r="BJ23" s="18"/>
      <c r="BK23" s="17"/>
      <c r="BL23" s="18"/>
      <c r="BM23" s="17"/>
      <c r="BN23" s="18"/>
      <c r="BO23" s="17"/>
      <c r="BP23" s="18"/>
      <c r="BQ23" s="14" t="s">
        <v>84</v>
      </c>
      <c r="BR23" s="16" t="s">
        <v>84</v>
      </c>
    </row>
    <row r="24" spans="1:70" ht="135" x14ac:dyDescent="0.25">
      <c r="A24" s="14" t="s">
        <v>71</v>
      </c>
      <c r="B24" s="14" t="s">
        <v>72</v>
      </c>
      <c r="C24" s="15">
        <v>44711.43472222222</v>
      </c>
      <c r="D24" s="14" t="s">
        <v>73</v>
      </c>
      <c r="E24" s="16" t="s">
        <v>74</v>
      </c>
      <c r="F24" s="14" t="s">
        <v>75</v>
      </c>
      <c r="G24" s="16" t="s">
        <v>76</v>
      </c>
      <c r="H24" s="14" t="s">
        <v>156</v>
      </c>
      <c r="I24" s="16" t="s">
        <v>157</v>
      </c>
      <c r="J24" s="16" t="s">
        <v>158</v>
      </c>
      <c r="K24" s="16" t="s">
        <v>159</v>
      </c>
      <c r="L24" s="14" t="s">
        <v>160</v>
      </c>
      <c r="M24" s="16" t="s">
        <v>161</v>
      </c>
      <c r="N24" s="14" t="s">
        <v>83</v>
      </c>
      <c r="O24" s="16" t="s">
        <v>84</v>
      </c>
      <c r="P24" s="16" t="s">
        <v>84</v>
      </c>
      <c r="Q24" s="16" t="s">
        <v>144</v>
      </c>
      <c r="R24" s="14" t="s">
        <v>145</v>
      </c>
      <c r="S24" s="14" t="s">
        <v>146</v>
      </c>
      <c r="T24" s="14" t="s">
        <v>88</v>
      </c>
      <c r="U24" s="14" t="s">
        <v>89</v>
      </c>
      <c r="V24" s="15">
        <v>40725</v>
      </c>
      <c r="W24" s="15">
        <v>43938</v>
      </c>
      <c r="X24" s="16" t="s">
        <v>147</v>
      </c>
      <c r="Y24" s="17" t="s">
        <v>91</v>
      </c>
      <c r="Z24" s="18" t="str">
        <f>VLOOKUP(Y24,'Axe 2 Règles de gestion'!$D$2:$F$41,3, FALSE)</f>
        <v>L'agent doit effectuer une demande.</v>
      </c>
      <c r="AA24" s="17" t="s">
        <v>93</v>
      </c>
      <c r="AB24" s="18" t="str">
        <f>VLOOKUP(AA24,'Axe 2 Règles de gestion'!$D$2:$F$41,3, FALSE)</f>
        <v>L'affectation intervient à l'initiative de l'agent ou de l'administration.</v>
      </c>
      <c r="AC24" s="17" t="s">
        <v>97</v>
      </c>
      <c r="AD24" s="18" t="str">
        <f>VLOOKUP(AC24,'Axe 2 Règles de gestion'!$D$2:$F$41,3, FALSE)</f>
        <v>Un avis conforme de l'administration d'accueil a préalablement été transmis à l'administration d'origine sauf dans le cadre d'un transfert de service.</v>
      </c>
      <c r="AE24" s="17" t="s">
        <v>99</v>
      </c>
      <c r="AF24" s="18" t="str">
        <f>VLOOKUP(AE24,'Axe 2 Règles de gestion'!$D$2:$F$41,3, FALSE)</f>
        <v>Lorsque l'affectation de l'agent est prononcée dans un établissement public, le ministère de tutelle en est préalablement informé.</v>
      </c>
      <c r="AG24" s="17" t="s">
        <v>101</v>
      </c>
      <c r="AH24" s="18" t="str">
        <f>VLOOKUP(AG24,'Axe 2 Règles de gestion'!$D$2:$F$41,3, FALSE)</f>
        <v>L'affectation en position normale d'activité hors de l'administration d'origine est prononcée sans limitation de durée.</v>
      </c>
      <c r="AI24" s="17"/>
      <c r="AJ24" s="18"/>
      <c r="AK24" s="17"/>
      <c r="AL24" s="18"/>
      <c r="AM24" s="17"/>
      <c r="AN24" s="18"/>
      <c r="AO24" s="17"/>
      <c r="AP24" s="18"/>
      <c r="AQ24" s="17"/>
      <c r="AR24" s="18"/>
      <c r="AS24" s="17"/>
      <c r="AT24" s="18"/>
      <c r="AU24" s="17" t="s">
        <v>107</v>
      </c>
      <c r="AV24" s="18" t="str">
        <f>VLOOKUP(AU24,'Axe 2 Règles de gestion'!$D$2:$F$41,3, FALSE)</f>
        <v>La date de début de la position doit être postérieure ou égale à la date d'entrée dans la FPE ou dans la carrière militaire.</v>
      </c>
      <c r="AW24" s="17" t="s">
        <v>109</v>
      </c>
      <c r="AX24" s="18" t="str">
        <f>VLOOKUP(AW24,'Axe 2 Règles de gestion'!$D$2:$F$41,3, FALSE)</f>
        <v>La date de début de position est à J+1 de la date de fin de position de l'occurrence précédente.</v>
      </c>
      <c r="AY24" s="17" t="s">
        <v>111</v>
      </c>
      <c r="AZ24" s="18" t="str">
        <f>VLOOKUP(AY24,'Axe 2 Règles de gestion'!$D$2:$F$41,3, FALSE)</f>
        <v>La date de début de position doit être antérieure ou égale à la date de fin réelle de position.</v>
      </c>
      <c r="BA24" s="17" t="s">
        <v>113</v>
      </c>
      <c r="BB24" s="18" t="str">
        <f>VLOOKUP(BA24,'Axe 2 Règles de gestion'!$D$2:$F$41,3, FALSE)</f>
        <v>La date de début de position doit être antérieure ou égale à la date de fin prévisionnelle de position.</v>
      </c>
      <c r="BC24" s="17" t="s">
        <v>115</v>
      </c>
      <c r="BD24" s="18" t="str">
        <f>VLOOKUP(BC24,'Axe 2 Règles de gestion'!$D$2:$F$41,3, FALSE)</f>
        <v>La date de fin réelle de la position doit être antérieure à la date limite de départ à la retraite.</v>
      </c>
      <c r="BE24" s="17" t="s">
        <v>117</v>
      </c>
      <c r="BF24" s="18" t="str">
        <f>VLOOKUP(BE24,'Axe 2 Règles de gestion'!$D$2:$F$41,3, FALSE)</f>
        <v>La date de fin prévisionnelle de la position doit être antérieure à la date limite de départ à la retraite.</v>
      </c>
      <c r="BG24" s="17" t="s">
        <v>119</v>
      </c>
      <c r="BH24" s="18" t="str">
        <f>VLOOKUP(BG24,'Axe 2 Règles de gestion'!$D$2:$F$41,3, FALSE)</f>
        <v>Les champs "Type d'organisme d'origine", "Catégorie statutaire d'origine" et "Pays" de l'organisme d'origine doivent être renseignés.</v>
      </c>
      <c r="BI24" s="17" t="s">
        <v>121</v>
      </c>
      <c r="BJ24" s="18" t="str">
        <f>VLOOKUP(BI24,'Axe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24" s="17" t="s">
        <v>123</v>
      </c>
      <c r="BL24" s="18" t="str">
        <f>VLOOKUP(BK24,'Axe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24" s="17" t="s">
        <v>125</v>
      </c>
      <c r="BN24" s="18" t="str">
        <f>VLOOKUP(BM24,'Axe 2 Règles de gestion'!$D$2:$F$41,3, FALSE)</f>
        <v>Le champ "Code emploi statutaire FPT (NET)" est renseigné si le "Type d'organisme d'origine" est valorisé à FPT.</v>
      </c>
      <c r="BO24" s="17" t="s">
        <v>127</v>
      </c>
      <c r="BP24" s="18" t="str">
        <f>VLOOKUP(BO24,'Axe 2 Règles de gestion'!$D$2:$F$41,3, FALSE)</f>
        <v>Le champ "Code emploi statutaire FPH (NEH)" est renseigné si le "Type d'organisme d'origine" est valorisé à FPH.</v>
      </c>
      <c r="BQ24" s="14" t="s">
        <v>84</v>
      </c>
      <c r="BR24" s="16" t="s">
        <v>84</v>
      </c>
    </row>
    <row r="25" spans="1:70" ht="135" x14ac:dyDescent="0.25">
      <c r="A25" s="14" t="s">
        <v>133</v>
      </c>
      <c r="B25" s="14" t="s">
        <v>72</v>
      </c>
      <c r="C25" s="15">
        <v>43999.455555555556</v>
      </c>
      <c r="D25" s="14" t="s">
        <v>73</v>
      </c>
      <c r="E25" s="16" t="s">
        <v>74</v>
      </c>
      <c r="F25" s="14" t="s">
        <v>75</v>
      </c>
      <c r="G25" s="16" t="s">
        <v>76</v>
      </c>
      <c r="H25" s="14" t="s">
        <v>156</v>
      </c>
      <c r="I25" s="16" t="s">
        <v>157</v>
      </c>
      <c r="J25" s="16" t="s">
        <v>158</v>
      </c>
      <c r="K25" s="16" t="s">
        <v>159</v>
      </c>
      <c r="L25" s="14" t="s">
        <v>162</v>
      </c>
      <c r="M25" s="16" t="s">
        <v>163</v>
      </c>
      <c r="N25" s="14" t="s">
        <v>136</v>
      </c>
      <c r="O25" s="16" t="s">
        <v>84</v>
      </c>
      <c r="P25" s="16" t="s">
        <v>84</v>
      </c>
      <c r="Q25" s="16" t="s">
        <v>144</v>
      </c>
      <c r="R25" s="14" t="s">
        <v>145</v>
      </c>
      <c r="S25" s="14" t="s">
        <v>146</v>
      </c>
      <c r="T25" s="14" t="s">
        <v>88</v>
      </c>
      <c r="U25" s="14" t="s">
        <v>89</v>
      </c>
      <c r="V25" s="15">
        <v>40725</v>
      </c>
      <c r="W25" s="15">
        <v>43938</v>
      </c>
      <c r="X25" s="16" t="s">
        <v>137</v>
      </c>
      <c r="Y25" s="17" t="s">
        <v>101</v>
      </c>
      <c r="Z25" s="18" t="str">
        <f>VLOOKUP(Y25,'Axe 2 Règles de gestion'!$D$2:$F$41,3, FALSE)</f>
        <v>L'affectation en position normale d'activité hors de l'administration d'origine est prononcée sans limitation de durée.</v>
      </c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 t="s">
        <v>111</v>
      </c>
      <c r="AV25" s="18" t="str">
        <f>VLOOKUP(AU25,'Axe 2 Règles de gestion'!$D$2:$F$41,3, FALSE)</f>
        <v>La date de début de position doit être antérieure ou égale à la date de fin réelle de position.</v>
      </c>
      <c r="AW25" s="17" t="s">
        <v>113</v>
      </c>
      <c r="AX25" s="18" t="str">
        <f>VLOOKUP(AW25,'Axe 2 Règles de gestion'!$D$2:$F$41,3, FALSE)</f>
        <v>La date de début de position doit être antérieure ou égale à la date de fin prévisionnelle de position.</v>
      </c>
      <c r="AY25" s="17" t="s">
        <v>115</v>
      </c>
      <c r="AZ25" s="18" t="str">
        <f>VLOOKUP(AY25,'Axe 2 Règles de gestion'!$D$2:$F$41,3, FALSE)</f>
        <v>La date de fin réelle de la position doit être antérieure à la date limite de départ à la retraite.</v>
      </c>
      <c r="BA25" s="17" t="s">
        <v>117</v>
      </c>
      <c r="BB25" s="18" t="str">
        <f>VLOOKUP(BA25,'Axe 2 Règles de gestion'!$D$2:$F$41,3, FALSE)</f>
        <v>La date de fin prévisionnelle de la position doit être antérieure à la date limite de départ à la retraite.</v>
      </c>
      <c r="BC25" s="17" t="s">
        <v>119</v>
      </c>
      <c r="BD25" s="18" t="str">
        <f>VLOOKUP(BC25,'Axe 2 Règles de gestion'!$D$2:$F$41,3, FALSE)</f>
        <v>Les champs "Type d'organisme d'origine", "Catégorie statutaire d'origine" et "Pays" de l'organisme d'origine doivent être renseignés.</v>
      </c>
      <c r="BE25" s="17" t="s">
        <v>121</v>
      </c>
      <c r="BF25" s="18" t="str">
        <f>VLOOKUP(BE25,'Axe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25" s="17" t="s">
        <v>123</v>
      </c>
      <c r="BH25" s="18" t="str">
        <f>VLOOKUP(BG25,'Axe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25" s="17" t="s">
        <v>125</v>
      </c>
      <c r="BJ25" s="18" t="str">
        <f>VLOOKUP(BI25,'Axe 2 Règles de gestion'!$D$2:$F$41,3, FALSE)</f>
        <v>Le champ "Code emploi statutaire FPT (NET)" est renseigné si le "Type d'organisme d'origine" est valorisé à FPT.</v>
      </c>
      <c r="BK25" s="17" t="s">
        <v>127</v>
      </c>
      <c r="BL25" s="18" t="str">
        <f>VLOOKUP(BK25,'Axe 2 Règles de gestion'!$D$2:$F$41,3, FALSE)</f>
        <v>Le champ "Code emploi statutaire FPH (NEH)" est renseigné si le "Type d'organisme d'origine" est valorisé à FPH.</v>
      </c>
      <c r="BM25" s="17"/>
      <c r="BN25" s="18"/>
      <c r="BO25" s="17"/>
      <c r="BP25" s="18"/>
      <c r="BQ25" s="14" t="s">
        <v>84</v>
      </c>
      <c r="BR25" s="16" t="s">
        <v>84</v>
      </c>
    </row>
    <row r="26" spans="1:70" ht="75" x14ac:dyDescent="0.25">
      <c r="A26" s="14" t="s">
        <v>133</v>
      </c>
      <c r="B26" s="14" t="s">
        <v>72</v>
      </c>
      <c r="C26" s="15">
        <v>43999.645833333336</v>
      </c>
      <c r="D26" s="14" t="s">
        <v>73</v>
      </c>
      <c r="E26" s="16" t="s">
        <v>74</v>
      </c>
      <c r="F26" s="14" t="s">
        <v>75</v>
      </c>
      <c r="G26" s="16" t="s">
        <v>76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83</v>
      </c>
      <c r="O26" s="16" t="s">
        <v>84</v>
      </c>
      <c r="P26" s="16" t="s">
        <v>84</v>
      </c>
      <c r="Q26" s="16" t="s">
        <v>148</v>
      </c>
      <c r="R26" s="14" t="s">
        <v>149</v>
      </c>
      <c r="S26" s="14" t="s">
        <v>150</v>
      </c>
      <c r="T26" s="14" t="s">
        <v>88</v>
      </c>
      <c r="U26" s="14" t="s">
        <v>140</v>
      </c>
      <c r="V26" s="15">
        <v>40725</v>
      </c>
      <c r="W26" s="15">
        <v>43938</v>
      </c>
      <c r="X26" s="16" t="s">
        <v>84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7"/>
      <c r="AX26" s="18"/>
      <c r="AY26" s="17"/>
      <c r="AZ26" s="18"/>
      <c r="BA26" s="17"/>
      <c r="BB26" s="18"/>
      <c r="BC26" s="17"/>
      <c r="BD26" s="18"/>
      <c r="BE26" s="17"/>
      <c r="BF26" s="18"/>
      <c r="BG26" s="17"/>
      <c r="BH26" s="18"/>
      <c r="BI26" s="17"/>
      <c r="BJ26" s="18"/>
      <c r="BK26" s="17"/>
      <c r="BL26" s="18"/>
      <c r="BM26" s="17"/>
      <c r="BN26" s="18"/>
      <c r="BO26" s="17"/>
      <c r="BP26" s="18"/>
      <c r="BQ26" s="14" t="s">
        <v>84</v>
      </c>
      <c r="BR26" s="16" t="s">
        <v>84</v>
      </c>
    </row>
    <row r="27" spans="1:70" ht="75" x14ac:dyDescent="0.25">
      <c r="A27" s="14" t="s">
        <v>133</v>
      </c>
      <c r="B27" s="14" t="s">
        <v>72</v>
      </c>
      <c r="C27" s="15">
        <v>43999.647222222222</v>
      </c>
      <c r="D27" s="14" t="s">
        <v>73</v>
      </c>
      <c r="E27" s="16" t="s">
        <v>74</v>
      </c>
      <c r="F27" s="14" t="s">
        <v>75</v>
      </c>
      <c r="G27" s="16" t="s">
        <v>76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136</v>
      </c>
      <c r="O27" s="16" t="s">
        <v>84</v>
      </c>
      <c r="P27" s="16" t="s">
        <v>84</v>
      </c>
      <c r="Q27" s="16" t="s">
        <v>148</v>
      </c>
      <c r="R27" s="14" t="s">
        <v>149</v>
      </c>
      <c r="S27" s="14" t="s">
        <v>150</v>
      </c>
      <c r="T27" s="14" t="s">
        <v>88</v>
      </c>
      <c r="U27" s="14" t="s">
        <v>140</v>
      </c>
      <c r="V27" s="15">
        <v>40725</v>
      </c>
      <c r="W27" s="15">
        <v>43938</v>
      </c>
      <c r="X27" s="16" t="s">
        <v>84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7"/>
      <c r="BF27" s="18"/>
      <c r="BG27" s="17"/>
      <c r="BH27" s="18"/>
      <c r="BI27" s="17"/>
      <c r="BJ27" s="18"/>
      <c r="BK27" s="17"/>
      <c r="BL27" s="18"/>
      <c r="BM27" s="17"/>
      <c r="BN27" s="18"/>
      <c r="BO27" s="17"/>
      <c r="BP27" s="18"/>
      <c r="BQ27" s="14" t="s">
        <v>84</v>
      </c>
      <c r="BR27" s="16" t="s">
        <v>84</v>
      </c>
    </row>
    <row r="28" spans="1:70" ht="75" x14ac:dyDescent="0.25">
      <c r="A28" s="14" t="s">
        <v>133</v>
      </c>
      <c r="B28" s="14" t="s">
        <v>72</v>
      </c>
      <c r="C28" s="15">
        <v>43999.645138888889</v>
      </c>
      <c r="D28" s="14" t="s">
        <v>73</v>
      </c>
      <c r="E28" s="16" t="s">
        <v>74</v>
      </c>
      <c r="F28" s="14" t="s">
        <v>75</v>
      </c>
      <c r="G28" s="16" t="s">
        <v>76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83</v>
      </c>
      <c r="O28" s="16" t="s">
        <v>84</v>
      </c>
      <c r="P28" s="16" t="s">
        <v>84</v>
      </c>
      <c r="Q28" s="16" t="s">
        <v>151</v>
      </c>
      <c r="R28" s="14" t="s">
        <v>152</v>
      </c>
      <c r="S28" s="14" t="s">
        <v>87</v>
      </c>
      <c r="T28" s="14" t="s">
        <v>153</v>
      </c>
      <c r="U28" s="14" t="s">
        <v>140</v>
      </c>
      <c r="V28" s="15">
        <v>40725</v>
      </c>
      <c r="W28" s="15">
        <v>43938</v>
      </c>
      <c r="X28" s="16" t="s">
        <v>84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7"/>
      <c r="BF28" s="18"/>
      <c r="BG28" s="17"/>
      <c r="BH28" s="18"/>
      <c r="BI28" s="17"/>
      <c r="BJ28" s="18"/>
      <c r="BK28" s="17"/>
      <c r="BL28" s="18"/>
      <c r="BM28" s="17"/>
      <c r="BN28" s="18"/>
      <c r="BO28" s="17"/>
      <c r="BP28" s="18"/>
      <c r="BQ28" s="14" t="s">
        <v>84</v>
      </c>
      <c r="BR28" s="16" t="s">
        <v>84</v>
      </c>
    </row>
    <row r="29" spans="1:70" ht="75" x14ac:dyDescent="0.25">
      <c r="A29" s="14" t="s">
        <v>133</v>
      </c>
      <c r="B29" s="14" t="s">
        <v>72</v>
      </c>
      <c r="C29" s="15">
        <v>43999.646527777775</v>
      </c>
      <c r="D29" s="14" t="s">
        <v>73</v>
      </c>
      <c r="E29" s="16" t="s">
        <v>74</v>
      </c>
      <c r="F29" s="14" t="s">
        <v>75</v>
      </c>
      <c r="G29" s="16" t="s">
        <v>76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136</v>
      </c>
      <c r="O29" s="16" t="s">
        <v>84</v>
      </c>
      <c r="P29" s="16" t="s">
        <v>84</v>
      </c>
      <c r="Q29" s="16" t="s">
        <v>151</v>
      </c>
      <c r="R29" s="14" t="s">
        <v>152</v>
      </c>
      <c r="S29" s="14" t="s">
        <v>87</v>
      </c>
      <c r="T29" s="14" t="s">
        <v>153</v>
      </c>
      <c r="U29" s="14" t="s">
        <v>140</v>
      </c>
      <c r="V29" s="15">
        <v>40725</v>
      </c>
      <c r="W29" s="15">
        <v>43938</v>
      </c>
      <c r="X29" s="16" t="s">
        <v>84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7"/>
      <c r="BF29" s="18"/>
      <c r="BG29" s="17"/>
      <c r="BH29" s="18"/>
      <c r="BI29" s="17"/>
      <c r="BJ29" s="18"/>
      <c r="BK29" s="17"/>
      <c r="BL29" s="18"/>
      <c r="BM29" s="17"/>
      <c r="BN29" s="18"/>
      <c r="BO29" s="17"/>
      <c r="BP29" s="18"/>
      <c r="BQ29" s="14" t="s">
        <v>84</v>
      </c>
      <c r="BR29" s="16" t="s">
        <v>84</v>
      </c>
    </row>
    <row r="30" spans="1:70" ht="75" x14ac:dyDescent="0.25">
      <c r="A30" s="14" t="s">
        <v>133</v>
      </c>
      <c r="B30" s="14" t="s">
        <v>72</v>
      </c>
      <c r="C30" s="15">
        <v>43999.644444444442</v>
      </c>
      <c r="D30" s="14" t="s">
        <v>73</v>
      </c>
      <c r="E30" s="16" t="s">
        <v>74</v>
      </c>
      <c r="F30" s="14" t="s">
        <v>75</v>
      </c>
      <c r="G30" s="16" t="s">
        <v>76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83</v>
      </c>
      <c r="O30" s="16" t="s">
        <v>84</v>
      </c>
      <c r="P30" s="16" t="s">
        <v>84</v>
      </c>
      <c r="Q30" s="16" t="s">
        <v>154</v>
      </c>
      <c r="R30" s="14" t="s">
        <v>155</v>
      </c>
      <c r="S30" s="14" t="s">
        <v>146</v>
      </c>
      <c r="T30" s="14" t="s">
        <v>153</v>
      </c>
      <c r="U30" s="14" t="s">
        <v>140</v>
      </c>
      <c r="V30" s="15">
        <v>40725</v>
      </c>
      <c r="W30" s="15">
        <v>43938</v>
      </c>
      <c r="X30" s="16" t="s">
        <v>84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7"/>
      <c r="AZ30" s="18"/>
      <c r="BA30" s="17"/>
      <c r="BB30" s="18"/>
      <c r="BC30" s="17"/>
      <c r="BD30" s="18"/>
      <c r="BE30" s="17"/>
      <c r="BF30" s="18"/>
      <c r="BG30" s="17"/>
      <c r="BH30" s="18"/>
      <c r="BI30" s="17"/>
      <c r="BJ30" s="18"/>
      <c r="BK30" s="17"/>
      <c r="BL30" s="18"/>
      <c r="BM30" s="17"/>
      <c r="BN30" s="18"/>
      <c r="BO30" s="17"/>
      <c r="BP30" s="18"/>
      <c r="BQ30" s="14" t="s">
        <v>84</v>
      </c>
      <c r="BR30" s="16" t="s">
        <v>84</v>
      </c>
    </row>
    <row r="31" spans="1:70" ht="75" x14ac:dyDescent="0.25">
      <c r="A31" s="14" t="s">
        <v>133</v>
      </c>
      <c r="B31" s="14" t="s">
        <v>72</v>
      </c>
      <c r="C31" s="15">
        <v>43999.646527777775</v>
      </c>
      <c r="D31" s="14" t="s">
        <v>73</v>
      </c>
      <c r="E31" s="16" t="s">
        <v>74</v>
      </c>
      <c r="F31" s="14" t="s">
        <v>75</v>
      </c>
      <c r="G31" s="16" t="s">
        <v>76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136</v>
      </c>
      <c r="O31" s="16" t="s">
        <v>84</v>
      </c>
      <c r="P31" s="16" t="s">
        <v>84</v>
      </c>
      <c r="Q31" s="16" t="s">
        <v>154</v>
      </c>
      <c r="R31" s="14" t="s">
        <v>155</v>
      </c>
      <c r="S31" s="14" t="s">
        <v>146</v>
      </c>
      <c r="T31" s="14" t="s">
        <v>153</v>
      </c>
      <c r="U31" s="14" t="s">
        <v>140</v>
      </c>
      <c r="V31" s="15">
        <v>40725</v>
      </c>
      <c r="W31" s="15">
        <v>43938</v>
      </c>
      <c r="X31" s="16" t="s">
        <v>84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/>
      <c r="AR31" s="18"/>
      <c r="AS31" s="17"/>
      <c r="AT31" s="18"/>
      <c r="AU31" s="17"/>
      <c r="AV31" s="18"/>
      <c r="AW31" s="17"/>
      <c r="AX31" s="18"/>
      <c r="AY31" s="17"/>
      <c r="AZ31" s="18"/>
      <c r="BA31" s="17"/>
      <c r="BB31" s="18"/>
      <c r="BC31" s="17"/>
      <c r="BD31" s="18"/>
      <c r="BE31" s="17"/>
      <c r="BF31" s="18"/>
      <c r="BG31" s="17"/>
      <c r="BH31" s="18"/>
      <c r="BI31" s="17"/>
      <c r="BJ31" s="18"/>
      <c r="BK31" s="17"/>
      <c r="BL31" s="18"/>
      <c r="BM31" s="17"/>
      <c r="BN31" s="18"/>
      <c r="BO31" s="17"/>
      <c r="BP31" s="18"/>
      <c r="BQ31" s="14" t="s">
        <v>84</v>
      </c>
      <c r="BR31" s="16" t="s">
        <v>84</v>
      </c>
    </row>
    <row r="32" spans="1:70" ht="165" x14ac:dyDescent="0.25">
      <c r="A32" s="14" t="s">
        <v>71</v>
      </c>
      <c r="B32" s="14" t="s">
        <v>72</v>
      </c>
      <c r="C32" s="15">
        <v>44711.680555555555</v>
      </c>
      <c r="D32" s="14" t="s">
        <v>73</v>
      </c>
      <c r="E32" s="16" t="s">
        <v>74</v>
      </c>
      <c r="F32" s="14" t="s">
        <v>75</v>
      </c>
      <c r="G32" s="16" t="s">
        <v>76</v>
      </c>
      <c r="H32" s="14" t="s">
        <v>164</v>
      </c>
      <c r="I32" s="16" t="s">
        <v>165</v>
      </c>
      <c r="J32" s="16" t="s">
        <v>166</v>
      </c>
      <c r="K32" s="16" t="s">
        <v>167</v>
      </c>
      <c r="L32" s="14" t="s">
        <v>168</v>
      </c>
      <c r="M32" s="16" t="s">
        <v>169</v>
      </c>
      <c r="N32" s="14" t="s">
        <v>83</v>
      </c>
      <c r="O32" s="16" t="s">
        <v>84</v>
      </c>
      <c r="P32" s="16" t="s">
        <v>84</v>
      </c>
      <c r="Q32" s="16" t="s">
        <v>85</v>
      </c>
      <c r="R32" s="14" t="s">
        <v>86</v>
      </c>
      <c r="S32" s="14" t="s">
        <v>87</v>
      </c>
      <c r="T32" s="14" t="s">
        <v>88</v>
      </c>
      <c r="U32" s="14" t="s">
        <v>89</v>
      </c>
      <c r="V32" s="15">
        <v>40725</v>
      </c>
      <c r="W32" s="15">
        <v>43861</v>
      </c>
      <c r="X32" s="16" t="s">
        <v>90</v>
      </c>
      <c r="Y32" s="17" t="s">
        <v>91</v>
      </c>
      <c r="Z32" s="18" t="str">
        <f>VLOOKUP(Y32,'Axe 2 Règles de gestion'!$D$2:$F$41,3, FALSE)</f>
        <v>L'agent doit effectuer une demande.</v>
      </c>
      <c r="AA32" s="17" t="s">
        <v>93</v>
      </c>
      <c r="AB32" s="18" t="str">
        <f>VLOOKUP(AA32,'Axe 2 Règles de gestion'!$D$2:$F$41,3, FALSE)</f>
        <v>L'affectation intervient à l'initiative de l'agent ou de l'administration.</v>
      </c>
      <c r="AC32" s="17" t="s">
        <v>95</v>
      </c>
      <c r="AD32" s="18" t="str">
        <f>VLOOKUP(AC32,'Axe 2 Règles de gestion'!$D$2:$F$41,3,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E32" s="17" t="s">
        <v>97</v>
      </c>
      <c r="AF32" s="18" t="str">
        <f>VLOOKUP(AE32,'Axe 2 Règles de gestion'!$D$2:$F$41,3, FALSE)</f>
        <v>Un avis conforme de l'administration d'accueil a préalablement été transmis à l'administration d'origine sauf dans le cadre d'un transfert de service.</v>
      </c>
      <c r="AG32" s="17" t="s">
        <v>99</v>
      </c>
      <c r="AH32" s="18" t="str">
        <f>VLOOKUP(AG32,'Axe 2 Règles de gestion'!$D$2:$F$41,3, FALSE)</f>
        <v>Lorsque l'affectation de l'agent est prononcée dans un établissement public, le ministère de tutelle en est préalablement informé.</v>
      </c>
      <c r="AI32" s="17" t="s">
        <v>101</v>
      </c>
      <c r="AJ32" s="18" t="str">
        <f>VLOOKUP(AI32,'Axe 2 Règles de gestion'!$D$2:$F$41,3, FALSE)</f>
        <v>L'affectation en position normale d'activité hors de l'administration d'origine est prononcée sans limitation de durée.</v>
      </c>
      <c r="AK32" s="17" t="s">
        <v>103</v>
      </c>
      <c r="AL32" s="18" t="str">
        <f>VLOOKUP(AK32,'Axe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32" s="17" t="s">
        <v>105</v>
      </c>
      <c r="AN32" s="18" t="str">
        <f>VLOOKUP(AM32,'Axe 2 Règles de gestion'!$D$2:$F$41,3, FALSE)</f>
        <v>Le silence de l'administration gardé pendant 2 mois à compter de la réception de la demande de l'agent vaut acceptation.</v>
      </c>
      <c r="AO32" s="17"/>
      <c r="AP32" s="18"/>
      <c r="AQ32" s="17"/>
      <c r="AR32" s="18"/>
      <c r="AS32" s="17"/>
      <c r="AT32" s="18"/>
      <c r="AU32" s="17" t="s">
        <v>107</v>
      </c>
      <c r="AV32" s="18" t="str">
        <f>VLOOKUP(AU32,'Axe 2 Règles de gestion'!$D$2:$F$41,3, FALSE)</f>
        <v>La date de début de la position doit être postérieure ou égale à la date d'entrée dans la FPE ou dans la carrière militaire.</v>
      </c>
      <c r="AW32" s="17" t="s">
        <v>109</v>
      </c>
      <c r="AX32" s="18" t="str">
        <f>VLOOKUP(AW32,'Axe 2 Règles de gestion'!$D$2:$F$41,3, FALSE)</f>
        <v>La date de début de position est à J+1 de la date de fin de position de l'occurrence précédente.</v>
      </c>
      <c r="AY32" s="17" t="s">
        <v>111</v>
      </c>
      <c r="AZ32" s="18" t="str">
        <f>VLOOKUP(AY32,'Axe 2 Règles de gestion'!$D$2:$F$41,3, FALSE)</f>
        <v>La date de début de position doit être antérieure ou égale à la date de fin réelle de position.</v>
      </c>
      <c r="BA32" s="17" t="s">
        <v>113</v>
      </c>
      <c r="BB32" s="18" t="str">
        <f>VLOOKUP(BA32,'Axe 2 Règles de gestion'!$D$2:$F$41,3, FALSE)</f>
        <v>La date de début de position doit être antérieure ou égale à la date de fin prévisionnelle de position.</v>
      </c>
      <c r="BC32" s="17" t="s">
        <v>115</v>
      </c>
      <c r="BD32" s="18" t="str">
        <f>VLOOKUP(BC32,'Axe 2 Règles de gestion'!$D$2:$F$41,3, FALSE)</f>
        <v>La date de fin réelle de la position doit être antérieure à la date limite de départ à la retraite.</v>
      </c>
      <c r="BE32" s="17" t="s">
        <v>117</v>
      </c>
      <c r="BF32" s="18" t="str">
        <f>VLOOKUP(BE32,'Axe 2 Règles de gestion'!$D$2:$F$41,3, FALSE)</f>
        <v>La date de fin prévisionnelle de la position doit être antérieure à la date limite de départ à la retraite.</v>
      </c>
      <c r="BG32" s="17" t="s">
        <v>119</v>
      </c>
      <c r="BH32" s="18" t="str">
        <f>VLOOKUP(BG32,'Axe 2 Règles de gestion'!$D$2:$F$41,3, FALSE)</f>
        <v>Les champs "Type d'organisme d'origine", "Catégorie statutaire d'origine" et "Pays" de l'organisme d'origine doivent être renseignés.</v>
      </c>
      <c r="BI32" s="17" t="s">
        <v>121</v>
      </c>
      <c r="BJ32" s="18" t="str">
        <f>VLOOKUP(BI32,'Axe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32" s="17" t="s">
        <v>123</v>
      </c>
      <c r="BL32" s="18" t="str">
        <f>VLOOKUP(BK32,'Axe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32" s="17" t="s">
        <v>125</v>
      </c>
      <c r="BN32" s="18" t="str">
        <f>VLOOKUP(BM32,'Axe 2 Règles de gestion'!$D$2:$F$41,3, FALSE)</f>
        <v>Le champ "Code emploi statutaire FPT (NET)" est renseigné si le "Type d'organisme d'origine" est valorisé à FPT.</v>
      </c>
      <c r="BO32" s="17" t="s">
        <v>127</v>
      </c>
      <c r="BP32" s="18" t="str">
        <f>VLOOKUP(BO32,'Axe 2 Règles de gestion'!$D$2:$F$41,3, FALSE)</f>
        <v>Le champ "Code emploi statutaire FPH (NEH)" est renseigné si le "Type d'organisme d'origine" est valorisé à FPH.</v>
      </c>
      <c r="BQ32" s="14" t="s">
        <v>84</v>
      </c>
      <c r="BR32" s="16" t="s">
        <v>84</v>
      </c>
    </row>
    <row r="33" spans="1:70" ht="165" x14ac:dyDescent="0.25">
      <c r="A33" s="14" t="s">
        <v>71</v>
      </c>
      <c r="B33" s="14" t="s">
        <v>129</v>
      </c>
      <c r="C33" s="15">
        <v>44711.443749999999</v>
      </c>
      <c r="D33" s="14" t="s">
        <v>73</v>
      </c>
      <c r="E33" s="16" t="s">
        <v>74</v>
      </c>
      <c r="F33" s="14" t="s">
        <v>75</v>
      </c>
      <c r="G33" s="16" t="s">
        <v>76</v>
      </c>
      <c r="H33" s="14" t="s">
        <v>164</v>
      </c>
      <c r="I33" s="16" t="s">
        <v>165</v>
      </c>
      <c r="J33" s="16" t="s">
        <v>166</v>
      </c>
      <c r="K33" s="16" t="s">
        <v>167</v>
      </c>
      <c r="L33" s="14" t="s">
        <v>168</v>
      </c>
      <c r="M33" s="16" t="s">
        <v>169</v>
      </c>
      <c r="N33" s="14" t="s">
        <v>83</v>
      </c>
      <c r="O33" s="16" t="s">
        <v>84</v>
      </c>
      <c r="P33" s="16" t="s">
        <v>84</v>
      </c>
      <c r="Q33" s="16" t="s">
        <v>85</v>
      </c>
      <c r="R33" s="14" t="s">
        <v>86</v>
      </c>
      <c r="S33" s="14" t="s">
        <v>87</v>
      </c>
      <c r="T33" s="14" t="s">
        <v>88</v>
      </c>
      <c r="U33" s="14" t="s">
        <v>89</v>
      </c>
      <c r="V33" s="15">
        <v>43862</v>
      </c>
      <c r="W33" s="15">
        <v>43938</v>
      </c>
      <c r="X33" s="16" t="s">
        <v>130</v>
      </c>
      <c r="Y33" s="17" t="s">
        <v>91</v>
      </c>
      <c r="Z33" s="18" t="str">
        <f>VLOOKUP(Y33,'Axe 2 Règles de gestion'!$D$2:$F$41,3, FALSE)</f>
        <v>L'agent doit effectuer une demande.</v>
      </c>
      <c r="AA33" s="17" t="s">
        <v>93</v>
      </c>
      <c r="AB33" s="18" t="str">
        <f>VLOOKUP(AA33,'Axe 2 Règles de gestion'!$D$2:$F$41,3, FALSE)</f>
        <v>L'affectation intervient à l'initiative de l'agent ou de l'administration.</v>
      </c>
      <c r="AC33" s="17" t="s">
        <v>131</v>
      </c>
      <c r="AD33" s="18" t="str">
        <f>VLOOKUP(AC33,'Axe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33" s="17" t="s">
        <v>97</v>
      </c>
      <c r="AF33" s="18" t="str">
        <f>VLOOKUP(AE33,'Axe 2 Règles de gestion'!$D$2:$F$41,3, FALSE)</f>
        <v>Un avis conforme de l'administration d'accueil a préalablement été transmis à l'administration d'origine sauf dans le cadre d'un transfert de service.</v>
      </c>
      <c r="AG33" s="17" t="s">
        <v>99</v>
      </c>
      <c r="AH33" s="18" t="str">
        <f>VLOOKUP(AG33,'Axe 2 Règles de gestion'!$D$2:$F$41,3, FALSE)</f>
        <v>Lorsque l'affectation de l'agent est prononcée dans un établissement public, le ministère de tutelle en est préalablement informé.</v>
      </c>
      <c r="AI33" s="17" t="s">
        <v>101</v>
      </c>
      <c r="AJ33" s="18" t="str">
        <f>VLOOKUP(AI33,'Axe 2 Règles de gestion'!$D$2:$F$41,3, FALSE)</f>
        <v>L'affectation en position normale d'activité hors de l'administration d'origine est prononcée sans limitation de durée.</v>
      </c>
      <c r="AK33" s="17" t="s">
        <v>103</v>
      </c>
      <c r="AL33" s="18" t="str">
        <f>VLOOKUP(AK33,'Axe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M33" s="17" t="s">
        <v>105</v>
      </c>
      <c r="AN33" s="18" t="str">
        <f>VLOOKUP(AM33,'Axe 2 Règles de gestion'!$D$2:$F$41,3, FALSE)</f>
        <v>Le silence de l'administration gardé pendant 2 mois à compter de la réception de la demande de l'agent vaut acceptation.</v>
      </c>
      <c r="AO33" s="17"/>
      <c r="AP33" s="18"/>
      <c r="AQ33" s="17"/>
      <c r="AR33" s="18"/>
      <c r="AS33" s="17"/>
      <c r="AT33" s="18"/>
      <c r="AU33" s="17" t="s">
        <v>107</v>
      </c>
      <c r="AV33" s="18" t="str">
        <f>VLOOKUP(AU33,'Axe 2 Règles de gestion'!$D$2:$F$41,3, FALSE)</f>
        <v>La date de début de la position doit être postérieure ou égale à la date d'entrée dans la FPE ou dans la carrière militaire.</v>
      </c>
      <c r="AW33" s="17" t="s">
        <v>109</v>
      </c>
      <c r="AX33" s="18" t="str">
        <f>VLOOKUP(AW33,'Axe 2 Règles de gestion'!$D$2:$F$41,3, FALSE)</f>
        <v>La date de début de position est à J+1 de la date de fin de position de l'occurrence précédente.</v>
      </c>
      <c r="AY33" s="17" t="s">
        <v>111</v>
      </c>
      <c r="AZ33" s="18" t="str">
        <f>VLOOKUP(AY33,'Axe 2 Règles de gestion'!$D$2:$F$41,3, FALSE)</f>
        <v>La date de début de position doit être antérieure ou égale à la date de fin réelle de position.</v>
      </c>
      <c r="BA33" s="17" t="s">
        <v>113</v>
      </c>
      <c r="BB33" s="18" t="str">
        <f>VLOOKUP(BA33,'Axe 2 Règles de gestion'!$D$2:$F$41,3, FALSE)</f>
        <v>La date de début de position doit être antérieure ou égale à la date de fin prévisionnelle de position.</v>
      </c>
      <c r="BC33" s="17" t="s">
        <v>115</v>
      </c>
      <c r="BD33" s="18" t="str">
        <f>VLOOKUP(BC33,'Axe 2 Règles de gestion'!$D$2:$F$41,3, FALSE)</f>
        <v>La date de fin réelle de la position doit être antérieure à la date limite de départ à la retraite.</v>
      </c>
      <c r="BE33" s="17" t="s">
        <v>117</v>
      </c>
      <c r="BF33" s="18" t="str">
        <f>VLOOKUP(BE33,'Axe 2 Règles de gestion'!$D$2:$F$41,3, FALSE)</f>
        <v>La date de fin prévisionnelle de la position doit être antérieure à la date limite de départ à la retraite.</v>
      </c>
      <c r="BG33" s="17" t="s">
        <v>119</v>
      </c>
      <c r="BH33" s="18" t="str">
        <f>VLOOKUP(BG33,'Axe 2 Règles de gestion'!$D$2:$F$41,3, FALSE)</f>
        <v>Les champs "Type d'organisme d'origine", "Catégorie statutaire d'origine" et "Pays" de l'organisme d'origine doivent être renseignés.</v>
      </c>
      <c r="BI33" s="17" t="s">
        <v>121</v>
      </c>
      <c r="BJ33" s="18" t="str">
        <f>VLOOKUP(BI33,'Axe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33" s="17" t="s">
        <v>123</v>
      </c>
      <c r="BL33" s="18" t="str">
        <f>VLOOKUP(BK33,'Axe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33" s="17" t="s">
        <v>125</v>
      </c>
      <c r="BN33" s="18" t="str">
        <f>VLOOKUP(BM33,'Axe 2 Règles de gestion'!$D$2:$F$41,3, FALSE)</f>
        <v>Le champ "Code emploi statutaire FPT (NET)" est renseigné si le "Type d'organisme d'origine" est valorisé à FPT.</v>
      </c>
      <c r="BO33" s="17" t="s">
        <v>127</v>
      </c>
      <c r="BP33" s="18" t="str">
        <f>VLOOKUP(BO33,'Axe 2 Règles de gestion'!$D$2:$F$41,3, FALSE)</f>
        <v>Le champ "Code emploi statutaire FPH (NEH)" est renseigné si le "Type d'organisme d'origine" est valorisé à FPH.</v>
      </c>
      <c r="BQ33" s="14" t="s">
        <v>84</v>
      </c>
      <c r="BR33" s="16" t="s">
        <v>84</v>
      </c>
    </row>
    <row r="34" spans="1:70" ht="135" x14ac:dyDescent="0.25">
      <c r="A34" s="14" t="s">
        <v>133</v>
      </c>
      <c r="B34" s="14" t="s">
        <v>72</v>
      </c>
      <c r="C34" s="15">
        <v>43999.456944444442</v>
      </c>
      <c r="D34" s="14" t="s">
        <v>73</v>
      </c>
      <c r="E34" s="16" t="s">
        <v>74</v>
      </c>
      <c r="F34" s="14" t="s">
        <v>75</v>
      </c>
      <c r="G34" s="16" t="s">
        <v>76</v>
      </c>
      <c r="H34" s="14" t="s">
        <v>164</v>
      </c>
      <c r="I34" s="16" t="s">
        <v>165</v>
      </c>
      <c r="J34" s="16" t="s">
        <v>166</v>
      </c>
      <c r="K34" s="16" t="s">
        <v>167</v>
      </c>
      <c r="L34" s="14" t="s">
        <v>170</v>
      </c>
      <c r="M34" s="16" t="s">
        <v>171</v>
      </c>
      <c r="N34" s="14" t="s">
        <v>136</v>
      </c>
      <c r="O34" s="16" t="s">
        <v>84</v>
      </c>
      <c r="P34" s="16" t="s">
        <v>84</v>
      </c>
      <c r="Q34" s="16" t="s">
        <v>85</v>
      </c>
      <c r="R34" s="14" t="s">
        <v>86</v>
      </c>
      <c r="S34" s="14" t="s">
        <v>87</v>
      </c>
      <c r="T34" s="14" t="s">
        <v>88</v>
      </c>
      <c r="U34" s="14" t="s">
        <v>89</v>
      </c>
      <c r="V34" s="15">
        <v>40725</v>
      </c>
      <c r="W34" s="15">
        <v>43938</v>
      </c>
      <c r="X34" s="16" t="s">
        <v>137</v>
      </c>
      <c r="Y34" s="17" t="s">
        <v>101</v>
      </c>
      <c r="Z34" s="18" t="str">
        <f>VLOOKUP(Y34,'Axe 2 Règles de gestion'!$D$2:$F$41,3, FALSE)</f>
        <v>L'affectation en position normale d'activité hors de l'administration d'origine est prononcée sans limitation de durée.</v>
      </c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 t="s">
        <v>111</v>
      </c>
      <c r="AV34" s="18" t="str">
        <f>VLOOKUP(AU34,'Axe 2 Règles de gestion'!$D$2:$F$41,3, FALSE)</f>
        <v>La date de début de position doit être antérieure ou égale à la date de fin réelle de position.</v>
      </c>
      <c r="AW34" s="17" t="s">
        <v>113</v>
      </c>
      <c r="AX34" s="18" t="str">
        <f>VLOOKUP(AW34,'Axe 2 Règles de gestion'!$D$2:$F$41,3, FALSE)</f>
        <v>La date de début de position doit être antérieure ou égale à la date de fin prévisionnelle de position.</v>
      </c>
      <c r="AY34" s="17" t="s">
        <v>115</v>
      </c>
      <c r="AZ34" s="18" t="str">
        <f>VLOOKUP(AY34,'Axe 2 Règles de gestion'!$D$2:$F$41,3, FALSE)</f>
        <v>La date de fin réelle de la position doit être antérieure à la date limite de départ à la retraite.</v>
      </c>
      <c r="BA34" s="17" t="s">
        <v>117</v>
      </c>
      <c r="BB34" s="18" t="str">
        <f>VLOOKUP(BA34,'Axe 2 Règles de gestion'!$D$2:$F$41,3, FALSE)</f>
        <v>La date de fin prévisionnelle de la position doit être antérieure à la date limite de départ à la retraite.</v>
      </c>
      <c r="BC34" s="17" t="s">
        <v>119</v>
      </c>
      <c r="BD34" s="18" t="str">
        <f>VLOOKUP(BC34,'Axe 2 Règles de gestion'!$D$2:$F$41,3, FALSE)</f>
        <v>Les champs "Type d'organisme d'origine", "Catégorie statutaire d'origine" et "Pays" de l'organisme d'origine doivent être renseignés.</v>
      </c>
      <c r="BE34" s="17" t="s">
        <v>121</v>
      </c>
      <c r="BF34" s="18" t="str">
        <f>VLOOKUP(BE34,'Axe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34" s="17" t="s">
        <v>123</v>
      </c>
      <c r="BH34" s="18" t="str">
        <f>VLOOKUP(BG34,'Axe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34" s="17" t="s">
        <v>125</v>
      </c>
      <c r="BJ34" s="18" t="str">
        <f>VLOOKUP(BI34,'Axe 2 Règles de gestion'!$D$2:$F$41,3, FALSE)</f>
        <v>Le champ "Code emploi statutaire FPT (NET)" est renseigné si le "Type d'organisme d'origine" est valorisé à FPT.</v>
      </c>
      <c r="BK34" s="17" t="s">
        <v>127</v>
      </c>
      <c r="BL34" s="18" t="str">
        <f>VLOOKUP(BK34,'Axe 2 Règles de gestion'!$D$2:$F$41,3, FALSE)</f>
        <v>Le champ "Code emploi statutaire FPH (NEH)" est renseigné si le "Type d'organisme d'origine" est valorisé à FPH.</v>
      </c>
      <c r="BM34" s="17"/>
      <c r="BN34" s="18"/>
      <c r="BO34" s="17"/>
      <c r="BP34" s="18"/>
      <c r="BQ34" s="14" t="s">
        <v>84</v>
      </c>
      <c r="BR34" s="16" t="s">
        <v>84</v>
      </c>
    </row>
    <row r="35" spans="1:70" ht="90" x14ac:dyDescent="0.25">
      <c r="A35" s="14" t="s">
        <v>133</v>
      </c>
      <c r="B35" s="14" t="s">
        <v>72</v>
      </c>
      <c r="C35" s="15">
        <v>43999.652083333334</v>
      </c>
      <c r="D35" s="14" t="s">
        <v>73</v>
      </c>
      <c r="E35" s="16" t="s">
        <v>74</v>
      </c>
      <c r="F35" s="14" t="s">
        <v>75</v>
      </c>
      <c r="G35" s="16" t="s">
        <v>76</v>
      </c>
      <c r="H35" s="14" t="s">
        <v>164</v>
      </c>
      <c r="I35" s="16" t="s">
        <v>165</v>
      </c>
      <c r="J35" s="16" t="s">
        <v>166</v>
      </c>
      <c r="K35" s="16" t="s">
        <v>167</v>
      </c>
      <c r="L35" s="14" t="s">
        <v>168</v>
      </c>
      <c r="M35" s="16" t="s">
        <v>169</v>
      </c>
      <c r="N35" s="14" t="s">
        <v>83</v>
      </c>
      <c r="O35" s="16" t="s">
        <v>84</v>
      </c>
      <c r="P35" s="16" t="s">
        <v>84</v>
      </c>
      <c r="Q35" s="16" t="s">
        <v>138</v>
      </c>
      <c r="R35" s="14" t="s">
        <v>139</v>
      </c>
      <c r="S35" s="14" t="s">
        <v>72</v>
      </c>
      <c r="T35" s="14" t="s">
        <v>88</v>
      </c>
      <c r="U35" s="14" t="s">
        <v>140</v>
      </c>
      <c r="V35" s="15">
        <v>40725</v>
      </c>
      <c r="W35" s="15">
        <v>43938</v>
      </c>
      <c r="X35" s="16" t="s">
        <v>84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7"/>
      <c r="BF35" s="18"/>
      <c r="BG35" s="17"/>
      <c r="BH35" s="18"/>
      <c r="BI35" s="17"/>
      <c r="BJ35" s="18"/>
      <c r="BK35" s="17"/>
      <c r="BL35" s="18"/>
      <c r="BM35" s="17"/>
      <c r="BN35" s="18"/>
      <c r="BO35" s="17"/>
      <c r="BP35" s="18"/>
      <c r="BQ35" s="14" t="s">
        <v>84</v>
      </c>
      <c r="BR35" s="16" t="s">
        <v>84</v>
      </c>
    </row>
    <row r="36" spans="1:70" ht="90" x14ac:dyDescent="0.25">
      <c r="A36" s="14" t="s">
        <v>133</v>
      </c>
      <c r="B36" s="14" t="s">
        <v>72</v>
      </c>
      <c r="C36" s="15">
        <v>43999.649305555555</v>
      </c>
      <c r="D36" s="14" t="s">
        <v>73</v>
      </c>
      <c r="E36" s="16" t="s">
        <v>74</v>
      </c>
      <c r="F36" s="14" t="s">
        <v>75</v>
      </c>
      <c r="G36" s="16" t="s">
        <v>76</v>
      </c>
      <c r="H36" s="14" t="s">
        <v>164</v>
      </c>
      <c r="I36" s="16" t="s">
        <v>165</v>
      </c>
      <c r="J36" s="16" t="s">
        <v>166</v>
      </c>
      <c r="K36" s="16" t="s">
        <v>167</v>
      </c>
      <c r="L36" s="14" t="s">
        <v>170</v>
      </c>
      <c r="M36" s="16" t="s">
        <v>171</v>
      </c>
      <c r="N36" s="14" t="s">
        <v>136</v>
      </c>
      <c r="O36" s="16" t="s">
        <v>84</v>
      </c>
      <c r="P36" s="16" t="s">
        <v>84</v>
      </c>
      <c r="Q36" s="16" t="s">
        <v>138</v>
      </c>
      <c r="R36" s="14" t="s">
        <v>139</v>
      </c>
      <c r="S36" s="14" t="s">
        <v>72</v>
      </c>
      <c r="T36" s="14" t="s">
        <v>88</v>
      </c>
      <c r="U36" s="14" t="s">
        <v>140</v>
      </c>
      <c r="V36" s="15">
        <v>40725</v>
      </c>
      <c r="W36" s="15">
        <v>43938</v>
      </c>
      <c r="X36" s="16" t="s">
        <v>84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/>
      <c r="BB36" s="18"/>
      <c r="BC36" s="17"/>
      <c r="BD36" s="18"/>
      <c r="BE36" s="17"/>
      <c r="BF36" s="18"/>
      <c r="BG36" s="17"/>
      <c r="BH36" s="18"/>
      <c r="BI36" s="17"/>
      <c r="BJ36" s="18"/>
      <c r="BK36" s="17"/>
      <c r="BL36" s="18"/>
      <c r="BM36" s="17"/>
      <c r="BN36" s="18"/>
      <c r="BO36" s="17"/>
      <c r="BP36" s="18"/>
      <c r="BQ36" s="14" t="s">
        <v>84</v>
      </c>
      <c r="BR36" s="16" t="s">
        <v>84</v>
      </c>
    </row>
    <row r="37" spans="1:70" ht="90" x14ac:dyDescent="0.25">
      <c r="A37" s="14" t="s">
        <v>133</v>
      </c>
      <c r="B37" s="14" t="s">
        <v>72</v>
      </c>
      <c r="C37" s="15">
        <v>43999.652083333334</v>
      </c>
      <c r="D37" s="14" t="s">
        <v>73</v>
      </c>
      <c r="E37" s="16" t="s">
        <v>74</v>
      </c>
      <c r="F37" s="14" t="s">
        <v>75</v>
      </c>
      <c r="G37" s="16" t="s">
        <v>76</v>
      </c>
      <c r="H37" s="14" t="s">
        <v>164</v>
      </c>
      <c r="I37" s="16" t="s">
        <v>165</v>
      </c>
      <c r="J37" s="16" t="s">
        <v>166</v>
      </c>
      <c r="K37" s="16" t="s">
        <v>167</v>
      </c>
      <c r="L37" s="14" t="s">
        <v>168</v>
      </c>
      <c r="M37" s="16" t="s">
        <v>169</v>
      </c>
      <c r="N37" s="14" t="s">
        <v>83</v>
      </c>
      <c r="O37" s="16" t="s">
        <v>84</v>
      </c>
      <c r="P37" s="16" t="s">
        <v>84</v>
      </c>
      <c r="Q37" s="16" t="s">
        <v>141</v>
      </c>
      <c r="R37" s="14" t="s">
        <v>142</v>
      </c>
      <c r="S37" s="14" t="s">
        <v>143</v>
      </c>
      <c r="T37" s="14" t="s">
        <v>88</v>
      </c>
      <c r="U37" s="14" t="s">
        <v>140</v>
      </c>
      <c r="V37" s="15">
        <v>40725</v>
      </c>
      <c r="W37" s="15">
        <v>43938</v>
      </c>
      <c r="X37" s="16" t="s">
        <v>84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7"/>
      <c r="AZ37" s="18"/>
      <c r="BA37" s="17"/>
      <c r="BB37" s="18"/>
      <c r="BC37" s="17"/>
      <c r="BD37" s="18"/>
      <c r="BE37" s="17"/>
      <c r="BF37" s="18"/>
      <c r="BG37" s="17"/>
      <c r="BH37" s="18"/>
      <c r="BI37" s="17"/>
      <c r="BJ37" s="18"/>
      <c r="BK37" s="17"/>
      <c r="BL37" s="18"/>
      <c r="BM37" s="17"/>
      <c r="BN37" s="18"/>
      <c r="BO37" s="17"/>
      <c r="BP37" s="18"/>
      <c r="BQ37" s="14" t="s">
        <v>84</v>
      </c>
      <c r="BR37" s="16" t="s">
        <v>84</v>
      </c>
    </row>
    <row r="38" spans="1:70" ht="90" x14ac:dyDescent="0.25">
      <c r="A38" s="14" t="s">
        <v>133</v>
      </c>
      <c r="B38" s="14" t="s">
        <v>72</v>
      </c>
      <c r="C38" s="15">
        <v>43999.649305555555</v>
      </c>
      <c r="D38" s="14" t="s">
        <v>73</v>
      </c>
      <c r="E38" s="16" t="s">
        <v>74</v>
      </c>
      <c r="F38" s="14" t="s">
        <v>75</v>
      </c>
      <c r="G38" s="16" t="s">
        <v>76</v>
      </c>
      <c r="H38" s="14" t="s">
        <v>164</v>
      </c>
      <c r="I38" s="16" t="s">
        <v>165</v>
      </c>
      <c r="J38" s="16" t="s">
        <v>166</v>
      </c>
      <c r="K38" s="16" t="s">
        <v>167</v>
      </c>
      <c r="L38" s="14" t="s">
        <v>170</v>
      </c>
      <c r="M38" s="16" t="s">
        <v>171</v>
      </c>
      <c r="N38" s="14" t="s">
        <v>136</v>
      </c>
      <c r="O38" s="16" t="s">
        <v>84</v>
      </c>
      <c r="P38" s="16" t="s">
        <v>84</v>
      </c>
      <c r="Q38" s="16" t="s">
        <v>141</v>
      </c>
      <c r="R38" s="14" t="s">
        <v>142</v>
      </c>
      <c r="S38" s="14" t="s">
        <v>143</v>
      </c>
      <c r="T38" s="14" t="s">
        <v>88</v>
      </c>
      <c r="U38" s="14" t="s">
        <v>140</v>
      </c>
      <c r="V38" s="15">
        <v>40725</v>
      </c>
      <c r="W38" s="15">
        <v>43938</v>
      </c>
      <c r="X38" s="16" t="s">
        <v>84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7"/>
      <c r="BF38" s="18"/>
      <c r="BG38" s="17"/>
      <c r="BH38" s="18"/>
      <c r="BI38" s="17"/>
      <c r="BJ38" s="18"/>
      <c r="BK38" s="17"/>
      <c r="BL38" s="18"/>
      <c r="BM38" s="17"/>
      <c r="BN38" s="18"/>
      <c r="BO38" s="17"/>
      <c r="BP38" s="18"/>
      <c r="BQ38" s="14" t="s">
        <v>84</v>
      </c>
      <c r="BR38" s="16" t="s">
        <v>84</v>
      </c>
    </row>
    <row r="39" spans="1:70" ht="135" x14ac:dyDescent="0.25">
      <c r="A39" s="14" t="s">
        <v>71</v>
      </c>
      <c r="B39" s="14" t="s">
        <v>72</v>
      </c>
      <c r="C39" s="15">
        <v>44711.445833333331</v>
      </c>
      <c r="D39" s="14" t="s">
        <v>73</v>
      </c>
      <c r="E39" s="16" t="s">
        <v>74</v>
      </c>
      <c r="F39" s="14" t="s">
        <v>75</v>
      </c>
      <c r="G39" s="16" t="s">
        <v>76</v>
      </c>
      <c r="H39" s="14" t="s">
        <v>164</v>
      </c>
      <c r="I39" s="16" t="s">
        <v>165</v>
      </c>
      <c r="J39" s="16" t="s">
        <v>166</v>
      </c>
      <c r="K39" s="16" t="s">
        <v>167</v>
      </c>
      <c r="L39" s="14" t="s">
        <v>168</v>
      </c>
      <c r="M39" s="16" t="s">
        <v>169</v>
      </c>
      <c r="N39" s="14" t="s">
        <v>83</v>
      </c>
      <c r="O39" s="16" t="s">
        <v>84</v>
      </c>
      <c r="P39" s="16" t="s">
        <v>84</v>
      </c>
      <c r="Q39" s="16" t="s">
        <v>144</v>
      </c>
      <c r="R39" s="14" t="s">
        <v>145</v>
      </c>
      <c r="S39" s="14" t="s">
        <v>146</v>
      </c>
      <c r="T39" s="14" t="s">
        <v>88</v>
      </c>
      <c r="U39" s="14" t="s">
        <v>89</v>
      </c>
      <c r="V39" s="15">
        <v>40725</v>
      </c>
      <c r="W39" s="15">
        <v>43938</v>
      </c>
      <c r="X39" s="16" t="s">
        <v>147</v>
      </c>
      <c r="Y39" s="17" t="s">
        <v>91</v>
      </c>
      <c r="Z39" s="18" t="str">
        <f>VLOOKUP(Y39,'Axe 2 Règles de gestion'!$D$2:$F$41,3, FALSE)</f>
        <v>L'agent doit effectuer une demande.</v>
      </c>
      <c r="AA39" s="17" t="s">
        <v>93</v>
      </c>
      <c r="AB39" s="18" t="str">
        <f>VLOOKUP(AA39,'Axe 2 Règles de gestion'!$D$2:$F$41,3, FALSE)</f>
        <v>L'affectation intervient à l'initiative de l'agent ou de l'administration.</v>
      </c>
      <c r="AC39" s="17" t="s">
        <v>97</v>
      </c>
      <c r="AD39" s="18" t="str">
        <f>VLOOKUP(AC39,'Axe 2 Règles de gestion'!$D$2:$F$41,3, FALSE)</f>
        <v>Un avis conforme de l'administration d'accueil a préalablement été transmis à l'administration d'origine sauf dans le cadre d'un transfert de service.</v>
      </c>
      <c r="AE39" s="17" t="s">
        <v>99</v>
      </c>
      <c r="AF39" s="18" t="str">
        <f>VLOOKUP(AE39,'Axe 2 Règles de gestion'!$D$2:$F$41,3, FALSE)</f>
        <v>Lorsque l'affectation de l'agent est prononcée dans un établissement public, le ministère de tutelle en est préalablement informé.</v>
      </c>
      <c r="AG39" s="17" t="s">
        <v>101</v>
      </c>
      <c r="AH39" s="18" t="str">
        <f>VLOOKUP(AG39,'Axe 2 Règles de gestion'!$D$2:$F$41,3, FALSE)</f>
        <v>L'affectation en position normale d'activité hors de l'administration d'origine est prononcée sans limitation de durée.</v>
      </c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 t="s">
        <v>107</v>
      </c>
      <c r="AV39" s="18" t="str">
        <f>VLOOKUP(AU39,'Axe 2 Règles de gestion'!$D$2:$F$41,3, FALSE)</f>
        <v>La date de début de la position doit être postérieure ou égale à la date d'entrée dans la FPE ou dans la carrière militaire.</v>
      </c>
      <c r="AW39" s="17" t="s">
        <v>109</v>
      </c>
      <c r="AX39" s="18" t="str">
        <f>VLOOKUP(AW39,'Axe 2 Règles de gestion'!$D$2:$F$41,3, FALSE)</f>
        <v>La date de début de position est à J+1 de la date de fin de position de l'occurrence précédente.</v>
      </c>
      <c r="AY39" s="17" t="s">
        <v>111</v>
      </c>
      <c r="AZ39" s="18" t="str">
        <f>VLOOKUP(AY39,'Axe 2 Règles de gestion'!$D$2:$F$41,3, FALSE)</f>
        <v>La date de début de position doit être antérieure ou égale à la date de fin réelle de position.</v>
      </c>
      <c r="BA39" s="17" t="s">
        <v>113</v>
      </c>
      <c r="BB39" s="18" t="str">
        <f>VLOOKUP(BA39,'Axe 2 Règles de gestion'!$D$2:$F$41,3, FALSE)</f>
        <v>La date de début de position doit être antérieure ou égale à la date de fin prévisionnelle de position.</v>
      </c>
      <c r="BC39" s="17" t="s">
        <v>115</v>
      </c>
      <c r="BD39" s="18" t="str">
        <f>VLOOKUP(BC39,'Axe 2 Règles de gestion'!$D$2:$F$41,3, FALSE)</f>
        <v>La date de fin réelle de la position doit être antérieure à la date limite de départ à la retraite.</v>
      </c>
      <c r="BE39" s="17" t="s">
        <v>117</v>
      </c>
      <c r="BF39" s="18" t="str">
        <f>VLOOKUP(BE39,'Axe 2 Règles de gestion'!$D$2:$F$41,3, FALSE)</f>
        <v>La date de fin prévisionnelle de la position doit être antérieure à la date limite de départ à la retraite.</v>
      </c>
      <c r="BG39" s="17" t="s">
        <v>119</v>
      </c>
      <c r="BH39" s="18" t="str">
        <f>VLOOKUP(BG39,'Axe 2 Règles de gestion'!$D$2:$F$41,3, FALSE)</f>
        <v>Les champs "Type d'organisme d'origine", "Catégorie statutaire d'origine" et "Pays" de l'organisme d'origine doivent être renseignés.</v>
      </c>
      <c r="BI39" s="17" t="s">
        <v>121</v>
      </c>
      <c r="BJ39" s="18" t="str">
        <f>VLOOKUP(BI39,'Axe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39" s="17" t="s">
        <v>123</v>
      </c>
      <c r="BL39" s="18" t="str">
        <f>VLOOKUP(BK39,'Axe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39" s="17" t="s">
        <v>125</v>
      </c>
      <c r="BN39" s="18" t="str">
        <f>VLOOKUP(BM39,'Axe 2 Règles de gestion'!$D$2:$F$41,3, FALSE)</f>
        <v>Le champ "Code emploi statutaire FPT (NET)" est renseigné si le "Type d'organisme d'origine" est valorisé à FPT.</v>
      </c>
      <c r="BO39" s="17" t="s">
        <v>127</v>
      </c>
      <c r="BP39" s="18" t="str">
        <f>VLOOKUP(BO39,'Axe 2 Règles de gestion'!$D$2:$F$41,3, FALSE)</f>
        <v>Le champ "Code emploi statutaire FPH (NEH)" est renseigné si le "Type d'organisme d'origine" est valorisé à FPH.</v>
      </c>
      <c r="BQ39" s="14" t="s">
        <v>84</v>
      </c>
      <c r="BR39" s="16" t="s">
        <v>84</v>
      </c>
    </row>
    <row r="40" spans="1:70" ht="135" x14ac:dyDescent="0.25">
      <c r="A40" s="14" t="s">
        <v>133</v>
      </c>
      <c r="B40" s="14" t="s">
        <v>72</v>
      </c>
      <c r="C40" s="15">
        <v>43999.456250000003</v>
      </c>
      <c r="D40" s="14" t="s">
        <v>73</v>
      </c>
      <c r="E40" s="16" t="s">
        <v>74</v>
      </c>
      <c r="F40" s="14" t="s">
        <v>75</v>
      </c>
      <c r="G40" s="16" t="s">
        <v>76</v>
      </c>
      <c r="H40" s="14" t="s">
        <v>164</v>
      </c>
      <c r="I40" s="16" t="s">
        <v>165</v>
      </c>
      <c r="J40" s="16" t="s">
        <v>166</v>
      </c>
      <c r="K40" s="16" t="s">
        <v>167</v>
      </c>
      <c r="L40" s="14" t="s">
        <v>170</v>
      </c>
      <c r="M40" s="16" t="s">
        <v>171</v>
      </c>
      <c r="N40" s="14" t="s">
        <v>136</v>
      </c>
      <c r="O40" s="16" t="s">
        <v>84</v>
      </c>
      <c r="P40" s="16" t="s">
        <v>84</v>
      </c>
      <c r="Q40" s="16" t="s">
        <v>144</v>
      </c>
      <c r="R40" s="14" t="s">
        <v>145</v>
      </c>
      <c r="S40" s="14" t="s">
        <v>146</v>
      </c>
      <c r="T40" s="14" t="s">
        <v>88</v>
      </c>
      <c r="U40" s="14" t="s">
        <v>89</v>
      </c>
      <c r="V40" s="15">
        <v>40725</v>
      </c>
      <c r="W40" s="15">
        <v>43938</v>
      </c>
      <c r="X40" s="16" t="s">
        <v>137</v>
      </c>
      <c r="Y40" s="17" t="s">
        <v>101</v>
      </c>
      <c r="Z40" s="18" t="str">
        <f>VLOOKUP(Y40,'Axe 2 Règles de gestion'!$D$2:$F$41,3, FALSE)</f>
        <v>L'affectation en position normale d'activité hors de l'administration d'origine est prononcée sans limitation de durée.</v>
      </c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 t="s">
        <v>111</v>
      </c>
      <c r="AV40" s="18" t="str">
        <f>VLOOKUP(AU40,'Axe 2 Règles de gestion'!$D$2:$F$41,3, FALSE)</f>
        <v>La date de début de position doit être antérieure ou égale à la date de fin réelle de position.</v>
      </c>
      <c r="AW40" s="17" t="s">
        <v>113</v>
      </c>
      <c r="AX40" s="18" t="str">
        <f>VLOOKUP(AW40,'Axe 2 Règles de gestion'!$D$2:$F$41,3, FALSE)</f>
        <v>La date de début de position doit être antérieure ou égale à la date de fin prévisionnelle de position.</v>
      </c>
      <c r="AY40" s="17" t="s">
        <v>115</v>
      </c>
      <c r="AZ40" s="18" t="str">
        <f>VLOOKUP(AY40,'Axe 2 Règles de gestion'!$D$2:$F$41,3, FALSE)</f>
        <v>La date de fin réelle de la position doit être antérieure à la date limite de départ à la retraite.</v>
      </c>
      <c r="BA40" s="17" t="s">
        <v>117</v>
      </c>
      <c r="BB40" s="18" t="str">
        <f>VLOOKUP(BA40,'Axe 2 Règles de gestion'!$D$2:$F$41,3, FALSE)</f>
        <v>La date de fin prévisionnelle de la position doit être antérieure à la date limite de départ à la retraite.</v>
      </c>
      <c r="BC40" s="17" t="s">
        <v>119</v>
      </c>
      <c r="BD40" s="18" t="str">
        <f>VLOOKUP(BC40,'Axe 2 Règles de gestion'!$D$2:$F$41,3, FALSE)</f>
        <v>Les champs "Type d'organisme d'origine", "Catégorie statutaire d'origine" et "Pays" de l'organisme d'origine doivent être renseignés.</v>
      </c>
      <c r="BE40" s="17" t="s">
        <v>121</v>
      </c>
      <c r="BF40" s="18" t="str">
        <f>VLOOKUP(BE40,'Axe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40" s="17" t="s">
        <v>123</v>
      </c>
      <c r="BH40" s="18" t="str">
        <f>VLOOKUP(BG40,'Axe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40" s="17" t="s">
        <v>125</v>
      </c>
      <c r="BJ40" s="18" t="str">
        <f>VLOOKUP(BI40,'Axe 2 Règles de gestion'!$D$2:$F$41,3, FALSE)</f>
        <v>Le champ "Code emploi statutaire FPT (NET)" est renseigné si le "Type d'organisme d'origine" est valorisé à FPT.</v>
      </c>
      <c r="BK40" s="17" t="s">
        <v>127</v>
      </c>
      <c r="BL40" s="18" t="str">
        <f>VLOOKUP(BK40,'Axe 2 Règles de gestion'!$D$2:$F$41,3, FALSE)</f>
        <v>Le champ "Code emploi statutaire FPH (NEH)" est renseigné si le "Type d'organisme d'origine" est valorisé à FPH.</v>
      </c>
      <c r="BM40" s="17"/>
      <c r="BN40" s="18"/>
      <c r="BO40" s="17"/>
      <c r="BP40" s="18"/>
      <c r="BQ40" s="14" t="s">
        <v>84</v>
      </c>
      <c r="BR40" s="16" t="s">
        <v>84</v>
      </c>
    </row>
    <row r="41" spans="1:70" ht="90" x14ac:dyDescent="0.25">
      <c r="A41" s="14" t="s">
        <v>133</v>
      </c>
      <c r="B41" s="14" t="s">
        <v>72</v>
      </c>
      <c r="C41" s="15">
        <v>43999.652083333334</v>
      </c>
      <c r="D41" s="14" t="s">
        <v>73</v>
      </c>
      <c r="E41" s="16" t="s">
        <v>74</v>
      </c>
      <c r="F41" s="14" t="s">
        <v>75</v>
      </c>
      <c r="G41" s="16" t="s">
        <v>76</v>
      </c>
      <c r="H41" s="14" t="s">
        <v>164</v>
      </c>
      <c r="I41" s="16" t="s">
        <v>165</v>
      </c>
      <c r="J41" s="16" t="s">
        <v>166</v>
      </c>
      <c r="K41" s="16" t="s">
        <v>167</v>
      </c>
      <c r="L41" s="14" t="s">
        <v>168</v>
      </c>
      <c r="M41" s="16" t="s">
        <v>169</v>
      </c>
      <c r="N41" s="14" t="s">
        <v>83</v>
      </c>
      <c r="O41" s="16" t="s">
        <v>84</v>
      </c>
      <c r="P41" s="16" t="s">
        <v>84</v>
      </c>
      <c r="Q41" s="16" t="s">
        <v>148</v>
      </c>
      <c r="R41" s="14" t="s">
        <v>149</v>
      </c>
      <c r="S41" s="14" t="s">
        <v>150</v>
      </c>
      <c r="T41" s="14" t="s">
        <v>88</v>
      </c>
      <c r="U41" s="14" t="s">
        <v>140</v>
      </c>
      <c r="V41" s="15">
        <v>40725</v>
      </c>
      <c r="W41" s="15">
        <v>43938</v>
      </c>
      <c r="X41" s="16" t="s">
        <v>84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7"/>
      <c r="BF41" s="18"/>
      <c r="BG41" s="17"/>
      <c r="BH41" s="18"/>
      <c r="BI41" s="17"/>
      <c r="BJ41" s="18"/>
      <c r="BK41" s="17"/>
      <c r="BL41" s="18"/>
      <c r="BM41" s="17"/>
      <c r="BN41" s="18"/>
      <c r="BO41" s="17"/>
      <c r="BP41" s="18"/>
      <c r="BQ41" s="14" t="s">
        <v>84</v>
      </c>
      <c r="BR41" s="16" t="s">
        <v>84</v>
      </c>
    </row>
    <row r="42" spans="1:70" ht="90" x14ac:dyDescent="0.25">
      <c r="A42" s="14" t="s">
        <v>133</v>
      </c>
      <c r="B42" s="14" t="s">
        <v>72</v>
      </c>
      <c r="C42" s="15">
        <v>43999.65</v>
      </c>
      <c r="D42" s="14" t="s">
        <v>73</v>
      </c>
      <c r="E42" s="16" t="s">
        <v>74</v>
      </c>
      <c r="F42" s="14" t="s">
        <v>75</v>
      </c>
      <c r="G42" s="16" t="s">
        <v>76</v>
      </c>
      <c r="H42" s="14" t="s">
        <v>164</v>
      </c>
      <c r="I42" s="16" t="s">
        <v>165</v>
      </c>
      <c r="J42" s="16" t="s">
        <v>166</v>
      </c>
      <c r="K42" s="16" t="s">
        <v>167</v>
      </c>
      <c r="L42" s="14" t="s">
        <v>170</v>
      </c>
      <c r="M42" s="16" t="s">
        <v>171</v>
      </c>
      <c r="N42" s="14" t="s">
        <v>136</v>
      </c>
      <c r="O42" s="16" t="s">
        <v>84</v>
      </c>
      <c r="P42" s="16" t="s">
        <v>84</v>
      </c>
      <c r="Q42" s="16" t="s">
        <v>148</v>
      </c>
      <c r="R42" s="14" t="s">
        <v>149</v>
      </c>
      <c r="S42" s="14" t="s">
        <v>150</v>
      </c>
      <c r="T42" s="14" t="s">
        <v>88</v>
      </c>
      <c r="U42" s="14" t="s">
        <v>140</v>
      </c>
      <c r="V42" s="15">
        <v>40725</v>
      </c>
      <c r="W42" s="15">
        <v>43938</v>
      </c>
      <c r="X42" s="16" t="s">
        <v>84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7"/>
      <c r="BF42" s="18"/>
      <c r="BG42" s="17"/>
      <c r="BH42" s="18"/>
      <c r="BI42" s="17"/>
      <c r="BJ42" s="18"/>
      <c r="BK42" s="17"/>
      <c r="BL42" s="18"/>
      <c r="BM42" s="17"/>
      <c r="BN42" s="18"/>
      <c r="BO42" s="17"/>
      <c r="BP42" s="18"/>
      <c r="BQ42" s="14" t="s">
        <v>84</v>
      </c>
      <c r="BR42" s="16" t="s">
        <v>84</v>
      </c>
    </row>
    <row r="43" spans="1:70" ht="90" x14ac:dyDescent="0.25">
      <c r="A43" s="14" t="s">
        <v>133</v>
      </c>
      <c r="B43" s="14" t="s">
        <v>72</v>
      </c>
      <c r="C43" s="15">
        <v>43999.651388888888</v>
      </c>
      <c r="D43" s="14" t="s">
        <v>73</v>
      </c>
      <c r="E43" s="16" t="s">
        <v>74</v>
      </c>
      <c r="F43" s="14" t="s">
        <v>75</v>
      </c>
      <c r="G43" s="16" t="s">
        <v>76</v>
      </c>
      <c r="H43" s="14" t="s">
        <v>164</v>
      </c>
      <c r="I43" s="16" t="s">
        <v>165</v>
      </c>
      <c r="J43" s="16" t="s">
        <v>166</v>
      </c>
      <c r="K43" s="16" t="s">
        <v>167</v>
      </c>
      <c r="L43" s="14" t="s">
        <v>168</v>
      </c>
      <c r="M43" s="16" t="s">
        <v>169</v>
      </c>
      <c r="N43" s="14" t="s">
        <v>83</v>
      </c>
      <c r="O43" s="16" t="s">
        <v>84</v>
      </c>
      <c r="P43" s="16" t="s">
        <v>84</v>
      </c>
      <c r="Q43" s="16" t="s">
        <v>151</v>
      </c>
      <c r="R43" s="14" t="s">
        <v>152</v>
      </c>
      <c r="S43" s="14" t="s">
        <v>87</v>
      </c>
      <c r="T43" s="14" t="s">
        <v>153</v>
      </c>
      <c r="U43" s="14" t="s">
        <v>140</v>
      </c>
      <c r="V43" s="15">
        <v>40725</v>
      </c>
      <c r="W43" s="15">
        <v>43938</v>
      </c>
      <c r="X43" s="16" t="s">
        <v>84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7"/>
      <c r="BF43" s="18"/>
      <c r="BG43" s="17"/>
      <c r="BH43" s="18"/>
      <c r="BI43" s="17"/>
      <c r="BJ43" s="18"/>
      <c r="BK43" s="17"/>
      <c r="BL43" s="18"/>
      <c r="BM43" s="17"/>
      <c r="BN43" s="18"/>
      <c r="BO43" s="17"/>
      <c r="BP43" s="18"/>
      <c r="BQ43" s="14" t="s">
        <v>84</v>
      </c>
      <c r="BR43" s="16" t="s">
        <v>84</v>
      </c>
    </row>
    <row r="44" spans="1:70" ht="90" x14ac:dyDescent="0.25">
      <c r="A44" s="14" t="s">
        <v>133</v>
      </c>
      <c r="B44" s="14" t="s">
        <v>72</v>
      </c>
      <c r="C44" s="15">
        <v>43999.650694444441</v>
      </c>
      <c r="D44" s="14" t="s">
        <v>73</v>
      </c>
      <c r="E44" s="16" t="s">
        <v>74</v>
      </c>
      <c r="F44" s="14" t="s">
        <v>75</v>
      </c>
      <c r="G44" s="16" t="s">
        <v>76</v>
      </c>
      <c r="H44" s="14" t="s">
        <v>164</v>
      </c>
      <c r="I44" s="16" t="s">
        <v>165</v>
      </c>
      <c r="J44" s="16" t="s">
        <v>166</v>
      </c>
      <c r="K44" s="16" t="s">
        <v>167</v>
      </c>
      <c r="L44" s="14" t="s">
        <v>170</v>
      </c>
      <c r="M44" s="16" t="s">
        <v>171</v>
      </c>
      <c r="N44" s="14" t="s">
        <v>136</v>
      </c>
      <c r="O44" s="16" t="s">
        <v>84</v>
      </c>
      <c r="P44" s="16" t="s">
        <v>84</v>
      </c>
      <c r="Q44" s="16" t="s">
        <v>151</v>
      </c>
      <c r="R44" s="14" t="s">
        <v>152</v>
      </c>
      <c r="S44" s="14" t="s">
        <v>87</v>
      </c>
      <c r="T44" s="14" t="s">
        <v>153</v>
      </c>
      <c r="U44" s="14" t="s">
        <v>140</v>
      </c>
      <c r="V44" s="15">
        <v>40725</v>
      </c>
      <c r="W44" s="15">
        <v>43938</v>
      </c>
      <c r="X44" s="16" t="s">
        <v>84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7"/>
      <c r="AX44" s="18"/>
      <c r="AY44" s="17"/>
      <c r="AZ44" s="18"/>
      <c r="BA44" s="17"/>
      <c r="BB44" s="18"/>
      <c r="BC44" s="17"/>
      <c r="BD44" s="18"/>
      <c r="BE44" s="17"/>
      <c r="BF44" s="18"/>
      <c r="BG44" s="17"/>
      <c r="BH44" s="18"/>
      <c r="BI44" s="17"/>
      <c r="BJ44" s="18"/>
      <c r="BK44" s="17"/>
      <c r="BL44" s="18"/>
      <c r="BM44" s="17"/>
      <c r="BN44" s="18"/>
      <c r="BO44" s="17"/>
      <c r="BP44" s="18"/>
      <c r="BQ44" s="14" t="s">
        <v>84</v>
      </c>
      <c r="BR44" s="16" t="s">
        <v>84</v>
      </c>
    </row>
    <row r="45" spans="1:70" ht="90" x14ac:dyDescent="0.25">
      <c r="A45" s="14" t="s">
        <v>133</v>
      </c>
      <c r="B45" s="14" t="s">
        <v>72</v>
      </c>
      <c r="C45" s="15">
        <v>43999.651388888888</v>
      </c>
      <c r="D45" s="14" t="s">
        <v>73</v>
      </c>
      <c r="E45" s="16" t="s">
        <v>74</v>
      </c>
      <c r="F45" s="14" t="s">
        <v>75</v>
      </c>
      <c r="G45" s="16" t="s">
        <v>76</v>
      </c>
      <c r="H45" s="14" t="s">
        <v>164</v>
      </c>
      <c r="I45" s="16" t="s">
        <v>165</v>
      </c>
      <c r="J45" s="16" t="s">
        <v>166</v>
      </c>
      <c r="K45" s="16" t="s">
        <v>167</v>
      </c>
      <c r="L45" s="14" t="s">
        <v>168</v>
      </c>
      <c r="M45" s="16" t="s">
        <v>169</v>
      </c>
      <c r="N45" s="14" t="s">
        <v>83</v>
      </c>
      <c r="O45" s="16" t="s">
        <v>84</v>
      </c>
      <c r="P45" s="16" t="s">
        <v>84</v>
      </c>
      <c r="Q45" s="16" t="s">
        <v>154</v>
      </c>
      <c r="R45" s="14" t="s">
        <v>155</v>
      </c>
      <c r="S45" s="14" t="s">
        <v>146</v>
      </c>
      <c r="T45" s="14" t="s">
        <v>153</v>
      </c>
      <c r="U45" s="14" t="s">
        <v>140</v>
      </c>
      <c r="V45" s="15">
        <v>40725</v>
      </c>
      <c r="W45" s="15">
        <v>43938</v>
      </c>
      <c r="X45" s="16" t="s">
        <v>84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7"/>
      <c r="AX45" s="18"/>
      <c r="AY45" s="17"/>
      <c r="AZ45" s="18"/>
      <c r="BA45" s="17"/>
      <c r="BB45" s="18"/>
      <c r="BC45" s="17"/>
      <c r="BD45" s="18"/>
      <c r="BE45" s="17"/>
      <c r="BF45" s="18"/>
      <c r="BG45" s="17"/>
      <c r="BH45" s="18"/>
      <c r="BI45" s="17"/>
      <c r="BJ45" s="18"/>
      <c r="BK45" s="17"/>
      <c r="BL45" s="18"/>
      <c r="BM45" s="17"/>
      <c r="BN45" s="18"/>
      <c r="BO45" s="17"/>
      <c r="BP45" s="18"/>
      <c r="BQ45" s="14" t="s">
        <v>84</v>
      </c>
      <c r="BR45" s="16" t="s">
        <v>84</v>
      </c>
    </row>
    <row r="46" spans="1:70" ht="90" x14ac:dyDescent="0.25">
      <c r="A46" s="14" t="s">
        <v>133</v>
      </c>
      <c r="B46" s="14" t="s">
        <v>72</v>
      </c>
      <c r="C46" s="15">
        <v>43999.650694444441</v>
      </c>
      <c r="D46" s="14" t="s">
        <v>73</v>
      </c>
      <c r="E46" s="16" t="s">
        <v>74</v>
      </c>
      <c r="F46" s="14" t="s">
        <v>75</v>
      </c>
      <c r="G46" s="16" t="s">
        <v>76</v>
      </c>
      <c r="H46" s="14" t="s">
        <v>164</v>
      </c>
      <c r="I46" s="16" t="s">
        <v>165</v>
      </c>
      <c r="J46" s="16" t="s">
        <v>166</v>
      </c>
      <c r="K46" s="16" t="s">
        <v>167</v>
      </c>
      <c r="L46" s="14" t="s">
        <v>170</v>
      </c>
      <c r="M46" s="16" t="s">
        <v>171</v>
      </c>
      <c r="N46" s="14" t="s">
        <v>136</v>
      </c>
      <c r="O46" s="16" t="s">
        <v>84</v>
      </c>
      <c r="P46" s="16" t="s">
        <v>84</v>
      </c>
      <c r="Q46" s="16" t="s">
        <v>154</v>
      </c>
      <c r="R46" s="14" t="s">
        <v>155</v>
      </c>
      <c r="S46" s="14" t="s">
        <v>146</v>
      </c>
      <c r="T46" s="14" t="s">
        <v>153</v>
      </c>
      <c r="U46" s="14" t="s">
        <v>140</v>
      </c>
      <c r="V46" s="15">
        <v>40725</v>
      </c>
      <c r="W46" s="15">
        <v>43938</v>
      </c>
      <c r="X46" s="16" t="s">
        <v>84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7"/>
      <c r="AP46" s="18"/>
      <c r="AQ46" s="17"/>
      <c r="AR46" s="18"/>
      <c r="AS46" s="17"/>
      <c r="AT46" s="18"/>
      <c r="AU46" s="17"/>
      <c r="AV46" s="18"/>
      <c r="AW46" s="17"/>
      <c r="AX46" s="18"/>
      <c r="AY46" s="17"/>
      <c r="AZ46" s="18"/>
      <c r="BA46" s="17"/>
      <c r="BB46" s="18"/>
      <c r="BC46" s="17"/>
      <c r="BD46" s="18"/>
      <c r="BE46" s="17"/>
      <c r="BF46" s="18"/>
      <c r="BG46" s="17"/>
      <c r="BH46" s="18"/>
      <c r="BI46" s="17"/>
      <c r="BJ46" s="18"/>
      <c r="BK46" s="17"/>
      <c r="BL46" s="18"/>
      <c r="BM46" s="17"/>
      <c r="BN46" s="18"/>
      <c r="BO46" s="17"/>
      <c r="BP46" s="18"/>
      <c r="BQ46" s="14" t="s">
        <v>84</v>
      </c>
      <c r="BR46" s="16" t="s">
        <v>84</v>
      </c>
    </row>
    <row r="47" spans="1:70" ht="105" x14ac:dyDescent="0.25">
      <c r="A47" s="14" t="s">
        <v>133</v>
      </c>
      <c r="B47" s="14" t="s">
        <v>129</v>
      </c>
      <c r="C47" s="15">
        <v>44005.584722222222</v>
      </c>
      <c r="D47" s="14" t="s">
        <v>73</v>
      </c>
      <c r="E47" s="16" t="s">
        <v>74</v>
      </c>
      <c r="F47" s="14" t="s">
        <v>75</v>
      </c>
      <c r="G47" s="16" t="s">
        <v>76</v>
      </c>
      <c r="H47" s="14" t="s">
        <v>172</v>
      </c>
      <c r="I47" s="16" t="s">
        <v>173</v>
      </c>
      <c r="J47" s="16" t="s">
        <v>174</v>
      </c>
      <c r="K47" s="16" t="s">
        <v>175</v>
      </c>
      <c r="L47" s="14" t="s">
        <v>176</v>
      </c>
      <c r="M47" s="16" t="s">
        <v>177</v>
      </c>
      <c r="N47" s="14" t="s">
        <v>178</v>
      </c>
      <c r="O47" s="16" t="s">
        <v>179</v>
      </c>
      <c r="P47" s="16" t="s">
        <v>180</v>
      </c>
      <c r="Q47" s="16" t="s">
        <v>85</v>
      </c>
      <c r="R47" s="14" t="s">
        <v>86</v>
      </c>
      <c r="S47" s="14" t="s">
        <v>87</v>
      </c>
      <c r="T47" s="14" t="s">
        <v>88</v>
      </c>
      <c r="U47" s="14" t="s">
        <v>89</v>
      </c>
      <c r="V47" s="15">
        <v>43939</v>
      </c>
      <c r="W47" s="15"/>
      <c r="X47" s="16" t="s">
        <v>181</v>
      </c>
      <c r="Y47" s="17" t="s">
        <v>182</v>
      </c>
      <c r="Z47" s="18" t="str">
        <f>VLOOKUP(Y47,'Axe 2 Règles de gestion'!$D$2:$F$41,3, FALSE)</f>
        <v>L'administration d'accueil fait connaître à l'administration d'origine et à l'agent sa décision de renouveler ou non son affectation 4 mois avant le terme de la période.</v>
      </c>
      <c r="AA47" s="17" t="s">
        <v>184</v>
      </c>
      <c r="AB47" s="18" t="str">
        <f>VLOOKUP(AA47,'Axe 2 Règles de gestion'!$D$2:$F$41,3, FALSE)</f>
        <v>Pour les positions normales d'activité prises avant le 18/04/2020, le renouvellement n'est pas possible.</v>
      </c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 t="s">
        <v>186</v>
      </c>
      <c r="AR47" s="18" t="str">
        <f>VLOOKUP(AQ47,'Axe 2 Règles de gestion'!$D$2:$F$41,3, FALSE)</f>
        <v>La durée prévisionnelle de l'affectation en position normale d'activité hors de l'administration d'origine est fixée à 3 ans.</v>
      </c>
      <c r="AS47" s="17" t="s">
        <v>188</v>
      </c>
      <c r="AT47" s="18" t="str">
        <f>VLOOKUP(AS47,'Axe 2 Règles de gestion'!$D$2:$F$41,3, FALSE)</f>
        <v>La durée réelle de l'affectation en position normale d'activité hors de l'administration d'origine est fixée à 3 ans.</v>
      </c>
      <c r="AU47" s="17"/>
      <c r="AV47" s="18"/>
      <c r="AW47" s="17"/>
      <c r="AX47" s="18"/>
      <c r="AY47" s="17"/>
      <c r="AZ47" s="18"/>
      <c r="BA47" s="17"/>
      <c r="BB47" s="18"/>
      <c r="BC47" s="17"/>
      <c r="BD47" s="18"/>
      <c r="BE47" s="17"/>
      <c r="BF47" s="18"/>
      <c r="BG47" s="17"/>
      <c r="BH47" s="18"/>
      <c r="BI47" s="17"/>
      <c r="BJ47" s="18"/>
      <c r="BK47" s="17"/>
      <c r="BL47" s="18"/>
      <c r="BM47" s="17"/>
      <c r="BN47" s="18"/>
      <c r="BO47" s="17"/>
      <c r="BP47" s="18"/>
      <c r="BQ47" s="14" t="s">
        <v>84</v>
      </c>
      <c r="BR47" s="16" t="s">
        <v>84</v>
      </c>
    </row>
    <row r="48" spans="1:70" ht="165" x14ac:dyDescent="0.25">
      <c r="A48" s="14" t="s">
        <v>71</v>
      </c>
      <c r="B48" s="14" t="s">
        <v>72</v>
      </c>
      <c r="C48" s="15">
        <v>44711.451388888891</v>
      </c>
      <c r="D48" s="14" t="s">
        <v>73</v>
      </c>
      <c r="E48" s="16" t="s">
        <v>74</v>
      </c>
      <c r="F48" s="14" t="s">
        <v>75</v>
      </c>
      <c r="G48" s="16" t="s">
        <v>76</v>
      </c>
      <c r="H48" s="14" t="s">
        <v>172</v>
      </c>
      <c r="I48" s="16" t="s">
        <v>173</v>
      </c>
      <c r="J48" s="16" t="s">
        <v>174</v>
      </c>
      <c r="K48" s="16" t="s">
        <v>175</v>
      </c>
      <c r="L48" s="14" t="s">
        <v>190</v>
      </c>
      <c r="M48" s="16" t="s">
        <v>191</v>
      </c>
      <c r="N48" s="14" t="s">
        <v>178</v>
      </c>
      <c r="O48" s="16" t="s">
        <v>192</v>
      </c>
      <c r="P48" s="16" t="s">
        <v>193</v>
      </c>
      <c r="Q48" s="16" t="s">
        <v>85</v>
      </c>
      <c r="R48" s="14" t="s">
        <v>86</v>
      </c>
      <c r="S48" s="14" t="s">
        <v>87</v>
      </c>
      <c r="T48" s="14" t="s">
        <v>88</v>
      </c>
      <c r="U48" s="14" t="s">
        <v>89</v>
      </c>
      <c r="V48" s="15">
        <v>43939</v>
      </c>
      <c r="W48" s="15"/>
      <c r="X48" s="16" t="s">
        <v>194</v>
      </c>
      <c r="Y48" s="17" t="s">
        <v>91</v>
      </c>
      <c r="Z48" s="18" t="str">
        <f>VLOOKUP(Y48,'Axe 2 Règles de gestion'!$D$2:$F$41,3, FALSE)</f>
        <v>L'agent doit effectuer une demande.</v>
      </c>
      <c r="AA48" s="17" t="s">
        <v>93</v>
      </c>
      <c r="AB48" s="18" t="str">
        <f>VLOOKUP(AA48,'Axe 2 Règles de gestion'!$D$2:$F$41,3, FALSE)</f>
        <v>L'affectation intervient à l'initiative de l'agent ou de l'administration.</v>
      </c>
      <c r="AC48" s="17" t="s">
        <v>131</v>
      </c>
      <c r="AD48" s="18" t="str">
        <f>VLOOKUP(AC48,'Axe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48" s="17" t="s">
        <v>97</v>
      </c>
      <c r="AF48" s="18" t="str">
        <f>VLOOKUP(AE48,'Axe 2 Règles de gestion'!$D$2:$F$41,3, FALSE)</f>
        <v>Un avis conforme de l'administration d'accueil a préalablement été transmis à l'administration d'origine sauf dans le cadre d'un transfert de service.</v>
      </c>
      <c r="AG48" s="17" t="s">
        <v>99</v>
      </c>
      <c r="AH48" s="18" t="str">
        <f>VLOOKUP(AG48,'Axe 2 Règles de gestion'!$D$2:$F$41,3, FALSE)</f>
        <v>Lorsque l'affectation de l'agent est prononcée dans un établissement public, le ministère de tutelle en est préalablement informé.</v>
      </c>
      <c r="AI48" s="17" t="s">
        <v>103</v>
      </c>
      <c r="AJ48" s="18" t="str">
        <f>VLOOKUP(AI48,'Axe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48" s="17" t="s">
        <v>105</v>
      </c>
      <c r="AL48" s="18" t="str">
        <f>VLOOKUP(AK48,'Axe 2 Règles de gestion'!$D$2:$F$41,3, FALSE)</f>
        <v>Le silence de l'administration gardé pendant 2 mois à compter de la réception de la demande de l'agent vaut acceptation.</v>
      </c>
      <c r="AM48" s="17" t="s">
        <v>195</v>
      </c>
      <c r="AN48" s="18" t="str">
        <f>VLOOKUP(AM48,'Axe 2 Règles de gestion'!$D$2:$F$41,3, FALSE)</f>
        <v>Pour les positions normales d'activité prises avant le 18/04/2020, la limitation de durée ne s'applique pas.</v>
      </c>
      <c r="AO48" s="17"/>
      <c r="AP48" s="18"/>
      <c r="AQ48" s="17" t="s">
        <v>186</v>
      </c>
      <c r="AR48" s="18" t="str">
        <f>VLOOKUP(AQ48,'Axe 2 Règles de gestion'!$D$2:$F$41,3, FALSE)</f>
        <v>La durée prévisionnelle de l'affectation en position normale d'activité hors de l'administration d'origine est fixée à 3 ans.</v>
      </c>
      <c r="AS48" s="17" t="s">
        <v>188</v>
      </c>
      <c r="AT48" s="18" t="str">
        <f>VLOOKUP(AS48,'Axe 2 Règles de gestion'!$D$2:$F$41,3, FALSE)</f>
        <v>La durée réelle de l'affectation en position normale d'activité hors de l'administration d'origine est fixée à 3 ans.</v>
      </c>
      <c r="AU48" s="17" t="s">
        <v>107</v>
      </c>
      <c r="AV48" s="18" t="str">
        <f>VLOOKUP(AU48,'Axe 2 Règles de gestion'!$D$2:$F$41,3, FALSE)</f>
        <v>La date de début de la position doit être postérieure ou égale à la date d'entrée dans la FPE ou dans la carrière militaire.</v>
      </c>
      <c r="AW48" s="17" t="s">
        <v>109</v>
      </c>
      <c r="AX48" s="18" t="str">
        <f>VLOOKUP(AW48,'Axe 2 Règles de gestion'!$D$2:$F$41,3, FALSE)</f>
        <v>La date de début de position est à J+1 de la date de fin de position de l'occurrence précédente.</v>
      </c>
      <c r="AY48" s="17" t="s">
        <v>111</v>
      </c>
      <c r="AZ48" s="18" t="str">
        <f>VLOOKUP(AY48,'Axe 2 Règles de gestion'!$D$2:$F$41,3, FALSE)</f>
        <v>La date de début de position doit être antérieure ou égale à la date de fin réelle de position.</v>
      </c>
      <c r="BA48" s="17" t="s">
        <v>113</v>
      </c>
      <c r="BB48" s="18" t="str">
        <f>VLOOKUP(BA48,'Axe 2 Règles de gestion'!$D$2:$F$41,3, FALSE)</f>
        <v>La date de début de position doit être antérieure ou égale à la date de fin prévisionnelle de position.</v>
      </c>
      <c r="BC48" s="17" t="s">
        <v>115</v>
      </c>
      <c r="BD48" s="18" t="str">
        <f>VLOOKUP(BC48,'Axe 2 Règles de gestion'!$D$2:$F$41,3, FALSE)</f>
        <v>La date de fin réelle de la position doit être antérieure à la date limite de départ à la retraite.</v>
      </c>
      <c r="BE48" s="17" t="s">
        <v>117</v>
      </c>
      <c r="BF48" s="18" t="str">
        <f>VLOOKUP(BE48,'Axe 2 Règles de gestion'!$D$2:$F$41,3, FALSE)</f>
        <v>La date de fin prévisionnelle de la position doit être antérieure à la date limite de départ à la retraite.</v>
      </c>
      <c r="BG48" s="17" t="s">
        <v>119</v>
      </c>
      <c r="BH48" s="18" t="str">
        <f>VLOOKUP(BG48,'Axe 2 Règles de gestion'!$D$2:$F$41,3, FALSE)</f>
        <v>Les champs "Type d'organisme d'origine", "Catégorie statutaire d'origine" et "Pays" de l'organisme d'origine doivent être renseignés.</v>
      </c>
      <c r="BI48" s="17" t="s">
        <v>121</v>
      </c>
      <c r="BJ48" s="18" t="str">
        <f>VLOOKUP(BI48,'Axe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48" s="17" t="s">
        <v>123</v>
      </c>
      <c r="BL48" s="18" t="str">
        <f>VLOOKUP(BK48,'Axe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48" s="17" t="s">
        <v>125</v>
      </c>
      <c r="BN48" s="18" t="str">
        <f>VLOOKUP(BM48,'Axe 2 Règles de gestion'!$D$2:$F$41,3, FALSE)</f>
        <v>Le champ "Code emploi statutaire FPT (NET)" est renseigné si le "Type d'organisme d'origine" est valorisé à FPT.</v>
      </c>
      <c r="BO48" s="17" t="s">
        <v>127</v>
      </c>
      <c r="BP48" s="18" t="str">
        <f>VLOOKUP(BO48,'Axe 2 Règles de gestion'!$D$2:$F$41,3, FALSE)</f>
        <v>Le champ "Code emploi statutaire FPH (NEH)" est renseigné si le "Type d'organisme d'origine" est valorisé à FPH.</v>
      </c>
      <c r="BQ48" s="14" t="s">
        <v>84</v>
      </c>
      <c r="BR48" s="16" t="s">
        <v>84</v>
      </c>
    </row>
    <row r="49" spans="1:70" ht="135" x14ac:dyDescent="0.25">
      <c r="A49" s="14" t="s">
        <v>133</v>
      </c>
      <c r="B49" s="14" t="s">
        <v>129</v>
      </c>
      <c r="C49" s="15">
        <v>44721.45416666667</v>
      </c>
      <c r="D49" s="14" t="s">
        <v>73</v>
      </c>
      <c r="E49" s="16" t="s">
        <v>74</v>
      </c>
      <c r="F49" s="14" t="s">
        <v>75</v>
      </c>
      <c r="G49" s="16" t="s">
        <v>76</v>
      </c>
      <c r="H49" s="14" t="s">
        <v>172</v>
      </c>
      <c r="I49" s="16" t="s">
        <v>173</v>
      </c>
      <c r="J49" s="16" t="s">
        <v>174</v>
      </c>
      <c r="K49" s="16" t="s">
        <v>175</v>
      </c>
      <c r="L49" s="14" t="s">
        <v>197</v>
      </c>
      <c r="M49" s="16" t="s">
        <v>198</v>
      </c>
      <c r="N49" s="14" t="s">
        <v>136</v>
      </c>
      <c r="O49" s="16" t="s">
        <v>199</v>
      </c>
      <c r="P49" s="16" t="s">
        <v>200</v>
      </c>
      <c r="Q49" s="16" t="s">
        <v>85</v>
      </c>
      <c r="R49" s="14" t="s">
        <v>86</v>
      </c>
      <c r="S49" s="14" t="s">
        <v>87</v>
      </c>
      <c r="T49" s="14" t="s">
        <v>88</v>
      </c>
      <c r="U49" s="14" t="s">
        <v>89</v>
      </c>
      <c r="V49" s="15">
        <v>43939</v>
      </c>
      <c r="W49" s="15"/>
      <c r="X49" s="16" t="s">
        <v>201</v>
      </c>
      <c r="Y49" s="17" t="s">
        <v>182</v>
      </c>
      <c r="Z49" s="18" t="str">
        <f>VLOOKUP(Y49,'Axe 2 Règles de gestion'!$D$2:$F$41,3, FALSE)</f>
        <v>L'administration d'accueil fait connaître à l'administration d'origine et à l'agent sa décision de renouveler ou non son affectation 4 mois avant le terme de la période.</v>
      </c>
      <c r="AA49" s="17" t="s">
        <v>202</v>
      </c>
      <c r="AB49" s="18" t="str">
        <f>VLOOKUP(AA49,'Axe 2 Règles de gestion'!$D$2:$F$41,3, FALSE)</f>
        <v>Lorsque l'administration d'accueil décide de ne pas renouveler l'affectation, l'agent est réintégré dans le département ministériel dont il relève, au besoin en surnombre.</v>
      </c>
      <c r="AC49" s="17" t="s">
        <v>195</v>
      </c>
      <c r="AD49" s="18" t="str">
        <f>VLOOKUP(AC49,'Axe 2 Règles de gestion'!$D$2:$F$41,3, FALSE)</f>
        <v>Pour les positions normales d'activité prises avant le 18/04/2020, la limitation de durée ne s'applique pas.</v>
      </c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 t="s">
        <v>186</v>
      </c>
      <c r="AR49" s="18" t="str">
        <f>VLOOKUP(AQ49,'Axe 2 Règles de gestion'!$D$2:$F$41,3, FALSE)</f>
        <v>La durée prévisionnelle de l'affectation en position normale d'activité hors de l'administration d'origine est fixée à 3 ans.</v>
      </c>
      <c r="AS49" s="17" t="s">
        <v>188</v>
      </c>
      <c r="AT49" s="18" t="str">
        <f>VLOOKUP(AS49,'Axe 2 Règles de gestion'!$D$2:$F$41,3, FALSE)</f>
        <v>La durée réelle de l'affectation en position normale d'activité hors de l'administration d'origine est fixée à 3 ans.</v>
      </c>
      <c r="AU49" s="17" t="s">
        <v>111</v>
      </c>
      <c r="AV49" s="18" t="str">
        <f>VLOOKUP(AU49,'Axe 2 Règles de gestion'!$D$2:$F$41,3, FALSE)</f>
        <v>La date de début de position doit être antérieure ou égale à la date de fin réelle de position.</v>
      </c>
      <c r="AW49" s="17" t="s">
        <v>113</v>
      </c>
      <c r="AX49" s="18" t="str">
        <f>VLOOKUP(AW49,'Axe 2 Règles de gestion'!$D$2:$F$41,3, FALSE)</f>
        <v>La date de début de position doit être antérieure ou égale à la date de fin prévisionnelle de position.</v>
      </c>
      <c r="AY49" s="17" t="s">
        <v>115</v>
      </c>
      <c r="AZ49" s="18" t="str">
        <f>VLOOKUP(AY49,'Axe 2 Règles de gestion'!$D$2:$F$41,3, FALSE)</f>
        <v>La date de fin réelle de la position doit être antérieure à la date limite de départ à la retraite.</v>
      </c>
      <c r="BA49" s="17" t="s">
        <v>117</v>
      </c>
      <c r="BB49" s="18" t="str">
        <f>VLOOKUP(BA49,'Axe 2 Règles de gestion'!$D$2:$F$41,3, FALSE)</f>
        <v>La date de fin prévisionnelle de la position doit être antérieure à la date limite de départ à la retraite.</v>
      </c>
      <c r="BC49" s="17" t="s">
        <v>119</v>
      </c>
      <c r="BD49" s="18" t="str">
        <f>VLOOKUP(BC49,'Axe 2 Règles de gestion'!$D$2:$F$41,3, FALSE)</f>
        <v>Les champs "Type d'organisme d'origine", "Catégorie statutaire d'origine" et "Pays" de l'organisme d'origine doivent être renseignés.</v>
      </c>
      <c r="BE49" s="17" t="s">
        <v>121</v>
      </c>
      <c r="BF49" s="18" t="str">
        <f>VLOOKUP(BE49,'Axe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49" s="17" t="s">
        <v>123</v>
      </c>
      <c r="BH49" s="18" t="str">
        <f>VLOOKUP(BG49,'Axe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49" s="17" t="s">
        <v>125</v>
      </c>
      <c r="BJ49" s="18" t="str">
        <f>VLOOKUP(BI49,'Axe 2 Règles de gestion'!$D$2:$F$41,3, FALSE)</f>
        <v>Le champ "Code emploi statutaire FPT (NET)" est renseigné si le "Type d'organisme d'origine" est valorisé à FPT.</v>
      </c>
      <c r="BK49" s="17" t="s">
        <v>127</v>
      </c>
      <c r="BL49" s="18" t="str">
        <f>VLOOKUP(BK49,'Axe 2 Règles de gestion'!$D$2:$F$41,3, FALSE)</f>
        <v>Le champ "Code emploi statutaire FPH (NEH)" est renseigné si le "Type d'organisme d'origine" est valorisé à FPH.</v>
      </c>
      <c r="BM49" s="17"/>
      <c r="BN49" s="18"/>
      <c r="BO49" s="17"/>
      <c r="BP49" s="18"/>
      <c r="BQ49" s="14" t="s">
        <v>84</v>
      </c>
      <c r="BR49" s="16" t="s">
        <v>84</v>
      </c>
    </row>
    <row r="50" spans="1:70" ht="75" x14ac:dyDescent="0.25">
      <c r="A50" s="14" t="s">
        <v>133</v>
      </c>
      <c r="B50" s="14" t="s">
        <v>129</v>
      </c>
      <c r="C50" s="15">
        <v>43999.673611111109</v>
      </c>
      <c r="D50" s="14" t="s">
        <v>73</v>
      </c>
      <c r="E50" s="16" t="s">
        <v>74</v>
      </c>
      <c r="F50" s="14" t="s">
        <v>75</v>
      </c>
      <c r="G50" s="16" t="s">
        <v>76</v>
      </c>
      <c r="H50" s="14" t="s">
        <v>172</v>
      </c>
      <c r="I50" s="16" t="s">
        <v>173</v>
      </c>
      <c r="J50" s="16" t="s">
        <v>174</v>
      </c>
      <c r="K50" s="16" t="s">
        <v>175</v>
      </c>
      <c r="L50" s="14" t="s">
        <v>176</v>
      </c>
      <c r="M50" s="16" t="s">
        <v>177</v>
      </c>
      <c r="N50" s="14" t="s">
        <v>178</v>
      </c>
      <c r="O50" s="16" t="s">
        <v>179</v>
      </c>
      <c r="P50" s="16" t="s">
        <v>180</v>
      </c>
      <c r="Q50" s="16" t="s">
        <v>138</v>
      </c>
      <c r="R50" s="14" t="s">
        <v>139</v>
      </c>
      <c r="S50" s="14" t="s">
        <v>72</v>
      </c>
      <c r="T50" s="14" t="s">
        <v>88</v>
      </c>
      <c r="U50" s="14" t="s">
        <v>140</v>
      </c>
      <c r="V50" s="15">
        <v>43939</v>
      </c>
      <c r="W50" s="15"/>
      <c r="X50" s="16" t="s">
        <v>84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7"/>
      <c r="AX50" s="18"/>
      <c r="AY50" s="17"/>
      <c r="AZ50" s="18"/>
      <c r="BA50" s="17"/>
      <c r="BB50" s="18"/>
      <c r="BC50" s="17"/>
      <c r="BD50" s="18"/>
      <c r="BE50" s="17"/>
      <c r="BF50" s="18"/>
      <c r="BG50" s="17"/>
      <c r="BH50" s="18"/>
      <c r="BI50" s="17"/>
      <c r="BJ50" s="18"/>
      <c r="BK50" s="17"/>
      <c r="BL50" s="18"/>
      <c r="BM50" s="17"/>
      <c r="BN50" s="18"/>
      <c r="BO50" s="17"/>
      <c r="BP50" s="18"/>
      <c r="BQ50" s="14" t="s">
        <v>84</v>
      </c>
      <c r="BR50" s="16" t="s">
        <v>84</v>
      </c>
    </row>
    <row r="51" spans="1:70" ht="75" x14ac:dyDescent="0.25">
      <c r="A51" s="14" t="s">
        <v>133</v>
      </c>
      <c r="B51" s="14" t="s">
        <v>129</v>
      </c>
      <c r="C51" s="15">
        <v>43999.670138888891</v>
      </c>
      <c r="D51" s="14" t="s">
        <v>73</v>
      </c>
      <c r="E51" s="16" t="s">
        <v>74</v>
      </c>
      <c r="F51" s="14" t="s">
        <v>75</v>
      </c>
      <c r="G51" s="16" t="s">
        <v>76</v>
      </c>
      <c r="H51" s="14" t="s">
        <v>172</v>
      </c>
      <c r="I51" s="16" t="s">
        <v>173</v>
      </c>
      <c r="J51" s="16" t="s">
        <v>174</v>
      </c>
      <c r="K51" s="16" t="s">
        <v>175</v>
      </c>
      <c r="L51" s="14" t="s">
        <v>190</v>
      </c>
      <c r="M51" s="16" t="s">
        <v>191</v>
      </c>
      <c r="N51" s="14" t="s">
        <v>178</v>
      </c>
      <c r="O51" s="16" t="s">
        <v>192</v>
      </c>
      <c r="P51" s="16" t="s">
        <v>193</v>
      </c>
      <c r="Q51" s="16" t="s">
        <v>138</v>
      </c>
      <c r="R51" s="14" t="s">
        <v>139</v>
      </c>
      <c r="S51" s="14" t="s">
        <v>72</v>
      </c>
      <c r="T51" s="14" t="s">
        <v>88</v>
      </c>
      <c r="U51" s="14" t="s">
        <v>140</v>
      </c>
      <c r="V51" s="15">
        <v>43939</v>
      </c>
      <c r="W51" s="15"/>
      <c r="X51" s="16" t="s">
        <v>84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/>
      <c r="AP51" s="18"/>
      <c r="AQ51" s="17"/>
      <c r="AR51" s="18"/>
      <c r="AS51" s="17"/>
      <c r="AT51" s="18"/>
      <c r="AU51" s="17"/>
      <c r="AV51" s="18"/>
      <c r="AW51" s="17"/>
      <c r="AX51" s="18"/>
      <c r="AY51" s="17"/>
      <c r="AZ51" s="18"/>
      <c r="BA51" s="17"/>
      <c r="BB51" s="18"/>
      <c r="BC51" s="17"/>
      <c r="BD51" s="18"/>
      <c r="BE51" s="17"/>
      <c r="BF51" s="18"/>
      <c r="BG51" s="17"/>
      <c r="BH51" s="18"/>
      <c r="BI51" s="17"/>
      <c r="BJ51" s="18"/>
      <c r="BK51" s="17"/>
      <c r="BL51" s="18"/>
      <c r="BM51" s="17"/>
      <c r="BN51" s="18"/>
      <c r="BO51" s="17"/>
      <c r="BP51" s="18"/>
      <c r="BQ51" s="14" t="s">
        <v>84</v>
      </c>
      <c r="BR51" s="16" t="s">
        <v>84</v>
      </c>
    </row>
    <row r="52" spans="1:70" ht="75" x14ac:dyDescent="0.25">
      <c r="A52" s="14" t="s">
        <v>133</v>
      </c>
      <c r="B52" s="14" t="s">
        <v>129</v>
      </c>
      <c r="C52" s="15">
        <v>43999.671527777777</v>
      </c>
      <c r="D52" s="14" t="s">
        <v>73</v>
      </c>
      <c r="E52" s="16" t="s">
        <v>74</v>
      </c>
      <c r="F52" s="14" t="s">
        <v>75</v>
      </c>
      <c r="G52" s="16" t="s">
        <v>76</v>
      </c>
      <c r="H52" s="14" t="s">
        <v>172</v>
      </c>
      <c r="I52" s="16" t="s">
        <v>173</v>
      </c>
      <c r="J52" s="16" t="s">
        <v>174</v>
      </c>
      <c r="K52" s="16" t="s">
        <v>175</v>
      </c>
      <c r="L52" s="14" t="s">
        <v>197</v>
      </c>
      <c r="M52" s="16" t="s">
        <v>198</v>
      </c>
      <c r="N52" s="14" t="s">
        <v>136</v>
      </c>
      <c r="O52" s="16" t="s">
        <v>199</v>
      </c>
      <c r="P52" s="16" t="s">
        <v>200</v>
      </c>
      <c r="Q52" s="16" t="s">
        <v>138</v>
      </c>
      <c r="R52" s="14" t="s">
        <v>139</v>
      </c>
      <c r="S52" s="14" t="s">
        <v>72</v>
      </c>
      <c r="T52" s="14" t="s">
        <v>88</v>
      </c>
      <c r="U52" s="14" t="s">
        <v>140</v>
      </c>
      <c r="V52" s="15">
        <v>43939</v>
      </c>
      <c r="W52" s="15"/>
      <c r="X52" s="16" t="s">
        <v>84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7"/>
      <c r="AZ52" s="18"/>
      <c r="BA52" s="17"/>
      <c r="BB52" s="18"/>
      <c r="BC52" s="17"/>
      <c r="BD52" s="18"/>
      <c r="BE52" s="17"/>
      <c r="BF52" s="18"/>
      <c r="BG52" s="17"/>
      <c r="BH52" s="18"/>
      <c r="BI52" s="17"/>
      <c r="BJ52" s="18"/>
      <c r="BK52" s="17"/>
      <c r="BL52" s="18"/>
      <c r="BM52" s="17"/>
      <c r="BN52" s="18"/>
      <c r="BO52" s="17"/>
      <c r="BP52" s="18"/>
      <c r="BQ52" s="14" t="s">
        <v>84</v>
      </c>
      <c r="BR52" s="16" t="s">
        <v>84</v>
      </c>
    </row>
    <row r="53" spans="1:70" ht="75" x14ac:dyDescent="0.25">
      <c r="A53" s="14" t="s">
        <v>133</v>
      </c>
      <c r="B53" s="14" t="s">
        <v>129</v>
      </c>
      <c r="C53" s="15">
        <v>43999.673611111109</v>
      </c>
      <c r="D53" s="14" t="s">
        <v>73</v>
      </c>
      <c r="E53" s="16" t="s">
        <v>74</v>
      </c>
      <c r="F53" s="14" t="s">
        <v>75</v>
      </c>
      <c r="G53" s="16" t="s">
        <v>76</v>
      </c>
      <c r="H53" s="14" t="s">
        <v>172</v>
      </c>
      <c r="I53" s="16" t="s">
        <v>173</v>
      </c>
      <c r="J53" s="16" t="s">
        <v>174</v>
      </c>
      <c r="K53" s="16" t="s">
        <v>175</v>
      </c>
      <c r="L53" s="14" t="s">
        <v>176</v>
      </c>
      <c r="M53" s="16" t="s">
        <v>177</v>
      </c>
      <c r="N53" s="14" t="s">
        <v>178</v>
      </c>
      <c r="O53" s="16" t="s">
        <v>179</v>
      </c>
      <c r="P53" s="16" t="s">
        <v>180</v>
      </c>
      <c r="Q53" s="16" t="s">
        <v>141</v>
      </c>
      <c r="R53" s="14" t="s">
        <v>142</v>
      </c>
      <c r="S53" s="14" t="s">
        <v>143</v>
      </c>
      <c r="T53" s="14" t="s">
        <v>88</v>
      </c>
      <c r="U53" s="14" t="s">
        <v>140</v>
      </c>
      <c r="V53" s="15">
        <v>43939</v>
      </c>
      <c r="W53" s="15"/>
      <c r="X53" s="16" t="s">
        <v>84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7"/>
      <c r="AZ53" s="18"/>
      <c r="BA53" s="17"/>
      <c r="BB53" s="18"/>
      <c r="BC53" s="17"/>
      <c r="BD53" s="18"/>
      <c r="BE53" s="17"/>
      <c r="BF53" s="18"/>
      <c r="BG53" s="17"/>
      <c r="BH53" s="18"/>
      <c r="BI53" s="17"/>
      <c r="BJ53" s="18"/>
      <c r="BK53" s="17"/>
      <c r="BL53" s="18"/>
      <c r="BM53" s="17"/>
      <c r="BN53" s="18"/>
      <c r="BO53" s="17"/>
      <c r="BP53" s="18"/>
      <c r="BQ53" s="14" t="s">
        <v>84</v>
      </c>
      <c r="BR53" s="16" t="s">
        <v>84</v>
      </c>
    </row>
    <row r="54" spans="1:70" ht="75" x14ac:dyDescent="0.25">
      <c r="A54" s="14" t="s">
        <v>133</v>
      </c>
      <c r="B54" s="14" t="s">
        <v>129</v>
      </c>
      <c r="C54" s="15">
        <v>43999.670138888891</v>
      </c>
      <c r="D54" s="14" t="s">
        <v>73</v>
      </c>
      <c r="E54" s="16" t="s">
        <v>74</v>
      </c>
      <c r="F54" s="14" t="s">
        <v>75</v>
      </c>
      <c r="G54" s="16" t="s">
        <v>76</v>
      </c>
      <c r="H54" s="14" t="s">
        <v>172</v>
      </c>
      <c r="I54" s="16" t="s">
        <v>173</v>
      </c>
      <c r="J54" s="16" t="s">
        <v>174</v>
      </c>
      <c r="K54" s="16" t="s">
        <v>175</v>
      </c>
      <c r="L54" s="14" t="s">
        <v>190</v>
      </c>
      <c r="M54" s="16" t="s">
        <v>191</v>
      </c>
      <c r="N54" s="14" t="s">
        <v>178</v>
      </c>
      <c r="O54" s="16" t="s">
        <v>192</v>
      </c>
      <c r="P54" s="16" t="s">
        <v>193</v>
      </c>
      <c r="Q54" s="16" t="s">
        <v>141</v>
      </c>
      <c r="R54" s="14" t="s">
        <v>142</v>
      </c>
      <c r="S54" s="14" t="s">
        <v>143</v>
      </c>
      <c r="T54" s="14" t="s">
        <v>88</v>
      </c>
      <c r="U54" s="14" t="s">
        <v>140</v>
      </c>
      <c r="V54" s="15">
        <v>43939</v>
      </c>
      <c r="W54" s="15"/>
      <c r="X54" s="16" t="s">
        <v>84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7"/>
      <c r="AP54" s="18"/>
      <c r="AQ54" s="17"/>
      <c r="AR54" s="18"/>
      <c r="AS54" s="17"/>
      <c r="AT54" s="18"/>
      <c r="AU54" s="17"/>
      <c r="AV54" s="18"/>
      <c r="AW54" s="17"/>
      <c r="AX54" s="18"/>
      <c r="AY54" s="17"/>
      <c r="AZ54" s="18"/>
      <c r="BA54" s="17"/>
      <c r="BB54" s="18"/>
      <c r="BC54" s="17"/>
      <c r="BD54" s="18"/>
      <c r="BE54" s="17"/>
      <c r="BF54" s="18"/>
      <c r="BG54" s="17"/>
      <c r="BH54" s="18"/>
      <c r="BI54" s="17"/>
      <c r="BJ54" s="18"/>
      <c r="BK54" s="17"/>
      <c r="BL54" s="18"/>
      <c r="BM54" s="17"/>
      <c r="BN54" s="18"/>
      <c r="BO54" s="17"/>
      <c r="BP54" s="18"/>
      <c r="BQ54" s="14" t="s">
        <v>84</v>
      </c>
      <c r="BR54" s="16" t="s">
        <v>84</v>
      </c>
    </row>
    <row r="55" spans="1:70" ht="75" x14ac:dyDescent="0.25">
      <c r="A55" s="14" t="s">
        <v>133</v>
      </c>
      <c r="B55" s="14" t="s">
        <v>129</v>
      </c>
      <c r="C55" s="15">
        <v>43999.67291666667</v>
      </c>
      <c r="D55" s="14" t="s">
        <v>73</v>
      </c>
      <c r="E55" s="16" t="s">
        <v>74</v>
      </c>
      <c r="F55" s="14" t="s">
        <v>75</v>
      </c>
      <c r="G55" s="16" t="s">
        <v>76</v>
      </c>
      <c r="H55" s="14" t="s">
        <v>172</v>
      </c>
      <c r="I55" s="16" t="s">
        <v>173</v>
      </c>
      <c r="J55" s="16" t="s">
        <v>174</v>
      </c>
      <c r="K55" s="16" t="s">
        <v>175</v>
      </c>
      <c r="L55" s="14" t="s">
        <v>197</v>
      </c>
      <c r="M55" s="16" t="s">
        <v>198</v>
      </c>
      <c r="N55" s="14" t="s">
        <v>136</v>
      </c>
      <c r="O55" s="16" t="s">
        <v>199</v>
      </c>
      <c r="P55" s="16" t="s">
        <v>200</v>
      </c>
      <c r="Q55" s="16" t="s">
        <v>141</v>
      </c>
      <c r="R55" s="14" t="s">
        <v>142</v>
      </c>
      <c r="S55" s="14" t="s">
        <v>143</v>
      </c>
      <c r="T55" s="14" t="s">
        <v>88</v>
      </c>
      <c r="U55" s="14" t="s">
        <v>140</v>
      </c>
      <c r="V55" s="15">
        <v>43939</v>
      </c>
      <c r="W55" s="15"/>
      <c r="X55" s="16" t="s">
        <v>84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7"/>
      <c r="AZ55" s="18"/>
      <c r="BA55" s="17"/>
      <c r="BB55" s="18"/>
      <c r="BC55" s="17"/>
      <c r="BD55" s="18"/>
      <c r="BE55" s="17"/>
      <c r="BF55" s="18"/>
      <c r="BG55" s="17"/>
      <c r="BH55" s="18"/>
      <c r="BI55" s="17"/>
      <c r="BJ55" s="18"/>
      <c r="BK55" s="17"/>
      <c r="BL55" s="18"/>
      <c r="BM55" s="17"/>
      <c r="BN55" s="18"/>
      <c r="BO55" s="17"/>
      <c r="BP55" s="18"/>
      <c r="BQ55" s="14" t="s">
        <v>84</v>
      </c>
      <c r="BR55" s="16" t="s">
        <v>84</v>
      </c>
    </row>
    <row r="56" spans="1:70" ht="105" x14ac:dyDescent="0.25">
      <c r="A56" s="14" t="s">
        <v>133</v>
      </c>
      <c r="B56" s="14" t="s">
        <v>129</v>
      </c>
      <c r="C56" s="15">
        <v>44005.584722222222</v>
      </c>
      <c r="D56" s="14" t="s">
        <v>73</v>
      </c>
      <c r="E56" s="16" t="s">
        <v>74</v>
      </c>
      <c r="F56" s="14" t="s">
        <v>75</v>
      </c>
      <c r="G56" s="16" t="s">
        <v>76</v>
      </c>
      <c r="H56" s="14" t="s">
        <v>172</v>
      </c>
      <c r="I56" s="16" t="s">
        <v>173</v>
      </c>
      <c r="J56" s="16" t="s">
        <v>174</v>
      </c>
      <c r="K56" s="16" t="s">
        <v>175</v>
      </c>
      <c r="L56" s="14" t="s">
        <v>176</v>
      </c>
      <c r="M56" s="16" t="s">
        <v>177</v>
      </c>
      <c r="N56" s="14" t="s">
        <v>178</v>
      </c>
      <c r="O56" s="16" t="s">
        <v>179</v>
      </c>
      <c r="P56" s="16" t="s">
        <v>180</v>
      </c>
      <c r="Q56" s="16" t="s">
        <v>144</v>
      </c>
      <c r="R56" s="14" t="s">
        <v>145</v>
      </c>
      <c r="S56" s="14" t="s">
        <v>146</v>
      </c>
      <c r="T56" s="14" t="s">
        <v>88</v>
      </c>
      <c r="U56" s="14" t="s">
        <v>89</v>
      </c>
      <c r="V56" s="15">
        <v>43939</v>
      </c>
      <c r="W56" s="15"/>
      <c r="X56" s="16" t="s">
        <v>181</v>
      </c>
      <c r="Y56" s="17" t="s">
        <v>182</v>
      </c>
      <c r="Z56" s="18" t="str">
        <f>VLOOKUP(Y56,'Axe 2 Règles de gestion'!$D$2:$F$41,3, FALSE)</f>
        <v>L'administration d'accueil fait connaître à l'administration d'origine et à l'agent sa décision de renouveler ou non son affectation 4 mois avant le terme de la période.</v>
      </c>
      <c r="AA56" s="17" t="s">
        <v>184</v>
      </c>
      <c r="AB56" s="18" t="str">
        <f>VLOOKUP(AA56,'Axe 2 Règles de gestion'!$D$2:$F$41,3, FALSE)</f>
        <v>Pour les positions normales d'activité prises avant le 18/04/2020, le renouvellement n'est pas possible.</v>
      </c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 t="s">
        <v>186</v>
      </c>
      <c r="AR56" s="18" t="str">
        <f>VLOOKUP(AQ56,'Axe 2 Règles de gestion'!$D$2:$F$41,3, FALSE)</f>
        <v>La durée prévisionnelle de l'affectation en position normale d'activité hors de l'administration d'origine est fixée à 3 ans.</v>
      </c>
      <c r="AS56" s="17" t="s">
        <v>188</v>
      </c>
      <c r="AT56" s="18" t="str">
        <f>VLOOKUP(AS56,'Axe 2 Règles de gestion'!$D$2:$F$41,3, FALSE)</f>
        <v>La durée réelle de l'affectation en position normale d'activité hors de l'administration d'origine est fixée à 3 ans.</v>
      </c>
      <c r="AU56" s="17"/>
      <c r="AV56" s="18"/>
      <c r="AW56" s="17"/>
      <c r="AX56" s="18"/>
      <c r="AY56" s="17"/>
      <c r="AZ56" s="18"/>
      <c r="BA56" s="17"/>
      <c r="BB56" s="18"/>
      <c r="BC56" s="17"/>
      <c r="BD56" s="18"/>
      <c r="BE56" s="17"/>
      <c r="BF56" s="18"/>
      <c r="BG56" s="17"/>
      <c r="BH56" s="18"/>
      <c r="BI56" s="17"/>
      <c r="BJ56" s="18"/>
      <c r="BK56" s="17"/>
      <c r="BL56" s="18"/>
      <c r="BM56" s="17"/>
      <c r="BN56" s="18"/>
      <c r="BO56" s="17"/>
      <c r="BP56" s="18"/>
      <c r="BQ56" s="14" t="s">
        <v>84</v>
      </c>
      <c r="BR56" s="16" t="s">
        <v>84</v>
      </c>
    </row>
    <row r="57" spans="1:70" ht="135" x14ac:dyDescent="0.25">
      <c r="A57" s="14" t="s">
        <v>71</v>
      </c>
      <c r="B57" s="14" t="s">
        <v>72</v>
      </c>
      <c r="C57" s="15">
        <v>44711.450694444444</v>
      </c>
      <c r="D57" s="14" t="s">
        <v>73</v>
      </c>
      <c r="E57" s="16" t="s">
        <v>74</v>
      </c>
      <c r="F57" s="14" t="s">
        <v>75</v>
      </c>
      <c r="G57" s="16" t="s">
        <v>76</v>
      </c>
      <c r="H57" s="14" t="s">
        <v>172</v>
      </c>
      <c r="I57" s="16" t="s">
        <v>173</v>
      </c>
      <c r="J57" s="16" t="s">
        <v>174</v>
      </c>
      <c r="K57" s="16" t="s">
        <v>175</v>
      </c>
      <c r="L57" s="14" t="s">
        <v>190</v>
      </c>
      <c r="M57" s="16" t="s">
        <v>191</v>
      </c>
      <c r="N57" s="14" t="s">
        <v>178</v>
      </c>
      <c r="O57" s="16" t="s">
        <v>192</v>
      </c>
      <c r="P57" s="16" t="s">
        <v>193</v>
      </c>
      <c r="Q57" s="16" t="s">
        <v>144</v>
      </c>
      <c r="R57" s="14" t="s">
        <v>145</v>
      </c>
      <c r="S57" s="14" t="s">
        <v>146</v>
      </c>
      <c r="T57" s="14" t="s">
        <v>88</v>
      </c>
      <c r="U57" s="14" t="s">
        <v>89</v>
      </c>
      <c r="V57" s="15">
        <v>43939</v>
      </c>
      <c r="W57" s="15"/>
      <c r="X57" s="16" t="s">
        <v>204</v>
      </c>
      <c r="Y57" s="17" t="s">
        <v>91</v>
      </c>
      <c r="Z57" s="18" t="str">
        <f>VLOOKUP(Y57,'Axe 2 Règles de gestion'!$D$2:$F$41,3, FALSE)</f>
        <v>L'agent doit effectuer une demande.</v>
      </c>
      <c r="AA57" s="17" t="s">
        <v>93</v>
      </c>
      <c r="AB57" s="18" t="str">
        <f>VLOOKUP(AA57,'Axe 2 Règles de gestion'!$D$2:$F$41,3, FALSE)</f>
        <v>L'affectation intervient à l'initiative de l'agent ou de l'administration.</v>
      </c>
      <c r="AC57" s="17" t="s">
        <v>97</v>
      </c>
      <c r="AD57" s="18" t="str">
        <f>VLOOKUP(AC57,'Axe 2 Règles de gestion'!$D$2:$F$41,3, FALSE)</f>
        <v>Un avis conforme de l'administration d'accueil a préalablement été transmis à l'administration d'origine sauf dans le cadre d'un transfert de service.</v>
      </c>
      <c r="AE57" s="17" t="s">
        <v>99</v>
      </c>
      <c r="AF57" s="18" t="str">
        <f>VLOOKUP(AE57,'Axe 2 Règles de gestion'!$D$2:$F$41,3, FALSE)</f>
        <v>Lorsque l'affectation de l'agent est prononcée dans un établissement public, le ministère de tutelle en est préalablement informé.</v>
      </c>
      <c r="AG57" s="17" t="s">
        <v>195</v>
      </c>
      <c r="AH57" s="18" t="str">
        <f>VLOOKUP(AG57,'Axe 2 Règles de gestion'!$D$2:$F$41,3, FALSE)</f>
        <v>Pour les positions normales d'activité prises avant le 18/04/2020, la limitation de durée ne s'applique pas.</v>
      </c>
      <c r="AI57" s="17"/>
      <c r="AJ57" s="18"/>
      <c r="AK57" s="17"/>
      <c r="AL57" s="18"/>
      <c r="AM57" s="17"/>
      <c r="AN57" s="18"/>
      <c r="AO57" s="17"/>
      <c r="AP57" s="18"/>
      <c r="AQ57" s="17" t="s">
        <v>186</v>
      </c>
      <c r="AR57" s="18" t="str">
        <f>VLOOKUP(AQ57,'Axe 2 Règles de gestion'!$D$2:$F$41,3, FALSE)</f>
        <v>La durée prévisionnelle de l'affectation en position normale d'activité hors de l'administration d'origine est fixée à 3 ans.</v>
      </c>
      <c r="AS57" s="17" t="s">
        <v>188</v>
      </c>
      <c r="AT57" s="18" t="str">
        <f>VLOOKUP(AS57,'Axe 2 Règles de gestion'!$D$2:$F$41,3, FALSE)</f>
        <v>La durée réelle de l'affectation en position normale d'activité hors de l'administration d'origine est fixée à 3 ans.</v>
      </c>
      <c r="AU57" s="17" t="s">
        <v>107</v>
      </c>
      <c r="AV57" s="18" t="str">
        <f>VLOOKUP(AU57,'Axe 2 Règles de gestion'!$D$2:$F$41,3, FALSE)</f>
        <v>La date de début de la position doit être postérieure ou égale à la date d'entrée dans la FPE ou dans la carrière militaire.</v>
      </c>
      <c r="AW57" s="17" t="s">
        <v>109</v>
      </c>
      <c r="AX57" s="18" t="str">
        <f>VLOOKUP(AW57,'Axe 2 Règles de gestion'!$D$2:$F$41,3, FALSE)</f>
        <v>La date de début de position est à J+1 de la date de fin de position de l'occurrence précédente.</v>
      </c>
      <c r="AY57" s="17" t="s">
        <v>111</v>
      </c>
      <c r="AZ57" s="18" t="str">
        <f>VLOOKUP(AY57,'Axe 2 Règles de gestion'!$D$2:$F$41,3, FALSE)</f>
        <v>La date de début de position doit être antérieure ou égale à la date de fin réelle de position.</v>
      </c>
      <c r="BA57" s="17" t="s">
        <v>113</v>
      </c>
      <c r="BB57" s="18" t="str">
        <f>VLOOKUP(BA57,'Axe 2 Règles de gestion'!$D$2:$F$41,3, FALSE)</f>
        <v>La date de début de position doit être antérieure ou égale à la date de fin prévisionnelle de position.</v>
      </c>
      <c r="BC57" s="17" t="s">
        <v>115</v>
      </c>
      <c r="BD57" s="18" t="str">
        <f>VLOOKUP(BC57,'Axe 2 Règles de gestion'!$D$2:$F$41,3, FALSE)</f>
        <v>La date de fin réelle de la position doit être antérieure à la date limite de départ à la retraite.</v>
      </c>
      <c r="BE57" s="17" t="s">
        <v>117</v>
      </c>
      <c r="BF57" s="18" t="str">
        <f>VLOOKUP(BE57,'Axe 2 Règles de gestion'!$D$2:$F$41,3, FALSE)</f>
        <v>La date de fin prévisionnelle de la position doit être antérieure à la date limite de départ à la retraite.</v>
      </c>
      <c r="BG57" s="17" t="s">
        <v>119</v>
      </c>
      <c r="BH57" s="18" t="str">
        <f>VLOOKUP(BG57,'Axe 2 Règles de gestion'!$D$2:$F$41,3, FALSE)</f>
        <v>Les champs "Type d'organisme d'origine", "Catégorie statutaire d'origine" et "Pays" de l'organisme d'origine doivent être renseignés.</v>
      </c>
      <c r="BI57" s="17" t="s">
        <v>121</v>
      </c>
      <c r="BJ57" s="18" t="str">
        <f>VLOOKUP(BI57,'Axe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57" s="17" t="s">
        <v>123</v>
      </c>
      <c r="BL57" s="18" t="str">
        <f>VLOOKUP(BK57,'Axe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57" s="17" t="s">
        <v>125</v>
      </c>
      <c r="BN57" s="18" t="str">
        <f>VLOOKUP(BM57,'Axe 2 Règles de gestion'!$D$2:$F$41,3, FALSE)</f>
        <v>Le champ "Code emploi statutaire FPT (NET)" est renseigné si le "Type d'organisme d'origine" est valorisé à FPT.</v>
      </c>
      <c r="BO57" s="17" t="s">
        <v>127</v>
      </c>
      <c r="BP57" s="18" t="str">
        <f>VLOOKUP(BO57,'Axe 2 Règles de gestion'!$D$2:$F$41,3, FALSE)</f>
        <v>Le champ "Code emploi statutaire FPH (NEH)" est renseigné si le "Type d'organisme d'origine" est valorisé à FPH.</v>
      </c>
      <c r="BQ57" s="14" t="s">
        <v>84</v>
      </c>
      <c r="BR57" s="16" t="s">
        <v>84</v>
      </c>
    </row>
    <row r="58" spans="1:70" ht="135" x14ac:dyDescent="0.25">
      <c r="A58" s="14" t="s">
        <v>133</v>
      </c>
      <c r="B58" s="14" t="s">
        <v>129</v>
      </c>
      <c r="C58" s="15">
        <v>44721.454861111109</v>
      </c>
      <c r="D58" s="14" t="s">
        <v>73</v>
      </c>
      <c r="E58" s="16" t="s">
        <v>74</v>
      </c>
      <c r="F58" s="14" t="s">
        <v>75</v>
      </c>
      <c r="G58" s="16" t="s">
        <v>76</v>
      </c>
      <c r="H58" s="14" t="s">
        <v>172</v>
      </c>
      <c r="I58" s="16" t="s">
        <v>173</v>
      </c>
      <c r="J58" s="16" t="s">
        <v>174</v>
      </c>
      <c r="K58" s="16" t="s">
        <v>175</v>
      </c>
      <c r="L58" s="14" t="s">
        <v>197</v>
      </c>
      <c r="M58" s="16" t="s">
        <v>198</v>
      </c>
      <c r="N58" s="14" t="s">
        <v>136</v>
      </c>
      <c r="O58" s="16" t="s">
        <v>199</v>
      </c>
      <c r="P58" s="16" t="s">
        <v>200</v>
      </c>
      <c r="Q58" s="16" t="s">
        <v>144</v>
      </c>
      <c r="R58" s="14" t="s">
        <v>145</v>
      </c>
      <c r="S58" s="14" t="s">
        <v>146</v>
      </c>
      <c r="T58" s="14" t="s">
        <v>88</v>
      </c>
      <c r="U58" s="14" t="s">
        <v>89</v>
      </c>
      <c r="V58" s="15">
        <v>43939</v>
      </c>
      <c r="W58" s="15"/>
      <c r="X58" s="16" t="s">
        <v>201</v>
      </c>
      <c r="Y58" s="17" t="s">
        <v>182</v>
      </c>
      <c r="Z58" s="18" t="str">
        <f>VLOOKUP(Y58,'Axe 2 Règles de gestion'!$D$2:$F$41,3, FALSE)</f>
        <v>L'administration d'accueil fait connaître à l'administration d'origine et à l'agent sa décision de renouveler ou non son affectation 4 mois avant le terme de la période.</v>
      </c>
      <c r="AA58" s="17" t="s">
        <v>202</v>
      </c>
      <c r="AB58" s="18" t="str">
        <f>VLOOKUP(AA58,'Axe 2 Règles de gestion'!$D$2:$F$41,3, FALSE)</f>
        <v>Lorsque l'administration d'accueil décide de ne pas renouveler l'affectation, l'agent est réintégré dans le département ministériel dont il relève, au besoin en surnombre.</v>
      </c>
      <c r="AC58" s="17" t="s">
        <v>195</v>
      </c>
      <c r="AD58" s="18" t="str">
        <f>VLOOKUP(AC58,'Axe 2 Règles de gestion'!$D$2:$F$41,3, FALSE)</f>
        <v>Pour les positions normales d'activité prises avant le 18/04/2020, la limitation de durée ne s'applique pas.</v>
      </c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7"/>
      <c r="AP58" s="18"/>
      <c r="AQ58" s="17" t="s">
        <v>186</v>
      </c>
      <c r="AR58" s="18" t="str">
        <f>VLOOKUP(AQ58,'Axe 2 Règles de gestion'!$D$2:$F$41,3, FALSE)</f>
        <v>La durée prévisionnelle de l'affectation en position normale d'activité hors de l'administration d'origine est fixée à 3 ans.</v>
      </c>
      <c r="AS58" s="17" t="s">
        <v>188</v>
      </c>
      <c r="AT58" s="18" t="str">
        <f>VLOOKUP(AS58,'Axe 2 Règles de gestion'!$D$2:$F$41,3, FALSE)</f>
        <v>La durée réelle de l'affectation en position normale d'activité hors de l'administration d'origine est fixée à 3 ans.</v>
      </c>
      <c r="AU58" s="17" t="s">
        <v>111</v>
      </c>
      <c r="AV58" s="18" t="str">
        <f>VLOOKUP(AU58,'Axe 2 Règles de gestion'!$D$2:$F$41,3, FALSE)</f>
        <v>La date de début de position doit être antérieure ou égale à la date de fin réelle de position.</v>
      </c>
      <c r="AW58" s="17" t="s">
        <v>113</v>
      </c>
      <c r="AX58" s="18" t="str">
        <f>VLOOKUP(AW58,'Axe 2 Règles de gestion'!$D$2:$F$41,3, FALSE)</f>
        <v>La date de début de position doit être antérieure ou égale à la date de fin prévisionnelle de position.</v>
      </c>
      <c r="AY58" s="17" t="s">
        <v>115</v>
      </c>
      <c r="AZ58" s="18" t="str">
        <f>VLOOKUP(AY58,'Axe 2 Règles de gestion'!$D$2:$F$41,3, FALSE)</f>
        <v>La date de fin réelle de la position doit être antérieure à la date limite de départ à la retraite.</v>
      </c>
      <c r="BA58" s="17" t="s">
        <v>117</v>
      </c>
      <c r="BB58" s="18" t="str">
        <f>VLOOKUP(BA58,'Axe 2 Règles de gestion'!$D$2:$F$41,3, FALSE)</f>
        <v>La date de fin prévisionnelle de la position doit être antérieure à la date limite de départ à la retraite.</v>
      </c>
      <c r="BC58" s="17" t="s">
        <v>119</v>
      </c>
      <c r="BD58" s="18" t="str">
        <f>VLOOKUP(BC58,'Axe 2 Règles de gestion'!$D$2:$F$41,3, FALSE)</f>
        <v>Les champs "Type d'organisme d'origine", "Catégorie statutaire d'origine" et "Pays" de l'organisme d'origine doivent être renseignés.</v>
      </c>
      <c r="BE58" s="17" t="s">
        <v>121</v>
      </c>
      <c r="BF58" s="18" t="str">
        <f>VLOOKUP(BE58,'Axe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58" s="17" t="s">
        <v>123</v>
      </c>
      <c r="BH58" s="18" t="str">
        <f>VLOOKUP(BG58,'Axe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58" s="17" t="s">
        <v>125</v>
      </c>
      <c r="BJ58" s="18" t="str">
        <f>VLOOKUP(BI58,'Axe 2 Règles de gestion'!$D$2:$F$41,3, FALSE)</f>
        <v>Le champ "Code emploi statutaire FPT (NET)" est renseigné si le "Type d'organisme d'origine" est valorisé à FPT.</v>
      </c>
      <c r="BK58" s="17" t="s">
        <v>127</v>
      </c>
      <c r="BL58" s="18" t="str">
        <f>VLOOKUP(BK58,'Axe 2 Règles de gestion'!$D$2:$F$41,3, FALSE)</f>
        <v>Le champ "Code emploi statutaire FPH (NEH)" est renseigné si le "Type d'organisme d'origine" est valorisé à FPH.</v>
      </c>
      <c r="BM58" s="17"/>
      <c r="BN58" s="18"/>
      <c r="BO58" s="17"/>
      <c r="BP58" s="18"/>
      <c r="BQ58" s="14" t="s">
        <v>84</v>
      </c>
      <c r="BR58" s="16" t="s">
        <v>84</v>
      </c>
    </row>
    <row r="59" spans="1:70" ht="75" x14ac:dyDescent="0.25">
      <c r="A59" s="14" t="s">
        <v>133</v>
      </c>
      <c r="B59" s="14" t="s">
        <v>129</v>
      </c>
      <c r="C59" s="15">
        <v>43999.674305555556</v>
      </c>
      <c r="D59" s="14" t="s">
        <v>73</v>
      </c>
      <c r="E59" s="16" t="s">
        <v>74</v>
      </c>
      <c r="F59" s="14" t="s">
        <v>75</v>
      </c>
      <c r="G59" s="16" t="s">
        <v>76</v>
      </c>
      <c r="H59" s="14" t="s">
        <v>172</v>
      </c>
      <c r="I59" s="16" t="s">
        <v>173</v>
      </c>
      <c r="J59" s="16" t="s">
        <v>174</v>
      </c>
      <c r="K59" s="16" t="s">
        <v>175</v>
      </c>
      <c r="L59" s="14" t="s">
        <v>176</v>
      </c>
      <c r="M59" s="16" t="s">
        <v>177</v>
      </c>
      <c r="N59" s="14" t="s">
        <v>178</v>
      </c>
      <c r="O59" s="16" t="s">
        <v>179</v>
      </c>
      <c r="P59" s="16" t="s">
        <v>180</v>
      </c>
      <c r="Q59" s="16" t="s">
        <v>148</v>
      </c>
      <c r="R59" s="14" t="s">
        <v>149</v>
      </c>
      <c r="S59" s="14" t="s">
        <v>150</v>
      </c>
      <c r="T59" s="14" t="s">
        <v>88</v>
      </c>
      <c r="U59" s="14" t="s">
        <v>140</v>
      </c>
      <c r="V59" s="15">
        <v>43939</v>
      </c>
      <c r="W59" s="15"/>
      <c r="X59" s="16" t="s">
        <v>84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7"/>
      <c r="AX59" s="18"/>
      <c r="AY59" s="17"/>
      <c r="AZ59" s="18"/>
      <c r="BA59" s="17"/>
      <c r="BB59" s="18"/>
      <c r="BC59" s="17"/>
      <c r="BD59" s="18"/>
      <c r="BE59" s="17"/>
      <c r="BF59" s="18"/>
      <c r="BG59" s="17"/>
      <c r="BH59" s="18"/>
      <c r="BI59" s="17"/>
      <c r="BJ59" s="18"/>
      <c r="BK59" s="17"/>
      <c r="BL59" s="18"/>
      <c r="BM59" s="17"/>
      <c r="BN59" s="18"/>
      <c r="BO59" s="17"/>
      <c r="BP59" s="18"/>
      <c r="BQ59" s="14" t="s">
        <v>84</v>
      </c>
      <c r="BR59" s="16" t="s">
        <v>84</v>
      </c>
    </row>
    <row r="60" spans="1:70" ht="75" x14ac:dyDescent="0.25">
      <c r="A60" s="14" t="s">
        <v>133</v>
      </c>
      <c r="B60" s="14" t="s">
        <v>129</v>
      </c>
      <c r="C60" s="15">
        <v>43999.67083333333</v>
      </c>
      <c r="D60" s="14" t="s">
        <v>73</v>
      </c>
      <c r="E60" s="16" t="s">
        <v>74</v>
      </c>
      <c r="F60" s="14" t="s">
        <v>75</v>
      </c>
      <c r="G60" s="16" t="s">
        <v>76</v>
      </c>
      <c r="H60" s="14" t="s">
        <v>172</v>
      </c>
      <c r="I60" s="16" t="s">
        <v>173</v>
      </c>
      <c r="J60" s="16" t="s">
        <v>174</v>
      </c>
      <c r="K60" s="16" t="s">
        <v>175</v>
      </c>
      <c r="L60" s="14" t="s">
        <v>190</v>
      </c>
      <c r="M60" s="16" t="s">
        <v>191</v>
      </c>
      <c r="N60" s="14" t="s">
        <v>178</v>
      </c>
      <c r="O60" s="16" t="s">
        <v>192</v>
      </c>
      <c r="P60" s="16" t="s">
        <v>193</v>
      </c>
      <c r="Q60" s="16" t="s">
        <v>148</v>
      </c>
      <c r="R60" s="14" t="s">
        <v>149</v>
      </c>
      <c r="S60" s="14" t="s">
        <v>150</v>
      </c>
      <c r="T60" s="14" t="s">
        <v>88</v>
      </c>
      <c r="U60" s="14" t="s">
        <v>140</v>
      </c>
      <c r="V60" s="15">
        <v>43939</v>
      </c>
      <c r="W60" s="15"/>
      <c r="X60" s="16" t="s">
        <v>84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7"/>
      <c r="AP60" s="18"/>
      <c r="AQ60" s="17"/>
      <c r="AR60" s="18"/>
      <c r="AS60" s="17"/>
      <c r="AT60" s="18"/>
      <c r="AU60" s="17"/>
      <c r="AV60" s="18"/>
      <c r="AW60" s="17"/>
      <c r="AX60" s="18"/>
      <c r="AY60" s="17"/>
      <c r="AZ60" s="18"/>
      <c r="BA60" s="17"/>
      <c r="BB60" s="18"/>
      <c r="BC60" s="17"/>
      <c r="BD60" s="18"/>
      <c r="BE60" s="17"/>
      <c r="BF60" s="18"/>
      <c r="BG60" s="17"/>
      <c r="BH60" s="18"/>
      <c r="BI60" s="17"/>
      <c r="BJ60" s="18"/>
      <c r="BK60" s="17"/>
      <c r="BL60" s="18"/>
      <c r="BM60" s="17"/>
      <c r="BN60" s="18"/>
      <c r="BO60" s="17"/>
      <c r="BP60" s="18"/>
      <c r="BQ60" s="14" t="s">
        <v>84</v>
      </c>
      <c r="BR60" s="16" t="s">
        <v>84</v>
      </c>
    </row>
    <row r="61" spans="1:70" ht="75" x14ac:dyDescent="0.25">
      <c r="A61" s="14" t="s">
        <v>133</v>
      </c>
      <c r="B61" s="14" t="s">
        <v>129</v>
      </c>
      <c r="C61" s="15">
        <v>43999.673611111109</v>
      </c>
      <c r="D61" s="14" t="s">
        <v>73</v>
      </c>
      <c r="E61" s="16" t="s">
        <v>74</v>
      </c>
      <c r="F61" s="14" t="s">
        <v>75</v>
      </c>
      <c r="G61" s="16" t="s">
        <v>76</v>
      </c>
      <c r="H61" s="14" t="s">
        <v>172</v>
      </c>
      <c r="I61" s="16" t="s">
        <v>173</v>
      </c>
      <c r="J61" s="16" t="s">
        <v>174</v>
      </c>
      <c r="K61" s="16" t="s">
        <v>175</v>
      </c>
      <c r="L61" s="14" t="s">
        <v>197</v>
      </c>
      <c r="M61" s="16" t="s">
        <v>198</v>
      </c>
      <c r="N61" s="14" t="s">
        <v>136</v>
      </c>
      <c r="O61" s="16" t="s">
        <v>199</v>
      </c>
      <c r="P61" s="16" t="s">
        <v>200</v>
      </c>
      <c r="Q61" s="16" t="s">
        <v>148</v>
      </c>
      <c r="R61" s="14" t="s">
        <v>149</v>
      </c>
      <c r="S61" s="14" t="s">
        <v>150</v>
      </c>
      <c r="T61" s="14" t="s">
        <v>88</v>
      </c>
      <c r="U61" s="14" t="s">
        <v>140</v>
      </c>
      <c r="V61" s="15">
        <v>43939</v>
      </c>
      <c r="W61" s="15"/>
      <c r="X61" s="16" t="s">
        <v>84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7"/>
      <c r="AX61" s="18"/>
      <c r="AY61" s="17"/>
      <c r="AZ61" s="18"/>
      <c r="BA61" s="17"/>
      <c r="BB61" s="18"/>
      <c r="BC61" s="17"/>
      <c r="BD61" s="18"/>
      <c r="BE61" s="17"/>
      <c r="BF61" s="18"/>
      <c r="BG61" s="17"/>
      <c r="BH61" s="18"/>
      <c r="BI61" s="17"/>
      <c r="BJ61" s="18"/>
      <c r="BK61" s="17"/>
      <c r="BL61" s="18"/>
      <c r="BM61" s="17"/>
      <c r="BN61" s="18"/>
      <c r="BO61" s="17"/>
      <c r="BP61" s="18"/>
      <c r="BQ61" s="14" t="s">
        <v>84</v>
      </c>
      <c r="BR61" s="16" t="s">
        <v>84</v>
      </c>
    </row>
    <row r="62" spans="1:70" ht="75" x14ac:dyDescent="0.25">
      <c r="A62" s="14" t="s">
        <v>133</v>
      </c>
      <c r="B62" s="14" t="s">
        <v>129</v>
      </c>
      <c r="C62" s="15">
        <v>43999.676388888889</v>
      </c>
      <c r="D62" s="14" t="s">
        <v>73</v>
      </c>
      <c r="E62" s="16" t="s">
        <v>74</v>
      </c>
      <c r="F62" s="14" t="s">
        <v>75</v>
      </c>
      <c r="G62" s="16" t="s">
        <v>76</v>
      </c>
      <c r="H62" s="14" t="s">
        <v>172</v>
      </c>
      <c r="I62" s="16" t="s">
        <v>173</v>
      </c>
      <c r="J62" s="16" t="s">
        <v>174</v>
      </c>
      <c r="K62" s="16" t="s">
        <v>175</v>
      </c>
      <c r="L62" s="14" t="s">
        <v>176</v>
      </c>
      <c r="M62" s="16" t="s">
        <v>177</v>
      </c>
      <c r="N62" s="14" t="s">
        <v>178</v>
      </c>
      <c r="O62" s="16" t="s">
        <v>179</v>
      </c>
      <c r="P62" s="16" t="s">
        <v>180</v>
      </c>
      <c r="Q62" s="16" t="s">
        <v>151</v>
      </c>
      <c r="R62" s="14" t="s">
        <v>152</v>
      </c>
      <c r="S62" s="14" t="s">
        <v>87</v>
      </c>
      <c r="T62" s="14" t="s">
        <v>153</v>
      </c>
      <c r="U62" s="14" t="s">
        <v>140</v>
      </c>
      <c r="V62" s="15">
        <v>43939</v>
      </c>
      <c r="W62" s="15"/>
      <c r="X62" s="16" t="s">
        <v>84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7"/>
      <c r="AZ62" s="18"/>
      <c r="BA62" s="17"/>
      <c r="BB62" s="18"/>
      <c r="BC62" s="17"/>
      <c r="BD62" s="18"/>
      <c r="BE62" s="17"/>
      <c r="BF62" s="18"/>
      <c r="BG62" s="17"/>
      <c r="BH62" s="18"/>
      <c r="BI62" s="17"/>
      <c r="BJ62" s="18"/>
      <c r="BK62" s="17"/>
      <c r="BL62" s="18"/>
      <c r="BM62" s="17"/>
      <c r="BN62" s="18"/>
      <c r="BO62" s="17"/>
      <c r="BP62" s="18"/>
      <c r="BQ62" s="14" t="s">
        <v>84</v>
      </c>
      <c r="BR62" s="16" t="s">
        <v>84</v>
      </c>
    </row>
    <row r="63" spans="1:70" ht="75" x14ac:dyDescent="0.25">
      <c r="A63" s="14" t="s">
        <v>133</v>
      </c>
      <c r="B63" s="14" t="s">
        <v>129</v>
      </c>
      <c r="C63" s="15">
        <v>43999.675000000003</v>
      </c>
      <c r="D63" s="14" t="s">
        <v>73</v>
      </c>
      <c r="E63" s="16" t="s">
        <v>74</v>
      </c>
      <c r="F63" s="14" t="s">
        <v>75</v>
      </c>
      <c r="G63" s="16" t="s">
        <v>76</v>
      </c>
      <c r="H63" s="14" t="s">
        <v>172</v>
      </c>
      <c r="I63" s="16" t="s">
        <v>173</v>
      </c>
      <c r="J63" s="16" t="s">
        <v>174</v>
      </c>
      <c r="K63" s="16" t="s">
        <v>175</v>
      </c>
      <c r="L63" s="14" t="s">
        <v>190</v>
      </c>
      <c r="M63" s="16" t="s">
        <v>191</v>
      </c>
      <c r="N63" s="14" t="s">
        <v>178</v>
      </c>
      <c r="O63" s="16" t="s">
        <v>192</v>
      </c>
      <c r="P63" s="16" t="s">
        <v>193</v>
      </c>
      <c r="Q63" s="16" t="s">
        <v>151</v>
      </c>
      <c r="R63" s="14" t="s">
        <v>152</v>
      </c>
      <c r="S63" s="14" t="s">
        <v>87</v>
      </c>
      <c r="T63" s="14" t="s">
        <v>153</v>
      </c>
      <c r="U63" s="14" t="s">
        <v>140</v>
      </c>
      <c r="V63" s="15">
        <v>43939</v>
      </c>
      <c r="W63" s="15"/>
      <c r="X63" s="16" t="s">
        <v>84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7"/>
      <c r="AZ63" s="18"/>
      <c r="BA63" s="17"/>
      <c r="BB63" s="18"/>
      <c r="BC63" s="17"/>
      <c r="BD63" s="18"/>
      <c r="BE63" s="17"/>
      <c r="BF63" s="18"/>
      <c r="BG63" s="17"/>
      <c r="BH63" s="18"/>
      <c r="BI63" s="17"/>
      <c r="BJ63" s="18"/>
      <c r="BK63" s="17"/>
      <c r="BL63" s="18"/>
      <c r="BM63" s="17"/>
      <c r="BN63" s="18"/>
      <c r="BO63" s="17"/>
      <c r="BP63" s="18"/>
      <c r="BQ63" s="14" t="s">
        <v>84</v>
      </c>
      <c r="BR63" s="16" t="s">
        <v>84</v>
      </c>
    </row>
    <row r="64" spans="1:70" ht="75" x14ac:dyDescent="0.25">
      <c r="A64" s="14" t="s">
        <v>133</v>
      </c>
      <c r="B64" s="14" t="s">
        <v>129</v>
      </c>
      <c r="C64" s="15">
        <v>43999.675694444442</v>
      </c>
      <c r="D64" s="14" t="s">
        <v>73</v>
      </c>
      <c r="E64" s="16" t="s">
        <v>74</v>
      </c>
      <c r="F64" s="14" t="s">
        <v>75</v>
      </c>
      <c r="G64" s="16" t="s">
        <v>76</v>
      </c>
      <c r="H64" s="14" t="s">
        <v>172</v>
      </c>
      <c r="I64" s="16" t="s">
        <v>173</v>
      </c>
      <c r="J64" s="16" t="s">
        <v>174</v>
      </c>
      <c r="K64" s="16" t="s">
        <v>175</v>
      </c>
      <c r="L64" s="14" t="s">
        <v>197</v>
      </c>
      <c r="M64" s="16" t="s">
        <v>198</v>
      </c>
      <c r="N64" s="14" t="s">
        <v>136</v>
      </c>
      <c r="O64" s="16" t="s">
        <v>199</v>
      </c>
      <c r="P64" s="16" t="s">
        <v>200</v>
      </c>
      <c r="Q64" s="16" t="s">
        <v>151</v>
      </c>
      <c r="R64" s="14" t="s">
        <v>152</v>
      </c>
      <c r="S64" s="14" t="s">
        <v>87</v>
      </c>
      <c r="T64" s="14" t="s">
        <v>153</v>
      </c>
      <c r="U64" s="14" t="s">
        <v>140</v>
      </c>
      <c r="V64" s="15">
        <v>43939</v>
      </c>
      <c r="W64" s="15"/>
      <c r="X64" s="16" t="s">
        <v>84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7"/>
      <c r="AP64" s="18"/>
      <c r="AQ64" s="17"/>
      <c r="AR64" s="18"/>
      <c r="AS64" s="17"/>
      <c r="AT64" s="18"/>
      <c r="AU64" s="17"/>
      <c r="AV64" s="18"/>
      <c r="AW64" s="17"/>
      <c r="AX64" s="18"/>
      <c r="AY64" s="17"/>
      <c r="AZ64" s="18"/>
      <c r="BA64" s="17"/>
      <c r="BB64" s="18"/>
      <c r="BC64" s="17"/>
      <c r="BD64" s="18"/>
      <c r="BE64" s="17"/>
      <c r="BF64" s="18"/>
      <c r="BG64" s="17"/>
      <c r="BH64" s="18"/>
      <c r="BI64" s="17"/>
      <c r="BJ64" s="18"/>
      <c r="BK64" s="17"/>
      <c r="BL64" s="18"/>
      <c r="BM64" s="17"/>
      <c r="BN64" s="18"/>
      <c r="BO64" s="17"/>
      <c r="BP64" s="18"/>
      <c r="BQ64" s="14" t="s">
        <v>84</v>
      </c>
      <c r="BR64" s="16" t="s">
        <v>84</v>
      </c>
    </row>
    <row r="65" spans="1:70" ht="75" x14ac:dyDescent="0.25">
      <c r="A65" s="14" t="s">
        <v>133</v>
      </c>
      <c r="B65" s="14" t="s">
        <v>129</v>
      </c>
      <c r="C65" s="15">
        <v>43999.677083333336</v>
      </c>
      <c r="D65" s="14" t="s">
        <v>73</v>
      </c>
      <c r="E65" s="16" t="s">
        <v>74</v>
      </c>
      <c r="F65" s="14" t="s">
        <v>75</v>
      </c>
      <c r="G65" s="16" t="s">
        <v>76</v>
      </c>
      <c r="H65" s="14" t="s">
        <v>172</v>
      </c>
      <c r="I65" s="16" t="s">
        <v>173</v>
      </c>
      <c r="J65" s="16" t="s">
        <v>174</v>
      </c>
      <c r="K65" s="16" t="s">
        <v>175</v>
      </c>
      <c r="L65" s="14" t="s">
        <v>176</v>
      </c>
      <c r="M65" s="16" t="s">
        <v>177</v>
      </c>
      <c r="N65" s="14" t="s">
        <v>178</v>
      </c>
      <c r="O65" s="16" t="s">
        <v>179</v>
      </c>
      <c r="P65" s="16" t="s">
        <v>180</v>
      </c>
      <c r="Q65" s="16" t="s">
        <v>154</v>
      </c>
      <c r="R65" s="14" t="s">
        <v>155</v>
      </c>
      <c r="S65" s="14" t="s">
        <v>146</v>
      </c>
      <c r="T65" s="14" t="s">
        <v>153</v>
      </c>
      <c r="U65" s="14" t="s">
        <v>140</v>
      </c>
      <c r="V65" s="15">
        <v>43939</v>
      </c>
      <c r="W65" s="15"/>
      <c r="X65" s="16" t="s">
        <v>84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7"/>
      <c r="AP65" s="18"/>
      <c r="AQ65" s="17"/>
      <c r="AR65" s="18"/>
      <c r="AS65" s="17"/>
      <c r="AT65" s="18"/>
      <c r="AU65" s="17"/>
      <c r="AV65" s="18"/>
      <c r="AW65" s="17"/>
      <c r="AX65" s="18"/>
      <c r="AY65" s="17"/>
      <c r="AZ65" s="18"/>
      <c r="BA65" s="17"/>
      <c r="BB65" s="18"/>
      <c r="BC65" s="17"/>
      <c r="BD65" s="18"/>
      <c r="BE65" s="17"/>
      <c r="BF65" s="18"/>
      <c r="BG65" s="17"/>
      <c r="BH65" s="18"/>
      <c r="BI65" s="17"/>
      <c r="BJ65" s="18"/>
      <c r="BK65" s="17"/>
      <c r="BL65" s="18"/>
      <c r="BM65" s="17"/>
      <c r="BN65" s="18"/>
      <c r="BO65" s="17"/>
      <c r="BP65" s="18"/>
      <c r="BQ65" s="14" t="s">
        <v>84</v>
      </c>
      <c r="BR65" s="16" t="s">
        <v>84</v>
      </c>
    </row>
    <row r="66" spans="1:70" ht="75" x14ac:dyDescent="0.25">
      <c r="A66" s="14" t="s">
        <v>133</v>
      </c>
      <c r="B66" s="14" t="s">
        <v>129</v>
      </c>
      <c r="C66" s="15">
        <v>43999.675694444442</v>
      </c>
      <c r="D66" s="14" t="s">
        <v>73</v>
      </c>
      <c r="E66" s="16" t="s">
        <v>74</v>
      </c>
      <c r="F66" s="14" t="s">
        <v>75</v>
      </c>
      <c r="G66" s="16" t="s">
        <v>76</v>
      </c>
      <c r="H66" s="14" t="s">
        <v>172</v>
      </c>
      <c r="I66" s="16" t="s">
        <v>173</v>
      </c>
      <c r="J66" s="16" t="s">
        <v>174</v>
      </c>
      <c r="K66" s="16" t="s">
        <v>175</v>
      </c>
      <c r="L66" s="14" t="s">
        <v>190</v>
      </c>
      <c r="M66" s="16" t="s">
        <v>191</v>
      </c>
      <c r="N66" s="14" t="s">
        <v>178</v>
      </c>
      <c r="O66" s="16" t="s">
        <v>192</v>
      </c>
      <c r="P66" s="16" t="s">
        <v>193</v>
      </c>
      <c r="Q66" s="16" t="s">
        <v>154</v>
      </c>
      <c r="R66" s="14" t="s">
        <v>155</v>
      </c>
      <c r="S66" s="14" t="s">
        <v>146</v>
      </c>
      <c r="T66" s="14" t="s">
        <v>153</v>
      </c>
      <c r="U66" s="14" t="s">
        <v>140</v>
      </c>
      <c r="V66" s="15">
        <v>43939</v>
      </c>
      <c r="W66" s="15"/>
      <c r="X66" s="16" t="s">
        <v>84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7"/>
      <c r="AP66" s="18"/>
      <c r="AQ66" s="17"/>
      <c r="AR66" s="18"/>
      <c r="AS66" s="17"/>
      <c r="AT66" s="18"/>
      <c r="AU66" s="17"/>
      <c r="AV66" s="18"/>
      <c r="AW66" s="17"/>
      <c r="AX66" s="18"/>
      <c r="AY66" s="17"/>
      <c r="AZ66" s="18"/>
      <c r="BA66" s="17"/>
      <c r="BB66" s="18"/>
      <c r="BC66" s="17"/>
      <c r="BD66" s="18"/>
      <c r="BE66" s="17"/>
      <c r="BF66" s="18"/>
      <c r="BG66" s="17"/>
      <c r="BH66" s="18"/>
      <c r="BI66" s="17"/>
      <c r="BJ66" s="18"/>
      <c r="BK66" s="17"/>
      <c r="BL66" s="18"/>
      <c r="BM66" s="17"/>
      <c r="BN66" s="18"/>
      <c r="BO66" s="17"/>
      <c r="BP66" s="18"/>
      <c r="BQ66" s="14" t="s">
        <v>84</v>
      </c>
      <c r="BR66" s="16" t="s">
        <v>84</v>
      </c>
    </row>
    <row r="67" spans="1:70" ht="75" x14ac:dyDescent="0.25">
      <c r="A67" s="14" t="s">
        <v>133</v>
      </c>
      <c r="B67" s="14" t="s">
        <v>129</v>
      </c>
      <c r="C67" s="15">
        <v>43999.676388888889</v>
      </c>
      <c r="D67" s="14" t="s">
        <v>73</v>
      </c>
      <c r="E67" s="16" t="s">
        <v>74</v>
      </c>
      <c r="F67" s="14" t="s">
        <v>75</v>
      </c>
      <c r="G67" s="16" t="s">
        <v>76</v>
      </c>
      <c r="H67" s="14" t="s">
        <v>172</v>
      </c>
      <c r="I67" s="16" t="s">
        <v>173</v>
      </c>
      <c r="J67" s="16" t="s">
        <v>174</v>
      </c>
      <c r="K67" s="16" t="s">
        <v>175</v>
      </c>
      <c r="L67" s="14" t="s">
        <v>197</v>
      </c>
      <c r="M67" s="16" t="s">
        <v>198</v>
      </c>
      <c r="N67" s="14" t="s">
        <v>136</v>
      </c>
      <c r="O67" s="16" t="s">
        <v>199</v>
      </c>
      <c r="P67" s="16" t="s">
        <v>200</v>
      </c>
      <c r="Q67" s="16" t="s">
        <v>154</v>
      </c>
      <c r="R67" s="14" t="s">
        <v>155</v>
      </c>
      <c r="S67" s="14" t="s">
        <v>146</v>
      </c>
      <c r="T67" s="14" t="s">
        <v>153</v>
      </c>
      <c r="U67" s="14" t="s">
        <v>140</v>
      </c>
      <c r="V67" s="15">
        <v>43939</v>
      </c>
      <c r="W67" s="15"/>
      <c r="X67" s="16" t="s">
        <v>84</v>
      </c>
      <c r="Y67" s="17"/>
      <c r="Z67" s="18"/>
      <c r="AA67" s="17"/>
      <c r="AB67" s="18"/>
      <c r="AC67" s="17"/>
      <c r="AD67" s="18"/>
      <c r="AE67" s="17"/>
      <c r="AF67" s="18"/>
      <c r="AG67" s="17"/>
      <c r="AH67" s="18"/>
      <c r="AI67" s="17"/>
      <c r="AJ67" s="18"/>
      <c r="AK67" s="17"/>
      <c r="AL67" s="18"/>
      <c r="AM67" s="17"/>
      <c r="AN67" s="18"/>
      <c r="AO67" s="17"/>
      <c r="AP67" s="18"/>
      <c r="AQ67" s="17"/>
      <c r="AR67" s="18"/>
      <c r="AS67" s="17"/>
      <c r="AT67" s="18"/>
      <c r="AU67" s="17"/>
      <c r="AV67" s="18"/>
      <c r="AW67" s="17"/>
      <c r="AX67" s="18"/>
      <c r="AY67" s="17"/>
      <c r="AZ67" s="18"/>
      <c r="BA67" s="17"/>
      <c r="BB67" s="18"/>
      <c r="BC67" s="17"/>
      <c r="BD67" s="18"/>
      <c r="BE67" s="17"/>
      <c r="BF67" s="18"/>
      <c r="BG67" s="17"/>
      <c r="BH67" s="18"/>
      <c r="BI67" s="17"/>
      <c r="BJ67" s="18"/>
      <c r="BK67" s="17"/>
      <c r="BL67" s="18"/>
      <c r="BM67" s="17"/>
      <c r="BN67" s="18"/>
      <c r="BO67" s="17"/>
      <c r="BP67" s="18"/>
      <c r="BQ67" s="14" t="s">
        <v>84</v>
      </c>
      <c r="BR67" s="16" t="s">
        <v>84</v>
      </c>
    </row>
    <row r="68" spans="1:70" ht="105" x14ac:dyDescent="0.25">
      <c r="A68" s="14" t="s">
        <v>133</v>
      </c>
      <c r="B68" s="14" t="s">
        <v>129</v>
      </c>
      <c r="C68" s="15">
        <v>44005.594444444447</v>
      </c>
      <c r="D68" s="14" t="s">
        <v>73</v>
      </c>
      <c r="E68" s="16" t="s">
        <v>74</v>
      </c>
      <c r="F68" s="14" t="s">
        <v>75</v>
      </c>
      <c r="G68" s="16" t="s">
        <v>76</v>
      </c>
      <c r="H68" s="14" t="s">
        <v>205</v>
      </c>
      <c r="I68" s="16" t="s">
        <v>206</v>
      </c>
      <c r="J68" s="16" t="s">
        <v>207</v>
      </c>
      <c r="K68" s="16" t="s">
        <v>208</v>
      </c>
      <c r="L68" s="14" t="s">
        <v>209</v>
      </c>
      <c r="M68" s="16" t="s">
        <v>210</v>
      </c>
      <c r="N68" s="14" t="s">
        <v>178</v>
      </c>
      <c r="O68" s="16" t="s">
        <v>179</v>
      </c>
      <c r="P68" s="16" t="s">
        <v>180</v>
      </c>
      <c r="Q68" s="16" t="s">
        <v>85</v>
      </c>
      <c r="R68" s="14" t="s">
        <v>86</v>
      </c>
      <c r="S68" s="14" t="s">
        <v>87</v>
      </c>
      <c r="T68" s="14" t="s">
        <v>88</v>
      </c>
      <c r="U68" s="14" t="s">
        <v>89</v>
      </c>
      <c r="V68" s="15">
        <v>43939</v>
      </c>
      <c r="W68" s="15"/>
      <c r="X68" s="16" t="s">
        <v>181</v>
      </c>
      <c r="Y68" s="17" t="s">
        <v>182</v>
      </c>
      <c r="Z68" s="18" t="str">
        <f>VLOOKUP(Y68,'Axe 2 Règles de gestion'!$D$2:$F$41,3, FALSE)</f>
        <v>L'administration d'accueil fait connaître à l'administration d'origine et à l'agent sa décision de renouveler ou non son affectation 4 mois avant le terme de la période.</v>
      </c>
      <c r="AA68" s="17" t="s">
        <v>184</v>
      </c>
      <c r="AB68" s="18" t="str">
        <f>VLOOKUP(AA68,'Axe 2 Règles de gestion'!$D$2:$F$41,3, FALSE)</f>
        <v>Pour les positions normales d'activité prises avant le 18/04/2020, le renouvellement n'est pas possible.</v>
      </c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 t="s">
        <v>186</v>
      </c>
      <c r="AR68" s="18" t="str">
        <f>VLOOKUP(AQ68,'Axe 2 Règles de gestion'!$D$2:$F$41,3, FALSE)</f>
        <v>La durée prévisionnelle de l'affectation en position normale d'activité hors de l'administration d'origine est fixée à 3 ans.</v>
      </c>
      <c r="AS68" s="17" t="s">
        <v>188</v>
      </c>
      <c r="AT68" s="18" t="str">
        <f>VLOOKUP(AS68,'Axe 2 Règles de gestion'!$D$2:$F$41,3, FALSE)</f>
        <v>La durée réelle de l'affectation en position normale d'activité hors de l'administration d'origine est fixée à 3 ans.</v>
      </c>
      <c r="AU68" s="17"/>
      <c r="AV68" s="18"/>
      <c r="AW68" s="17"/>
      <c r="AX68" s="18"/>
      <c r="AY68" s="17"/>
      <c r="AZ68" s="18"/>
      <c r="BA68" s="17"/>
      <c r="BB68" s="18"/>
      <c r="BC68" s="17"/>
      <c r="BD68" s="18"/>
      <c r="BE68" s="17"/>
      <c r="BF68" s="18"/>
      <c r="BG68" s="17"/>
      <c r="BH68" s="18"/>
      <c r="BI68" s="17"/>
      <c r="BJ68" s="18"/>
      <c r="BK68" s="17"/>
      <c r="BL68" s="18"/>
      <c r="BM68" s="17"/>
      <c r="BN68" s="18"/>
      <c r="BO68" s="17"/>
      <c r="BP68" s="18"/>
      <c r="BQ68" s="14" t="s">
        <v>84</v>
      </c>
      <c r="BR68" s="16" t="s">
        <v>84</v>
      </c>
    </row>
    <row r="69" spans="1:70" ht="165" x14ac:dyDescent="0.25">
      <c r="A69" s="14" t="s">
        <v>71</v>
      </c>
      <c r="B69" s="14" t="s">
        <v>72</v>
      </c>
      <c r="C69" s="15">
        <v>44711.479861111111</v>
      </c>
      <c r="D69" s="14" t="s">
        <v>73</v>
      </c>
      <c r="E69" s="16" t="s">
        <v>74</v>
      </c>
      <c r="F69" s="14" t="s">
        <v>75</v>
      </c>
      <c r="G69" s="16" t="s">
        <v>76</v>
      </c>
      <c r="H69" s="14" t="s">
        <v>205</v>
      </c>
      <c r="I69" s="16" t="s">
        <v>206</v>
      </c>
      <c r="J69" s="16" t="s">
        <v>207</v>
      </c>
      <c r="K69" s="16" t="s">
        <v>208</v>
      </c>
      <c r="L69" s="14" t="s">
        <v>211</v>
      </c>
      <c r="M69" s="16" t="s">
        <v>212</v>
      </c>
      <c r="N69" s="14" t="s">
        <v>178</v>
      </c>
      <c r="O69" s="16" t="s">
        <v>192</v>
      </c>
      <c r="P69" s="16" t="s">
        <v>193</v>
      </c>
      <c r="Q69" s="16" t="s">
        <v>85</v>
      </c>
      <c r="R69" s="14" t="s">
        <v>86</v>
      </c>
      <c r="S69" s="14" t="s">
        <v>87</v>
      </c>
      <c r="T69" s="14" t="s">
        <v>88</v>
      </c>
      <c r="U69" s="14" t="s">
        <v>89</v>
      </c>
      <c r="V69" s="15">
        <v>43939</v>
      </c>
      <c r="W69" s="15"/>
      <c r="X69" s="16" t="s">
        <v>194</v>
      </c>
      <c r="Y69" s="17" t="s">
        <v>91</v>
      </c>
      <c r="Z69" s="18" t="str">
        <f>VLOOKUP(Y69,'Axe 2 Règles de gestion'!$D$2:$F$41,3, FALSE)</f>
        <v>L'agent doit effectuer une demande.</v>
      </c>
      <c r="AA69" s="17" t="s">
        <v>93</v>
      </c>
      <c r="AB69" s="18" t="str">
        <f>VLOOKUP(AA69,'Axe 2 Règles de gestion'!$D$2:$F$41,3, FALSE)</f>
        <v>L'affectation intervient à l'initiative de l'agent ou de l'administration.</v>
      </c>
      <c r="AC69" s="17" t="s">
        <v>131</v>
      </c>
      <c r="AD69" s="18" t="str">
        <f>VLOOKUP(AC69,'Axe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69" s="17" t="s">
        <v>97</v>
      </c>
      <c r="AF69" s="18" t="str">
        <f>VLOOKUP(AE69,'Axe 2 Règles de gestion'!$D$2:$F$41,3, FALSE)</f>
        <v>Un avis conforme de l'administration d'accueil a préalablement été transmis à l'administration d'origine sauf dans le cadre d'un transfert de service.</v>
      </c>
      <c r="AG69" s="17" t="s">
        <v>99</v>
      </c>
      <c r="AH69" s="18" t="str">
        <f>VLOOKUP(AG69,'Axe 2 Règles de gestion'!$D$2:$F$41,3, FALSE)</f>
        <v>Lorsque l'affectation de l'agent est prononcée dans un établissement public, le ministère de tutelle en est préalablement informé.</v>
      </c>
      <c r="AI69" s="17" t="s">
        <v>103</v>
      </c>
      <c r="AJ69" s="18" t="str">
        <f>VLOOKUP(AI69,'Axe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69" s="17" t="s">
        <v>105</v>
      </c>
      <c r="AL69" s="18" t="str">
        <f>VLOOKUP(AK69,'Axe 2 Règles de gestion'!$D$2:$F$41,3, FALSE)</f>
        <v>Le silence de l'administration gardé pendant 2 mois à compter de la réception de la demande de l'agent vaut acceptation.</v>
      </c>
      <c r="AM69" s="17" t="s">
        <v>195</v>
      </c>
      <c r="AN69" s="18" t="str">
        <f>VLOOKUP(AM69,'Axe 2 Règles de gestion'!$D$2:$F$41,3, FALSE)</f>
        <v>Pour les positions normales d'activité prises avant le 18/04/2020, la limitation de durée ne s'applique pas.</v>
      </c>
      <c r="AO69" s="17"/>
      <c r="AP69" s="18"/>
      <c r="AQ69" s="17" t="s">
        <v>186</v>
      </c>
      <c r="AR69" s="18" t="str">
        <f>VLOOKUP(AQ69,'Axe 2 Règles de gestion'!$D$2:$F$41,3, FALSE)</f>
        <v>La durée prévisionnelle de l'affectation en position normale d'activité hors de l'administration d'origine est fixée à 3 ans.</v>
      </c>
      <c r="AS69" s="17" t="s">
        <v>188</v>
      </c>
      <c r="AT69" s="18" t="str">
        <f>VLOOKUP(AS69,'Axe 2 Règles de gestion'!$D$2:$F$41,3, FALSE)</f>
        <v>La durée réelle de l'affectation en position normale d'activité hors de l'administration d'origine est fixée à 3 ans.</v>
      </c>
      <c r="AU69" s="17" t="s">
        <v>107</v>
      </c>
      <c r="AV69" s="18" t="str">
        <f>VLOOKUP(AU69,'Axe 2 Règles de gestion'!$D$2:$F$41,3, FALSE)</f>
        <v>La date de début de la position doit être postérieure ou égale à la date d'entrée dans la FPE ou dans la carrière militaire.</v>
      </c>
      <c r="AW69" s="17" t="s">
        <v>109</v>
      </c>
      <c r="AX69" s="18" t="str">
        <f>VLOOKUP(AW69,'Axe 2 Règles de gestion'!$D$2:$F$41,3, FALSE)</f>
        <v>La date de début de position est à J+1 de la date de fin de position de l'occurrence précédente.</v>
      </c>
      <c r="AY69" s="17" t="s">
        <v>111</v>
      </c>
      <c r="AZ69" s="18" t="str">
        <f>VLOOKUP(AY69,'Axe 2 Règles de gestion'!$D$2:$F$41,3, FALSE)</f>
        <v>La date de début de position doit être antérieure ou égale à la date de fin réelle de position.</v>
      </c>
      <c r="BA69" s="17" t="s">
        <v>113</v>
      </c>
      <c r="BB69" s="18" t="str">
        <f>VLOOKUP(BA69,'Axe 2 Règles de gestion'!$D$2:$F$41,3, FALSE)</f>
        <v>La date de début de position doit être antérieure ou égale à la date de fin prévisionnelle de position.</v>
      </c>
      <c r="BC69" s="17" t="s">
        <v>115</v>
      </c>
      <c r="BD69" s="18" t="str">
        <f>VLOOKUP(BC69,'Axe 2 Règles de gestion'!$D$2:$F$41,3, FALSE)</f>
        <v>La date de fin réelle de la position doit être antérieure à la date limite de départ à la retraite.</v>
      </c>
      <c r="BE69" s="17" t="s">
        <v>117</v>
      </c>
      <c r="BF69" s="18" t="str">
        <f>VLOOKUP(BE69,'Axe 2 Règles de gestion'!$D$2:$F$41,3, FALSE)</f>
        <v>La date de fin prévisionnelle de la position doit être antérieure à la date limite de départ à la retraite.</v>
      </c>
      <c r="BG69" s="17" t="s">
        <v>119</v>
      </c>
      <c r="BH69" s="18" t="str">
        <f>VLOOKUP(BG69,'Axe 2 Règles de gestion'!$D$2:$F$41,3, FALSE)</f>
        <v>Les champs "Type d'organisme d'origine", "Catégorie statutaire d'origine" et "Pays" de l'organisme d'origine doivent être renseignés.</v>
      </c>
      <c r="BI69" s="17" t="s">
        <v>121</v>
      </c>
      <c r="BJ69" s="18" t="str">
        <f>VLOOKUP(BI69,'Axe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69" s="17" t="s">
        <v>123</v>
      </c>
      <c r="BL69" s="18" t="str">
        <f>VLOOKUP(BK69,'Axe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69" s="17" t="s">
        <v>125</v>
      </c>
      <c r="BN69" s="18" t="str">
        <f>VLOOKUP(BM69,'Axe 2 Règles de gestion'!$D$2:$F$41,3, FALSE)</f>
        <v>Le champ "Code emploi statutaire FPT (NET)" est renseigné si le "Type d'organisme d'origine" est valorisé à FPT.</v>
      </c>
      <c r="BO69" s="17" t="s">
        <v>127</v>
      </c>
      <c r="BP69" s="18" t="str">
        <f>VLOOKUP(BO69,'Axe 2 Règles de gestion'!$D$2:$F$41,3, FALSE)</f>
        <v>Le champ "Code emploi statutaire FPH (NEH)" est renseigné si le "Type d'organisme d'origine" est valorisé à FPH.</v>
      </c>
      <c r="BQ69" s="14" t="s">
        <v>84</v>
      </c>
      <c r="BR69" s="16" t="s">
        <v>84</v>
      </c>
    </row>
    <row r="70" spans="1:70" ht="135" x14ac:dyDescent="0.25">
      <c r="A70" s="14" t="s">
        <v>133</v>
      </c>
      <c r="B70" s="14" t="s">
        <v>129</v>
      </c>
      <c r="C70" s="15">
        <v>44721.455555555556</v>
      </c>
      <c r="D70" s="14" t="s">
        <v>73</v>
      </c>
      <c r="E70" s="16" t="s">
        <v>74</v>
      </c>
      <c r="F70" s="14" t="s">
        <v>75</v>
      </c>
      <c r="G70" s="16" t="s">
        <v>76</v>
      </c>
      <c r="H70" s="14" t="s">
        <v>205</v>
      </c>
      <c r="I70" s="16" t="s">
        <v>206</v>
      </c>
      <c r="J70" s="16" t="s">
        <v>207</v>
      </c>
      <c r="K70" s="16" t="s">
        <v>208</v>
      </c>
      <c r="L70" s="14" t="s">
        <v>213</v>
      </c>
      <c r="M70" s="16" t="s">
        <v>214</v>
      </c>
      <c r="N70" s="14" t="s">
        <v>136</v>
      </c>
      <c r="O70" s="16" t="s">
        <v>199</v>
      </c>
      <c r="P70" s="16" t="s">
        <v>200</v>
      </c>
      <c r="Q70" s="16" t="s">
        <v>85</v>
      </c>
      <c r="R70" s="14" t="s">
        <v>86</v>
      </c>
      <c r="S70" s="14" t="s">
        <v>87</v>
      </c>
      <c r="T70" s="14" t="s">
        <v>88</v>
      </c>
      <c r="U70" s="14" t="s">
        <v>89</v>
      </c>
      <c r="V70" s="15">
        <v>43939</v>
      </c>
      <c r="W70" s="15"/>
      <c r="X70" s="16" t="s">
        <v>201</v>
      </c>
      <c r="Y70" s="17" t="s">
        <v>182</v>
      </c>
      <c r="Z70" s="18" t="str">
        <f>VLOOKUP(Y70,'Axe 2 Règles de gestion'!$D$2:$F$41,3, FALSE)</f>
        <v>L'administration d'accueil fait connaître à l'administration d'origine et à l'agent sa décision de renouveler ou non son affectation 4 mois avant le terme de la période.</v>
      </c>
      <c r="AA70" s="17" t="s">
        <v>202</v>
      </c>
      <c r="AB70" s="18" t="str">
        <f>VLOOKUP(AA70,'Axe 2 Règles de gestion'!$D$2:$F$41,3, FALSE)</f>
        <v>Lorsque l'administration d'accueil décide de ne pas renouveler l'affectation, l'agent est réintégré dans le département ministériel dont il relève, au besoin en surnombre.</v>
      </c>
      <c r="AC70" s="17" t="s">
        <v>195</v>
      </c>
      <c r="AD70" s="18" t="str">
        <f>VLOOKUP(AC70,'Axe 2 Règles de gestion'!$D$2:$F$41,3, FALSE)</f>
        <v>Pour les positions normales d'activité prises avant le 18/04/2020, la limitation de durée ne s'applique pas.</v>
      </c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7"/>
      <c r="AP70" s="18"/>
      <c r="AQ70" s="17" t="s">
        <v>186</v>
      </c>
      <c r="AR70" s="18" t="str">
        <f>VLOOKUP(AQ70,'Axe 2 Règles de gestion'!$D$2:$F$41,3, FALSE)</f>
        <v>La durée prévisionnelle de l'affectation en position normale d'activité hors de l'administration d'origine est fixée à 3 ans.</v>
      </c>
      <c r="AS70" s="17" t="s">
        <v>188</v>
      </c>
      <c r="AT70" s="18" t="str">
        <f>VLOOKUP(AS70,'Axe 2 Règles de gestion'!$D$2:$F$41,3, FALSE)</f>
        <v>La durée réelle de l'affectation en position normale d'activité hors de l'administration d'origine est fixée à 3 ans.</v>
      </c>
      <c r="AU70" s="17" t="s">
        <v>111</v>
      </c>
      <c r="AV70" s="18" t="str">
        <f>VLOOKUP(AU70,'Axe 2 Règles de gestion'!$D$2:$F$41,3, FALSE)</f>
        <v>La date de début de position doit être antérieure ou égale à la date de fin réelle de position.</v>
      </c>
      <c r="AW70" s="17" t="s">
        <v>113</v>
      </c>
      <c r="AX70" s="18" t="str">
        <f>VLOOKUP(AW70,'Axe 2 Règles de gestion'!$D$2:$F$41,3, FALSE)</f>
        <v>La date de début de position doit être antérieure ou égale à la date de fin prévisionnelle de position.</v>
      </c>
      <c r="AY70" s="17" t="s">
        <v>115</v>
      </c>
      <c r="AZ70" s="18" t="str">
        <f>VLOOKUP(AY70,'Axe 2 Règles de gestion'!$D$2:$F$41,3, FALSE)</f>
        <v>La date de fin réelle de la position doit être antérieure à la date limite de départ à la retraite.</v>
      </c>
      <c r="BA70" s="17" t="s">
        <v>117</v>
      </c>
      <c r="BB70" s="18" t="str">
        <f>VLOOKUP(BA70,'Axe 2 Règles de gestion'!$D$2:$F$41,3, FALSE)</f>
        <v>La date de fin prévisionnelle de la position doit être antérieure à la date limite de départ à la retraite.</v>
      </c>
      <c r="BC70" s="17" t="s">
        <v>119</v>
      </c>
      <c r="BD70" s="18" t="str">
        <f>VLOOKUP(BC70,'Axe 2 Règles de gestion'!$D$2:$F$41,3, FALSE)</f>
        <v>Les champs "Type d'organisme d'origine", "Catégorie statutaire d'origine" et "Pays" de l'organisme d'origine doivent être renseignés.</v>
      </c>
      <c r="BE70" s="17" t="s">
        <v>121</v>
      </c>
      <c r="BF70" s="18" t="str">
        <f>VLOOKUP(BE70,'Axe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70" s="17" t="s">
        <v>123</v>
      </c>
      <c r="BH70" s="18" t="str">
        <f>VLOOKUP(BG70,'Axe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70" s="17" t="s">
        <v>125</v>
      </c>
      <c r="BJ70" s="18" t="str">
        <f>VLOOKUP(BI70,'Axe 2 Règles de gestion'!$D$2:$F$41,3, FALSE)</f>
        <v>Le champ "Code emploi statutaire FPT (NET)" est renseigné si le "Type d'organisme d'origine" est valorisé à FPT.</v>
      </c>
      <c r="BK70" s="17" t="s">
        <v>127</v>
      </c>
      <c r="BL70" s="18" t="str">
        <f>VLOOKUP(BK70,'Axe 2 Règles de gestion'!$D$2:$F$41,3, FALSE)</f>
        <v>Le champ "Code emploi statutaire FPH (NEH)" est renseigné si le "Type d'organisme d'origine" est valorisé à FPH.</v>
      </c>
      <c r="BM70" s="17"/>
      <c r="BN70" s="18"/>
      <c r="BO70" s="17"/>
      <c r="BP70" s="18"/>
      <c r="BQ70" s="14" t="s">
        <v>84</v>
      </c>
      <c r="BR70" s="16" t="s">
        <v>84</v>
      </c>
    </row>
    <row r="71" spans="1:70" ht="75" x14ac:dyDescent="0.25">
      <c r="A71" s="14" t="s">
        <v>133</v>
      </c>
      <c r="B71" s="14" t="s">
        <v>129</v>
      </c>
      <c r="C71" s="15">
        <v>43999.684027777781</v>
      </c>
      <c r="D71" s="14" t="s">
        <v>73</v>
      </c>
      <c r="E71" s="16" t="s">
        <v>74</v>
      </c>
      <c r="F71" s="14" t="s">
        <v>75</v>
      </c>
      <c r="G71" s="16" t="s">
        <v>76</v>
      </c>
      <c r="H71" s="14" t="s">
        <v>205</v>
      </c>
      <c r="I71" s="16" t="s">
        <v>206</v>
      </c>
      <c r="J71" s="16" t="s">
        <v>207</v>
      </c>
      <c r="K71" s="16" t="s">
        <v>208</v>
      </c>
      <c r="L71" s="14" t="s">
        <v>209</v>
      </c>
      <c r="M71" s="16" t="s">
        <v>210</v>
      </c>
      <c r="N71" s="14" t="s">
        <v>178</v>
      </c>
      <c r="O71" s="16" t="s">
        <v>179</v>
      </c>
      <c r="P71" s="16" t="s">
        <v>180</v>
      </c>
      <c r="Q71" s="16" t="s">
        <v>138</v>
      </c>
      <c r="R71" s="14" t="s">
        <v>139</v>
      </c>
      <c r="S71" s="14" t="s">
        <v>72</v>
      </c>
      <c r="T71" s="14" t="s">
        <v>88</v>
      </c>
      <c r="U71" s="14" t="s">
        <v>140</v>
      </c>
      <c r="V71" s="15">
        <v>43939</v>
      </c>
      <c r="W71" s="15"/>
      <c r="X71" s="16" t="s">
        <v>84</v>
      </c>
      <c r="Y71" s="17"/>
      <c r="Z71" s="18"/>
      <c r="AA71" s="17"/>
      <c r="AB71" s="18"/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7"/>
      <c r="AP71" s="18"/>
      <c r="AQ71" s="17"/>
      <c r="AR71" s="18"/>
      <c r="AS71" s="17"/>
      <c r="AT71" s="18"/>
      <c r="AU71" s="17"/>
      <c r="AV71" s="18"/>
      <c r="AW71" s="17"/>
      <c r="AX71" s="18"/>
      <c r="AY71" s="17"/>
      <c r="AZ71" s="18"/>
      <c r="BA71" s="17"/>
      <c r="BB71" s="18"/>
      <c r="BC71" s="17"/>
      <c r="BD71" s="18"/>
      <c r="BE71" s="17"/>
      <c r="BF71" s="18"/>
      <c r="BG71" s="17"/>
      <c r="BH71" s="18"/>
      <c r="BI71" s="17"/>
      <c r="BJ71" s="18"/>
      <c r="BK71" s="17"/>
      <c r="BL71" s="18"/>
      <c r="BM71" s="17"/>
      <c r="BN71" s="18"/>
      <c r="BO71" s="17"/>
      <c r="BP71" s="18"/>
      <c r="BQ71" s="14" t="s">
        <v>84</v>
      </c>
      <c r="BR71" s="16" t="s">
        <v>84</v>
      </c>
    </row>
    <row r="72" spans="1:70" ht="75" x14ac:dyDescent="0.25">
      <c r="A72" s="14" t="s">
        <v>133</v>
      </c>
      <c r="B72" s="14" t="s">
        <v>129</v>
      </c>
      <c r="C72" s="15">
        <v>43999.681944444441</v>
      </c>
      <c r="D72" s="14" t="s">
        <v>73</v>
      </c>
      <c r="E72" s="16" t="s">
        <v>74</v>
      </c>
      <c r="F72" s="14" t="s">
        <v>75</v>
      </c>
      <c r="G72" s="16" t="s">
        <v>76</v>
      </c>
      <c r="H72" s="14" t="s">
        <v>205</v>
      </c>
      <c r="I72" s="16" t="s">
        <v>206</v>
      </c>
      <c r="J72" s="16" t="s">
        <v>207</v>
      </c>
      <c r="K72" s="16" t="s">
        <v>208</v>
      </c>
      <c r="L72" s="14" t="s">
        <v>211</v>
      </c>
      <c r="M72" s="16" t="s">
        <v>212</v>
      </c>
      <c r="N72" s="14" t="s">
        <v>178</v>
      </c>
      <c r="O72" s="16" t="s">
        <v>192</v>
      </c>
      <c r="P72" s="16" t="s">
        <v>193</v>
      </c>
      <c r="Q72" s="16" t="s">
        <v>138</v>
      </c>
      <c r="R72" s="14" t="s">
        <v>139</v>
      </c>
      <c r="S72" s="14" t="s">
        <v>72</v>
      </c>
      <c r="T72" s="14" t="s">
        <v>88</v>
      </c>
      <c r="U72" s="14" t="s">
        <v>140</v>
      </c>
      <c r="V72" s="15">
        <v>43939</v>
      </c>
      <c r="W72" s="15"/>
      <c r="X72" s="16" t="s">
        <v>84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/>
      <c r="AP72" s="18"/>
      <c r="AQ72" s="17"/>
      <c r="AR72" s="18"/>
      <c r="AS72" s="17"/>
      <c r="AT72" s="18"/>
      <c r="AU72" s="17"/>
      <c r="AV72" s="18"/>
      <c r="AW72" s="17"/>
      <c r="AX72" s="18"/>
      <c r="AY72" s="17"/>
      <c r="AZ72" s="18"/>
      <c r="BA72" s="17"/>
      <c r="BB72" s="18"/>
      <c r="BC72" s="17"/>
      <c r="BD72" s="18"/>
      <c r="BE72" s="17"/>
      <c r="BF72" s="18"/>
      <c r="BG72" s="17"/>
      <c r="BH72" s="18"/>
      <c r="BI72" s="17"/>
      <c r="BJ72" s="18"/>
      <c r="BK72" s="17"/>
      <c r="BL72" s="18"/>
      <c r="BM72" s="17"/>
      <c r="BN72" s="18"/>
      <c r="BO72" s="17"/>
      <c r="BP72" s="18"/>
      <c r="BQ72" s="14" t="s">
        <v>84</v>
      </c>
      <c r="BR72" s="16" t="s">
        <v>84</v>
      </c>
    </row>
    <row r="73" spans="1:70" ht="75" x14ac:dyDescent="0.25">
      <c r="A73" s="14" t="s">
        <v>133</v>
      </c>
      <c r="B73" s="14" t="s">
        <v>129</v>
      </c>
      <c r="C73" s="15">
        <v>43999.683333333334</v>
      </c>
      <c r="D73" s="14" t="s">
        <v>73</v>
      </c>
      <c r="E73" s="16" t="s">
        <v>74</v>
      </c>
      <c r="F73" s="14" t="s">
        <v>75</v>
      </c>
      <c r="G73" s="16" t="s">
        <v>76</v>
      </c>
      <c r="H73" s="14" t="s">
        <v>205</v>
      </c>
      <c r="I73" s="16" t="s">
        <v>206</v>
      </c>
      <c r="J73" s="16" t="s">
        <v>207</v>
      </c>
      <c r="K73" s="16" t="s">
        <v>208</v>
      </c>
      <c r="L73" s="14" t="s">
        <v>213</v>
      </c>
      <c r="M73" s="16" t="s">
        <v>214</v>
      </c>
      <c r="N73" s="14" t="s">
        <v>136</v>
      </c>
      <c r="O73" s="16" t="s">
        <v>199</v>
      </c>
      <c r="P73" s="16" t="s">
        <v>200</v>
      </c>
      <c r="Q73" s="16" t="s">
        <v>138</v>
      </c>
      <c r="R73" s="14" t="s">
        <v>139</v>
      </c>
      <c r="S73" s="14" t="s">
        <v>72</v>
      </c>
      <c r="T73" s="14" t="s">
        <v>88</v>
      </c>
      <c r="U73" s="14" t="s">
        <v>140</v>
      </c>
      <c r="V73" s="15">
        <v>43939</v>
      </c>
      <c r="W73" s="15"/>
      <c r="X73" s="16" t="s">
        <v>84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7"/>
      <c r="AP73" s="18"/>
      <c r="AQ73" s="17"/>
      <c r="AR73" s="18"/>
      <c r="AS73" s="17"/>
      <c r="AT73" s="18"/>
      <c r="AU73" s="17"/>
      <c r="AV73" s="18"/>
      <c r="AW73" s="17"/>
      <c r="AX73" s="18"/>
      <c r="AY73" s="17"/>
      <c r="AZ73" s="18"/>
      <c r="BA73" s="17"/>
      <c r="BB73" s="18"/>
      <c r="BC73" s="17"/>
      <c r="BD73" s="18"/>
      <c r="BE73" s="17"/>
      <c r="BF73" s="18"/>
      <c r="BG73" s="17"/>
      <c r="BH73" s="18"/>
      <c r="BI73" s="17"/>
      <c r="BJ73" s="18"/>
      <c r="BK73" s="17"/>
      <c r="BL73" s="18"/>
      <c r="BM73" s="17"/>
      <c r="BN73" s="18"/>
      <c r="BO73" s="17"/>
      <c r="BP73" s="18"/>
      <c r="BQ73" s="14" t="s">
        <v>84</v>
      </c>
      <c r="BR73" s="16" t="s">
        <v>84</v>
      </c>
    </row>
    <row r="74" spans="1:70" ht="75" x14ac:dyDescent="0.25">
      <c r="A74" s="14" t="s">
        <v>133</v>
      </c>
      <c r="B74" s="14" t="s">
        <v>129</v>
      </c>
      <c r="C74" s="15">
        <v>43999.684027777781</v>
      </c>
      <c r="D74" s="14" t="s">
        <v>73</v>
      </c>
      <c r="E74" s="16" t="s">
        <v>74</v>
      </c>
      <c r="F74" s="14" t="s">
        <v>75</v>
      </c>
      <c r="G74" s="16" t="s">
        <v>76</v>
      </c>
      <c r="H74" s="14" t="s">
        <v>205</v>
      </c>
      <c r="I74" s="16" t="s">
        <v>206</v>
      </c>
      <c r="J74" s="16" t="s">
        <v>207</v>
      </c>
      <c r="K74" s="16" t="s">
        <v>208</v>
      </c>
      <c r="L74" s="14" t="s">
        <v>209</v>
      </c>
      <c r="M74" s="16" t="s">
        <v>210</v>
      </c>
      <c r="N74" s="14" t="s">
        <v>178</v>
      </c>
      <c r="O74" s="16" t="s">
        <v>179</v>
      </c>
      <c r="P74" s="16" t="s">
        <v>180</v>
      </c>
      <c r="Q74" s="16" t="s">
        <v>141</v>
      </c>
      <c r="R74" s="14" t="s">
        <v>142</v>
      </c>
      <c r="S74" s="14" t="s">
        <v>143</v>
      </c>
      <c r="T74" s="14" t="s">
        <v>88</v>
      </c>
      <c r="U74" s="14" t="s">
        <v>140</v>
      </c>
      <c r="V74" s="15">
        <v>43939</v>
      </c>
      <c r="W74" s="15"/>
      <c r="X74" s="16" t="s">
        <v>84</v>
      </c>
      <c r="Y74" s="17"/>
      <c r="Z74" s="18"/>
      <c r="AA74" s="17"/>
      <c r="AB74" s="18"/>
      <c r="AC74" s="17"/>
      <c r="AD74" s="18"/>
      <c r="AE74" s="17"/>
      <c r="AF74" s="18"/>
      <c r="AG74" s="17"/>
      <c r="AH74" s="18"/>
      <c r="AI74" s="17"/>
      <c r="AJ74" s="18"/>
      <c r="AK74" s="17"/>
      <c r="AL74" s="18"/>
      <c r="AM74" s="17"/>
      <c r="AN74" s="18"/>
      <c r="AO74" s="17"/>
      <c r="AP74" s="18"/>
      <c r="AQ74" s="17"/>
      <c r="AR74" s="18"/>
      <c r="AS74" s="17"/>
      <c r="AT74" s="18"/>
      <c r="AU74" s="17"/>
      <c r="AV74" s="18"/>
      <c r="AW74" s="17"/>
      <c r="AX74" s="18"/>
      <c r="AY74" s="17"/>
      <c r="AZ74" s="18"/>
      <c r="BA74" s="17"/>
      <c r="BB74" s="18"/>
      <c r="BC74" s="17"/>
      <c r="BD74" s="18"/>
      <c r="BE74" s="17"/>
      <c r="BF74" s="18"/>
      <c r="BG74" s="17"/>
      <c r="BH74" s="18"/>
      <c r="BI74" s="17"/>
      <c r="BJ74" s="18"/>
      <c r="BK74" s="17"/>
      <c r="BL74" s="18"/>
      <c r="BM74" s="17"/>
      <c r="BN74" s="18"/>
      <c r="BO74" s="17"/>
      <c r="BP74" s="18"/>
      <c r="BQ74" s="14" t="s">
        <v>84</v>
      </c>
      <c r="BR74" s="16" t="s">
        <v>84</v>
      </c>
    </row>
    <row r="75" spans="1:70" ht="75" x14ac:dyDescent="0.25">
      <c r="A75" s="14" t="s">
        <v>133</v>
      </c>
      <c r="B75" s="14" t="s">
        <v>129</v>
      </c>
      <c r="C75" s="15">
        <v>43999.682638888888</v>
      </c>
      <c r="D75" s="14" t="s">
        <v>73</v>
      </c>
      <c r="E75" s="16" t="s">
        <v>74</v>
      </c>
      <c r="F75" s="14" t="s">
        <v>75</v>
      </c>
      <c r="G75" s="16" t="s">
        <v>76</v>
      </c>
      <c r="H75" s="14" t="s">
        <v>205</v>
      </c>
      <c r="I75" s="16" t="s">
        <v>206</v>
      </c>
      <c r="J75" s="16" t="s">
        <v>207</v>
      </c>
      <c r="K75" s="16" t="s">
        <v>208</v>
      </c>
      <c r="L75" s="14" t="s">
        <v>211</v>
      </c>
      <c r="M75" s="16" t="s">
        <v>212</v>
      </c>
      <c r="N75" s="14" t="s">
        <v>178</v>
      </c>
      <c r="O75" s="16" t="s">
        <v>192</v>
      </c>
      <c r="P75" s="16" t="s">
        <v>193</v>
      </c>
      <c r="Q75" s="16" t="s">
        <v>141</v>
      </c>
      <c r="R75" s="14" t="s">
        <v>142</v>
      </c>
      <c r="S75" s="14" t="s">
        <v>143</v>
      </c>
      <c r="T75" s="14" t="s">
        <v>88</v>
      </c>
      <c r="U75" s="14" t="s">
        <v>140</v>
      </c>
      <c r="V75" s="15">
        <v>43939</v>
      </c>
      <c r="W75" s="15"/>
      <c r="X75" s="16" t="s">
        <v>84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7"/>
      <c r="AP75" s="18"/>
      <c r="AQ75" s="17"/>
      <c r="AR75" s="18"/>
      <c r="AS75" s="17"/>
      <c r="AT75" s="18"/>
      <c r="AU75" s="17"/>
      <c r="AV75" s="18"/>
      <c r="AW75" s="17"/>
      <c r="AX75" s="18"/>
      <c r="AY75" s="17"/>
      <c r="AZ75" s="18"/>
      <c r="BA75" s="17"/>
      <c r="BB75" s="18"/>
      <c r="BC75" s="17"/>
      <c r="BD75" s="18"/>
      <c r="BE75" s="17"/>
      <c r="BF75" s="18"/>
      <c r="BG75" s="17"/>
      <c r="BH75" s="18"/>
      <c r="BI75" s="17"/>
      <c r="BJ75" s="18"/>
      <c r="BK75" s="17"/>
      <c r="BL75" s="18"/>
      <c r="BM75" s="17"/>
      <c r="BN75" s="18"/>
      <c r="BO75" s="17"/>
      <c r="BP75" s="18"/>
      <c r="BQ75" s="14" t="s">
        <v>84</v>
      </c>
      <c r="BR75" s="16" t="s">
        <v>84</v>
      </c>
    </row>
    <row r="76" spans="1:70" ht="75" x14ac:dyDescent="0.25">
      <c r="A76" s="14" t="s">
        <v>133</v>
      </c>
      <c r="B76" s="14" t="s">
        <v>129</v>
      </c>
      <c r="C76" s="15">
        <v>43999.683333333334</v>
      </c>
      <c r="D76" s="14" t="s">
        <v>73</v>
      </c>
      <c r="E76" s="16" t="s">
        <v>74</v>
      </c>
      <c r="F76" s="14" t="s">
        <v>75</v>
      </c>
      <c r="G76" s="16" t="s">
        <v>76</v>
      </c>
      <c r="H76" s="14" t="s">
        <v>205</v>
      </c>
      <c r="I76" s="16" t="s">
        <v>206</v>
      </c>
      <c r="J76" s="16" t="s">
        <v>207</v>
      </c>
      <c r="K76" s="16" t="s">
        <v>208</v>
      </c>
      <c r="L76" s="14" t="s">
        <v>213</v>
      </c>
      <c r="M76" s="16" t="s">
        <v>214</v>
      </c>
      <c r="N76" s="14" t="s">
        <v>136</v>
      </c>
      <c r="O76" s="16" t="s">
        <v>199</v>
      </c>
      <c r="P76" s="16" t="s">
        <v>200</v>
      </c>
      <c r="Q76" s="16" t="s">
        <v>141</v>
      </c>
      <c r="R76" s="14" t="s">
        <v>142</v>
      </c>
      <c r="S76" s="14" t="s">
        <v>143</v>
      </c>
      <c r="T76" s="14" t="s">
        <v>88</v>
      </c>
      <c r="U76" s="14" t="s">
        <v>140</v>
      </c>
      <c r="V76" s="15">
        <v>43939</v>
      </c>
      <c r="W76" s="15"/>
      <c r="X76" s="16" t="s">
        <v>84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7"/>
      <c r="AP76" s="18"/>
      <c r="AQ76" s="17"/>
      <c r="AR76" s="18"/>
      <c r="AS76" s="17"/>
      <c r="AT76" s="18"/>
      <c r="AU76" s="17"/>
      <c r="AV76" s="18"/>
      <c r="AW76" s="17"/>
      <c r="AX76" s="18"/>
      <c r="AY76" s="17"/>
      <c r="AZ76" s="18"/>
      <c r="BA76" s="17"/>
      <c r="BB76" s="18"/>
      <c r="BC76" s="17"/>
      <c r="BD76" s="18"/>
      <c r="BE76" s="17"/>
      <c r="BF76" s="18"/>
      <c r="BG76" s="17"/>
      <c r="BH76" s="18"/>
      <c r="BI76" s="17"/>
      <c r="BJ76" s="18"/>
      <c r="BK76" s="17"/>
      <c r="BL76" s="18"/>
      <c r="BM76" s="17"/>
      <c r="BN76" s="18"/>
      <c r="BO76" s="17"/>
      <c r="BP76" s="18"/>
      <c r="BQ76" s="14" t="s">
        <v>84</v>
      </c>
      <c r="BR76" s="16" t="s">
        <v>84</v>
      </c>
    </row>
    <row r="77" spans="1:70" ht="105" x14ac:dyDescent="0.25">
      <c r="A77" s="14" t="s">
        <v>133</v>
      </c>
      <c r="B77" s="14" t="s">
        <v>129</v>
      </c>
      <c r="C77" s="15">
        <v>44005.594444444447</v>
      </c>
      <c r="D77" s="14" t="s">
        <v>73</v>
      </c>
      <c r="E77" s="16" t="s">
        <v>74</v>
      </c>
      <c r="F77" s="14" t="s">
        <v>75</v>
      </c>
      <c r="G77" s="16" t="s">
        <v>76</v>
      </c>
      <c r="H77" s="14" t="s">
        <v>205</v>
      </c>
      <c r="I77" s="16" t="s">
        <v>206</v>
      </c>
      <c r="J77" s="16" t="s">
        <v>207</v>
      </c>
      <c r="K77" s="16" t="s">
        <v>208</v>
      </c>
      <c r="L77" s="14" t="s">
        <v>209</v>
      </c>
      <c r="M77" s="16" t="s">
        <v>210</v>
      </c>
      <c r="N77" s="14" t="s">
        <v>178</v>
      </c>
      <c r="O77" s="16" t="s">
        <v>179</v>
      </c>
      <c r="P77" s="16" t="s">
        <v>180</v>
      </c>
      <c r="Q77" s="16" t="s">
        <v>144</v>
      </c>
      <c r="R77" s="14" t="s">
        <v>145</v>
      </c>
      <c r="S77" s="14" t="s">
        <v>146</v>
      </c>
      <c r="T77" s="14" t="s">
        <v>88</v>
      </c>
      <c r="U77" s="14" t="s">
        <v>89</v>
      </c>
      <c r="V77" s="15">
        <v>43939</v>
      </c>
      <c r="W77" s="15"/>
      <c r="X77" s="16" t="s">
        <v>181</v>
      </c>
      <c r="Y77" s="17" t="s">
        <v>182</v>
      </c>
      <c r="Z77" s="18" t="str">
        <f>VLOOKUP(Y77,'Axe 2 Règles de gestion'!$D$2:$F$41,3, FALSE)</f>
        <v>L'administration d'accueil fait connaître à l'administration d'origine et à l'agent sa décision de renouveler ou non son affectation 4 mois avant le terme de la période.</v>
      </c>
      <c r="AA77" s="17" t="s">
        <v>184</v>
      </c>
      <c r="AB77" s="18" t="str">
        <f>VLOOKUP(AA77,'Axe 2 Règles de gestion'!$D$2:$F$41,3, FALSE)</f>
        <v>Pour les positions normales d'activité prises avant le 18/04/2020, le renouvellement n'est pas possible.</v>
      </c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7"/>
      <c r="AP77" s="18"/>
      <c r="AQ77" s="17" t="s">
        <v>186</v>
      </c>
      <c r="AR77" s="18" t="str">
        <f>VLOOKUP(AQ77,'Axe 2 Règles de gestion'!$D$2:$F$41,3, FALSE)</f>
        <v>La durée prévisionnelle de l'affectation en position normale d'activité hors de l'administration d'origine est fixée à 3 ans.</v>
      </c>
      <c r="AS77" s="17" t="s">
        <v>188</v>
      </c>
      <c r="AT77" s="18" t="str">
        <f>VLOOKUP(AS77,'Axe 2 Règles de gestion'!$D$2:$F$41,3, FALSE)</f>
        <v>La durée réelle de l'affectation en position normale d'activité hors de l'administration d'origine est fixée à 3 ans.</v>
      </c>
      <c r="AU77" s="17"/>
      <c r="AV77" s="18"/>
      <c r="AW77" s="17"/>
      <c r="AX77" s="18"/>
      <c r="AY77" s="17"/>
      <c r="AZ77" s="18"/>
      <c r="BA77" s="17"/>
      <c r="BB77" s="18"/>
      <c r="BC77" s="17"/>
      <c r="BD77" s="18"/>
      <c r="BE77" s="17"/>
      <c r="BF77" s="18"/>
      <c r="BG77" s="17"/>
      <c r="BH77" s="18"/>
      <c r="BI77" s="17"/>
      <c r="BJ77" s="18"/>
      <c r="BK77" s="17"/>
      <c r="BL77" s="18"/>
      <c r="BM77" s="17"/>
      <c r="BN77" s="18"/>
      <c r="BO77" s="17"/>
      <c r="BP77" s="18"/>
      <c r="BQ77" s="14" t="s">
        <v>84</v>
      </c>
      <c r="BR77" s="16" t="s">
        <v>84</v>
      </c>
    </row>
    <row r="78" spans="1:70" ht="135" x14ac:dyDescent="0.25">
      <c r="A78" s="14" t="s">
        <v>71</v>
      </c>
      <c r="B78" s="14" t="s">
        <v>72</v>
      </c>
      <c r="C78" s="15">
        <v>44711.480555555558</v>
      </c>
      <c r="D78" s="14" t="s">
        <v>73</v>
      </c>
      <c r="E78" s="16" t="s">
        <v>74</v>
      </c>
      <c r="F78" s="14" t="s">
        <v>75</v>
      </c>
      <c r="G78" s="16" t="s">
        <v>76</v>
      </c>
      <c r="H78" s="14" t="s">
        <v>205</v>
      </c>
      <c r="I78" s="16" t="s">
        <v>206</v>
      </c>
      <c r="J78" s="16" t="s">
        <v>207</v>
      </c>
      <c r="K78" s="16" t="s">
        <v>208</v>
      </c>
      <c r="L78" s="14" t="s">
        <v>211</v>
      </c>
      <c r="M78" s="16" t="s">
        <v>212</v>
      </c>
      <c r="N78" s="14" t="s">
        <v>178</v>
      </c>
      <c r="O78" s="16" t="s">
        <v>192</v>
      </c>
      <c r="P78" s="16" t="s">
        <v>193</v>
      </c>
      <c r="Q78" s="16" t="s">
        <v>144</v>
      </c>
      <c r="R78" s="14" t="s">
        <v>145</v>
      </c>
      <c r="S78" s="14" t="s">
        <v>146</v>
      </c>
      <c r="T78" s="14" t="s">
        <v>88</v>
      </c>
      <c r="U78" s="14" t="s">
        <v>89</v>
      </c>
      <c r="V78" s="15">
        <v>43939</v>
      </c>
      <c r="W78" s="15"/>
      <c r="X78" s="16" t="s">
        <v>204</v>
      </c>
      <c r="Y78" s="17" t="s">
        <v>91</v>
      </c>
      <c r="Z78" s="18" t="str">
        <f>VLOOKUP(Y78,'Axe 2 Règles de gestion'!$D$2:$F$41,3, FALSE)</f>
        <v>L'agent doit effectuer une demande.</v>
      </c>
      <c r="AA78" s="17" t="s">
        <v>93</v>
      </c>
      <c r="AB78" s="18" t="str">
        <f>VLOOKUP(AA78,'Axe 2 Règles de gestion'!$D$2:$F$41,3, FALSE)</f>
        <v>L'affectation intervient à l'initiative de l'agent ou de l'administration.</v>
      </c>
      <c r="AC78" s="17" t="s">
        <v>97</v>
      </c>
      <c r="AD78" s="18" t="str">
        <f>VLOOKUP(AC78,'Axe 2 Règles de gestion'!$D$2:$F$41,3, FALSE)</f>
        <v>Un avis conforme de l'administration d'accueil a préalablement été transmis à l'administration d'origine sauf dans le cadre d'un transfert de service.</v>
      </c>
      <c r="AE78" s="17" t="s">
        <v>99</v>
      </c>
      <c r="AF78" s="18" t="str">
        <f>VLOOKUP(AE78,'Axe 2 Règles de gestion'!$D$2:$F$41,3, FALSE)</f>
        <v>Lorsque l'affectation de l'agent est prononcée dans un établissement public, le ministère de tutelle en est préalablement informé.</v>
      </c>
      <c r="AG78" s="17" t="s">
        <v>195</v>
      </c>
      <c r="AH78" s="18" t="str">
        <f>VLOOKUP(AG78,'Axe 2 Règles de gestion'!$D$2:$F$41,3, FALSE)</f>
        <v>Pour les positions normales d'activité prises avant le 18/04/2020, la limitation de durée ne s'applique pas.</v>
      </c>
      <c r="AI78" s="17"/>
      <c r="AJ78" s="18"/>
      <c r="AK78" s="17"/>
      <c r="AL78" s="18"/>
      <c r="AM78" s="17"/>
      <c r="AN78" s="18"/>
      <c r="AO78" s="17"/>
      <c r="AP78" s="18"/>
      <c r="AQ78" s="17" t="s">
        <v>186</v>
      </c>
      <c r="AR78" s="18" t="str">
        <f>VLOOKUP(AQ78,'Axe 2 Règles de gestion'!$D$2:$F$41,3, FALSE)</f>
        <v>La durée prévisionnelle de l'affectation en position normale d'activité hors de l'administration d'origine est fixée à 3 ans.</v>
      </c>
      <c r="AS78" s="17" t="s">
        <v>188</v>
      </c>
      <c r="AT78" s="18" t="str">
        <f>VLOOKUP(AS78,'Axe 2 Règles de gestion'!$D$2:$F$41,3, FALSE)</f>
        <v>La durée réelle de l'affectation en position normale d'activité hors de l'administration d'origine est fixée à 3 ans.</v>
      </c>
      <c r="AU78" s="17" t="s">
        <v>107</v>
      </c>
      <c r="AV78" s="18" t="str">
        <f>VLOOKUP(AU78,'Axe 2 Règles de gestion'!$D$2:$F$41,3, FALSE)</f>
        <v>La date de début de la position doit être postérieure ou égale à la date d'entrée dans la FPE ou dans la carrière militaire.</v>
      </c>
      <c r="AW78" s="17" t="s">
        <v>109</v>
      </c>
      <c r="AX78" s="18" t="str">
        <f>VLOOKUP(AW78,'Axe 2 Règles de gestion'!$D$2:$F$41,3, FALSE)</f>
        <v>La date de début de position est à J+1 de la date de fin de position de l'occurrence précédente.</v>
      </c>
      <c r="AY78" s="17" t="s">
        <v>111</v>
      </c>
      <c r="AZ78" s="18" t="str">
        <f>VLOOKUP(AY78,'Axe 2 Règles de gestion'!$D$2:$F$41,3, FALSE)</f>
        <v>La date de début de position doit être antérieure ou égale à la date de fin réelle de position.</v>
      </c>
      <c r="BA78" s="17" t="s">
        <v>113</v>
      </c>
      <c r="BB78" s="18" t="str">
        <f>VLOOKUP(BA78,'Axe 2 Règles de gestion'!$D$2:$F$41,3, FALSE)</f>
        <v>La date de début de position doit être antérieure ou égale à la date de fin prévisionnelle de position.</v>
      </c>
      <c r="BC78" s="17" t="s">
        <v>115</v>
      </c>
      <c r="BD78" s="18" t="str">
        <f>VLOOKUP(BC78,'Axe 2 Règles de gestion'!$D$2:$F$41,3, FALSE)</f>
        <v>La date de fin réelle de la position doit être antérieure à la date limite de départ à la retraite.</v>
      </c>
      <c r="BE78" s="17" t="s">
        <v>117</v>
      </c>
      <c r="BF78" s="18" t="str">
        <f>VLOOKUP(BE78,'Axe 2 Règles de gestion'!$D$2:$F$41,3, FALSE)</f>
        <v>La date de fin prévisionnelle de la position doit être antérieure à la date limite de départ à la retraite.</v>
      </c>
      <c r="BG78" s="17" t="s">
        <v>119</v>
      </c>
      <c r="BH78" s="18" t="str">
        <f>VLOOKUP(BG78,'Axe 2 Règles de gestion'!$D$2:$F$41,3, FALSE)</f>
        <v>Les champs "Type d'organisme d'origine", "Catégorie statutaire d'origine" et "Pays" de l'organisme d'origine doivent être renseignés.</v>
      </c>
      <c r="BI78" s="17" t="s">
        <v>121</v>
      </c>
      <c r="BJ78" s="18" t="str">
        <f>VLOOKUP(BI78,'Axe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78" s="17" t="s">
        <v>123</v>
      </c>
      <c r="BL78" s="18" t="str">
        <f>VLOOKUP(BK78,'Axe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78" s="17" t="s">
        <v>125</v>
      </c>
      <c r="BN78" s="18" t="str">
        <f>VLOOKUP(BM78,'Axe 2 Règles de gestion'!$D$2:$F$41,3, FALSE)</f>
        <v>Le champ "Code emploi statutaire FPT (NET)" est renseigné si le "Type d'organisme d'origine" est valorisé à FPT.</v>
      </c>
      <c r="BO78" s="17" t="s">
        <v>127</v>
      </c>
      <c r="BP78" s="18" t="str">
        <f>VLOOKUP(BO78,'Axe 2 Règles de gestion'!$D$2:$F$41,3, FALSE)</f>
        <v>Le champ "Code emploi statutaire FPH (NEH)" est renseigné si le "Type d'organisme d'origine" est valorisé à FPH.</v>
      </c>
      <c r="BQ78" s="14" t="s">
        <v>84</v>
      </c>
      <c r="BR78" s="16" t="s">
        <v>84</v>
      </c>
    </row>
    <row r="79" spans="1:70" ht="135" x14ac:dyDescent="0.25">
      <c r="A79" s="14" t="s">
        <v>133</v>
      </c>
      <c r="B79" s="14" t="s">
        <v>129</v>
      </c>
      <c r="C79" s="15">
        <v>44721.456250000003</v>
      </c>
      <c r="D79" s="14" t="s">
        <v>73</v>
      </c>
      <c r="E79" s="16" t="s">
        <v>74</v>
      </c>
      <c r="F79" s="14" t="s">
        <v>75</v>
      </c>
      <c r="G79" s="16" t="s">
        <v>76</v>
      </c>
      <c r="H79" s="14" t="s">
        <v>205</v>
      </c>
      <c r="I79" s="16" t="s">
        <v>206</v>
      </c>
      <c r="J79" s="16" t="s">
        <v>207</v>
      </c>
      <c r="K79" s="16" t="s">
        <v>208</v>
      </c>
      <c r="L79" s="14" t="s">
        <v>213</v>
      </c>
      <c r="M79" s="16" t="s">
        <v>214</v>
      </c>
      <c r="N79" s="14" t="s">
        <v>136</v>
      </c>
      <c r="O79" s="16" t="s">
        <v>199</v>
      </c>
      <c r="P79" s="16" t="s">
        <v>200</v>
      </c>
      <c r="Q79" s="16" t="s">
        <v>144</v>
      </c>
      <c r="R79" s="14" t="s">
        <v>145</v>
      </c>
      <c r="S79" s="14" t="s">
        <v>146</v>
      </c>
      <c r="T79" s="14" t="s">
        <v>88</v>
      </c>
      <c r="U79" s="14" t="s">
        <v>89</v>
      </c>
      <c r="V79" s="15">
        <v>43939</v>
      </c>
      <c r="W79" s="15"/>
      <c r="X79" s="16" t="s">
        <v>201</v>
      </c>
      <c r="Y79" s="17" t="s">
        <v>182</v>
      </c>
      <c r="Z79" s="18" t="str">
        <f>VLOOKUP(Y79,'Axe 2 Règles de gestion'!$D$2:$F$41,3, FALSE)</f>
        <v>L'administration d'accueil fait connaître à l'administration d'origine et à l'agent sa décision de renouveler ou non son affectation 4 mois avant le terme de la période.</v>
      </c>
      <c r="AA79" s="17" t="s">
        <v>202</v>
      </c>
      <c r="AB79" s="18" t="str">
        <f>VLOOKUP(AA79,'Axe 2 Règles de gestion'!$D$2:$F$41,3, FALSE)</f>
        <v>Lorsque l'administration d'accueil décide de ne pas renouveler l'affectation, l'agent est réintégré dans le département ministériel dont il relève, au besoin en surnombre.</v>
      </c>
      <c r="AC79" s="17" t="s">
        <v>195</v>
      </c>
      <c r="AD79" s="18" t="str">
        <f>VLOOKUP(AC79,'Axe 2 Règles de gestion'!$D$2:$F$41,3, FALSE)</f>
        <v>Pour les positions normales d'activité prises avant le 18/04/2020, la limitation de durée ne s'applique pas.</v>
      </c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7"/>
      <c r="AP79" s="18"/>
      <c r="AQ79" s="17" t="s">
        <v>186</v>
      </c>
      <c r="AR79" s="18" t="str">
        <f>VLOOKUP(AQ79,'Axe 2 Règles de gestion'!$D$2:$F$41,3, FALSE)</f>
        <v>La durée prévisionnelle de l'affectation en position normale d'activité hors de l'administration d'origine est fixée à 3 ans.</v>
      </c>
      <c r="AS79" s="17" t="s">
        <v>188</v>
      </c>
      <c r="AT79" s="18" t="str">
        <f>VLOOKUP(AS79,'Axe 2 Règles de gestion'!$D$2:$F$41,3, FALSE)</f>
        <v>La durée réelle de l'affectation en position normale d'activité hors de l'administration d'origine est fixée à 3 ans.</v>
      </c>
      <c r="AU79" s="17" t="s">
        <v>111</v>
      </c>
      <c r="AV79" s="18" t="str">
        <f>VLOOKUP(AU79,'Axe 2 Règles de gestion'!$D$2:$F$41,3, FALSE)</f>
        <v>La date de début de position doit être antérieure ou égale à la date de fin réelle de position.</v>
      </c>
      <c r="AW79" s="17" t="s">
        <v>113</v>
      </c>
      <c r="AX79" s="18" t="str">
        <f>VLOOKUP(AW79,'Axe 2 Règles de gestion'!$D$2:$F$41,3, FALSE)</f>
        <v>La date de début de position doit être antérieure ou égale à la date de fin prévisionnelle de position.</v>
      </c>
      <c r="AY79" s="17" t="s">
        <v>115</v>
      </c>
      <c r="AZ79" s="18" t="str">
        <f>VLOOKUP(AY79,'Axe 2 Règles de gestion'!$D$2:$F$41,3, FALSE)</f>
        <v>La date de fin réelle de la position doit être antérieure à la date limite de départ à la retraite.</v>
      </c>
      <c r="BA79" s="17" t="s">
        <v>117</v>
      </c>
      <c r="BB79" s="18" t="str">
        <f>VLOOKUP(BA79,'Axe 2 Règles de gestion'!$D$2:$F$41,3, FALSE)</f>
        <v>La date de fin prévisionnelle de la position doit être antérieure à la date limite de départ à la retraite.</v>
      </c>
      <c r="BC79" s="17" t="s">
        <v>119</v>
      </c>
      <c r="BD79" s="18" t="str">
        <f>VLOOKUP(BC79,'Axe 2 Règles de gestion'!$D$2:$F$41,3, FALSE)</f>
        <v>Les champs "Type d'organisme d'origine", "Catégorie statutaire d'origine" et "Pays" de l'organisme d'origine doivent être renseignés.</v>
      </c>
      <c r="BE79" s="17" t="s">
        <v>121</v>
      </c>
      <c r="BF79" s="18" t="str">
        <f>VLOOKUP(BE79,'Axe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79" s="17" t="s">
        <v>123</v>
      </c>
      <c r="BH79" s="18" t="str">
        <f>VLOOKUP(BG79,'Axe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79" s="17" t="s">
        <v>125</v>
      </c>
      <c r="BJ79" s="18" t="str">
        <f>VLOOKUP(BI79,'Axe 2 Règles de gestion'!$D$2:$F$41,3, FALSE)</f>
        <v>Le champ "Code emploi statutaire FPT (NET)" est renseigné si le "Type d'organisme d'origine" est valorisé à FPT.</v>
      </c>
      <c r="BK79" s="17" t="s">
        <v>127</v>
      </c>
      <c r="BL79" s="18" t="str">
        <f>VLOOKUP(BK79,'Axe 2 Règles de gestion'!$D$2:$F$41,3, FALSE)</f>
        <v>Le champ "Code emploi statutaire FPH (NEH)" est renseigné si le "Type d'organisme d'origine" est valorisé à FPH.</v>
      </c>
      <c r="BM79" s="17"/>
      <c r="BN79" s="18"/>
      <c r="BO79" s="17"/>
      <c r="BP79" s="18"/>
      <c r="BQ79" s="14" t="s">
        <v>84</v>
      </c>
      <c r="BR79" s="16" t="s">
        <v>84</v>
      </c>
    </row>
    <row r="80" spans="1:70" ht="75" x14ac:dyDescent="0.25">
      <c r="A80" s="14" t="s">
        <v>133</v>
      </c>
      <c r="B80" s="14" t="s">
        <v>129</v>
      </c>
      <c r="C80" s="15">
        <v>43999.68472222222</v>
      </c>
      <c r="D80" s="14" t="s">
        <v>73</v>
      </c>
      <c r="E80" s="16" t="s">
        <v>74</v>
      </c>
      <c r="F80" s="14" t="s">
        <v>75</v>
      </c>
      <c r="G80" s="16" t="s">
        <v>76</v>
      </c>
      <c r="H80" s="14" t="s">
        <v>205</v>
      </c>
      <c r="I80" s="16" t="s">
        <v>206</v>
      </c>
      <c r="J80" s="16" t="s">
        <v>207</v>
      </c>
      <c r="K80" s="16" t="s">
        <v>208</v>
      </c>
      <c r="L80" s="14" t="s">
        <v>209</v>
      </c>
      <c r="M80" s="16" t="s">
        <v>210</v>
      </c>
      <c r="N80" s="14" t="s">
        <v>178</v>
      </c>
      <c r="O80" s="16" t="s">
        <v>179</v>
      </c>
      <c r="P80" s="16" t="s">
        <v>180</v>
      </c>
      <c r="Q80" s="16" t="s">
        <v>148</v>
      </c>
      <c r="R80" s="14" t="s">
        <v>149</v>
      </c>
      <c r="S80" s="14" t="s">
        <v>150</v>
      </c>
      <c r="T80" s="14" t="s">
        <v>88</v>
      </c>
      <c r="U80" s="14" t="s">
        <v>140</v>
      </c>
      <c r="V80" s="15">
        <v>43939</v>
      </c>
      <c r="W80" s="15"/>
      <c r="X80" s="16" t="s">
        <v>84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7"/>
      <c r="AP80" s="18"/>
      <c r="AQ80" s="17"/>
      <c r="AR80" s="18"/>
      <c r="AS80" s="17"/>
      <c r="AT80" s="18"/>
      <c r="AU80" s="17"/>
      <c r="AV80" s="18"/>
      <c r="AW80" s="17"/>
      <c r="AX80" s="18"/>
      <c r="AY80" s="17"/>
      <c r="AZ80" s="18"/>
      <c r="BA80" s="17"/>
      <c r="BB80" s="18"/>
      <c r="BC80" s="17"/>
      <c r="BD80" s="18"/>
      <c r="BE80" s="17"/>
      <c r="BF80" s="18"/>
      <c r="BG80" s="17"/>
      <c r="BH80" s="18"/>
      <c r="BI80" s="17"/>
      <c r="BJ80" s="18"/>
      <c r="BK80" s="17"/>
      <c r="BL80" s="18"/>
      <c r="BM80" s="17"/>
      <c r="BN80" s="18"/>
      <c r="BO80" s="17"/>
      <c r="BP80" s="18"/>
      <c r="BQ80" s="14" t="s">
        <v>84</v>
      </c>
      <c r="BR80" s="16" t="s">
        <v>84</v>
      </c>
    </row>
    <row r="81" spans="1:70" ht="75" x14ac:dyDescent="0.25">
      <c r="A81" s="14" t="s">
        <v>133</v>
      </c>
      <c r="B81" s="14" t="s">
        <v>129</v>
      </c>
      <c r="C81" s="15">
        <v>43999.682638888888</v>
      </c>
      <c r="D81" s="14" t="s">
        <v>73</v>
      </c>
      <c r="E81" s="16" t="s">
        <v>74</v>
      </c>
      <c r="F81" s="14" t="s">
        <v>75</v>
      </c>
      <c r="G81" s="16" t="s">
        <v>76</v>
      </c>
      <c r="H81" s="14" t="s">
        <v>205</v>
      </c>
      <c r="I81" s="16" t="s">
        <v>206</v>
      </c>
      <c r="J81" s="16" t="s">
        <v>207</v>
      </c>
      <c r="K81" s="16" t="s">
        <v>208</v>
      </c>
      <c r="L81" s="14" t="s">
        <v>211</v>
      </c>
      <c r="M81" s="16" t="s">
        <v>212</v>
      </c>
      <c r="N81" s="14" t="s">
        <v>178</v>
      </c>
      <c r="O81" s="16" t="s">
        <v>192</v>
      </c>
      <c r="P81" s="16" t="s">
        <v>193</v>
      </c>
      <c r="Q81" s="16" t="s">
        <v>148</v>
      </c>
      <c r="R81" s="14" t="s">
        <v>149</v>
      </c>
      <c r="S81" s="14" t="s">
        <v>150</v>
      </c>
      <c r="T81" s="14" t="s">
        <v>88</v>
      </c>
      <c r="U81" s="14" t="s">
        <v>140</v>
      </c>
      <c r="V81" s="15">
        <v>43939</v>
      </c>
      <c r="W81" s="15"/>
      <c r="X81" s="16" t="s">
        <v>84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/>
      <c r="AL81" s="18"/>
      <c r="AM81" s="17"/>
      <c r="AN81" s="18"/>
      <c r="AO81" s="17"/>
      <c r="AP81" s="18"/>
      <c r="AQ81" s="17"/>
      <c r="AR81" s="18"/>
      <c r="AS81" s="17"/>
      <c r="AT81" s="18"/>
      <c r="AU81" s="17"/>
      <c r="AV81" s="18"/>
      <c r="AW81" s="17"/>
      <c r="AX81" s="18"/>
      <c r="AY81" s="17"/>
      <c r="AZ81" s="18"/>
      <c r="BA81" s="17"/>
      <c r="BB81" s="18"/>
      <c r="BC81" s="17"/>
      <c r="BD81" s="18"/>
      <c r="BE81" s="17"/>
      <c r="BF81" s="18"/>
      <c r="BG81" s="17"/>
      <c r="BH81" s="18"/>
      <c r="BI81" s="17"/>
      <c r="BJ81" s="18"/>
      <c r="BK81" s="17"/>
      <c r="BL81" s="18"/>
      <c r="BM81" s="17"/>
      <c r="BN81" s="18"/>
      <c r="BO81" s="17"/>
      <c r="BP81" s="18"/>
      <c r="BQ81" s="14" t="s">
        <v>84</v>
      </c>
      <c r="BR81" s="16" t="s">
        <v>84</v>
      </c>
    </row>
    <row r="82" spans="1:70" ht="75" x14ac:dyDescent="0.25">
      <c r="A82" s="14" t="s">
        <v>133</v>
      </c>
      <c r="B82" s="14" t="s">
        <v>129</v>
      </c>
      <c r="C82" s="15">
        <v>43999.683333333334</v>
      </c>
      <c r="D82" s="14" t="s">
        <v>73</v>
      </c>
      <c r="E82" s="16" t="s">
        <v>74</v>
      </c>
      <c r="F82" s="14" t="s">
        <v>75</v>
      </c>
      <c r="G82" s="16" t="s">
        <v>76</v>
      </c>
      <c r="H82" s="14" t="s">
        <v>205</v>
      </c>
      <c r="I82" s="16" t="s">
        <v>206</v>
      </c>
      <c r="J82" s="16" t="s">
        <v>207</v>
      </c>
      <c r="K82" s="16" t="s">
        <v>208</v>
      </c>
      <c r="L82" s="14" t="s">
        <v>213</v>
      </c>
      <c r="M82" s="16" t="s">
        <v>214</v>
      </c>
      <c r="N82" s="14" t="s">
        <v>136</v>
      </c>
      <c r="O82" s="16" t="s">
        <v>199</v>
      </c>
      <c r="P82" s="16" t="s">
        <v>200</v>
      </c>
      <c r="Q82" s="16" t="s">
        <v>148</v>
      </c>
      <c r="R82" s="14" t="s">
        <v>149</v>
      </c>
      <c r="S82" s="14" t="s">
        <v>150</v>
      </c>
      <c r="T82" s="14" t="s">
        <v>88</v>
      </c>
      <c r="U82" s="14" t="s">
        <v>140</v>
      </c>
      <c r="V82" s="15">
        <v>43939</v>
      </c>
      <c r="W82" s="15"/>
      <c r="X82" s="16" t="s">
        <v>84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7"/>
      <c r="AP82" s="18"/>
      <c r="AQ82" s="17"/>
      <c r="AR82" s="18"/>
      <c r="AS82" s="17"/>
      <c r="AT82" s="18"/>
      <c r="AU82" s="17"/>
      <c r="AV82" s="18"/>
      <c r="AW82" s="17"/>
      <c r="AX82" s="18"/>
      <c r="AY82" s="17"/>
      <c r="AZ82" s="18"/>
      <c r="BA82" s="17"/>
      <c r="BB82" s="18"/>
      <c r="BC82" s="17"/>
      <c r="BD82" s="18"/>
      <c r="BE82" s="17"/>
      <c r="BF82" s="18"/>
      <c r="BG82" s="17"/>
      <c r="BH82" s="18"/>
      <c r="BI82" s="17"/>
      <c r="BJ82" s="18"/>
      <c r="BK82" s="17"/>
      <c r="BL82" s="18"/>
      <c r="BM82" s="17"/>
      <c r="BN82" s="18"/>
      <c r="BO82" s="17"/>
      <c r="BP82" s="18"/>
      <c r="BQ82" s="14" t="s">
        <v>84</v>
      </c>
      <c r="BR82" s="16" t="s">
        <v>84</v>
      </c>
    </row>
    <row r="83" spans="1:70" ht="75" x14ac:dyDescent="0.25">
      <c r="A83" s="14" t="s">
        <v>133</v>
      </c>
      <c r="B83" s="14" t="s">
        <v>129</v>
      </c>
      <c r="C83" s="15">
        <v>44040.392361111109</v>
      </c>
      <c r="D83" s="14" t="s">
        <v>73</v>
      </c>
      <c r="E83" s="16" t="s">
        <v>74</v>
      </c>
      <c r="F83" s="14" t="s">
        <v>75</v>
      </c>
      <c r="G83" s="16" t="s">
        <v>76</v>
      </c>
      <c r="H83" s="14" t="s">
        <v>205</v>
      </c>
      <c r="I83" s="16" t="s">
        <v>206</v>
      </c>
      <c r="J83" s="16" t="s">
        <v>207</v>
      </c>
      <c r="K83" s="16" t="s">
        <v>208</v>
      </c>
      <c r="L83" s="14" t="s">
        <v>209</v>
      </c>
      <c r="M83" s="16" t="s">
        <v>210</v>
      </c>
      <c r="N83" s="14" t="s">
        <v>178</v>
      </c>
      <c r="O83" s="16" t="s">
        <v>179</v>
      </c>
      <c r="P83" s="16" t="s">
        <v>180</v>
      </c>
      <c r="Q83" s="16" t="s">
        <v>151</v>
      </c>
      <c r="R83" s="14" t="s">
        <v>152</v>
      </c>
      <c r="S83" s="14" t="s">
        <v>87</v>
      </c>
      <c r="T83" s="14" t="s">
        <v>153</v>
      </c>
      <c r="U83" s="14" t="s">
        <v>140</v>
      </c>
      <c r="V83" s="15">
        <v>43939</v>
      </c>
      <c r="W83" s="15"/>
      <c r="X83" s="16" t="s">
        <v>84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7"/>
      <c r="AP83" s="18"/>
      <c r="AQ83" s="17"/>
      <c r="AR83" s="18"/>
      <c r="AS83" s="17"/>
      <c r="AT83" s="18"/>
      <c r="AU83" s="17"/>
      <c r="AV83" s="18"/>
      <c r="AW83" s="17"/>
      <c r="AX83" s="18"/>
      <c r="AY83" s="17"/>
      <c r="AZ83" s="18"/>
      <c r="BA83" s="17"/>
      <c r="BB83" s="18"/>
      <c r="BC83" s="17"/>
      <c r="BD83" s="18"/>
      <c r="BE83" s="17"/>
      <c r="BF83" s="18"/>
      <c r="BG83" s="17"/>
      <c r="BH83" s="18"/>
      <c r="BI83" s="17"/>
      <c r="BJ83" s="18"/>
      <c r="BK83" s="17"/>
      <c r="BL83" s="18"/>
      <c r="BM83" s="17"/>
      <c r="BN83" s="18"/>
      <c r="BO83" s="17"/>
      <c r="BP83" s="18"/>
      <c r="BQ83" s="14" t="s">
        <v>84</v>
      </c>
      <c r="BR83" s="16" t="s">
        <v>84</v>
      </c>
    </row>
    <row r="84" spans="1:70" ht="75" x14ac:dyDescent="0.25">
      <c r="A84" s="14" t="s">
        <v>133</v>
      </c>
      <c r="B84" s="14" t="s">
        <v>129</v>
      </c>
      <c r="C84" s="15">
        <v>43999.68472222222</v>
      </c>
      <c r="D84" s="14" t="s">
        <v>73</v>
      </c>
      <c r="E84" s="16" t="s">
        <v>74</v>
      </c>
      <c r="F84" s="14" t="s">
        <v>75</v>
      </c>
      <c r="G84" s="16" t="s">
        <v>76</v>
      </c>
      <c r="H84" s="14" t="s">
        <v>205</v>
      </c>
      <c r="I84" s="16" t="s">
        <v>206</v>
      </c>
      <c r="J84" s="16" t="s">
        <v>207</v>
      </c>
      <c r="K84" s="16" t="s">
        <v>208</v>
      </c>
      <c r="L84" s="14" t="s">
        <v>211</v>
      </c>
      <c r="M84" s="16" t="s">
        <v>212</v>
      </c>
      <c r="N84" s="14" t="s">
        <v>178</v>
      </c>
      <c r="O84" s="16" t="s">
        <v>192</v>
      </c>
      <c r="P84" s="16" t="s">
        <v>193</v>
      </c>
      <c r="Q84" s="16" t="s">
        <v>151</v>
      </c>
      <c r="R84" s="14" t="s">
        <v>152</v>
      </c>
      <c r="S84" s="14" t="s">
        <v>87</v>
      </c>
      <c r="T84" s="14" t="s">
        <v>153</v>
      </c>
      <c r="U84" s="14" t="s">
        <v>140</v>
      </c>
      <c r="V84" s="15">
        <v>43939</v>
      </c>
      <c r="W84" s="15"/>
      <c r="X84" s="16" t="s">
        <v>84</v>
      </c>
      <c r="Y84" s="17"/>
      <c r="Z84" s="18"/>
      <c r="AA84" s="17"/>
      <c r="AB84" s="18"/>
      <c r="AC84" s="17"/>
      <c r="AD84" s="18"/>
      <c r="AE84" s="17"/>
      <c r="AF84" s="18"/>
      <c r="AG84" s="17"/>
      <c r="AH84" s="18"/>
      <c r="AI84" s="17"/>
      <c r="AJ84" s="18"/>
      <c r="AK84" s="17"/>
      <c r="AL84" s="18"/>
      <c r="AM84" s="17"/>
      <c r="AN84" s="18"/>
      <c r="AO84" s="17"/>
      <c r="AP84" s="18"/>
      <c r="AQ84" s="17"/>
      <c r="AR84" s="18"/>
      <c r="AS84" s="17"/>
      <c r="AT84" s="18"/>
      <c r="AU84" s="17"/>
      <c r="AV84" s="18"/>
      <c r="AW84" s="17"/>
      <c r="AX84" s="18"/>
      <c r="AY84" s="17"/>
      <c r="AZ84" s="18"/>
      <c r="BA84" s="17"/>
      <c r="BB84" s="18"/>
      <c r="BC84" s="17"/>
      <c r="BD84" s="18"/>
      <c r="BE84" s="17"/>
      <c r="BF84" s="18"/>
      <c r="BG84" s="17"/>
      <c r="BH84" s="18"/>
      <c r="BI84" s="17"/>
      <c r="BJ84" s="18"/>
      <c r="BK84" s="17"/>
      <c r="BL84" s="18"/>
      <c r="BM84" s="17"/>
      <c r="BN84" s="18"/>
      <c r="BO84" s="17"/>
      <c r="BP84" s="18"/>
      <c r="BQ84" s="14" t="s">
        <v>84</v>
      </c>
      <c r="BR84" s="16" t="s">
        <v>84</v>
      </c>
    </row>
    <row r="85" spans="1:70" ht="75" x14ac:dyDescent="0.25">
      <c r="A85" s="14" t="s">
        <v>133</v>
      </c>
      <c r="B85" s="14" t="s">
        <v>129</v>
      </c>
      <c r="C85" s="15">
        <v>43999.685416666667</v>
      </c>
      <c r="D85" s="14" t="s">
        <v>73</v>
      </c>
      <c r="E85" s="16" t="s">
        <v>74</v>
      </c>
      <c r="F85" s="14" t="s">
        <v>75</v>
      </c>
      <c r="G85" s="16" t="s">
        <v>76</v>
      </c>
      <c r="H85" s="14" t="s">
        <v>205</v>
      </c>
      <c r="I85" s="16" t="s">
        <v>206</v>
      </c>
      <c r="J85" s="16" t="s">
        <v>207</v>
      </c>
      <c r="K85" s="16" t="s">
        <v>208</v>
      </c>
      <c r="L85" s="14" t="s">
        <v>213</v>
      </c>
      <c r="M85" s="16" t="s">
        <v>214</v>
      </c>
      <c r="N85" s="14" t="s">
        <v>136</v>
      </c>
      <c r="O85" s="16" t="s">
        <v>199</v>
      </c>
      <c r="P85" s="16" t="s">
        <v>200</v>
      </c>
      <c r="Q85" s="16" t="s">
        <v>151</v>
      </c>
      <c r="R85" s="14" t="s">
        <v>152</v>
      </c>
      <c r="S85" s="14" t="s">
        <v>87</v>
      </c>
      <c r="T85" s="14" t="s">
        <v>153</v>
      </c>
      <c r="U85" s="14" t="s">
        <v>140</v>
      </c>
      <c r="V85" s="15">
        <v>43939</v>
      </c>
      <c r="W85" s="15"/>
      <c r="X85" s="16" t="s">
        <v>84</v>
      </c>
      <c r="Y85" s="17"/>
      <c r="Z85" s="18"/>
      <c r="AA85" s="17"/>
      <c r="AB85" s="18"/>
      <c r="AC85" s="17"/>
      <c r="AD85" s="18"/>
      <c r="AE85" s="17"/>
      <c r="AF85" s="18"/>
      <c r="AG85" s="17"/>
      <c r="AH85" s="18"/>
      <c r="AI85" s="17"/>
      <c r="AJ85" s="18"/>
      <c r="AK85" s="17"/>
      <c r="AL85" s="18"/>
      <c r="AM85" s="17"/>
      <c r="AN85" s="18"/>
      <c r="AO85" s="17"/>
      <c r="AP85" s="18"/>
      <c r="AQ85" s="17"/>
      <c r="AR85" s="18"/>
      <c r="AS85" s="17"/>
      <c r="AT85" s="18"/>
      <c r="AU85" s="17"/>
      <c r="AV85" s="18"/>
      <c r="AW85" s="17"/>
      <c r="AX85" s="18"/>
      <c r="AY85" s="17"/>
      <c r="AZ85" s="18"/>
      <c r="BA85" s="17"/>
      <c r="BB85" s="18"/>
      <c r="BC85" s="17"/>
      <c r="BD85" s="18"/>
      <c r="BE85" s="17"/>
      <c r="BF85" s="18"/>
      <c r="BG85" s="17"/>
      <c r="BH85" s="18"/>
      <c r="BI85" s="17"/>
      <c r="BJ85" s="18"/>
      <c r="BK85" s="17"/>
      <c r="BL85" s="18"/>
      <c r="BM85" s="17"/>
      <c r="BN85" s="18"/>
      <c r="BO85" s="17"/>
      <c r="BP85" s="18"/>
      <c r="BQ85" s="14" t="s">
        <v>84</v>
      </c>
      <c r="BR85" s="16" t="s">
        <v>84</v>
      </c>
    </row>
    <row r="86" spans="1:70" ht="75" x14ac:dyDescent="0.25">
      <c r="A86" s="14" t="s">
        <v>133</v>
      </c>
      <c r="B86" s="14" t="s">
        <v>129</v>
      </c>
      <c r="C86" s="15">
        <v>44040.39166666667</v>
      </c>
      <c r="D86" s="14" t="s">
        <v>73</v>
      </c>
      <c r="E86" s="16" t="s">
        <v>74</v>
      </c>
      <c r="F86" s="14" t="s">
        <v>75</v>
      </c>
      <c r="G86" s="16" t="s">
        <v>76</v>
      </c>
      <c r="H86" s="14" t="s">
        <v>205</v>
      </c>
      <c r="I86" s="16" t="s">
        <v>206</v>
      </c>
      <c r="J86" s="16" t="s">
        <v>207</v>
      </c>
      <c r="K86" s="16" t="s">
        <v>208</v>
      </c>
      <c r="L86" s="14" t="s">
        <v>209</v>
      </c>
      <c r="M86" s="16" t="s">
        <v>210</v>
      </c>
      <c r="N86" s="14" t="s">
        <v>178</v>
      </c>
      <c r="O86" s="16" t="s">
        <v>179</v>
      </c>
      <c r="P86" s="16" t="s">
        <v>180</v>
      </c>
      <c r="Q86" s="16" t="s">
        <v>154</v>
      </c>
      <c r="R86" s="14" t="s">
        <v>155</v>
      </c>
      <c r="S86" s="14" t="s">
        <v>146</v>
      </c>
      <c r="T86" s="14" t="s">
        <v>153</v>
      </c>
      <c r="U86" s="14" t="s">
        <v>140</v>
      </c>
      <c r="V86" s="15">
        <v>43939</v>
      </c>
      <c r="W86" s="15"/>
      <c r="X86" s="16" t="s">
        <v>84</v>
      </c>
      <c r="Y86" s="17"/>
      <c r="Z86" s="18"/>
      <c r="AA86" s="17"/>
      <c r="AB86" s="18"/>
      <c r="AC86" s="17"/>
      <c r="AD86" s="18"/>
      <c r="AE86" s="17"/>
      <c r="AF86" s="18"/>
      <c r="AG86" s="17"/>
      <c r="AH86" s="18"/>
      <c r="AI86" s="17"/>
      <c r="AJ86" s="18"/>
      <c r="AK86" s="17"/>
      <c r="AL86" s="18"/>
      <c r="AM86" s="17"/>
      <c r="AN86" s="18"/>
      <c r="AO86" s="17"/>
      <c r="AP86" s="18"/>
      <c r="AQ86" s="17"/>
      <c r="AR86" s="18"/>
      <c r="AS86" s="17"/>
      <c r="AT86" s="18"/>
      <c r="AU86" s="17"/>
      <c r="AV86" s="18"/>
      <c r="AW86" s="17"/>
      <c r="AX86" s="18"/>
      <c r="AY86" s="17"/>
      <c r="AZ86" s="18"/>
      <c r="BA86" s="17"/>
      <c r="BB86" s="18"/>
      <c r="BC86" s="17"/>
      <c r="BD86" s="18"/>
      <c r="BE86" s="17"/>
      <c r="BF86" s="18"/>
      <c r="BG86" s="17"/>
      <c r="BH86" s="18"/>
      <c r="BI86" s="17"/>
      <c r="BJ86" s="18"/>
      <c r="BK86" s="17"/>
      <c r="BL86" s="18"/>
      <c r="BM86" s="17"/>
      <c r="BN86" s="18"/>
      <c r="BO86" s="17"/>
      <c r="BP86" s="18"/>
      <c r="BQ86" s="14" t="s">
        <v>84</v>
      </c>
      <c r="BR86" s="16" t="s">
        <v>84</v>
      </c>
    </row>
    <row r="87" spans="1:70" ht="75" x14ac:dyDescent="0.25">
      <c r="A87" s="14" t="s">
        <v>133</v>
      </c>
      <c r="B87" s="14" t="s">
        <v>129</v>
      </c>
      <c r="C87" s="15">
        <v>43999.68472222222</v>
      </c>
      <c r="D87" s="14" t="s">
        <v>73</v>
      </c>
      <c r="E87" s="16" t="s">
        <v>74</v>
      </c>
      <c r="F87" s="14" t="s">
        <v>75</v>
      </c>
      <c r="G87" s="16" t="s">
        <v>76</v>
      </c>
      <c r="H87" s="14" t="s">
        <v>205</v>
      </c>
      <c r="I87" s="16" t="s">
        <v>206</v>
      </c>
      <c r="J87" s="16" t="s">
        <v>207</v>
      </c>
      <c r="K87" s="16" t="s">
        <v>208</v>
      </c>
      <c r="L87" s="14" t="s">
        <v>211</v>
      </c>
      <c r="M87" s="16" t="s">
        <v>212</v>
      </c>
      <c r="N87" s="14" t="s">
        <v>178</v>
      </c>
      <c r="O87" s="16" t="s">
        <v>192</v>
      </c>
      <c r="P87" s="16" t="s">
        <v>193</v>
      </c>
      <c r="Q87" s="16" t="s">
        <v>154</v>
      </c>
      <c r="R87" s="14" t="s">
        <v>155</v>
      </c>
      <c r="S87" s="14" t="s">
        <v>146</v>
      </c>
      <c r="T87" s="14" t="s">
        <v>153</v>
      </c>
      <c r="U87" s="14" t="s">
        <v>140</v>
      </c>
      <c r="V87" s="15">
        <v>43939</v>
      </c>
      <c r="W87" s="15"/>
      <c r="X87" s="16" t="s">
        <v>84</v>
      </c>
      <c r="Y87" s="17"/>
      <c r="Z87" s="18"/>
      <c r="AA87" s="17"/>
      <c r="AB87" s="18"/>
      <c r="AC87" s="17"/>
      <c r="AD87" s="18"/>
      <c r="AE87" s="17"/>
      <c r="AF87" s="18"/>
      <c r="AG87" s="17"/>
      <c r="AH87" s="18"/>
      <c r="AI87" s="17"/>
      <c r="AJ87" s="18"/>
      <c r="AK87" s="17"/>
      <c r="AL87" s="18"/>
      <c r="AM87" s="17"/>
      <c r="AN87" s="18"/>
      <c r="AO87" s="17"/>
      <c r="AP87" s="18"/>
      <c r="AQ87" s="17"/>
      <c r="AR87" s="18"/>
      <c r="AS87" s="17"/>
      <c r="AT87" s="18"/>
      <c r="AU87" s="17"/>
      <c r="AV87" s="18"/>
      <c r="AW87" s="17"/>
      <c r="AX87" s="18"/>
      <c r="AY87" s="17"/>
      <c r="AZ87" s="18"/>
      <c r="BA87" s="17"/>
      <c r="BB87" s="18"/>
      <c r="BC87" s="17"/>
      <c r="BD87" s="18"/>
      <c r="BE87" s="17"/>
      <c r="BF87" s="18"/>
      <c r="BG87" s="17"/>
      <c r="BH87" s="18"/>
      <c r="BI87" s="17"/>
      <c r="BJ87" s="18"/>
      <c r="BK87" s="17"/>
      <c r="BL87" s="18"/>
      <c r="BM87" s="17"/>
      <c r="BN87" s="18"/>
      <c r="BO87" s="17"/>
      <c r="BP87" s="18"/>
      <c r="BQ87" s="14" t="s">
        <v>84</v>
      </c>
      <c r="BR87" s="16" t="s">
        <v>84</v>
      </c>
    </row>
    <row r="88" spans="1:70" ht="75" x14ac:dyDescent="0.25">
      <c r="A88" s="14" t="s">
        <v>133</v>
      </c>
      <c r="B88" s="14" t="s">
        <v>129</v>
      </c>
      <c r="C88" s="15">
        <v>43999.685416666667</v>
      </c>
      <c r="D88" s="14" t="s">
        <v>73</v>
      </c>
      <c r="E88" s="16" t="s">
        <v>74</v>
      </c>
      <c r="F88" s="14" t="s">
        <v>75</v>
      </c>
      <c r="G88" s="16" t="s">
        <v>76</v>
      </c>
      <c r="H88" s="14" t="s">
        <v>205</v>
      </c>
      <c r="I88" s="16" t="s">
        <v>206</v>
      </c>
      <c r="J88" s="16" t="s">
        <v>207</v>
      </c>
      <c r="K88" s="16" t="s">
        <v>208</v>
      </c>
      <c r="L88" s="14" t="s">
        <v>213</v>
      </c>
      <c r="M88" s="16" t="s">
        <v>214</v>
      </c>
      <c r="N88" s="14" t="s">
        <v>136</v>
      </c>
      <c r="O88" s="16" t="s">
        <v>199</v>
      </c>
      <c r="P88" s="16" t="s">
        <v>200</v>
      </c>
      <c r="Q88" s="16" t="s">
        <v>154</v>
      </c>
      <c r="R88" s="14" t="s">
        <v>155</v>
      </c>
      <c r="S88" s="14" t="s">
        <v>146</v>
      </c>
      <c r="T88" s="14" t="s">
        <v>153</v>
      </c>
      <c r="U88" s="14" t="s">
        <v>140</v>
      </c>
      <c r="V88" s="15">
        <v>43939</v>
      </c>
      <c r="W88" s="15"/>
      <c r="X88" s="16" t="s">
        <v>84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7"/>
      <c r="AP88" s="18"/>
      <c r="AQ88" s="17"/>
      <c r="AR88" s="18"/>
      <c r="AS88" s="17"/>
      <c r="AT88" s="18"/>
      <c r="AU88" s="17"/>
      <c r="AV88" s="18"/>
      <c r="AW88" s="17"/>
      <c r="AX88" s="18"/>
      <c r="AY88" s="17"/>
      <c r="AZ88" s="18"/>
      <c r="BA88" s="17"/>
      <c r="BB88" s="18"/>
      <c r="BC88" s="17"/>
      <c r="BD88" s="18"/>
      <c r="BE88" s="17"/>
      <c r="BF88" s="18"/>
      <c r="BG88" s="17"/>
      <c r="BH88" s="18"/>
      <c r="BI88" s="17"/>
      <c r="BJ88" s="18"/>
      <c r="BK88" s="17"/>
      <c r="BL88" s="18"/>
      <c r="BM88" s="17"/>
      <c r="BN88" s="18"/>
      <c r="BO88" s="17"/>
      <c r="BP88" s="18"/>
      <c r="BQ88" s="14" t="s">
        <v>84</v>
      </c>
      <c r="BR88" s="16" t="s">
        <v>84</v>
      </c>
    </row>
    <row r="89" spans="1:70" ht="105" x14ac:dyDescent="0.25">
      <c r="A89" s="14" t="s">
        <v>133</v>
      </c>
      <c r="B89" s="14" t="s">
        <v>129</v>
      </c>
      <c r="C89" s="15">
        <v>44005.599999999999</v>
      </c>
      <c r="D89" s="14" t="s">
        <v>73</v>
      </c>
      <c r="E89" s="16" t="s">
        <v>74</v>
      </c>
      <c r="F89" s="14" t="s">
        <v>75</v>
      </c>
      <c r="G89" s="16" t="s">
        <v>76</v>
      </c>
      <c r="H89" s="14" t="s">
        <v>215</v>
      </c>
      <c r="I89" s="16" t="s">
        <v>216</v>
      </c>
      <c r="J89" s="16" t="s">
        <v>217</v>
      </c>
      <c r="K89" s="16" t="s">
        <v>218</v>
      </c>
      <c r="L89" s="14" t="s">
        <v>219</v>
      </c>
      <c r="M89" s="16" t="s">
        <v>220</v>
      </c>
      <c r="N89" s="14" t="s">
        <v>178</v>
      </c>
      <c r="O89" s="16" t="s">
        <v>179</v>
      </c>
      <c r="P89" s="16" t="s">
        <v>180</v>
      </c>
      <c r="Q89" s="16" t="s">
        <v>85</v>
      </c>
      <c r="R89" s="14" t="s">
        <v>86</v>
      </c>
      <c r="S89" s="14" t="s">
        <v>87</v>
      </c>
      <c r="T89" s="14" t="s">
        <v>88</v>
      </c>
      <c r="U89" s="14" t="s">
        <v>89</v>
      </c>
      <c r="V89" s="15">
        <v>43939</v>
      </c>
      <c r="W89" s="15"/>
      <c r="X89" s="16" t="s">
        <v>181</v>
      </c>
      <c r="Y89" s="17" t="s">
        <v>182</v>
      </c>
      <c r="Z89" s="18" t="str">
        <f>VLOOKUP(Y89,'Axe 2 Règles de gestion'!$D$2:$F$41,3, FALSE)</f>
        <v>L'administration d'accueil fait connaître à l'administration d'origine et à l'agent sa décision de renouveler ou non son affectation 4 mois avant le terme de la période.</v>
      </c>
      <c r="AA89" s="17" t="s">
        <v>184</v>
      </c>
      <c r="AB89" s="18" t="str">
        <f>VLOOKUP(AA89,'Axe 2 Règles de gestion'!$D$2:$F$41,3, FALSE)</f>
        <v>Pour les positions normales d'activité prises avant le 18/04/2020, le renouvellement n'est pas possible.</v>
      </c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7"/>
      <c r="AP89" s="18"/>
      <c r="AQ89" s="17" t="s">
        <v>186</v>
      </c>
      <c r="AR89" s="18" t="str">
        <f>VLOOKUP(AQ89,'Axe 2 Règles de gestion'!$D$2:$F$41,3, FALSE)</f>
        <v>La durée prévisionnelle de l'affectation en position normale d'activité hors de l'administration d'origine est fixée à 3 ans.</v>
      </c>
      <c r="AS89" s="17" t="s">
        <v>188</v>
      </c>
      <c r="AT89" s="18" t="str">
        <f>VLOOKUP(AS89,'Axe 2 Règles de gestion'!$D$2:$F$41,3, FALSE)</f>
        <v>La durée réelle de l'affectation en position normale d'activité hors de l'administration d'origine est fixée à 3 ans.</v>
      </c>
      <c r="AU89" s="17"/>
      <c r="AV89" s="18"/>
      <c r="AW89" s="17"/>
      <c r="AX89" s="18"/>
      <c r="AY89" s="17"/>
      <c r="AZ89" s="18"/>
      <c r="BA89" s="17"/>
      <c r="BB89" s="18"/>
      <c r="BC89" s="17"/>
      <c r="BD89" s="18"/>
      <c r="BE89" s="17"/>
      <c r="BF89" s="18"/>
      <c r="BG89" s="17"/>
      <c r="BH89" s="18"/>
      <c r="BI89" s="17"/>
      <c r="BJ89" s="18"/>
      <c r="BK89" s="17"/>
      <c r="BL89" s="18"/>
      <c r="BM89" s="17"/>
      <c r="BN89" s="18"/>
      <c r="BO89" s="17"/>
      <c r="BP89" s="18"/>
      <c r="BQ89" s="14" t="s">
        <v>84</v>
      </c>
      <c r="BR89" s="16" t="s">
        <v>84</v>
      </c>
    </row>
    <row r="90" spans="1:70" ht="165" x14ac:dyDescent="0.25">
      <c r="A90" s="14" t="s">
        <v>71</v>
      </c>
      <c r="B90" s="14" t="s">
        <v>72</v>
      </c>
      <c r="C90" s="15">
        <v>44711.482638888891</v>
      </c>
      <c r="D90" s="14" t="s">
        <v>73</v>
      </c>
      <c r="E90" s="16" t="s">
        <v>74</v>
      </c>
      <c r="F90" s="14" t="s">
        <v>75</v>
      </c>
      <c r="G90" s="16" t="s">
        <v>76</v>
      </c>
      <c r="H90" s="14" t="s">
        <v>215</v>
      </c>
      <c r="I90" s="16" t="s">
        <v>216</v>
      </c>
      <c r="J90" s="16" t="s">
        <v>217</v>
      </c>
      <c r="K90" s="16" t="s">
        <v>218</v>
      </c>
      <c r="L90" s="14" t="s">
        <v>221</v>
      </c>
      <c r="M90" s="16" t="s">
        <v>222</v>
      </c>
      <c r="N90" s="14" t="s">
        <v>178</v>
      </c>
      <c r="O90" s="16" t="s">
        <v>192</v>
      </c>
      <c r="P90" s="16" t="s">
        <v>193</v>
      </c>
      <c r="Q90" s="16" t="s">
        <v>85</v>
      </c>
      <c r="R90" s="14" t="s">
        <v>86</v>
      </c>
      <c r="S90" s="14" t="s">
        <v>87</v>
      </c>
      <c r="T90" s="14" t="s">
        <v>88</v>
      </c>
      <c r="U90" s="14" t="s">
        <v>89</v>
      </c>
      <c r="V90" s="15">
        <v>43939</v>
      </c>
      <c r="W90" s="15"/>
      <c r="X90" s="16" t="s">
        <v>194</v>
      </c>
      <c r="Y90" s="17" t="s">
        <v>91</v>
      </c>
      <c r="Z90" s="18" t="str">
        <f>VLOOKUP(Y90,'Axe 2 Règles de gestion'!$D$2:$F$41,3, FALSE)</f>
        <v>L'agent doit effectuer une demande.</v>
      </c>
      <c r="AA90" s="17" t="s">
        <v>93</v>
      </c>
      <c r="AB90" s="18" t="str">
        <f>VLOOKUP(AA90,'Axe 2 Règles de gestion'!$D$2:$F$41,3, FALSE)</f>
        <v>L'affectation intervient à l'initiative de l'agent ou de l'administration.</v>
      </c>
      <c r="AC90" s="17" t="s">
        <v>131</v>
      </c>
      <c r="AD90" s="18" t="str">
        <f>VLOOKUP(AC90,'Axe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90" s="17" t="s">
        <v>97</v>
      </c>
      <c r="AF90" s="18" t="str">
        <f>VLOOKUP(AE90,'Axe 2 Règles de gestion'!$D$2:$F$41,3, FALSE)</f>
        <v>Un avis conforme de l'administration d'accueil a préalablement été transmis à l'administration d'origine sauf dans le cadre d'un transfert de service.</v>
      </c>
      <c r="AG90" s="17" t="s">
        <v>99</v>
      </c>
      <c r="AH90" s="18" t="str">
        <f>VLOOKUP(AG90,'Axe 2 Règles de gestion'!$D$2:$F$41,3, FALSE)</f>
        <v>Lorsque l'affectation de l'agent est prononcée dans un établissement public, le ministère de tutelle en est préalablement informé.</v>
      </c>
      <c r="AI90" s="17" t="s">
        <v>103</v>
      </c>
      <c r="AJ90" s="18" t="str">
        <f>VLOOKUP(AI90,'Axe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90" s="17" t="s">
        <v>105</v>
      </c>
      <c r="AL90" s="18" t="str">
        <f>VLOOKUP(AK90,'Axe 2 Règles de gestion'!$D$2:$F$41,3, FALSE)</f>
        <v>Le silence de l'administration gardé pendant 2 mois à compter de la réception de la demande de l'agent vaut acceptation.</v>
      </c>
      <c r="AM90" s="17" t="s">
        <v>195</v>
      </c>
      <c r="AN90" s="18" t="str">
        <f>VLOOKUP(AM90,'Axe 2 Règles de gestion'!$D$2:$F$41,3, FALSE)</f>
        <v>Pour les positions normales d'activité prises avant le 18/04/2020, la limitation de durée ne s'applique pas.</v>
      </c>
      <c r="AO90" s="17"/>
      <c r="AP90" s="18"/>
      <c r="AQ90" s="17" t="s">
        <v>186</v>
      </c>
      <c r="AR90" s="18" t="str">
        <f>VLOOKUP(AQ90,'Axe 2 Règles de gestion'!$D$2:$F$41,3, FALSE)</f>
        <v>La durée prévisionnelle de l'affectation en position normale d'activité hors de l'administration d'origine est fixée à 3 ans.</v>
      </c>
      <c r="AS90" s="17" t="s">
        <v>188</v>
      </c>
      <c r="AT90" s="18" t="str">
        <f>VLOOKUP(AS90,'Axe 2 Règles de gestion'!$D$2:$F$41,3, FALSE)</f>
        <v>La durée réelle de l'affectation en position normale d'activité hors de l'administration d'origine est fixée à 3 ans.</v>
      </c>
      <c r="AU90" s="17" t="s">
        <v>107</v>
      </c>
      <c r="AV90" s="18" t="str">
        <f>VLOOKUP(AU90,'Axe 2 Règles de gestion'!$D$2:$F$41,3, FALSE)</f>
        <v>La date de début de la position doit être postérieure ou égale à la date d'entrée dans la FPE ou dans la carrière militaire.</v>
      </c>
      <c r="AW90" s="17" t="s">
        <v>109</v>
      </c>
      <c r="AX90" s="18" t="str">
        <f>VLOOKUP(AW90,'Axe 2 Règles de gestion'!$D$2:$F$41,3, FALSE)</f>
        <v>La date de début de position est à J+1 de la date de fin de position de l'occurrence précédente.</v>
      </c>
      <c r="AY90" s="17" t="s">
        <v>111</v>
      </c>
      <c r="AZ90" s="18" t="str">
        <f>VLOOKUP(AY90,'Axe 2 Règles de gestion'!$D$2:$F$41,3, FALSE)</f>
        <v>La date de début de position doit être antérieure ou égale à la date de fin réelle de position.</v>
      </c>
      <c r="BA90" s="17" t="s">
        <v>113</v>
      </c>
      <c r="BB90" s="18" t="str">
        <f>VLOOKUP(BA90,'Axe 2 Règles de gestion'!$D$2:$F$41,3, FALSE)</f>
        <v>La date de début de position doit être antérieure ou égale à la date de fin prévisionnelle de position.</v>
      </c>
      <c r="BC90" s="17" t="s">
        <v>115</v>
      </c>
      <c r="BD90" s="18" t="str">
        <f>VLOOKUP(BC90,'Axe 2 Règles de gestion'!$D$2:$F$41,3, FALSE)</f>
        <v>La date de fin réelle de la position doit être antérieure à la date limite de départ à la retraite.</v>
      </c>
      <c r="BE90" s="17" t="s">
        <v>117</v>
      </c>
      <c r="BF90" s="18" t="str">
        <f>VLOOKUP(BE90,'Axe 2 Règles de gestion'!$D$2:$F$41,3, FALSE)</f>
        <v>La date de fin prévisionnelle de la position doit être antérieure à la date limite de départ à la retraite.</v>
      </c>
      <c r="BG90" s="17" t="s">
        <v>119</v>
      </c>
      <c r="BH90" s="18" t="str">
        <f>VLOOKUP(BG90,'Axe 2 Règles de gestion'!$D$2:$F$41,3, FALSE)</f>
        <v>Les champs "Type d'organisme d'origine", "Catégorie statutaire d'origine" et "Pays" de l'organisme d'origine doivent être renseignés.</v>
      </c>
      <c r="BI90" s="17" t="s">
        <v>121</v>
      </c>
      <c r="BJ90" s="18" t="str">
        <f>VLOOKUP(BI90,'Axe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90" s="17" t="s">
        <v>123</v>
      </c>
      <c r="BL90" s="18" t="str">
        <f>VLOOKUP(BK90,'Axe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90" s="17" t="s">
        <v>125</v>
      </c>
      <c r="BN90" s="18" t="str">
        <f>VLOOKUP(BM90,'Axe 2 Règles de gestion'!$D$2:$F$41,3, FALSE)</f>
        <v>Le champ "Code emploi statutaire FPT (NET)" est renseigné si le "Type d'organisme d'origine" est valorisé à FPT.</v>
      </c>
      <c r="BO90" s="17" t="s">
        <v>127</v>
      </c>
      <c r="BP90" s="18" t="str">
        <f>VLOOKUP(BO90,'Axe 2 Règles de gestion'!$D$2:$F$41,3, FALSE)</f>
        <v>Le champ "Code emploi statutaire FPH (NEH)" est renseigné si le "Type d'organisme d'origine" est valorisé à FPH.</v>
      </c>
      <c r="BQ90" s="14" t="s">
        <v>84</v>
      </c>
      <c r="BR90" s="16" t="s">
        <v>84</v>
      </c>
    </row>
    <row r="91" spans="1:70" ht="135" x14ac:dyDescent="0.25">
      <c r="A91" s="14" t="s">
        <v>133</v>
      </c>
      <c r="B91" s="14" t="s">
        <v>129</v>
      </c>
      <c r="C91" s="15">
        <v>44721.458333333336</v>
      </c>
      <c r="D91" s="14" t="s">
        <v>73</v>
      </c>
      <c r="E91" s="16" t="s">
        <v>74</v>
      </c>
      <c r="F91" s="14" t="s">
        <v>75</v>
      </c>
      <c r="G91" s="16" t="s">
        <v>76</v>
      </c>
      <c r="H91" s="14" t="s">
        <v>215</v>
      </c>
      <c r="I91" s="16" t="s">
        <v>216</v>
      </c>
      <c r="J91" s="16" t="s">
        <v>217</v>
      </c>
      <c r="K91" s="16" t="s">
        <v>218</v>
      </c>
      <c r="L91" s="14" t="s">
        <v>223</v>
      </c>
      <c r="M91" s="16" t="s">
        <v>224</v>
      </c>
      <c r="N91" s="14" t="s">
        <v>136</v>
      </c>
      <c r="O91" s="16" t="s">
        <v>199</v>
      </c>
      <c r="P91" s="16" t="s">
        <v>200</v>
      </c>
      <c r="Q91" s="16" t="s">
        <v>85</v>
      </c>
      <c r="R91" s="14" t="s">
        <v>86</v>
      </c>
      <c r="S91" s="14" t="s">
        <v>87</v>
      </c>
      <c r="T91" s="14" t="s">
        <v>88</v>
      </c>
      <c r="U91" s="14" t="s">
        <v>89</v>
      </c>
      <c r="V91" s="15">
        <v>43939</v>
      </c>
      <c r="W91" s="15"/>
      <c r="X91" s="16" t="s">
        <v>201</v>
      </c>
      <c r="Y91" s="17" t="s">
        <v>182</v>
      </c>
      <c r="Z91" s="18" t="str">
        <f>VLOOKUP(Y91,'Axe 2 Règles de gestion'!$D$2:$F$41,3, FALSE)</f>
        <v>L'administration d'accueil fait connaître à l'administration d'origine et à l'agent sa décision de renouveler ou non son affectation 4 mois avant le terme de la période.</v>
      </c>
      <c r="AA91" s="17" t="s">
        <v>202</v>
      </c>
      <c r="AB91" s="18" t="str">
        <f>VLOOKUP(AA91,'Axe 2 Règles de gestion'!$D$2:$F$41,3, FALSE)</f>
        <v>Lorsque l'administration d'accueil décide de ne pas renouveler l'affectation, l'agent est réintégré dans le département ministériel dont il relève, au besoin en surnombre.</v>
      </c>
      <c r="AC91" s="17" t="s">
        <v>195</v>
      </c>
      <c r="AD91" s="18" t="str">
        <f>VLOOKUP(AC91,'Axe 2 Règles de gestion'!$D$2:$F$41,3, FALSE)</f>
        <v>Pour les positions normales d'activité prises avant le 18/04/2020, la limitation de durée ne s'applique pas.</v>
      </c>
      <c r="AE91" s="17"/>
      <c r="AF91" s="18"/>
      <c r="AG91" s="17"/>
      <c r="AH91" s="18"/>
      <c r="AI91" s="17"/>
      <c r="AJ91" s="18"/>
      <c r="AK91" s="17"/>
      <c r="AL91" s="18"/>
      <c r="AM91" s="17"/>
      <c r="AN91" s="18"/>
      <c r="AO91" s="17"/>
      <c r="AP91" s="18"/>
      <c r="AQ91" s="17" t="s">
        <v>186</v>
      </c>
      <c r="AR91" s="18" t="str">
        <f>VLOOKUP(AQ91,'Axe 2 Règles de gestion'!$D$2:$F$41,3, FALSE)</f>
        <v>La durée prévisionnelle de l'affectation en position normale d'activité hors de l'administration d'origine est fixée à 3 ans.</v>
      </c>
      <c r="AS91" s="17" t="s">
        <v>188</v>
      </c>
      <c r="AT91" s="18" t="str">
        <f>VLOOKUP(AS91,'Axe 2 Règles de gestion'!$D$2:$F$41,3, FALSE)</f>
        <v>La durée réelle de l'affectation en position normale d'activité hors de l'administration d'origine est fixée à 3 ans.</v>
      </c>
      <c r="AU91" s="17" t="s">
        <v>111</v>
      </c>
      <c r="AV91" s="18" t="str">
        <f>VLOOKUP(AU91,'Axe 2 Règles de gestion'!$D$2:$F$41,3, FALSE)</f>
        <v>La date de début de position doit être antérieure ou égale à la date de fin réelle de position.</v>
      </c>
      <c r="AW91" s="17" t="s">
        <v>113</v>
      </c>
      <c r="AX91" s="18" t="str">
        <f>VLOOKUP(AW91,'Axe 2 Règles de gestion'!$D$2:$F$41,3, FALSE)</f>
        <v>La date de début de position doit être antérieure ou égale à la date de fin prévisionnelle de position.</v>
      </c>
      <c r="AY91" s="17" t="s">
        <v>115</v>
      </c>
      <c r="AZ91" s="18" t="str">
        <f>VLOOKUP(AY91,'Axe 2 Règles de gestion'!$D$2:$F$41,3, FALSE)</f>
        <v>La date de fin réelle de la position doit être antérieure à la date limite de départ à la retraite.</v>
      </c>
      <c r="BA91" s="17" t="s">
        <v>117</v>
      </c>
      <c r="BB91" s="18" t="str">
        <f>VLOOKUP(BA91,'Axe 2 Règles de gestion'!$D$2:$F$41,3, FALSE)</f>
        <v>La date de fin prévisionnelle de la position doit être antérieure à la date limite de départ à la retraite.</v>
      </c>
      <c r="BC91" s="17" t="s">
        <v>119</v>
      </c>
      <c r="BD91" s="18" t="str">
        <f>VLOOKUP(BC91,'Axe 2 Règles de gestion'!$D$2:$F$41,3, FALSE)</f>
        <v>Les champs "Type d'organisme d'origine", "Catégorie statutaire d'origine" et "Pays" de l'organisme d'origine doivent être renseignés.</v>
      </c>
      <c r="BE91" s="17" t="s">
        <v>121</v>
      </c>
      <c r="BF91" s="18" t="str">
        <f>VLOOKUP(BE91,'Axe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91" s="17" t="s">
        <v>123</v>
      </c>
      <c r="BH91" s="18" t="str">
        <f>VLOOKUP(BG91,'Axe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91" s="17" t="s">
        <v>125</v>
      </c>
      <c r="BJ91" s="18" t="str">
        <f>VLOOKUP(BI91,'Axe 2 Règles de gestion'!$D$2:$F$41,3, FALSE)</f>
        <v>Le champ "Code emploi statutaire FPT (NET)" est renseigné si le "Type d'organisme d'origine" est valorisé à FPT.</v>
      </c>
      <c r="BK91" s="17" t="s">
        <v>127</v>
      </c>
      <c r="BL91" s="18" t="str">
        <f>VLOOKUP(BK91,'Axe 2 Règles de gestion'!$D$2:$F$41,3, FALSE)</f>
        <v>Le champ "Code emploi statutaire FPH (NEH)" est renseigné si le "Type d'organisme d'origine" est valorisé à FPH.</v>
      </c>
      <c r="BM91" s="17"/>
      <c r="BN91" s="18"/>
      <c r="BO91" s="17"/>
      <c r="BP91" s="18"/>
      <c r="BQ91" s="14" t="s">
        <v>84</v>
      </c>
      <c r="BR91" s="16" t="s">
        <v>84</v>
      </c>
    </row>
    <row r="92" spans="1:70" ht="90" x14ac:dyDescent="0.25">
      <c r="A92" s="14" t="s">
        <v>133</v>
      </c>
      <c r="B92" s="14" t="s">
        <v>129</v>
      </c>
      <c r="C92" s="15">
        <v>43999.688888888886</v>
      </c>
      <c r="D92" s="14" t="s">
        <v>73</v>
      </c>
      <c r="E92" s="16" t="s">
        <v>74</v>
      </c>
      <c r="F92" s="14" t="s">
        <v>75</v>
      </c>
      <c r="G92" s="16" t="s">
        <v>76</v>
      </c>
      <c r="H92" s="14" t="s">
        <v>215</v>
      </c>
      <c r="I92" s="16" t="s">
        <v>216</v>
      </c>
      <c r="J92" s="16" t="s">
        <v>217</v>
      </c>
      <c r="K92" s="16" t="s">
        <v>218</v>
      </c>
      <c r="L92" s="14" t="s">
        <v>219</v>
      </c>
      <c r="M92" s="16" t="s">
        <v>220</v>
      </c>
      <c r="N92" s="14" t="s">
        <v>178</v>
      </c>
      <c r="O92" s="16" t="s">
        <v>179</v>
      </c>
      <c r="P92" s="16" t="s">
        <v>180</v>
      </c>
      <c r="Q92" s="16" t="s">
        <v>138</v>
      </c>
      <c r="R92" s="14" t="s">
        <v>139</v>
      </c>
      <c r="S92" s="14" t="s">
        <v>72</v>
      </c>
      <c r="T92" s="14" t="s">
        <v>88</v>
      </c>
      <c r="U92" s="14" t="s">
        <v>140</v>
      </c>
      <c r="V92" s="15">
        <v>43939</v>
      </c>
      <c r="W92" s="15"/>
      <c r="X92" s="16" t="s">
        <v>84</v>
      </c>
      <c r="Y92" s="17"/>
      <c r="Z92" s="18"/>
      <c r="AA92" s="17"/>
      <c r="AB92" s="18"/>
      <c r="AC92" s="17"/>
      <c r="AD92" s="18"/>
      <c r="AE92" s="17"/>
      <c r="AF92" s="18"/>
      <c r="AG92" s="17"/>
      <c r="AH92" s="18"/>
      <c r="AI92" s="17"/>
      <c r="AJ92" s="18"/>
      <c r="AK92" s="17"/>
      <c r="AL92" s="18"/>
      <c r="AM92" s="17"/>
      <c r="AN92" s="18"/>
      <c r="AO92" s="17"/>
      <c r="AP92" s="18"/>
      <c r="AQ92" s="17"/>
      <c r="AR92" s="18"/>
      <c r="AS92" s="17"/>
      <c r="AT92" s="18"/>
      <c r="AU92" s="17"/>
      <c r="AV92" s="18"/>
      <c r="AW92" s="17"/>
      <c r="AX92" s="18"/>
      <c r="AY92" s="17"/>
      <c r="AZ92" s="18"/>
      <c r="BA92" s="17"/>
      <c r="BB92" s="18"/>
      <c r="BC92" s="17"/>
      <c r="BD92" s="18"/>
      <c r="BE92" s="17"/>
      <c r="BF92" s="18"/>
      <c r="BG92" s="17"/>
      <c r="BH92" s="18"/>
      <c r="BI92" s="17"/>
      <c r="BJ92" s="18"/>
      <c r="BK92" s="17"/>
      <c r="BL92" s="18"/>
      <c r="BM92" s="17"/>
      <c r="BN92" s="18"/>
      <c r="BO92" s="17"/>
      <c r="BP92" s="18"/>
      <c r="BQ92" s="14" t="s">
        <v>84</v>
      </c>
      <c r="BR92" s="16" t="s">
        <v>84</v>
      </c>
    </row>
    <row r="93" spans="1:70" ht="90" x14ac:dyDescent="0.25">
      <c r="A93" s="14" t="s">
        <v>133</v>
      </c>
      <c r="B93" s="14" t="s">
        <v>129</v>
      </c>
      <c r="C93" s="15">
        <v>43999.690972222219</v>
      </c>
      <c r="D93" s="14" t="s">
        <v>73</v>
      </c>
      <c r="E93" s="16" t="s">
        <v>74</v>
      </c>
      <c r="F93" s="14" t="s">
        <v>75</v>
      </c>
      <c r="G93" s="16" t="s">
        <v>76</v>
      </c>
      <c r="H93" s="14" t="s">
        <v>215</v>
      </c>
      <c r="I93" s="16" t="s">
        <v>216</v>
      </c>
      <c r="J93" s="16" t="s">
        <v>217</v>
      </c>
      <c r="K93" s="16" t="s">
        <v>218</v>
      </c>
      <c r="L93" s="14" t="s">
        <v>221</v>
      </c>
      <c r="M93" s="16" t="s">
        <v>222</v>
      </c>
      <c r="N93" s="14" t="s">
        <v>178</v>
      </c>
      <c r="O93" s="16" t="s">
        <v>192</v>
      </c>
      <c r="P93" s="16" t="s">
        <v>193</v>
      </c>
      <c r="Q93" s="16" t="s">
        <v>138</v>
      </c>
      <c r="R93" s="14" t="s">
        <v>139</v>
      </c>
      <c r="S93" s="14" t="s">
        <v>72</v>
      </c>
      <c r="T93" s="14" t="s">
        <v>88</v>
      </c>
      <c r="U93" s="14" t="s">
        <v>140</v>
      </c>
      <c r="V93" s="15">
        <v>43939</v>
      </c>
      <c r="W93" s="15"/>
      <c r="X93" s="16" t="s">
        <v>84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7"/>
      <c r="AP93" s="18"/>
      <c r="AQ93" s="17"/>
      <c r="AR93" s="18"/>
      <c r="AS93" s="17"/>
      <c r="AT93" s="18"/>
      <c r="AU93" s="17"/>
      <c r="AV93" s="18"/>
      <c r="AW93" s="17"/>
      <c r="AX93" s="18"/>
      <c r="AY93" s="17"/>
      <c r="AZ93" s="18"/>
      <c r="BA93" s="17"/>
      <c r="BB93" s="18"/>
      <c r="BC93" s="17"/>
      <c r="BD93" s="18"/>
      <c r="BE93" s="17"/>
      <c r="BF93" s="18"/>
      <c r="BG93" s="17"/>
      <c r="BH93" s="18"/>
      <c r="BI93" s="17"/>
      <c r="BJ93" s="18"/>
      <c r="BK93" s="17"/>
      <c r="BL93" s="18"/>
      <c r="BM93" s="17"/>
      <c r="BN93" s="18"/>
      <c r="BO93" s="17"/>
      <c r="BP93" s="18"/>
      <c r="BQ93" s="14" t="s">
        <v>84</v>
      </c>
      <c r="BR93" s="16" t="s">
        <v>84</v>
      </c>
    </row>
    <row r="94" spans="1:70" ht="90" x14ac:dyDescent="0.25">
      <c r="A94" s="14" t="s">
        <v>133</v>
      </c>
      <c r="B94" s="14" t="s">
        <v>129</v>
      </c>
      <c r="C94" s="15">
        <v>43999.693055555559</v>
      </c>
      <c r="D94" s="14" t="s">
        <v>73</v>
      </c>
      <c r="E94" s="16" t="s">
        <v>74</v>
      </c>
      <c r="F94" s="14" t="s">
        <v>75</v>
      </c>
      <c r="G94" s="16" t="s">
        <v>76</v>
      </c>
      <c r="H94" s="14" t="s">
        <v>215</v>
      </c>
      <c r="I94" s="16" t="s">
        <v>216</v>
      </c>
      <c r="J94" s="16" t="s">
        <v>217</v>
      </c>
      <c r="K94" s="16" t="s">
        <v>218</v>
      </c>
      <c r="L94" s="14" t="s">
        <v>223</v>
      </c>
      <c r="M94" s="16" t="s">
        <v>224</v>
      </c>
      <c r="N94" s="14" t="s">
        <v>136</v>
      </c>
      <c r="O94" s="16" t="s">
        <v>199</v>
      </c>
      <c r="P94" s="16" t="s">
        <v>200</v>
      </c>
      <c r="Q94" s="16" t="s">
        <v>138</v>
      </c>
      <c r="R94" s="14" t="s">
        <v>139</v>
      </c>
      <c r="S94" s="14" t="s">
        <v>72</v>
      </c>
      <c r="T94" s="14" t="s">
        <v>88</v>
      </c>
      <c r="U94" s="14" t="s">
        <v>140</v>
      </c>
      <c r="V94" s="15">
        <v>43939</v>
      </c>
      <c r="W94" s="15"/>
      <c r="X94" s="16" t="s">
        <v>84</v>
      </c>
      <c r="Y94" s="17"/>
      <c r="Z94" s="18"/>
      <c r="AA94" s="17"/>
      <c r="AB94" s="18"/>
      <c r="AC94" s="17"/>
      <c r="AD94" s="18"/>
      <c r="AE94" s="17"/>
      <c r="AF94" s="18"/>
      <c r="AG94" s="17"/>
      <c r="AH94" s="18"/>
      <c r="AI94" s="17"/>
      <c r="AJ94" s="18"/>
      <c r="AK94" s="17"/>
      <c r="AL94" s="18"/>
      <c r="AM94" s="17"/>
      <c r="AN94" s="18"/>
      <c r="AO94" s="17"/>
      <c r="AP94" s="18"/>
      <c r="AQ94" s="17"/>
      <c r="AR94" s="18"/>
      <c r="AS94" s="17"/>
      <c r="AT94" s="18"/>
      <c r="AU94" s="17"/>
      <c r="AV94" s="18"/>
      <c r="AW94" s="17"/>
      <c r="AX94" s="18"/>
      <c r="AY94" s="17"/>
      <c r="AZ94" s="18"/>
      <c r="BA94" s="17"/>
      <c r="BB94" s="18"/>
      <c r="BC94" s="17"/>
      <c r="BD94" s="18"/>
      <c r="BE94" s="17"/>
      <c r="BF94" s="18"/>
      <c r="BG94" s="17"/>
      <c r="BH94" s="18"/>
      <c r="BI94" s="17"/>
      <c r="BJ94" s="18"/>
      <c r="BK94" s="17"/>
      <c r="BL94" s="18"/>
      <c r="BM94" s="17"/>
      <c r="BN94" s="18"/>
      <c r="BO94" s="17"/>
      <c r="BP94" s="18"/>
      <c r="BQ94" s="14" t="s">
        <v>84</v>
      </c>
      <c r="BR94" s="16" t="s">
        <v>84</v>
      </c>
    </row>
    <row r="95" spans="1:70" ht="90" x14ac:dyDescent="0.25">
      <c r="A95" s="14" t="s">
        <v>133</v>
      </c>
      <c r="B95" s="14" t="s">
        <v>129</v>
      </c>
      <c r="C95" s="15">
        <v>43999.689583333333</v>
      </c>
      <c r="D95" s="14" t="s">
        <v>73</v>
      </c>
      <c r="E95" s="16" t="s">
        <v>74</v>
      </c>
      <c r="F95" s="14" t="s">
        <v>75</v>
      </c>
      <c r="G95" s="16" t="s">
        <v>76</v>
      </c>
      <c r="H95" s="14" t="s">
        <v>215</v>
      </c>
      <c r="I95" s="16" t="s">
        <v>216</v>
      </c>
      <c r="J95" s="16" t="s">
        <v>217</v>
      </c>
      <c r="K95" s="16" t="s">
        <v>218</v>
      </c>
      <c r="L95" s="14" t="s">
        <v>219</v>
      </c>
      <c r="M95" s="16" t="s">
        <v>220</v>
      </c>
      <c r="N95" s="14" t="s">
        <v>178</v>
      </c>
      <c r="O95" s="16" t="s">
        <v>179</v>
      </c>
      <c r="P95" s="16" t="s">
        <v>180</v>
      </c>
      <c r="Q95" s="16" t="s">
        <v>141</v>
      </c>
      <c r="R95" s="14" t="s">
        <v>142</v>
      </c>
      <c r="S95" s="14" t="s">
        <v>143</v>
      </c>
      <c r="T95" s="14" t="s">
        <v>88</v>
      </c>
      <c r="U95" s="14" t="s">
        <v>140</v>
      </c>
      <c r="V95" s="15">
        <v>43939</v>
      </c>
      <c r="W95" s="15"/>
      <c r="X95" s="16" t="s">
        <v>84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7"/>
      <c r="AP95" s="18"/>
      <c r="AQ95" s="17"/>
      <c r="AR95" s="18"/>
      <c r="AS95" s="17"/>
      <c r="AT95" s="18"/>
      <c r="AU95" s="17"/>
      <c r="AV95" s="18"/>
      <c r="AW95" s="17"/>
      <c r="AX95" s="18"/>
      <c r="AY95" s="17"/>
      <c r="AZ95" s="18"/>
      <c r="BA95" s="17"/>
      <c r="BB95" s="18"/>
      <c r="BC95" s="17"/>
      <c r="BD95" s="18"/>
      <c r="BE95" s="17"/>
      <c r="BF95" s="18"/>
      <c r="BG95" s="17"/>
      <c r="BH95" s="18"/>
      <c r="BI95" s="17"/>
      <c r="BJ95" s="18"/>
      <c r="BK95" s="17"/>
      <c r="BL95" s="18"/>
      <c r="BM95" s="17"/>
      <c r="BN95" s="18"/>
      <c r="BO95" s="17"/>
      <c r="BP95" s="18"/>
      <c r="BQ95" s="14" t="s">
        <v>84</v>
      </c>
      <c r="BR95" s="16" t="s">
        <v>84</v>
      </c>
    </row>
    <row r="96" spans="1:70" ht="90" x14ac:dyDescent="0.25">
      <c r="A96" s="14" t="s">
        <v>133</v>
      </c>
      <c r="B96" s="14" t="s">
        <v>129</v>
      </c>
      <c r="C96" s="15">
        <v>43999.690972222219</v>
      </c>
      <c r="D96" s="14" t="s">
        <v>73</v>
      </c>
      <c r="E96" s="16" t="s">
        <v>74</v>
      </c>
      <c r="F96" s="14" t="s">
        <v>75</v>
      </c>
      <c r="G96" s="16" t="s">
        <v>76</v>
      </c>
      <c r="H96" s="14" t="s">
        <v>215</v>
      </c>
      <c r="I96" s="16" t="s">
        <v>216</v>
      </c>
      <c r="J96" s="16" t="s">
        <v>217</v>
      </c>
      <c r="K96" s="16" t="s">
        <v>218</v>
      </c>
      <c r="L96" s="14" t="s">
        <v>221</v>
      </c>
      <c r="M96" s="16" t="s">
        <v>222</v>
      </c>
      <c r="N96" s="14" t="s">
        <v>178</v>
      </c>
      <c r="O96" s="16" t="s">
        <v>192</v>
      </c>
      <c r="P96" s="16" t="s">
        <v>193</v>
      </c>
      <c r="Q96" s="16" t="s">
        <v>141</v>
      </c>
      <c r="R96" s="14" t="s">
        <v>142</v>
      </c>
      <c r="S96" s="14" t="s">
        <v>143</v>
      </c>
      <c r="T96" s="14" t="s">
        <v>88</v>
      </c>
      <c r="U96" s="14" t="s">
        <v>140</v>
      </c>
      <c r="V96" s="15">
        <v>43939</v>
      </c>
      <c r="W96" s="15"/>
      <c r="X96" s="16" t="s">
        <v>84</v>
      </c>
      <c r="Y96" s="17"/>
      <c r="Z96" s="18"/>
      <c r="AA96" s="17"/>
      <c r="AB96" s="18"/>
      <c r="AC96" s="17"/>
      <c r="AD96" s="18"/>
      <c r="AE96" s="17"/>
      <c r="AF96" s="18"/>
      <c r="AG96" s="17"/>
      <c r="AH96" s="18"/>
      <c r="AI96" s="17"/>
      <c r="AJ96" s="18"/>
      <c r="AK96" s="17"/>
      <c r="AL96" s="18"/>
      <c r="AM96" s="17"/>
      <c r="AN96" s="18"/>
      <c r="AO96" s="17"/>
      <c r="AP96" s="18"/>
      <c r="AQ96" s="17"/>
      <c r="AR96" s="18"/>
      <c r="AS96" s="17"/>
      <c r="AT96" s="18"/>
      <c r="AU96" s="17"/>
      <c r="AV96" s="18"/>
      <c r="AW96" s="17"/>
      <c r="AX96" s="18"/>
      <c r="AY96" s="17"/>
      <c r="AZ96" s="18"/>
      <c r="BA96" s="17"/>
      <c r="BB96" s="18"/>
      <c r="BC96" s="17"/>
      <c r="BD96" s="18"/>
      <c r="BE96" s="17"/>
      <c r="BF96" s="18"/>
      <c r="BG96" s="17"/>
      <c r="BH96" s="18"/>
      <c r="BI96" s="17"/>
      <c r="BJ96" s="18"/>
      <c r="BK96" s="17"/>
      <c r="BL96" s="18"/>
      <c r="BM96" s="17"/>
      <c r="BN96" s="18"/>
      <c r="BO96" s="17"/>
      <c r="BP96" s="18"/>
      <c r="BQ96" s="14" t="s">
        <v>84</v>
      </c>
      <c r="BR96" s="16" t="s">
        <v>84</v>
      </c>
    </row>
    <row r="97" spans="1:70" ht="90" x14ac:dyDescent="0.25">
      <c r="A97" s="14" t="s">
        <v>133</v>
      </c>
      <c r="B97" s="14" t="s">
        <v>129</v>
      </c>
      <c r="C97" s="15">
        <v>43999.693055555559</v>
      </c>
      <c r="D97" s="14" t="s">
        <v>73</v>
      </c>
      <c r="E97" s="16" t="s">
        <v>74</v>
      </c>
      <c r="F97" s="14" t="s">
        <v>75</v>
      </c>
      <c r="G97" s="16" t="s">
        <v>76</v>
      </c>
      <c r="H97" s="14" t="s">
        <v>215</v>
      </c>
      <c r="I97" s="16" t="s">
        <v>216</v>
      </c>
      <c r="J97" s="16" t="s">
        <v>217</v>
      </c>
      <c r="K97" s="16" t="s">
        <v>218</v>
      </c>
      <c r="L97" s="14" t="s">
        <v>223</v>
      </c>
      <c r="M97" s="16" t="s">
        <v>224</v>
      </c>
      <c r="N97" s="14" t="s">
        <v>136</v>
      </c>
      <c r="O97" s="16" t="s">
        <v>199</v>
      </c>
      <c r="P97" s="16" t="s">
        <v>200</v>
      </c>
      <c r="Q97" s="16" t="s">
        <v>141</v>
      </c>
      <c r="R97" s="14" t="s">
        <v>142</v>
      </c>
      <c r="S97" s="14" t="s">
        <v>143</v>
      </c>
      <c r="T97" s="14" t="s">
        <v>88</v>
      </c>
      <c r="U97" s="14" t="s">
        <v>140</v>
      </c>
      <c r="V97" s="15">
        <v>43939</v>
      </c>
      <c r="W97" s="15"/>
      <c r="X97" s="16" t="s">
        <v>84</v>
      </c>
      <c r="Y97" s="17"/>
      <c r="Z97" s="18"/>
      <c r="AA97" s="17"/>
      <c r="AB97" s="18"/>
      <c r="AC97" s="17"/>
      <c r="AD97" s="18"/>
      <c r="AE97" s="17"/>
      <c r="AF97" s="18"/>
      <c r="AG97" s="17"/>
      <c r="AH97" s="18"/>
      <c r="AI97" s="17"/>
      <c r="AJ97" s="18"/>
      <c r="AK97" s="17"/>
      <c r="AL97" s="18"/>
      <c r="AM97" s="17"/>
      <c r="AN97" s="18"/>
      <c r="AO97" s="17"/>
      <c r="AP97" s="18"/>
      <c r="AQ97" s="17"/>
      <c r="AR97" s="18"/>
      <c r="AS97" s="17"/>
      <c r="AT97" s="18"/>
      <c r="AU97" s="17"/>
      <c r="AV97" s="18"/>
      <c r="AW97" s="17"/>
      <c r="AX97" s="18"/>
      <c r="AY97" s="17"/>
      <c r="AZ97" s="18"/>
      <c r="BA97" s="17"/>
      <c r="BB97" s="18"/>
      <c r="BC97" s="17"/>
      <c r="BD97" s="18"/>
      <c r="BE97" s="17"/>
      <c r="BF97" s="18"/>
      <c r="BG97" s="17"/>
      <c r="BH97" s="18"/>
      <c r="BI97" s="17"/>
      <c r="BJ97" s="18"/>
      <c r="BK97" s="17"/>
      <c r="BL97" s="18"/>
      <c r="BM97" s="17"/>
      <c r="BN97" s="18"/>
      <c r="BO97" s="17"/>
      <c r="BP97" s="18"/>
      <c r="BQ97" s="14" t="s">
        <v>84</v>
      </c>
      <c r="BR97" s="16" t="s">
        <v>84</v>
      </c>
    </row>
    <row r="98" spans="1:70" ht="105" x14ac:dyDescent="0.25">
      <c r="A98" s="14" t="s">
        <v>133</v>
      </c>
      <c r="B98" s="14" t="s">
        <v>129</v>
      </c>
      <c r="C98" s="15">
        <v>44005.599999999999</v>
      </c>
      <c r="D98" s="14" t="s">
        <v>73</v>
      </c>
      <c r="E98" s="16" t="s">
        <v>74</v>
      </c>
      <c r="F98" s="14" t="s">
        <v>75</v>
      </c>
      <c r="G98" s="16" t="s">
        <v>76</v>
      </c>
      <c r="H98" s="14" t="s">
        <v>215</v>
      </c>
      <c r="I98" s="16" t="s">
        <v>216</v>
      </c>
      <c r="J98" s="16" t="s">
        <v>217</v>
      </c>
      <c r="K98" s="16" t="s">
        <v>218</v>
      </c>
      <c r="L98" s="14" t="s">
        <v>219</v>
      </c>
      <c r="M98" s="16" t="s">
        <v>220</v>
      </c>
      <c r="N98" s="14" t="s">
        <v>178</v>
      </c>
      <c r="O98" s="16" t="s">
        <v>179</v>
      </c>
      <c r="P98" s="16" t="s">
        <v>180</v>
      </c>
      <c r="Q98" s="16" t="s">
        <v>144</v>
      </c>
      <c r="R98" s="14" t="s">
        <v>145</v>
      </c>
      <c r="S98" s="14" t="s">
        <v>146</v>
      </c>
      <c r="T98" s="14" t="s">
        <v>88</v>
      </c>
      <c r="U98" s="14" t="s">
        <v>89</v>
      </c>
      <c r="V98" s="15">
        <v>43939</v>
      </c>
      <c r="W98" s="15"/>
      <c r="X98" s="16" t="s">
        <v>181</v>
      </c>
      <c r="Y98" s="17" t="s">
        <v>182</v>
      </c>
      <c r="Z98" s="18" t="str">
        <f>VLOOKUP(Y98,'Axe 2 Règles de gestion'!$D$2:$F$41,3, FALSE)</f>
        <v>L'administration d'accueil fait connaître à l'administration d'origine et à l'agent sa décision de renouveler ou non son affectation 4 mois avant le terme de la période.</v>
      </c>
      <c r="AA98" s="17" t="s">
        <v>184</v>
      </c>
      <c r="AB98" s="18" t="str">
        <f>VLOOKUP(AA98,'Axe 2 Règles de gestion'!$D$2:$F$41,3, FALSE)</f>
        <v>Pour les positions normales d'activité prises avant le 18/04/2020, le renouvellement n'est pas possible.</v>
      </c>
      <c r="AC98" s="17"/>
      <c r="AD98" s="18"/>
      <c r="AE98" s="17"/>
      <c r="AF98" s="18"/>
      <c r="AG98" s="17"/>
      <c r="AH98" s="18"/>
      <c r="AI98" s="17"/>
      <c r="AJ98" s="18"/>
      <c r="AK98" s="17"/>
      <c r="AL98" s="18"/>
      <c r="AM98" s="17"/>
      <c r="AN98" s="18"/>
      <c r="AO98" s="17"/>
      <c r="AP98" s="18"/>
      <c r="AQ98" s="17" t="s">
        <v>186</v>
      </c>
      <c r="AR98" s="18" t="str">
        <f>VLOOKUP(AQ98,'Axe 2 Règles de gestion'!$D$2:$F$41,3, FALSE)</f>
        <v>La durée prévisionnelle de l'affectation en position normale d'activité hors de l'administration d'origine est fixée à 3 ans.</v>
      </c>
      <c r="AS98" s="17" t="s">
        <v>188</v>
      </c>
      <c r="AT98" s="18" t="str">
        <f>VLOOKUP(AS98,'Axe 2 Règles de gestion'!$D$2:$F$41,3, FALSE)</f>
        <v>La durée réelle de l'affectation en position normale d'activité hors de l'administration d'origine est fixée à 3 ans.</v>
      </c>
      <c r="AU98" s="17"/>
      <c r="AV98" s="18"/>
      <c r="AW98" s="17"/>
      <c r="AX98" s="18"/>
      <c r="AY98" s="17"/>
      <c r="AZ98" s="18"/>
      <c r="BA98" s="17"/>
      <c r="BB98" s="18"/>
      <c r="BC98" s="17"/>
      <c r="BD98" s="18"/>
      <c r="BE98" s="17"/>
      <c r="BF98" s="18"/>
      <c r="BG98" s="17"/>
      <c r="BH98" s="18"/>
      <c r="BI98" s="17"/>
      <c r="BJ98" s="18"/>
      <c r="BK98" s="17"/>
      <c r="BL98" s="18"/>
      <c r="BM98" s="17"/>
      <c r="BN98" s="18"/>
      <c r="BO98" s="17"/>
      <c r="BP98" s="18"/>
      <c r="BQ98" s="14" t="s">
        <v>84</v>
      </c>
      <c r="BR98" s="16" t="s">
        <v>84</v>
      </c>
    </row>
    <row r="99" spans="1:70" ht="135" x14ac:dyDescent="0.25">
      <c r="A99" s="14" t="s">
        <v>71</v>
      </c>
      <c r="B99" s="14" t="s">
        <v>72</v>
      </c>
      <c r="C99" s="15">
        <v>44711.484027777777</v>
      </c>
      <c r="D99" s="14" t="s">
        <v>73</v>
      </c>
      <c r="E99" s="16" t="s">
        <v>74</v>
      </c>
      <c r="F99" s="14" t="s">
        <v>75</v>
      </c>
      <c r="G99" s="16" t="s">
        <v>76</v>
      </c>
      <c r="H99" s="14" t="s">
        <v>215</v>
      </c>
      <c r="I99" s="16" t="s">
        <v>216</v>
      </c>
      <c r="J99" s="16" t="s">
        <v>217</v>
      </c>
      <c r="K99" s="16" t="s">
        <v>218</v>
      </c>
      <c r="L99" s="14" t="s">
        <v>221</v>
      </c>
      <c r="M99" s="16" t="s">
        <v>222</v>
      </c>
      <c r="N99" s="14" t="s">
        <v>178</v>
      </c>
      <c r="O99" s="16" t="s">
        <v>192</v>
      </c>
      <c r="P99" s="16" t="s">
        <v>193</v>
      </c>
      <c r="Q99" s="16" t="s">
        <v>144</v>
      </c>
      <c r="R99" s="14" t="s">
        <v>145</v>
      </c>
      <c r="S99" s="14" t="s">
        <v>146</v>
      </c>
      <c r="T99" s="14" t="s">
        <v>88</v>
      </c>
      <c r="U99" s="14" t="s">
        <v>89</v>
      </c>
      <c r="V99" s="15">
        <v>43939</v>
      </c>
      <c r="W99" s="15"/>
      <c r="X99" s="16" t="s">
        <v>204</v>
      </c>
      <c r="Y99" s="17" t="s">
        <v>91</v>
      </c>
      <c r="Z99" s="18" t="str">
        <f>VLOOKUP(Y99,'Axe 2 Règles de gestion'!$D$2:$F$41,3, FALSE)</f>
        <v>L'agent doit effectuer une demande.</v>
      </c>
      <c r="AA99" s="17" t="s">
        <v>93</v>
      </c>
      <c r="AB99" s="18" t="str">
        <f>VLOOKUP(AA99,'Axe 2 Règles de gestion'!$D$2:$F$41,3, FALSE)</f>
        <v>L'affectation intervient à l'initiative de l'agent ou de l'administration.</v>
      </c>
      <c r="AC99" s="17" t="s">
        <v>97</v>
      </c>
      <c r="AD99" s="18" t="str">
        <f>VLOOKUP(AC99,'Axe 2 Règles de gestion'!$D$2:$F$41,3, FALSE)</f>
        <v>Un avis conforme de l'administration d'accueil a préalablement été transmis à l'administration d'origine sauf dans le cadre d'un transfert de service.</v>
      </c>
      <c r="AE99" s="17" t="s">
        <v>99</v>
      </c>
      <c r="AF99" s="18" t="str">
        <f>VLOOKUP(AE99,'Axe 2 Règles de gestion'!$D$2:$F$41,3, FALSE)</f>
        <v>Lorsque l'affectation de l'agent est prononcée dans un établissement public, le ministère de tutelle en est préalablement informé.</v>
      </c>
      <c r="AG99" s="17" t="s">
        <v>195</v>
      </c>
      <c r="AH99" s="18" t="str">
        <f>VLOOKUP(AG99,'Axe 2 Règles de gestion'!$D$2:$F$41,3, FALSE)</f>
        <v>Pour les positions normales d'activité prises avant le 18/04/2020, la limitation de durée ne s'applique pas.</v>
      </c>
      <c r="AI99" s="17"/>
      <c r="AJ99" s="18"/>
      <c r="AK99" s="17"/>
      <c r="AL99" s="18"/>
      <c r="AM99" s="17"/>
      <c r="AN99" s="18"/>
      <c r="AO99" s="17"/>
      <c r="AP99" s="18"/>
      <c r="AQ99" s="17" t="s">
        <v>186</v>
      </c>
      <c r="AR99" s="18" t="str">
        <f>VLOOKUP(AQ99,'Axe 2 Règles de gestion'!$D$2:$F$41,3, FALSE)</f>
        <v>La durée prévisionnelle de l'affectation en position normale d'activité hors de l'administration d'origine est fixée à 3 ans.</v>
      </c>
      <c r="AS99" s="17" t="s">
        <v>188</v>
      </c>
      <c r="AT99" s="18" t="str">
        <f>VLOOKUP(AS99,'Axe 2 Règles de gestion'!$D$2:$F$41,3, FALSE)</f>
        <v>La durée réelle de l'affectation en position normale d'activité hors de l'administration d'origine est fixée à 3 ans.</v>
      </c>
      <c r="AU99" s="17" t="s">
        <v>107</v>
      </c>
      <c r="AV99" s="18" t="str">
        <f>VLOOKUP(AU99,'Axe 2 Règles de gestion'!$D$2:$F$41,3, FALSE)</f>
        <v>La date de début de la position doit être postérieure ou égale à la date d'entrée dans la FPE ou dans la carrière militaire.</v>
      </c>
      <c r="AW99" s="17" t="s">
        <v>109</v>
      </c>
      <c r="AX99" s="18" t="str">
        <f>VLOOKUP(AW99,'Axe 2 Règles de gestion'!$D$2:$F$41,3, FALSE)</f>
        <v>La date de début de position est à J+1 de la date de fin de position de l'occurrence précédente.</v>
      </c>
      <c r="AY99" s="17" t="s">
        <v>111</v>
      </c>
      <c r="AZ99" s="18" t="str">
        <f>VLOOKUP(AY99,'Axe 2 Règles de gestion'!$D$2:$F$41,3, FALSE)</f>
        <v>La date de début de position doit être antérieure ou égale à la date de fin réelle de position.</v>
      </c>
      <c r="BA99" s="17" t="s">
        <v>113</v>
      </c>
      <c r="BB99" s="18" t="str">
        <f>VLOOKUP(BA99,'Axe 2 Règles de gestion'!$D$2:$F$41,3, FALSE)</f>
        <v>La date de début de position doit être antérieure ou égale à la date de fin prévisionnelle de position.</v>
      </c>
      <c r="BC99" s="17" t="s">
        <v>115</v>
      </c>
      <c r="BD99" s="18" t="str">
        <f>VLOOKUP(BC99,'Axe 2 Règles de gestion'!$D$2:$F$41,3, FALSE)</f>
        <v>La date de fin réelle de la position doit être antérieure à la date limite de départ à la retraite.</v>
      </c>
      <c r="BE99" s="17" t="s">
        <v>117</v>
      </c>
      <c r="BF99" s="18" t="str">
        <f>VLOOKUP(BE99,'Axe 2 Règles de gestion'!$D$2:$F$41,3, FALSE)</f>
        <v>La date de fin prévisionnelle de la position doit être antérieure à la date limite de départ à la retraite.</v>
      </c>
      <c r="BG99" s="17" t="s">
        <v>119</v>
      </c>
      <c r="BH99" s="18" t="str">
        <f>VLOOKUP(BG99,'Axe 2 Règles de gestion'!$D$2:$F$41,3, FALSE)</f>
        <v>Les champs "Type d'organisme d'origine", "Catégorie statutaire d'origine" et "Pays" de l'organisme d'origine doivent être renseignés.</v>
      </c>
      <c r="BI99" s="17" t="s">
        <v>121</v>
      </c>
      <c r="BJ99" s="18" t="str">
        <f>VLOOKUP(BI99,'Axe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99" s="17" t="s">
        <v>123</v>
      </c>
      <c r="BL99" s="18" t="str">
        <f>VLOOKUP(BK99,'Axe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99" s="17" t="s">
        <v>125</v>
      </c>
      <c r="BN99" s="18" t="str">
        <f>VLOOKUP(BM99,'Axe 2 Règles de gestion'!$D$2:$F$41,3, FALSE)</f>
        <v>Le champ "Code emploi statutaire FPT (NET)" est renseigné si le "Type d'organisme d'origine" est valorisé à FPT.</v>
      </c>
      <c r="BO99" s="17" t="s">
        <v>127</v>
      </c>
      <c r="BP99" s="18" t="str">
        <f>VLOOKUP(BO99,'Axe 2 Règles de gestion'!$D$2:$F$41,3, FALSE)</f>
        <v>Le champ "Code emploi statutaire FPH (NEH)" est renseigné si le "Type d'organisme d'origine" est valorisé à FPH.</v>
      </c>
      <c r="BQ99" s="14" t="s">
        <v>84</v>
      </c>
      <c r="BR99" s="16" t="s">
        <v>84</v>
      </c>
    </row>
    <row r="100" spans="1:70" ht="135" x14ac:dyDescent="0.25">
      <c r="A100" s="14" t="s">
        <v>133</v>
      </c>
      <c r="B100" s="14" t="s">
        <v>129</v>
      </c>
      <c r="C100" s="15">
        <v>44721.459027777775</v>
      </c>
      <c r="D100" s="14" t="s">
        <v>73</v>
      </c>
      <c r="E100" s="16" t="s">
        <v>74</v>
      </c>
      <c r="F100" s="14" t="s">
        <v>75</v>
      </c>
      <c r="G100" s="16" t="s">
        <v>76</v>
      </c>
      <c r="H100" s="14" t="s">
        <v>215</v>
      </c>
      <c r="I100" s="16" t="s">
        <v>216</v>
      </c>
      <c r="J100" s="16" t="s">
        <v>217</v>
      </c>
      <c r="K100" s="16" t="s">
        <v>218</v>
      </c>
      <c r="L100" s="14" t="s">
        <v>223</v>
      </c>
      <c r="M100" s="16" t="s">
        <v>224</v>
      </c>
      <c r="N100" s="14" t="s">
        <v>136</v>
      </c>
      <c r="O100" s="16" t="s">
        <v>199</v>
      </c>
      <c r="P100" s="16" t="s">
        <v>200</v>
      </c>
      <c r="Q100" s="16" t="s">
        <v>144</v>
      </c>
      <c r="R100" s="14" t="s">
        <v>145</v>
      </c>
      <c r="S100" s="14" t="s">
        <v>146</v>
      </c>
      <c r="T100" s="14" t="s">
        <v>88</v>
      </c>
      <c r="U100" s="14" t="s">
        <v>89</v>
      </c>
      <c r="V100" s="15">
        <v>43939</v>
      </c>
      <c r="W100" s="15"/>
      <c r="X100" s="16" t="s">
        <v>201</v>
      </c>
      <c r="Y100" s="17" t="s">
        <v>182</v>
      </c>
      <c r="Z100" s="18" t="str">
        <f>VLOOKUP(Y100,'Axe 2 Règles de gestion'!$D$2:$F$41,3, FALSE)</f>
        <v>L'administration d'accueil fait connaître à l'administration d'origine et à l'agent sa décision de renouveler ou non son affectation 4 mois avant le terme de la période.</v>
      </c>
      <c r="AA100" s="17" t="s">
        <v>202</v>
      </c>
      <c r="AB100" s="18" t="str">
        <f>VLOOKUP(AA100,'Axe 2 Règles de gestion'!$D$2:$F$41,3, FALSE)</f>
        <v>Lorsque l'administration d'accueil décide de ne pas renouveler l'affectation, l'agent est réintégré dans le département ministériel dont il relève, au besoin en surnombre.</v>
      </c>
      <c r="AC100" s="17" t="s">
        <v>195</v>
      </c>
      <c r="AD100" s="18" t="str">
        <f>VLOOKUP(AC100,'Axe 2 Règles de gestion'!$D$2:$F$41,3, FALSE)</f>
        <v>Pour les positions normales d'activité prises avant le 18/04/2020, la limitation de durée ne s'applique pas.</v>
      </c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7"/>
      <c r="AP100" s="18"/>
      <c r="AQ100" s="17" t="s">
        <v>186</v>
      </c>
      <c r="AR100" s="18" t="str">
        <f>VLOOKUP(AQ100,'Axe 2 Règles de gestion'!$D$2:$F$41,3, FALSE)</f>
        <v>La durée prévisionnelle de l'affectation en position normale d'activité hors de l'administration d'origine est fixée à 3 ans.</v>
      </c>
      <c r="AS100" s="17" t="s">
        <v>188</v>
      </c>
      <c r="AT100" s="18" t="str">
        <f>VLOOKUP(AS100,'Axe 2 Règles de gestion'!$D$2:$F$41,3, FALSE)</f>
        <v>La durée réelle de l'affectation en position normale d'activité hors de l'administration d'origine est fixée à 3 ans.</v>
      </c>
      <c r="AU100" s="17" t="s">
        <v>111</v>
      </c>
      <c r="AV100" s="18" t="str">
        <f>VLOOKUP(AU100,'Axe 2 Règles de gestion'!$D$2:$F$41,3, FALSE)</f>
        <v>La date de début de position doit être antérieure ou égale à la date de fin réelle de position.</v>
      </c>
      <c r="AW100" s="17" t="s">
        <v>113</v>
      </c>
      <c r="AX100" s="18" t="str">
        <f>VLOOKUP(AW100,'Axe 2 Règles de gestion'!$D$2:$F$41,3, FALSE)</f>
        <v>La date de début de position doit être antérieure ou égale à la date de fin prévisionnelle de position.</v>
      </c>
      <c r="AY100" s="17" t="s">
        <v>115</v>
      </c>
      <c r="AZ100" s="18" t="str">
        <f>VLOOKUP(AY100,'Axe 2 Règles de gestion'!$D$2:$F$41,3, FALSE)</f>
        <v>La date de fin réelle de la position doit être antérieure à la date limite de départ à la retraite.</v>
      </c>
      <c r="BA100" s="17" t="s">
        <v>117</v>
      </c>
      <c r="BB100" s="18" t="str">
        <f>VLOOKUP(BA100,'Axe 2 Règles de gestion'!$D$2:$F$41,3, FALSE)</f>
        <v>La date de fin prévisionnelle de la position doit être antérieure à la date limite de départ à la retraite.</v>
      </c>
      <c r="BC100" s="17" t="s">
        <v>119</v>
      </c>
      <c r="BD100" s="18" t="str">
        <f>VLOOKUP(BC100,'Axe 2 Règles de gestion'!$D$2:$F$41,3, FALSE)</f>
        <v>Les champs "Type d'organisme d'origine", "Catégorie statutaire d'origine" et "Pays" de l'organisme d'origine doivent être renseignés.</v>
      </c>
      <c r="BE100" s="17" t="s">
        <v>121</v>
      </c>
      <c r="BF100" s="18" t="str">
        <f>VLOOKUP(BE100,'Axe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00" s="17" t="s">
        <v>123</v>
      </c>
      <c r="BH100" s="18" t="str">
        <f>VLOOKUP(BG100,'Axe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00" s="17" t="s">
        <v>125</v>
      </c>
      <c r="BJ100" s="18" t="str">
        <f>VLOOKUP(BI100,'Axe 2 Règles de gestion'!$D$2:$F$41,3, FALSE)</f>
        <v>Le champ "Code emploi statutaire FPT (NET)" est renseigné si le "Type d'organisme d'origine" est valorisé à FPT.</v>
      </c>
      <c r="BK100" s="17" t="s">
        <v>127</v>
      </c>
      <c r="BL100" s="18" t="str">
        <f>VLOOKUP(BK100,'Axe 2 Règles de gestion'!$D$2:$F$41,3, FALSE)</f>
        <v>Le champ "Code emploi statutaire FPH (NEH)" est renseigné si le "Type d'organisme d'origine" est valorisé à FPH.</v>
      </c>
      <c r="BM100" s="17"/>
      <c r="BN100" s="18"/>
      <c r="BO100" s="17"/>
      <c r="BP100" s="18"/>
      <c r="BQ100" s="14" t="s">
        <v>84</v>
      </c>
      <c r="BR100" s="16" t="s">
        <v>84</v>
      </c>
    </row>
    <row r="101" spans="1:70" ht="90" x14ac:dyDescent="0.25">
      <c r="A101" s="14" t="s">
        <v>133</v>
      </c>
      <c r="B101" s="14" t="s">
        <v>129</v>
      </c>
      <c r="C101" s="15">
        <v>43999.69027777778</v>
      </c>
      <c r="D101" s="14" t="s">
        <v>73</v>
      </c>
      <c r="E101" s="16" t="s">
        <v>74</v>
      </c>
      <c r="F101" s="14" t="s">
        <v>75</v>
      </c>
      <c r="G101" s="16" t="s">
        <v>76</v>
      </c>
      <c r="H101" s="14" t="s">
        <v>215</v>
      </c>
      <c r="I101" s="16" t="s">
        <v>216</v>
      </c>
      <c r="J101" s="16" t="s">
        <v>217</v>
      </c>
      <c r="K101" s="16" t="s">
        <v>218</v>
      </c>
      <c r="L101" s="14" t="s">
        <v>219</v>
      </c>
      <c r="M101" s="16" t="s">
        <v>220</v>
      </c>
      <c r="N101" s="14" t="s">
        <v>178</v>
      </c>
      <c r="O101" s="16" t="s">
        <v>179</v>
      </c>
      <c r="P101" s="16" t="s">
        <v>180</v>
      </c>
      <c r="Q101" s="16" t="s">
        <v>148</v>
      </c>
      <c r="R101" s="14" t="s">
        <v>149</v>
      </c>
      <c r="S101" s="14" t="s">
        <v>150</v>
      </c>
      <c r="T101" s="14" t="s">
        <v>88</v>
      </c>
      <c r="U101" s="14" t="s">
        <v>140</v>
      </c>
      <c r="V101" s="15">
        <v>43939</v>
      </c>
      <c r="W101" s="15"/>
      <c r="X101" s="16" t="s">
        <v>84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7"/>
      <c r="AP101" s="18"/>
      <c r="AQ101" s="17"/>
      <c r="AR101" s="18"/>
      <c r="AS101" s="17"/>
      <c r="AT101" s="18"/>
      <c r="AU101" s="17"/>
      <c r="AV101" s="18"/>
      <c r="AW101" s="17"/>
      <c r="AX101" s="18"/>
      <c r="AY101" s="17"/>
      <c r="AZ101" s="18"/>
      <c r="BA101" s="17"/>
      <c r="BB101" s="18"/>
      <c r="BC101" s="17"/>
      <c r="BD101" s="18"/>
      <c r="BE101" s="17"/>
      <c r="BF101" s="18"/>
      <c r="BG101" s="17"/>
      <c r="BH101" s="18"/>
      <c r="BI101" s="17"/>
      <c r="BJ101" s="18"/>
      <c r="BK101" s="17"/>
      <c r="BL101" s="18"/>
      <c r="BM101" s="17"/>
      <c r="BN101" s="18"/>
      <c r="BO101" s="17"/>
      <c r="BP101" s="18"/>
      <c r="BQ101" s="14" t="s">
        <v>84</v>
      </c>
      <c r="BR101" s="16" t="s">
        <v>84</v>
      </c>
    </row>
    <row r="102" spans="1:70" ht="90" x14ac:dyDescent="0.25">
      <c r="A102" s="14" t="s">
        <v>133</v>
      </c>
      <c r="B102" s="14" t="s">
        <v>129</v>
      </c>
      <c r="C102" s="15">
        <v>43999.690972222219</v>
      </c>
      <c r="D102" s="14" t="s">
        <v>73</v>
      </c>
      <c r="E102" s="16" t="s">
        <v>74</v>
      </c>
      <c r="F102" s="14" t="s">
        <v>75</v>
      </c>
      <c r="G102" s="16" t="s">
        <v>76</v>
      </c>
      <c r="H102" s="14" t="s">
        <v>215</v>
      </c>
      <c r="I102" s="16" t="s">
        <v>216</v>
      </c>
      <c r="J102" s="16" t="s">
        <v>217</v>
      </c>
      <c r="K102" s="16" t="s">
        <v>218</v>
      </c>
      <c r="L102" s="14" t="s">
        <v>221</v>
      </c>
      <c r="M102" s="16" t="s">
        <v>222</v>
      </c>
      <c r="N102" s="14" t="s">
        <v>178</v>
      </c>
      <c r="O102" s="16" t="s">
        <v>192</v>
      </c>
      <c r="P102" s="16" t="s">
        <v>193</v>
      </c>
      <c r="Q102" s="16" t="s">
        <v>148</v>
      </c>
      <c r="R102" s="14" t="s">
        <v>149</v>
      </c>
      <c r="S102" s="14" t="s">
        <v>150</v>
      </c>
      <c r="T102" s="14" t="s">
        <v>88</v>
      </c>
      <c r="U102" s="14" t="s">
        <v>140</v>
      </c>
      <c r="V102" s="15">
        <v>43939</v>
      </c>
      <c r="W102" s="15"/>
      <c r="X102" s="16" t="s">
        <v>84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7"/>
      <c r="AP102" s="18"/>
      <c r="AQ102" s="17"/>
      <c r="AR102" s="18"/>
      <c r="AS102" s="17"/>
      <c r="AT102" s="18"/>
      <c r="AU102" s="17"/>
      <c r="AV102" s="18"/>
      <c r="AW102" s="17"/>
      <c r="AX102" s="18"/>
      <c r="AY102" s="17"/>
      <c r="AZ102" s="18"/>
      <c r="BA102" s="17"/>
      <c r="BB102" s="18"/>
      <c r="BC102" s="17"/>
      <c r="BD102" s="18"/>
      <c r="BE102" s="17"/>
      <c r="BF102" s="18"/>
      <c r="BG102" s="17"/>
      <c r="BH102" s="18"/>
      <c r="BI102" s="17"/>
      <c r="BJ102" s="18"/>
      <c r="BK102" s="17"/>
      <c r="BL102" s="18"/>
      <c r="BM102" s="17"/>
      <c r="BN102" s="18"/>
      <c r="BO102" s="17"/>
      <c r="BP102" s="18"/>
      <c r="BQ102" s="14" t="s">
        <v>84</v>
      </c>
      <c r="BR102" s="16" t="s">
        <v>84</v>
      </c>
    </row>
    <row r="103" spans="1:70" ht="90" x14ac:dyDescent="0.25">
      <c r="A103" s="14" t="s">
        <v>133</v>
      </c>
      <c r="B103" s="14" t="s">
        <v>129</v>
      </c>
      <c r="C103" s="15">
        <v>43999.693055555559</v>
      </c>
      <c r="D103" s="14" t="s">
        <v>73</v>
      </c>
      <c r="E103" s="16" t="s">
        <v>74</v>
      </c>
      <c r="F103" s="14" t="s">
        <v>75</v>
      </c>
      <c r="G103" s="16" t="s">
        <v>76</v>
      </c>
      <c r="H103" s="14" t="s">
        <v>215</v>
      </c>
      <c r="I103" s="16" t="s">
        <v>216</v>
      </c>
      <c r="J103" s="16" t="s">
        <v>217</v>
      </c>
      <c r="K103" s="16" t="s">
        <v>218</v>
      </c>
      <c r="L103" s="14" t="s">
        <v>223</v>
      </c>
      <c r="M103" s="16" t="s">
        <v>224</v>
      </c>
      <c r="N103" s="14" t="s">
        <v>136</v>
      </c>
      <c r="O103" s="16" t="s">
        <v>199</v>
      </c>
      <c r="P103" s="16" t="s">
        <v>200</v>
      </c>
      <c r="Q103" s="16" t="s">
        <v>148</v>
      </c>
      <c r="R103" s="14" t="s">
        <v>149</v>
      </c>
      <c r="S103" s="14" t="s">
        <v>150</v>
      </c>
      <c r="T103" s="14" t="s">
        <v>88</v>
      </c>
      <c r="U103" s="14" t="s">
        <v>140</v>
      </c>
      <c r="V103" s="15">
        <v>43939</v>
      </c>
      <c r="W103" s="15"/>
      <c r="X103" s="16" t="s">
        <v>84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7"/>
      <c r="AP103" s="18"/>
      <c r="AQ103" s="17"/>
      <c r="AR103" s="18"/>
      <c r="AS103" s="17"/>
      <c r="AT103" s="18"/>
      <c r="AU103" s="17"/>
      <c r="AV103" s="18"/>
      <c r="AW103" s="17"/>
      <c r="AX103" s="18"/>
      <c r="AY103" s="17"/>
      <c r="AZ103" s="18"/>
      <c r="BA103" s="17"/>
      <c r="BB103" s="18"/>
      <c r="BC103" s="17"/>
      <c r="BD103" s="18"/>
      <c r="BE103" s="17"/>
      <c r="BF103" s="18"/>
      <c r="BG103" s="17"/>
      <c r="BH103" s="18"/>
      <c r="BI103" s="17"/>
      <c r="BJ103" s="18"/>
      <c r="BK103" s="17"/>
      <c r="BL103" s="18"/>
      <c r="BM103" s="17"/>
      <c r="BN103" s="18"/>
      <c r="BO103" s="17"/>
      <c r="BP103" s="18"/>
      <c r="BQ103" s="14" t="s">
        <v>84</v>
      </c>
      <c r="BR103" s="16" t="s">
        <v>84</v>
      </c>
    </row>
    <row r="104" spans="1:70" ht="90" x14ac:dyDescent="0.25">
      <c r="A104" s="14" t="s">
        <v>133</v>
      </c>
      <c r="B104" s="14" t="s">
        <v>129</v>
      </c>
      <c r="C104" s="15">
        <v>44005.65902777778</v>
      </c>
      <c r="D104" s="14" t="s">
        <v>73</v>
      </c>
      <c r="E104" s="16" t="s">
        <v>74</v>
      </c>
      <c r="F104" s="14" t="s">
        <v>75</v>
      </c>
      <c r="G104" s="16" t="s">
        <v>76</v>
      </c>
      <c r="H104" s="14" t="s">
        <v>215</v>
      </c>
      <c r="I104" s="16" t="s">
        <v>216</v>
      </c>
      <c r="J104" s="16" t="s">
        <v>217</v>
      </c>
      <c r="K104" s="16" t="s">
        <v>218</v>
      </c>
      <c r="L104" s="14" t="s">
        <v>219</v>
      </c>
      <c r="M104" s="16" t="s">
        <v>220</v>
      </c>
      <c r="N104" s="14" t="s">
        <v>178</v>
      </c>
      <c r="O104" s="16" t="s">
        <v>179</v>
      </c>
      <c r="P104" s="16" t="s">
        <v>180</v>
      </c>
      <c r="Q104" s="16" t="s">
        <v>151</v>
      </c>
      <c r="R104" s="14" t="s">
        <v>152</v>
      </c>
      <c r="S104" s="14" t="s">
        <v>87</v>
      </c>
      <c r="T104" s="14" t="s">
        <v>153</v>
      </c>
      <c r="U104" s="14" t="s">
        <v>140</v>
      </c>
      <c r="V104" s="15">
        <v>43939</v>
      </c>
      <c r="W104" s="15"/>
      <c r="X104" s="16" t="s">
        <v>84</v>
      </c>
      <c r="Y104" s="17"/>
      <c r="Z104" s="18"/>
      <c r="AA104" s="17"/>
      <c r="AB104" s="18"/>
      <c r="AC104" s="17"/>
      <c r="AD104" s="18"/>
      <c r="AE104" s="17"/>
      <c r="AF104" s="18"/>
      <c r="AG104" s="17"/>
      <c r="AH104" s="18"/>
      <c r="AI104" s="17"/>
      <c r="AJ104" s="18"/>
      <c r="AK104" s="17"/>
      <c r="AL104" s="18"/>
      <c r="AM104" s="17"/>
      <c r="AN104" s="18"/>
      <c r="AO104" s="17"/>
      <c r="AP104" s="18"/>
      <c r="AQ104" s="17"/>
      <c r="AR104" s="18"/>
      <c r="AS104" s="17"/>
      <c r="AT104" s="18"/>
      <c r="AU104" s="17"/>
      <c r="AV104" s="18"/>
      <c r="AW104" s="17"/>
      <c r="AX104" s="18"/>
      <c r="AY104" s="17"/>
      <c r="AZ104" s="18"/>
      <c r="BA104" s="17"/>
      <c r="BB104" s="18"/>
      <c r="BC104" s="17"/>
      <c r="BD104" s="18"/>
      <c r="BE104" s="17"/>
      <c r="BF104" s="18"/>
      <c r="BG104" s="17"/>
      <c r="BH104" s="18"/>
      <c r="BI104" s="17"/>
      <c r="BJ104" s="18"/>
      <c r="BK104" s="17"/>
      <c r="BL104" s="18"/>
      <c r="BM104" s="17"/>
      <c r="BN104" s="18"/>
      <c r="BO104" s="17"/>
      <c r="BP104" s="18"/>
      <c r="BQ104" s="14" t="s">
        <v>84</v>
      </c>
      <c r="BR104" s="16" t="s">
        <v>84</v>
      </c>
    </row>
    <row r="105" spans="1:70" ht="90" x14ac:dyDescent="0.25">
      <c r="A105" s="14" t="s">
        <v>133</v>
      </c>
      <c r="B105" s="14" t="s">
        <v>129</v>
      </c>
      <c r="C105" s="15">
        <v>43999.691666666666</v>
      </c>
      <c r="D105" s="14" t="s">
        <v>73</v>
      </c>
      <c r="E105" s="16" t="s">
        <v>74</v>
      </c>
      <c r="F105" s="14" t="s">
        <v>75</v>
      </c>
      <c r="G105" s="16" t="s">
        <v>76</v>
      </c>
      <c r="H105" s="14" t="s">
        <v>215</v>
      </c>
      <c r="I105" s="16" t="s">
        <v>216</v>
      </c>
      <c r="J105" s="16" t="s">
        <v>217</v>
      </c>
      <c r="K105" s="16" t="s">
        <v>218</v>
      </c>
      <c r="L105" s="14" t="s">
        <v>221</v>
      </c>
      <c r="M105" s="16" t="s">
        <v>222</v>
      </c>
      <c r="N105" s="14" t="s">
        <v>178</v>
      </c>
      <c r="O105" s="16" t="s">
        <v>192</v>
      </c>
      <c r="P105" s="16" t="s">
        <v>193</v>
      </c>
      <c r="Q105" s="16" t="s">
        <v>151</v>
      </c>
      <c r="R105" s="14" t="s">
        <v>152</v>
      </c>
      <c r="S105" s="14" t="s">
        <v>87</v>
      </c>
      <c r="T105" s="14" t="s">
        <v>153</v>
      </c>
      <c r="U105" s="14" t="s">
        <v>140</v>
      </c>
      <c r="V105" s="15">
        <v>43939</v>
      </c>
      <c r="W105" s="15"/>
      <c r="X105" s="16" t="s">
        <v>84</v>
      </c>
      <c r="Y105" s="17"/>
      <c r="Z105" s="18"/>
      <c r="AA105" s="17"/>
      <c r="AB105" s="18"/>
      <c r="AC105" s="17"/>
      <c r="AD105" s="18"/>
      <c r="AE105" s="17"/>
      <c r="AF105" s="18"/>
      <c r="AG105" s="17"/>
      <c r="AH105" s="18"/>
      <c r="AI105" s="17"/>
      <c r="AJ105" s="18"/>
      <c r="AK105" s="17"/>
      <c r="AL105" s="18"/>
      <c r="AM105" s="17"/>
      <c r="AN105" s="18"/>
      <c r="AO105" s="17"/>
      <c r="AP105" s="18"/>
      <c r="AQ105" s="17"/>
      <c r="AR105" s="18"/>
      <c r="AS105" s="17"/>
      <c r="AT105" s="18"/>
      <c r="AU105" s="17"/>
      <c r="AV105" s="18"/>
      <c r="AW105" s="17"/>
      <c r="AX105" s="18"/>
      <c r="AY105" s="17"/>
      <c r="AZ105" s="18"/>
      <c r="BA105" s="17"/>
      <c r="BB105" s="18"/>
      <c r="BC105" s="17"/>
      <c r="BD105" s="18"/>
      <c r="BE105" s="17"/>
      <c r="BF105" s="18"/>
      <c r="BG105" s="17"/>
      <c r="BH105" s="18"/>
      <c r="BI105" s="17"/>
      <c r="BJ105" s="18"/>
      <c r="BK105" s="17"/>
      <c r="BL105" s="18"/>
      <c r="BM105" s="17"/>
      <c r="BN105" s="18"/>
      <c r="BO105" s="17"/>
      <c r="BP105" s="18"/>
      <c r="BQ105" s="14" t="s">
        <v>84</v>
      </c>
      <c r="BR105" s="16" t="s">
        <v>84</v>
      </c>
    </row>
    <row r="106" spans="1:70" ht="90" x14ac:dyDescent="0.25">
      <c r="A106" s="14" t="s">
        <v>133</v>
      </c>
      <c r="B106" s="14" t="s">
        <v>129</v>
      </c>
      <c r="C106" s="15">
        <v>43999.692361111112</v>
      </c>
      <c r="D106" s="14" t="s">
        <v>73</v>
      </c>
      <c r="E106" s="16" t="s">
        <v>74</v>
      </c>
      <c r="F106" s="14" t="s">
        <v>75</v>
      </c>
      <c r="G106" s="16" t="s">
        <v>76</v>
      </c>
      <c r="H106" s="14" t="s">
        <v>215</v>
      </c>
      <c r="I106" s="16" t="s">
        <v>216</v>
      </c>
      <c r="J106" s="16" t="s">
        <v>217</v>
      </c>
      <c r="K106" s="16" t="s">
        <v>218</v>
      </c>
      <c r="L106" s="14" t="s">
        <v>223</v>
      </c>
      <c r="M106" s="16" t="s">
        <v>224</v>
      </c>
      <c r="N106" s="14" t="s">
        <v>136</v>
      </c>
      <c r="O106" s="16" t="s">
        <v>199</v>
      </c>
      <c r="P106" s="16" t="s">
        <v>200</v>
      </c>
      <c r="Q106" s="16" t="s">
        <v>151</v>
      </c>
      <c r="R106" s="14" t="s">
        <v>152</v>
      </c>
      <c r="S106" s="14" t="s">
        <v>87</v>
      </c>
      <c r="T106" s="14" t="s">
        <v>153</v>
      </c>
      <c r="U106" s="14" t="s">
        <v>140</v>
      </c>
      <c r="V106" s="15">
        <v>43939</v>
      </c>
      <c r="W106" s="15"/>
      <c r="X106" s="16" t="s">
        <v>84</v>
      </c>
      <c r="Y106" s="17"/>
      <c r="Z106" s="18"/>
      <c r="AA106" s="17"/>
      <c r="AB106" s="18"/>
      <c r="AC106" s="17"/>
      <c r="AD106" s="18"/>
      <c r="AE106" s="17"/>
      <c r="AF106" s="18"/>
      <c r="AG106" s="17"/>
      <c r="AH106" s="18"/>
      <c r="AI106" s="17"/>
      <c r="AJ106" s="18"/>
      <c r="AK106" s="17"/>
      <c r="AL106" s="18"/>
      <c r="AM106" s="17"/>
      <c r="AN106" s="18"/>
      <c r="AO106" s="17"/>
      <c r="AP106" s="18"/>
      <c r="AQ106" s="17"/>
      <c r="AR106" s="18"/>
      <c r="AS106" s="17"/>
      <c r="AT106" s="18"/>
      <c r="AU106" s="17"/>
      <c r="AV106" s="18"/>
      <c r="AW106" s="17"/>
      <c r="AX106" s="18"/>
      <c r="AY106" s="17"/>
      <c r="AZ106" s="18"/>
      <c r="BA106" s="17"/>
      <c r="BB106" s="18"/>
      <c r="BC106" s="17"/>
      <c r="BD106" s="18"/>
      <c r="BE106" s="17"/>
      <c r="BF106" s="18"/>
      <c r="BG106" s="17"/>
      <c r="BH106" s="18"/>
      <c r="BI106" s="17"/>
      <c r="BJ106" s="18"/>
      <c r="BK106" s="17"/>
      <c r="BL106" s="18"/>
      <c r="BM106" s="17"/>
      <c r="BN106" s="18"/>
      <c r="BO106" s="17"/>
      <c r="BP106" s="18"/>
      <c r="BQ106" s="14" t="s">
        <v>84</v>
      </c>
      <c r="BR106" s="16" t="s">
        <v>84</v>
      </c>
    </row>
    <row r="107" spans="1:70" ht="90" x14ac:dyDescent="0.25">
      <c r="A107" s="14" t="s">
        <v>133</v>
      </c>
      <c r="B107" s="14" t="s">
        <v>129</v>
      </c>
      <c r="C107" s="15">
        <v>43999.689583333333</v>
      </c>
      <c r="D107" s="14" t="s">
        <v>73</v>
      </c>
      <c r="E107" s="16" t="s">
        <v>74</v>
      </c>
      <c r="F107" s="14" t="s">
        <v>75</v>
      </c>
      <c r="G107" s="16" t="s">
        <v>76</v>
      </c>
      <c r="H107" s="14" t="s">
        <v>215</v>
      </c>
      <c r="I107" s="16" t="s">
        <v>216</v>
      </c>
      <c r="J107" s="16" t="s">
        <v>217</v>
      </c>
      <c r="K107" s="16" t="s">
        <v>218</v>
      </c>
      <c r="L107" s="14" t="s">
        <v>219</v>
      </c>
      <c r="M107" s="16" t="s">
        <v>220</v>
      </c>
      <c r="N107" s="14" t="s">
        <v>178</v>
      </c>
      <c r="O107" s="16" t="s">
        <v>179</v>
      </c>
      <c r="P107" s="16" t="s">
        <v>180</v>
      </c>
      <c r="Q107" s="16" t="s">
        <v>154</v>
      </c>
      <c r="R107" s="14" t="s">
        <v>155</v>
      </c>
      <c r="S107" s="14" t="s">
        <v>146</v>
      </c>
      <c r="T107" s="14" t="s">
        <v>153</v>
      </c>
      <c r="U107" s="14" t="s">
        <v>140</v>
      </c>
      <c r="V107" s="15">
        <v>43939</v>
      </c>
      <c r="W107" s="15"/>
      <c r="X107" s="16" t="s">
        <v>84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/>
      <c r="AL107" s="18"/>
      <c r="AM107" s="17"/>
      <c r="AN107" s="18"/>
      <c r="AO107" s="17"/>
      <c r="AP107" s="18"/>
      <c r="AQ107" s="17"/>
      <c r="AR107" s="18"/>
      <c r="AS107" s="17"/>
      <c r="AT107" s="18"/>
      <c r="AU107" s="17"/>
      <c r="AV107" s="18"/>
      <c r="AW107" s="17"/>
      <c r="AX107" s="18"/>
      <c r="AY107" s="17"/>
      <c r="AZ107" s="18"/>
      <c r="BA107" s="17"/>
      <c r="BB107" s="18"/>
      <c r="BC107" s="17"/>
      <c r="BD107" s="18"/>
      <c r="BE107" s="17"/>
      <c r="BF107" s="18"/>
      <c r="BG107" s="17"/>
      <c r="BH107" s="18"/>
      <c r="BI107" s="17"/>
      <c r="BJ107" s="18"/>
      <c r="BK107" s="17"/>
      <c r="BL107" s="18"/>
      <c r="BM107" s="17"/>
      <c r="BN107" s="18"/>
      <c r="BO107" s="17"/>
      <c r="BP107" s="18"/>
      <c r="BQ107" s="14" t="s">
        <v>84</v>
      </c>
      <c r="BR107" s="16" t="s">
        <v>84</v>
      </c>
    </row>
    <row r="108" spans="1:70" ht="90" x14ac:dyDescent="0.25">
      <c r="A108" s="14" t="s">
        <v>133</v>
      </c>
      <c r="B108" s="14" t="s">
        <v>129</v>
      </c>
      <c r="C108" s="15">
        <v>43999.691666666666</v>
      </c>
      <c r="D108" s="14" t="s">
        <v>73</v>
      </c>
      <c r="E108" s="16" t="s">
        <v>74</v>
      </c>
      <c r="F108" s="14" t="s">
        <v>75</v>
      </c>
      <c r="G108" s="16" t="s">
        <v>76</v>
      </c>
      <c r="H108" s="14" t="s">
        <v>215</v>
      </c>
      <c r="I108" s="16" t="s">
        <v>216</v>
      </c>
      <c r="J108" s="16" t="s">
        <v>217</v>
      </c>
      <c r="K108" s="16" t="s">
        <v>218</v>
      </c>
      <c r="L108" s="14" t="s">
        <v>221</v>
      </c>
      <c r="M108" s="16" t="s">
        <v>222</v>
      </c>
      <c r="N108" s="14" t="s">
        <v>178</v>
      </c>
      <c r="O108" s="16" t="s">
        <v>192</v>
      </c>
      <c r="P108" s="16" t="s">
        <v>193</v>
      </c>
      <c r="Q108" s="16" t="s">
        <v>154</v>
      </c>
      <c r="R108" s="14" t="s">
        <v>155</v>
      </c>
      <c r="S108" s="14" t="s">
        <v>146</v>
      </c>
      <c r="T108" s="14" t="s">
        <v>153</v>
      </c>
      <c r="U108" s="14" t="s">
        <v>140</v>
      </c>
      <c r="V108" s="15">
        <v>43939</v>
      </c>
      <c r="W108" s="15"/>
      <c r="X108" s="16" t="s">
        <v>84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7"/>
      <c r="AP108" s="18"/>
      <c r="AQ108" s="17"/>
      <c r="AR108" s="18"/>
      <c r="AS108" s="17"/>
      <c r="AT108" s="18"/>
      <c r="AU108" s="17"/>
      <c r="AV108" s="18"/>
      <c r="AW108" s="17"/>
      <c r="AX108" s="18"/>
      <c r="AY108" s="17"/>
      <c r="AZ108" s="18"/>
      <c r="BA108" s="17"/>
      <c r="BB108" s="18"/>
      <c r="BC108" s="17"/>
      <c r="BD108" s="18"/>
      <c r="BE108" s="17"/>
      <c r="BF108" s="18"/>
      <c r="BG108" s="17"/>
      <c r="BH108" s="18"/>
      <c r="BI108" s="17"/>
      <c r="BJ108" s="18"/>
      <c r="BK108" s="17"/>
      <c r="BL108" s="18"/>
      <c r="BM108" s="17"/>
      <c r="BN108" s="18"/>
      <c r="BO108" s="17"/>
      <c r="BP108" s="18"/>
      <c r="BQ108" s="14" t="s">
        <v>84</v>
      </c>
      <c r="BR108" s="16" t="s">
        <v>84</v>
      </c>
    </row>
    <row r="109" spans="1:70" ht="90" x14ac:dyDescent="0.25">
      <c r="A109" s="14" t="s">
        <v>133</v>
      </c>
      <c r="B109" s="14" t="s">
        <v>129</v>
      </c>
      <c r="C109" s="15">
        <v>43999.692361111112</v>
      </c>
      <c r="D109" s="14" t="s">
        <v>73</v>
      </c>
      <c r="E109" s="16" t="s">
        <v>74</v>
      </c>
      <c r="F109" s="14" t="s">
        <v>75</v>
      </c>
      <c r="G109" s="16" t="s">
        <v>76</v>
      </c>
      <c r="H109" s="14" t="s">
        <v>215</v>
      </c>
      <c r="I109" s="16" t="s">
        <v>216</v>
      </c>
      <c r="J109" s="16" t="s">
        <v>217</v>
      </c>
      <c r="K109" s="16" t="s">
        <v>218</v>
      </c>
      <c r="L109" s="14" t="s">
        <v>223</v>
      </c>
      <c r="M109" s="16" t="s">
        <v>224</v>
      </c>
      <c r="N109" s="14" t="s">
        <v>136</v>
      </c>
      <c r="O109" s="16" t="s">
        <v>199</v>
      </c>
      <c r="P109" s="16" t="s">
        <v>200</v>
      </c>
      <c r="Q109" s="16" t="s">
        <v>154</v>
      </c>
      <c r="R109" s="14" t="s">
        <v>155</v>
      </c>
      <c r="S109" s="14" t="s">
        <v>146</v>
      </c>
      <c r="T109" s="14" t="s">
        <v>153</v>
      </c>
      <c r="U109" s="14" t="s">
        <v>140</v>
      </c>
      <c r="V109" s="15">
        <v>43939</v>
      </c>
      <c r="W109" s="15"/>
      <c r="X109" s="16" t="s">
        <v>84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7"/>
      <c r="AP109" s="18"/>
      <c r="AQ109" s="17"/>
      <c r="AR109" s="18"/>
      <c r="AS109" s="17"/>
      <c r="AT109" s="18"/>
      <c r="AU109" s="17"/>
      <c r="AV109" s="18"/>
      <c r="AW109" s="17"/>
      <c r="AX109" s="18"/>
      <c r="AY109" s="17"/>
      <c r="AZ109" s="18"/>
      <c r="BA109" s="17"/>
      <c r="BB109" s="18"/>
      <c r="BC109" s="17"/>
      <c r="BD109" s="18"/>
      <c r="BE109" s="17"/>
      <c r="BF109" s="18"/>
      <c r="BG109" s="17"/>
      <c r="BH109" s="18"/>
      <c r="BI109" s="17"/>
      <c r="BJ109" s="18"/>
      <c r="BK109" s="17"/>
      <c r="BL109" s="18"/>
      <c r="BM109" s="17"/>
      <c r="BN109" s="18"/>
      <c r="BO109" s="17"/>
      <c r="BP109" s="18"/>
      <c r="BQ109" s="14" t="s">
        <v>84</v>
      </c>
      <c r="BR109" s="16" t="s">
        <v>84</v>
      </c>
    </row>
    <row r="110" spans="1:70" ht="135" x14ac:dyDescent="0.25">
      <c r="A110" s="14" t="s">
        <v>225</v>
      </c>
      <c r="B110" s="14" t="s">
        <v>129</v>
      </c>
      <c r="C110" s="15">
        <v>45083.474999999999</v>
      </c>
      <c r="D110" s="14" t="s">
        <v>73</v>
      </c>
      <c r="E110" s="16" t="s">
        <v>74</v>
      </c>
      <c r="F110" s="14" t="s">
        <v>75</v>
      </c>
      <c r="G110" s="16" t="s">
        <v>76</v>
      </c>
      <c r="H110" s="14" t="s">
        <v>226</v>
      </c>
      <c r="I110" s="16" t="s">
        <v>227</v>
      </c>
      <c r="J110" s="16" t="s">
        <v>228</v>
      </c>
      <c r="K110" s="16" t="s">
        <v>229</v>
      </c>
      <c r="L110" s="14" t="s">
        <v>230</v>
      </c>
      <c r="M110" s="16" t="s">
        <v>231</v>
      </c>
      <c r="N110" s="14" t="s">
        <v>83</v>
      </c>
      <c r="O110" s="16" t="s">
        <v>84</v>
      </c>
      <c r="P110" s="16" t="s">
        <v>84</v>
      </c>
      <c r="Q110" s="16" t="s">
        <v>85</v>
      </c>
      <c r="R110" s="14" t="s">
        <v>86</v>
      </c>
      <c r="S110" s="14" t="s">
        <v>87</v>
      </c>
      <c r="T110" s="14" t="s">
        <v>88</v>
      </c>
      <c r="U110" s="14" t="s">
        <v>89</v>
      </c>
      <c r="V110" s="15">
        <v>43939</v>
      </c>
      <c r="W110" s="15"/>
      <c r="X110" s="16" t="s">
        <v>232</v>
      </c>
      <c r="Y110" s="17" t="s">
        <v>233</v>
      </c>
      <c r="Z110" s="18" t="str">
        <f>VLOOKUP(Y110,'Axe 2 Règles de gestion'!$D$2:$F$41,3, FALSE)</f>
        <v>L'agent est affecté dans le cadre d'une réorganisation de service.</v>
      </c>
      <c r="AA110" s="17"/>
      <c r="AB110" s="18"/>
      <c r="AC110" s="17"/>
      <c r="AD110" s="18"/>
      <c r="AE110" s="17"/>
      <c r="AF110" s="18"/>
      <c r="AG110" s="17"/>
      <c r="AH110" s="18"/>
      <c r="AI110" s="17"/>
      <c r="AJ110" s="18"/>
      <c r="AK110" s="17"/>
      <c r="AL110" s="18"/>
      <c r="AM110" s="17"/>
      <c r="AN110" s="18"/>
      <c r="AO110" s="17"/>
      <c r="AP110" s="18"/>
      <c r="AQ110" s="17"/>
      <c r="AR110" s="18"/>
      <c r="AS110" s="17"/>
      <c r="AT110" s="18"/>
      <c r="AU110" s="17" t="s">
        <v>107</v>
      </c>
      <c r="AV110" s="18" t="str">
        <f>VLOOKUP(AU110,'Axe 2 Règles de gestion'!$D$2:$F$41,3, FALSE)</f>
        <v>La date de début de la position doit être postérieure ou égale à la date d'entrée dans la FPE ou dans la carrière militaire.</v>
      </c>
      <c r="AW110" s="17" t="s">
        <v>109</v>
      </c>
      <c r="AX110" s="18" t="str">
        <f>VLOOKUP(AW110,'Axe 2 Règles de gestion'!$D$2:$F$41,3, FALSE)</f>
        <v>La date de début de position est à J+1 de la date de fin de position de l'occurrence précédente.</v>
      </c>
      <c r="AY110" s="17" t="s">
        <v>111</v>
      </c>
      <c r="AZ110" s="18" t="str">
        <f>VLOOKUP(AY110,'Axe 2 Règles de gestion'!$D$2:$F$41,3, FALSE)</f>
        <v>La date de début de position doit être antérieure ou égale à la date de fin réelle de position.</v>
      </c>
      <c r="BA110" s="17" t="s">
        <v>113</v>
      </c>
      <c r="BB110" s="18" t="str">
        <f>VLOOKUP(BA110,'Axe 2 Règles de gestion'!$D$2:$F$41,3, FALSE)</f>
        <v>La date de début de position doit être antérieure ou égale à la date de fin prévisionnelle de position.</v>
      </c>
      <c r="BC110" s="17" t="s">
        <v>115</v>
      </c>
      <c r="BD110" s="18" t="str">
        <f>VLOOKUP(BC110,'Axe 2 Règles de gestion'!$D$2:$F$41,3, FALSE)</f>
        <v>La date de fin réelle de la position doit être antérieure à la date limite de départ à la retraite.</v>
      </c>
      <c r="BE110" s="17" t="s">
        <v>117</v>
      </c>
      <c r="BF110" s="18" t="str">
        <f>VLOOKUP(BE110,'Axe 2 Règles de gestion'!$D$2:$F$41,3, FALSE)</f>
        <v>La date de fin prévisionnelle de la position doit être antérieure à la date limite de départ à la retraite.</v>
      </c>
      <c r="BG110" s="17" t="s">
        <v>119</v>
      </c>
      <c r="BH110" s="18" t="str">
        <f>VLOOKUP(BG110,'Axe 2 Règles de gestion'!$D$2:$F$41,3, FALSE)</f>
        <v>Les champs "Type d'organisme d'origine", "Catégorie statutaire d'origine" et "Pays" de l'organisme d'origine doivent être renseignés.</v>
      </c>
      <c r="BI110" s="17" t="s">
        <v>121</v>
      </c>
      <c r="BJ110" s="18" t="str">
        <f>VLOOKUP(BI110,'Axe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10" s="17" t="s">
        <v>123</v>
      </c>
      <c r="BL110" s="18" t="str">
        <f>VLOOKUP(BK110,'Axe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10" s="17" t="s">
        <v>125</v>
      </c>
      <c r="BN110" s="18" t="str">
        <f>VLOOKUP(BM110,'Axe 2 Règles de gestion'!$D$2:$F$41,3, FALSE)</f>
        <v>Le champ "Code emploi statutaire FPT (NET)" est renseigné si le "Type d'organisme d'origine" est valorisé à FPT.</v>
      </c>
      <c r="BO110" s="17" t="s">
        <v>127</v>
      </c>
      <c r="BP110" s="18" t="str">
        <f>VLOOKUP(BO110,'Axe 2 Règles de gestion'!$D$2:$F$41,3, FALSE)</f>
        <v>Le champ "Code emploi statutaire FPH (NEH)" est renseigné si le "Type d'organisme d'origine" est valorisé à FPH.</v>
      </c>
      <c r="BQ110" s="14" t="s">
        <v>84</v>
      </c>
      <c r="BR110" s="16" t="s">
        <v>84</v>
      </c>
    </row>
    <row r="111" spans="1:70" ht="135" x14ac:dyDescent="0.25">
      <c r="A111" s="14" t="s">
        <v>225</v>
      </c>
      <c r="B111" s="14" t="s">
        <v>129</v>
      </c>
      <c r="C111" s="15">
        <v>45083.484722222223</v>
      </c>
      <c r="D111" s="14" t="s">
        <v>73</v>
      </c>
      <c r="E111" s="16" t="s">
        <v>74</v>
      </c>
      <c r="F111" s="14" t="s">
        <v>75</v>
      </c>
      <c r="G111" s="16" t="s">
        <v>76</v>
      </c>
      <c r="H111" s="14" t="s">
        <v>226</v>
      </c>
      <c r="I111" s="16" t="s">
        <v>227</v>
      </c>
      <c r="J111" s="16" t="s">
        <v>228</v>
      </c>
      <c r="K111" s="16" t="s">
        <v>229</v>
      </c>
      <c r="L111" s="14" t="s">
        <v>235</v>
      </c>
      <c r="M111" s="16" t="s">
        <v>236</v>
      </c>
      <c r="N111" s="14" t="s">
        <v>136</v>
      </c>
      <c r="O111" s="16" t="s">
        <v>84</v>
      </c>
      <c r="P111" s="16" t="s">
        <v>84</v>
      </c>
      <c r="Q111" s="16" t="s">
        <v>85</v>
      </c>
      <c r="R111" s="14" t="s">
        <v>86</v>
      </c>
      <c r="S111" s="14" t="s">
        <v>87</v>
      </c>
      <c r="T111" s="14" t="s">
        <v>88</v>
      </c>
      <c r="U111" s="14" t="s">
        <v>89</v>
      </c>
      <c r="V111" s="15">
        <v>43939</v>
      </c>
      <c r="W111" s="15"/>
      <c r="X111" s="16" t="s">
        <v>237</v>
      </c>
      <c r="Y111" s="17" t="s">
        <v>233</v>
      </c>
      <c r="Z111" s="18" t="str">
        <f>VLOOKUP(Y111,'Axe 2 Règles de gestion'!$D$2:$F$41,3, FALSE)</f>
        <v>L'agent est affecté dans le cadre d'une réorganisation de service.</v>
      </c>
      <c r="AA111" s="17"/>
      <c r="AB111" s="18"/>
      <c r="AC111" s="17"/>
      <c r="AD111" s="18"/>
      <c r="AE111" s="17"/>
      <c r="AF111" s="18"/>
      <c r="AG111" s="17"/>
      <c r="AH111" s="18"/>
      <c r="AI111" s="17"/>
      <c r="AJ111" s="18"/>
      <c r="AK111" s="17"/>
      <c r="AL111" s="18"/>
      <c r="AM111" s="17"/>
      <c r="AN111" s="18"/>
      <c r="AO111" s="17"/>
      <c r="AP111" s="18"/>
      <c r="AQ111" s="17"/>
      <c r="AR111" s="18"/>
      <c r="AS111" s="17"/>
      <c r="AT111" s="18"/>
      <c r="AU111" s="17" t="s">
        <v>111</v>
      </c>
      <c r="AV111" s="18" t="str">
        <f>VLOOKUP(AU111,'Axe 2 Règles de gestion'!$D$2:$F$41,3, FALSE)</f>
        <v>La date de début de position doit être antérieure ou égale à la date de fin réelle de position.</v>
      </c>
      <c r="AW111" s="17" t="s">
        <v>113</v>
      </c>
      <c r="AX111" s="18" t="str">
        <f>VLOOKUP(AW111,'Axe 2 Règles de gestion'!$D$2:$F$41,3, FALSE)</f>
        <v>La date de début de position doit être antérieure ou égale à la date de fin prévisionnelle de position.</v>
      </c>
      <c r="AY111" s="17" t="s">
        <v>115</v>
      </c>
      <c r="AZ111" s="18" t="str">
        <f>VLOOKUP(AY111,'Axe 2 Règles de gestion'!$D$2:$F$41,3, FALSE)</f>
        <v>La date de fin réelle de la position doit être antérieure à la date limite de départ à la retraite.</v>
      </c>
      <c r="BA111" s="17" t="s">
        <v>117</v>
      </c>
      <c r="BB111" s="18" t="str">
        <f>VLOOKUP(BA111,'Axe 2 Règles de gestion'!$D$2:$F$41,3, FALSE)</f>
        <v>La date de fin prévisionnelle de la position doit être antérieure à la date limite de départ à la retraite.</v>
      </c>
      <c r="BC111" s="17" t="s">
        <v>119</v>
      </c>
      <c r="BD111" s="18" t="str">
        <f>VLOOKUP(BC111,'Axe 2 Règles de gestion'!$D$2:$F$41,3, FALSE)</f>
        <v>Les champs "Type d'organisme d'origine", "Catégorie statutaire d'origine" et "Pays" de l'organisme d'origine doivent être renseignés.</v>
      </c>
      <c r="BE111" s="17" t="s">
        <v>121</v>
      </c>
      <c r="BF111" s="18" t="str">
        <f>VLOOKUP(BE111,'Axe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11" s="17" t="s">
        <v>123</v>
      </c>
      <c r="BH111" s="18" t="str">
        <f>VLOOKUP(BG111,'Axe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11" s="17" t="s">
        <v>125</v>
      </c>
      <c r="BJ111" s="18" t="str">
        <f>VLOOKUP(BI111,'Axe 2 Règles de gestion'!$D$2:$F$41,3, FALSE)</f>
        <v>Le champ "Code emploi statutaire FPT (NET)" est renseigné si le "Type d'organisme d'origine" est valorisé à FPT.</v>
      </c>
      <c r="BK111" s="17" t="s">
        <v>127</v>
      </c>
      <c r="BL111" s="18" t="str">
        <f>VLOOKUP(BK111,'Axe 2 Règles de gestion'!$D$2:$F$41,3, FALSE)</f>
        <v>Le champ "Code emploi statutaire FPH (NEH)" est renseigné si le "Type d'organisme d'origine" est valorisé à FPH.</v>
      </c>
      <c r="BM111" s="17"/>
      <c r="BN111" s="18"/>
      <c r="BO111" s="17"/>
      <c r="BP111" s="18"/>
      <c r="BQ111" s="14" t="s">
        <v>84</v>
      </c>
      <c r="BR111" s="16" t="s">
        <v>84</v>
      </c>
    </row>
    <row r="112" spans="1:70" ht="60" x14ac:dyDescent="0.25">
      <c r="A112" s="14" t="s">
        <v>225</v>
      </c>
      <c r="B112" s="14" t="s">
        <v>129</v>
      </c>
      <c r="C112" s="15">
        <v>45083.462500000001</v>
      </c>
      <c r="D112" s="14" t="s">
        <v>73</v>
      </c>
      <c r="E112" s="16" t="s">
        <v>74</v>
      </c>
      <c r="F112" s="14" t="s">
        <v>75</v>
      </c>
      <c r="G112" s="16" t="s">
        <v>76</v>
      </c>
      <c r="H112" s="14" t="s">
        <v>226</v>
      </c>
      <c r="I112" s="16" t="s">
        <v>227</v>
      </c>
      <c r="J112" s="16" t="s">
        <v>228</v>
      </c>
      <c r="K112" s="16" t="s">
        <v>229</v>
      </c>
      <c r="L112" s="14" t="s">
        <v>230</v>
      </c>
      <c r="M112" s="16" t="s">
        <v>231</v>
      </c>
      <c r="N112" s="14" t="s">
        <v>83</v>
      </c>
      <c r="O112" s="16" t="s">
        <v>84</v>
      </c>
      <c r="P112" s="16" t="s">
        <v>84</v>
      </c>
      <c r="Q112" s="16" t="s">
        <v>138</v>
      </c>
      <c r="R112" s="14" t="s">
        <v>139</v>
      </c>
      <c r="S112" s="14" t="s">
        <v>72</v>
      </c>
      <c r="T112" s="14" t="s">
        <v>88</v>
      </c>
      <c r="U112" s="14" t="s">
        <v>140</v>
      </c>
      <c r="V112" s="15">
        <v>43939</v>
      </c>
      <c r="W112" s="15"/>
      <c r="X112" s="16" t="s">
        <v>84</v>
      </c>
      <c r="Y112" s="17"/>
      <c r="Z112" s="18"/>
      <c r="AA112" s="17"/>
      <c r="AB112" s="18"/>
      <c r="AC112" s="17"/>
      <c r="AD112" s="18"/>
      <c r="AE112" s="17"/>
      <c r="AF112" s="18"/>
      <c r="AG112" s="17"/>
      <c r="AH112" s="18"/>
      <c r="AI112" s="17"/>
      <c r="AJ112" s="18"/>
      <c r="AK112" s="17"/>
      <c r="AL112" s="18"/>
      <c r="AM112" s="17"/>
      <c r="AN112" s="18"/>
      <c r="AO112" s="17"/>
      <c r="AP112" s="18"/>
      <c r="AQ112" s="17"/>
      <c r="AR112" s="18"/>
      <c r="AS112" s="17"/>
      <c r="AT112" s="18"/>
      <c r="AU112" s="17"/>
      <c r="AV112" s="18"/>
      <c r="AW112" s="17"/>
      <c r="AX112" s="18"/>
      <c r="AY112" s="17"/>
      <c r="AZ112" s="18"/>
      <c r="BA112" s="17"/>
      <c r="BB112" s="18"/>
      <c r="BC112" s="17"/>
      <c r="BD112" s="18"/>
      <c r="BE112" s="17"/>
      <c r="BF112" s="18"/>
      <c r="BG112" s="17"/>
      <c r="BH112" s="18"/>
      <c r="BI112" s="17"/>
      <c r="BJ112" s="18"/>
      <c r="BK112" s="17"/>
      <c r="BL112" s="18"/>
      <c r="BM112" s="17"/>
      <c r="BN112" s="18"/>
      <c r="BO112" s="17"/>
      <c r="BP112" s="18"/>
      <c r="BQ112" s="14" t="s">
        <v>84</v>
      </c>
      <c r="BR112" s="16" t="s">
        <v>84</v>
      </c>
    </row>
    <row r="113" spans="1:70" ht="60" x14ac:dyDescent="0.25">
      <c r="A113" s="14" t="s">
        <v>225</v>
      </c>
      <c r="B113" s="14" t="s">
        <v>129</v>
      </c>
      <c r="C113" s="15">
        <v>45083.479166666664</v>
      </c>
      <c r="D113" s="14" t="s">
        <v>73</v>
      </c>
      <c r="E113" s="16" t="s">
        <v>74</v>
      </c>
      <c r="F113" s="14" t="s">
        <v>75</v>
      </c>
      <c r="G113" s="16" t="s">
        <v>76</v>
      </c>
      <c r="H113" s="14" t="s">
        <v>226</v>
      </c>
      <c r="I113" s="16" t="s">
        <v>227</v>
      </c>
      <c r="J113" s="16" t="s">
        <v>228</v>
      </c>
      <c r="K113" s="16" t="s">
        <v>229</v>
      </c>
      <c r="L113" s="14" t="s">
        <v>235</v>
      </c>
      <c r="M113" s="16" t="s">
        <v>236</v>
      </c>
      <c r="N113" s="14" t="s">
        <v>136</v>
      </c>
      <c r="O113" s="16" t="s">
        <v>84</v>
      </c>
      <c r="P113" s="16" t="s">
        <v>84</v>
      </c>
      <c r="Q113" s="16" t="s">
        <v>138</v>
      </c>
      <c r="R113" s="14" t="s">
        <v>139</v>
      </c>
      <c r="S113" s="14" t="s">
        <v>72</v>
      </c>
      <c r="T113" s="14" t="s">
        <v>88</v>
      </c>
      <c r="U113" s="14" t="s">
        <v>140</v>
      </c>
      <c r="V113" s="15">
        <v>43939</v>
      </c>
      <c r="W113" s="15"/>
      <c r="X113" s="16" t="s">
        <v>84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7"/>
      <c r="AP113" s="18"/>
      <c r="AQ113" s="17"/>
      <c r="AR113" s="18"/>
      <c r="AS113" s="17"/>
      <c r="AT113" s="18"/>
      <c r="AU113" s="17"/>
      <c r="AV113" s="18"/>
      <c r="AW113" s="17"/>
      <c r="AX113" s="18"/>
      <c r="AY113" s="17"/>
      <c r="AZ113" s="18"/>
      <c r="BA113" s="17"/>
      <c r="BB113" s="18"/>
      <c r="BC113" s="17"/>
      <c r="BD113" s="18"/>
      <c r="BE113" s="17"/>
      <c r="BF113" s="18"/>
      <c r="BG113" s="17"/>
      <c r="BH113" s="18"/>
      <c r="BI113" s="17"/>
      <c r="BJ113" s="18"/>
      <c r="BK113" s="17"/>
      <c r="BL113" s="18"/>
      <c r="BM113" s="17"/>
      <c r="BN113" s="18"/>
      <c r="BO113" s="17"/>
      <c r="BP113" s="18"/>
      <c r="BQ113" s="14" t="s">
        <v>84</v>
      </c>
      <c r="BR113" s="16" t="s">
        <v>84</v>
      </c>
    </row>
    <row r="114" spans="1:70" ht="60" x14ac:dyDescent="0.25">
      <c r="A114" s="14" t="s">
        <v>225</v>
      </c>
      <c r="B114" s="14" t="s">
        <v>129</v>
      </c>
      <c r="C114" s="15">
        <v>45083.461805555555</v>
      </c>
      <c r="D114" s="14" t="s">
        <v>73</v>
      </c>
      <c r="E114" s="16" t="s">
        <v>74</v>
      </c>
      <c r="F114" s="14" t="s">
        <v>75</v>
      </c>
      <c r="G114" s="16" t="s">
        <v>76</v>
      </c>
      <c r="H114" s="14" t="s">
        <v>226</v>
      </c>
      <c r="I114" s="16" t="s">
        <v>227</v>
      </c>
      <c r="J114" s="16" t="s">
        <v>228</v>
      </c>
      <c r="K114" s="16" t="s">
        <v>229</v>
      </c>
      <c r="L114" s="14" t="s">
        <v>230</v>
      </c>
      <c r="M114" s="16" t="s">
        <v>231</v>
      </c>
      <c r="N114" s="14" t="s">
        <v>83</v>
      </c>
      <c r="O114" s="16" t="s">
        <v>84</v>
      </c>
      <c r="P114" s="16" t="s">
        <v>84</v>
      </c>
      <c r="Q114" s="16" t="s">
        <v>141</v>
      </c>
      <c r="R114" s="14" t="s">
        <v>142</v>
      </c>
      <c r="S114" s="14" t="s">
        <v>143</v>
      </c>
      <c r="T114" s="14" t="s">
        <v>88</v>
      </c>
      <c r="U114" s="14" t="s">
        <v>140</v>
      </c>
      <c r="V114" s="15">
        <v>43939</v>
      </c>
      <c r="W114" s="15"/>
      <c r="X114" s="16" t="s">
        <v>84</v>
      </c>
      <c r="Y114" s="17"/>
      <c r="Z114" s="18"/>
      <c r="AA114" s="17"/>
      <c r="AB114" s="18"/>
      <c r="AC114" s="17"/>
      <c r="AD114" s="18"/>
      <c r="AE114" s="17"/>
      <c r="AF114" s="18"/>
      <c r="AG114" s="17"/>
      <c r="AH114" s="18"/>
      <c r="AI114" s="17"/>
      <c r="AJ114" s="18"/>
      <c r="AK114" s="17"/>
      <c r="AL114" s="18"/>
      <c r="AM114" s="17"/>
      <c r="AN114" s="18"/>
      <c r="AO114" s="17"/>
      <c r="AP114" s="18"/>
      <c r="AQ114" s="17"/>
      <c r="AR114" s="18"/>
      <c r="AS114" s="17"/>
      <c r="AT114" s="18"/>
      <c r="AU114" s="17"/>
      <c r="AV114" s="18"/>
      <c r="AW114" s="17"/>
      <c r="AX114" s="18"/>
      <c r="AY114" s="17"/>
      <c r="AZ114" s="18"/>
      <c r="BA114" s="17"/>
      <c r="BB114" s="18"/>
      <c r="BC114" s="17"/>
      <c r="BD114" s="18"/>
      <c r="BE114" s="17"/>
      <c r="BF114" s="18"/>
      <c r="BG114" s="17"/>
      <c r="BH114" s="18"/>
      <c r="BI114" s="17"/>
      <c r="BJ114" s="18"/>
      <c r="BK114" s="17"/>
      <c r="BL114" s="18"/>
      <c r="BM114" s="17"/>
      <c r="BN114" s="18"/>
      <c r="BO114" s="17"/>
      <c r="BP114" s="18"/>
      <c r="BQ114" s="14" t="s">
        <v>84</v>
      </c>
      <c r="BR114" s="16" t="s">
        <v>84</v>
      </c>
    </row>
    <row r="115" spans="1:70" ht="60" x14ac:dyDescent="0.25">
      <c r="A115" s="14" t="s">
        <v>225</v>
      </c>
      <c r="B115" s="14" t="s">
        <v>129</v>
      </c>
      <c r="C115" s="15">
        <v>45083.479166666664</v>
      </c>
      <c r="D115" s="14" t="s">
        <v>73</v>
      </c>
      <c r="E115" s="16" t="s">
        <v>74</v>
      </c>
      <c r="F115" s="14" t="s">
        <v>75</v>
      </c>
      <c r="G115" s="16" t="s">
        <v>76</v>
      </c>
      <c r="H115" s="14" t="s">
        <v>226</v>
      </c>
      <c r="I115" s="16" t="s">
        <v>227</v>
      </c>
      <c r="J115" s="16" t="s">
        <v>228</v>
      </c>
      <c r="K115" s="16" t="s">
        <v>229</v>
      </c>
      <c r="L115" s="14" t="s">
        <v>235</v>
      </c>
      <c r="M115" s="16" t="s">
        <v>236</v>
      </c>
      <c r="N115" s="14" t="s">
        <v>136</v>
      </c>
      <c r="O115" s="16" t="s">
        <v>84</v>
      </c>
      <c r="P115" s="16" t="s">
        <v>84</v>
      </c>
      <c r="Q115" s="16" t="s">
        <v>141</v>
      </c>
      <c r="R115" s="14" t="s">
        <v>142</v>
      </c>
      <c r="S115" s="14" t="s">
        <v>143</v>
      </c>
      <c r="T115" s="14" t="s">
        <v>88</v>
      </c>
      <c r="U115" s="14" t="s">
        <v>140</v>
      </c>
      <c r="V115" s="15">
        <v>43939</v>
      </c>
      <c r="W115" s="15"/>
      <c r="X115" s="16" t="s">
        <v>84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7"/>
      <c r="AP115" s="18"/>
      <c r="AQ115" s="17"/>
      <c r="AR115" s="18"/>
      <c r="AS115" s="17"/>
      <c r="AT115" s="18"/>
      <c r="AU115" s="17"/>
      <c r="AV115" s="18"/>
      <c r="AW115" s="17"/>
      <c r="AX115" s="18"/>
      <c r="AY115" s="17"/>
      <c r="AZ115" s="18"/>
      <c r="BA115" s="17"/>
      <c r="BB115" s="18"/>
      <c r="BC115" s="17"/>
      <c r="BD115" s="18"/>
      <c r="BE115" s="17"/>
      <c r="BF115" s="18"/>
      <c r="BG115" s="17"/>
      <c r="BH115" s="18"/>
      <c r="BI115" s="17"/>
      <c r="BJ115" s="18"/>
      <c r="BK115" s="17"/>
      <c r="BL115" s="18"/>
      <c r="BM115" s="17"/>
      <c r="BN115" s="18"/>
      <c r="BO115" s="17"/>
      <c r="BP115" s="18"/>
      <c r="BQ115" s="14" t="s">
        <v>84</v>
      </c>
      <c r="BR115" s="16" t="s">
        <v>84</v>
      </c>
    </row>
    <row r="116" spans="1:70" ht="135" x14ac:dyDescent="0.25">
      <c r="A116" s="14" t="s">
        <v>225</v>
      </c>
      <c r="B116" s="14" t="s">
        <v>129</v>
      </c>
      <c r="C116" s="15">
        <v>45083.476388888892</v>
      </c>
      <c r="D116" s="14" t="s">
        <v>73</v>
      </c>
      <c r="E116" s="16" t="s">
        <v>74</v>
      </c>
      <c r="F116" s="14" t="s">
        <v>75</v>
      </c>
      <c r="G116" s="16" t="s">
        <v>76</v>
      </c>
      <c r="H116" s="14" t="s">
        <v>226</v>
      </c>
      <c r="I116" s="16" t="s">
        <v>227</v>
      </c>
      <c r="J116" s="16" t="s">
        <v>228</v>
      </c>
      <c r="K116" s="16" t="s">
        <v>229</v>
      </c>
      <c r="L116" s="14" t="s">
        <v>230</v>
      </c>
      <c r="M116" s="16" t="s">
        <v>231</v>
      </c>
      <c r="N116" s="14" t="s">
        <v>83</v>
      </c>
      <c r="O116" s="16" t="s">
        <v>84</v>
      </c>
      <c r="P116" s="16" t="s">
        <v>84</v>
      </c>
      <c r="Q116" s="16" t="s">
        <v>144</v>
      </c>
      <c r="R116" s="14" t="s">
        <v>145</v>
      </c>
      <c r="S116" s="14" t="s">
        <v>146</v>
      </c>
      <c r="T116" s="14" t="s">
        <v>88</v>
      </c>
      <c r="U116" s="14" t="s">
        <v>89</v>
      </c>
      <c r="V116" s="15">
        <v>43939</v>
      </c>
      <c r="W116" s="15"/>
      <c r="X116" s="16" t="s">
        <v>232</v>
      </c>
      <c r="Y116" s="17" t="s">
        <v>233</v>
      </c>
      <c r="Z116" s="18" t="str">
        <f>VLOOKUP(Y116,'Axe 2 Règles de gestion'!$D$2:$F$41,3, FALSE)</f>
        <v>L'agent est affecté dans le cadre d'une réorganisation de service.</v>
      </c>
      <c r="AA116" s="17"/>
      <c r="AB116" s="18"/>
      <c r="AC116" s="17"/>
      <c r="AD116" s="18"/>
      <c r="AE116" s="17"/>
      <c r="AF116" s="18"/>
      <c r="AG116" s="17"/>
      <c r="AH116" s="18"/>
      <c r="AI116" s="17"/>
      <c r="AJ116" s="18"/>
      <c r="AK116" s="17"/>
      <c r="AL116" s="18"/>
      <c r="AM116" s="17"/>
      <c r="AN116" s="18"/>
      <c r="AO116" s="17"/>
      <c r="AP116" s="18"/>
      <c r="AQ116" s="17"/>
      <c r="AR116" s="18"/>
      <c r="AS116" s="17"/>
      <c r="AT116" s="18"/>
      <c r="AU116" s="17" t="s">
        <v>107</v>
      </c>
      <c r="AV116" s="18" t="str">
        <f>VLOOKUP(AU116,'Axe 2 Règles de gestion'!$D$2:$F$41,3, FALSE)</f>
        <v>La date de début de la position doit être postérieure ou égale à la date d'entrée dans la FPE ou dans la carrière militaire.</v>
      </c>
      <c r="AW116" s="17" t="s">
        <v>109</v>
      </c>
      <c r="AX116" s="18" t="str">
        <f>VLOOKUP(AW116,'Axe 2 Règles de gestion'!$D$2:$F$41,3, FALSE)</f>
        <v>La date de début de position est à J+1 de la date de fin de position de l'occurrence précédente.</v>
      </c>
      <c r="AY116" s="17" t="s">
        <v>111</v>
      </c>
      <c r="AZ116" s="18" t="str">
        <f>VLOOKUP(AY116,'Axe 2 Règles de gestion'!$D$2:$F$41,3, FALSE)</f>
        <v>La date de début de position doit être antérieure ou égale à la date de fin réelle de position.</v>
      </c>
      <c r="BA116" s="17" t="s">
        <v>113</v>
      </c>
      <c r="BB116" s="18" t="str">
        <f>VLOOKUP(BA116,'Axe 2 Règles de gestion'!$D$2:$F$41,3, FALSE)</f>
        <v>La date de début de position doit être antérieure ou égale à la date de fin prévisionnelle de position.</v>
      </c>
      <c r="BC116" s="17" t="s">
        <v>115</v>
      </c>
      <c r="BD116" s="18" t="str">
        <f>VLOOKUP(BC116,'Axe 2 Règles de gestion'!$D$2:$F$41,3, FALSE)</f>
        <v>La date de fin réelle de la position doit être antérieure à la date limite de départ à la retraite.</v>
      </c>
      <c r="BE116" s="17" t="s">
        <v>117</v>
      </c>
      <c r="BF116" s="18" t="str">
        <f>VLOOKUP(BE116,'Axe 2 Règles de gestion'!$D$2:$F$41,3, FALSE)</f>
        <v>La date de fin prévisionnelle de la position doit être antérieure à la date limite de départ à la retraite.</v>
      </c>
      <c r="BG116" s="17" t="s">
        <v>119</v>
      </c>
      <c r="BH116" s="18" t="str">
        <f>VLOOKUP(BG116,'Axe 2 Règles de gestion'!$D$2:$F$41,3, FALSE)</f>
        <v>Les champs "Type d'organisme d'origine", "Catégorie statutaire d'origine" et "Pays" de l'organisme d'origine doivent être renseignés.</v>
      </c>
      <c r="BI116" s="17" t="s">
        <v>121</v>
      </c>
      <c r="BJ116" s="18" t="str">
        <f>VLOOKUP(BI116,'Axe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16" s="17" t="s">
        <v>123</v>
      </c>
      <c r="BL116" s="18" t="str">
        <f>VLOOKUP(BK116,'Axe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16" s="17" t="s">
        <v>125</v>
      </c>
      <c r="BN116" s="18" t="str">
        <f>VLOOKUP(BM116,'Axe 2 Règles de gestion'!$D$2:$F$41,3, FALSE)</f>
        <v>Le champ "Code emploi statutaire FPT (NET)" est renseigné si le "Type d'organisme d'origine" est valorisé à FPT.</v>
      </c>
      <c r="BO116" s="17" t="s">
        <v>127</v>
      </c>
      <c r="BP116" s="18" t="str">
        <f>VLOOKUP(BO116,'Axe 2 Règles de gestion'!$D$2:$F$41,3, FALSE)</f>
        <v>Le champ "Code emploi statutaire FPH (NEH)" est renseigné si le "Type d'organisme d'origine" est valorisé à FPH.</v>
      </c>
      <c r="BQ116" s="14" t="s">
        <v>84</v>
      </c>
      <c r="BR116" s="16" t="s">
        <v>84</v>
      </c>
    </row>
    <row r="117" spans="1:70" ht="135" x14ac:dyDescent="0.25">
      <c r="A117" s="14" t="s">
        <v>225</v>
      </c>
      <c r="B117" s="14" t="s">
        <v>129</v>
      </c>
      <c r="C117" s="15">
        <v>45083.48541666667</v>
      </c>
      <c r="D117" s="14" t="s">
        <v>73</v>
      </c>
      <c r="E117" s="16" t="s">
        <v>74</v>
      </c>
      <c r="F117" s="14" t="s">
        <v>75</v>
      </c>
      <c r="G117" s="16" t="s">
        <v>76</v>
      </c>
      <c r="H117" s="14" t="s">
        <v>226</v>
      </c>
      <c r="I117" s="16" t="s">
        <v>227</v>
      </c>
      <c r="J117" s="16" t="s">
        <v>228</v>
      </c>
      <c r="K117" s="16" t="s">
        <v>229</v>
      </c>
      <c r="L117" s="14" t="s">
        <v>235</v>
      </c>
      <c r="M117" s="16" t="s">
        <v>236</v>
      </c>
      <c r="N117" s="14" t="s">
        <v>136</v>
      </c>
      <c r="O117" s="16" t="s">
        <v>84</v>
      </c>
      <c r="P117" s="16" t="s">
        <v>84</v>
      </c>
      <c r="Q117" s="16" t="s">
        <v>144</v>
      </c>
      <c r="R117" s="14" t="s">
        <v>145</v>
      </c>
      <c r="S117" s="14" t="s">
        <v>146</v>
      </c>
      <c r="T117" s="14" t="s">
        <v>88</v>
      </c>
      <c r="U117" s="14" t="s">
        <v>89</v>
      </c>
      <c r="V117" s="15">
        <v>43939</v>
      </c>
      <c r="W117" s="15"/>
      <c r="X117" s="16" t="s">
        <v>237</v>
      </c>
      <c r="Y117" s="17" t="s">
        <v>233</v>
      </c>
      <c r="Z117" s="18" t="str">
        <f>VLOOKUP(Y117,'Axe 2 Règles de gestion'!$D$2:$F$41,3, FALSE)</f>
        <v>L'agent est affecté dans le cadre d'une réorganisation de service.</v>
      </c>
      <c r="AA117" s="17"/>
      <c r="AB117" s="18"/>
      <c r="AC117" s="17"/>
      <c r="AD117" s="18"/>
      <c r="AE117" s="17"/>
      <c r="AF117" s="18"/>
      <c r="AG117" s="17"/>
      <c r="AH117" s="18"/>
      <c r="AI117" s="17"/>
      <c r="AJ117" s="18"/>
      <c r="AK117" s="17"/>
      <c r="AL117" s="18"/>
      <c r="AM117" s="17"/>
      <c r="AN117" s="18"/>
      <c r="AO117" s="17"/>
      <c r="AP117" s="18"/>
      <c r="AQ117" s="17"/>
      <c r="AR117" s="18"/>
      <c r="AS117" s="17"/>
      <c r="AT117" s="18"/>
      <c r="AU117" s="17" t="s">
        <v>111</v>
      </c>
      <c r="AV117" s="18" t="str">
        <f>VLOOKUP(AU117,'Axe 2 Règles de gestion'!$D$2:$F$41,3, FALSE)</f>
        <v>La date de début de position doit être antérieure ou égale à la date de fin réelle de position.</v>
      </c>
      <c r="AW117" s="17" t="s">
        <v>113</v>
      </c>
      <c r="AX117" s="18" t="str">
        <f>VLOOKUP(AW117,'Axe 2 Règles de gestion'!$D$2:$F$41,3, FALSE)</f>
        <v>La date de début de position doit être antérieure ou égale à la date de fin prévisionnelle de position.</v>
      </c>
      <c r="AY117" s="17" t="s">
        <v>115</v>
      </c>
      <c r="AZ117" s="18" t="str">
        <f>VLOOKUP(AY117,'Axe 2 Règles de gestion'!$D$2:$F$41,3, FALSE)</f>
        <v>La date de fin réelle de la position doit être antérieure à la date limite de départ à la retraite.</v>
      </c>
      <c r="BA117" s="17" t="s">
        <v>117</v>
      </c>
      <c r="BB117" s="18" t="str">
        <f>VLOOKUP(BA117,'Axe 2 Règles de gestion'!$D$2:$F$41,3, FALSE)</f>
        <v>La date de fin prévisionnelle de la position doit être antérieure à la date limite de départ à la retraite.</v>
      </c>
      <c r="BC117" s="17" t="s">
        <v>119</v>
      </c>
      <c r="BD117" s="18" t="str">
        <f>VLOOKUP(BC117,'Axe 2 Règles de gestion'!$D$2:$F$41,3, FALSE)</f>
        <v>Les champs "Type d'organisme d'origine", "Catégorie statutaire d'origine" et "Pays" de l'organisme d'origine doivent être renseignés.</v>
      </c>
      <c r="BE117" s="17" t="s">
        <v>121</v>
      </c>
      <c r="BF117" s="18" t="str">
        <f>VLOOKUP(BE117,'Axe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17" s="17" t="s">
        <v>123</v>
      </c>
      <c r="BH117" s="18" t="str">
        <f>VLOOKUP(BG117,'Axe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17" s="17" t="s">
        <v>125</v>
      </c>
      <c r="BJ117" s="18" t="str">
        <f>VLOOKUP(BI117,'Axe 2 Règles de gestion'!$D$2:$F$41,3, FALSE)</f>
        <v>Le champ "Code emploi statutaire FPT (NET)" est renseigné si le "Type d'organisme d'origine" est valorisé à FPT.</v>
      </c>
      <c r="BK117" s="17" t="s">
        <v>127</v>
      </c>
      <c r="BL117" s="18" t="str">
        <f>VLOOKUP(BK117,'Axe 2 Règles de gestion'!$D$2:$F$41,3, FALSE)</f>
        <v>Le champ "Code emploi statutaire FPH (NEH)" est renseigné si le "Type d'organisme d'origine" est valorisé à FPH.</v>
      </c>
      <c r="BM117" s="17"/>
      <c r="BN117" s="18"/>
      <c r="BO117" s="17"/>
      <c r="BP117" s="18"/>
      <c r="BQ117" s="14" t="s">
        <v>84</v>
      </c>
      <c r="BR117" s="16" t="s">
        <v>84</v>
      </c>
    </row>
    <row r="118" spans="1:70" ht="60" x14ac:dyDescent="0.25">
      <c r="A118" s="14" t="s">
        <v>225</v>
      </c>
      <c r="B118" s="14" t="s">
        <v>129</v>
      </c>
      <c r="C118" s="15">
        <v>45083.461805555555</v>
      </c>
      <c r="D118" s="14" t="s">
        <v>73</v>
      </c>
      <c r="E118" s="16" t="s">
        <v>74</v>
      </c>
      <c r="F118" s="14" t="s">
        <v>75</v>
      </c>
      <c r="G118" s="16" t="s">
        <v>76</v>
      </c>
      <c r="H118" s="14" t="s">
        <v>226</v>
      </c>
      <c r="I118" s="16" t="s">
        <v>227</v>
      </c>
      <c r="J118" s="16" t="s">
        <v>228</v>
      </c>
      <c r="K118" s="16" t="s">
        <v>229</v>
      </c>
      <c r="L118" s="14" t="s">
        <v>230</v>
      </c>
      <c r="M118" s="16" t="s">
        <v>231</v>
      </c>
      <c r="N118" s="14" t="s">
        <v>83</v>
      </c>
      <c r="O118" s="16" t="s">
        <v>84</v>
      </c>
      <c r="P118" s="16" t="s">
        <v>84</v>
      </c>
      <c r="Q118" s="16" t="s">
        <v>148</v>
      </c>
      <c r="R118" s="14" t="s">
        <v>149</v>
      </c>
      <c r="S118" s="14" t="s">
        <v>150</v>
      </c>
      <c r="T118" s="14" t="s">
        <v>88</v>
      </c>
      <c r="U118" s="14" t="s">
        <v>140</v>
      </c>
      <c r="V118" s="15">
        <v>43939</v>
      </c>
      <c r="W118" s="15"/>
      <c r="X118" s="16" t="s">
        <v>84</v>
      </c>
      <c r="Y118" s="17"/>
      <c r="Z118" s="18"/>
      <c r="AA118" s="17"/>
      <c r="AB118" s="18"/>
      <c r="AC118" s="17"/>
      <c r="AD118" s="18"/>
      <c r="AE118" s="17"/>
      <c r="AF118" s="18"/>
      <c r="AG118" s="17"/>
      <c r="AH118" s="18"/>
      <c r="AI118" s="17"/>
      <c r="AJ118" s="18"/>
      <c r="AK118" s="17"/>
      <c r="AL118" s="18"/>
      <c r="AM118" s="17"/>
      <c r="AN118" s="18"/>
      <c r="AO118" s="17"/>
      <c r="AP118" s="18"/>
      <c r="AQ118" s="17"/>
      <c r="AR118" s="18"/>
      <c r="AS118" s="17"/>
      <c r="AT118" s="18"/>
      <c r="AU118" s="17"/>
      <c r="AV118" s="18"/>
      <c r="AW118" s="17"/>
      <c r="AX118" s="18"/>
      <c r="AY118" s="17"/>
      <c r="AZ118" s="18"/>
      <c r="BA118" s="17"/>
      <c r="BB118" s="18"/>
      <c r="BC118" s="17"/>
      <c r="BD118" s="18"/>
      <c r="BE118" s="17"/>
      <c r="BF118" s="18"/>
      <c r="BG118" s="17"/>
      <c r="BH118" s="18"/>
      <c r="BI118" s="17"/>
      <c r="BJ118" s="18"/>
      <c r="BK118" s="17"/>
      <c r="BL118" s="18"/>
      <c r="BM118" s="17"/>
      <c r="BN118" s="18"/>
      <c r="BO118" s="17"/>
      <c r="BP118" s="18"/>
      <c r="BQ118" s="14" t="s">
        <v>84</v>
      </c>
      <c r="BR118" s="16" t="s">
        <v>84</v>
      </c>
    </row>
    <row r="119" spans="1:70" ht="60" x14ac:dyDescent="0.25">
      <c r="A119" s="14" t="s">
        <v>225</v>
      </c>
      <c r="B119" s="14" t="s">
        <v>129</v>
      </c>
      <c r="C119" s="15">
        <v>45083.478472222225</v>
      </c>
      <c r="D119" s="14" t="s">
        <v>73</v>
      </c>
      <c r="E119" s="16" t="s">
        <v>74</v>
      </c>
      <c r="F119" s="14" t="s">
        <v>75</v>
      </c>
      <c r="G119" s="16" t="s">
        <v>76</v>
      </c>
      <c r="H119" s="14" t="s">
        <v>226</v>
      </c>
      <c r="I119" s="16" t="s">
        <v>227</v>
      </c>
      <c r="J119" s="16" t="s">
        <v>228</v>
      </c>
      <c r="K119" s="16" t="s">
        <v>229</v>
      </c>
      <c r="L119" s="14" t="s">
        <v>235</v>
      </c>
      <c r="M119" s="16" t="s">
        <v>236</v>
      </c>
      <c r="N119" s="14" t="s">
        <v>136</v>
      </c>
      <c r="O119" s="16" t="s">
        <v>84</v>
      </c>
      <c r="P119" s="16" t="s">
        <v>84</v>
      </c>
      <c r="Q119" s="16" t="s">
        <v>148</v>
      </c>
      <c r="R119" s="14" t="s">
        <v>149</v>
      </c>
      <c r="S119" s="14" t="s">
        <v>150</v>
      </c>
      <c r="T119" s="14" t="s">
        <v>88</v>
      </c>
      <c r="U119" s="14" t="s">
        <v>140</v>
      </c>
      <c r="V119" s="15">
        <v>43939</v>
      </c>
      <c r="W119" s="15"/>
      <c r="X119" s="16" t="s">
        <v>84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/>
      <c r="AL119" s="18"/>
      <c r="AM119" s="17"/>
      <c r="AN119" s="18"/>
      <c r="AO119" s="17"/>
      <c r="AP119" s="18"/>
      <c r="AQ119" s="17"/>
      <c r="AR119" s="18"/>
      <c r="AS119" s="17"/>
      <c r="AT119" s="18"/>
      <c r="AU119" s="17"/>
      <c r="AV119" s="18"/>
      <c r="AW119" s="17"/>
      <c r="AX119" s="18"/>
      <c r="AY119" s="17"/>
      <c r="AZ119" s="18"/>
      <c r="BA119" s="17"/>
      <c r="BB119" s="18"/>
      <c r="BC119" s="17"/>
      <c r="BD119" s="18"/>
      <c r="BE119" s="17"/>
      <c r="BF119" s="18"/>
      <c r="BG119" s="17"/>
      <c r="BH119" s="18"/>
      <c r="BI119" s="17"/>
      <c r="BJ119" s="18"/>
      <c r="BK119" s="17"/>
      <c r="BL119" s="18"/>
      <c r="BM119" s="17"/>
      <c r="BN119" s="18"/>
      <c r="BO119" s="17"/>
      <c r="BP119" s="18"/>
      <c r="BQ119" s="14" t="s">
        <v>84</v>
      </c>
      <c r="BR119" s="16" t="s">
        <v>84</v>
      </c>
    </row>
    <row r="120" spans="1:70" ht="135" x14ac:dyDescent="0.25">
      <c r="A120" s="14" t="s">
        <v>225</v>
      </c>
      <c r="B120" s="14" t="s">
        <v>129</v>
      </c>
      <c r="C120" s="15">
        <v>45083.490277777775</v>
      </c>
      <c r="D120" s="14" t="s">
        <v>73</v>
      </c>
      <c r="E120" s="16" t="s">
        <v>74</v>
      </c>
      <c r="F120" s="14" t="s">
        <v>75</v>
      </c>
      <c r="G120" s="16" t="s">
        <v>76</v>
      </c>
      <c r="H120" s="14" t="s">
        <v>238</v>
      </c>
      <c r="I120" s="16" t="s">
        <v>239</v>
      </c>
      <c r="J120" s="16" t="s">
        <v>240</v>
      </c>
      <c r="K120" s="16" t="s">
        <v>241</v>
      </c>
      <c r="L120" s="14" t="s">
        <v>242</v>
      </c>
      <c r="M120" s="16" t="s">
        <v>243</v>
      </c>
      <c r="N120" s="14" t="s">
        <v>83</v>
      </c>
      <c r="O120" s="16" t="s">
        <v>84</v>
      </c>
      <c r="P120" s="16" t="s">
        <v>84</v>
      </c>
      <c r="Q120" s="16" t="s">
        <v>85</v>
      </c>
      <c r="R120" s="14" t="s">
        <v>86</v>
      </c>
      <c r="S120" s="14" t="s">
        <v>87</v>
      </c>
      <c r="T120" s="14" t="s">
        <v>88</v>
      </c>
      <c r="U120" s="14" t="s">
        <v>89</v>
      </c>
      <c r="V120" s="15">
        <v>43939</v>
      </c>
      <c r="W120" s="15"/>
      <c r="X120" s="16" t="s">
        <v>232</v>
      </c>
      <c r="Y120" s="17" t="s">
        <v>233</v>
      </c>
      <c r="Z120" s="18" t="str">
        <f>VLOOKUP(Y120,'Axe 2 Règles de gestion'!$D$2:$F$41,3, FALSE)</f>
        <v>L'agent est affecté dans le cadre d'une réorganisation de service.</v>
      </c>
      <c r="AA120" s="17"/>
      <c r="AB120" s="18"/>
      <c r="AC120" s="17"/>
      <c r="AD120" s="18"/>
      <c r="AE120" s="17"/>
      <c r="AF120" s="18"/>
      <c r="AG120" s="17"/>
      <c r="AH120" s="18"/>
      <c r="AI120" s="17"/>
      <c r="AJ120" s="18"/>
      <c r="AK120" s="17"/>
      <c r="AL120" s="18"/>
      <c r="AM120" s="17"/>
      <c r="AN120" s="18"/>
      <c r="AO120" s="17"/>
      <c r="AP120" s="18"/>
      <c r="AQ120" s="17"/>
      <c r="AR120" s="18"/>
      <c r="AS120" s="17"/>
      <c r="AT120" s="18"/>
      <c r="AU120" s="17" t="s">
        <v>107</v>
      </c>
      <c r="AV120" s="18" t="str">
        <f>VLOOKUP(AU120,'Axe 2 Règles de gestion'!$D$2:$F$41,3, FALSE)</f>
        <v>La date de début de la position doit être postérieure ou égale à la date d'entrée dans la FPE ou dans la carrière militaire.</v>
      </c>
      <c r="AW120" s="17" t="s">
        <v>109</v>
      </c>
      <c r="AX120" s="18" t="str">
        <f>VLOOKUP(AW120,'Axe 2 Règles de gestion'!$D$2:$F$41,3, FALSE)</f>
        <v>La date de début de position est à J+1 de la date de fin de position de l'occurrence précédente.</v>
      </c>
      <c r="AY120" s="17" t="s">
        <v>111</v>
      </c>
      <c r="AZ120" s="18" t="str">
        <f>VLOOKUP(AY120,'Axe 2 Règles de gestion'!$D$2:$F$41,3, FALSE)</f>
        <v>La date de début de position doit être antérieure ou égale à la date de fin réelle de position.</v>
      </c>
      <c r="BA120" s="17" t="s">
        <v>113</v>
      </c>
      <c r="BB120" s="18" t="str">
        <f>VLOOKUP(BA120,'Axe 2 Règles de gestion'!$D$2:$F$41,3, FALSE)</f>
        <v>La date de début de position doit être antérieure ou égale à la date de fin prévisionnelle de position.</v>
      </c>
      <c r="BC120" s="17" t="s">
        <v>115</v>
      </c>
      <c r="BD120" s="18" t="str">
        <f>VLOOKUP(BC120,'Axe 2 Règles de gestion'!$D$2:$F$41,3, FALSE)</f>
        <v>La date de fin réelle de la position doit être antérieure à la date limite de départ à la retraite.</v>
      </c>
      <c r="BE120" s="17" t="s">
        <v>117</v>
      </c>
      <c r="BF120" s="18" t="str">
        <f>VLOOKUP(BE120,'Axe 2 Règles de gestion'!$D$2:$F$41,3, FALSE)</f>
        <v>La date de fin prévisionnelle de la position doit être antérieure à la date limite de départ à la retraite.</v>
      </c>
      <c r="BG120" s="17" t="s">
        <v>119</v>
      </c>
      <c r="BH120" s="18" t="str">
        <f>VLOOKUP(BG120,'Axe 2 Règles de gestion'!$D$2:$F$41,3, FALSE)</f>
        <v>Les champs "Type d'organisme d'origine", "Catégorie statutaire d'origine" et "Pays" de l'organisme d'origine doivent être renseignés.</v>
      </c>
      <c r="BI120" s="17" t="s">
        <v>121</v>
      </c>
      <c r="BJ120" s="18" t="str">
        <f>VLOOKUP(BI120,'Axe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20" s="17" t="s">
        <v>123</v>
      </c>
      <c r="BL120" s="18" t="str">
        <f>VLOOKUP(BK120,'Axe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20" s="17" t="s">
        <v>125</v>
      </c>
      <c r="BN120" s="18" t="str">
        <f>VLOOKUP(BM120,'Axe 2 Règles de gestion'!$D$2:$F$41,3, FALSE)</f>
        <v>Le champ "Code emploi statutaire FPT (NET)" est renseigné si le "Type d'organisme d'origine" est valorisé à FPT.</v>
      </c>
      <c r="BO120" s="17" t="s">
        <v>127</v>
      </c>
      <c r="BP120" s="18" t="str">
        <f>VLOOKUP(BO120,'Axe 2 Règles de gestion'!$D$2:$F$41,3, FALSE)</f>
        <v>Le champ "Code emploi statutaire FPH (NEH)" est renseigné si le "Type d'organisme d'origine" est valorisé à FPH.</v>
      </c>
      <c r="BQ120" s="14" t="s">
        <v>84</v>
      </c>
      <c r="BR120" s="16" t="s">
        <v>84</v>
      </c>
    </row>
    <row r="121" spans="1:70" ht="135" x14ac:dyDescent="0.25">
      <c r="A121" s="14" t="s">
        <v>225</v>
      </c>
      <c r="B121" s="14" t="s">
        <v>129</v>
      </c>
      <c r="C121" s="15">
        <v>45091.428472222222</v>
      </c>
      <c r="D121" s="14" t="s">
        <v>73</v>
      </c>
      <c r="E121" s="16" t="s">
        <v>74</v>
      </c>
      <c r="F121" s="14" t="s">
        <v>75</v>
      </c>
      <c r="G121" s="16" t="s">
        <v>76</v>
      </c>
      <c r="H121" s="14" t="s">
        <v>238</v>
      </c>
      <c r="I121" s="16" t="s">
        <v>239</v>
      </c>
      <c r="J121" s="16" t="s">
        <v>240</v>
      </c>
      <c r="K121" s="16" t="s">
        <v>241</v>
      </c>
      <c r="L121" s="14" t="s">
        <v>244</v>
      </c>
      <c r="M121" s="16" t="s">
        <v>245</v>
      </c>
      <c r="N121" s="14" t="s">
        <v>136</v>
      </c>
      <c r="O121" s="16" t="s">
        <v>84</v>
      </c>
      <c r="P121" s="16" t="s">
        <v>84</v>
      </c>
      <c r="Q121" s="16" t="s">
        <v>85</v>
      </c>
      <c r="R121" s="14" t="s">
        <v>86</v>
      </c>
      <c r="S121" s="14" t="s">
        <v>87</v>
      </c>
      <c r="T121" s="14" t="s">
        <v>88</v>
      </c>
      <c r="U121" s="14" t="s">
        <v>89</v>
      </c>
      <c r="V121" s="15">
        <v>43939</v>
      </c>
      <c r="W121" s="15"/>
      <c r="X121" s="16" t="s">
        <v>237</v>
      </c>
      <c r="Y121" s="17" t="s">
        <v>233</v>
      </c>
      <c r="Z121" s="18" t="str">
        <f>VLOOKUP(Y121,'Axe 2 Règles de gestion'!$D$2:$F$41,3, FALSE)</f>
        <v>L'agent est affecté dans le cadre d'une réorganisation de service.</v>
      </c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7"/>
      <c r="AP121" s="18"/>
      <c r="AQ121" s="17"/>
      <c r="AR121" s="18"/>
      <c r="AS121" s="17"/>
      <c r="AT121" s="18"/>
      <c r="AU121" s="17" t="s">
        <v>111</v>
      </c>
      <c r="AV121" s="18" t="str">
        <f>VLOOKUP(AU121,'Axe 2 Règles de gestion'!$D$2:$F$41,3, FALSE)</f>
        <v>La date de début de position doit être antérieure ou égale à la date de fin réelle de position.</v>
      </c>
      <c r="AW121" s="17" t="s">
        <v>113</v>
      </c>
      <c r="AX121" s="18" t="str">
        <f>VLOOKUP(AW121,'Axe 2 Règles de gestion'!$D$2:$F$41,3, FALSE)</f>
        <v>La date de début de position doit être antérieure ou égale à la date de fin prévisionnelle de position.</v>
      </c>
      <c r="AY121" s="17" t="s">
        <v>115</v>
      </c>
      <c r="AZ121" s="18" t="str">
        <f>VLOOKUP(AY121,'Axe 2 Règles de gestion'!$D$2:$F$41,3, FALSE)</f>
        <v>La date de fin réelle de la position doit être antérieure à la date limite de départ à la retraite.</v>
      </c>
      <c r="BA121" s="17" t="s">
        <v>117</v>
      </c>
      <c r="BB121" s="18" t="str">
        <f>VLOOKUP(BA121,'Axe 2 Règles de gestion'!$D$2:$F$41,3, FALSE)</f>
        <v>La date de fin prévisionnelle de la position doit être antérieure à la date limite de départ à la retraite.</v>
      </c>
      <c r="BC121" s="17" t="s">
        <v>119</v>
      </c>
      <c r="BD121" s="18" t="str">
        <f>VLOOKUP(BC121,'Axe 2 Règles de gestion'!$D$2:$F$41,3, FALSE)</f>
        <v>Les champs "Type d'organisme d'origine", "Catégorie statutaire d'origine" et "Pays" de l'organisme d'origine doivent être renseignés.</v>
      </c>
      <c r="BE121" s="17" t="s">
        <v>121</v>
      </c>
      <c r="BF121" s="18" t="str">
        <f>VLOOKUP(BE121,'Axe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21" s="17" t="s">
        <v>123</v>
      </c>
      <c r="BH121" s="18" t="str">
        <f>VLOOKUP(BG121,'Axe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21" s="17" t="s">
        <v>125</v>
      </c>
      <c r="BJ121" s="18" t="str">
        <f>VLOOKUP(BI121,'Axe 2 Règles de gestion'!$D$2:$F$41,3, FALSE)</f>
        <v>Le champ "Code emploi statutaire FPT (NET)" est renseigné si le "Type d'organisme d'origine" est valorisé à FPT.</v>
      </c>
      <c r="BK121" s="17" t="s">
        <v>127</v>
      </c>
      <c r="BL121" s="18" t="str">
        <f>VLOOKUP(BK121,'Axe 2 Règles de gestion'!$D$2:$F$41,3, FALSE)</f>
        <v>Le champ "Code emploi statutaire FPH (NEH)" est renseigné si le "Type d'organisme d'origine" est valorisé à FPH.</v>
      </c>
      <c r="BM121" s="17"/>
      <c r="BN121" s="18"/>
      <c r="BO121" s="17"/>
      <c r="BP121" s="18"/>
      <c r="BQ121" s="14" t="s">
        <v>84</v>
      </c>
      <c r="BR121" s="16" t="s">
        <v>84</v>
      </c>
    </row>
    <row r="122" spans="1:70" ht="75" x14ac:dyDescent="0.25">
      <c r="A122" s="14" t="s">
        <v>225</v>
      </c>
      <c r="B122" s="14" t="s">
        <v>129</v>
      </c>
      <c r="C122" s="15">
        <v>45083.491666666669</v>
      </c>
      <c r="D122" s="14" t="s">
        <v>73</v>
      </c>
      <c r="E122" s="16" t="s">
        <v>74</v>
      </c>
      <c r="F122" s="14" t="s">
        <v>75</v>
      </c>
      <c r="G122" s="16" t="s">
        <v>76</v>
      </c>
      <c r="H122" s="14" t="s">
        <v>238</v>
      </c>
      <c r="I122" s="16" t="s">
        <v>239</v>
      </c>
      <c r="J122" s="16" t="s">
        <v>240</v>
      </c>
      <c r="K122" s="16" t="s">
        <v>241</v>
      </c>
      <c r="L122" s="14" t="s">
        <v>242</v>
      </c>
      <c r="M122" s="16" t="s">
        <v>243</v>
      </c>
      <c r="N122" s="14" t="s">
        <v>83</v>
      </c>
      <c r="O122" s="16" t="s">
        <v>84</v>
      </c>
      <c r="P122" s="16" t="s">
        <v>84</v>
      </c>
      <c r="Q122" s="16" t="s">
        <v>138</v>
      </c>
      <c r="R122" s="14" t="s">
        <v>139</v>
      </c>
      <c r="S122" s="14" t="s">
        <v>72</v>
      </c>
      <c r="T122" s="14" t="s">
        <v>88</v>
      </c>
      <c r="U122" s="14" t="s">
        <v>140</v>
      </c>
      <c r="V122" s="15">
        <v>43939</v>
      </c>
      <c r="W122" s="15"/>
      <c r="X122" s="16" t="s">
        <v>84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7"/>
      <c r="AP122" s="18"/>
      <c r="AQ122" s="17"/>
      <c r="AR122" s="18"/>
      <c r="AS122" s="17"/>
      <c r="AT122" s="18"/>
      <c r="AU122" s="17"/>
      <c r="AV122" s="18"/>
      <c r="AW122" s="17"/>
      <c r="AX122" s="18"/>
      <c r="AY122" s="17"/>
      <c r="AZ122" s="18"/>
      <c r="BA122" s="17"/>
      <c r="BB122" s="18"/>
      <c r="BC122" s="17"/>
      <c r="BD122" s="18"/>
      <c r="BE122" s="17"/>
      <c r="BF122" s="18"/>
      <c r="BG122" s="17"/>
      <c r="BH122" s="18"/>
      <c r="BI122" s="17"/>
      <c r="BJ122" s="18"/>
      <c r="BK122" s="17"/>
      <c r="BL122" s="18"/>
      <c r="BM122" s="17"/>
      <c r="BN122" s="18"/>
      <c r="BO122" s="17"/>
      <c r="BP122" s="18"/>
      <c r="BQ122" s="14" t="s">
        <v>84</v>
      </c>
      <c r="BR122" s="16" t="s">
        <v>84</v>
      </c>
    </row>
    <row r="123" spans="1:70" ht="75" x14ac:dyDescent="0.25">
      <c r="A123" s="14" t="s">
        <v>225</v>
      </c>
      <c r="B123" s="14" t="s">
        <v>129</v>
      </c>
      <c r="C123" s="15">
        <v>45091.427083333336</v>
      </c>
      <c r="D123" s="14" t="s">
        <v>73</v>
      </c>
      <c r="E123" s="16" t="s">
        <v>74</v>
      </c>
      <c r="F123" s="14" t="s">
        <v>75</v>
      </c>
      <c r="G123" s="16" t="s">
        <v>76</v>
      </c>
      <c r="H123" s="14" t="s">
        <v>238</v>
      </c>
      <c r="I123" s="16" t="s">
        <v>239</v>
      </c>
      <c r="J123" s="16" t="s">
        <v>240</v>
      </c>
      <c r="K123" s="16" t="s">
        <v>241</v>
      </c>
      <c r="L123" s="14" t="s">
        <v>244</v>
      </c>
      <c r="M123" s="16" t="s">
        <v>245</v>
      </c>
      <c r="N123" s="14" t="s">
        <v>136</v>
      </c>
      <c r="O123" s="16" t="s">
        <v>84</v>
      </c>
      <c r="P123" s="16" t="s">
        <v>84</v>
      </c>
      <c r="Q123" s="16" t="s">
        <v>138</v>
      </c>
      <c r="R123" s="14" t="s">
        <v>139</v>
      </c>
      <c r="S123" s="14" t="s">
        <v>72</v>
      </c>
      <c r="T123" s="14" t="s">
        <v>88</v>
      </c>
      <c r="U123" s="14" t="s">
        <v>140</v>
      </c>
      <c r="V123" s="15">
        <v>43939</v>
      </c>
      <c r="W123" s="15"/>
      <c r="X123" s="16" t="s">
        <v>84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7"/>
      <c r="AP123" s="18"/>
      <c r="AQ123" s="17"/>
      <c r="AR123" s="18"/>
      <c r="AS123" s="17"/>
      <c r="AT123" s="18"/>
      <c r="AU123" s="17"/>
      <c r="AV123" s="18"/>
      <c r="AW123" s="17"/>
      <c r="AX123" s="18"/>
      <c r="AY123" s="17"/>
      <c r="AZ123" s="18"/>
      <c r="BA123" s="17"/>
      <c r="BB123" s="18"/>
      <c r="BC123" s="17"/>
      <c r="BD123" s="18"/>
      <c r="BE123" s="17"/>
      <c r="BF123" s="18"/>
      <c r="BG123" s="17"/>
      <c r="BH123" s="18"/>
      <c r="BI123" s="17"/>
      <c r="BJ123" s="18"/>
      <c r="BK123" s="17"/>
      <c r="BL123" s="18"/>
      <c r="BM123" s="17"/>
      <c r="BN123" s="18"/>
      <c r="BO123" s="17"/>
      <c r="BP123" s="18"/>
      <c r="BQ123" s="14" t="s">
        <v>84</v>
      </c>
      <c r="BR123" s="16" t="s">
        <v>84</v>
      </c>
    </row>
    <row r="124" spans="1:70" ht="75" x14ac:dyDescent="0.25">
      <c r="A124" s="14" t="s">
        <v>225</v>
      </c>
      <c r="B124" s="14" t="s">
        <v>129</v>
      </c>
      <c r="C124" s="15">
        <v>45083.490972222222</v>
      </c>
      <c r="D124" s="14" t="s">
        <v>73</v>
      </c>
      <c r="E124" s="16" t="s">
        <v>74</v>
      </c>
      <c r="F124" s="14" t="s">
        <v>75</v>
      </c>
      <c r="G124" s="16" t="s">
        <v>76</v>
      </c>
      <c r="H124" s="14" t="s">
        <v>238</v>
      </c>
      <c r="I124" s="16" t="s">
        <v>239</v>
      </c>
      <c r="J124" s="16" t="s">
        <v>240</v>
      </c>
      <c r="K124" s="16" t="s">
        <v>241</v>
      </c>
      <c r="L124" s="14" t="s">
        <v>242</v>
      </c>
      <c r="M124" s="16" t="s">
        <v>243</v>
      </c>
      <c r="N124" s="14" t="s">
        <v>83</v>
      </c>
      <c r="O124" s="16" t="s">
        <v>84</v>
      </c>
      <c r="P124" s="16" t="s">
        <v>84</v>
      </c>
      <c r="Q124" s="16" t="s">
        <v>141</v>
      </c>
      <c r="R124" s="14" t="s">
        <v>142</v>
      </c>
      <c r="S124" s="14" t="s">
        <v>143</v>
      </c>
      <c r="T124" s="14" t="s">
        <v>88</v>
      </c>
      <c r="U124" s="14" t="s">
        <v>140</v>
      </c>
      <c r="V124" s="15">
        <v>43939</v>
      </c>
      <c r="W124" s="15"/>
      <c r="X124" s="16" t="s">
        <v>84</v>
      </c>
      <c r="Y124" s="17"/>
      <c r="Z124" s="18"/>
      <c r="AA124" s="17"/>
      <c r="AB124" s="18"/>
      <c r="AC124" s="17"/>
      <c r="AD124" s="18"/>
      <c r="AE124" s="17"/>
      <c r="AF124" s="18"/>
      <c r="AG124" s="17"/>
      <c r="AH124" s="18"/>
      <c r="AI124" s="17"/>
      <c r="AJ124" s="18"/>
      <c r="AK124" s="17"/>
      <c r="AL124" s="18"/>
      <c r="AM124" s="17"/>
      <c r="AN124" s="18"/>
      <c r="AO124" s="17"/>
      <c r="AP124" s="18"/>
      <c r="AQ124" s="17"/>
      <c r="AR124" s="18"/>
      <c r="AS124" s="17"/>
      <c r="AT124" s="18"/>
      <c r="AU124" s="17"/>
      <c r="AV124" s="18"/>
      <c r="AW124" s="17"/>
      <c r="AX124" s="18"/>
      <c r="AY124" s="17"/>
      <c r="AZ124" s="18"/>
      <c r="BA124" s="17"/>
      <c r="BB124" s="18"/>
      <c r="BC124" s="17"/>
      <c r="BD124" s="18"/>
      <c r="BE124" s="17"/>
      <c r="BF124" s="18"/>
      <c r="BG124" s="17"/>
      <c r="BH124" s="18"/>
      <c r="BI124" s="17"/>
      <c r="BJ124" s="18"/>
      <c r="BK124" s="17"/>
      <c r="BL124" s="18"/>
      <c r="BM124" s="17"/>
      <c r="BN124" s="18"/>
      <c r="BO124" s="17"/>
      <c r="BP124" s="18"/>
      <c r="BQ124" s="14" t="s">
        <v>84</v>
      </c>
      <c r="BR124" s="16" t="s">
        <v>84</v>
      </c>
    </row>
    <row r="125" spans="1:70" ht="75" x14ac:dyDescent="0.25">
      <c r="A125" s="14" t="s">
        <v>225</v>
      </c>
      <c r="B125" s="14" t="s">
        <v>129</v>
      </c>
      <c r="C125" s="15">
        <v>45091.427777777775</v>
      </c>
      <c r="D125" s="14" t="s">
        <v>73</v>
      </c>
      <c r="E125" s="16" t="s">
        <v>74</v>
      </c>
      <c r="F125" s="14" t="s">
        <v>75</v>
      </c>
      <c r="G125" s="16" t="s">
        <v>76</v>
      </c>
      <c r="H125" s="14" t="s">
        <v>238</v>
      </c>
      <c r="I125" s="16" t="s">
        <v>239</v>
      </c>
      <c r="J125" s="16" t="s">
        <v>240</v>
      </c>
      <c r="K125" s="16" t="s">
        <v>241</v>
      </c>
      <c r="L125" s="14" t="s">
        <v>244</v>
      </c>
      <c r="M125" s="16" t="s">
        <v>245</v>
      </c>
      <c r="N125" s="14" t="s">
        <v>136</v>
      </c>
      <c r="O125" s="16" t="s">
        <v>84</v>
      </c>
      <c r="P125" s="16" t="s">
        <v>84</v>
      </c>
      <c r="Q125" s="16" t="s">
        <v>141</v>
      </c>
      <c r="R125" s="14" t="s">
        <v>142</v>
      </c>
      <c r="S125" s="14" t="s">
        <v>143</v>
      </c>
      <c r="T125" s="14" t="s">
        <v>88</v>
      </c>
      <c r="U125" s="14" t="s">
        <v>140</v>
      </c>
      <c r="V125" s="15">
        <v>43939</v>
      </c>
      <c r="W125" s="15"/>
      <c r="X125" s="16" t="s">
        <v>84</v>
      </c>
      <c r="Y125" s="17"/>
      <c r="Z125" s="18"/>
      <c r="AA125" s="17"/>
      <c r="AB125" s="18"/>
      <c r="AC125" s="17"/>
      <c r="AD125" s="18"/>
      <c r="AE125" s="17"/>
      <c r="AF125" s="18"/>
      <c r="AG125" s="17"/>
      <c r="AH125" s="18"/>
      <c r="AI125" s="17"/>
      <c r="AJ125" s="18"/>
      <c r="AK125" s="17"/>
      <c r="AL125" s="18"/>
      <c r="AM125" s="17"/>
      <c r="AN125" s="18"/>
      <c r="AO125" s="17"/>
      <c r="AP125" s="18"/>
      <c r="AQ125" s="17"/>
      <c r="AR125" s="18"/>
      <c r="AS125" s="17"/>
      <c r="AT125" s="18"/>
      <c r="AU125" s="17"/>
      <c r="AV125" s="18"/>
      <c r="AW125" s="17"/>
      <c r="AX125" s="18"/>
      <c r="AY125" s="17"/>
      <c r="AZ125" s="18"/>
      <c r="BA125" s="17"/>
      <c r="BB125" s="18"/>
      <c r="BC125" s="17"/>
      <c r="BD125" s="18"/>
      <c r="BE125" s="17"/>
      <c r="BF125" s="18"/>
      <c r="BG125" s="17"/>
      <c r="BH125" s="18"/>
      <c r="BI125" s="17"/>
      <c r="BJ125" s="18"/>
      <c r="BK125" s="17"/>
      <c r="BL125" s="18"/>
      <c r="BM125" s="17"/>
      <c r="BN125" s="18"/>
      <c r="BO125" s="17"/>
      <c r="BP125" s="18"/>
      <c r="BQ125" s="14" t="s">
        <v>84</v>
      </c>
      <c r="BR125" s="16" t="s">
        <v>84</v>
      </c>
    </row>
    <row r="126" spans="1:70" ht="135" x14ac:dyDescent="0.25">
      <c r="A126" s="14" t="s">
        <v>225</v>
      </c>
      <c r="B126" s="14" t="s">
        <v>129</v>
      </c>
      <c r="C126" s="15">
        <v>45083.490972222222</v>
      </c>
      <c r="D126" s="14" t="s">
        <v>73</v>
      </c>
      <c r="E126" s="16" t="s">
        <v>74</v>
      </c>
      <c r="F126" s="14" t="s">
        <v>75</v>
      </c>
      <c r="G126" s="16" t="s">
        <v>76</v>
      </c>
      <c r="H126" s="14" t="s">
        <v>238</v>
      </c>
      <c r="I126" s="16" t="s">
        <v>239</v>
      </c>
      <c r="J126" s="16" t="s">
        <v>240</v>
      </c>
      <c r="K126" s="16" t="s">
        <v>241</v>
      </c>
      <c r="L126" s="14" t="s">
        <v>242</v>
      </c>
      <c r="M126" s="16" t="s">
        <v>243</v>
      </c>
      <c r="N126" s="14" t="s">
        <v>83</v>
      </c>
      <c r="O126" s="16" t="s">
        <v>84</v>
      </c>
      <c r="P126" s="16" t="s">
        <v>84</v>
      </c>
      <c r="Q126" s="16" t="s">
        <v>144</v>
      </c>
      <c r="R126" s="14" t="s">
        <v>145</v>
      </c>
      <c r="S126" s="14" t="s">
        <v>146</v>
      </c>
      <c r="T126" s="14" t="s">
        <v>88</v>
      </c>
      <c r="U126" s="14" t="s">
        <v>89</v>
      </c>
      <c r="V126" s="15">
        <v>43939</v>
      </c>
      <c r="W126" s="15"/>
      <c r="X126" s="16" t="s">
        <v>232</v>
      </c>
      <c r="Y126" s="17" t="s">
        <v>233</v>
      </c>
      <c r="Z126" s="18" t="str">
        <f>VLOOKUP(Y126,'Axe 2 Règles de gestion'!$D$2:$F$41,3, FALSE)</f>
        <v>L'agent est affecté dans le cadre d'une réorganisation de service.</v>
      </c>
      <c r="AA126" s="17"/>
      <c r="AB126" s="18"/>
      <c r="AC126" s="17"/>
      <c r="AD126" s="18"/>
      <c r="AE126" s="17"/>
      <c r="AF126" s="18"/>
      <c r="AG126" s="17"/>
      <c r="AH126" s="18"/>
      <c r="AI126" s="17"/>
      <c r="AJ126" s="18"/>
      <c r="AK126" s="17"/>
      <c r="AL126" s="18"/>
      <c r="AM126" s="17"/>
      <c r="AN126" s="18"/>
      <c r="AO126" s="17"/>
      <c r="AP126" s="18"/>
      <c r="AQ126" s="17"/>
      <c r="AR126" s="18"/>
      <c r="AS126" s="17"/>
      <c r="AT126" s="18"/>
      <c r="AU126" s="17" t="s">
        <v>107</v>
      </c>
      <c r="AV126" s="18" t="str">
        <f>VLOOKUP(AU126,'Axe 2 Règles de gestion'!$D$2:$F$41,3, FALSE)</f>
        <v>La date de début de la position doit être postérieure ou égale à la date d'entrée dans la FPE ou dans la carrière militaire.</v>
      </c>
      <c r="AW126" s="17" t="s">
        <v>109</v>
      </c>
      <c r="AX126" s="18" t="str">
        <f>VLOOKUP(AW126,'Axe 2 Règles de gestion'!$D$2:$F$41,3, FALSE)</f>
        <v>La date de début de position est à J+1 de la date de fin de position de l'occurrence précédente.</v>
      </c>
      <c r="AY126" s="17" t="s">
        <v>111</v>
      </c>
      <c r="AZ126" s="18" t="str">
        <f>VLOOKUP(AY126,'Axe 2 Règles de gestion'!$D$2:$F$41,3, FALSE)</f>
        <v>La date de début de position doit être antérieure ou égale à la date de fin réelle de position.</v>
      </c>
      <c r="BA126" s="17" t="s">
        <v>113</v>
      </c>
      <c r="BB126" s="18" t="str">
        <f>VLOOKUP(BA126,'Axe 2 Règles de gestion'!$D$2:$F$41,3, FALSE)</f>
        <v>La date de début de position doit être antérieure ou égale à la date de fin prévisionnelle de position.</v>
      </c>
      <c r="BC126" s="17" t="s">
        <v>115</v>
      </c>
      <c r="BD126" s="18" t="str">
        <f>VLOOKUP(BC126,'Axe 2 Règles de gestion'!$D$2:$F$41,3, FALSE)</f>
        <v>La date de fin réelle de la position doit être antérieure à la date limite de départ à la retraite.</v>
      </c>
      <c r="BE126" s="17" t="s">
        <v>117</v>
      </c>
      <c r="BF126" s="18" t="str">
        <f>VLOOKUP(BE126,'Axe 2 Règles de gestion'!$D$2:$F$41,3, FALSE)</f>
        <v>La date de fin prévisionnelle de la position doit être antérieure à la date limite de départ à la retraite.</v>
      </c>
      <c r="BG126" s="17" t="s">
        <v>119</v>
      </c>
      <c r="BH126" s="18" t="str">
        <f>VLOOKUP(BG126,'Axe 2 Règles de gestion'!$D$2:$F$41,3, FALSE)</f>
        <v>Les champs "Type d'organisme d'origine", "Catégorie statutaire d'origine" et "Pays" de l'organisme d'origine doivent être renseignés.</v>
      </c>
      <c r="BI126" s="17" t="s">
        <v>121</v>
      </c>
      <c r="BJ126" s="18" t="str">
        <f>VLOOKUP(BI126,'Axe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26" s="17" t="s">
        <v>123</v>
      </c>
      <c r="BL126" s="18" t="str">
        <f>VLOOKUP(BK126,'Axe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26" s="17" t="s">
        <v>125</v>
      </c>
      <c r="BN126" s="18" t="str">
        <f>VLOOKUP(BM126,'Axe 2 Règles de gestion'!$D$2:$F$41,3, FALSE)</f>
        <v>Le champ "Code emploi statutaire FPT (NET)" est renseigné si le "Type d'organisme d'origine" est valorisé à FPT.</v>
      </c>
      <c r="BO126" s="17" t="s">
        <v>127</v>
      </c>
      <c r="BP126" s="18" t="str">
        <f>VLOOKUP(BO126,'Axe 2 Règles de gestion'!$D$2:$F$41,3, FALSE)</f>
        <v>Le champ "Code emploi statutaire FPH (NEH)" est renseigné si le "Type d'organisme d'origine" est valorisé à FPH.</v>
      </c>
      <c r="BQ126" s="14" t="s">
        <v>84</v>
      </c>
      <c r="BR126" s="16" t="s">
        <v>84</v>
      </c>
    </row>
    <row r="127" spans="1:70" ht="135" x14ac:dyDescent="0.25">
      <c r="A127" s="14" t="s">
        <v>225</v>
      </c>
      <c r="B127" s="14" t="s">
        <v>129</v>
      </c>
      <c r="C127" s="15">
        <v>45091.428472222222</v>
      </c>
      <c r="D127" s="14" t="s">
        <v>73</v>
      </c>
      <c r="E127" s="16" t="s">
        <v>74</v>
      </c>
      <c r="F127" s="14" t="s">
        <v>75</v>
      </c>
      <c r="G127" s="16" t="s">
        <v>76</v>
      </c>
      <c r="H127" s="14" t="s">
        <v>238</v>
      </c>
      <c r="I127" s="16" t="s">
        <v>239</v>
      </c>
      <c r="J127" s="16" t="s">
        <v>240</v>
      </c>
      <c r="K127" s="16" t="s">
        <v>241</v>
      </c>
      <c r="L127" s="14" t="s">
        <v>244</v>
      </c>
      <c r="M127" s="16" t="s">
        <v>245</v>
      </c>
      <c r="N127" s="14" t="s">
        <v>136</v>
      </c>
      <c r="O127" s="16" t="s">
        <v>84</v>
      </c>
      <c r="P127" s="16" t="s">
        <v>84</v>
      </c>
      <c r="Q127" s="16" t="s">
        <v>144</v>
      </c>
      <c r="R127" s="14" t="s">
        <v>145</v>
      </c>
      <c r="S127" s="14" t="s">
        <v>146</v>
      </c>
      <c r="T127" s="14" t="s">
        <v>88</v>
      </c>
      <c r="U127" s="14" t="s">
        <v>89</v>
      </c>
      <c r="V127" s="15">
        <v>43939</v>
      </c>
      <c r="W127" s="15"/>
      <c r="X127" s="16" t="s">
        <v>237</v>
      </c>
      <c r="Y127" s="17" t="s">
        <v>233</v>
      </c>
      <c r="Z127" s="18" t="str">
        <f>VLOOKUP(Y127,'Axe 2 Règles de gestion'!$D$2:$F$41,3, FALSE)</f>
        <v>L'agent est affecté dans le cadre d'une réorganisation de service.</v>
      </c>
      <c r="AA127" s="17"/>
      <c r="AB127" s="18"/>
      <c r="AC127" s="17"/>
      <c r="AD127" s="18"/>
      <c r="AE127" s="17"/>
      <c r="AF127" s="18"/>
      <c r="AG127" s="17"/>
      <c r="AH127" s="18"/>
      <c r="AI127" s="17"/>
      <c r="AJ127" s="18"/>
      <c r="AK127" s="17"/>
      <c r="AL127" s="18"/>
      <c r="AM127" s="17"/>
      <c r="AN127" s="18"/>
      <c r="AO127" s="17"/>
      <c r="AP127" s="18"/>
      <c r="AQ127" s="17"/>
      <c r="AR127" s="18"/>
      <c r="AS127" s="17"/>
      <c r="AT127" s="18"/>
      <c r="AU127" s="17" t="s">
        <v>111</v>
      </c>
      <c r="AV127" s="18" t="str">
        <f>VLOOKUP(AU127,'Axe 2 Règles de gestion'!$D$2:$F$41,3, FALSE)</f>
        <v>La date de début de position doit être antérieure ou égale à la date de fin réelle de position.</v>
      </c>
      <c r="AW127" s="17" t="s">
        <v>113</v>
      </c>
      <c r="AX127" s="18" t="str">
        <f>VLOOKUP(AW127,'Axe 2 Règles de gestion'!$D$2:$F$41,3, FALSE)</f>
        <v>La date de début de position doit être antérieure ou égale à la date de fin prévisionnelle de position.</v>
      </c>
      <c r="AY127" s="17" t="s">
        <v>115</v>
      </c>
      <c r="AZ127" s="18" t="str">
        <f>VLOOKUP(AY127,'Axe 2 Règles de gestion'!$D$2:$F$41,3, FALSE)</f>
        <v>La date de fin réelle de la position doit être antérieure à la date limite de départ à la retraite.</v>
      </c>
      <c r="BA127" s="17" t="s">
        <v>117</v>
      </c>
      <c r="BB127" s="18" t="str">
        <f>VLOOKUP(BA127,'Axe 2 Règles de gestion'!$D$2:$F$41,3, FALSE)</f>
        <v>La date de fin prévisionnelle de la position doit être antérieure à la date limite de départ à la retraite.</v>
      </c>
      <c r="BC127" s="17" t="s">
        <v>119</v>
      </c>
      <c r="BD127" s="18" t="str">
        <f>VLOOKUP(BC127,'Axe 2 Règles de gestion'!$D$2:$F$41,3, FALSE)</f>
        <v>Les champs "Type d'organisme d'origine", "Catégorie statutaire d'origine" et "Pays" de l'organisme d'origine doivent être renseignés.</v>
      </c>
      <c r="BE127" s="17" t="s">
        <v>121</v>
      </c>
      <c r="BF127" s="18" t="str">
        <f>VLOOKUP(BE127,'Axe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27" s="17" t="s">
        <v>123</v>
      </c>
      <c r="BH127" s="18" t="str">
        <f>VLOOKUP(BG127,'Axe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27" s="17" t="s">
        <v>125</v>
      </c>
      <c r="BJ127" s="18" t="str">
        <f>VLOOKUP(BI127,'Axe 2 Règles de gestion'!$D$2:$F$41,3, FALSE)</f>
        <v>Le champ "Code emploi statutaire FPT (NET)" est renseigné si le "Type d'organisme d'origine" est valorisé à FPT.</v>
      </c>
      <c r="BK127" s="17" t="s">
        <v>127</v>
      </c>
      <c r="BL127" s="18" t="str">
        <f>VLOOKUP(BK127,'Axe 2 Règles de gestion'!$D$2:$F$41,3, FALSE)</f>
        <v>Le champ "Code emploi statutaire FPH (NEH)" est renseigné si le "Type d'organisme d'origine" est valorisé à FPH.</v>
      </c>
      <c r="BM127" s="17"/>
      <c r="BN127" s="18"/>
      <c r="BO127" s="17"/>
      <c r="BP127" s="18"/>
      <c r="BQ127" s="14" t="s">
        <v>84</v>
      </c>
      <c r="BR127" s="16" t="s">
        <v>84</v>
      </c>
    </row>
    <row r="128" spans="1:70" ht="75" x14ac:dyDescent="0.25">
      <c r="A128" s="14" t="s">
        <v>225</v>
      </c>
      <c r="B128" s="14" t="s">
        <v>129</v>
      </c>
      <c r="C128" s="15">
        <v>45083.491666666669</v>
      </c>
      <c r="D128" s="14" t="s">
        <v>73</v>
      </c>
      <c r="E128" s="16" t="s">
        <v>74</v>
      </c>
      <c r="F128" s="14" t="s">
        <v>75</v>
      </c>
      <c r="G128" s="16" t="s">
        <v>76</v>
      </c>
      <c r="H128" s="14" t="s">
        <v>238</v>
      </c>
      <c r="I128" s="16" t="s">
        <v>239</v>
      </c>
      <c r="J128" s="16" t="s">
        <v>240</v>
      </c>
      <c r="K128" s="16" t="s">
        <v>241</v>
      </c>
      <c r="L128" s="14" t="s">
        <v>242</v>
      </c>
      <c r="M128" s="16" t="s">
        <v>243</v>
      </c>
      <c r="N128" s="14" t="s">
        <v>83</v>
      </c>
      <c r="O128" s="16" t="s">
        <v>84</v>
      </c>
      <c r="P128" s="16" t="s">
        <v>84</v>
      </c>
      <c r="Q128" s="16" t="s">
        <v>148</v>
      </c>
      <c r="R128" s="14" t="s">
        <v>149</v>
      </c>
      <c r="S128" s="14" t="s">
        <v>150</v>
      </c>
      <c r="T128" s="14" t="s">
        <v>88</v>
      </c>
      <c r="U128" s="14" t="s">
        <v>140</v>
      </c>
      <c r="V128" s="15">
        <v>43939</v>
      </c>
      <c r="W128" s="15"/>
      <c r="X128" s="16" t="s">
        <v>84</v>
      </c>
      <c r="Y128" s="17"/>
      <c r="Z128" s="18"/>
      <c r="AA128" s="17"/>
      <c r="AB128" s="18"/>
      <c r="AC128" s="17"/>
      <c r="AD128" s="18"/>
      <c r="AE128" s="17"/>
      <c r="AF128" s="18"/>
      <c r="AG128" s="17"/>
      <c r="AH128" s="18"/>
      <c r="AI128" s="17"/>
      <c r="AJ128" s="18"/>
      <c r="AK128" s="17"/>
      <c r="AL128" s="18"/>
      <c r="AM128" s="17"/>
      <c r="AN128" s="18"/>
      <c r="AO128" s="17"/>
      <c r="AP128" s="18"/>
      <c r="AQ128" s="17"/>
      <c r="AR128" s="18"/>
      <c r="AS128" s="17"/>
      <c r="AT128" s="18"/>
      <c r="AU128" s="17"/>
      <c r="AV128" s="18"/>
      <c r="AW128" s="17"/>
      <c r="AX128" s="18"/>
      <c r="AY128" s="17"/>
      <c r="AZ128" s="18"/>
      <c r="BA128" s="17"/>
      <c r="BB128" s="18"/>
      <c r="BC128" s="17"/>
      <c r="BD128" s="18"/>
      <c r="BE128" s="17"/>
      <c r="BF128" s="18"/>
      <c r="BG128" s="17"/>
      <c r="BH128" s="18"/>
      <c r="BI128" s="17"/>
      <c r="BJ128" s="18"/>
      <c r="BK128" s="17"/>
      <c r="BL128" s="18"/>
      <c r="BM128" s="17"/>
      <c r="BN128" s="18"/>
      <c r="BO128" s="17"/>
      <c r="BP128" s="18"/>
      <c r="BQ128" s="14" t="s">
        <v>84</v>
      </c>
      <c r="BR128" s="16" t="s">
        <v>84</v>
      </c>
    </row>
    <row r="129" spans="1:70" ht="75" x14ac:dyDescent="0.25">
      <c r="A129" s="14" t="s">
        <v>225</v>
      </c>
      <c r="B129" s="14" t="s">
        <v>129</v>
      </c>
      <c r="C129" s="15">
        <v>45091.427083333336</v>
      </c>
      <c r="D129" s="14" t="s">
        <v>73</v>
      </c>
      <c r="E129" s="16" t="s">
        <v>74</v>
      </c>
      <c r="F129" s="14" t="s">
        <v>75</v>
      </c>
      <c r="G129" s="16" t="s">
        <v>76</v>
      </c>
      <c r="H129" s="14" t="s">
        <v>238</v>
      </c>
      <c r="I129" s="16" t="s">
        <v>239</v>
      </c>
      <c r="J129" s="16" t="s">
        <v>240</v>
      </c>
      <c r="K129" s="16" t="s">
        <v>241</v>
      </c>
      <c r="L129" s="14" t="s">
        <v>244</v>
      </c>
      <c r="M129" s="16" t="s">
        <v>245</v>
      </c>
      <c r="N129" s="14" t="s">
        <v>136</v>
      </c>
      <c r="O129" s="16" t="s">
        <v>84</v>
      </c>
      <c r="P129" s="16" t="s">
        <v>84</v>
      </c>
      <c r="Q129" s="16" t="s">
        <v>148</v>
      </c>
      <c r="R129" s="14" t="s">
        <v>149</v>
      </c>
      <c r="S129" s="14" t="s">
        <v>150</v>
      </c>
      <c r="T129" s="14" t="s">
        <v>88</v>
      </c>
      <c r="U129" s="14" t="s">
        <v>140</v>
      </c>
      <c r="V129" s="15">
        <v>43939</v>
      </c>
      <c r="W129" s="15"/>
      <c r="X129" s="16" t="s">
        <v>84</v>
      </c>
      <c r="Y129" s="17"/>
      <c r="Z129" s="18"/>
      <c r="AA129" s="17"/>
      <c r="AB129" s="18"/>
      <c r="AC129" s="17"/>
      <c r="AD129" s="18"/>
      <c r="AE129" s="17"/>
      <c r="AF129" s="18"/>
      <c r="AG129" s="17"/>
      <c r="AH129" s="18"/>
      <c r="AI129" s="17"/>
      <c r="AJ129" s="18"/>
      <c r="AK129" s="17"/>
      <c r="AL129" s="18"/>
      <c r="AM129" s="17"/>
      <c r="AN129" s="18"/>
      <c r="AO129" s="17"/>
      <c r="AP129" s="18"/>
      <c r="AQ129" s="17"/>
      <c r="AR129" s="18"/>
      <c r="AS129" s="17"/>
      <c r="AT129" s="18"/>
      <c r="AU129" s="17"/>
      <c r="AV129" s="18"/>
      <c r="AW129" s="17"/>
      <c r="AX129" s="18"/>
      <c r="AY129" s="17"/>
      <c r="AZ129" s="18"/>
      <c r="BA129" s="17"/>
      <c r="BB129" s="18"/>
      <c r="BC129" s="17"/>
      <c r="BD129" s="18"/>
      <c r="BE129" s="17"/>
      <c r="BF129" s="18"/>
      <c r="BG129" s="17"/>
      <c r="BH129" s="18"/>
      <c r="BI129" s="17"/>
      <c r="BJ129" s="18"/>
      <c r="BK129" s="17"/>
      <c r="BL129" s="18"/>
      <c r="BM129" s="17"/>
      <c r="BN129" s="18"/>
      <c r="BO129" s="17"/>
      <c r="BP129" s="18"/>
      <c r="BQ129" s="14" t="s">
        <v>84</v>
      </c>
      <c r="BR129" s="16" t="s">
        <v>84</v>
      </c>
    </row>
    <row r="130" spans="1:70" ht="135" x14ac:dyDescent="0.25">
      <c r="A130" s="14" t="s">
        <v>225</v>
      </c>
      <c r="B130" s="14" t="s">
        <v>129</v>
      </c>
      <c r="C130" s="15">
        <v>45084.614583333336</v>
      </c>
      <c r="D130" s="14" t="s">
        <v>73</v>
      </c>
      <c r="E130" s="16" t="s">
        <v>74</v>
      </c>
      <c r="F130" s="14" t="s">
        <v>75</v>
      </c>
      <c r="G130" s="16" t="s">
        <v>76</v>
      </c>
      <c r="H130" s="14" t="s">
        <v>246</v>
      </c>
      <c r="I130" s="16" t="s">
        <v>247</v>
      </c>
      <c r="J130" s="16" t="s">
        <v>248</v>
      </c>
      <c r="K130" s="16" t="s">
        <v>249</v>
      </c>
      <c r="L130" s="14" t="s">
        <v>250</v>
      </c>
      <c r="M130" s="16" t="s">
        <v>251</v>
      </c>
      <c r="N130" s="14" t="s">
        <v>83</v>
      </c>
      <c r="O130" s="16" t="s">
        <v>84</v>
      </c>
      <c r="P130" s="16" t="s">
        <v>84</v>
      </c>
      <c r="Q130" s="16" t="s">
        <v>85</v>
      </c>
      <c r="R130" s="14" t="s">
        <v>86</v>
      </c>
      <c r="S130" s="14" t="s">
        <v>87</v>
      </c>
      <c r="T130" s="14" t="s">
        <v>88</v>
      </c>
      <c r="U130" s="14" t="s">
        <v>89</v>
      </c>
      <c r="V130" s="15">
        <v>43939</v>
      </c>
      <c r="W130" s="15"/>
      <c r="X130" s="16" t="s">
        <v>232</v>
      </c>
      <c r="Y130" s="17" t="s">
        <v>233</v>
      </c>
      <c r="Z130" s="18" t="str">
        <f>VLOOKUP(Y130,'Axe 2 Règles de gestion'!$D$2:$F$41,3, FALSE)</f>
        <v>L'agent est affecté dans le cadre d'une réorganisation de service.</v>
      </c>
      <c r="AA130" s="17"/>
      <c r="AB130" s="18"/>
      <c r="AC130" s="17"/>
      <c r="AD130" s="18"/>
      <c r="AE130" s="17"/>
      <c r="AF130" s="18"/>
      <c r="AG130" s="17"/>
      <c r="AH130" s="18"/>
      <c r="AI130" s="17"/>
      <c r="AJ130" s="18"/>
      <c r="AK130" s="17"/>
      <c r="AL130" s="18"/>
      <c r="AM130" s="17"/>
      <c r="AN130" s="18"/>
      <c r="AO130" s="17"/>
      <c r="AP130" s="18"/>
      <c r="AQ130" s="17"/>
      <c r="AR130" s="18"/>
      <c r="AS130" s="17"/>
      <c r="AT130" s="18"/>
      <c r="AU130" s="17" t="s">
        <v>107</v>
      </c>
      <c r="AV130" s="18" t="str">
        <f>VLOOKUP(AU130,'Axe 2 Règles de gestion'!$D$2:$F$41,3, FALSE)</f>
        <v>La date de début de la position doit être postérieure ou égale à la date d'entrée dans la FPE ou dans la carrière militaire.</v>
      </c>
      <c r="AW130" s="17" t="s">
        <v>109</v>
      </c>
      <c r="AX130" s="18" t="str">
        <f>VLOOKUP(AW130,'Axe 2 Règles de gestion'!$D$2:$F$41,3, FALSE)</f>
        <v>La date de début de position est à J+1 de la date de fin de position de l'occurrence précédente.</v>
      </c>
      <c r="AY130" s="17" t="s">
        <v>111</v>
      </c>
      <c r="AZ130" s="18" t="str">
        <f>VLOOKUP(AY130,'Axe 2 Règles de gestion'!$D$2:$F$41,3, FALSE)</f>
        <v>La date de début de position doit être antérieure ou égale à la date de fin réelle de position.</v>
      </c>
      <c r="BA130" s="17" t="s">
        <v>113</v>
      </c>
      <c r="BB130" s="18" t="str">
        <f>VLOOKUP(BA130,'Axe 2 Règles de gestion'!$D$2:$F$41,3, FALSE)</f>
        <v>La date de début de position doit être antérieure ou égale à la date de fin prévisionnelle de position.</v>
      </c>
      <c r="BC130" s="17" t="s">
        <v>115</v>
      </c>
      <c r="BD130" s="18" t="str">
        <f>VLOOKUP(BC130,'Axe 2 Règles de gestion'!$D$2:$F$41,3, FALSE)</f>
        <v>La date de fin réelle de la position doit être antérieure à la date limite de départ à la retraite.</v>
      </c>
      <c r="BE130" s="17" t="s">
        <v>117</v>
      </c>
      <c r="BF130" s="18" t="str">
        <f>VLOOKUP(BE130,'Axe 2 Règles de gestion'!$D$2:$F$41,3, FALSE)</f>
        <v>La date de fin prévisionnelle de la position doit être antérieure à la date limite de départ à la retraite.</v>
      </c>
      <c r="BG130" s="17" t="s">
        <v>119</v>
      </c>
      <c r="BH130" s="18" t="str">
        <f>VLOOKUP(BG130,'Axe 2 Règles de gestion'!$D$2:$F$41,3, FALSE)</f>
        <v>Les champs "Type d'organisme d'origine", "Catégorie statutaire d'origine" et "Pays" de l'organisme d'origine doivent être renseignés.</v>
      </c>
      <c r="BI130" s="17" t="s">
        <v>121</v>
      </c>
      <c r="BJ130" s="18" t="str">
        <f>VLOOKUP(BI130,'Axe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30" s="17" t="s">
        <v>123</v>
      </c>
      <c r="BL130" s="18" t="str">
        <f>VLOOKUP(BK130,'Axe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30" s="17" t="s">
        <v>125</v>
      </c>
      <c r="BN130" s="18" t="str">
        <f>VLOOKUP(BM130,'Axe 2 Règles de gestion'!$D$2:$F$41,3, FALSE)</f>
        <v>Le champ "Code emploi statutaire FPT (NET)" est renseigné si le "Type d'organisme d'origine" est valorisé à FPT.</v>
      </c>
      <c r="BO130" s="17" t="s">
        <v>127</v>
      </c>
      <c r="BP130" s="18" t="str">
        <f>VLOOKUP(BO130,'Axe 2 Règles de gestion'!$D$2:$F$41,3, FALSE)</f>
        <v>Le champ "Code emploi statutaire FPH (NEH)" est renseigné si le "Type d'organisme d'origine" est valorisé à FPH.</v>
      </c>
      <c r="BQ130" s="14" t="s">
        <v>84</v>
      </c>
      <c r="BR130" s="16" t="s">
        <v>84</v>
      </c>
    </row>
    <row r="131" spans="1:70" ht="135" x14ac:dyDescent="0.25">
      <c r="A131" s="14" t="s">
        <v>225</v>
      </c>
      <c r="B131" s="14" t="s">
        <v>129</v>
      </c>
      <c r="C131" s="15">
        <v>45084.612500000003</v>
      </c>
      <c r="D131" s="14" t="s">
        <v>73</v>
      </c>
      <c r="E131" s="16" t="s">
        <v>74</v>
      </c>
      <c r="F131" s="14" t="s">
        <v>75</v>
      </c>
      <c r="G131" s="16" t="s">
        <v>76</v>
      </c>
      <c r="H131" s="14" t="s">
        <v>246</v>
      </c>
      <c r="I131" s="16" t="s">
        <v>247</v>
      </c>
      <c r="J131" s="16" t="s">
        <v>248</v>
      </c>
      <c r="K131" s="16" t="s">
        <v>249</v>
      </c>
      <c r="L131" s="14" t="s">
        <v>252</v>
      </c>
      <c r="M131" s="16" t="s">
        <v>253</v>
      </c>
      <c r="N131" s="14" t="s">
        <v>136</v>
      </c>
      <c r="O131" s="16" t="s">
        <v>84</v>
      </c>
      <c r="P131" s="16" t="s">
        <v>84</v>
      </c>
      <c r="Q131" s="16" t="s">
        <v>85</v>
      </c>
      <c r="R131" s="14" t="s">
        <v>86</v>
      </c>
      <c r="S131" s="14" t="s">
        <v>87</v>
      </c>
      <c r="T131" s="14" t="s">
        <v>88</v>
      </c>
      <c r="U131" s="14" t="s">
        <v>89</v>
      </c>
      <c r="V131" s="15">
        <v>43939</v>
      </c>
      <c r="W131" s="15"/>
      <c r="X131" s="16" t="s">
        <v>237</v>
      </c>
      <c r="Y131" s="17" t="s">
        <v>233</v>
      </c>
      <c r="Z131" s="18" t="str">
        <f>VLOOKUP(Y131,'Axe 2 Règles de gestion'!$D$2:$F$41,3, FALSE)</f>
        <v>L'agent est affecté dans le cadre d'une réorganisation de service.</v>
      </c>
      <c r="AA131" s="17"/>
      <c r="AB131" s="18"/>
      <c r="AC131" s="17"/>
      <c r="AD131" s="18"/>
      <c r="AE131" s="17"/>
      <c r="AF131" s="18"/>
      <c r="AG131" s="17"/>
      <c r="AH131" s="18"/>
      <c r="AI131" s="17"/>
      <c r="AJ131" s="18"/>
      <c r="AK131" s="17"/>
      <c r="AL131" s="18"/>
      <c r="AM131" s="17"/>
      <c r="AN131" s="18"/>
      <c r="AO131" s="17"/>
      <c r="AP131" s="18"/>
      <c r="AQ131" s="17"/>
      <c r="AR131" s="18"/>
      <c r="AS131" s="17"/>
      <c r="AT131" s="18"/>
      <c r="AU131" s="17" t="s">
        <v>111</v>
      </c>
      <c r="AV131" s="18" t="str">
        <f>VLOOKUP(AU131,'Axe 2 Règles de gestion'!$D$2:$F$41,3, FALSE)</f>
        <v>La date de début de position doit être antérieure ou égale à la date de fin réelle de position.</v>
      </c>
      <c r="AW131" s="17" t="s">
        <v>113</v>
      </c>
      <c r="AX131" s="18" t="str">
        <f>VLOOKUP(AW131,'Axe 2 Règles de gestion'!$D$2:$F$41,3, FALSE)</f>
        <v>La date de début de position doit être antérieure ou égale à la date de fin prévisionnelle de position.</v>
      </c>
      <c r="AY131" s="17" t="s">
        <v>115</v>
      </c>
      <c r="AZ131" s="18" t="str">
        <f>VLOOKUP(AY131,'Axe 2 Règles de gestion'!$D$2:$F$41,3, FALSE)</f>
        <v>La date de fin réelle de la position doit être antérieure à la date limite de départ à la retraite.</v>
      </c>
      <c r="BA131" s="17" t="s">
        <v>117</v>
      </c>
      <c r="BB131" s="18" t="str">
        <f>VLOOKUP(BA131,'Axe 2 Règles de gestion'!$D$2:$F$41,3, FALSE)</f>
        <v>La date de fin prévisionnelle de la position doit être antérieure à la date limite de départ à la retraite.</v>
      </c>
      <c r="BC131" s="17" t="s">
        <v>119</v>
      </c>
      <c r="BD131" s="18" t="str">
        <f>VLOOKUP(BC131,'Axe 2 Règles de gestion'!$D$2:$F$41,3, FALSE)</f>
        <v>Les champs "Type d'organisme d'origine", "Catégorie statutaire d'origine" et "Pays" de l'organisme d'origine doivent être renseignés.</v>
      </c>
      <c r="BE131" s="17" t="s">
        <v>121</v>
      </c>
      <c r="BF131" s="18" t="str">
        <f>VLOOKUP(BE131,'Axe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31" s="17" t="s">
        <v>123</v>
      </c>
      <c r="BH131" s="18" t="str">
        <f>VLOOKUP(BG131,'Axe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31" s="17" t="s">
        <v>125</v>
      </c>
      <c r="BJ131" s="18" t="str">
        <f>VLOOKUP(BI131,'Axe 2 Règles de gestion'!$D$2:$F$41,3, FALSE)</f>
        <v>Le champ "Code emploi statutaire FPT (NET)" est renseigné si le "Type d'organisme d'origine" est valorisé à FPT.</v>
      </c>
      <c r="BK131" s="17" t="s">
        <v>127</v>
      </c>
      <c r="BL131" s="18" t="str">
        <f>VLOOKUP(BK131,'Axe 2 Règles de gestion'!$D$2:$F$41,3, FALSE)</f>
        <v>Le champ "Code emploi statutaire FPH (NEH)" est renseigné si le "Type d'organisme d'origine" est valorisé à FPH.</v>
      </c>
      <c r="BM131" s="17"/>
      <c r="BN131" s="18"/>
      <c r="BO131" s="17"/>
      <c r="BP131" s="18"/>
      <c r="BQ131" s="14" t="s">
        <v>84</v>
      </c>
      <c r="BR131" s="16" t="s">
        <v>84</v>
      </c>
    </row>
    <row r="132" spans="1:70" ht="75" x14ac:dyDescent="0.25">
      <c r="A132" s="14" t="s">
        <v>225</v>
      </c>
      <c r="B132" s="14" t="s">
        <v>129</v>
      </c>
      <c r="C132" s="15">
        <v>45084.615972222222</v>
      </c>
      <c r="D132" s="14" t="s">
        <v>73</v>
      </c>
      <c r="E132" s="16" t="s">
        <v>74</v>
      </c>
      <c r="F132" s="14" t="s">
        <v>75</v>
      </c>
      <c r="G132" s="16" t="s">
        <v>76</v>
      </c>
      <c r="H132" s="14" t="s">
        <v>246</v>
      </c>
      <c r="I132" s="16" t="s">
        <v>247</v>
      </c>
      <c r="J132" s="16" t="s">
        <v>248</v>
      </c>
      <c r="K132" s="16" t="s">
        <v>249</v>
      </c>
      <c r="L132" s="14" t="s">
        <v>250</v>
      </c>
      <c r="M132" s="16" t="s">
        <v>251</v>
      </c>
      <c r="N132" s="14" t="s">
        <v>83</v>
      </c>
      <c r="O132" s="16" t="s">
        <v>84</v>
      </c>
      <c r="P132" s="16" t="s">
        <v>84</v>
      </c>
      <c r="Q132" s="16" t="s">
        <v>138</v>
      </c>
      <c r="R132" s="14" t="s">
        <v>139</v>
      </c>
      <c r="S132" s="14" t="s">
        <v>72</v>
      </c>
      <c r="T132" s="14" t="s">
        <v>88</v>
      </c>
      <c r="U132" s="14" t="s">
        <v>140</v>
      </c>
      <c r="V132" s="15">
        <v>43939</v>
      </c>
      <c r="W132" s="15"/>
      <c r="X132" s="16" t="s">
        <v>84</v>
      </c>
      <c r="Y132" s="17"/>
      <c r="Z132" s="18"/>
      <c r="AA132" s="17"/>
      <c r="AB132" s="18"/>
      <c r="AC132" s="17"/>
      <c r="AD132" s="18"/>
      <c r="AE132" s="17"/>
      <c r="AF132" s="18"/>
      <c r="AG132" s="17"/>
      <c r="AH132" s="18"/>
      <c r="AI132" s="17"/>
      <c r="AJ132" s="18"/>
      <c r="AK132" s="17"/>
      <c r="AL132" s="18"/>
      <c r="AM132" s="17"/>
      <c r="AN132" s="18"/>
      <c r="AO132" s="17"/>
      <c r="AP132" s="18"/>
      <c r="AQ132" s="17"/>
      <c r="AR132" s="18"/>
      <c r="AS132" s="17"/>
      <c r="AT132" s="18"/>
      <c r="AU132" s="17"/>
      <c r="AV132" s="18"/>
      <c r="AW132" s="17"/>
      <c r="AX132" s="18"/>
      <c r="AY132" s="17"/>
      <c r="AZ132" s="18"/>
      <c r="BA132" s="17"/>
      <c r="BB132" s="18"/>
      <c r="BC132" s="17"/>
      <c r="BD132" s="18"/>
      <c r="BE132" s="17"/>
      <c r="BF132" s="18"/>
      <c r="BG132" s="17"/>
      <c r="BH132" s="18"/>
      <c r="BI132" s="17"/>
      <c r="BJ132" s="18"/>
      <c r="BK132" s="17"/>
      <c r="BL132" s="18"/>
      <c r="BM132" s="17"/>
      <c r="BN132" s="18"/>
      <c r="BO132" s="17"/>
      <c r="BP132" s="18"/>
      <c r="BQ132" s="14" t="s">
        <v>84</v>
      </c>
      <c r="BR132" s="16" t="s">
        <v>84</v>
      </c>
    </row>
    <row r="133" spans="1:70" ht="75" x14ac:dyDescent="0.25">
      <c r="A133" s="14" t="s">
        <v>225</v>
      </c>
      <c r="B133" s="14" t="s">
        <v>129</v>
      </c>
      <c r="C133" s="15">
        <v>45084.613194444442</v>
      </c>
      <c r="D133" s="14" t="s">
        <v>73</v>
      </c>
      <c r="E133" s="16" t="s">
        <v>74</v>
      </c>
      <c r="F133" s="14" t="s">
        <v>75</v>
      </c>
      <c r="G133" s="16" t="s">
        <v>76</v>
      </c>
      <c r="H133" s="14" t="s">
        <v>246</v>
      </c>
      <c r="I133" s="16" t="s">
        <v>247</v>
      </c>
      <c r="J133" s="16" t="s">
        <v>248</v>
      </c>
      <c r="K133" s="16" t="s">
        <v>249</v>
      </c>
      <c r="L133" s="14" t="s">
        <v>252</v>
      </c>
      <c r="M133" s="16" t="s">
        <v>253</v>
      </c>
      <c r="N133" s="14" t="s">
        <v>136</v>
      </c>
      <c r="O133" s="16" t="s">
        <v>84</v>
      </c>
      <c r="P133" s="16" t="s">
        <v>84</v>
      </c>
      <c r="Q133" s="16" t="s">
        <v>138</v>
      </c>
      <c r="R133" s="14" t="s">
        <v>139</v>
      </c>
      <c r="S133" s="14" t="s">
        <v>72</v>
      </c>
      <c r="T133" s="14" t="s">
        <v>88</v>
      </c>
      <c r="U133" s="14" t="s">
        <v>140</v>
      </c>
      <c r="V133" s="15">
        <v>43939</v>
      </c>
      <c r="W133" s="15"/>
      <c r="X133" s="16" t="s">
        <v>84</v>
      </c>
      <c r="Y133" s="17"/>
      <c r="Z133" s="18"/>
      <c r="AA133" s="17"/>
      <c r="AB133" s="18"/>
      <c r="AC133" s="17"/>
      <c r="AD133" s="18"/>
      <c r="AE133" s="17"/>
      <c r="AF133" s="18"/>
      <c r="AG133" s="17"/>
      <c r="AH133" s="18"/>
      <c r="AI133" s="17"/>
      <c r="AJ133" s="18"/>
      <c r="AK133" s="17"/>
      <c r="AL133" s="18"/>
      <c r="AM133" s="17"/>
      <c r="AN133" s="18"/>
      <c r="AO133" s="17"/>
      <c r="AP133" s="18"/>
      <c r="AQ133" s="17"/>
      <c r="AR133" s="18"/>
      <c r="AS133" s="17"/>
      <c r="AT133" s="18"/>
      <c r="AU133" s="17"/>
      <c r="AV133" s="18"/>
      <c r="AW133" s="17"/>
      <c r="AX133" s="18"/>
      <c r="AY133" s="17"/>
      <c r="AZ133" s="18"/>
      <c r="BA133" s="17"/>
      <c r="BB133" s="18"/>
      <c r="BC133" s="17"/>
      <c r="BD133" s="18"/>
      <c r="BE133" s="17"/>
      <c r="BF133" s="18"/>
      <c r="BG133" s="17"/>
      <c r="BH133" s="18"/>
      <c r="BI133" s="17"/>
      <c r="BJ133" s="18"/>
      <c r="BK133" s="17"/>
      <c r="BL133" s="18"/>
      <c r="BM133" s="17"/>
      <c r="BN133" s="18"/>
      <c r="BO133" s="17"/>
      <c r="BP133" s="18"/>
      <c r="BQ133" s="14" t="s">
        <v>84</v>
      </c>
      <c r="BR133" s="16" t="s">
        <v>84</v>
      </c>
    </row>
    <row r="134" spans="1:70" ht="75" x14ac:dyDescent="0.25">
      <c r="A134" s="14" t="s">
        <v>225</v>
      </c>
      <c r="B134" s="14" t="s">
        <v>129</v>
      </c>
      <c r="C134" s="15">
        <v>45084.615277777775</v>
      </c>
      <c r="D134" s="14" t="s">
        <v>73</v>
      </c>
      <c r="E134" s="16" t="s">
        <v>74</v>
      </c>
      <c r="F134" s="14" t="s">
        <v>75</v>
      </c>
      <c r="G134" s="16" t="s">
        <v>76</v>
      </c>
      <c r="H134" s="14" t="s">
        <v>246</v>
      </c>
      <c r="I134" s="16" t="s">
        <v>247</v>
      </c>
      <c r="J134" s="16" t="s">
        <v>248</v>
      </c>
      <c r="K134" s="16" t="s">
        <v>249</v>
      </c>
      <c r="L134" s="14" t="s">
        <v>250</v>
      </c>
      <c r="M134" s="16" t="s">
        <v>251</v>
      </c>
      <c r="N134" s="14" t="s">
        <v>83</v>
      </c>
      <c r="O134" s="16" t="s">
        <v>84</v>
      </c>
      <c r="P134" s="16" t="s">
        <v>84</v>
      </c>
      <c r="Q134" s="16" t="s">
        <v>141</v>
      </c>
      <c r="R134" s="14" t="s">
        <v>142</v>
      </c>
      <c r="S134" s="14" t="s">
        <v>143</v>
      </c>
      <c r="T134" s="14" t="s">
        <v>88</v>
      </c>
      <c r="U134" s="14" t="s">
        <v>140</v>
      </c>
      <c r="V134" s="15">
        <v>43939</v>
      </c>
      <c r="W134" s="15"/>
      <c r="X134" s="16" t="s">
        <v>84</v>
      </c>
      <c r="Y134" s="17"/>
      <c r="Z134" s="18"/>
      <c r="AA134" s="17"/>
      <c r="AB134" s="18"/>
      <c r="AC134" s="17"/>
      <c r="AD134" s="18"/>
      <c r="AE134" s="17"/>
      <c r="AF134" s="18"/>
      <c r="AG134" s="17"/>
      <c r="AH134" s="18"/>
      <c r="AI134" s="17"/>
      <c r="AJ134" s="18"/>
      <c r="AK134" s="17"/>
      <c r="AL134" s="18"/>
      <c r="AM134" s="17"/>
      <c r="AN134" s="18"/>
      <c r="AO134" s="17"/>
      <c r="AP134" s="18"/>
      <c r="AQ134" s="17"/>
      <c r="AR134" s="18"/>
      <c r="AS134" s="17"/>
      <c r="AT134" s="18"/>
      <c r="AU134" s="17"/>
      <c r="AV134" s="18"/>
      <c r="AW134" s="17"/>
      <c r="AX134" s="18"/>
      <c r="AY134" s="17"/>
      <c r="AZ134" s="18"/>
      <c r="BA134" s="17"/>
      <c r="BB134" s="18"/>
      <c r="BC134" s="17"/>
      <c r="BD134" s="18"/>
      <c r="BE134" s="17"/>
      <c r="BF134" s="18"/>
      <c r="BG134" s="17"/>
      <c r="BH134" s="18"/>
      <c r="BI134" s="17"/>
      <c r="BJ134" s="18"/>
      <c r="BK134" s="17"/>
      <c r="BL134" s="18"/>
      <c r="BM134" s="17"/>
      <c r="BN134" s="18"/>
      <c r="BO134" s="17"/>
      <c r="BP134" s="18"/>
      <c r="BQ134" s="14" t="s">
        <v>84</v>
      </c>
      <c r="BR134" s="16" t="s">
        <v>84</v>
      </c>
    </row>
    <row r="135" spans="1:70" ht="75" x14ac:dyDescent="0.25">
      <c r="A135" s="14" t="s">
        <v>225</v>
      </c>
      <c r="B135" s="14" t="s">
        <v>129</v>
      </c>
      <c r="C135" s="15">
        <v>45084.613194444442</v>
      </c>
      <c r="D135" s="14" t="s">
        <v>73</v>
      </c>
      <c r="E135" s="16" t="s">
        <v>74</v>
      </c>
      <c r="F135" s="14" t="s">
        <v>75</v>
      </c>
      <c r="G135" s="16" t="s">
        <v>76</v>
      </c>
      <c r="H135" s="14" t="s">
        <v>246</v>
      </c>
      <c r="I135" s="16" t="s">
        <v>247</v>
      </c>
      <c r="J135" s="16" t="s">
        <v>248</v>
      </c>
      <c r="K135" s="16" t="s">
        <v>249</v>
      </c>
      <c r="L135" s="14" t="s">
        <v>252</v>
      </c>
      <c r="M135" s="16" t="s">
        <v>253</v>
      </c>
      <c r="N135" s="14" t="s">
        <v>136</v>
      </c>
      <c r="O135" s="16" t="s">
        <v>84</v>
      </c>
      <c r="P135" s="16" t="s">
        <v>84</v>
      </c>
      <c r="Q135" s="16" t="s">
        <v>141</v>
      </c>
      <c r="R135" s="14" t="s">
        <v>142</v>
      </c>
      <c r="S135" s="14" t="s">
        <v>143</v>
      </c>
      <c r="T135" s="14" t="s">
        <v>88</v>
      </c>
      <c r="U135" s="14" t="s">
        <v>140</v>
      </c>
      <c r="V135" s="15">
        <v>43939</v>
      </c>
      <c r="W135" s="15"/>
      <c r="X135" s="16" t="s">
        <v>84</v>
      </c>
      <c r="Y135" s="17"/>
      <c r="Z135" s="18"/>
      <c r="AA135" s="17"/>
      <c r="AB135" s="18"/>
      <c r="AC135" s="17"/>
      <c r="AD135" s="18"/>
      <c r="AE135" s="17"/>
      <c r="AF135" s="18"/>
      <c r="AG135" s="17"/>
      <c r="AH135" s="18"/>
      <c r="AI135" s="17"/>
      <c r="AJ135" s="18"/>
      <c r="AK135" s="17"/>
      <c r="AL135" s="18"/>
      <c r="AM135" s="17"/>
      <c r="AN135" s="18"/>
      <c r="AO135" s="17"/>
      <c r="AP135" s="18"/>
      <c r="AQ135" s="17"/>
      <c r="AR135" s="18"/>
      <c r="AS135" s="17"/>
      <c r="AT135" s="18"/>
      <c r="AU135" s="17"/>
      <c r="AV135" s="18"/>
      <c r="AW135" s="17"/>
      <c r="AX135" s="18"/>
      <c r="AY135" s="17"/>
      <c r="AZ135" s="18"/>
      <c r="BA135" s="17"/>
      <c r="BB135" s="18"/>
      <c r="BC135" s="17"/>
      <c r="BD135" s="18"/>
      <c r="BE135" s="17"/>
      <c r="BF135" s="18"/>
      <c r="BG135" s="17"/>
      <c r="BH135" s="18"/>
      <c r="BI135" s="17"/>
      <c r="BJ135" s="18"/>
      <c r="BK135" s="17"/>
      <c r="BL135" s="18"/>
      <c r="BM135" s="17"/>
      <c r="BN135" s="18"/>
      <c r="BO135" s="17"/>
      <c r="BP135" s="18"/>
      <c r="BQ135" s="14" t="s">
        <v>84</v>
      </c>
      <c r="BR135" s="16" t="s">
        <v>84</v>
      </c>
    </row>
    <row r="136" spans="1:70" ht="135" x14ac:dyDescent="0.25">
      <c r="A136" s="14" t="s">
        <v>225</v>
      </c>
      <c r="B136" s="14" t="s">
        <v>129</v>
      </c>
      <c r="C136" s="15">
        <v>45084.615277777775</v>
      </c>
      <c r="D136" s="14" t="s">
        <v>73</v>
      </c>
      <c r="E136" s="16" t="s">
        <v>74</v>
      </c>
      <c r="F136" s="14" t="s">
        <v>75</v>
      </c>
      <c r="G136" s="16" t="s">
        <v>76</v>
      </c>
      <c r="H136" s="14" t="s">
        <v>246</v>
      </c>
      <c r="I136" s="16" t="s">
        <v>247</v>
      </c>
      <c r="J136" s="16" t="s">
        <v>248</v>
      </c>
      <c r="K136" s="16" t="s">
        <v>249</v>
      </c>
      <c r="L136" s="14" t="s">
        <v>250</v>
      </c>
      <c r="M136" s="16" t="s">
        <v>251</v>
      </c>
      <c r="N136" s="14" t="s">
        <v>83</v>
      </c>
      <c r="O136" s="16" t="s">
        <v>84</v>
      </c>
      <c r="P136" s="16" t="s">
        <v>84</v>
      </c>
      <c r="Q136" s="16" t="s">
        <v>144</v>
      </c>
      <c r="R136" s="14" t="s">
        <v>145</v>
      </c>
      <c r="S136" s="14" t="s">
        <v>146</v>
      </c>
      <c r="T136" s="14" t="s">
        <v>88</v>
      </c>
      <c r="U136" s="14" t="s">
        <v>89</v>
      </c>
      <c r="V136" s="15">
        <v>43939</v>
      </c>
      <c r="W136" s="15"/>
      <c r="X136" s="16" t="s">
        <v>232</v>
      </c>
      <c r="Y136" s="17" t="s">
        <v>233</v>
      </c>
      <c r="Z136" s="18" t="str">
        <f>VLOOKUP(Y136,'Axe 2 Règles de gestion'!$D$2:$F$41,3, FALSE)</f>
        <v>L'agent est affecté dans le cadre d'une réorganisation de service.</v>
      </c>
      <c r="AA136" s="17"/>
      <c r="AB136" s="18"/>
      <c r="AC136" s="17"/>
      <c r="AD136" s="18"/>
      <c r="AE136" s="17"/>
      <c r="AF136" s="18"/>
      <c r="AG136" s="17"/>
      <c r="AH136" s="18"/>
      <c r="AI136" s="17"/>
      <c r="AJ136" s="18"/>
      <c r="AK136" s="17"/>
      <c r="AL136" s="18"/>
      <c r="AM136" s="17"/>
      <c r="AN136" s="18"/>
      <c r="AO136" s="17"/>
      <c r="AP136" s="18"/>
      <c r="AQ136" s="17"/>
      <c r="AR136" s="18"/>
      <c r="AS136" s="17"/>
      <c r="AT136" s="18"/>
      <c r="AU136" s="17" t="s">
        <v>107</v>
      </c>
      <c r="AV136" s="18" t="str">
        <f>VLOOKUP(AU136,'Axe 2 Règles de gestion'!$D$2:$F$41,3, FALSE)</f>
        <v>La date de début de la position doit être postérieure ou égale à la date d'entrée dans la FPE ou dans la carrière militaire.</v>
      </c>
      <c r="AW136" s="17" t="s">
        <v>109</v>
      </c>
      <c r="AX136" s="18" t="str">
        <f>VLOOKUP(AW136,'Axe 2 Règles de gestion'!$D$2:$F$41,3, FALSE)</f>
        <v>La date de début de position est à J+1 de la date de fin de position de l'occurrence précédente.</v>
      </c>
      <c r="AY136" s="17" t="s">
        <v>111</v>
      </c>
      <c r="AZ136" s="18" t="str">
        <f>VLOOKUP(AY136,'Axe 2 Règles de gestion'!$D$2:$F$41,3, FALSE)</f>
        <v>La date de début de position doit être antérieure ou égale à la date de fin réelle de position.</v>
      </c>
      <c r="BA136" s="17" t="s">
        <v>113</v>
      </c>
      <c r="BB136" s="18" t="str">
        <f>VLOOKUP(BA136,'Axe 2 Règles de gestion'!$D$2:$F$41,3, FALSE)</f>
        <v>La date de début de position doit être antérieure ou égale à la date de fin prévisionnelle de position.</v>
      </c>
      <c r="BC136" s="17" t="s">
        <v>115</v>
      </c>
      <c r="BD136" s="18" t="str">
        <f>VLOOKUP(BC136,'Axe 2 Règles de gestion'!$D$2:$F$41,3, FALSE)</f>
        <v>La date de fin réelle de la position doit être antérieure à la date limite de départ à la retraite.</v>
      </c>
      <c r="BE136" s="17" t="s">
        <v>117</v>
      </c>
      <c r="BF136" s="18" t="str">
        <f>VLOOKUP(BE136,'Axe 2 Règles de gestion'!$D$2:$F$41,3, FALSE)</f>
        <v>La date de fin prévisionnelle de la position doit être antérieure à la date limite de départ à la retraite.</v>
      </c>
      <c r="BG136" s="17" t="s">
        <v>119</v>
      </c>
      <c r="BH136" s="18" t="str">
        <f>VLOOKUP(BG136,'Axe 2 Règles de gestion'!$D$2:$F$41,3, FALSE)</f>
        <v>Les champs "Type d'organisme d'origine", "Catégorie statutaire d'origine" et "Pays" de l'organisme d'origine doivent être renseignés.</v>
      </c>
      <c r="BI136" s="17" t="s">
        <v>121</v>
      </c>
      <c r="BJ136" s="18" t="str">
        <f>VLOOKUP(BI136,'Axe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36" s="17" t="s">
        <v>123</v>
      </c>
      <c r="BL136" s="18" t="str">
        <f>VLOOKUP(BK136,'Axe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36" s="17" t="s">
        <v>125</v>
      </c>
      <c r="BN136" s="18" t="str">
        <f>VLOOKUP(BM136,'Axe 2 Règles de gestion'!$D$2:$F$41,3, FALSE)</f>
        <v>Le champ "Code emploi statutaire FPT (NET)" est renseigné si le "Type d'organisme d'origine" est valorisé à FPT.</v>
      </c>
      <c r="BO136" s="17" t="s">
        <v>127</v>
      </c>
      <c r="BP136" s="18" t="str">
        <f>VLOOKUP(BO136,'Axe 2 Règles de gestion'!$D$2:$F$41,3, FALSE)</f>
        <v>Le champ "Code emploi statutaire FPH (NEH)" est renseigné si le "Type d'organisme d'origine" est valorisé à FPH.</v>
      </c>
      <c r="BQ136" s="14" t="s">
        <v>84</v>
      </c>
      <c r="BR136" s="16" t="s">
        <v>84</v>
      </c>
    </row>
    <row r="137" spans="1:70" ht="135" x14ac:dyDescent="0.25">
      <c r="A137" s="14" t="s">
        <v>225</v>
      </c>
      <c r="B137" s="14" t="s">
        <v>129</v>
      </c>
      <c r="C137" s="15">
        <v>45084.612500000003</v>
      </c>
      <c r="D137" s="14" t="s">
        <v>73</v>
      </c>
      <c r="E137" s="16" t="s">
        <v>74</v>
      </c>
      <c r="F137" s="14" t="s">
        <v>75</v>
      </c>
      <c r="G137" s="16" t="s">
        <v>76</v>
      </c>
      <c r="H137" s="14" t="s">
        <v>246</v>
      </c>
      <c r="I137" s="16" t="s">
        <v>247</v>
      </c>
      <c r="J137" s="16" t="s">
        <v>248</v>
      </c>
      <c r="K137" s="16" t="s">
        <v>249</v>
      </c>
      <c r="L137" s="14" t="s">
        <v>252</v>
      </c>
      <c r="M137" s="16" t="s">
        <v>253</v>
      </c>
      <c r="N137" s="14" t="s">
        <v>136</v>
      </c>
      <c r="O137" s="16" t="s">
        <v>84</v>
      </c>
      <c r="P137" s="16" t="s">
        <v>84</v>
      </c>
      <c r="Q137" s="16" t="s">
        <v>144</v>
      </c>
      <c r="R137" s="14" t="s">
        <v>145</v>
      </c>
      <c r="S137" s="14" t="s">
        <v>146</v>
      </c>
      <c r="T137" s="14" t="s">
        <v>88</v>
      </c>
      <c r="U137" s="14" t="s">
        <v>89</v>
      </c>
      <c r="V137" s="15">
        <v>43939</v>
      </c>
      <c r="W137" s="15"/>
      <c r="X137" s="16" t="s">
        <v>237</v>
      </c>
      <c r="Y137" s="17" t="s">
        <v>233</v>
      </c>
      <c r="Z137" s="18" t="str">
        <f>VLOOKUP(Y137,'Axe 2 Règles de gestion'!$D$2:$F$41,3, FALSE)</f>
        <v>L'agent est affecté dans le cadre d'une réorganisation de service.</v>
      </c>
      <c r="AA137" s="17"/>
      <c r="AB137" s="18"/>
      <c r="AC137" s="17"/>
      <c r="AD137" s="18"/>
      <c r="AE137" s="17"/>
      <c r="AF137" s="18"/>
      <c r="AG137" s="17"/>
      <c r="AH137" s="18"/>
      <c r="AI137" s="17"/>
      <c r="AJ137" s="18"/>
      <c r="AK137" s="17"/>
      <c r="AL137" s="18"/>
      <c r="AM137" s="17"/>
      <c r="AN137" s="18"/>
      <c r="AO137" s="17"/>
      <c r="AP137" s="18"/>
      <c r="AQ137" s="17"/>
      <c r="AR137" s="18"/>
      <c r="AS137" s="17"/>
      <c r="AT137" s="18"/>
      <c r="AU137" s="17" t="s">
        <v>111</v>
      </c>
      <c r="AV137" s="18" t="str">
        <f>VLOOKUP(AU137,'Axe 2 Règles de gestion'!$D$2:$F$41,3, FALSE)</f>
        <v>La date de début de position doit être antérieure ou égale à la date de fin réelle de position.</v>
      </c>
      <c r="AW137" s="17" t="s">
        <v>113</v>
      </c>
      <c r="AX137" s="18" t="str">
        <f>VLOOKUP(AW137,'Axe 2 Règles de gestion'!$D$2:$F$41,3, FALSE)</f>
        <v>La date de début de position doit être antérieure ou égale à la date de fin prévisionnelle de position.</v>
      </c>
      <c r="AY137" s="17" t="s">
        <v>115</v>
      </c>
      <c r="AZ137" s="18" t="str">
        <f>VLOOKUP(AY137,'Axe 2 Règles de gestion'!$D$2:$F$41,3, FALSE)</f>
        <v>La date de fin réelle de la position doit être antérieure à la date limite de départ à la retraite.</v>
      </c>
      <c r="BA137" s="17" t="s">
        <v>117</v>
      </c>
      <c r="BB137" s="18" t="str">
        <f>VLOOKUP(BA137,'Axe 2 Règles de gestion'!$D$2:$F$41,3, FALSE)</f>
        <v>La date de fin prévisionnelle de la position doit être antérieure à la date limite de départ à la retraite.</v>
      </c>
      <c r="BC137" s="17" t="s">
        <v>119</v>
      </c>
      <c r="BD137" s="18" t="str">
        <f>VLOOKUP(BC137,'Axe 2 Règles de gestion'!$D$2:$F$41,3, FALSE)</f>
        <v>Les champs "Type d'organisme d'origine", "Catégorie statutaire d'origine" et "Pays" de l'organisme d'origine doivent être renseignés.</v>
      </c>
      <c r="BE137" s="17" t="s">
        <v>121</v>
      </c>
      <c r="BF137" s="18" t="str">
        <f>VLOOKUP(BE137,'Axe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G137" s="17" t="s">
        <v>123</v>
      </c>
      <c r="BH137" s="18" t="str">
        <f>VLOOKUP(BG137,'Axe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I137" s="17" t="s">
        <v>125</v>
      </c>
      <c r="BJ137" s="18" t="str">
        <f>VLOOKUP(BI137,'Axe 2 Règles de gestion'!$D$2:$F$41,3, FALSE)</f>
        <v>Le champ "Code emploi statutaire FPT (NET)" est renseigné si le "Type d'organisme d'origine" est valorisé à FPT.</v>
      </c>
      <c r="BK137" s="17" t="s">
        <v>127</v>
      </c>
      <c r="BL137" s="18" t="str">
        <f>VLOOKUP(BK137,'Axe 2 Règles de gestion'!$D$2:$F$41,3, FALSE)</f>
        <v>Le champ "Code emploi statutaire FPH (NEH)" est renseigné si le "Type d'organisme d'origine" est valorisé à FPH.</v>
      </c>
      <c r="BM137" s="17"/>
      <c r="BN137" s="18"/>
      <c r="BO137" s="17"/>
      <c r="BP137" s="18"/>
      <c r="BQ137" s="14" t="s">
        <v>84</v>
      </c>
      <c r="BR137" s="16" t="s">
        <v>84</v>
      </c>
    </row>
    <row r="138" spans="1:70" ht="75" x14ac:dyDescent="0.25">
      <c r="A138" s="14" t="s">
        <v>225</v>
      </c>
      <c r="B138" s="14" t="s">
        <v>129</v>
      </c>
      <c r="C138" s="15">
        <v>45084.615972222222</v>
      </c>
      <c r="D138" s="14" t="s">
        <v>73</v>
      </c>
      <c r="E138" s="16" t="s">
        <v>74</v>
      </c>
      <c r="F138" s="14" t="s">
        <v>75</v>
      </c>
      <c r="G138" s="16" t="s">
        <v>76</v>
      </c>
      <c r="H138" s="14" t="s">
        <v>246</v>
      </c>
      <c r="I138" s="16" t="s">
        <v>247</v>
      </c>
      <c r="J138" s="16" t="s">
        <v>248</v>
      </c>
      <c r="K138" s="16" t="s">
        <v>249</v>
      </c>
      <c r="L138" s="14" t="s">
        <v>250</v>
      </c>
      <c r="M138" s="16" t="s">
        <v>251</v>
      </c>
      <c r="N138" s="14" t="s">
        <v>83</v>
      </c>
      <c r="O138" s="16" t="s">
        <v>84</v>
      </c>
      <c r="P138" s="16" t="s">
        <v>84</v>
      </c>
      <c r="Q138" s="16" t="s">
        <v>148</v>
      </c>
      <c r="R138" s="14" t="s">
        <v>149</v>
      </c>
      <c r="S138" s="14" t="s">
        <v>150</v>
      </c>
      <c r="T138" s="14" t="s">
        <v>88</v>
      </c>
      <c r="U138" s="14" t="s">
        <v>140</v>
      </c>
      <c r="V138" s="15">
        <v>43939</v>
      </c>
      <c r="W138" s="15"/>
      <c r="X138" s="16" t="s">
        <v>84</v>
      </c>
      <c r="Y138" s="17"/>
      <c r="Z138" s="18"/>
      <c r="AA138" s="17"/>
      <c r="AB138" s="18"/>
      <c r="AC138" s="17"/>
      <c r="AD138" s="18"/>
      <c r="AE138" s="17"/>
      <c r="AF138" s="18"/>
      <c r="AG138" s="17"/>
      <c r="AH138" s="18"/>
      <c r="AI138" s="17"/>
      <c r="AJ138" s="18"/>
      <c r="AK138" s="17"/>
      <c r="AL138" s="18"/>
      <c r="AM138" s="17"/>
      <c r="AN138" s="18"/>
      <c r="AO138" s="17"/>
      <c r="AP138" s="18"/>
      <c r="AQ138" s="17"/>
      <c r="AR138" s="18"/>
      <c r="AS138" s="17"/>
      <c r="AT138" s="18"/>
      <c r="AU138" s="17"/>
      <c r="AV138" s="18"/>
      <c r="AW138" s="17"/>
      <c r="AX138" s="18"/>
      <c r="AY138" s="17"/>
      <c r="AZ138" s="18"/>
      <c r="BA138" s="17"/>
      <c r="BB138" s="18"/>
      <c r="BC138" s="17"/>
      <c r="BD138" s="18"/>
      <c r="BE138" s="17"/>
      <c r="BF138" s="18"/>
      <c r="BG138" s="17"/>
      <c r="BH138" s="18"/>
      <c r="BI138" s="17"/>
      <c r="BJ138" s="18"/>
      <c r="BK138" s="17"/>
      <c r="BL138" s="18"/>
      <c r="BM138" s="17"/>
      <c r="BN138" s="18"/>
      <c r="BO138" s="17"/>
      <c r="BP138" s="18"/>
      <c r="BQ138" s="14" t="s">
        <v>84</v>
      </c>
      <c r="BR138" s="16" t="s">
        <v>84</v>
      </c>
    </row>
    <row r="139" spans="1:70" ht="75" x14ac:dyDescent="0.25">
      <c r="A139" s="14" t="s">
        <v>225</v>
      </c>
      <c r="B139" s="14" t="s">
        <v>129</v>
      </c>
      <c r="C139" s="15">
        <v>45084.613194444442</v>
      </c>
      <c r="D139" s="14" t="s">
        <v>73</v>
      </c>
      <c r="E139" s="16" t="s">
        <v>74</v>
      </c>
      <c r="F139" s="14" t="s">
        <v>75</v>
      </c>
      <c r="G139" s="16" t="s">
        <v>76</v>
      </c>
      <c r="H139" s="14" t="s">
        <v>246</v>
      </c>
      <c r="I139" s="16" t="s">
        <v>247</v>
      </c>
      <c r="J139" s="16" t="s">
        <v>248</v>
      </c>
      <c r="K139" s="16" t="s">
        <v>249</v>
      </c>
      <c r="L139" s="14" t="s">
        <v>252</v>
      </c>
      <c r="M139" s="16" t="s">
        <v>253</v>
      </c>
      <c r="N139" s="14" t="s">
        <v>136</v>
      </c>
      <c r="O139" s="16" t="s">
        <v>84</v>
      </c>
      <c r="P139" s="16" t="s">
        <v>84</v>
      </c>
      <c r="Q139" s="16" t="s">
        <v>148</v>
      </c>
      <c r="R139" s="14" t="s">
        <v>149</v>
      </c>
      <c r="S139" s="14" t="s">
        <v>150</v>
      </c>
      <c r="T139" s="14" t="s">
        <v>88</v>
      </c>
      <c r="U139" s="14" t="s">
        <v>140</v>
      </c>
      <c r="V139" s="15">
        <v>43939</v>
      </c>
      <c r="W139" s="15"/>
      <c r="X139" s="16" t="s">
        <v>84</v>
      </c>
      <c r="Y139" s="17"/>
      <c r="Z139" s="18"/>
      <c r="AA139" s="17"/>
      <c r="AB139" s="18"/>
      <c r="AC139" s="17"/>
      <c r="AD139" s="18"/>
      <c r="AE139" s="17"/>
      <c r="AF139" s="18"/>
      <c r="AG139" s="17"/>
      <c r="AH139" s="18"/>
      <c r="AI139" s="17"/>
      <c r="AJ139" s="18"/>
      <c r="AK139" s="17"/>
      <c r="AL139" s="18"/>
      <c r="AM139" s="17"/>
      <c r="AN139" s="18"/>
      <c r="AO139" s="17"/>
      <c r="AP139" s="18"/>
      <c r="AQ139" s="17"/>
      <c r="AR139" s="18"/>
      <c r="AS139" s="17"/>
      <c r="AT139" s="18"/>
      <c r="AU139" s="17"/>
      <c r="AV139" s="18"/>
      <c r="AW139" s="17"/>
      <c r="AX139" s="18"/>
      <c r="AY139" s="17"/>
      <c r="AZ139" s="18"/>
      <c r="BA139" s="17"/>
      <c r="BB139" s="18"/>
      <c r="BC139" s="17"/>
      <c r="BD139" s="18"/>
      <c r="BE139" s="17"/>
      <c r="BF139" s="18"/>
      <c r="BG139" s="17"/>
      <c r="BH139" s="18"/>
      <c r="BI139" s="17"/>
      <c r="BJ139" s="18"/>
      <c r="BK139" s="17"/>
      <c r="BL139" s="18"/>
      <c r="BM139" s="17"/>
      <c r="BN139" s="18"/>
      <c r="BO139" s="17"/>
      <c r="BP139" s="18"/>
      <c r="BQ139" s="14" t="s">
        <v>84</v>
      </c>
      <c r="BR139" s="16" t="s">
        <v>84</v>
      </c>
    </row>
    <row r="140" spans="1:70" s="31" customFormat="1" ht="165" x14ac:dyDescent="0.25">
      <c r="A140" s="26" t="s">
        <v>254</v>
      </c>
      <c r="B140" s="26" t="s">
        <v>129</v>
      </c>
      <c r="C140" s="27">
        <v>46101.674305555556</v>
      </c>
      <c r="D140" s="26" t="s">
        <v>73</v>
      </c>
      <c r="E140" s="28" t="s">
        <v>74</v>
      </c>
      <c r="F140" s="26" t="s">
        <v>75</v>
      </c>
      <c r="G140" s="28" t="s">
        <v>76</v>
      </c>
      <c r="H140" s="26" t="s">
        <v>255</v>
      </c>
      <c r="I140" s="28" t="s">
        <v>256</v>
      </c>
      <c r="J140" s="28" t="s">
        <v>257</v>
      </c>
      <c r="K140" s="28" t="s">
        <v>258</v>
      </c>
      <c r="L140" s="26" t="s">
        <v>259</v>
      </c>
      <c r="M140" s="28" t="s">
        <v>260</v>
      </c>
      <c r="N140" s="26" t="s">
        <v>178</v>
      </c>
      <c r="O140" s="28" t="s">
        <v>261</v>
      </c>
      <c r="P140" s="28" t="s">
        <v>262</v>
      </c>
      <c r="Q140" s="28" t="s">
        <v>85</v>
      </c>
      <c r="R140" s="26" t="s">
        <v>86</v>
      </c>
      <c r="S140" s="26" t="s">
        <v>87</v>
      </c>
      <c r="T140" s="26" t="s">
        <v>88</v>
      </c>
      <c r="U140" s="26" t="s">
        <v>89</v>
      </c>
      <c r="V140" s="27">
        <v>45658</v>
      </c>
      <c r="W140" s="27"/>
      <c r="X140" s="28" t="s">
        <v>263</v>
      </c>
      <c r="Y140" s="29" t="s">
        <v>91</v>
      </c>
      <c r="Z140" s="30" t="str">
        <f>VLOOKUP(Y140,'Axe 2 Règles de gestion'!$D$2:$F$41,3, FALSE)</f>
        <v>L'agent doit effectuer une demande.</v>
      </c>
      <c r="AA140" s="29" t="s">
        <v>93</v>
      </c>
      <c r="AB140" s="30" t="str">
        <f>VLOOKUP(AA140,'Axe 2 Règles de gestion'!$D$2:$F$41,3, FALSE)</f>
        <v>L'affectation intervient à l'initiative de l'agent ou de l'administration.</v>
      </c>
      <c r="AC140" s="29" t="s">
        <v>131</v>
      </c>
      <c r="AD140" s="30" t="str">
        <f>VLOOKUP(AC140,'Axe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140" s="29" t="s">
        <v>97</v>
      </c>
      <c r="AF140" s="30" t="str">
        <f>VLOOKUP(AE140,'Axe 2 Règles de gestion'!$D$2:$F$41,3, FALSE)</f>
        <v>Un avis conforme de l'administration d'accueil a préalablement été transmis à l'administration d'origine sauf dans le cadre d'un transfert de service.</v>
      </c>
      <c r="AG140" s="29" t="s">
        <v>99</v>
      </c>
      <c r="AH140" s="30" t="str">
        <f>VLOOKUP(AG140,'Axe 2 Règles de gestion'!$D$2:$F$41,3, FALSE)</f>
        <v>Lorsque l'affectation de l'agent est prononcée dans un établissement public, le ministère de tutelle en est préalablement informé.</v>
      </c>
      <c r="AI140" s="29" t="s">
        <v>103</v>
      </c>
      <c r="AJ140" s="30" t="str">
        <f>VLOOKUP(AI140,'Axe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140" s="29" t="s">
        <v>105</v>
      </c>
      <c r="AL140" s="30" t="str">
        <f>VLOOKUP(AK140,'Axe 2 Règles de gestion'!$D$2:$F$41,3, FALSE)</f>
        <v>Le silence de l'administration gardé pendant 2 mois à compter de la réception de la demande de l'agent vaut acceptation.</v>
      </c>
      <c r="AM140" s="29" t="s">
        <v>195</v>
      </c>
      <c r="AN140" s="30" t="str">
        <f>VLOOKUP(AM140,'Axe 2 Règles de gestion'!$D$2:$F$41,3, FALSE)</f>
        <v>Pour les positions normales d'activité prises avant le 18/04/2020, la limitation de durée ne s'applique pas.</v>
      </c>
      <c r="AO140" s="29" t="s">
        <v>264</v>
      </c>
      <c r="AP140" s="30" t="str">
        <f>VLOOKUP(AO140,'Axe 2 Règles de gestion'!$D$2:$F$41,3, FALSE)</f>
        <v>L'agent est affecté en position normale d'activité et payé par son administration d'origine sur les budgets de son administration d'accueil dans le cadre d'une convention de délégation de gestion.</v>
      </c>
      <c r="AQ140" s="29" t="s">
        <v>186</v>
      </c>
      <c r="AR140" s="30" t="str">
        <f>VLOOKUP(AQ140,'Axe 2 Règles de gestion'!$D$2:$F$41,3, FALSE)</f>
        <v>La durée prévisionnelle de l'affectation en position normale d'activité hors de l'administration d'origine est fixée à 3 ans.</v>
      </c>
      <c r="AS140" s="29" t="s">
        <v>188</v>
      </c>
      <c r="AT140" s="30" t="str">
        <f>VLOOKUP(AS140,'Axe 2 Règles de gestion'!$D$2:$F$41,3, FALSE)</f>
        <v>La durée réelle de l'affectation en position normale d'activité hors de l'administration d'origine est fixée à 3 ans.</v>
      </c>
      <c r="AU140" s="29" t="s">
        <v>107</v>
      </c>
      <c r="AV140" s="30" t="str">
        <f>VLOOKUP(AU140,'Axe 2 Règles de gestion'!$D$2:$F$41,3, FALSE)</f>
        <v>La date de début de la position doit être postérieure ou égale à la date d'entrée dans la FPE ou dans la carrière militaire.</v>
      </c>
      <c r="AW140" s="29" t="s">
        <v>109</v>
      </c>
      <c r="AX140" s="30" t="str">
        <f>VLOOKUP(AW140,'Axe 2 Règles de gestion'!$D$2:$F$41,3, FALSE)</f>
        <v>La date de début de position est à J+1 de la date de fin de position de l'occurrence précédente.</v>
      </c>
      <c r="AY140" s="29" t="s">
        <v>111</v>
      </c>
      <c r="AZ140" s="30" t="str">
        <f>VLOOKUP(AY140,'Axe 2 Règles de gestion'!$D$2:$F$41,3, FALSE)</f>
        <v>La date de début de position doit être antérieure ou égale à la date de fin réelle de position.</v>
      </c>
      <c r="BA140" s="29" t="s">
        <v>113</v>
      </c>
      <c r="BB140" s="30" t="str">
        <f>VLOOKUP(BA140,'Axe 2 Règles de gestion'!$D$2:$F$41,3, FALSE)</f>
        <v>La date de début de position doit être antérieure ou égale à la date de fin prévisionnelle de position.</v>
      </c>
      <c r="BC140" s="29" t="s">
        <v>115</v>
      </c>
      <c r="BD140" s="30" t="str">
        <f>VLOOKUP(BC140,'Axe 2 Règles de gestion'!$D$2:$F$41,3, FALSE)</f>
        <v>La date de fin réelle de la position doit être antérieure à la date limite de départ à la retraite.</v>
      </c>
      <c r="BE140" s="29" t="s">
        <v>117</v>
      </c>
      <c r="BF140" s="30" t="str">
        <f>VLOOKUP(BE140,'Axe 2 Règles de gestion'!$D$2:$F$41,3, FALSE)</f>
        <v>La date de fin prévisionnelle de la position doit être antérieure à la date limite de départ à la retraite.</v>
      </c>
      <c r="BG140" s="29" t="s">
        <v>119</v>
      </c>
      <c r="BH140" s="30" t="str">
        <f>VLOOKUP(BG140,'Axe 2 Règles de gestion'!$D$2:$F$41,3, FALSE)</f>
        <v>Les champs "Type d'organisme d'origine", "Catégorie statutaire d'origine" et "Pays" de l'organisme d'origine doivent être renseignés.</v>
      </c>
      <c r="BI140" s="29" t="s">
        <v>121</v>
      </c>
      <c r="BJ140" s="30" t="str">
        <f>VLOOKUP(BI140,'Axe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40" s="29" t="s">
        <v>123</v>
      </c>
      <c r="BL140" s="30" t="str">
        <f>VLOOKUP(BK140,'Axe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40" s="29" t="s">
        <v>125</v>
      </c>
      <c r="BN140" s="30" t="str">
        <f>VLOOKUP(BM140,'Axe 2 Règles de gestion'!$D$2:$F$41,3, FALSE)</f>
        <v>Le champ "Code emploi statutaire FPT (NET)" est renseigné si le "Type d'organisme d'origine" est valorisé à FPT.</v>
      </c>
      <c r="BO140" s="29" t="s">
        <v>127</v>
      </c>
      <c r="BP140" s="30" t="str">
        <f>VLOOKUP(BO140,'Axe 2 Règles de gestion'!$D$2:$F$41,3, FALSE)</f>
        <v>Le champ "Code emploi statutaire FPH (NEH)" est renseigné si le "Type d'organisme d'origine" est valorisé à FPH.</v>
      </c>
      <c r="BQ140" s="26" t="s">
        <v>266</v>
      </c>
      <c r="BR140" s="28" t="s">
        <v>84</v>
      </c>
    </row>
    <row r="141" spans="1:70" s="31" customFormat="1" ht="165" x14ac:dyDescent="0.25">
      <c r="A141" s="26" t="s">
        <v>254</v>
      </c>
      <c r="B141" s="26" t="s">
        <v>129</v>
      </c>
      <c r="C141" s="27">
        <v>46101.676388888889</v>
      </c>
      <c r="D141" s="26" t="s">
        <v>73</v>
      </c>
      <c r="E141" s="28" t="s">
        <v>74</v>
      </c>
      <c r="F141" s="26" t="s">
        <v>75</v>
      </c>
      <c r="G141" s="28" t="s">
        <v>76</v>
      </c>
      <c r="H141" s="26" t="s">
        <v>255</v>
      </c>
      <c r="I141" s="28" t="s">
        <v>256</v>
      </c>
      <c r="J141" s="28" t="s">
        <v>257</v>
      </c>
      <c r="K141" s="28" t="s">
        <v>258</v>
      </c>
      <c r="L141" s="26" t="s">
        <v>267</v>
      </c>
      <c r="M141" s="28" t="s">
        <v>268</v>
      </c>
      <c r="N141" s="26" t="s">
        <v>178</v>
      </c>
      <c r="O141" s="28" t="s">
        <v>269</v>
      </c>
      <c r="P141" s="28" t="s">
        <v>270</v>
      </c>
      <c r="Q141" s="28" t="s">
        <v>85</v>
      </c>
      <c r="R141" s="26" t="s">
        <v>86</v>
      </c>
      <c r="S141" s="26" t="s">
        <v>87</v>
      </c>
      <c r="T141" s="26" t="s">
        <v>88</v>
      </c>
      <c r="U141" s="26" t="s">
        <v>89</v>
      </c>
      <c r="V141" s="27">
        <v>45658</v>
      </c>
      <c r="W141" s="27"/>
      <c r="X141" s="28" t="s">
        <v>263</v>
      </c>
      <c r="Y141" s="29" t="s">
        <v>91</v>
      </c>
      <c r="Z141" s="30" t="str">
        <f>VLOOKUP(Y141,'Axe 2 Règles de gestion'!$D$2:$F$41,3, FALSE)</f>
        <v>L'agent doit effectuer une demande.</v>
      </c>
      <c r="AA141" s="29" t="s">
        <v>93</v>
      </c>
      <c r="AB141" s="30" t="str">
        <f>VLOOKUP(AA141,'Axe 2 Règles de gestion'!$D$2:$F$41,3, FALSE)</f>
        <v>L'affectation intervient à l'initiative de l'agent ou de l'administration.</v>
      </c>
      <c r="AC141" s="29" t="s">
        <v>131</v>
      </c>
      <c r="AD141" s="30" t="str">
        <f>VLOOKUP(AC141,'Axe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141" s="29" t="s">
        <v>97</v>
      </c>
      <c r="AF141" s="30" t="str">
        <f>VLOOKUP(AE141,'Axe 2 Règles de gestion'!$D$2:$F$41,3, FALSE)</f>
        <v>Un avis conforme de l'administration d'accueil a préalablement été transmis à l'administration d'origine sauf dans le cadre d'un transfert de service.</v>
      </c>
      <c r="AG141" s="29" t="s">
        <v>99</v>
      </c>
      <c r="AH141" s="30" t="str">
        <f>VLOOKUP(AG141,'Axe 2 Règles de gestion'!$D$2:$F$41,3, FALSE)</f>
        <v>Lorsque l'affectation de l'agent est prononcée dans un établissement public, le ministère de tutelle en est préalablement informé.</v>
      </c>
      <c r="AI141" s="29" t="s">
        <v>103</v>
      </c>
      <c r="AJ141" s="30" t="str">
        <f>VLOOKUP(AI141,'Axe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141" s="29" t="s">
        <v>105</v>
      </c>
      <c r="AL141" s="30" t="str">
        <f>VLOOKUP(AK141,'Axe 2 Règles de gestion'!$D$2:$F$41,3, FALSE)</f>
        <v>Le silence de l'administration gardé pendant 2 mois à compter de la réception de la demande de l'agent vaut acceptation.</v>
      </c>
      <c r="AM141" s="29" t="s">
        <v>195</v>
      </c>
      <c r="AN141" s="30" t="str">
        <f>VLOOKUP(AM141,'Axe 2 Règles de gestion'!$D$2:$F$41,3, FALSE)</f>
        <v>Pour les positions normales d'activité prises avant le 18/04/2020, la limitation de durée ne s'applique pas.</v>
      </c>
      <c r="AO141" s="29" t="s">
        <v>264</v>
      </c>
      <c r="AP141" s="30" t="str">
        <f>VLOOKUP(AO141,'Axe 2 Règles de gestion'!$D$2:$F$41,3, FALSE)</f>
        <v>L'agent est affecté en position normale d'activité et payé par son administration d'origine sur les budgets de son administration d'accueil dans le cadre d'une convention de délégation de gestion.</v>
      </c>
      <c r="AQ141" s="29" t="s">
        <v>186</v>
      </c>
      <c r="AR141" s="30" t="str">
        <f>VLOOKUP(AQ141,'Axe 2 Règles de gestion'!$D$2:$F$41,3, FALSE)</f>
        <v>La durée prévisionnelle de l'affectation en position normale d'activité hors de l'administration d'origine est fixée à 3 ans.</v>
      </c>
      <c r="AS141" s="29" t="s">
        <v>188</v>
      </c>
      <c r="AT141" s="30" t="str">
        <f>VLOOKUP(AS141,'Axe 2 Règles de gestion'!$D$2:$F$41,3, FALSE)</f>
        <v>La durée réelle de l'affectation en position normale d'activité hors de l'administration d'origine est fixée à 3 ans.</v>
      </c>
      <c r="AU141" s="29" t="s">
        <v>107</v>
      </c>
      <c r="AV141" s="30" t="str">
        <f>VLOOKUP(AU141,'Axe 2 Règles de gestion'!$D$2:$F$41,3, FALSE)</f>
        <v>La date de début de la position doit être postérieure ou égale à la date d'entrée dans la FPE ou dans la carrière militaire.</v>
      </c>
      <c r="AW141" s="29" t="s">
        <v>109</v>
      </c>
      <c r="AX141" s="30" t="str">
        <f>VLOOKUP(AW141,'Axe 2 Règles de gestion'!$D$2:$F$41,3, FALSE)</f>
        <v>La date de début de position est à J+1 de la date de fin de position de l'occurrence précédente.</v>
      </c>
      <c r="AY141" s="29" t="s">
        <v>111</v>
      </c>
      <c r="AZ141" s="30" t="str">
        <f>VLOOKUP(AY141,'Axe 2 Règles de gestion'!$D$2:$F$41,3, FALSE)</f>
        <v>La date de début de position doit être antérieure ou égale à la date de fin réelle de position.</v>
      </c>
      <c r="BA141" s="29" t="s">
        <v>113</v>
      </c>
      <c r="BB141" s="30" t="str">
        <f>VLOOKUP(BA141,'Axe 2 Règles de gestion'!$D$2:$F$41,3, FALSE)</f>
        <v>La date de début de position doit être antérieure ou égale à la date de fin prévisionnelle de position.</v>
      </c>
      <c r="BC141" s="29" t="s">
        <v>115</v>
      </c>
      <c r="BD141" s="30" t="str">
        <f>VLOOKUP(BC141,'Axe 2 Règles de gestion'!$D$2:$F$41,3, FALSE)</f>
        <v>La date de fin réelle de la position doit être antérieure à la date limite de départ à la retraite.</v>
      </c>
      <c r="BE141" s="29" t="s">
        <v>117</v>
      </c>
      <c r="BF141" s="30" t="str">
        <f>VLOOKUP(BE141,'Axe 2 Règles de gestion'!$D$2:$F$41,3, FALSE)</f>
        <v>La date de fin prévisionnelle de la position doit être antérieure à la date limite de départ à la retraite.</v>
      </c>
      <c r="BG141" s="29" t="s">
        <v>119</v>
      </c>
      <c r="BH141" s="30" t="str">
        <f>VLOOKUP(BG141,'Axe 2 Règles de gestion'!$D$2:$F$41,3, FALSE)</f>
        <v>Les champs "Type d'organisme d'origine", "Catégorie statutaire d'origine" et "Pays" de l'organisme d'origine doivent être renseignés.</v>
      </c>
      <c r="BI141" s="29" t="s">
        <v>121</v>
      </c>
      <c r="BJ141" s="30" t="str">
        <f>VLOOKUP(BI141,'Axe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41" s="29" t="s">
        <v>123</v>
      </c>
      <c r="BL141" s="30" t="str">
        <f>VLOOKUP(BK141,'Axe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41" s="29" t="s">
        <v>125</v>
      </c>
      <c r="BN141" s="30" t="str">
        <f>VLOOKUP(BM141,'Axe 2 Règles de gestion'!$D$2:$F$41,3, FALSE)</f>
        <v>Le champ "Code emploi statutaire FPT (NET)" est renseigné si le "Type d'organisme d'origine" est valorisé à FPT.</v>
      </c>
      <c r="BO141" s="29" t="s">
        <v>127</v>
      </c>
      <c r="BP141" s="30" t="str">
        <f>VLOOKUP(BO141,'Axe 2 Règles de gestion'!$D$2:$F$41,3, FALSE)</f>
        <v>Le champ "Code emploi statutaire FPH (NEH)" est renseigné si le "Type d'organisme d'origine" est valorisé à FPH.</v>
      </c>
      <c r="BQ141" s="26" t="s">
        <v>266</v>
      </c>
      <c r="BR141" s="28" t="s">
        <v>84</v>
      </c>
    </row>
    <row r="142" spans="1:70" s="31" customFormat="1" ht="165" x14ac:dyDescent="0.25">
      <c r="A142" s="26" t="s">
        <v>254</v>
      </c>
      <c r="B142" s="26" t="s">
        <v>129</v>
      </c>
      <c r="C142" s="27">
        <v>46101.679166666669</v>
      </c>
      <c r="D142" s="26" t="s">
        <v>73</v>
      </c>
      <c r="E142" s="28" t="s">
        <v>74</v>
      </c>
      <c r="F142" s="26" t="s">
        <v>75</v>
      </c>
      <c r="G142" s="28" t="s">
        <v>76</v>
      </c>
      <c r="H142" s="26" t="s">
        <v>255</v>
      </c>
      <c r="I142" s="28" t="s">
        <v>256</v>
      </c>
      <c r="J142" s="28" t="s">
        <v>257</v>
      </c>
      <c r="K142" s="28" t="s">
        <v>258</v>
      </c>
      <c r="L142" s="26" t="s">
        <v>271</v>
      </c>
      <c r="M142" s="28" t="s">
        <v>272</v>
      </c>
      <c r="N142" s="26" t="s">
        <v>136</v>
      </c>
      <c r="O142" s="28" t="s">
        <v>273</v>
      </c>
      <c r="P142" s="28" t="s">
        <v>274</v>
      </c>
      <c r="Q142" s="28" t="s">
        <v>85</v>
      </c>
      <c r="R142" s="26" t="s">
        <v>86</v>
      </c>
      <c r="S142" s="26" t="s">
        <v>87</v>
      </c>
      <c r="T142" s="26" t="s">
        <v>88</v>
      </c>
      <c r="U142" s="26" t="s">
        <v>89</v>
      </c>
      <c r="V142" s="27">
        <v>45658</v>
      </c>
      <c r="W142" s="27"/>
      <c r="X142" s="28" t="s">
        <v>194</v>
      </c>
      <c r="Y142" s="29" t="s">
        <v>91</v>
      </c>
      <c r="Z142" s="30" t="str">
        <f>VLOOKUP(Y142,'Axe 2 Règles de gestion'!$D$2:$F$41,3, FALSE)</f>
        <v>L'agent doit effectuer une demande.</v>
      </c>
      <c r="AA142" s="29" t="s">
        <v>93</v>
      </c>
      <c r="AB142" s="30" t="str">
        <f>VLOOKUP(AA142,'Axe 2 Règles de gestion'!$D$2:$F$41,3, FALSE)</f>
        <v>L'affectation intervient à l'initiative de l'agent ou de l'administration.</v>
      </c>
      <c r="AC142" s="29" t="s">
        <v>131</v>
      </c>
      <c r="AD142" s="30" t="str">
        <f>VLOOKUP(AC142,'Axe 2 Règles de gestion'!$D$2:$F$41,3,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E142" s="29" t="s">
        <v>97</v>
      </c>
      <c r="AF142" s="30" t="str">
        <f>VLOOKUP(AE142,'Axe 2 Règles de gestion'!$D$2:$F$41,3, FALSE)</f>
        <v>Un avis conforme de l'administration d'accueil a préalablement été transmis à l'administration d'origine sauf dans le cadre d'un transfert de service.</v>
      </c>
      <c r="AG142" s="29" t="s">
        <v>99</v>
      </c>
      <c r="AH142" s="30" t="str">
        <f>VLOOKUP(AG142,'Axe 2 Règles de gestion'!$D$2:$F$41,3, FALSE)</f>
        <v>Lorsque l'affectation de l'agent est prononcée dans un établissement public, le ministère de tutelle en est préalablement informé.</v>
      </c>
      <c r="AI142" s="29" t="s">
        <v>103</v>
      </c>
      <c r="AJ142" s="30" t="str">
        <f>VLOOKUP(AI142,'Axe 2 Règles de gestion'!$D$2:$F$41,3, FALSE)</f>
        <v>L'administration peut exiger que l'agent respecte un délai maximal de préavis de 3 mois. Ce délai peut être porté à une durée plus longue, qui ne saurait toutefois excéder 6 mois.</v>
      </c>
      <c r="AK142" s="29" t="s">
        <v>105</v>
      </c>
      <c r="AL142" s="30" t="str">
        <f>VLOOKUP(AK142,'Axe 2 Règles de gestion'!$D$2:$F$41,3, FALSE)</f>
        <v>Le silence de l'administration gardé pendant 2 mois à compter de la réception de la demande de l'agent vaut acceptation.</v>
      </c>
      <c r="AM142" s="29" t="s">
        <v>195</v>
      </c>
      <c r="AN142" s="30" t="str">
        <f>VLOOKUP(AM142,'Axe 2 Règles de gestion'!$D$2:$F$41,3, FALSE)</f>
        <v>Pour les positions normales d'activité prises avant le 18/04/2020, la limitation de durée ne s'applique pas.</v>
      </c>
      <c r="AO142" s="29"/>
      <c r="AP142" s="30"/>
      <c r="AQ142" s="29" t="s">
        <v>186</v>
      </c>
      <c r="AR142" s="30" t="str">
        <f>VLOOKUP(AQ142,'Axe 2 Règles de gestion'!$D$2:$F$41,3, FALSE)</f>
        <v>La durée prévisionnelle de l'affectation en position normale d'activité hors de l'administration d'origine est fixée à 3 ans.</v>
      </c>
      <c r="AS142" s="29" t="s">
        <v>188</v>
      </c>
      <c r="AT142" s="30" t="str">
        <f>VLOOKUP(AS142,'Axe 2 Règles de gestion'!$D$2:$F$41,3, FALSE)</f>
        <v>La durée réelle de l'affectation en position normale d'activité hors de l'administration d'origine est fixée à 3 ans.</v>
      </c>
      <c r="AU142" s="29" t="s">
        <v>107</v>
      </c>
      <c r="AV142" s="30" t="str">
        <f>VLOOKUP(AU142,'Axe 2 Règles de gestion'!$D$2:$F$41,3, FALSE)</f>
        <v>La date de début de la position doit être postérieure ou égale à la date d'entrée dans la FPE ou dans la carrière militaire.</v>
      </c>
      <c r="AW142" s="29" t="s">
        <v>109</v>
      </c>
      <c r="AX142" s="30" t="str">
        <f>VLOOKUP(AW142,'Axe 2 Règles de gestion'!$D$2:$F$41,3, FALSE)</f>
        <v>La date de début de position est à J+1 de la date de fin de position de l'occurrence précédente.</v>
      </c>
      <c r="AY142" s="29" t="s">
        <v>111</v>
      </c>
      <c r="AZ142" s="30" t="str">
        <f>VLOOKUP(AY142,'Axe 2 Règles de gestion'!$D$2:$F$41,3, FALSE)</f>
        <v>La date de début de position doit être antérieure ou égale à la date de fin réelle de position.</v>
      </c>
      <c r="BA142" s="29" t="s">
        <v>113</v>
      </c>
      <c r="BB142" s="30" t="str">
        <f>VLOOKUP(BA142,'Axe 2 Règles de gestion'!$D$2:$F$41,3, FALSE)</f>
        <v>La date de début de position doit être antérieure ou égale à la date de fin prévisionnelle de position.</v>
      </c>
      <c r="BC142" s="29" t="s">
        <v>115</v>
      </c>
      <c r="BD142" s="30" t="str">
        <f>VLOOKUP(BC142,'Axe 2 Règles de gestion'!$D$2:$F$41,3, FALSE)</f>
        <v>La date de fin réelle de la position doit être antérieure à la date limite de départ à la retraite.</v>
      </c>
      <c r="BE142" s="29" t="s">
        <v>117</v>
      </c>
      <c r="BF142" s="30" t="str">
        <f>VLOOKUP(BE142,'Axe 2 Règles de gestion'!$D$2:$F$41,3, FALSE)</f>
        <v>La date de fin prévisionnelle de la position doit être antérieure à la date limite de départ à la retraite.</v>
      </c>
      <c r="BG142" s="29" t="s">
        <v>119</v>
      </c>
      <c r="BH142" s="30" t="str">
        <f>VLOOKUP(BG142,'Axe 2 Règles de gestion'!$D$2:$F$41,3, FALSE)</f>
        <v>Les champs "Type d'organisme d'origine", "Catégorie statutaire d'origine" et "Pays" de l'organisme d'origine doivent être renseignés.</v>
      </c>
      <c r="BI142" s="29" t="s">
        <v>121</v>
      </c>
      <c r="BJ142" s="30" t="str">
        <f>VLOOKUP(BI142,'Axe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42" s="29" t="s">
        <v>123</v>
      </c>
      <c r="BL142" s="30" t="str">
        <f>VLOOKUP(BK142,'Axe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42" s="29" t="s">
        <v>125</v>
      </c>
      <c r="BN142" s="30" t="str">
        <f>VLOOKUP(BM142,'Axe 2 Règles de gestion'!$D$2:$F$41,3, FALSE)</f>
        <v>Le champ "Code emploi statutaire FPT (NET)" est renseigné si le "Type d'organisme d'origine" est valorisé à FPT.</v>
      </c>
      <c r="BO142" s="29" t="s">
        <v>127</v>
      </c>
      <c r="BP142" s="30" t="str">
        <f>VLOOKUP(BO142,'Axe 2 Règles de gestion'!$D$2:$F$41,3, FALSE)</f>
        <v>Le champ "Code emploi statutaire FPH (NEH)" est renseigné si le "Type d'organisme d'origine" est valorisé à FPH.</v>
      </c>
      <c r="BQ142" s="26" t="s">
        <v>266</v>
      </c>
      <c r="BR142" s="28" t="s">
        <v>84</v>
      </c>
    </row>
    <row r="143" spans="1:70" s="31" customFormat="1" ht="135" x14ac:dyDescent="0.25">
      <c r="A143" s="26" t="s">
        <v>254</v>
      </c>
      <c r="B143" s="26" t="s">
        <v>129</v>
      </c>
      <c r="C143" s="27">
        <v>46101.675000000003</v>
      </c>
      <c r="D143" s="26" t="s">
        <v>73</v>
      </c>
      <c r="E143" s="28" t="s">
        <v>74</v>
      </c>
      <c r="F143" s="26" t="s">
        <v>75</v>
      </c>
      <c r="G143" s="28" t="s">
        <v>76</v>
      </c>
      <c r="H143" s="26" t="s">
        <v>255</v>
      </c>
      <c r="I143" s="28" t="s">
        <v>256</v>
      </c>
      <c r="J143" s="28" t="s">
        <v>257</v>
      </c>
      <c r="K143" s="28" t="s">
        <v>258</v>
      </c>
      <c r="L143" s="26" t="s">
        <v>259</v>
      </c>
      <c r="M143" s="28" t="s">
        <v>260</v>
      </c>
      <c r="N143" s="26" t="s">
        <v>178</v>
      </c>
      <c r="O143" s="28" t="s">
        <v>261</v>
      </c>
      <c r="P143" s="28" t="s">
        <v>262</v>
      </c>
      <c r="Q143" s="28" t="s">
        <v>138</v>
      </c>
      <c r="R143" s="26" t="s">
        <v>139</v>
      </c>
      <c r="S143" s="26" t="s">
        <v>72</v>
      </c>
      <c r="T143" s="26" t="s">
        <v>88</v>
      </c>
      <c r="U143" s="26" t="s">
        <v>140</v>
      </c>
      <c r="V143" s="27">
        <v>45658</v>
      </c>
      <c r="W143" s="27"/>
      <c r="X143" s="28" t="s">
        <v>84</v>
      </c>
      <c r="Y143" s="29"/>
      <c r="Z143" s="30"/>
      <c r="AA143" s="29"/>
      <c r="AB143" s="30"/>
      <c r="AC143" s="29"/>
      <c r="AD143" s="30"/>
      <c r="AE143" s="29"/>
      <c r="AF143" s="30"/>
      <c r="AG143" s="29"/>
      <c r="AH143" s="30"/>
      <c r="AI143" s="29"/>
      <c r="AJ143" s="30"/>
      <c r="AK143" s="29"/>
      <c r="AL143" s="30"/>
      <c r="AM143" s="29"/>
      <c r="AN143" s="30"/>
      <c r="AO143" s="29"/>
      <c r="AP143" s="30"/>
      <c r="AQ143" s="29"/>
      <c r="AR143" s="30"/>
      <c r="AS143" s="29"/>
      <c r="AT143" s="30"/>
      <c r="AU143" s="29"/>
      <c r="AV143" s="30"/>
      <c r="AW143" s="29"/>
      <c r="AX143" s="30"/>
      <c r="AY143" s="29"/>
      <c r="AZ143" s="30"/>
      <c r="BA143" s="29"/>
      <c r="BB143" s="30"/>
      <c r="BC143" s="29"/>
      <c r="BD143" s="30"/>
      <c r="BE143" s="29"/>
      <c r="BF143" s="30"/>
      <c r="BG143" s="29"/>
      <c r="BH143" s="30"/>
      <c r="BI143" s="29"/>
      <c r="BJ143" s="30"/>
      <c r="BK143" s="29"/>
      <c r="BL143" s="30"/>
      <c r="BM143" s="29"/>
      <c r="BN143" s="30"/>
      <c r="BO143" s="29"/>
      <c r="BP143" s="30"/>
      <c r="BQ143" s="26" t="s">
        <v>266</v>
      </c>
      <c r="BR143" s="28" t="s">
        <v>84</v>
      </c>
    </row>
    <row r="144" spans="1:70" s="31" customFormat="1" ht="135" x14ac:dyDescent="0.25">
      <c r="A144" s="26" t="s">
        <v>254</v>
      </c>
      <c r="B144" s="26" t="s">
        <v>129</v>
      </c>
      <c r="C144" s="27">
        <v>46101.676388888889</v>
      </c>
      <c r="D144" s="26" t="s">
        <v>73</v>
      </c>
      <c r="E144" s="28" t="s">
        <v>74</v>
      </c>
      <c r="F144" s="26" t="s">
        <v>75</v>
      </c>
      <c r="G144" s="28" t="s">
        <v>76</v>
      </c>
      <c r="H144" s="26" t="s">
        <v>255</v>
      </c>
      <c r="I144" s="28" t="s">
        <v>256</v>
      </c>
      <c r="J144" s="28" t="s">
        <v>257</v>
      </c>
      <c r="K144" s="28" t="s">
        <v>258</v>
      </c>
      <c r="L144" s="26" t="s">
        <v>267</v>
      </c>
      <c r="M144" s="28" t="s">
        <v>268</v>
      </c>
      <c r="N144" s="26" t="s">
        <v>178</v>
      </c>
      <c r="O144" s="28" t="s">
        <v>269</v>
      </c>
      <c r="P144" s="28" t="s">
        <v>270</v>
      </c>
      <c r="Q144" s="28" t="s">
        <v>138</v>
      </c>
      <c r="R144" s="26" t="s">
        <v>139</v>
      </c>
      <c r="S144" s="26" t="s">
        <v>72</v>
      </c>
      <c r="T144" s="26" t="s">
        <v>88</v>
      </c>
      <c r="U144" s="26" t="s">
        <v>140</v>
      </c>
      <c r="V144" s="27">
        <v>45658</v>
      </c>
      <c r="W144" s="27"/>
      <c r="X144" s="28" t="s">
        <v>84</v>
      </c>
      <c r="Y144" s="29"/>
      <c r="Z144" s="30"/>
      <c r="AA144" s="29"/>
      <c r="AB144" s="30"/>
      <c r="AC144" s="29"/>
      <c r="AD144" s="30"/>
      <c r="AE144" s="29"/>
      <c r="AF144" s="30"/>
      <c r="AG144" s="29"/>
      <c r="AH144" s="30"/>
      <c r="AI144" s="29"/>
      <c r="AJ144" s="30"/>
      <c r="AK144" s="29"/>
      <c r="AL144" s="30"/>
      <c r="AM144" s="29"/>
      <c r="AN144" s="30"/>
      <c r="AO144" s="29"/>
      <c r="AP144" s="30"/>
      <c r="AQ144" s="29"/>
      <c r="AR144" s="30"/>
      <c r="AS144" s="29"/>
      <c r="AT144" s="30"/>
      <c r="AU144" s="29"/>
      <c r="AV144" s="30"/>
      <c r="AW144" s="29"/>
      <c r="AX144" s="30"/>
      <c r="AY144" s="29"/>
      <c r="AZ144" s="30"/>
      <c r="BA144" s="29"/>
      <c r="BB144" s="30"/>
      <c r="BC144" s="29"/>
      <c r="BD144" s="30"/>
      <c r="BE144" s="29"/>
      <c r="BF144" s="30"/>
      <c r="BG144" s="29"/>
      <c r="BH144" s="30"/>
      <c r="BI144" s="29"/>
      <c r="BJ144" s="30"/>
      <c r="BK144" s="29"/>
      <c r="BL144" s="30"/>
      <c r="BM144" s="29"/>
      <c r="BN144" s="30"/>
      <c r="BO144" s="29"/>
      <c r="BP144" s="30"/>
      <c r="BQ144" s="26" t="s">
        <v>266</v>
      </c>
      <c r="BR144" s="28" t="s">
        <v>84</v>
      </c>
    </row>
    <row r="145" spans="1:70" s="31" customFormat="1" ht="135" x14ac:dyDescent="0.25">
      <c r="A145" s="26" t="s">
        <v>254</v>
      </c>
      <c r="B145" s="26" t="s">
        <v>129</v>
      </c>
      <c r="C145" s="27">
        <v>46101.679166666669</v>
      </c>
      <c r="D145" s="26" t="s">
        <v>73</v>
      </c>
      <c r="E145" s="28" t="s">
        <v>74</v>
      </c>
      <c r="F145" s="26" t="s">
        <v>75</v>
      </c>
      <c r="G145" s="28" t="s">
        <v>76</v>
      </c>
      <c r="H145" s="26" t="s">
        <v>255</v>
      </c>
      <c r="I145" s="28" t="s">
        <v>256</v>
      </c>
      <c r="J145" s="28" t="s">
        <v>257</v>
      </c>
      <c r="K145" s="28" t="s">
        <v>258</v>
      </c>
      <c r="L145" s="26" t="s">
        <v>271</v>
      </c>
      <c r="M145" s="28" t="s">
        <v>272</v>
      </c>
      <c r="N145" s="26" t="s">
        <v>136</v>
      </c>
      <c r="O145" s="28" t="s">
        <v>273</v>
      </c>
      <c r="P145" s="28" t="s">
        <v>274</v>
      </c>
      <c r="Q145" s="28" t="s">
        <v>138</v>
      </c>
      <c r="R145" s="26" t="s">
        <v>139</v>
      </c>
      <c r="S145" s="26" t="s">
        <v>72</v>
      </c>
      <c r="T145" s="26" t="s">
        <v>88</v>
      </c>
      <c r="U145" s="26" t="s">
        <v>140</v>
      </c>
      <c r="V145" s="27">
        <v>45658</v>
      </c>
      <c r="W145" s="27"/>
      <c r="X145" s="28" t="s">
        <v>84</v>
      </c>
      <c r="Y145" s="29"/>
      <c r="Z145" s="30"/>
      <c r="AA145" s="29"/>
      <c r="AB145" s="30"/>
      <c r="AC145" s="29"/>
      <c r="AD145" s="30"/>
      <c r="AE145" s="29"/>
      <c r="AF145" s="30"/>
      <c r="AG145" s="29"/>
      <c r="AH145" s="30"/>
      <c r="AI145" s="29"/>
      <c r="AJ145" s="30"/>
      <c r="AK145" s="29"/>
      <c r="AL145" s="30"/>
      <c r="AM145" s="29"/>
      <c r="AN145" s="30"/>
      <c r="AO145" s="29"/>
      <c r="AP145" s="30"/>
      <c r="AQ145" s="29"/>
      <c r="AR145" s="30"/>
      <c r="AS145" s="29"/>
      <c r="AT145" s="30"/>
      <c r="AU145" s="29"/>
      <c r="AV145" s="30"/>
      <c r="AW145" s="29"/>
      <c r="AX145" s="30"/>
      <c r="AY145" s="29"/>
      <c r="AZ145" s="30"/>
      <c r="BA145" s="29"/>
      <c r="BB145" s="30"/>
      <c r="BC145" s="29"/>
      <c r="BD145" s="30"/>
      <c r="BE145" s="29"/>
      <c r="BF145" s="30"/>
      <c r="BG145" s="29"/>
      <c r="BH145" s="30"/>
      <c r="BI145" s="29"/>
      <c r="BJ145" s="30"/>
      <c r="BK145" s="29"/>
      <c r="BL145" s="30"/>
      <c r="BM145" s="29"/>
      <c r="BN145" s="30"/>
      <c r="BO145" s="29"/>
      <c r="BP145" s="30"/>
      <c r="BQ145" s="26" t="s">
        <v>266</v>
      </c>
      <c r="BR145" s="28" t="s">
        <v>84</v>
      </c>
    </row>
    <row r="146" spans="1:70" s="31" customFormat="1" ht="135" x14ac:dyDescent="0.25">
      <c r="A146" s="26" t="s">
        <v>254</v>
      </c>
      <c r="B146" s="26" t="s">
        <v>129</v>
      </c>
      <c r="C146" s="27">
        <v>46101.675000000003</v>
      </c>
      <c r="D146" s="26" t="s">
        <v>73</v>
      </c>
      <c r="E146" s="28" t="s">
        <v>74</v>
      </c>
      <c r="F146" s="26" t="s">
        <v>75</v>
      </c>
      <c r="G146" s="28" t="s">
        <v>76</v>
      </c>
      <c r="H146" s="26" t="s">
        <v>255</v>
      </c>
      <c r="I146" s="28" t="s">
        <v>256</v>
      </c>
      <c r="J146" s="28" t="s">
        <v>257</v>
      </c>
      <c r="K146" s="28" t="s">
        <v>258</v>
      </c>
      <c r="L146" s="26" t="s">
        <v>259</v>
      </c>
      <c r="M146" s="28" t="s">
        <v>260</v>
      </c>
      <c r="N146" s="26" t="s">
        <v>178</v>
      </c>
      <c r="O146" s="28" t="s">
        <v>261</v>
      </c>
      <c r="P146" s="28" t="s">
        <v>262</v>
      </c>
      <c r="Q146" s="28" t="s">
        <v>141</v>
      </c>
      <c r="R146" s="26" t="s">
        <v>142</v>
      </c>
      <c r="S146" s="26" t="s">
        <v>143</v>
      </c>
      <c r="T146" s="26" t="s">
        <v>88</v>
      </c>
      <c r="U146" s="26" t="s">
        <v>140</v>
      </c>
      <c r="V146" s="27">
        <v>45658</v>
      </c>
      <c r="W146" s="27"/>
      <c r="X146" s="28" t="s">
        <v>84</v>
      </c>
      <c r="Y146" s="29"/>
      <c r="Z146" s="30"/>
      <c r="AA146" s="29"/>
      <c r="AB146" s="30"/>
      <c r="AC146" s="29"/>
      <c r="AD146" s="30"/>
      <c r="AE146" s="29"/>
      <c r="AF146" s="30"/>
      <c r="AG146" s="29"/>
      <c r="AH146" s="30"/>
      <c r="AI146" s="29"/>
      <c r="AJ146" s="30"/>
      <c r="AK146" s="29"/>
      <c r="AL146" s="30"/>
      <c r="AM146" s="29"/>
      <c r="AN146" s="30"/>
      <c r="AO146" s="29"/>
      <c r="AP146" s="30"/>
      <c r="AQ146" s="29"/>
      <c r="AR146" s="30"/>
      <c r="AS146" s="29"/>
      <c r="AT146" s="30"/>
      <c r="AU146" s="29"/>
      <c r="AV146" s="30"/>
      <c r="AW146" s="29"/>
      <c r="AX146" s="30"/>
      <c r="AY146" s="29"/>
      <c r="AZ146" s="30"/>
      <c r="BA146" s="29"/>
      <c r="BB146" s="30"/>
      <c r="BC146" s="29"/>
      <c r="BD146" s="30"/>
      <c r="BE146" s="29"/>
      <c r="BF146" s="30"/>
      <c r="BG146" s="29"/>
      <c r="BH146" s="30"/>
      <c r="BI146" s="29"/>
      <c r="BJ146" s="30"/>
      <c r="BK146" s="29"/>
      <c r="BL146" s="30"/>
      <c r="BM146" s="29"/>
      <c r="BN146" s="30"/>
      <c r="BO146" s="29"/>
      <c r="BP146" s="30"/>
      <c r="BQ146" s="26" t="s">
        <v>266</v>
      </c>
      <c r="BR146" s="28" t="s">
        <v>84</v>
      </c>
    </row>
    <row r="147" spans="1:70" s="31" customFormat="1" ht="135" x14ac:dyDescent="0.25">
      <c r="A147" s="26" t="s">
        <v>254</v>
      </c>
      <c r="B147" s="26" t="s">
        <v>129</v>
      </c>
      <c r="C147" s="27">
        <v>46101.677083333336</v>
      </c>
      <c r="D147" s="26" t="s">
        <v>73</v>
      </c>
      <c r="E147" s="28" t="s">
        <v>74</v>
      </c>
      <c r="F147" s="26" t="s">
        <v>75</v>
      </c>
      <c r="G147" s="28" t="s">
        <v>76</v>
      </c>
      <c r="H147" s="26" t="s">
        <v>255</v>
      </c>
      <c r="I147" s="28" t="s">
        <v>256</v>
      </c>
      <c r="J147" s="28" t="s">
        <v>257</v>
      </c>
      <c r="K147" s="28" t="s">
        <v>258</v>
      </c>
      <c r="L147" s="26" t="s">
        <v>267</v>
      </c>
      <c r="M147" s="28" t="s">
        <v>268</v>
      </c>
      <c r="N147" s="26" t="s">
        <v>178</v>
      </c>
      <c r="O147" s="28" t="s">
        <v>269</v>
      </c>
      <c r="P147" s="28" t="s">
        <v>270</v>
      </c>
      <c r="Q147" s="28" t="s">
        <v>141</v>
      </c>
      <c r="R147" s="26" t="s">
        <v>142</v>
      </c>
      <c r="S147" s="26" t="s">
        <v>143</v>
      </c>
      <c r="T147" s="26" t="s">
        <v>88</v>
      </c>
      <c r="U147" s="26" t="s">
        <v>140</v>
      </c>
      <c r="V147" s="27">
        <v>45658</v>
      </c>
      <c r="W147" s="27"/>
      <c r="X147" s="28" t="s">
        <v>84</v>
      </c>
      <c r="Y147" s="29"/>
      <c r="Z147" s="30"/>
      <c r="AA147" s="29"/>
      <c r="AB147" s="30"/>
      <c r="AC147" s="29"/>
      <c r="AD147" s="30"/>
      <c r="AE147" s="29"/>
      <c r="AF147" s="30"/>
      <c r="AG147" s="29"/>
      <c r="AH147" s="30"/>
      <c r="AI147" s="29"/>
      <c r="AJ147" s="30"/>
      <c r="AK147" s="29"/>
      <c r="AL147" s="30"/>
      <c r="AM147" s="29"/>
      <c r="AN147" s="30"/>
      <c r="AO147" s="29"/>
      <c r="AP147" s="30"/>
      <c r="AQ147" s="29"/>
      <c r="AR147" s="30"/>
      <c r="AS147" s="29"/>
      <c r="AT147" s="30"/>
      <c r="AU147" s="29"/>
      <c r="AV147" s="30"/>
      <c r="AW147" s="29"/>
      <c r="AX147" s="30"/>
      <c r="AY147" s="29"/>
      <c r="AZ147" s="30"/>
      <c r="BA147" s="29"/>
      <c r="BB147" s="30"/>
      <c r="BC147" s="29"/>
      <c r="BD147" s="30"/>
      <c r="BE147" s="29"/>
      <c r="BF147" s="30"/>
      <c r="BG147" s="29"/>
      <c r="BH147" s="30"/>
      <c r="BI147" s="29"/>
      <c r="BJ147" s="30"/>
      <c r="BK147" s="29"/>
      <c r="BL147" s="30"/>
      <c r="BM147" s="29"/>
      <c r="BN147" s="30"/>
      <c r="BO147" s="29"/>
      <c r="BP147" s="30"/>
      <c r="BQ147" s="26" t="s">
        <v>266</v>
      </c>
      <c r="BR147" s="28" t="s">
        <v>84</v>
      </c>
    </row>
    <row r="148" spans="1:70" s="31" customFormat="1" ht="135" x14ac:dyDescent="0.25">
      <c r="A148" s="26" t="s">
        <v>254</v>
      </c>
      <c r="B148" s="26" t="s">
        <v>129</v>
      </c>
      <c r="C148" s="27">
        <v>46101.679861111108</v>
      </c>
      <c r="D148" s="26" t="s">
        <v>73</v>
      </c>
      <c r="E148" s="28" t="s">
        <v>74</v>
      </c>
      <c r="F148" s="26" t="s">
        <v>75</v>
      </c>
      <c r="G148" s="28" t="s">
        <v>76</v>
      </c>
      <c r="H148" s="26" t="s">
        <v>255</v>
      </c>
      <c r="I148" s="28" t="s">
        <v>256</v>
      </c>
      <c r="J148" s="28" t="s">
        <v>257</v>
      </c>
      <c r="K148" s="28" t="s">
        <v>258</v>
      </c>
      <c r="L148" s="26" t="s">
        <v>271</v>
      </c>
      <c r="M148" s="28" t="s">
        <v>272</v>
      </c>
      <c r="N148" s="26" t="s">
        <v>136</v>
      </c>
      <c r="O148" s="28" t="s">
        <v>273</v>
      </c>
      <c r="P148" s="28" t="s">
        <v>274</v>
      </c>
      <c r="Q148" s="28" t="s">
        <v>141</v>
      </c>
      <c r="R148" s="26" t="s">
        <v>142</v>
      </c>
      <c r="S148" s="26" t="s">
        <v>143</v>
      </c>
      <c r="T148" s="26" t="s">
        <v>88</v>
      </c>
      <c r="U148" s="26" t="s">
        <v>140</v>
      </c>
      <c r="V148" s="27">
        <v>45658</v>
      </c>
      <c r="W148" s="27"/>
      <c r="X148" s="28" t="s">
        <v>84</v>
      </c>
      <c r="Y148" s="29"/>
      <c r="Z148" s="30"/>
      <c r="AA148" s="29"/>
      <c r="AB148" s="30"/>
      <c r="AC148" s="29"/>
      <c r="AD148" s="30"/>
      <c r="AE148" s="29"/>
      <c r="AF148" s="30"/>
      <c r="AG148" s="29"/>
      <c r="AH148" s="30"/>
      <c r="AI148" s="29"/>
      <c r="AJ148" s="30"/>
      <c r="AK148" s="29"/>
      <c r="AL148" s="30"/>
      <c r="AM148" s="29"/>
      <c r="AN148" s="30"/>
      <c r="AO148" s="29"/>
      <c r="AP148" s="30"/>
      <c r="AQ148" s="29"/>
      <c r="AR148" s="30"/>
      <c r="AS148" s="29"/>
      <c r="AT148" s="30"/>
      <c r="AU148" s="29"/>
      <c r="AV148" s="30"/>
      <c r="AW148" s="29"/>
      <c r="AX148" s="30"/>
      <c r="AY148" s="29"/>
      <c r="AZ148" s="30"/>
      <c r="BA148" s="29"/>
      <c r="BB148" s="30"/>
      <c r="BC148" s="29"/>
      <c r="BD148" s="30"/>
      <c r="BE148" s="29"/>
      <c r="BF148" s="30"/>
      <c r="BG148" s="29"/>
      <c r="BH148" s="30"/>
      <c r="BI148" s="29"/>
      <c r="BJ148" s="30"/>
      <c r="BK148" s="29"/>
      <c r="BL148" s="30"/>
      <c r="BM148" s="29"/>
      <c r="BN148" s="30"/>
      <c r="BO148" s="29"/>
      <c r="BP148" s="30"/>
      <c r="BQ148" s="26" t="s">
        <v>266</v>
      </c>
      <c r="BR148" s="28" t="s">
        <v>84</v>
      </c>
    </row>
    <row r="149" spans="1:70" s="31" customFormat="1" ht="135" x14ac:dyDescent="0.25">
      <c r="A149" s="26" t="s">
        <v>254</v>
      </c>
      <c r="B149" s="26" t="s">
        <v>129</v>
      </c>
      <c r="C149" s="27">
        <v>46104.402777777781</v>
      </c>
      <c r="D149" s="26" t="s">
        <v>73</v>
      </c>
      <c r="E149" s="28" t="s">
        <v>74</v>
      </c>
      <c r="F149" s="26" t="s">
        <v>75</v>
      </c>
      <c r="G149" s="28" t="s">
        <v>76</v>
      </c>
      <c r="H149" s="26" t="s">
        <v>255</v>
      </c>
      <c r="I149" s="28" t="s">
        <v>256</v>
      </c>
      <c r="J149" s="28" t="s">
        <v>257</v>
      </c>
      <c r="K149" s="28" t="s">
        <v>258</v>
      </c>
      <c r="L149" s="26" t="s">
        <v>259</v>
      </c>
      <c r="M149" s="28" t="s">
        <v>260</v>
      </c>
      <c r="N149" s="26" t="s">
        <v>178</v>
      </c>
      <c r="O149" s="28" t="s">
        <v>261</v>
      </c>
      <c r="P149" s="28" t="s">
        <v>262</v>
      </c>
      <c r="Q149" s="28" t="s">
        <v>144</v>
      </c>
      <c r="R149" s="26" t="s">
        <v>145</v>
      </c>
      <c r="S149" s="26" t="s">
        <v>146</v>
      </c>
      <c r="T149" s="26" t="s">
        <v>88</v>
      </c>
      <c r="U149" s="26" t="s">
        <v>89</v>
      </c>
      <c r="V149" s="27">
        <v>45658</v>
      </c>
      <c r="W149" s="27"/>
      <c r="X149" s="28" t="s">
        <v>275</v>
      </c>
      <c r="Y149" s="29" t="s">
        <v>91</v>
      </c>
      <c r="Z149" s="30" t="str">
        <f>VLOOKUP(Y149,'Axe 2 Règles de gestion'!$D$2:$F$41,3, FALSE)</f>
        <v>L'agent doit effectuer une demande.</v>
      </c>
      <c r="AA149" s="29" t="s">
        <v>93</v>
      </c>
      <c r="AB149" s="30" t="str">
        <f>VLOOKUP(AA149,'Axe 2 Règles de gestion'!$D$2:$F$41,3, FALSE)</f>
        <v>L'affectation intervient à l'initiative de l'agent ou de l'administration.</v>
      </c>
      <c r="AC149" s="29" t="s">
        <v>97</v>
      </c>
      <c r="AD149" s="30" t="str">
        <f>VLOOKUP(AC149,'Axe 2 Règles de gestion'!$D$2:$F$41,3, FALSE)</f>
        <v>Un avis conforme de l'administration d'accueil a préalablement été transmis à l'administration d'origine sauf dans le cadre d'un transfert de service.</v>
      </c>
      <c r="AE149" s="29" t="s">
        <v>99</v>
      </c>
      <c r="AF149" s="30" t="str">
        <f>VLOOKUP(AE149,'Axe 2 Règles de gestion'!$D$2:$F$41,3, FALSE)</f>
        <v>Lorsque l'affectation de l'agent est prononcée dans un établissement public, le ministère de tutelle en est préalablement informé.</v>
      </c>
      <c r="AG149" s="29" t="s">
        <v>195</v>
      </c>
      <c r="AH149" s="30" t="str">
        <f>VLOOKUP(AG149,'Axe 2 Règles de gestion'!$D$2:$F$41,3, FALSE)</f>
        <v>Pour les positions normales d'activité prises avant le 18/04/2020, la limitation de durée ne s'applique pas.</v>
      </c>
      <c r="AI149" s="29" t="s">
        <v>264</v>
      </c>
      <c r="AJ149" s="30" t="str">
        <f>VLOOKUP(AI149,'Axe 2 Règles de gestion'!$D$2:$F$41,3, FALSE)</f>
        <v>L'agent est affecté en position normale d'activité et payé par son administration d'origine sur les budgets de son administration d'accueil dans le cadre d'une convention de délégation de gestion.</v>
      </c>
      <c r="AK149" s="29"/>
      <c r="AL149" s="30"/>
      <c r="AM149" s="29"/>
      <c r="AN149" s="30"/>
      <c r="AO149" s="29"/>
      <c r="AP149" s="30"/>
      <c r="AQ149" s="29" t="s">
        <v>186</v>
      </c>
      <c r="AR149" s="30" t="str">
        <f>VLOOKUP(AQ149,'Axe 2 Règles de gestion'!$D$2:$F$41,3, FALSE)</f>
        <v>La durée prévisionnelle de l'affectation en position normale d'activité hors de l'administration d'origine est fixée à 3 ans.</v>
      </c>
      <c r="AS149" s="29" t="s">
        <v>188</v>
      </c>
      <c r="AT149" s="30" t="str">
        <f>VLOOKUP(AS149,'Axe 2 Règles de gestion'!$D$2:$F$41,3, FALSE)</f>
        <v>La durée réelle de l'affectation en position normale d'activité hors de l'administration d'origine est fixée à 3 ans.</v>
      </c>
      <c r="AU149" s="29" t="s">
        <v>107</v>
      </c>
      <c r="AV149" s="30" t="str">
        <f>VLOOKUP(AU149,'Axe 2 Règles de gestion'!$D$2:$F$41,3, FALSE)</f>
        <v>La date de début de la position doit être postérieure ou égale à la date d'entrée dans la FPE ou dans la carrière militaire.</v>
      </c>
      <c r="AW149" s="29" t="s">
        <v>109</v>
      </c>
      <c r="AX149" s="30" t="str">
        <f>VLOOKUP(AW149,'Axe 2 Règles de gestion'!$D$2:$F$41,3, FALSE)</f>
        <v>La date de début de position est à J+1 de la date de fin de position de l'occurrence précédente.</v>
      </c>
      <c r="AY149" s="29" t="s">
        <v>111</v>
      </c>
      <c r="AZ149" s="30" t="str">
        <f>VLOOKUP(AY149,'Axe 2 Règles de gestion'!$D$2:$F$41,3, FALSE)</f>
        <v>La date de début de position doit être antérieure ou égale à la date de fin réelle de position.</v>
      </c>
      <c r="BA149" s="29" t="s">
        <v>113</v>
      </c>
      <c r="BB149" s="30" t="str">
        <f>VLOOKUP(BA149,'Axe 2 Règles de gestion'!$D$2:$F$41,3, FALSE)</f>
        <v>La date de début de position doit être antérieure ou égale à la date de fin prévisionnelle de position.</v>
      </c>
      <c r="BC149" s="29" t="s">
        <v>115</v>
      </c>
      <c r="BD149" s="30" t="str">
        <f>VLOOKUP(BC149,'Axe 2 Règles de gestion'!$D$2:$F$41,3, FALSE)</f>
        <v>La date de fin réelle de la position doit être antérieure à la date limite de départ à la retraite.</v>
      </c>
      <c r="BE149" s="29" t="s">
        <v>117</v>
      </c>
      <c r="BF149" s="30" t="str">
        <f>VLOOKUP(BE149,'Axe 2 Règles de gestion'!$D$2:$F$41,3, FALSE)</f>
        <v>La date de fin prévisionnelle de la position doit être antérieure à la date limite de départ à la retraite.</v>
      </c>
      <c r="BG149" s="29" t="s">
        <v>119</v>
      </c>
      <c r="BH149" s="30" t="str">
        <f>VLOOKUP(BG149,'Axe 2 Règles de gestion'!$D$2:$F$41,3, FALSE)</f>
        <v>Les champs "Type d'organisme d'origine", "Catégorie statutaire d'origine" et "Pays" de l'organisme d'origine doivent être renseignés.</v>
      </c>
      <c r="BI149" s="29" t="s">
        <v>121</v>
      </c>
      <c r="BJ149" s="30" t="str">
        <f>VLOOKUP(BI149,'Axe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49" s="29" t="s">
        <v>123</v>
      </c>
      <c r="BL149" s="30" t="str">
        <f>VLOOKUP(BK149,'Axe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49" s="29" t="s">
        <v>125</v>
      </c>
      <c r="BN149" s="30" t="str">
        <f>VLOOKUP(BM149,'Axe 2 Règles de gestion'!$D$2:$F$41,3, FALSE)</f>
        <v>Le champ "Code emploi statutaire FPT (NET)" est renseigné si le "Type d'organisme d'origine" est valorisé à FPT.</v>
      </c>
      <c r="BO149" s="29" t="s">
        <v>127</v>
      </c>
      <c r="BP149" s="30" t="str">
        <f>VLOOKUP(BO149,'Axe 2 Règles de gestion'!$D$2:$F$41,3, FALSE)</f>
        <v>Le champ "Code emploi statutaire FPH (NEH)" est renseigné si le "Type d'organisme d'origine" est valorisé à FPH.</v>
      </c>
      <c r="BQ149" s="26" t="s">
        <v>266</v>
      </c>
      <c r="BR149" s="28" t="s">
        <v>84</v>
      </c>
    </row>
    <row r="150" spans="1:70" s="31" customFormat="1" ht="135" x14ac:dyDescent="0.25">
      <c r="A150" s="26" t="s">
        <v>254</v>
      </c>
      <c r="B150" s="26" t="s">
        <v>129</v>
      </c>
      <c r="C150" s="27">
        <v>46101.678472222222</v>
      </c>
      <c r="D150" s="26" t="s">
        <v>73</v>
      </c>
      <c r="E150" s="28" t="s">
        <v>74</v>
      </c>
      <c r="F150" s="26" t="s">
        <v>75</v>
      </c>
      <c r="G150" s="28" t="s">
        <v>76</v>
      </c>
      <c r="H150" s="26" t="s">
        <v>255</v>
      </c>
      <c r="I150" s="28" t="s">
        <v>256</v>
      </c>
      <c r="J150" s="28" t="s">
        <v>257</v>
      </c>
      <c r="K150" s="28" t="s">
        <v>258</v>
      </c>
      <c r="L150" s="26" t="s">
        <v>267</v>
      </c>
      <c r="M150" s="28" t="s">
        <v>268</v>
      </c>
      <c r="N150" s="26" t="s">
        <v>178</v>
      </c>
      <c r="O150" s="28" t="s">
        <v>269</v>
      </c>
      <c r="P150" s="28" t="s">
        <v>270</v>
      </c>
      <c r="Q150" s="28" t="s">
        <v>144</v>
      </c>
      <c r="R150" s="26" t="s">
        <v>145</v>
      </c>
      <c r="S150" s="26" t="s">
        <v>146</v>
      </c>
      <c r="T150" s="26" t="s">
        <v>88</v>
      </c>
      <c r="U150" s="26" t="s">
        <v>89</v>
      </c>
      <c r="V150" s="27">
        <v>45658</v>
      </c>
      <c r="W150" s="27"/>
      <c r="X150" s="28" t="s">
        <v>275</v>
      </c>
      <c r="Y150" s="29" t="s">
        <v>91</v>
      </c>
      <c r="Z150" s="30" t="str">
        <f>VLOOKUP(Y150,'Axe 2 Règles de gestion'!$D$2:$F$41,3, FALSE)</f>
        <v>L'agent doit effectuer une demande.</v>
      </c>
      <c r="AA150" s="29" t="s">
        <v>93</v>
      </c>
      <c r="AB150" s="30" t="str">
        <f>VLOOKUP(AA150,'Axe 2 Règles de gestion'!$D$2:$F$41,3, FALSE)</f>
        <v>L'affectation intervient à l'initiative de l'agent ou de l'administration.</v>
      </c>
      <c r="AC150" s="29" t="s">
        <v>97</v>
      </c>
      <c r="AD150" s="30" t="str">
        <f>VLOOKUP(AC150,'Axe 2 Règles de gestion'!$D$2:$F$41,3, FALSE)</f>
        <v>Un avis conforme de l'administration d'accueil a préalablement été transmis à l'administration d'origine sauf dans le cadre d'un transfert de service.</v>
      </c>
      <c r="AE150" s="29" t="s">
        <v>99</v>
      </c>
      <c r="AF150" s="30" t="str">
        <f>VLOOKUP(AE150,'Axe 2 Règles de gestion'!$D$2:$F$41,3, FALSE)</f>
        <v>Lorsque l'affectation de l'agent est prononcée dans un établissement public, le ministère de tutelle en est préalablement informé.</v>
      </c>
      <c r="AG150" s="29" t="s">
        <v>195</v>
      </c>
      <c r="AH150" s="30" t="str">
        <f>VLOOKUP(AG150,'Axe 2 Règles de gestion'!$D$2:$F$41,3, FALSE)</f>
        <v>Pour les positions normales d'activité prises avant le 18/04/2020, la limitation de durée ne s'applique pas.</v>
      </c>
      <c r="AI150" s="29" t="s">
        <v>264</v>
      </c>
      <c r="AJ150" s="30" t="str">
        <f>VLOOKUP(AI150,'Axe 2 Règles de gestion'!$D$2:$F$41,3, FALSE)</f>
        <v>L'agent est affecté en position normale d'activité et payé par son administration d'origine sur les budgets de son administration d'accueil dans le cadre d'une convention de délégation de gestion.</v>
      </c>
      <c r="AK150" s="29"/>
      <c r="AL150" s="30"/>
      <c r="AM150" s="29"/>
      <c r="AN150" s="30"/>
      <c r="AO150" s="29"/>
      <c r="AP150" s="30"/>
      <c r="AQ150" s="29" t="s">
        <v>186</v>
      </c>
      <c r="AR150" s="30" t="str">
        <f>VLOOKUP(AQ150,'Axe 2 Règles de gestion'!$D$2:$F$41,3, FALSE)</f>
        <v>La durée prévisionnelle de l'affectation en position normale d'activité hors de l'administration d'origine est fixée à 3 ans.</v>
      </c>
      <c r="AS150" s="29" t="s">
        <v>188</v>
      </c>
      <c r="AT150" s="30" t="str">
        <f>VLOOKUP(AS150,'Axe 2 Règles de gestion'!$D$2:$F$41,3, FALSE)</f>
        <v>La durée réelle de l'affectation en position normale d'activité hors de l'administration d'origine est fixée à 3 ans.</v>
      </c>
      <c r="AU150" s="29" t="s">
        <v>107</v>
      </c>
      <c r="AV150" s="30" t="str">
        <f>VLOOKUP(AU150,'Axe 2 Règles de gestion'!$D$2:$F$41,3, FALSE)</f>
        <v>La date de début de la position doit être postérieure ou égale à la date d'entrée dans la FPE ou dans la carrière militaire.</v>
      </c>
      <c r="AW150" s="29" t="s">
        <v>109</v>
      </c>
      <c r="AX150" s="30" t="str">
        <f>VLOOKUP(AW150,'Axe 2 Règles de gestion'!$D$2:$F$41,3, FALSE)</f>
        <v>La date de début de position est à J+1 de la date de fin de position de l'occurrence précédente.</v>
      </c>
      <c r="AY150" s="29" t="s">
        <v>111</v>
      </c>
      <c r="AZ150" s="30" t="str">
        <f>VLOOKUP(AY150,'Axe 2 Règles de gestion'!$D$2:$F$41,3, FALSE)</f>
        <v>La date de début de position doit être antérieure ou égale à la date de fin réelle de position.</v>
      </c>
      <c r="BA150" s="29" t="s">
        <v>113</v>
      </c>
      <c r="BB150" s="30" t="str">
        <f>VLOOKUP(BA150,'Axe 2 Règles de gestion'!$D$2:$F$41,3, FALSE)</f>
        <v>La date de début de position doit être antérieure ou égale à la date de fin prévisionnelle de position.</v>
      </c>
      <c r="BC150" s="29" t="s">
        <v>115</v>
      </c>
      <c r="BD150" s="30" t="str">
        <f>VLOOKUP(BC150,'Axe 2 Règles de gestion'!$D$2:$F$41,3, FALSE)</f>
        <v>La date de fin réelle de la position doit être antérieure à la date limite de départ à la retraite.</v>
      </c>
      <c r="BE150" s="29" t="s">
        <v>117</v>
      </c>
      <c r="BF150" s="30" t="str">
        <f>VLOOKUP(BE150,'Axe 2 Règles de gestion'!$D$2:$F$41,3, FALSE)</f>
        <v>La date de fin prévisionnelle de la position doit être antérieure à la date limite de départ à la retraite.</v>
      </c>
      <c r="BG150" s="29" t="s">
        <v>119</v>
      </c>
      <c r="BH150" s="30" t="str">
        <f>VLOOKUP(BG150,'Axe 2 Règles de gestion'!$D$2:$F$41,3, FALSE)</f>
        <v>Les champs "Type d'organisme d'origine", "Catégorie statutaire d'origine" et "Pays" de l'organisme d'origine doivent être renseignés.</v>
      </c>
      <c r="BI150" s="29" t="s">
        <v>121</v>
      </c>
      <c r="BJ150" s="30" t="str">
        <f>VLOOKUP(BI150,'Axe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50" s="29" t="s">
        <v>123</v>
      </c>
      <c r="BL150" s="30" t="str">
        <f>VLOOKUP(BK150,'Axe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50" s="29" t="s">
        <v>125</v>
      </c>
      <c r="BN150" s="30" t="str">
        <f>VLOOKUP(BM150,'Axe 2 Règles de gestion'!$D$2:$F$41,3, FALSE)</f>
        <v>Le champ "Code emploi statutaire FPT (NET)" est renseigné si le "Type d'organisme d'origine" est valorisé à FPT.</v>
      </c>
      <c r="BO150" s="29" t="s">
        <v>127</v>
      </c>
      <c r="BP150" s="30" t="str">
        <f>VLOOKUP(BO150,'Axe 2 Règles de gestion'!$D$2:$F$41,3, FALSE)</f>
        <v>Le champ "Code emploi statutaire FPH (NEH)" est renseigné si le "Type d'organisme d'origine" est valorisé à FPH.</v>
      </c>
      <c r="BQ150" s="26" t="s">
        <v>266</v>
      </c>
      <c r="BR150" s="28" t="s">
        <v>84</v>
      </c>
    </row>
    <row r="151" spans="1:70" s="31" customFormat="1" ht="135" x14ac:dyDescent="0.25">
      <c r="A151" s="26" t="s">
        <v>254</v>
      </c>
      <c r="B151" s="26" t="s">
        <v>129</v>
      </c>
      <c r="C151" s="27">
        <v>46101.680555555555</v>
      </c>
      <c r="D151" s="26" t="s">
        <v>73</v>
      </c>
      <c r="E151" s="28" t="s">
        <v>74</v>
      </c>
      <c r="F151" s="26" t="s">
        <v>75</v>
      </c>
      <c r="G151" s="28" t="s">
        <v>76</v>
      </c>
      <c r="H151" s="26" t="s">
        <v>255</v>
      </c>
      <c r="I151" s="28" t="s">
        <v>256</v>
      </c>
      <c r="J151" s="28" t="s">
        <v>257</v>
      </c>
      <c r="K151" s="28" t="s">
        <v>258</v>
      </c>
      <c r="L151" s="26" t="s">
        <v>271</v>
      </c>
      <c r="M151" s="28" t="s">
        <v>272</v>
      </c>
      <c r="N151" s="26" t="s">
        <v>136</v>
      </c>
      <c r="O151" s="28" t="s">
        <v>273</v>
      </c>
      <c r="P151" s="28" t="s">
        <v>274</v>
      </c>
      <c r="Q151" s="28" t="s">
        <v>144</v>
      </c>
      <c r="R151" s="26" t="s">
        <v>145</v>
      </c>
      <c r="S151" s="26" t="s">
        <v>146</v>
      </c>
      <c r="T151" s="26" t="s">
        <v>88</v>
      </c>
      <c r="U151" s="26" t="s">
        <v>89</v>
      </c>
      <c r="V151" s="27">
        <v>45658</v>
      </c>
      <c r="W151" s="27"/>
      <c r="X151" s="28" t="s">
        <v>204</v>
      </c>
      <c r="Y151" s="29" t="s">
        <v>91</v>
      </c>
      <c r="Z151" s="30" t="str">
        <f>VLOOKUP(Y151,'Axe 2 Règles de gestion'!$D$2:$F$41,3, FALSE)</f>
        <v>L'agent doit effectuer une demande.</v>
      </c>
      <c r="AA151" s="29" t="s">
        <v>93</v>
      </c>
      <c r="AB151" s="30" t="str">
        <f>VLOOKUP(AA151,'Axe 2 Règles de gestion'!$D$2:$F$41,3, FALSE)</f>
        <v>L'affectation intervient à l'initiative de l'agent ou de l'administration.</v>
      </c>
      <c r="AC151" s="29" t="s">
        <v>97</v>
      </c>
      <c r="AD151" s="30" t="str">
        <f>VLOOKUP(AC151,'Axe 2 Règles de gestion'!$D$2:$F$41,3, FALSE)</f>
        <v>Un avis conforme de l'administration d'accueil a préalablement été transmis à l'administration d'origine sauf dans le cadre d'un transfert de service.</v>
      </c>
      <c r="AE151" s="29" t="s">
        <v>99</v>
      </c>
      <c r="AF151" s="30" t="str">
        <f>VLOOKUP(AE151,'Axe 2 Règles de gestion'!$D$2:$F$41,3, FALSE)</f>
        <v>Lorsque l'affectation de l'agent est prononcée dans un établissement public, le ministère de tutelle en est préalablement informé.</v>
      </c>
      <c r="AG151" s="29" t="s">
        <v>195</v>
      </c>
      <c r="AH151" s="30" t="str">
        <f>VLOOKUP(AG151,'Axe 2 Règles de gestion'!$D$2:$F$41,3, FALSE)</f>
        <v>Pour les positions normales d'activité prises avant le 18/04/2020, la limitation de durée ne s'applique pas.</v>
      </c>
      <c r="AI151" s="29"/>
      <c r="AJ151" s="30"/>
      <c r="AK151" s="29"/>
      <c r="AL151" s="30"/>
      <c r="AM151" s="29"/>
      <c r="AN151" s="30"/>
      <c r="AO151" s="29"/>
      <c r="AP151" s="30"/>
      <c r="AQ151" s="29" t="s">
        <v>186</v>
      </c>
      <c r="AR151" s="30" t="str">
        <f>VLOOKUP(AQ151,'Axe 2 Règles de gestion'!$D$2:$F$41,3, FALSE)</f>
        <v>La durée prévisionnelle de l'affectation en position normale d'activité hors de l'administration d'origine est fixée à 3 ans.</v>
      </c>
      <c r="AS151" s="29" t="s">
        <v>188</v>
      </c>
      <c r="AT151" s="30" t="str">
        <f>VLOOKUP(AS151,'Axe 2 Règles de gestion'!$D$2:$F$41,3, FALSE)</f>
        <v>La durée réelle de l'affectation en position normale d'activité hors de l'administration d'origine est fixée à 3 ans.</v>
      </c>
      <c r="AU151" s="29" t="s">
        <v>107</v>
      </c>
      <c r="AV151" s="30" t="str">
        <f>VLOOKUP(AU151,'Axe 2 Règles de gestion'!$D$2:$F$41,3, FALSE)</f>
        <v>La date de début de la position doit être postérieure ou égale à la date d'entrée dans la FPE ou dans la carrière militaire.</v>
      </c>
      <c r="AW151" s="29" t="s">
        <v>109</v>
      </c>
      <c r="AX151" s="30" t="str">
        <f>VLOOKUP(AW151,'Axe 2 Règles de gestion'!$D$2:$F$41,3, FALSE)</f>
        <v>La date de début de position est à J+1 de la date de fin de position de l'occurrence précédente.</v>
      </c>
      <c r="AY151" s="29" t="s">
        <v>111</v>
      </c>
      <c r="AZ151" s="30" t="str">
        <f>VLOOKUP(AY151,'Axe 2 Règles de gestion'!$D$2:$F$41,3, FALSE)</f>
        <v>La date de début de position doit être antérieure ou égale à la date de fin réelle de position.</v>
      </c>
      <c r="BA151" s="29" t="s">
        <v>113</v>
      </c>
      <c r="BB151" s="30" t="str">
        <f>VLOOKUP(BA151,'Axe 2 Règles de gestion'!$D$2:$F$41,3, FALSE)</f>
        <v>La date de début de position doit être antérieure ou égale à la date de fin prévisionnelle de position.</v>
      </c>
      <c r="BC151" s="29" t="s">
        <v>115</v>
      </c>
      <c r="BD151" s="30" t="str">
        <f>VLOOKUP(BC151,'Axe 2 Règles de gestion'!$D$2:$F$41,3, FALSE)</f>
        <v>La date de fin réelle de la position doit être antérieure à la date limite de départ à la retraite.</v>
      </c>
      <c r="BE151" s="29" t="s">
        <v>117</v>
      </c>
      <c r="BF151" s="30" t="str">
        <f>VLOOKUP(BE151,'Axe 2 Règles de gestion'!$D$2:$F$41,3, FALSE)</f>
        <v>La date de fin prévisionnelle de la position doit être antérieure à la date limite de départ à la retraite.</v>
      </c>
      <c r="BG151" s="29" t="s">
        <v>119</v>
      </c>
      <c r="BH151" s="30" t="str">
        <f>VLOOKUP(BG151,'Axe 2 Règles de gestion'!$D$2:$F$41,3, FALSE)</f>
        <v>Les champs "Type d'organisme d'origine", "Catégorie statutaire d'origine" et "Pays" de l'organisme d'origine doivent être renseignés.</v>
      </c>
      <c r="BI151" s="29" t="s">
        <v>121</v>
      </c>
      <c r="BJ151" s="30" t="str">
        <f>VLOOKUP(BI151,'Axe 2 Règles de gestion'!$D$2:$F$41,3, FALSE)</f>
        <v>Les champs "Ministère (ou institution de la République) d'origine", "Corps d'origine", "Grade d'origine", "Echelon d'origine" sont renseignés si le "Type d'organisme d'origine" est valorisé à FPE.</v>
      </c>
      <c r="BK151" s="29" t="s">
        <v>123</v>
      </c>
      <c r="BL151" s="30" t="str">
        <f>VLOOKUP(BK151,'Axe 2 Règles de gestion'!$D$2:$F$41,3, FALSE)</f>
        <v>Le champ "Organisme d'origine" doit être alimenté si le type d'organisme d'origine est égal à 'Autre organisme', 'Fonction publique d'un état de l'Union Européenne' ou 'Fonction publique Européenne'.</v>
      </c>
      <c r="BM151" s="29" t="s">
        <v>125</v>
      </c>
      <c r="BN151" s="30" t="str">
        <f>VLOOKUP(BM151,'Axe 2 Règles de gestion'!$D$2:$F$41,3, FALSE)</f>
        <v>Le champ "Code emploi statutaire FPT (NET)" est renseigné si le "Type d'organisme d'origine" est valorisé à FPT.</v>
      </c>
      <c r="BO151" s="29" t="s">
        <v>127</v>
      </c>
      <c r="BP151" s="30" t="str">
        <f>VLOOKUP(BO151,'Axe 2 Règles de gestion'!$D$2:$F$41,3, FALSE)</f>
        <v>Le champ "Code emploi statutaire FPH (NEH)" est renseigné si le "Type d'organisme d'origine" est valorisé à FPH.</v>
      </c>
      <c r="BQ151" s="26" t="s">
        <v>266</v>
      </c>
      <c r="BR151" s="28" t="s">
        <v>84</v>
      </c>
    </row>
    <row r="152" spans="1:70" s="31" customFormat="1" ht="135" x14ac:dyDescent="0.25">
      <c r="A152" s="26" t="s">
        <v>254</v>
      </c>
      <c r="B152" s="26" t="s">
        <v>129</v>
      </c>
      <c r="C152" s="27">
        <v>46101.675694444442</v>
      </c>
      <c r="D152" s="26" t="s">
        <v>73</v>
      </c>
      <c r="E152" s="28" t="s">
        <v>74</v>
      </c>
      <c r="F152" s="26" t="s">
        <v>75</v>
      </c>
      <c r="G152" s="28" t="s">
        <v>76</v>
      </c>
      <c r="H152" s="26" t="s">
        <v>255</v>
      </c>
      <c r="I152" s="28" t="s">
        <v>256</v>
      </c>
      <c r="J152" s="28" t="s">
        <v>257</v>
      </c>
      <c r="K152" s="28" t="s">
        <v>258</v>
      </c>
      <c r="L152" s="26" t="s">
        <v>259</v>
      </c>
      <c r="M152" s="28" t="s">
        <v>260</v>
      </c>
      <c r="N152" s="26" t="s">
        <v>178</v>
      </c>
      <c r="O152" s="28" t="s">
        <v>261</v>
      </c>
      <c r="P152" s="28" t="s">
        <v>262</v>
      </c>
      <c r="Q152" s="28" t="s">
        <v>148</v>
      </c>
      <c r="R152" s="26" t="s">
        <v>149</v>
      </c>
      <c r="S152" s="26" t="s">
        <v>150</v>
      </c>
      <c r="T152" s="26" t="s">
        <v>88</v>
      </c>
      <c r="U152" s="26" t="s">
        <v>140</v>
      </c>
      <c r="V152" s="27">
        <v>45658</v>
      </c>
      <c r="W152" s="27"/>
      <c r="X152" s="28" t="s">
        <v>84</v>
      </c>
      <c r="Y152" s="29"/>
      <c r="Z152" s="30"/>
      <c r="AA152" s="29"/>
      <c r="AB152" s="30"/>
      <c r="AC152" s="29"/>
      <c r="AD152" s="30"/>
      <c r="AE152" s="29"/>
      <c r="AF152" s="30"/>
      <c r="AG152" s="29"/>
      <c r="AH152" s="30"/>
      <c r="AI152" s="29"/>
      <c r="AJ152" s="30"/>
      <c r="AK152" s="29"/>
      <c r="AL152" s="30"/>
      <c r="AM152" s="29"/>
      <c r="AN152" s="30"/>
      <c r="AO152" s="29"/>
      <c r="AP152" s="30"/>
      <c r="AQ152" s="29"/>
      <c r="AR152" s="30"/>
      <c r="AS152" s="29"/>
      <c r="AT152" s="30"/>
      <c r="AU152" s="29"/>
      <c r="AV152" s="30"/>
      <c r="AW152" s="29"/>
      <c r="AX152" s="30"/>
      <c r="AY152" s="29"/>
      <c r="AZ152" s="30"/>
      <c r="BA152" s="29"/>
      <c r="BB152" s="30"/>
      <c r="BC152" s="29"/>
      <c r="BD152" s="30"/>
      <c r="BE152" s="29"/>
      <c r="BF152" s="30"/>
      <c r="BG152" s="29"/>
      <c r="BH152" s="30"/>
      <c r="BI152" s="29"/>
      <c r="BJ152" s="30"/>
      <c r="BK152" s="29"/>
      <c r="BL152" s="30"/>
      <c r="BM152" s="29"/>
      <c r="BN152" s="30"/>
      <c r="BO152" s="29"/>
      <c r="BP152" s="30"/>
      <c r="BQ152" s="26" t="s">
        <v>266</v>
      </c>
      <c r="BR152" s="28" t="s">
        <v>84</v>
      </c>
    </row>
    <row r="153" spans="1:70" s="31" customFormat="1" ht="135" x14ac:dyDescent="0.25">
      <c r="A153" s="26" t="s">
        <v>254</v>
      </c>
      <c r="B153" s="26" t="s">
        <v>129</v>
      </c>
      <c r="C153" s="27">
        <v>46101.678472222222</v>
      </c>
      <c r="D153" s="26" t="s">
        <v>73</v>
      </c>
      <c r="E153" s="28" t="s">
        <v>74</v>
      </c>
      <c r="F153" s="26" t="s">
        <v>75</v>
      </c>
      <c r="G153" s="28" t="s">
        <v>76</v>
      </c>
      <c r="H153" s="26" t="s">
        <v>255</v>
      </c>
      <c r="I153" s="28" t="s">
        <v>256</v>
      </c>
      <c r="J153" s="28" t="s">
        <v>257</v>
      </c>
      <c r="K153" s="28" t="s">
        <v>258</v>
      </c>
      <c r="L153" s="26" t="s">
        <v>267</v>
      </c>
      <c r="M153" s="28" t="s">
        <v>268</v>
      </c>
      <c r="N153" s="26" t="s">
        <v>178</v>
      </c>
      <c r="O153" s="28" t="s">
        <v>269</v>
      </c>
      <c r="P153" s="28" t="s">
        <v>270</v>
      </c>
      <c r="Q153" s="28" t="s">
        <v>148</v>
      </c>
      <c r="R153" s="26" t="s">
        <v>149</v>
      </c>
      <c r="S153" s="26" t="s">
        <v>150</v>
      </c>
      <c r="T153" s="26" t="s">
        <v>88</v>
      </c>
      <c r="U153" s="26" t="s">
        <v>140</v>
      </c>
      <c r="V153" s="27">
        <v>45658</v>
      </c>
      <c r="W153" s="27"/>
      <c r="X153" s="28" t="s">
        <v>84</v>
      </c>
      <c r="Y153" s="29"/>
      <c r="Z153" s="30"/>
      <c r="AA153" s="29"/>
      <c r="AB153" s="30"/>
      <c r="AC153" s="29"/>
      <c r="AD153" s="30"/>
      <c r="AE153" s="29"/>
      <c r="AF153" s="30"/>
      <c r="AG153" s="29"/>
      <c r="AH153" s="30"/>
      <c r="AI153" s="29"/>
      <c r="AJ153" s="30"/>
      <c r="AK153" s="29"/>
      <c r="AL153" s="30"/>
      <c r="AM153" s="29"/>
      <c r="AN153" s="30"/>
      <c r="AO153" s="29"/>
      <c r="AP153" s="30"/>
      <c r="AQ153" s="29"/>
      <c r="AR153" s="30"/>
      <c r="AS153" s="29"/>
      <c r="AT153" s="30"/>
      <c r="AU153" s="29"/>
      <c r="AV153" s="30"/>
      <c r="AW153" s="29"/>
      <c r="AX153" s="30"/>
      <c r="AY153" s="29"/>
      <c r="AZ153" s="30"/>
      <c r="BA153" s="29"/>
      <c r="BB153" s="30"/>
      <c r="BC153" s="29"/>
      <c r="BD153" s="30"/>
      <c r="BE153" s="29"/>
      <c r="BF153" s="30"/>
      <c r="BG153" s="29"/>
      <c r="BH153" s="30"/>
      <c r="BI153" s="29"/>
      <c r="BJ153" s="30"/>
      <c r="BK153" s="29"/>
      <c r="BL153" s="30"/>
      <c r="BM153" s="29"/>
      <c r="BN153" s="30"/>
      <c r="BO153" s="29"/>
      <c r="BP153" s="30"/>
      <c r="BQ153" s="26" t="s">
        <v>266</v>
      </c>
      <c r="BR153" s="28" t="s">
        <v>84</v>
      </c>
    </row>
    <row r="154" spans="1:70" s="31" customFormat="1" ht="135" x14ac:dyDescent="0.25">
      <c r="A154" s="26" t="s">
        <v>254</v>
      </c>
      <c r="B154" s="26" t="s">
        <v>129</v>
      </c>
      <c r="C154" s="27">
        <v>46101.680555555555</v>
      </c>
      <c r="D154" s="26" t="s">
        <v>73</v>
      </c>
      <c r="E154" s="28" t="s">
        <v>74</v>
      </c>
      <c r="F154" s="26" t="s">
        <v>75</v>
      </c>
      <c r="G154" s="28" t="s">
        <v>76</v>
      </c>
      <c r="H154" s="26" t="s">
        <v>255</v>
      </c>
      <c r="I154" s="28" t="s">
        <v>256</v>
      </c>
      <c r="J154" s="28" t="s">
        <v>257</v>
      </c>
      <c r="K154" s="28" t="s">
        <v>258</v>
      </c>
      <c r="L154" s="26" t="s">
        <v>271</v>
      </c>
      <c r="M154" s="28" t="s">
        <v>272</v>
      </c>
      <c r="N154" s="26" t="s">
        <v>136</v>
      </c>
      <c r="O154" s="28" t="s">
        <v>273</v>
      </c>
      <c r="P154" s="28" t="s">
        <v>274</v>
      </c>
      <c r="Q154" s="28" t="s">
        <v>148</v>
      </c>
      <c r="R154" s="26" t="s">
        <v>149</v>
      </c>
      <c r="S154" s="26" t="s">
        <v>150</v>
      </c>
      <c r="T154" s="26" t="s">
        <v>88</v>
      </c>
      <c r="U154" s="26" t="s">
        <v>140</v>
      </c>
      <c r="V154" s="27">
        <v>45658</v>
      </c>
      <c r="W154" s="27"/>
      <c r="X154" s="28" t="s">
        <v>84</v>
      </c>
      <c r="Y154" s="29"/>
      <c r="Z154" s="30"/>
      <c r="AA154" s="29"/>
      <c r="AB154" s="30"/>
      <c r="AC154" s="29"/>
      <c r="AD154" s="30"/>
      <c r="AE154" s="29"/>
      <c r="AF154" s="30"/>
      <c r="AG154" s="29"/>
      <c r="AH154" s="30"/>
      <c r="AI154" s="29"/>
      <c r="AJ154" s="30"/>
      <c r="AK154" s="29"/>
      <c r="AL154" s="30"/>
      <c r="AM154" s="29"/>
      <c r="AN154" s="30"/>
      <c r="AO154" s="29"/>
      <c r="AP154" s="30"/>
      <c r="AQ154" s="29"/>
      <c r="AR154" s="30"/>
      <c r="AS154" s="29"/>
      <c r="AT154" s="30"/>
      <c r="AU154" s="29"/>
      <c r="AV154" s="30"/>
      <c r="AW154" s="29"/>
      <c r="AX154" s="30"/>
      <c r="AY154" s="29"/>
      <c r="AZ154" s="30"/>
      <c r="BA154" s="29"/>
      <c r="BB154" s="30"/>
      <c r="BC154" s="29"/>
      <c r="BD154" s="30"/>
      <c r="BE154" s="29"/>
      <c r="BF154" s="30"/>
      <c r="BG154" s="29"/>
      <c r="BH154" s="30"/>
      <c r="BI154" s="29"/>
      <c r="BJ154" s="30"/>
      <c r="BK154" s="29"/>
      <c r="BL154" s="30"/>
      <c r="BM154" s="29"/>
      <c r="BN154" s="30"/>
      <c r="BO154" s="29"/>
      <c r="BP154" s="30"/>
      <c r="BQ154" s="26" t="s">
        <v>266</v>
      </c>
      <c r="BR154" s="28" t="s">
        <v>84</v>
      </c>
    </row>
    <row r="155" spans="1:70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84</v>
      </c>
      <c r="K155" s="20" t="s">
        <v>84</v>
      </c>
      <c r="L155" s="20"/>
      <c r="M155" s="20"/>
      <c r="N155" s="20" t="s">
        <v>84</v>
      </c>
      <c r="O155" s="20" t="s">
        <v>84</v>
      </c>
      <c r="P155" s="20" t="s">
        <v>84</v>
      </c>
      <c r="Q155" s="20"/>
      <c r="R155" s="20"/>
      <c r="T155" s="20"/>
      <c r="U155" s="19"/>
      <c r="V155" s="22"/>
      <c r="W155" s="22"/>
      <c r="X155" s="20"/>
      <c r="BQ155" s="25"/>
      <c r="BR155" s="20"/>
    </row>
    <row r="156" spans="1:70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84</v>
      </c>
      <c r="K156" s="20" t="s">
        <v>84</v>
      </c>
      <c r="L156" s="20"/>
      <c r="M156" s="20"/>
      <c r="N156" s="20" t="s">
        <v>84</v>
      </c>
      <c r="O156" s="20" t="s">
        <v>84</v>
      </c>
      <c r="P156" s="20" t="s">
        <v>84</v>
      </c>
      <c r="Q156" s="20"/>
      <c r="R156" s="20"/>
      <c r="T156" s="20"/>
      <c r="U156" s="19"/>
      <c r="V156" s="22"/>
      <c r="W156" s="22"/>
      <c r="X156" s="20"/>
      <c r="BQ156" s="25"/>
      <c r="BR156" s="20"/>
    </row>
    <row r="157" spans="1:70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84</v>
      </c>
      <c r="K157" s="20" t="s">
        <v>84</v>
      </c>
      <c r="L157" s="20"/>
      <c r="M157" s="20"/>
      <c r="N157" s="20" t="s">
        <v>84</v>
      </c>
      <c r="O157" s="20" t="s">
        <v>84</v>
      </c>
      <c r="P157" s="20" t="s">
        <v>84</v>
      </c>
      <c r="Q157" s="20"/>
      <c r="R157" s="20"/>
      <c r="T157" s="20"/>
      <c r="U157" s="19"/>
      <c r="V157" s="22"/>
      <c r="W157" s="22"/>
      <c r="X157" s="20"/>
      <c r="BQ157" s="25"/>
      <c r="BR157" s="20"/>
    </row>
    <row r="158" spans="1:70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84</v>
      </c>
      <c r="K158" s="20" t="s">
        <v>84</v>
      </c>
      <c r="L158" s="20"/>
      <c r="M158" s="20"/>
      <c r="N158" s="20" t="s">
        <v>84</v>
      </c>
      <c r="O158" s="20" t="s">
        <v>84</v>
      </c>
      <c r="P158" s="20" t="s">
        <v>84</v>
      </c>
      <c r="Q158" s="20"/>
      <c r="R158" s="20"/>
      <c r="T158" s="20"/>
      <c r="U158" s="19"/>
      <c r="V158" s="22"/>
      <c r="W158" s="22"/>
      <c r="X158" s="20"/>
      <c r="BQ158" s="25"/>
      <c r="BR158" s="20"/>
    </row>
    <row r="159" spans="1:70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84</v>
      </c>
      <c r="K159" s="20" t="s">
        <v>84</v>
      </c>
      <c r="L159" s="20"/>
      <c r="M159" s="20"/>
      <c r="N159" s="20" t="s">
        <v>84</v>
      </c>
      <c r="O159" s="20" t="s">
        <v>84</v>
      </c>
      <c r="P159" s="20" t="s">
        <v>84</v>
      </c>
      <c r="Q159" s="20"/>
      <c r="R159" s="20"/>
      <c r="T159" s="20"/>
      <c r="U159" s="19"/>
      <c r="V159" s="22"/>
      <c r="W159" s="22"/>
      <c r="X159" s="20"/>
      <c r="BQ159" s="25"/>
      <c r="BR159" s="20"/>
    </row>
    <row r="160" spans="1:70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84</v>
      </c>
      <c r="K160" s="20" t="s">
        <v>84</v>
      </c>
      <c r="L160" s="20"/>
      <c r="M160" s="20"/>
      <c r="N160" s="20" t="s">
        <v>84</v>
      </c>
      <c r="O160" s="20" t="s">
        <v>84</v>
      </c>
      <c r="P160" s="20" t="s">
        <v>84</v>
      </c>
      <c r="Q160" s="20"/>
      <c r="R160" s="20"/>
      <c r="T160" s="20"/>
      <c r="U160" s="19"/>
      <c r="V160" s="22"/>
      <c r="W160" s="22"/>
      <c r="X160" s="20"/>
      <c r="BQ160" s="25"/>
      <c r="BR160" s="20"/>
    </row>
    <row r="161" spans="1:70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84</v>
      </c>
      <c r="K161" s="20" t="s">
        <v>84</v>
      </c>
      <c r="L161" s="20"/>
      <c r="M161" s="20"/>
      <c r="N161" s="20" t="s">
        <v>84</v>
      </c>
      <c r="O161" s="20" t="s">
        <v>84</v>
      </c>
      <c r="P161" s="20" t="s">
        <v>84</v>
      </c>
      <c r="Q161" s="20"/>
      <c r="R161" s="20"/>
      <c r="T161" s="20"/>
      <c r="U161" s="19"/>
      <c r="V161" s="22"/>
      <c r="W161" s="22"/>
      <c r="X161" s="20"/>
      <c r="BQ161" s="25"/>
      <c r="BR161" s="20"/>
    </row>
    <row r="162" spans="1:70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84</v>
      </c>
      <c r="K162" s="20" t="s">
        <v>84</v>
      </c>
      <c r="L162" s="20"/>
      <c r="M162" s="20"/>
      <c r="N162" s="20" t="s">
        <v>84</v>
      </c>
      <c r="O162" s="20" t="s">
        <v>84</v>
      </c>
      <c r="P162" s="20" t="s">
        <v>84</v>
      </c>
      <c r="Q162" s="20"/>
      <c r="R162" s="20"/>
      <c r="T162" s="20"/>
      <c r="U162" s="19"/>
      <c r="V162" s="22"/>
      <c r="W162" s="22"/>
      <c r="X162" s="20"/>
      <c r="BQ162" s="25"/>
      <c r="BR162" s="20"/>
    </row>
    <row r="163" spans="1:70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84</v>
      </c>
      <c r="K163" s="20" t="s">
        <v>84</v>
      </c>
      <c r="L163" s="20"/>
      <c r="M163" s="20"/>
      <c r="N163" s="20" t="s">
        <v>84</v>
      </c>
      <c r="O163" s="20" t="s">
        <v>84</v>
      </c>
      <c r="P163" s="20" t="s">
        <v>84</v>
      </c>
      <c r="Q163" s="20"/>
      <c r="R163" s="20"/>
      <c r="T163" s="20"/>
      <c r="U163" s="19"/>
      <c r="V163" s="22"/>
      <c r="W163" s="22"/>
      <c r="X163" s="20"/>
      <c r="BQ163" s="25"/>
      <c r="BR163" s="20"/>
    </row>
    <row r="164" spans="1:70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84</v>
      </c>
      <c r="K164" s="20" t="s">
        <v>84</v>
      </c>
      <c r="L164" s="20"/>
      <c r="M164" s="20"/>
      <c r="N164" s="20" t="s">
        <v>84</v>
      </c>
      <c r="O164" s="20" t="s">
        <v>84</v>
      </c>
      <c r="P164" s="20" t="s">
        <v>84</v>
      </c>
      <c r="Q164" s="20"/>
      <c r="R164" s="20"/>
      <c r="T164" s="20"/>
      <c r="U164" s="19"/>
      <c r="V164" s="22"/>
      <c r="W164" s="22"/>
      <c r="X164" s="20"/>
      <c r="BQ164" s="25"/>
      <c r="BR164" s="20"/>
    </row>
    <row r="165" spans="1:70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84</v>
      </c>
      <c r="K165" s="20" t="s">
        <v>84</v>
      </c>
      <c r="L165" s="20"/>
      <c r="M165" s="20"/>
      <c r="N165" s="20" t="s">
        <v>84</v>
      </c>
      <c r="O165" s="20" t="s">
        <v>84</v>
      </c>
      <c r="P165" s="20" t="s">
        <v>84</v>
      </c>
      <c r="Q165" s="20"/>
      <c r="R165" s="20"/>
      <c r="T165" s="20"/>
      <c r="U165" s="19"/>
      <c r="V165" s="22"/>
      <c r="W165" s="22"/>
      <c r="X165" s="20"/>
      <c r="BQ165" s="25"/>
      <c r="BR165" s="20"/>
    </row>
    <row r="166" spans="1:70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84</v>
      </c>
      <c r="K166" s="20" t="s">
        <v>84</v>
      </c>
      <c r="L166" s="20"/>
      <c r="M166" s="20"/>
      <c r="N166" s="20" t="s">
        <v>84</v>
      </c>
      <c r="O166" s="20" t="s">
        <v>84</v>
      </c>
      <c r="P166" s="20" t="s">
        <v>84</v>
      </c>
      <c r="Q166" s="20"/>
      <c r="R166" s="20"/>
      <c r="T166" s="20"/>
      <c r="U166" s="19"/>
      <c r="V166" s="22"/>
      <c r="W166" s="22"/>
      <c r="X166" s="20"/>
      <c r="BQ166" s="25"/>
      <c r="BR166" s="20"/>
    </row>
    <row r="167" spans="1:70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84</v>
      </c>
      <c r="K167" s="20" t="s">
        <v>84</v>
      </c>
      <c r="L167" s="20"/>
      <c r="M167" s="20"/>
      <c r="N167" s="20" t="s">
        <v>84</v>
      </c>
      <c r="O167" s="20" t="s">
        <v>84</v>
      </c>
      <c r="P167" s="20" t="s">
        <v>84</v>
      </c>
      <c r="Q167" s="20"/>
      <c r="R167" s="20"/>
      <c r="T167" s="20"/>
      <c r="U167" s="19"/>
      <c r="V167" s="22"/>
      <c r="W167" s="22"/>
      <c r="X167" s="20"/>
      <c r="BQ167" s="25"/>
      <c r="BR167" s="20"/>
    </row>
    <row r="168" spans="1:70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84</v>
      </c>
      <c r="K168" s="20" t="s">
        <v>84</v>
      </c>
      <c r="L168" s="20"/>
      <c r="M168" s="20"/>
      <c r="N168" s="20" t="s">
        <v>84</v>
      </c>
      <c r="O168" s="20" t="s">
        <v>84</v>
      </c>
      <c r="P168" s="20" t="s">
        <v>84</v>
      </c>
      <c r="Q168" s="20"/>
      <c r="R168" s="20"/>
      <c r="T168" s="20"/>
      <c r="U168" s="19"/>
      <c r="V168" s="22"/>
      <c r="W168" s="22"/>
      <c r="X168" s="20"/>
      <c r="BQ168" s="25"/>
      <c r="BR168" s="20"/>
    </row>
    <row r="169" spans="1:70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84</v>
      </c>
      <c r="K169" s="20" t="s">
        <v>84</v>
      </c>
      <c r="L169" s="20"/>
      <c r="M169" s="20"/>
      <c r="N169" s="20" t="s">
        <v>84</v>
      </c>
      <c r="O169" s="20" t="s">
        <v>84</v>
      </c>
      <c r="P169" s="20" t="s">
        <v>84</v>
      </c>
      <c r="Q169" s="20"/>
      <c r="R169" s="20"/>
      <c r="T169" s="20"/>
      <c r="U169" s="19"/>
      <c r="V169" s="22"/>
      <c r="W169" s="22"/>
      <c r="X169" s="20"/>
      <c r="BQ169" s="25"/>
      <c r="BR169" s="20"/>
    </row>
    <row r="170" spans="1:70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84</v>
      </c>
      <c r="K170" s="20" t="s">
        <v>84</v>
      </c>
      <c r="L170" s="20"/>
      <c r="M170" s="20"/>
      <c r="N170" s="20" t="s">
        <v>84</v>
      </c>
      <c r="O170" s="20" t="s">
        <v>84</v>
      </c>
      <c r="P170" s="20" t="s">
        <v>84</v>
      </c>
      <c r="Q170" s="20"/>
      <c r="R170" s="20"/>
      <c r="T170" s="20"/>
      <c r="U170" s="19"/>
      <c r="V170" s="22"/>
      <c r="W170" s="22"/>
      <c r="X170" s="20"/>
      <c r="BQ170" s="25"/>
      <c r="BR170" s="20"/>
    </row>
    <row r="171" spans="1:70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84</v>
      </c>
      <c r="K171" s="20" t="s">
        <v>84</v>
      </c>
      <c r="L171" s="20"/>
      <c r="M171" s="20"/>
      <c r="N171" s="20" t="s">
        <v>84</v>
      </c>
      <c r="O171" s="20" t="s">
        <v>84</v>
      </c>
      <c r="P171" s="20" t="s">
        <v>84</v>
      </c>
      <c r="Q171" s="20"/>
      <c r="R171" s="20"/>
      <c r="T171" s="20"/>
      <c r="U171" s="19"/>
      <c r="V171" s="22"/>
      <c r="W171" s="22"/>
      <c r="X171" s="20"/>
      <c r="BQ171" s="25"/>
      <c r="BR171" s="20"/>
    </row>
    <row r="172" spans="1:70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84</v>
      </c>
      <c r="K172" s="20" t="s">
        <v>84</v>
      </c>
      <c r="L172" s="20"/>
      <c r="M172" s="20"/>
      <c r="N172" s="20" t="s">
        <v>84</v>
      </c>
      <c r="O172" s="20" t="s">
        <v>84</v>
      </c>
      <c r="P172" s="20" t="s">
        <v>84</v>
      </c>
      <c r="Q172" s="20"/>
      <c r="R172" s="20"/>
      <c r="T172" s="20"/>
      <c r="U172" s="19"/>
      <c r="V172" s="22"/>
      <c r="W172" s="22"/>
      <c r="X172" s="20"/>
      <c r="BQ172" s="25"/>
      <c r="BR172" s="20"/>
    </row>
    <row r="173" spans="1:70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84</v>
      </c>
      <c r="K173" s="20" t="s">
        <v>84</v>
      </c>
      <c r="L173" s="20"/>
      <c r="M173" s="20"/>
      <c r="N173" s="20" t="s">
        <v>84</v>
      </c>
      <c r="O173" s="20" t="s">
        <v>84</v>
      </c>
      <c r="P173" s="20" t="s">
        <v>84</v>
      </c>
      <c r="Q173" s="20"/>
      <c r="R173" s="20"/>
      <c r="T173" s="20"/>
      <c r="U173" s="19"/>
      <c r="V173" s="22"/>
      <c r="W173" s="22"/>
      <c r="X173" s="20"/>
      <c r="BQ173" s="25"/>
      <c r="BR173" s="20"/>
    </row>
    <row r="174" spans="1:70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84</v>
      </c>
      <c r="K174" s="20" t="s">
        <v>84</v>
      </c>
      <c r="L174" s="20"/>
      <c r="M174" s="20"/>
      <c r="N174" s="20" t="s">
        <v>84</v>
      </c>
      <c r="O174" s="20" t="s">
        <v>84</v>
      </c>
      <c r="P174" s="20" t="s">
        <v>84</v>
      </c>
      <c r="Q174" s="20"/>
      <c r="R174" s="20"/>
      <c r="T174" s="20"/>
      <c r="U174" s="19"/>
      <c r="V174" s="22"/>
      <c r="W174" s="22"/>
      <c r="X174" s="20"/>
      <c r="BQ174" s="25"/>
      <c r="BR174" s="20"/>
    </row>
    <row r="175" spans="1:70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84</v>
      </c>
      <c r="K175" s="20" t="s">
        <v>84</v>
      </c>
      <c r="L175" s="20"/>
      <c r="M175" s="20"/>
      <c r="N175" s="20" t="s">
        <v>84</v>
      </c>
      <c r="O175" s="20" t="s">
        <v>84</v>
      </c>
      <c r="P175" s="20" t="s">
        <v>84</v>
      </c>
      <c r="Q175" s="20"/>
      <c r="R175" s="20"/>
      <c r="T175" s="20"/>
      <c r="U175" s="19"/>
      <c r="V175" s="22"/>
      <c r="W175" s="22"/>
      <c r="X175" s="20"/>
      <c r="BQ175" s="25"/>
      <c r="BR175" s="20"/>
    </row>
    <row r="176" spans="1:70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84</v>
      </c>
      <c r="K176" s="20" t="s">
        <v>84</v>
      </c>
      <c r="L176" s="20"/>
      <c r="M176" s="20"/>
      <c r="N176" s="20" t="s">
        <v>84</v>
      </c>
      <c r="O176" s="20" t="s">
        <v>84</v>
      </c>
      <c r="P176" s="20" t="s">
        <v>84</v>
      </c>
      <c r="Q176" s="20"/>
      <c r="R176" s="20"/>
      <c r="T176" s="20"/>
      <c r="U176" s="19"/>
      <c r="V176" s="22"/>
      <c r="W176" s="22"/>
      <c r="X176" s="20"/>
      <c r="BQ176" s="25"/>
      <c r="BR176" s="20"/>
    </row>
    <row r="177" spans="1:70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84</v>
      </c>
      <c r="K177" s="20" t="s">
        <v>84</v>
      </c>
      <c r="L177" s="20"/>
      <c r="M177" s="20"/>
      <c r="N177" s="20" t="s">
        <v>84</v>
      </c>
      <c r="O177" s="20" t="s">
        <v>84</v>
      </c>
      <c r="P177" s="20" t="s">
        <v>84</v>
      </c>
      <c r="Q177" s="20"/>
      <c r="R177" s="20"/>
      <c r="T177" s="20"/>
      <c r="U177" s="19"/>
      <c r="V177" s="22"/>
      <c r="W177" s="22"/>
      <c r="X177" s="20"/>
      <c r="BQ177" s="25"/>
      <c r="BR177" s="20"/>
    </row>
    <row r="178" spans="1:70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84</v>
      </c>
      <c r="K178" s="20" t="s">
        <v>84</v>
      </c>
      <c r="L178" s="20"/>
      <c r="M178" s="20"/>
      <c r="N178" s="20" t="s">
        <v>84</v>
      </c>
      <c r="O178" s="20" t="s">
        <v>84</v>
      </c>
      <c r="P178" s="20" t="s">
        <v>84</v>
      </c>
      <c r="Q178" s="20"/>
      <c r="R178" s="20"/>
      <c r="T178" s="20"/>
      <c r="U178" s="19"/>
      <c r="V178" s="22"/>
      <c r="W178" s="22"/>
      <c r="X178" s="20"/>
      <c r="BQ178" s="25"/>
      <c r="BR178" s="20"/>
    </row>
    <row r="179" spans="1:70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84</v>
      </c>
      <c r="K179" s="20" t="s">
        <v>84</v>
      </c>
      <c r="L179" s="20"/>
      <c r="M179" s="20"/>
      <c r="N179" s="20" t="s">
        <v>84</v>
      </c>
      <c r="O179" s="20" t="s">
        <v>84</v>
      </c>
      <c r="P179" s="20" t="s">
        <v>84</v>
      </c>
      <c r="Q179" s="20"/>
      <c r="R179" s="20"/>
      <c r="T179" s="20"/>
      <c r="U179" s="19"/>
      <c r="V179" s="22"/>
      <c r="W179" s="22"/>
      <c r="X179" s="20"/>
      <c r="BQ179" s="25"/>
      <c r="BR179" s="20"/>
    </row>
    <row r="180" spans="1:70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84</v>
      </c>
      <c r="K180" s="20" t="s">
        <v>84</v>
      </c>
      <c r="L180" s="20"/>
      <c r="M180" s="20"/>
      <c r="N180" s="20" t="s">
        <v>84</v>
      </c>
      <c r="O180" s="20" t="s">
        <v>84</v>
      </c>
      <c r="P180" s="20" t="s">
        <v>84</v>
      </c>
      <c r="Q180" s="20"/>
      <c r="R180" s="20"/>
      <c r="T180" s="20"/>
      <c r="U180" s="19"/>
      <c r="V180" s="22"/>
      <c r="W180" s="22"/>
      <c r="X180" s="20"/>
      <c r="BQ180" s="25"/>
      <c r="BR180" s="20"/>
    </row>
    <row r="181" spans="1:70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84</v>
      </c>
      <c r="K181" s="20" t="s">
        <v>84</v>
      </c>
      <c r="L181" s="20"/>
      <c r="M181" s="20"/>
      <c r="N181" s="20" t="s">
        <v>84</v>
      </c>
      <c r="O181" s="20" t="s">
        <v>84</v>
      </c>
      <c r="P181" s="20" t="s">
        <v>84</v>
      </c>
      <c r="Q181" s="20"/>
      <c r="R181" s="20"/>
      <c r="T181" s="20"/>
      <c r="U181" s="19"/>
      <c r="V181" s="22"/>
      <c r="W181" s="22"/>
      <c r="X181" s="20"/>
      <c r="BQ181" s="25"/>
      <c r="BR181" s="20"/>
    </row>
    <row r="182" spans="1:70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84</v>
      </c>
      <c r="K182" s="20" t="s">
        <v>84</v>
      </c>
      <c r="L182" s="20"/>
      <c r="M182" s="20"/>
      <c r="N182" s="20" t="s">
        <v>84</v>
      </c>
      <c r="O182" s="20" t="s">
        <v>84</v>
      </c>
      <c r="P182" s="20" t="s">
        <v>84</v>
      </c>
      <c r="Q182" s="20"/>
      <c r="R182" s="20"/>
      <c r="T182" s="20"/>
      <c r="U182" s="19"/>
      <c r="V182" s="22"/>
      <c r="W182" s="22"/>
      <c r="X182" s="20"/>
      <c r="BQ182" s="25"/>
      <c r="BR182" s="20"/>
    </row>
    <row r="183" spans="1:70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84</v>
      </c>
      <c r="K183" s="20" t="s">
        <v>84</v>
      </c>
      <c r="L183" s="20"/>
      <c r="M183" s="20"/>
      <c r="N183" s="20" t="s">
        <v>84</v>
      </c>
      <c r="O183" s="20" t="s">
        <v>84</v>
      </c>
      <c r="P183" s="20" t="s">
        <v>84</v>
      </c>
      <c r="Q183" s="20"/>
      <c r="R183" s="20"/>
      <c r="T183" s="20"/>
      <c r="U183" s="19"/>
      <c r="V183" s="22"/>
      <c r="W183" s="22"/>
      <c r="X183" s="20"/>
      <c r="BQ183" s="25"/>
      <c r="BR183" s="20"/>
    </row>
    <row r="184" spans="1:70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84</v>
      </c>
      <c r="K184" s="20" t="s">
        <v>84</v>
      </c>
      <c r="L184" s="20"/>
      <c r="M184" s="20"/>
      <c r="N184" s="20" t="s">
        <v>84</v>
      </c>
      <c r="O184" s="20" t="s">
        <v>84</v>
      </c>
      <c r="P184" s="20" t="s">
        <v>84</v>
      </c>
      <c r="Q184" s="20"/>
      <c r="R184" s="20"/>
      <c r="T184" s="20"/>
      <c r="U184" s="19"/>
      <c r="V184" s="22"/>
      <c r="W184" s="22"/>
      <c r="X184" s="20"/>
      <c r="BQ184" s="25"/>
      <c r="BR184" s="20"/>
    </row>
    <row r="185" spans="1:70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84</v>
      </c>
      <c r="K185" s="20" t="s">
        <v>84</v>
      </c>
      <c r="L185" s="20"/>
      <c r="M185" s="20"/>
      <c r="N185" s="20" t="s">
        <v>84</v>
      </c>
      <c r="O185" s="20" t="s">
        <v>84</v>
      </c>
      <c r="P185" s="20" t="s">
        <v>84</v>
      </c>
      <c r="Q185" s="20"/>
      <c r="R185" s="20"/>
      <c r="T185" s="20"/>
      <c r="U185" s="19"/>
      <c r="V185" s="22"/>
      <c r="W185" s="22"/>
      <c r="X185" s="20"/>
      <c r="BQ185" s="25"/>
      <c r="BR185" s="20"/>
    </row>
    <row r="186" spans="1:70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84</v>
      </c>
      <c r="K186" s="20" t="s">
        <v>84</v>
      </c>
      <c r="L186" s="20"/>
      <c r="M186" s="20"/>
      <c r="N186" s="20" t="s">
        <v>84</v>
      </c>
      <c r="O186" s="20" t="s">
        <v>84</v>
      </c>
      <c r="P186" s="20" t="s">
        <v>84</v>
      </c>
      <c r="Q186" s="20"/>
      <c r="R186" s="20"/>
      <c r="T186" s="20"/>
      <c r="U186" s="19"/>
      <c r="V186" s="22"/>
      <c r="W186" s="22"/>
      <c r="X186" s="20"/>
      <c r="BQ186" s="25"/>
      <c r="BR186" s="20"/>
    </row>
    <row r="187" spans="1:70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84</v>
      </c>
      <c r="K187" s="20" t="s">
        <v>84</v>
      </c>
      <c r="L187" s="20"/>
      <c r="M187" s="20"/>
      <c r="N187" s="20" t="s">
        <v>84</v>
      </c>
      <c r="O187" s="20" t="s">
        <v>84</v>
      </c>
      <c r="P187" s="20" t="s">
        <v>84</v>
      </c>
      <c r="Q187" s="20"/>
      <c r="R187" s="20"/>
      <c r="T187" s="20"/>
      <c r="U187" s="19"/>
      <c r="V187" s="22"/>
      <c r="W187" s="22"/>
      <c r="X187" s="20"/>
      <c r="BQ187" s="25"/>
      <c r="BR187" s="20"/>
    </row>
    <row r="188" spans="1:70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84</v>
      </c>
      <c r="K188" s="20" t="s">
        <v>84</v>
      </c>
      <c r="L188" s="20"/>
      <c r="M188" s="20"/>
      <c r="N188" s="20" t="s">
        <v>84</v>
      </c>
      <c r="O188" s="20" t="s">
        <v>84</v>
      </c>
      <c r="P188" s="20" t="s">
        <v>84</v>
      </c>
      <c r="Q188" s="20"/>
      <c r="R188" s="20"/>
      <c r="T188" s="20"/>
      <c r="U188" s="19"/>
      <c r="V188" s="22"/>
      <c r="W188" s="22"/>
      <c r="X188" s="20"/>
      <c r="BQ188" s="25"/>
      <c r="BR188" s="20"/>
    </row>
    <row r="189" spans="1:70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84</v>
      </c>
      <c r="K189" s="20" t="s">
        <v>84</v>
      </c>
      <c r="L189" s="20"/>
      <c r="M189" s="20"/>
      <c r="N189" s="20" t="s">
        <v>84</v>
      </c>
      <c r="O189" s="20" t="s">
        <v>84</v>
      </c>
      <c r="P189" s="20" t="s">
        <v>84</v>
      </c>
      <c r="Q189" s="20"/>
      <c r="R189" s="20"/>
      <c r="T189" s="20"/>
      <c r="U189" s="19"/>
      <c r="V189" s="22"/>
      <c r="W189" s="22"/>
      <c r="X189" s="20"/>
      <c r="BQ189" s="25"/>
      <c r="BR189" s="20"/>
    </row>
    <row r="190" spans="1:70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84</v>
      </c>
      <c r="K190" s="20" t="s">
        <v>84</v>
      </c>
      <c r="L190" s="20"/>
      <c r="M190" s="20"/>
      <c r="N190" s="20" t="s">
        <v>84</v>
      </c>
      <c r="O190" s="20" t="s">
        <v>84</v>
      </c>
      <c r="P190" s="20" t="s">
        <v>84</v>
      </c>
      <c r="Q190" s="20"/>
      <c r="R190" s="20"/>
      <c r="T190" s="20"/>
      <c r="U190" s="19"/>
      <c r="V190" s="22"/>
      <c r="W190" s="22"/>
      <c r="X190" s="20"/>
      <c r="BQ190" s="25"/>
      <c r="BR190" s="20"/>
    </row>
    <row r="191" spans="1:70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84</v>
      </c>
      <c r="K191" s="20" t="s">
        <v>84</v>
      </c>
      <c r="L191" s="20"/>
      <c r="M191" s="20"/>
      <c r="N191" s="20" t="s">
        <v>84</v>
      </c>
      <c r="O191" s="20" t="s">
        <v>84</v>
      </c>
      <c r="P191" s="20" t="s">
        <v>84</v>
      </c>
      <c r="Q191" s="20"/>
      <c r="R191" s="20"/>
      <c r="T191" s="20"/>
      <c r="U191" s="19"/>
      <c r="V191" s="22"/>
      <c r="W191" s="22"/>
      <c r="X191" s="20"/>
      <c r="BQ191" s="25"/>
      <c r="BR191" s="20"/>
    </row>
    <row r="192" spans="1:70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84</v>
      </c>
      <c r="K192" s="20" t="s">
        <v>84</v>
      </c>
      <c r="L192" s="20"/>
      <c r="M192" s="20"/>
      <c r="N192" s="20" t="s">
        <v>84</v>
      </c>
      <c r="O192" s="20" t="s">
        <v>84</v>
      </c>
      <c r="P192" s="20" t="s">
        <v>84</v>
      </c>
      <c r="Q192" s="20"/>
      <c r="R192" s="20"/>
      <c r="T192" s="20"/>
      <c r="U192" s="19"/>
      <c r="V192" s="22"/>
      <c r="W192" s="22"/>
      <c r="X192" s="20"/>
      <c r="BQ192" s="25"/>
      <c r="BR192" s="20"/>
    </row>
    <row r="193" spans="1:70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84</v>
      </c>
      <c r="K193" s="20" t="s">
        <v>84</v>
      </c>
      <c r="L193" s="20"/>
      <c r="M193" s="20"/>
      <c r="N193" s="20" t="s">
        <v>84</v>
      </c>
      <c r="O193" s="20" t="s">
        <v>84</v>
      </c>
      <c r="P193" s="20" t="s">
        <v>84</v>
      </c>
      <c r="Q193" s="20"/>
      <c r="R193" s="20"/>
      <c r="T193" s="20"/>
      <c r="U193" s="19"/>
      <c r="V193" s="22"/>
      <c r="W193" s="22"/>
      <c r="X193" s="20"/>
      <c r="BQ193" s="25"/>
      <c r="BR193" s="20"/>
    </row>
    <row r="194" spans="1:70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84</v>
      </c>
      <c r="K194" s="20" t="s">
        <v>84</v>
      </c>
      <c r="L194" s="20"/>
      <c r="M194" s="20"/>
      <c r="N194" s="20" t="s">
        <v>84</v>
      </c>
      <c r="O194" s="20" t="s">
        <v>84</v>
      </c>
      <c r="P194" s="20" t="s">
        <v>84</v>
      </c>
      <c r="Q194" s="20"/>
      <c r="R194" s="20"/>
      <c r="T194" s="20"/>
      <c r="U194" s="19"/>
      <c r="V194" s="22"/>
      <c r="W194" s="22"/>
      <c r="X194" s="20"/>
      <c r="BQ194" s="25"/>
      <c r="BR194" s="20"/>
    </row>
    <row r="195" spans="1:70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84</v>
      </c>
      <c r="K195" s="20" t="s">
        <v>84</v>
      </c>
      <c r="L195" s="20"/>
      <c r="M195" s="20"/>
      <c r="N195" s="20" t="s">
        <v>84</v>
      </c>
      <c r="O195" s="20" t="s">
        <v>84</v>
      </c>
      <c r="P195" s="20" t="s">
        <v>84</v>
      </c>
      <c r="Q195" s="20"/>
      <c r="R195" s="20"/>
      <c r="T195" s="20"/>
      <c r="U195" s="19"/>
      <c r="V195" s="22"/>
      <c r="W195" s="22"/>
      <c r="X195" s="20"/>
      <c r="BQ195" s="25"/>
      <c r="BR195" s="20"/>
    </row>
    <row r="196" spans="1:70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84</v>
      </c>
      <c r="K196" s="20" t="s">
        <v>84</v>
      </c>
      <c r="L196" s="20"/>
      <c r="M196" s="20"/>
      <c r="N196" s="20" t="s">
        <v>84</v>
      </c>
      <c r="O196" s="20" t="s">
        <v>84</v>
      </c>
      <c r="P196" s="20" t="s">
        <v>84</v>
      </c>
      <c r="Q196" s="20"/>
      <c r="R196" s="20"/>
      <c r="T196" s="20"/>
      <c r="U196" s="19"/>
      <c r="V196" s="22"/>
      <c r="W196" s="22"/>
      <c r="X196" s="20"/>
      <c r="BQ196" s="25"/>
      <c r="BR196" s="20"/>
    </row>
    <row r="197" spans="1:70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84</v>
      </c>
      <c r="K197" s="20" t="s">
        <v>84</v>
      </c>
      <c r="L197" s="20"/>
      <c r="M197" s="20"/>
      <c r="N197" s="20" t="s">
        <v>84</v>
      </c>
      <c r="O197" s="20" t="s">
        <v>84</v>
      </c>
      <c r="P197" s="20" t="s">
        <v>84</v>
      </c>
      <c r="Q197" s="20"/>
      <c r="R197" s="20"/>
      <c r="T197" s="20"/>
      <c r="U197" s="19"/>
      <c r="V197" s="22"/>
      <c r="W197" s="22"/>
      <c r="X197" s="20"/>
      <c r="BQ197" s="25"/>
      <c r="BR197" s="20"/>
    </row>
    <row r="198" spans="1:70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84</v>
      </c>
      <c r="K198" s="20" t="s">
        <v>84</v>
      </c>
      <c r="L198" s="20"/>
      <c r="M198" s="20"/>
      <c r="N198" s="20" t="s">
        <v>84</v>
      </c>
      <c r="O198" s="20" t="s">
        <v>84</v>
      </c>
      <c r="P198" s="20" t="s">
        <v>84</v>
      </c>
      <c r="Q198" s="20"/>
      <c r="R198" s="20"/>
      <c r="T198" s="20"/>
      <c r="U198" s="19"/>
      <c r="V198" s="22"/>
      <c r="W198" s="22"/>
      <c r="X198" s="20"/>
      <c r="BQ198" s="25"/>
      <c r="BR198" s="20"/>
    </row>
    <row r="199" spans="1:70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84</v>
      </c>
      <c r="K199" s="20" t="s">
        <v>84</v>
      </c>
      <c r="L199" s="20"/>
      <c r="M199" s="20"/>
      <c r="N199" s="20" t="s">
        <v>84</v>
      </c>
      <c r="O199" s="20" t="s">
        <v>84</v>
      </c>
      <c r="P199" s="20" t="s">
        <v>84</v>
      </c>
      <c r="Q199" s="20"/>
      <c r="R199" s="20"/>
      <c r="T199" s="20"/>
      <c r="U199" s="19"/>
      <c r="V199" s="22"/>
      <c r="W199" s="22"/>
      <c r="X199" s="20"/>
      <c r="BQ199" s="25"/>
      <c r="BR199" s="20"/>
    </row>
    <row r="200" spans="1:70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84</v>
      </c>
      <c r="K200" s="20" t="s">
        <v>84</v>
      </c>
      <c r="L200" s="20"/>
      <c r="M200" s="20"/>
      <c r="N200" s="20" t="s">
        <v>84</v>
      </c>
      <c r="O200" s="20" t="s">
        <v>84</v>
      </c>
      <c r="P200" s="20" t="s">
        <v>84</v>
      </c>
      <c r="Q200" s="20"/>
      <c r="R200" s="20"/>
      <c r="T200" s="20"/>
      <c r="U200" s="19"/>
      <c r="V200" s="22"/>
      <c r="W200" s="22"/>
      <c r="X200" s="20"/>
      <c r="BQ200" s="25"/>
      <c r="BR200" s="20"/>
    </row>
    <row r="201" spans="1:70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84</v>
      </c>
      <c r="K201" s="20" t="s">
        <v>84</v>
      </c>
      <c r="L201" s="20"/>
      <c r="M201" s="20"/>
      <c r="N201" s="20" t="s">
        <v>84</v>
      </c>
      <c r="O201" s="20" t="s">
        <v>84</v>
      </c>
      <c r="P201" s="20" t="s">
        <v>84</v>
      </c>
      <c r="Q201" s="20"/>
      <c r="R201" s="20"/>
      <c r="T201" s="20"/>
      <c r="U201" s="19"/>
      <c r="V201" s="22"/>
      <c r="W201" s="22"/>
      <c r="X201" s="20"/>
      <c r="BQ201" s="25"/>
      <c r="BR201" s="20"/>
    </row>
    <row r="202" spans="1:70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84</v>
      </c>
      <c r="K202" s="20" t="s">
        <v>84</v>
      </c>
      <c r="L202" s="20"/>
      <c r="M202" s="20"/>
      <c r="N202" s="20" t="s">
        <v>84</v>
      </c>
      <c r="O202" s="20" t="s">
        <v>84</v>
      </c>
      <c r="P202" s="20" t="s">
        <v>84</v>
      </c>
      <c r="Q202" s="20"/>
      <c r="R202" s="20"/>
      <c r="T202" s="20"/>
      <c r="U202" s="19"/>
      <c r="V202" s="22"/>
      <c r="W202" s="22"/>
      <c r="X202" s="20"/>
      <c r="BQ202" s="25"/>
      <c r="BR202" s="20"/>
    </row>
    <row r="203" spans="1:70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84</v>
      </c>
      <c r="K203" s="20" t="s">
        <v>84</v>
      </c>
      <c r="L203" s="20"/>
      <c r="M203" s="20"/>
      <c r="N203" s="20" t="s">
        <v>84</v>
      </c>
      <c r="O203" s="20" t="s">
        <v>84</v>
      </c>
      <c r="P203" s="20" t="s">
        <v>84</v>
      </c>
      <c r="Q203" s="20"/>
      <c r="R203" s="20"/>
      <c r="T203" s="20"/>
      <c r="U203" s="19"/>
      <c r="V203" s="22"/>
      <c r="W203" s="22"/>
      <c r="X203" s="20"/>
      <c r="BQ203" s="25"/>
      <c r="BR203" s="20"/>
    </row>
    <row r="204" spans="1:70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84</v>
      </c>
      <c r="K204" s="20" t="s">
        <v>84</v>
      </c>
      <c r="L204" s="20"/>
      <c r="M204" s="20"/>
      <c r="N204" s="20" t="s">
        <v>84</v>
      </c>
      <c r="O204" s="20" t="s">
        <v>84</v>
      </c>
      <c r="P204" s="20" t="s">
        <v>84</v>
      </c>
      <c r="Q204" s="20"/>
      <c r="R204" s="20"/>
      <c r="T204" s="20"/>
      <c r="U204" s="19"/>
      <c r="V204" s="22"/>
      <c r="W204" s="22"/>
      <c r="X204" s="20"/>
      <c r="BQ204" s="25"/>
      <c r="BR204" s="20"/>
    </row>
    <row r="205" spans="1:70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84</v>
      </c>
      <c r="K205" s="20" t="s">
        <v>84</v>
      </c>
      <c r="L205" s="20"/>
      <c r="M205" s="20"/>
      <c r="N205" s="20" t="s">
        <v>84</v>
      </c>
      <c r="O205" s="20" t="s">
        <v>84</v>
      </c>
      <c r="P205" s="20" t="s">
        <v>84</v>
      </c>
      <c r="Q205" s="20"/>
      <c r="R205" s="20"/>
      <c r="T205" s="20"/>
      <c r="U205" s="19"/>
      <c r="V205" s="22"/>
      <c r="W205" s="22"/>
      <c r="X205" s="20"/>
      <c r="BQ205" s="25"/>
      <c r="BR205" s="20"/>
    </row>
    <row r="206" spans="1:70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84</v>
      </c>
      <c r="K206" s="20" t="s">
        <v>84</v>
      </c>
      <c r="L206" s="20"/>
      <c r="M206" s="20"/>
      <c r="N206" s="20" t="s">
        <v>84</v>
      </c>
      <c r="O206" s="20" t="s">
        <v>84</v>
      </c>
      <c r="P206" s="20" t="s">
        <v>84</v>
      </c>
      <c r="Q206" s="20"/>
      <c r="R206" s="20"/>
      <c r="T206" s="20"/>
      <c r="U206" s="19"/>
      <c r="V206" s="22"/>
      <c r="W206" s="22"/>
      <c r="X206" s="20"/>
      <c r="BQ206" s="25"/>
      <c r="BR206" s="20"/>
    </row>
    <row r="207" spans="1:70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84</v>
      </c>
      <c r="K207" s="20" t="s">
        <v>84</v>
      </c>
      <c r="L207" s="20"/>
      <c r="M207" s="20"/>
      <c r="N207" s="20" t="s">
        <v>84</v>
      </c>
      <c r="O207" s="20" t="s">
        <v>84</v>
      </c>
      <c r="P207" s="20" t="s">
        <v>84</v>
      </c>
      <c r="Q207" s="20"/>
      <c r="R207" s="20"/>
      <c r="T207" s="20"/>
      <c r="U207" s="19"/>
      <c r="V207" s="22"/>
      <c r="W207" s="22"/>
      <c r="X207" s="20"/>
      <c r="BQ207" s="25"/>
      <c r="BR207" s="20"/>
    </row>
    <row r="208" spans="1:70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84</v>
      </c>
      <c r="K208" s="20" t="s">
        <v>84</v>
      </c>
      <c r="L208" s="20"/>
      <c r="M208" s="20"/>
      <c r="N208" s="20" t="s">
        <v>84</v>
      </c>
      <c r="O208" s="20" t="s">
        <v>84</v>
      </c>
      <c r="P208" s="20" t="s">
        <v>84</v>
      </c>
      <c r="Q208" s="20"/>
      <c r="R208" s="20"/>
      <c r="T208" s="20"/>
      <c r="U208" s="19"/>
      <c r="V208" s="22"/>
      <c r="W208" s="22"/>
      <c r="X208" s="20"/>
      <c r="BQ208" s="25"/>
      <c r="BR208" s="20"/>
    </row>
    <row r="209" spans="1:70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84</v>
      </c>
      <c r="K209" s="20" t="s">
        <v>84</v>
      </c>
      <c r="L209" s="20"/>
      <c r="M209" s="20"/>
      <c r="N209" s="20" t="s">
        <v>84</v>
      </c>
      <c r="O209" s="20" t="s">
        <v>84</v>
      </c>
      <c r="P209" s="20" t="s">
        <v>84</v>
      </c>
      <c r="Q209" s="20"/>
      <c r="R209" s="20"/>
      <c r="T209" s="20"/>
      <c r="U209" s="19"/>
      <c r="V209" s="22"/>
      <c r="W209" s="22"/>
      <c r="X209" s="20"/>
      <c r="BQ209" s="25"/>
      <c r="BR209" s="20"/>
    </row>
    <row r="210" spans="1:70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84</v>
      </c>
      <c r="K210" s="20" t="s">
        <v>84</v>
      </c>
      <c r="L210" s="20"/>
      <c r="M210" s="20"/>
      <c r="N210" s="20" t="s">
        <v>84</v>
      </c>
      <c r="O210" s="20" t="s">
        <v>84</v>
      </c>
      <c r="P210" s="20" t="s">
        <v>84</v>
      </c>
      <c r="Q210" s="20"/>
      <c r="R210" s="20"/>
      <c r="T210" s="20"/>
      <c r="U210" s="19"/>
      <c r="V210" s="22"/>
      <c r="W210" s="22"/>
      <c r="X210" s="20"/>
      <c r="BQ210" s="25"/>
      <c r="BR210" s="20"/>
    </row>
    <row r="211" spans="1:70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84</v>
      </c>
      <c r="K211" s="20" t="s">
        <v>84</v>
      </c>
      <c r="L211" s="20"/>
      <c r="M211" s="20"/>
      <c r="N211" s="20" t="s">
        <v>84</v>
      </c>
      <c r="O211" s="20" t="s">
        <v>84</v>
      </c>
      <c r="P211" s="20" t="s">
        <v>84</v>
      </c>
      <c r="Q211" s="20"/>
      <c r="R211" s="20"/>
      <c r="T211" s="20"/>
      <c r="U211" s="19"/>
      <c r="V211" s="22"/>
      <c r="W211" s="22"/>
      <c r="X211" s="20"/>
      <c r="BQ211" s="25"/>
      <c r="BR211" s="20"/>
    </row>
    <row r="212" spans="1:70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84</v>
      </c>
      <c r="K212" s="20" t="s">
        <v>84</v>
      </c>
      <c r="L212" s="20"/>
      <c r="M212" s="20"/>
      <c r="N212" s="20" t="s">
        <v>84</v>
      </c>
      <c r="O212" s="20" t="s">
        <v>84</v>
      </c>
      <c r="P212" s="20" t="s">
        <v>84</v>
      </c>
      <c r="Q212" s="20"/>
      <c r="R212" s="20"/>
      <c r="T212" s="20"/>
      <c r="U212" s="19"/>
      <c r="V212" s="22"/>
      <c r="W212" s="22"/>
      <c r="X212" s="20"/>
      <c r="BQ212" s="25"/>
      <c r="BR212" s="20"/>
    </row>
    <row r="213" spans="1:70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84</v>
      </c>
      <c r="K213" s="20" t="s">
        <v>84</v>
      </c>
      <c r="L213" s="20"/>
      <c r="M213" s="20"/>
      <c r="N213" s="20" t="s">
        <v>84</v>
      </c>
      <c r="O213" s="20" t="s">
        <v>84</v>
      </c>
      <c r="P213" s="20" t="s">
        <v>84</v>
      </c>
      <c r="Q213" s="20"/>
      <c r="R213" s="20"/>
      <c r="T213" s="20"/>
      <c r="U213" s="19"/>
      <c r="V213" s="22"/>
      <c r="W213" s="22"/>
      <c r="X213" s="20"/>
      <c r="BQ213" s="25"/>
      <c r="BR213" s="20"/>
    </row>
    <row r="214" spans="1:70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84</v>
      </c>
      <c r="K214" s="20" t="s">
        <v>84</v>
      </c>
      <c r="L214" s="20"/>
      <c r="M214" s="20"/>
      <c r="N214" s="20" t="s">
        <v>84</v>
      </c>
      <c r="O214" s="20" t="s">
        <v>84</v>
      </c>
      <c r="P214" s="20" t="s">
        <v>84</v>
      </c>
      <c r="Q214" s="20"/>
      <c r="R214" s="20"/>
      <c r="T214" s="20"/>
      <c r="U214" s="19"/>
      <c r="V214" s="22"/>
      <c r="W214" s="22"/>
      <c r="X214" s="20"/>
      <c r="BQ214" s="25"/>
      <c r="BR214" s="20"/>
    </row>
    <row r="215" spans="1:70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84</v>
      </c>
      <c r="K215" s="20" t="s">
        <v>84</v>
      </c>
      <c r="L215" s="20"/>
      <c r="M215" s="20"/>
      <c r="N215" s="20" t="s">
        <v>84</v>
      </c>
      <c r="O215" s="20" t="s">
        <v>84</v>
      </c>
      <c r="P215" s="20" t="s">
        <v>84</v>
      </c>
      <c r="Q215" s="20"/>
      <c r="R215" s="20"/>
      <c r="T215" s="20"/>
      <c r="U215" s="19"/>
      <c r="V215" s="22"/>
      <c r="W215" s="22"/>
      <c r="X215" s="20"/>
      <c r="BQ215" s="25"/>
      <c r="BR215" s="20"/>
    </row>
    <row r="216" spans="1:70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84</v>
      </c>
      <c r="K216" s="20" t="s">
        <v>84</v>
      </c>
      <c r="L216" s="20"/>
      <c r="M216" s="20"/>
      <c r="N216" s="20" t="s">
        <v>84</v>
      </c>
      <c r="O216" s="20" t="s">
        <v>84</v>
      </c>
      <c r="P216" s="20" t="s">
        <v>84</v>
      </c>
      <c r="Q216" s="20"/>
      <c r="R216" s="20"/>
      <c r="T216" s="20"/>
      <c r="U216" s="19"/>
      <c r="V216" s="22"/>
      <c r="W216" s="22"/>
      <c r="X216" s="20"/>
      <c r="BQ216" s="25"/>
      <c r="BR216" s="20"/>
    </row>
    <row r="217" spans="1:70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84</v>
      </c>
      <c r="K217" s="20" t="s">
        <v>84</v>
      </c>
      <c r="L217" s="20"/>
      <c r="M217" s="20"/>
      <c r="N217" s="20" t="s">
        <v>84</v>
      </c>
      <c r="O217" s="20" t="s">
        <v>84</v>
      </c>
      <c r="P217" s="20" t="s">
        <v>84</v>
      </c>
      <c r="Q217" s="20"/>
      <c r="R217" s="20"/>
      <c r="T217" s="20"/>
      <c r="U217" s="19"/>
      <c r="V217" s="22"/>
      <c r="W217" s="22"/>
      <c r="X217" s="20"/>
      <c r="BQ217" s="25"/>
      <c r="BR217" s="20"/>
    </row>
    <row r="218" spans="1:70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84</v>
      </c>
      <c r="K218" s="20" t="s">
        <v>84</v>
      </c>
      <c r="L218" s="20"/>
      <c r="M218" s="20"/>
      <c r="N218" s="20" t="s">
        <v>84</v>
      </c>
      <c r="O218" s="20" t="s">
        <v>84</v>
      </c>
      <c r="P218" s="20" t="s">
        <v>84</v>
      </c>
      <c r="Q218" s="20"/>
      <c r="R218" s="20"/>
      <c r="T218" s="20"/>
      <c r="U218" s="19"/>
      <c r="V218" s="22"/>
      <c r="W218" s="22"/>
      <c r="X218" s="20"/>
      <c r="BQ218" s="25"/>
      <c r="BR218" s="20"/>
    </row>
    <row r="219" spans="1:70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84</v>
      </c>
      <c r="K219" s="20" t="s">
        <v>84</v>
      </c>
      <c r="L219" s="20"/>
      <c r="M219" s="20"/>
      <c r="N219" s="20" t="s">
        <v>84</v>
      </c>
      <c r="O219" s="20" t="s">
        <v>84</v>
      </c>
      <c r="P219" s="20" t="s">
        <v>84</v>
      </c>
      <c r="Q219" s="20"/>
      <c r="R219" s="20"/>
      <c r="T219" s="20"/>
      <c r="U219" s="19"/>
      <c r="V219" s="22"/>
      <c r="W219" s="22"/>
      <c r="X219" s="20"/>
      <c r="BQ219" s="25"/>
      <c r="BR219" s="20"/>
    </row>
    <row r="220" spans="1:70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84</v>
      </c>
      <c r="K220" s="20" t="s">
        <v>84</v>
      </c>
      <c r="L220" s="20"/>
      <c r="M220" s="20"/>
      <c r="N220" s="20" t="s">
        <v>84</v>
      </c>
      <c r="O220" s="20" t="s">
        <v>84</v>
      </c>
      <c r="P220" s="20" t="s">
        <v>84</v>
      </c>
      <c r="Q220" s="20"/>
      <c r="R220" s="20"/>
      <c r="T220" s="20"/>
      <c r="U220" s="19"/>
      <c r="V220" s="22"/>
      <c r="W220" s="22"/>
      <c r="X220" s="20"/>
      <c r="BQ220" s="25"/>
      <c r="BR220" s="20"/>
    </row>
    <row r="221" spans="1:70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84</v>
      </c>
      <c r="K221" s="20" t="s">
        <v>84</v>
      </c>
      <c r="L221" s="20"/>
      <c r="M221" s="20"/>
      <c r="N221" s="20" t="s">
        <v>84</v>
      </c>
      <c r="O221" s="20" t="s">
        <v>84</v>
      </c>
      <c r="P221" s="20" t="s">
        <v>84</v>
      </c>
      <c r="Q221" s="20"/>
      <c r="R221" s="20"/>
      <c r="T221" s="20"/>
      <c r="U221" s="19"/>
      <c r="V221" s="22"/>
      <c r="W221" s="22"/>
      <c r="X221" s="20"/>
      <c r="BQ221" s="25"/>
      <c r="BR221" s="20"/>
    </row>
    <row r="222" spans="1:70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84</v>
      </c>
      <c r="K222" s="20" t="s">
        <v>84</v>
      </c>
      <c r="L222" s="20"/>
      <c r="M222" s="20"/>
      <c r="N222" s="20" t="s">
        <v>84</v>
      </c>
      <c r="O222" s="20" t="s">
        <v>84</v>
      </c>
      <c r="P222" s="20" t="s">
        <v>84</v>
      </c>
      <c r="Q222" s="20"/>
      <c r="R222" s="20"/>
      <c r="T222" s="20"/>
      <c r="U222" s="19"/>
      <c r="V222" s="22"/>
      <c r="W222" s="22"/>
      <c r="X222" s="20"/>
      <c r="BQ222" s="25"/>
      <c r="BR222" s="20"/>
    </row>
    <row r="223" spans="1:70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84</v>
      </c>
      <c r="K223" s="20" t="s">
        <v>84</v>
      </c>
      <c r="L223" s="20"/>
      <c r="M223" s="20"/>
      <c r="N223" s="20" t="s">
        <v>84</v>
      </c>
      <c r="O223" s="20" t="s">
        <v>84</v>
      </c>
      <c r="P223" s="20" t="s">
        <v>84</v>
      </c>
      <c r="Q223" s="20"/>
      <c r="R223" s="20"/>
      <c r="T223" s="20"/>
      <c r="U223" s="19"/>
      <c r="V223" s="22"/>
      <c r="W223" s="22"/>
      <c r="X223" s="20"/>
      <c r="BQ223" s="25"/>
      <c r="BR223" s="20"/>
    </row>
    <row r="224" spans="1:70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84</v>
      </c>
      <c r="K224" s="20" t="s">
        <v>84</v>
      </c>
      <c r="L224" s="20"/>
      <c r="M224" s="20"/>
      <c r="N224" s="20" t="s">
        <v>84</v>
      </c>
      <c r="O224" s="20" t="s">
        <v>84</v>
      </c>
      <c r="P224" s="20" t="s">
        <v>84</v>
      </c>
      <c r="Q224" s="20"/>
      <c r="R224" s="20"/>
      <c r="T224" s="20"/>
      <c r="U224" s="19"/>
      <c r="V224" s="22"/>
      <c r="W224" s="22"/>
      <c r="X224" s="20"/>
      <c r="BQ224" s="25"/>
      <c r="BR224" s="20"/>
    </row>
    <row r="225" spans="1:70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84</v>
      </c>
      <c r="K225" s="20" t="s">
        <v>84</v>
      </c>
      <c r="L225" s="20"/>
      <c r="M225" s="20"/>
      <c r="N225" s="20" t="s">
        <v>84</v>
      </c>
      <c r="O225" s="20" t="s">
        <v>84</v>
      </c>
      <c r="P225" s="20" t="s">
        <v>84</v>
      </c>
      <c r="Q225" s="20"/>
      <c r="R225" s="20"/>
      <c r="T225" s="20"/>
      <c r="U225" s="19"/>
      <c r="V225" s="22"/>
      <c r="W225" s="22"/>
      <c r="X225" s="20"/>
      <c r="BQ225" s="25"/>
      <c r="BR225" s="20"/>
    </row>
    <row r="226" spans="1:70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84</v>
      </c>
      <c r="K226" s="20" t="s">
        <v>84</v>
      </c>
      <c r="L226" s="20"/>
      <c r="M226" s="20"/>
      <c r="N226" s="20" t="s">
        <v>84</v>
      </c>
      <c r="O226" s="20" t="s">
        <v>84</v>
      </c>
      <c r="P226" s="20" t="s">
        <v>84</v>
      </c>
      <c r="Q226" s="20"/>
      <c r="R226" s="20"/>
      <c r="T226" s="20"/>
      <c r="U226" s="19"/>
      <c r="V226" s="22"/>
      <c r="W226" s="22"/>
      <c r="X226" s="20"/>
      <c r="BQ226" s="25"/>
      <c r="BR226" s="20"/>
    </row>
    <row r="227" spans="1:70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84</v>
      </c>
      <c r="K227" s="20" t="s">
        <v>84</v>
      </c>
      <c r="L227" s="20"/>
      <c r="M227" s="20"/>
      <c r="N227" s="20" t="s">
        <v>84</v>
      </c>
      <c r="O227" s="20" t="s">
        <v>84</v>
      </c>
      <c r="P227" s="20" t="s">
        <v>84</v>
      </c>
      <c r="Q227" s="20"/>
      <c r="R227" s="20"/>
      <c r="T227" s="20"/>
      <c r="U227" s="19"/>
      <c r="V227" s="22"/>
      <c r="W227" s="22"/>
      <c r="X227" s="20"/>
      <c r="BQ227" s="25"/>
      <c r="BR227" s="20"/>
    </row>
    <row r="228" spans="1:70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84</v>
      </c>
      <c r="K228" s="20" t="s">
        <v>84</v>
      </c>
      <c r="L228" s="20"/>
      <c r="M228" s="20"/>
      <c r="N228" s="20" t="s">
        <v>84</v>
      </c>
      <c r="O228" s="20" t="s">
        <v>84</v>
      </c>
      <c r="P228" s="20" t="s">
        <v>84</v>
      </c>
      <c r="Q228" s="20"/>
      <c r="R228" s="20"/>
      <c r="T228" s="20"/>
      <c r="U228" s="19"/>
      <c r="V228" s="22"/>
      <c r="W228" s="22"/>
      <c r="X228" s="20"/>
      <c r="BQ228" s="25"/>
      <c r="BR228" s="20"/>
    </row>
    <row r="229" spans="1:70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84</v>
      </c>
      <c r="K229" s="20" t="s">
        <v>84</v>
      </c>
      <c r="L229" s="20"/>
      <c r="M229" s="20"/>
      <c r="N229" s="20" t="s">
        <v>84</v>
      </c>
      <c r="O229" s="20" t="s">
        <v>84</v>
      </c>
      <c r="P229" s="20" t="s">
        <v>84</v>
      </c>
      <c r="Q229" s="20"/>
      <c r="R229" s="20"/>
      <c r="T229" s="20"/>
      <c r="U229" s="19"/>
      <c r="V229" s="22"/>
      <c r="W229" s="22"/>
      <c r="X229" s="20"/>
      <c r="BQ229" s="25"/>
      <c r="BR229" s="20"/>
    </row>
    <row r="230" spans="1:70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84</v>
      </c>
      <c r="K230" s="20" t="s">
        <v>84</v>
      </c>
      <c r="L230" s="20"/>
      <c r="M230" s="20"/>
      <c r="N230" s="20" t="s">
        <v>84</v>
      </c>
      <c r="O230" s="20" t="s">
        <v>84</v>
      </c>
      <c r="P230" s="20" t="s">
        <v>84</v>
      </c>
      <c r="Q230" s="20"/>
      <c r="R230" s="20"/>
      <c r="T230" s="20"/>
      <c r="U230" s="19"/>
      <c r="V230" s="22"/>
      <c r="W230" s="22"/>
      <c r="X230" s="20"/>
      <c r="BQ230" s="25"/>
      <c r="BR230" s="20"/>
    </row>
    <row r="231" spans="1:70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84</v>
      </c>
      <c r="K231" s="20" t="s">
        <v>84</v>
      </c>
      <c r="L231" s="20"/>
      <c r="M231" s="20"/>
      <c r="N231" s="20" t="s">
        <v>84</v>
      </c>
      <c r="O231" s="20" t="s">
        <v>84</v>
      </c>
      <c r="P231" s="20" t="s">
        <v>84</v>
      </c>
      <c r="Q231" s="20"/>
      <c r="R231" s="20"/>
      <c r="T231" s="20"/>
      <c r="U231" s="19"/>
      <c r="V231" s="22"/>
      <c r="W231" s="22"/>
      <c r="X231" s="20"/>
      <c r="BQ231" s="25"/>
      <c r="BR231" s="20"/>
    </row>
    <row r="232" spans="1:70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84</v>
      </c>
      <c r="K232" s="20" t="s">
        <v>84</v>
      </c>
      <c r="L232" s="20"/>
      <c r="M232" s="20"/>
      <c r="N232" s="20" t="s">
        <v>84</v>
      </c>
      <c r="O232" s="20" t="s">
        <v>84</v>
      </c>
      <c r="P232" s="20" t="s">
        <v>84</v>
      </c>
      <c r="Q232" s="20"/>
      <c r="R232" s="20"/>
      <c r="T232" s="20"/>
      <c r="U232" s="19"/>
      <c r="V232" s="22"/>
      <c r="W232" s="22"/>
      <c r="X232" s="20"/>
      <c r="BQ232" s="25"/>
      <c r="BR232" s="20"/>
    </row>
    <row r="233" spans="1:70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84</v>
      </c>
      <c r="K233" s="20" t="s">
        <v>84</v>
      </c>
      <c r="L233" s="20"/>
      <c r="M233" s="20"/>
      <c r="N233" s="20" t="s">
        <v>84</v>
      </c>
      <c r="O233" s="20" t="s">
        <v>84</v>
      </c>
      <c r="P233" s="20" t="s">
        <v>84</v>
      </c>
      <c r="Q233" s="20"/>
      <c r="R233" s="20"/>
      <c r="T233" s="20"/>
      <c r="U233" s="19"/>
      <c r="V233" s="22"/>
      <c r="W233" s="22"/>
      <c r="X233" s="20"/>
      <c r="BQ233" s="25"/>
      <c r="BR233" s="20"/>
    </row>
    <row r="234" spans="1:70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84</v>
      </c>
      <c r="K234" s="20" t="s">
        <v>84</v>
      </c>
      <c r="L234" s="20"/>
      <c r="M234" s="20"/>
      <c r="N234" s="20" t="s">
        <v>84</v>
      </c>
      <c r="O234" s="20" t="s">
        <v>84</v>
      </c>
      <c r="P234" s="20" t="s">
        <v>84</v>
      </c>
      <c r="Q234" s="20"/>
      <c r="R234" s="20"/>
      <c r="T234" s="20"/>
      <c r="U234" s="19"/>
      <c r="V234" s="22"/>
      <c r="W234" s="22"/>
      <c r="X234" s="20"/>
      <c r="BQ234" s="25"/>
      <c r="BR234" s="20"/>
    </row>
    <row r="235" spans="1:70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84</v>
      </c>
      <c r="K235" s="20" t="s">
        <v>84</v>
      </c>
      <c r="L235" s="20"/>
      <c r="M235" s="20"/>
      <c r="N235" s="20" t="s">
        <v>84</v>
      </c>
      <c r="O235" s="20" t="s">
        <v>84</v>
      </c>
      <c r="P235" s="20" t="s">
        <v>84</v>
      </c>
      <c r="Q235" s="20"/>
      <c r="R235" s="20"/>
      <c r="T235" s="20"/>
      <c r="U235" s="19"/>
      <c r="V235" s="22"/>
      <c r="W235" s="22"/>
      <c r="X235" s="20"/>
      <c r="BQ235" s="25"/>
      <c r="BR235" s="20"/>
    </row>
    <row r="236" spans="1:70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84</v>
      </c>
      <c r="K236" s="20" t="s">
        <v>84</v>
      </c>
      <c r="L236" s="20"/>
      <c r="M236" s="20"/>
      <c r="N236" s="20" t="s">
        <v>84</v>
      </c>
      <c r="O236" s="20" t="s">
        <v>84</v>
      </c>
      <c r="P236" s="20" t="s">
        <v>84</v>
      </c>
      <c r="Q236" s="20"/>
      <c r="R236" s="20"/>
      <c r="T236" s="20"/>
      <c r="U236" s="19"/>
      <c r="V236" s="22"/>
      <c r="W236" s="22"/>
      <c r="X236" s="20"/>
      <c r="BQ236" s="25"/>
      <c r="BR236" s="20"/>
    </row>
    <row r="237" spans="1:70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84</v>
      </c>
      <c r="K237" s="20" t="s">
        <v>84</v>
      </c>
      <c r="L237" s="20"/>
      <c r="M237" s="20"/>
      <c r="N237" s="20" t="s">
        <v>84</v>
      </c>
      <c r="O237" s="20" t="s">
        <v>84</v>
      </c>
      <c r="P237" s="20" t="s">
        <v>84</v>
      </c>
      <c r="Q237" s="20"/>
      <c r="R237" s="20"/>
      <c r="T237" s="20"/>
      <c r="U237" s="19"/>
      <c r="V237" s="22"/>
      <c r="W237" s="22"/>
      <c r="X237" s="20"/>
      <c r="BQ237" s="25"/>
      <c r="BR237" s="20"/>
    </row>
    <row r="238" spans="1:70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84</v>
      </c>
      <c r="K238" s="20" t="s">
        <v>84</v>
      </c>
      <c r="L238" s="20"/>
      <c r="M238" s="20"/>
      <c r="N238" s="20" t="s">
        <v>84</v>
      </c>
      <c r="O238" s="20" t="s">
        <v>84</v>
      </c>
      <c r="P238" s="20" t="s">
        <v>84</v>
      </c>
      <c r="Q238" s="20"/>
      <c r="R238" s="20"/>
      <c r="T238" s="20"/>
      <c r="U238" s="19"/>
      <c r="V238" s="22"/>
      <c r="W238" s="22"/>
      <c r="X238" s="20"/>
      <c r="BQ238" s="25"/>
      <c r="BR238" s="20"/>
    </row>
    <row r="239" spans="1:70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84</v>
      </c>
      <c r="K239" s="20" t="s">
        <v>84</v>
      </c>
      <c r="L239" s="20"/>
      <c r="M239" s="20"/>
      <c r="N239" s="20" t="s">
        <v>84</v>
      </c>
      <c r="O239" s="20" t="s">
        <v>84</v>
      </c>
      <c r="P239" s="20" t="s">
        <v>84</v>
      </c>
      <c r="Q239" s="20"/>
      <c r="R239" s="20"/>
      <c r="T239" s="20"/>
      <c r="U239" s="19"/>
      <c r="V239" s="22"/>
      <c r="W239" s="22"/>
      <c r="X239" s="20"/>
      <c r="BQ239" s="25"/>
      <c r="BR239" s="20"/>
    </row>
    <row r="240" spans="1:70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84</v>
      </c>
      <c r="K240" s="20" t="s">
        <v>84</v>
      </c>
      <c r="L240" s="20"/>
      <c r="M240" s="20"/>
      <c r="N240" s="20" t="s">
        <v>84</v>
      </c>
      <c r="O240" s="20" t="s">
        <v>84</v>
      </c>
      <c r="P240" s="20" t="s">
        <v>84</v>
      </c>
      <c r="Q240" s="20"/>
      <c r="R240" s="20"/>
      <c r="T240" s="20"/>
      <c r="U240" s="19"/>
      <c r="V240" s="22"/>
      <c r="W240" s="22"/>
      <c r="X240" s="20"/>
      <c r="BQ240" s="25"/>
      <c r="BR240" s="20"/>
    </row>
    <row r="241" spans="1:70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84</v>
      </c>
      <c r="K241" s="20" t="s">
        <v>84</v>
      </c>
      <c r="L241" s="20"/>
      <c r="M241" s="20"/>
      <c r="N241" s="20" t="s">
        <v>84</v>
      </c>
      <c r="O241" s="20" t="s">
        <v>84</v>
      </c>
      <c r="P241" s="20" t="s">
        <v>84</v>
      </c>
      <c r="Q241" s="20"/>
      <c r="R241" s="20"/>
      <c r="T241" s="20"/>
      <c r="U241" s="19"/>
      <c r="V241" s="22"/>
      <c r="W241" s="22"/>
      <c r="X241" s="20"/>
      <c r="BQ241" s="25"/>
      <c r="BR241" s="20"/>
    </row>
    <row r="242" spans="1:70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84</v>
      </c>
      <c r="K242" s="20" t="s">
        <v>84</v>
      </c>
      <c r="L242" s="20"/>
      <c r="M242" s="20"/>
      <c r="N242" s="20" t="s">
        <v>84</v>
      </c>
      <c r="O242" s="20" t="s">
        <v>84</v>
      </c>
      <c r="P242" s="20" t="s">
        <v>84</v>
      </c>
      <c r="Q242" s="20"/>
      <c r="R242" s="20"/>
      <c r="T242" s="20"/>
      <c r="U242" s="19"/>
      <c r="V242" s="22"/>
      <c r="W242" s="22"/>
      <c r="X242" s="20"/>
      <c r="BQ242" s="25"/>
      <c r="BR242" s="20"/>
    </row>
    <row r="243" spans="1:70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84</v>
      </c>
      <c r="K243" s="20" t="s">
        <v>84</v>
      </c>
      <c r="L243" s="20"/>
      <c r="M243" s="20"/>
      <c r="N243" s="20" t="s">
        <v>84</v>
      </c>
      <c r="O243" s="20" t="s">
        <v>84</v>
      </c>
      <c r="P243" s="20" t="s">
        <v>84</v>
      </c>
      <c r="Q243" s="20"/>
      <c r="R243" s="20"/>
      <c r="T243" s="20"/>
      <c r="U243" s="19"/>
      <c r="V243" s="22"/>
      <c r="W243" s="22"/>
      <c r="X243" s="20"/>
      <c r="BQ243" s="25"/>
      <c r="BR243" s="20"/>
    </row>
    <row r="244" spans="1:70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84</v>
      </c>
      <c r="K244" s="20" t="s">
        <v>84</v>
      </c>
      <c r="L244" s="20"/>
      <c r="M244" s="20"/>
      <c r="N244" s="20" t="s">
        <v>84</v>
      </c>
      <c r="O244" s="20" t="s">
        <v>84</v>
      </c>
      <c r="P244" s="20" t="s">
        <v>84</v>
      </c>
      <c r="Q244" s="20"/>
      <c r="R244" s="20"/>
      <c r="T244" s="20"/>
      <c r="U244" s="19"/>
      <c r="V244" s="22"/>
      <c r="W244" s="22"/>
      <c r="X244" s="20"/>
      <c r="BQ244" s="25"/>
      <c r="BR244" s="20"/>
    </row>
    <row r="245" spans="1:70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84</v>
      </c>
      <c r="K245" s="20" t="s">
        <v>84</v>
      </c>
      <c r="L245" s="20"/>
      <c r="M245" s="20"/>
      <c r="N245" s="20" t="s">
        <v>84</v>
      </c>
      <c r="O245" s="20" t="s">
        <v>84</v>
      </c>
      <c r="P245" s="20" t="s">
        <v>84</v>
      </c>
      <c r="Q245" s="20"/>
      <c r="R245" s="20"/>
      <c r="T245" s="20"/>
      <c r="U245" s="19"/>
      <c r="V245" s="22"/>
      <c r="W245" s="22"/>
      <c r="X245" s="20"/>
      <c r="BQ245" s="25"/>
      <c r="BR245" s="20"/>
    </row>
    <row r="246" spans="1:70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84</v>
      </c>
      <c r="K246" s="20" t="s">
        <v>84</v>
      </c>
      <c r="L246" s="20"/>
      <c r="M246" s="20"/>
      <c r="N246" s="20" t="s">
        <v>84</v>
      </c>
      <c r="O246" s="20" t="s">
        <v>84</v>
      </c>
      <c r="P246" s="20" t="s">
        <v>84</v>
      </c>
      <c r="Q246" s="20"/>
      <c r="R246" s="20"/>
      <c r="T246" s="20"/>
      <c r="U246" s="19"/>
      <c r="V246" s="22"/>
      <c r="W246" s="22"/>
      <c r="X246" s="20"/>
      <c r="BQ246" s="25"/>
      <c r="BR246" s="20"/>
    </row>
    <row r="247" spans="1:70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84</v>
      </c>
      <c r="K247" s="20" t="s">
        <v>84</v>
      </c>
      <c r="L247" s="20"/>
      <c r="M247" s="20"/>
      <c r="N247" s="20" t="s">
        <v>84</v>
      </c>
      <c r="O247" s="20" t="s">
        <v>84</v>
      </c>
      <c r="P247" s="20" t="s">
        <v>84</v>
      </c>
      <c r="Q247" s="20"/>
      <c r="R247" s="20"/>
      <c r="T247" s="20"/>
      <c r="U247" s="19"/>
      <c r="V247" s="22"/>
      <c r="W247" s="22"/>
      <c r="X247" s="20"/>
      <c r="BQ247" s="25"/>
      <c r="BR247" s="20"/>
    </row>
    <row r="248" spans="1:70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84</v>
      </c>
      <c r="K248" s="20" t="s">
        <v>84</v>
      </c>
      <c r="L248" s="20"/>
      <c r="M248" s="20"/>
      <c r="N248" s="20" t="s">
        <v>84</v>
      </c>
      <c r="O248" s="20" t="s">
        <v>84</v>
      </c>
      <c r="P248" s="20" t="s">
        <v>84</v>
      </c>
      <c r="Q248" s="20"/>
      <c r="R248" s="20"/>
      <c r="T248" s="20"/>
      <c r="U248" s="19"/>
      <c r="V248" s="22"/>
      <c r="W248" s="22"/>
      <c r="X248" s="20"/>
      <c r="BQ248" s="25"/>
      <c r="BR248" s="20"/>
    </row>
    <row r="249" spans="1:70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84</v>
      </c>
      <c r="K249" s="20" t="s">
        <v>84</v>
      </c>
      <c r="L249" s="20"/>
      <c r="M249" s="20"/>
      <c r="N249" s="20" t="s">
        <v>84</v>
      </c>
      <c r="O249" s="20" t="s">
        <v>84</v>
      </c>
      <c r="P249" s="20" t="s">
        <v>84</v>
      </c>
      <c r="Q249" s="20"/>
      <c r="R249" s="20"/>
      <c r="T249" s="20"/>
      <c r="U249" s="19"/>
      <c r="V249" s="22"/>
      <c r="W249" s="22"/>
      <c r="X249" s="20"/>
      <c r="BQ249" s="25"/>
      <c r="BR249" s="20"/>
    </row>
    <row r="250" spans="1:70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84</v>
      </c>
      <c r="K250" s="20" t="s">
        <v>84</v>
      </c>
      <c r="L250" s="20"/>
      <c r="M250" s="20"/>
      <c r="N250" s="20" t="s">
        <v>84</v>
      </c>
      <c r="O250" s="20" t="s">
        <v>84</v>
      </c>
      <c r="P250" s="20" t="s">
        <v>84</v>
      </c>
      <c r="Q250" s="20"/>
      <c r="R250" s="20"/>
      <c r="T250" s="20"/>
      <c r="U250" s="19"/>
      <c r="V250" s="22"/>
      <c r="W250" s="22"/>
      <c r="X250" s="20"/>
      <c r="BQ250" s="25"/>
      <c r="BR250" s="20"/>
    </row>
    <row r="251" spans="1:70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84</v>
      </c>
      <c r="K251" s="20" t="s">
        <v>84</v>
      </c>
      <c r="L251" s="20"/>
      <c r="M251" s="20"/>
      <c r="N251" s="20" t="s">
        <v>84</v>
      </c>
      <c r="O251" s="20" t="s">
        <v>84</v>
      </c>
      <c r="P251" s="20" t="s">
        <v>84</v>
      </c>
      <c r="Q251" s="20"/>
      <c r="R251" s="20"/>
      <c r="T251" s="20"/>
      <c r="U251" s="19"/>
      <c r="V251" s="22"/>
      <c r="W251" s="22"/>
      <c r="X251" s="20"/>
      <c r="BQ251" s="25"/>
      <c r="BR251" s="20"/>
    </row>
    <row r="252" spans="1:70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84</v>
      </c>
      <c r="K252" s="20" t="s">
        <v>84</v>
      </c>
      <c r="L252" s="20"/>
      <c r="M252" s="20"/>
      <c r="N252" s="20" t="s">
        <v>84</v>
      </c>
      <c r="O252" s="20" t="s">
        <v>84</v>
      </c>
      <c r="P252" s="20" t="s">
        <v>84</v>
      </c>
      <c r="Q252" s="20"/>
      <c r="R252" s="20"/>
      <c r="T252" s="20"/>
      <c r="U252" s="19"/>
      <c r="V252" s="22"/>
      <c r="W252" s="22"/>
      <c r="X252" s="20"/>
      <c r="BQ252" s="25"/>
      <c r="BR252" s="20"/>
    </row>
    <row r="253" spans="1:70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84</v>
      </c>
      <c r="K253" s="20" t="s">
        <v>84</v>
      </c>
      <c r="L253" s="20"/>
      <c r="M253" s="20"/>
      <c r="N253" s="20" t="s">
        <v>84</v>
      </c>
      <c r="O253" s="20" t="s">
        <v>84</v>
      </c>
      <c r="P253" s="20" t="s">
        <v>84</v>
      </c>
      <c r="Q253" s="20"/>
      <c r="R253" s="20"/>
      <c r="T253" s="20"/>
      <c r="U253" s="19"/>
      <c r="V253" s="22"/>
      <c r="W253" s="22"/>
      <c r="X253" s="20"/>
      <c r="BQ253" s="25"/>
      <c r="BR253" s="20"/>
    </row>
    <row r="254" spans="1:70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84</v>
      </c>
      <c r="K254" s="20" t="s">
        <v>84</v>
      </c>
      <c r="L254" s="20"/>
      <c r="M254" s="20"/>
      <c r="N254" s="20" t="s">
        <v>84</v>
      </c>
      <c r="O254" s="20" t="s">
        <v>84</v>
      </c>
      <c r="P254" s="20" t="s">
        <v>84</v>
      </c>
      <c r="Q254" s="20"/>
      <c r="R254" s="20"/>
      <c r="T254" s="20"/>
      <c r="U254" s="19"/>
      <c r="V254" s="22"/>
      <c r="W254" s="22"/>
      <c r="X254" s="20"/>
      <c r="BQ254" s="25"/>
      <c r="BR254" s="20"/>
    </row>
    <row r="255" spans="1:70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84</v>
      </c>
      <c r="K255" s="20" t="s">
        <v>84</v>
      </c>
      <c r="L255" s="20"/>
      <c r="M255" s="20"/>
      <c r="N255" s="20" t="s">
        <v>84</v>
      </c>
      <c r="O255" s="20" t="s">
        <v>84</v>
      </c>
      <c r="P255" s="20" t="s">
        <v>84</v>
      </c>
      <c r="Q255" s="20"/>
      <c r="R255" s="20"/>
      <c r="T255" s="20"/>
      <c r="U255" s="19"/>
      <c r="V255" s="22"/>
      <c r="W255" s="22"/>
      <c r="X255" s="20"/>
      <c r="BQ255" s="25"/>
      <c r="BR255" s="20"/>
    </row>
    <row r="256" spans="1:70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84</v>
      </c>
      <c r="K256" s="20" t="s">
        <v>84</v>
      </c>
      <c r="L256" s="20"/>
      <c r="M256" s="20"/>
      <c r="N256" s="20" t="s">
        <v>84</v>
      </c>
      <c r="O256" s="20" t="s">
        <v>84</v>
      </c>
      <c r="P256" s="20" t="s">
        <v>84</v>
      </c>
      <c r="Q256" s="20"/>
      <c r="R256" s="20"/>
      <c r="T256" s="20"/>
      <c r="U256" s="19"/>
      <c r="V256" s="22"/>
      <c r="W256" s="22"/>
      <c r="X256" s="20"/>
      <c r="BQ256" s="25"/>
      <c r="BR256" s="20"/>
    </row>
    <row r="257" spans="1:70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84</v>
      </c>
      <c r="K257" s="20" t="s">
        <v>84</v>
      </c>
      <c r="L257" s="20"/>
      <c r="M257" s="20"/>
      <c r="N257" s="20" t="s">
        <v>84</v>
      </c>
      <c r="O257" s="20" t="s">
        <v>84</v>
      </c>
      <c r="P257" s="20" t="s">
        <v>84</v>
      </c>
      <c r="Q257" s="20"/>
      <c r="R257" s="20"/>
      <c r="T257" s="20"/>
      <c r="U257" s="19"/>
      <c r="V257" s="22"/>
      <c r="W257" s="22"/>
      <c r="X257" s="20"/>
      <c r="BQ257" s="25"/>
      <c r="BR257" s="20"/>
    </row>
    <row r="258" spans="1:70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84</v>
      </c>
      <c r="K258" s="20" t="s">
        <v>84</v>
      </c>
      <c r="L258" s="20"/>
      <c r="M258" s="20"/>
      <c r="N258" s="20" t="s">
        <v>84</v>
      </c>
      <c r="O258" s="20" t="s">
        <v>84</v>
      </c>
      <c r="P258" s="20" t="s">
        <v>84</v>
      </c>
      <c r="Q258" s="20"/>
      <c r="R258" s="20"/>
      <c r="T258" s="20"/>
      <c r="U258" s="19"/>
      <c r="V258" s="22"/>
      <c r="W258" s="22"/>
      <c r="X258" s="20"/>
      <c r="BQ258" s="25"/>
      <c r="BR258" s="20"/>
    </row>
    <row r="259" spans="1:70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84</v>
      </c>
      <c r="K259" s="20" t="s">
        <v>84</v>
      </c>
      <c r="L259" s="20"/>
      <c r="M259" s="20"/>
      <c r="N259" s="20" t="s">
        <v>84</v>
      </c>
      <c r="O259" s="20" t="s">
        <v>84</v>
      </c>
      <c r="P259" s="20" t="s">
        <v>84</v>
      </c>
      <c r="Q259" s="20"/>
      <c r="R259" s="20"/>
      <c r="T259" s="20"/>
      <c r="U259" s="19"/>
      <c r="V259" s="22"/>
      <c r="W259" s="22"/>
      <c r="X259" s="20"/>
      <c r="BQ259" s="25"/>
      <c r="BR259" s="20"/>
    </row>
    <row r="260" spans="1:70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84</v>
      </c>
      <c r="K260" s="20" t="s">
        <v>84</v>
      </c>
      <c r="L260" s="20"/>
      <c r="M260" s="20"/>
      <c r="N260" s="20" t="s">
        <v>84</v>
      </c>
      <c r="O260" s="20" t="s">
        <v>84</v>
      </c>
      <c r="P260" s="20" t="s">
        <v>84</v>
      </c>
      <c r="Q260" s="20"/>
      <c r="R260" s="20"/>
      <c r="T260" s="20"/>
      <c r="U260" s="19"/>
      <c r="V260" s="22"/>
      <c r="W260" s="22"/>
      <c r="X260" s="20"/>
      <c r="BQ260" s="25"/>
      <c r="BR260" s="20"/>
    </row>
    <row r="261" spans="1:70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84</v>
      </c>
      <c r="K261" s="20" t="s">
        <v>84</v>
      </c>
      <c r="L261" s="20"/>
      <c r="M261" s="20"/>
      <c r="N261" s="20" t="s">
        <v>84</v>
      </c>
      <c r="O261" s="20" t="s">
        <v>84</v>
      </c>
      <c r="P261" s="20" t="s">
        <v>84</v>
      </c>
      <c r="Q261" s="20"/>
      <c r="R261" s="20"/>
      <c r="T261" s="20"/>
      <c r="U261" s="19"/>
      <c r="V261" s="22"/>
      <c r="W261" s="22"/>
      <c r="X261" s="20"/>
      <c r="BQ261" s="25"/>
      <c r="BR261" s="20"/>
    </row>
    <row r="262" spans="1:70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84</v>
      </c>
      <c r="K262" s="20" t="s">
        <v>84</v>
      </c>
      <c r="L262" s="20"/>
      <c r="M262" s="20"/>
      <c r="N262" s="20" t="s">
        <v>84</v>
      </c>
      <c r="O262" s="20" t="s">
        <v>84</v>
      </c>
      <c r="P262" s="20" t="s">
        <v>84</v>
      </c>
      <c r="Q262" s="20"/>
      <c r="R262" s="20"/>
      <c r="T262" s="20"/>
      <c r="U262" s="19"/>
      <c r="V262" s="22"/>
      <c r="W262" s="22"/>
      <c r="X262" s="20"/>
      <c r="BQ262" s="25"/>
      <c r="BR262" s="20"/>
    </row>
    <row r="263" spans="1:70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84</v>
      </c>
      <c r="K263" s="20" t="s">
        <v>84</v>
      </c>
      <c r="L263" s="20"/>
      <c r="M263" s="20"/>
      <c r="N263" s="20" t="s">
        <v>84</v>
      </c>
      <c r="O263" s="20" t="s">
        <v>84</v>
      </c>
      <c r="P263" s="20" t="s">
        <v>84</v>
      </c>
      <c r="Q263" s="20"/>
      <c r="R263" s="20"/>
      <c r="T263" s="20"/>
      <c r="U263" s="19"/>
      <c r="V263" s="22"/>
      <c r="W263" s="22"/>
      <c r="X263" s="20"/>
      <c r="BQ263" s="25"/>
      <c r="BR263" s="20"/>
    </row>
    <row r="264" spans="1:70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84</v>
      </c>
      <c r="K264" s="20" t="s">
        <v>84</v>
      </c>
      <c r="L264" s="20"/>
      <c r="M264" s="20"/>
      <c r="N264" s="20" t="s">
        <v>84</v>
      </c>
      <c r="O264" s="20" t="s">
        <v>84</v>
      </c>
      <c r="P264" s="20" t="s">
        <v>84</v>
      </c>
      <c r="Q264" s="20"/>
      <c r="R264" s="20"/>
      <c r="T264" s="20"/>
      <c r="U264" s="19"/>
      <c r="V264" s="22"/>
      <c r="W264" s="22"/>
      <c r="X264" s="20"/>
      <c r="BQ264" s="25"/>
      <c r="BR264" s="20"/>
    </row>
    <row r="265" spans="1:70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84</v>
      </c>
      <c r="K265" s="20" t="s">
        <v>84</v>
      </c>
      <c r="L265" s="20"/>
      <c r="M265" s="20"/>
      <c r="N265" s="20" t="s">
        <v>84</v>
      </c>
      <c r="O265" s="20" t="s">
        <v>84</v>
      </c>
      <c r="P265" s="20" t="s">
        <v>84</v>
      </c>
      <c r="Q265" s="20"/>
      <c r="R265" s="20"/>
      <c r="T265" s="20"/>
      <c r="U265" s="19"/>
      <c r="V265" s="22"/>
      <c r="W265" s="22"/>
      <c r="X265" s="20"/>
      <c r="BQ265" s="25"/>
      <c r="BR265" s="20"/>
    </row>
    <row r="266" spans="1:70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84</v>
      </c>
      <c r="K266" s="20" t="s">
        <v>84</v>
      </c>
      <c r="L266" s="20"/>
      <c r="M266" s="20"/>
      <c r="N266" s="20" t="s">
        <v>84</v>
      </c>
      <c r="O266" s="20" t="s">
        <v>84</v>
      </c>
      <c r="P266" s="20" t="s">
        <v>84</v>
      </c>
      <c r="Q266" s="20"/>
      <c r="R266" s="20"/>
      <c r="T266" s="20"/>
      <c r="U266" s="19"/>
      <c r="V266" s="22"/>
      <c r="W266" s="22"/>
      <c r="X266" s="20"/>
      <c r="BQ266" s="25"/>
      <c r="BR266" s="20"/>
    </row>
    <row r="267" spans="1:70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84</v>
      </c>
      <c r="K267" s="20" t="s">
        <v>84</v>
      </c>
      <c r="L267" s="20"/>
      <c r="M267" s="20"/>
      <c r="N267" s="20" t="s">
        <v>84</v>
      </c>
      <c r="O267" s="20" t="s">
        <v>84</v>
      </c>
      <c r="P267" s="20" t="s">
        <v>84</v>
      </c>
      <c r="Q267" s="20"/>
      <c r="R267" s="20"/>
      <c r="T267" s="20"/>
      <c r="U267" s="19"/>
      <c r="V267" s="22"/>
      <c r="W267" s="22"/>
      <c r="X267" s="20"/>
      <c r="BQ267" s="25"/>
      <c r="BR267" s="20"/>
    </row>
    <row r="268" spans="1:70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84</v>
      </c>
      <c r="K268" s="20" t="s">
        <v>84</v>
      </c>
      <c r="L268" s="20"/>
      <c r="M268" s="20"/>
      <c r="N268" s="20" t="s">
        <v>84</v>
      </c>
      <c r="O268" s="20" t="s">
        <v>84</v>
      </c>
      <c r="P268" s="20" t="s">
        <v>84</v>
      </c>
      <c r="Q268" s="20"/>
      <c r="R268" s="20"/>
      <c r="T268" s="20"/>
      <c r="U268" s="19"/>
      <c r="V268" s="22"/>
      <c r="W268" s="22"/>
      <c r="X268" s="20"/>
      <c r="BQ268" s="25"/>
      <c r="BR268" s="20"/>
    </row>
    <row r="269" spans="1:70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84</v>
      </c>
      <c r="K269" s="20" t="s">
        <v>84</v>
      </c>
      <c r="L269" s="20"/>
      <c r="M269" s="20"/>
      <c r="N269" s="20" t="s">
        <v>84</v>
      </c>
      <c r="O269" s="20" t="s">
        <v>84</v>
      </c>
      <c r="P269" s="20" t="s">
        <v>84</v>
      </c>
      <c r="Q269" s="20"/>
      <c r="R269" s="20"/>
      <c r="T269" s="20"/>
      <c r="U269" s="19"/>
      <c r="V269" s="22"/>
      <c r="W269" s="22"/>
      <c r="X269" s="20"/>
      <c r="BQ269" s="25"/>
      <c r="BR269" s="20"/>
    </row>
    <row r="270" spans="1:70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84</v>
      </c>
      <c r="K270" s="20" t="s">
        <v>84</v>
      </c>
      <c r="L270" s="20"/>
      <c r="M270" s="20"/>
      <c r="N270" s="20" t="s">
        <v>84</v>
      </c>
      <c r="O270" s="20" t="s">
        <v>84</v>
      </c>
      <c r="P270" s="20" t="s">
        <v>84</v>
      </c>
      <c r="Q270" s="20"/>
      <c r="R270" s="20"/>
      <c r="T270" s="20"/>
      <c r="U270" s="19"/>
      <c r="V270" s="22"/>
      <c r="W270" s="22"/>
      <c r="X270" s="20"/>
      <c r="BQ270" s="25"/>
      <c r="BR270" s="20"/>
    </row>
    <row r="271" spans="1:70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84</v>
      </c>
      <c r="K271" s="20" t="s">
        <v>84</v>
      </c>
      <c r="L271" s="20"/>
      <c r="M271" s="20"/>
      <c r="N271" s="20" t="s">
        <v>84</v>
      </c>
      <c r="O271" s="20" t="s">
        <v>84</v>
      </c>
      <c r="P271" s="20" t="s">
        <v>84</v>
      </c>
      <c r="Q271" s="20"/>
      <c r="R271" s="20"/>
      <c r="T271" s="20"/>
      <c r="U271" s="19"/>
      <c r="V271" s="22"/>
      <c r="W271" s="22"/>
      <c r="X271" s="20"/>
      <c r="BQ271" s="25"/>
      <c r="BR271" s="20"/>
    </row>
    <row r="272" spans="1:70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84</v>
      </c>
      <c r="K272" s="20" t="s">
        <v>84</v>
      </c>
      <c r="L272" s="20"/>
      <c r="M272" s="20"/>
      <c r="N272" s="20" t="s">
        <v>84</v>
      </c>
      <c r="O272" s="20" t="s">
        <v>84</v>
      </c>
      <c r="P272" s="20" t="s">
        <v>84</v>
      </c>
      <c r="Q272" s="20"/>
      <c r="R272" s="20"/>
      <c r="T272" s="20"/>
      <c r="U272" s="19"/>
      <c r="V272" s="22"/>
      <c r="W272" s="22"/>
      <c r="X272" s="20"/>
      <c r="BQ272" s="25"/>
      <c r="BR272" s="20"/>
    </row>
    <row r="273" spans="1:70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84</v>
      </c>
      <c r="K273" s="20" t="s">
        <v>84</v>
      </c>
      <c r="L273" s="20"/>
      <c r="M273" s="20"/>
      <c r="N273" s="20" t="s">
        <v>84</v>
      </c>
      <c r="O273" s="20" t="s">
        <v>84</v>
      </c>
      <c r="P273" s="20" t="s">
        <v>84</v>
      </c>
      <c r="Q273" s="20"/>
      <c r="R273" s="20"/>
      <c r="T273" s="20"/>
      <c r="U273" s="19"/>
      <c r="V273" s="22"/>
      <c r="W273" s="22"/>
      <c r="X273" s="20"/>
      <c r="BQ273" s="25"/>
      <c r="BR273" s="20"/>
    </row>
    <row r="274" spans="1:70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84</v>
      </c>
      <c r="K274" s="20" t="s">
        <v>84</v>
      </c>
      <c r="L274" s="20"/>
      <c r="M274" s="20"/>
      <c r="N274" s="20" t="s">
        <v>84</v>
      </c>
      <c r="O274" s="20" t="s">
        <v>84</v>
      </c>
      <c r="P274" s="20" t="s">
        <v>84</v>
      </c>
      <c r="Q274" s="20"/>
      <c r="R274" s="20"/>
      <c r="T274" s="20"/>
      <c r="U274" s="19"/>
      <c r="V274" s="22"/>
      <c r="W274" s="22"/>
      <c r="X274" s="20"/>
      <c r="BQ274" s="25"/>
      <c r="BR274" s="20"/>
    </row>
    <row r="275" spans="1:70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84</v>
      </c>
      <c r="K275" s="20" t="s">
        <v>84</v>
      </c>
      <c r="L275" s="20"/>
      <c r="M275" s="20"/>
      <c r="N275" s="20" t="s">
        <v>84</v>
      </c>
      <c r="O275" s="20" t="s">
        <v>84</v>
      </c>
      <c r="P275" s="20" t="s">
        <v>84</v>
      </c>
      <c r="Q275" s="20"/>
      <c r="R275" s="20"/>
      <c r="T275" s="20"/>
      <c r="U275" s="19"/>
      <c r="V275" s="22"/>
      <c r="W275" s="22"/>
      <c r="X275" s="20"/>
      <c r="BQ275" s="25"/>
      <c r="BR275" s="20"/>
    </row>
    <row r="276" spans="1:70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84</v>
      </c>
      <c r="K276" s="20" t="s">
        <v>84</v>
      </c>
      <c r="L276" s="20"/>
      <c r="M276" s="20"/>
      <c r="N276" s="20" t="s">
        <v>84</v>
      </c>
      <c r="O276" s="20" t="s">
        <v>84</v>
      </c>
      <c r="P276" s="20" t="s">
        <v>84</v>
      </c>
      <c r="Q276" s="20"/>
      <c r="R276" s="20"/>
      <c r="T276" s="20"/>
      <c r="U276" s="19"/>
      <c r="V276" s="22"/>
      <c r="W276" s="22"/>
      <c r="X276" s="20"/>
      <c r="BQ276" s="25"/>
      <c r="BR276" s="20"/>
    </row>
    <row r="277" spans="1:70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84</v>
      </c>
      <c r="K277" s="20" t="s">
        <v>84</v>
      </c>
      <c r="L277" s="20"/>
      <c r="M277" s="20"/>
      <c r="N277" s="20" t="s">
        <v>84</v>
      </c>
      <c r="O277" s="20" t="s">
        <v>84</v>
      </c>
      <c r="P277" s="20" t="s">
        <v>84</v>
      </c>
      <c r="Q277" s="20"/>
      <c r="R277" s="20"/>
      <c r="T277" s="20"/>
      <c r="U277" s="19"/>
      <c r="V277" s="22"/>
      <c r="W277" s="22"/>
      <c r="X277" s="20"/>
      <c r="BQ277" s="25"/>
      <c r="BR277" s="20"/>
    </row>
    <row r="278" spans="1:70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84</v>
      </c>
      <c r="K278" s="20" t="s">
        <v>84</v>
      </c>
      <c r="L278" s="20"/>
      <c r="M278" s="20"/>
      <c r="N278" s="20" t="s">
        <v>84</v>
      </c>
      <c r="O278" s="20" t="s">
        <v>84</v>
      </c>
      <c r="P278" s="20" t="s">
        <v>84</v>
      </c>
      <c r="Q278" s="20"/>
      <c r="R278" s="20"/>
      <c r="T278" s="20"/>
      <c r="U278" s="19"/>
      <c r="V278" s="22"/>
      <c r="W278" s="22"/>
      <c r="X278" s="20"/>
      <c r="BQ278" s="25"/>
      <c r="BR278" s="20"/>
    </row>
    <row r="279" spans="1:70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84</v>
      </c>
      <c r="K279" s="20" t="s">
        <v>84</v>
      </c>
      <c r="L279" s="20"/>
      <c r="M279" s="20"/>
      <c r="N279" s="20" t="s">
        <v>84</v>
      </c>
      <c r="O279" s="20" t="s">
        <v>84</v>
      </c>
      <c r="P279" s="20" t="s">
        <v>84</v>
      </c>
      <c r="Q279" s="20"/>
      <c r="R279" s="20"/>
      <c r="T279" s="20"/>
      <c r="U279" s="19"/>
      <c r="V279" s="22"/>
      <c r="W279" s="22"/>
      <c r="X279" s="20"/>
      <c r="BQ279" s="25"/>
      <c r="BR279" s="20"/>
    </row>
    <row r="280" spans="1:70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84</v>
      </c>
      <c r="K280" s="20" t="s">
        <v>84</v>
      </c>
      <c r="L280" s="20"/>
      <c r="M280" s="20"/>
      <c r="N280" s="20" t="s">
        <v>84</v>
      </c>
      <c r="O280" s="20" t="s">
        <v>84</v>
      </c>
      <c r="P280" s="20" t="s">
        <v>84</v>
      </c>
      <c r="Q280" s="20"/>
      <c r="R280" s="20"/>
      <c r="T280" s="20"/>
      <c r="U280" s="19"/>
      <c r="V280" s="22"/>
      <c r="W280" s="22"/>
      <c r="X280" s="20"/>
      <c r="BQ280" s="25"/>
      <c r="BR280" s="20"/>
    </row>
    <row r="281" spans="1:70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84</v>
      </c>
      <c r="K281" s="20" t="s">
        <v>84</v>
      </c>
      <c r="L281" s="20"/>
      <c r="M281" s="20"/>
      <c r="N281" s="20" t="s">
        <v>84</v>
      </c>
      <c r="O281" s="20" t="s">
        <v>84</v>
      </c>
      <c r="P281" s="20" t="s">
        <v>84</v>
      </c>
      <c r="Q281" s="20"/>
      <c r="R281" s="20"/>
      <c r="T281" s="20"/>
      <c r="U281" s="19"/>
      <c r="V281" s="22"/>
      <c r="W281" s="22"/>
      <c r="X281" s="20"/>
      <c r="BQ281" s="25"/>
      <c r="BR281" s="20"/>
    </row>
    <row r="282" spans="1:70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84</v>
      </c>
      <c r="K282" s="20" t="s">
        <v>84</v>
      </c>
      <c r="L282" s="20"/>
      <c r="M282" s="20"/>
      <c r="N282" s="20" t="s">
        <v>84</v>
      </c>
      <c r="O282" s="20" t="s">
        <v>84</v>
      </c>
      <c r="P282" s="20" t="s">
        <v>84</v>
      </c>
      <c r="Q282" s="20"/>
      <c r="R282" s="20"/>
      <c r="T282" s="20"/>
      <c r="U282" s="19"/>
      <c r="V282" s="22"/>
      <c r="W282" s="22"/>
      <c r="X282" s="20"/>
      <c r="BQ282" s="25"/>
      <c r="BR282" s="20"/>
    </row>
    <row r="283" spans="1:70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84</v>
      </c>
      <c r="K283" s="20" t="s">
        <v>84</v>
      </c>
      <c r="L283" s="20"/>
      <c r="M283" s="20"/>
      <c r="N283" s="20" t="s">
        <v>84</v>
      </c>
      <c r="O283" s="20" t="s">
        <v>84</v>
      </c>
      <c r="P283" s="20" t="s">
        <v>84</v>
      </c>
      <c r="Q283" s="20"/>
      <c r="R283" s="20"/>
      <c r="T283" s="20"/>
      <c r="U283" s="19"/>
      <c r="V283" s="22"/>
      <c r="W283" s="22"/>
      <c r="X283" s="20"/>
      <c r="BQ283" s="25"/>
      <c r="BR283" s="20"/>
    </row>
    <row r="284" spans="1:70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84</v>
      </c>
      <c r="K284" s="20" t="s">
        <v>84</v>
      </c>
      <c r="L284" s="20"/>
      <c r="M284" s="20"/>
      <c r="N284" s="20" t="s">
        <v>84</v>
      </c>
      <c r="O284" s="20" t="s">
        <v>84</v>
      </c>
      <c r="P284" s="20" t="s">
        <v>84</v>
      </c>
      <c r="Q284" s="20"/>
      <c r="R284" s="20"/>
      <c r="T284" s="20"/>
      <c r="U284" s="19"/>
      <c r="V284" s="22"/>
      <c r="W284" s="22"/>
      <c r="X284" s="20"/>
      <c r="BQ284" s="25"/>
      <c r="BR284" s="20"/>
    </row>
    <row r="285" spans="1:70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84</v>
      </c>
      <c r="K285" s="20" t="s">
        <v>84</v>
      </c>
      <c r="L285" s="20"/>
      <c r="M285" s="20"/>
      <c r="N285" s="20" t="s">
        <v>84</v>
      </c>
      <c r="O285" s="20" t="s">
        <v>84</v>
      </c>
      <c r="P285" s="20" t="s">
        <v>84</v>
      </c>
      <c r="Q285" s="20"/>
      <c r="R285" s="20"/>
      <c r="T285" s="20"/>
      <c r="U285" s="19"/>
      <c r="V285" s="22"/>
      <c r="W285" s="22"/>
      <c r="X285" s="20"/>
      <c r="BQ285" s="25"/>
      <c r="BR285" s="20"/>
    </row>
    <row r="286" spans="1:70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84</v>
      </c>
      <c r="K286" s="20" t="s">
        <v>84</v>
      </c>
      <c r="L286" s="20"/>
      <c r="M286" s="20"/>
      <c r="N286" s="20" t="s">
        <v>84</v>
      </c>
      <c r="O286" s="20" t="s">
        <v>84</v>
      </c>
      <c r="P286" s="20" t="s">
        <v>84</v>
      </c>
      <c r="Q286" s="20"/>
      <c r="R286" s="20"/>
      <c r="T286" s="20"/>
      <c r="U286" s="19"/>
      <c r="V286" s="22"/>
      <c r="W286" s="22"/>
      <c r="X286" s="20"/>
      <c r="BQ286" s="25"/>
      <c r="BR286" s="20"/>
    </row>
    <row r="287" spans="1:70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84</v>
      </c>
      <c r="K287" s="20" t="s">
        <v>84</v>
      </c>
      <c r="L287" s="20"/>
      <c r="M287" s="20"/>
      <c r="N287" s="20" t="s">
        <v>84</v>
      </c>
      <c r="O287" s="20" t="s">
        <v>84</v>
      </c>
      <c r="P287" s="20" t="s">
        <v>84</v>
      </c>
      <c r="Q287" s="20"/>
      <c r="R287" s="20"/>
      <c r="T287" s="20"/>
      <c r="U287" s="19"/>
      <c r="V287" s="22"/>
      <c r="W287" s="22"/>
      <c r="X287" s="20"/>
      <c r="BQ287" s="25"/>
      <c r="BR287" s="20"/>
    </row>
    <row r="288" spans="1:70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84</v>
      </c>
      <c r="K288" s="20" t="s">
        <v>84</v>
      </c>
      <c r="L288" s="20"/>
      <c r="M288" s="20"/>
      <c r="N288" s="20" t="s">
        <v>84</v>
      </c>
      <c r="O288" s="20" t="s">
        <v>84</v>
      </c>
      <c r="P288" s="20" t="s">
        <v>84</v>
      </c>
      <c r="Q288" s="20"/>
      <c r="R288" s="20"/>
      <c r="T288" s="20"/>
      <c r="U288" s="19"/>
      <c r="V288" s="22"/>
      <c r="W288" s="22"/>
      <c r="X288" s="20"/>
      <c r="BQ288" s="25"/>
      <c r="BR288" s="20"/>
    </row>
    <row r="289" spans="1:70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84</v>
      </c>
      <c r="K289" s="20" t="s">
        <v>84</v>
      </c>
      <c r="L289" s="20"/>
      <c r="M289" s="20"/>
      <c r="N289" s="20" t="s">
        <v>84</v>
      </c>
      <c r="O289" s="20" t="s">
        <v>84</v>
      </c>
      <c r="P289" s="20" t="s">
        <v>84</v>
      </c>
      <c r="Q289" s="20"/>
      <c r="R289" s="20"/>
      <c r="T289" s="20"/>
      <c r="U289" s="19"/>
      <c r="V289" s="22"/>
      <c r="W289" s="22"/>
      <c r="X289" s="20"/>
      <c r="BQ289" s="25"/>
      <c r="BR289" s="20"/>
    </row>
    <row r="290" spans="1:70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84</v>
      </c>
      <c r="K290" s="20" t="s">
        <v>84</v>
      </c>
      <c r="L290" s="20"/>
      <c r="M290" s="20"/>
      <c r="N290" s="20" t="s">
        <v>84</v>
      </c>
      <c r="O290" s="20" t="s">
        <v>84</v>
      </c>
      <c r="P290" s="20" t="s">
        <v>84</v>
      </c>
      <c r="Q290" s="20"/>
      <c r="R290" s="20"/>
      <c r="T290" s="20"/>
      <c r="U290" s="19"/>
      <c r="V290" s="22"/>
      <c r="W290" s="22"/>
      <c r="X290" s="20"/>
      <c r="BQ290" s="25"/>
      <c r="BR290" s="20"/>
    </row>
    <row r="291" spans="1:70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84</v>
      </c>
      <c r="K291" s="20" t="s">
        <v>84</v>
      </c>
      <c r="L291" s="20"/>
      <c r="M291" s="20"/>
      <c r="N291" s="20" t="s">
        <v>84</v>
      </c>
      <c r="O291" s="20" t="s">
        <v>84</v>
      </c>
      <c r="P291" s="20" t="s">
        <v>84</v>
      </c>
      <c r="Q291" s="20"/>
      <c r="R291" s="20"/>
      <c r="T291" s="20"/>
      <c r="U291" s="19"/>
      <c r="V291" s="22"/>
      <c r="W291" s="22"/>
      <c r="X291" s="20"/>
      <c r="BQ291" s="25"/>
      <c r="BR291" s="20"/>
    </row>
    <row r="292" spans="1:70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84</v>
      </c>
      <c r="K292" s="20" t="s">
        <v>84</v>
      </c>
      <c r="L292" s="20"/>
      <c r="M292" s="20"/>
      <c r="N292" s="20" t="s">
        <v>84</v>
      </c>
      <c r="O292" s="20" t="s">
        <v>84</v>
      </c>
      <c r="P292" s="20" t="s">
        <v>84</v>
      </c>
      <c r="Q292" s="20"/>
      <c r="R292" s="20"/>
      <c r="T292" s="20"/>
      <c r="U292" s="19"/>
      <c r="V292" s="22"/>
      <c r="W292" s="22"/>
      <c r="X292" s="20"/>
      <c r="BQ292" s="25"/>
      <c r="BR292" s="20"/>
    </row>
    <row r="293" spans="1:70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84</v>
      </c>
      <c r="K293" s="20" t="s">
        <v>84</v>
      </c>
      <c r="L293" s="20"/>
      <c r="M293" s="20"/>
      <c r="N293" s="20" t="s">
        <v>84</v>
      </c>
      <c r="O293" s="20" t="s">
        <v>84</v>
      </c>
      <c r="P293" s="20" t="s">
        <v>84</v>
      </c>
      <c r="Q293" s="20"/>
      <c r="R293" s="20"/>
      <c r="T293" s="20"/>
      <c r="U293" s="19"/>
      <c r="V293" s="22"/>
      <c r="W293" s="22"/>
      <c r="X293" s="20"/>
      <c r="BQ293" s="25"/>
      <c r="BR293" s="20"/>
    </row>
    <row r="294" spans="1:70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84</v>
      </c>
      <c r="K294" s="20" t="s">
        <v>84</v>
      </c>
      <c r="L294" s="20"/>
      <c r="M294" s="20"/>
      <c r="N294" s="20" t="s">
        <v>84</v>
      </c>
      <c r="O294" s="20" t="s">
        <v>84</v>
      </c>
      <c r="P294" s="20" t="s">
        <v>84</v>
      </c>
      <c r="Q294" s="20"/>
      <c r="R294" s="20"/>
      <c r="T294" s="20"/>
      <c r="U294" s="19"/>
      <c r="V294" s="22"/>
      <c r="W294" s="22"/>
      <c r="X294" s="20"/>
      <c r="BQ294" s="25"/>
      <c r="BR294" s="20"/>
    </row>
    <row r="295" spans="1:70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84</v>
      </c>
      <c r="K295" s="20" t="s">
        <v>84</v>
      </c>
      <c r="L295" s="20"/>
      <c r="M295" s="20"/>
      <c r="N295" s="20" t="s">
        <v>84</v>
      </c>
      <c r="O295" s="20" t="s">
        <v>84</v>
      </c>
      <c r="P295" s="20" t="s">
        <v>84</v>
      </c>
      <c r="Q295" s="20"/>
      <c r="R295" s="20"/>
      <c r="T295" s="20"/>
      <c r="U295" s="19"/>
      <c r="V295" s="22"/>
      <c r="W295" s="22"/>
      <c r="X295" s="20"/>
      <c r="BQ295" s="25"/>
      <c r="BR295" s="20"/>
    </row>
    <row r="296" spans="1:70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84</v>
      </c>
      <c r="K296" s="20" t="s">
        <v>84</v>
      </c>
      <c r="L296" s="20"/>
      <c r="M296" s="20"/>
      <c r="N296" s="20" t="s">
        <v>84</v>
      </c>
      <c r="O296" s="20" t="s">
        <v>84</v>
      </c>
      <c r="P296" s="20" t="s">
        <v>84</v>
      </c>
      <c r="Q296" s="20"/>
      <c r="R296" s="20"/>
      <c r="T296" s="20"/>
      <c r="U296" s="19"/>
      <c r="V296" s="22"/>
      <c r="W296" s="22"/>
      <c r="X296" s="20"/>
      <c r="BQ296" s="25"/>
      <c r="BR296" s="20"/>
    </row>
    <row r="297" spans="1:70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84</v>
      </c>
      <c r="K297" s="20" t="s">
        <v>84</v>
      </c>
      <c r="L297" s="20"/>
      <c r="M297" s="20"/>
      <c r="N297" s="20" t="s">
        <v>84</v>
      </c>
      <c r="O297" s="20" t="s">
        <v>84</v>
      </c>
      <c r="P297" s="20" t="s">
        <v>84</v>
      </c>
      <c r="Q297" s="20"/>
      <c r="R297" s="20"/>
      <c r="T297" s="20"/>
      <c r="U297" s="19"/>
      <c r="V297" s="22"/>
      <c r="W297" s="22"/>
      <c r="X297" s="20"/>
      <c r="BQ297" s="25"/>
      <c r="BR297" s="20"/>
    </row>
    <row r="298" spans="1:70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84</v>
      </c>
      <c r="K298" s="20" t="s">
        <v>84</v>
      </c>
      <c r="L298" s="20"/>
      <c r="M298" s="20"/>
      <c r="N298" s="20" t="s">
        <v>84</v>
      </c>
      <c r="O298" s="20" t="s">
        <v>84</v>
      </c>
      <c r="P298" s="20" t="s">
        <v>84</v>
      </c>
      <c r="Q298" s="20"/>
      <c r="R298" s="20"/>
      <c r="T298" s="20"/>
      <c r="U298" s="19"/>
      <c r="V298" s="22"/>
      <c r="W298" s="22"/>
      <c r="X298" s="20"/>
      <c r="BQ298" s="25"/>
      <c r="BR298" s="20"/>
    </row>
    <row r="299" spans="1:70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84</v>
      </c>
      <c r="K299" s="20" t="s">
        <v>84</v>
      </c>
      <c r="L299" s="20"/>
      <c r="M299" s="20"/>
      <c r="N299" s="20" t="s">
        <v>84</v>
      </c>
      <c r="O299" s="20" t="s">
        <v>84</v>
      </c>
      <c r="P299" s="20" t="s">
        <v>84</v>
      </c>
      <c r="Q299" s="20"/>
      <c r="R299" s="20"/>
      <c r="T299" s="20"/>
      <c r="U299" s="19"/>
      <c r="V299" s="22"/>
      <c r="W299" s="22"/>
      <c r="X299" s="20"/>
      <c r="BQ299" s="25"/>
      <c r="BR299" s="20"/>
    </row>
    <row r="300" spans="1:70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84</v>
      </c>
      <c r="K300" s="20" t="s">
        <v>84</v>
      </c>
      <c r="L300" s="20"/>
      <c r="M300" s="20"/>
      <c r="N300" s="20" t="s">
        <v>84</v>
      </c>
      <c r="O300" s="20" t="s">
        <v>84</v>
      </c>
      <c r="P300" s="20" t="s">
        <v>84</v>
      </c>
      <c r="Q300" s="20"/>
      <c r="R300" s="20"/>
      <c r="T300" s="20"/>
      <c r="U300" s="19"/>
      <c r="V300" s="22"/>
      <c r="W300" s="22"/>
      <c r="X300" s="20"/>
      <c r="BQ300" s="25"/>
      <c r="BR300" s="20"/>
    </row>
    <row r="301" spans="1:70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84</v>
      </c>
      <c r="K301" s="20" t="s">
        <v>84</v>
      </c>
      <c r="L301" s="20"/>
      <c r="M301" s="20"/>
      <c r="N301" s="20" t="s">
        <v>84</v>
      </c>
      <c r="O301" s="20" t="s">
        <v>84</v>
      </c>
      <c r="P301" s="20" t="s">
        <v>84</v>
      </c>
      <c r="Q301" s="20"/>
      <c r="R301" s="20"/>
      <c r="T301" s="20"/>
      <c r="U301" s="19"/>
      <c r="V301" s="22"/>
      <c r="W301" s="22"/>
      <c r="X301" s="20"/>
      <c r="BQ301" s="25"/>
      <c r="BR301" s="20"/>
    </row>
    <row r="302" spans="1:70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84</v>
      </c>
      <c r="K302" s="20" t="s">
        <v>84</v>
      </c>
      <c r="L302" s="20"/>
      <c r="M302" s="20"/>
      <c r="N302" s="20" t="s">
        <v>84</v>
      </c>
      <c r="O302" s="20" t="s">
        <v>84</v>
      </c>
      <c r="P302" s="20" t="s">
        <v>84</v>
      </c>
      <c r="Q302" s="20"/>
      <c r="R302" s="20"/>
      <c r="T302" s="20"/>
      <c r="U302" s="19"/>
      <c r="V302" s="22"/>
      <c r="W302" s="22"/>
      <c r="X302" s="20"/>
      <c r="BQ302" s="25"/>
      <c r="BR302" s="20"/>
    </row>
    <row r="303" spans="1:70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84</v>
      </c>
      <c r="K303" s="20" t="s">
        <v>84</v>
      </c>
      <c r="L303" s="20"/>
      <c r="M303" s="20"/>
      <c r="N303" s="20" t="s">
        <v>84</v>
      </c>
      <c r="O303" s="20" t="s">
        <v>84</v>
      </c>
      <c r="P303" s="20" t="s">
        <v>84</v>
      </c>
      <c r="Q303" s="20"/>
      <c r="R303" s="20"/>
      <c r="T303" s="20"/>
      <c r="U303" s="19"/>
      <c r="V303" s="22"/>
      <c r="W303" s="22"/>
      <c r="X303" s="20"/>
      <c r="BQ303" s="25"/>
      <c r="BR303" s="20"/>
    </row>
    <row r="304" spans="1:70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84</v>
      </c>
      <c r="K304" s="20" t="s">
        <v>84</v>
      </c>
      <c r="L304" s="20"/>
      <c r="M304" s="20"/>
      <c r="N304" s="20" t="s">
        <v>84</v>
      </c>
      <c r="O304" s="20" t="s">
        <v>84</v>
      </c>
      <c r="P304" s="20" t="s">
        <v>84</v>
      </c>
      <c r="Q304" s="20"/>
      <c r="R304" s="20"/>
      <c r="T304" s="20"/>
      <c r="U304" s="19"/>
      <c r="V304" s="22"/>
      <c r="W304" s="22"/>
      <c r="X304" s="20"/>
      <c r="BQ304" s="25"/>
      <c r="BR304" s="20"/>
    </row>
    <row r="305" spans="1:70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84</v>
      </c>
      <c r="K305" s="20" t="s">
        <v>84</v>
      </c>
      <c r="L305" s="20"/>
      <c r="M305" s="20"/>
      <c r="N305" s="20" t="s">
        <v>84</v>
      </c>
      <c r="O305" s="20" t="s">
        <v>84</v>
      </c>
      <c r="P305" s="20" t="s">
        <v>84</v>
      </c>
      <c r="Q305" s="20"/>
      <c r="R305" s="20"/>
      <c r="T305" s="20"/>
      <c r="U305" s="19"/>
      <c r="V305" s="22"/>
      <c r="W305" s="22"/>
      <c r="X305" s="20"/>
      <c r="BQ305" s="25"/>
      <c r="BR305" s="20"/>
    </row>
    <row r="306" spans="1:70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84</v>
      </c>
      <c r="K306" s="20" t="s">
        <v>84</v>
      </c>
      <c r="L306" s="20"/>
      <c r="M306" s="20"/>
      <c r="N306" s="20" t="s">
        <v>84</v>
      </c>
      <c r="O306" s="20" t="s">
        <v>84</v>
      </c>
      <c r="P306" s="20" t="s">
        <v>84</v>
      </c>
      <c r="Q306" s="20"/>
      <c r="R306" s="20"/>
      <c r="T306" s="20"/>
      <c r="U306" s="19"/>
      <c r="V306" s="22"/>
      <c r="W306" s="22"/>
      <c r="X306" s="20"/>
      <c r="BQ306" s="25"/>
      <c r="BR306" s="20"/>
    </row>
    <row r="307" spans="1:70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84</v>
      </c>
      <c r="K307" s="20" t="s">
        <v>84</v>
      </c>
      <c r="L307" s="20"/>
      <c r="M307" s="20"/>
      <c r="N307" s="20" t="s">
        <v>84</v>
      </c>
      <c r="O307" s="20" t="s">
        <v>84</v>
      </c>
      <c r="P307" s="20" t="s">
        <v>84</v>
      </c>
      <c r="Q307" s="20"/>
      <c r="R307" s="20"/>
      <c r="T307" s="20"/>
      <c r="U307" s="19"/>
      <c r="V307" s="22"/>
      <c r="W307" s="22"/>
      <c r="X307" s="20"/>
      <c r="BQ307" s="25"/>
      <c r="BR307" s="20"/>
    </row>
    <row r="308" spans="1:70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84</v>
      </c>
      <c r="K308" s="20" t="s">
        <v>84</v>
      </c>
      <c r="L308" s="20"/>
      <c r="M308" s="20"/>
      <c r="N308" s="20" t="s">
        <v>84</v>
      </c>
      <c r="O308" s="20" t="s">
        <v>84</v>
      </c>
      <c r="P308" s="20" t="s">
        <v>84</v>
      </c>
      <c r="Q308" s="20"/>
      <c r="R308" s="20"/>
      <c r="T308" s="20"/>
      <c r="U308" s="19"/>
      <c r="V308" s="22"/>
      <c r="W308" s="22"/>
      <c r="X308" s="20"/>
      <c r="BQ308" s="25"/>
      <c r="BR308" s="20"/>
    </row>
    <row r="309" spans="1:70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84</v>
      </c>
      <c r="K309" s="20" t="s">
        <v>84</v>
      </c>
      <c r="L309" s="20"/>
      <c r="M309" s="20"/>
      <c r="N309" s="20" t="s">
        <v>84</v>
      </c>
      <c r="O309" s="20" t="s">
        <v>84</v>
      </c>
      <c r="P309" s="20" t="s">
        <v>84</v>
      </c>
      <c r="Q309" s="20"/>
      <c r="R309" s="20"/>
      <c r="T309" s="20"/>
      <c r="U309" s="19"/>
      <c r="V309" s="22"/>
      <c r="W309" s="22"/>
      <c r="X309" s="20"/>
      <c r="BQ309" s="25"/>
      <c r="BR309" s="20"/>
    </row>
    <row r="310" spans="1:70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84</v>
      </c>
      <c r="K310" s="20" t="s">
        <v>84</v>
      </c>
      <c r="L310" s="20"/>
      <c r="M310" s="20"/>
      <c r="N310" s="20" t="s">
        <v>84</v>
      </c>
      <c r="O310" s="20" t="s">
        <v>84</v>
      </c>
      <c r="P310" s="20" t="s">
        <v>84</v>
      </c>
      <c r="Q310" s="20"/>
      <c r="R310" s="20"/>
      <c r="T310" s="20"/>
      <c r="U310" s="19"/>
      <c r="V310" s="22"/>
      <c r="W310" s="22"/>
      <c r="X310" s="20"/>
      <c r="BQ310" s="25"/>
      <c r="BR310" s="20"/>
    </row>
    <row r="311" spans="1:70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84</v>
      </c>
      <c r="K311" s="20" t="s">
        <v>84</v>
      </c>
      <c r="L311" s="20"/>
      <c r="M311" s="20"/>
      <c r="N311" s="20" t="s">
        <v>84</v>
      </c>
      <c r="O311" s="20" t="s">
        <v>84</v>
      </c>
      <c r="P311" s="20" t="s">
        <v>84</v>
      </c>
      <c r="Q311" s="20"/>
      <c r="R311" s="20"/>
      <c r="T311" s="20"/>
      <c r="U311" s="19"/>
      <c r="V311" s="22"/>
      <c r="W311" s="22"/>
      <c r="X311" s="20"/>
      <c r="BQ311" s="25"/>
      <c r="BR311" s="20"/>
    </row>
    <row r="312" spans="1:70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84</v>
      </c>
      <c r="K312" s="20" t="s">
        <v>84</v>
      </c>
      <c r="L312" s="20"/>
      <c r="M312" s="20"/>
      <c r="N312" s="20" t="s">
        <v>84</v>
      </c>
      <c r="O312" s="20" t="s">
        <v>84</v>
      </c>
      <c r="P312" s="20" t="s">
        <v>84</v>
      </c>
      <c r="Q312" s="20"/>
      <c r="R312" s="20"/>
      <c r="T312" s="20"/>
      <c r="U312" s="19"/>
      <c r="V312" s="22"/>
      <c r="W312" s="22"/>
      <c r="X312" s="20"/>
      <c r="BQ312" s="25"/>
      <c r="BR312" s="20"/>
    </row>
    <row r="313" spans="1:70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84</v>
      </c>
      <c r="K313" s="20" t="s">
        <v>84</v>
      </c>
      <c r="L313" s="20"/>
      <c r="M313" s="20"/>
      <c r="N313" s="20" t="s">
        <v>84</v>
      </c>
      <c r="O313" s="20" t="s">
        <v>84</v>
      </c>
      <c r="P313" s="20" t="s">
        <v>84</v>
      </c>
      <c r="Q313" s="20"/>
      <c r="R313" s="20"/>
      <c r="T313" s="20"/>
      <c r="U313" s="19"/>
      <c r="V313" s="22"/>
      <c r="W313" s="22"/>
      <c r="X313" s="20"/>
      <c r="BQ313" s="25"/>
      <c r="BR313" s="20"/>
    </row>
    <row r="314" spans="1:70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84</v>
      </c>
      <c r="K314" s="20" t="s">
        <v>84</v>
      </c>
      <c r="L314" s="20"/>
      <c r="M314" s="20"/>
      <c r="N314" s="20" t="s">
        <v>84</v>
      </c>
      <c r="O314" s="20" t="s">
        <v>84</v>
      </c>
      <c r="P314" s="20" t="s">
        <v>84</v>
      </c>
      <c r="Q314" s="20"/>
      <c r="R314" s="20"/>
      <c r="T314" s="20"/>
      <c r="U314" s="19"/>
      <c r="V314" s="22"/>
      <c r="W314" s="22"/>
      <c r="X314" s="20"/>
      <c r="BQ314" s="25"/>
      <c r="BR314" s="20"/>
    </row>
    <row r="315" spans="1:70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84</v>
      </c>
      <c r="K315" s="20" t="s">
        <v>84</v>
      </c>
      <c r="L315" s="20"/>
      <c r="M315" s="20"/>
      <c r="N315" s="20" t="s">
        <v>84</v>
      </c>
      <c r="O315" s="20" t="s">
        <v>84</v>
      </c>
      <c r="P315" s="20" t="s">
        <v>84</v>
      </c>
      <c r="Q315" s="20"/>
      <c r="R315" s="20"/>
      <c r="T315" s="20"/>
      <c r="U315" s="19"/>
      <c r="V315" s="22"/>
      <c r="W315" s="22"/>
      <c r="X315" s="20"/>
      <c r="BQ315" s="25"/>
      <c r="BR315" s="20"/>
    </row>
    <row r="316" spans="1:70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84</v>
      </c>
      <c r="K316" s="20" t="s">
        <v>84</v>
      </c>
      <c r="L316" s="20"/>
      <c r="M316" s="20"/>
      <c r="N316" s="20" t="s">
        <v>84</v>
      </c>
      <c r="O316" s="20" t="s">
        <v>84</v>
      </c>
      <c r="P316" s="20" t="s">
        <v>84</v>
      </c>
      <c r="Q316" s="20"/>
      <c r="R316" s="20"/>
      <c r="T316" s="20"/>
      <c r="U316" s="19"/>
      <c r="V316" s="22"/>
      <c r="W316" s="22"/>
      <c r="X316" s="20"/>
      <c r="BQ316" s="25"/>
      <c r="BR316" s="20"/>
    </row>
    <row r="317" spans="1:70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84</v>
      </c>
      <c r="K317" s="20" t="s">
        <v>84</v>
      </c>
      <c r="L317" s="20"/>
      <c r="M317" s="20"/>
      <c r="N317" s="20" t="s">
        <v>84</v>
      </c>
      <c r="O317" s="20" t="s">
        <v>84</v>
      </c>
      <c r="P317" s="20" t="s">
        <v>84</v>
      </c>
      <c r="Q317" s="20"/>
      <c r="R317" s="20"/>
      <c r="T317" s="20"/>
      <c r="U317" s="19"/>
      <c r="V317" s="22"/>
      <c r="W317" s="22"/>
      <c r="X317" s="20"/>
      <c r="BQ317" s="25"/>
      <c r="BR317" s="20"/>
    </row>
    <row r="318" spans="1:70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84</v>
      </c>
      <c r="K318" s="20" t="s">
        <v>84</v>
      </c>
      <c r="L318" s="20"/>
      <c r="M318" s="20"/>
      <c r="N318" s="20" t="s">
        <v>84</v>
      </c>
      <c r="O318" s="20" t="s">
        <v>84</v>
      </c>
      <c r="P318" s="20" t="s">
        <v>84</v>
      </c>
      <c r="Q318" s="20"/>
      <c r="R318" s="20"/>
      <c r="T318" s="20"/>
      <c r="U318" s="19"/>
      <c r="V318" s="22"/>
      <c r="W318" s="22"/>
      <c r="X318" s="20"/>
      <c r="BQ318" s="25"/>
      <c r="BR318" s="20"/>
    </row>
    <row r="319" spans="1:70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84</v>
      </c>
      <c r="K319" s="20" t="s">
        <v>84</v>
      </c>
      <c r="L319" s="20"/>
      <c r="M319" s="20"/>
      <c r="N319" s="20" t="s">
        <v>84</v>
      </c>
      <c r="O319" s="20" t="s">
        <v>84</v>
      </c>
      <c r="P319" s="20" t="s">
        <v>84</v>
      </c>
      <c r="Q319" s="20"/>
      <c r="R319" s="20"/>
      <c r="T319" s="20"/>
      <c r="U319" s="19"/>
      <c r="V319" s="22"/>
      <c r="W319" s="22"/>
      <c r="X319" s="20"/>
      <c r="BQ319" s="25"/>
      <c r="BR319" s="20"/>
    </row>
    <row r="320" spans="1:70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84</v>
      </c>
      <c r="K320" s="20" t="s">
        <v>84</v>
      </c>
      <c r="L320" s="20"/>
      <c r="M320" s="20"/>
      <c r="N320" s="20" t="s">
        <v>84</v>
      </c>
      <c r="O320" s="20" t="s">
        <v>84</v>
      </c>
      <c r="P320" s="20" t="s">
        <v>84</v>
      </c>
      <c r="Q320" s="20"/>
      <c r="R320" s="20"/>
      <c r="T320" s="20"/>
      <c r="U320" s="19"/>
      <c r="V320" s="22"/>
      <c r="W320" s="22"/>
      <c r="X320" s="20"/>
      <c r="BQ320" s="25"/>
      <c r="BR320" s="20"/>
    </row>
    <row r="321" spans="1:70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84</v>
      </c>
      <c r="K321" s="20" t="s">
        <v>84</v>
      </c>
      <c r="L321" s="20"/>
      <c r="M321" s="20"/>
      <c r="N321" s="20" t="s">
        <v>84</v>
      </c>
      <c r="O321" s="20" t="s">
        <v>84</v>
      </c>
      <c r="P321" s="20" t="s">
        <v>84</v>
      </c>
      <c r="Q321" s="20"/>
      <c r="R321" s="20"/>
      <c r="T321" s="20"/>
      <c r="U321" s="19"/>
      <c r="V321" s="22"/>
      <c r="W321" s="22"/>
      <c r="X321" s="20"/>
      <c r="BQ321" s="25"/>
      <c r="BR321" s="20"/>
    </row>
    <row r="322" spans="1:70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84</v>
      </c>
      <c r="K322" s="20" t="s">
        <v>84</v>
      </c>
      <c r="L322" s="20"/>
      <c r="M322" s="20"/>
      <c r="N322" s="20" t="s">
        <v>84</v>
      </c>
      <c r="O322" s="20" t="s">
        <v>84</v>
      </c>
      <c r="P322" s="20" t="s">
        <v>84</v>
      </c>
      <c r="Q322" s="20"/>
      <c r="R322" s="20"/>
      <c r="T322" s="20"/>
      <c r="U322" s="19"/>
      <c r="V322" s="22"/>
      <c r="W322" s="22"/>
      <c r="X322" s="20"/>
      <c r="BQ322" s="25"/>
      <c r="BR322" s="20"/>
    </row>
    <row r="323" spans="1:70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84</v>
      </c>
      <c r="K323" s="20" t="s">
        <v>84</v>
      </c>
      <c r="L323" s="20"/>
      <c r="M323" s="20"/>
      <c r="N323" s="20" t="s">
        <v>84</v>
      </c>
      <c r="O323" s="20" t="s">
        <v>84</v>
      </c>
      <c r="P323" s="20" t="s">
        <v>84</v>
      </c>
      <c r="Q323" s="20"/>
      <c r="R323" s="20"/>
      <c r="T323" s="20"/>
      <c r="U323" s="19"/>
      <c r="V323" s="22"/>
      <c r="W323" s="22"/>
      <c r="X323" s="20"/>
      <c r="BQ323" s="25"/>
      <c r="BR323" s="20"/>
    </row>
    <row r="324" spans="1:70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84</v>
      </c>
      <c r="K324" s="20" t="s">
        <v>84</v>
      </c>
      <c r="L324" s="20"/>
      <c r="M324" s="20"/>
      <c r="N324" s="20" t="s">
        <v>84</v>
      </c>
      <c r="O324" s="20" t="s">
        <v>84</v>
      </c>
      <c r="P324" s="20" t="s">
        <v>84</v>
      </c>
      <c r="Q324" s="20"/>
      <c r="R324" s="20"/>
      <c r="T324" s="20"/>
      <c r="U324" s="19"/>
      <c r="V324" s="22"/>
      <c r="W324" s="22"/>
      <c r="X324" s="20"/>
      <c r="BQ324" s="25"/>
      <c r="BR324" s="20"/>
    </row>
    <row r="325" spans="1:70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84</v>
      </c>
      <c r="K325" s="20" t="s">
        <v>84</v>
      </c>
      <c r="L325" s="20"/>
      <c r="M325" s="20"/>
      <c r="N325" s="20" t="s">
        <v>84</v>
      </c>
      <c r="O325" s="20" t="s">
        <v>84</v>
      </c>
      <c r="P325" s="20" t="s">
        <v>84</v>
      </c>
      <c r="Q325" s="20"/>
      <c r="R325" s="20"/>
      <c r="T325" s="20"/>
      <c r="U325" s="19"/>
      <c r="V325" s="22"/>
      <c r="W325" s="22"/>
      <c r="X325" s="20"/>
      <c r="BQ325" s="25"/>
      <c r="BR325" s="20"/>
    </row>
    <row r="326" spans="1:70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84</v>
      </c>
      <c r="K326" s="20" t="s">
        <v>84</v>
      </c>
      <c r="L326" s="20"/>
      <c r="M326" s="20"/>
      <c r="N326" s="20" t="s">
        <v>84</v>
      </c>
      <c r="O326" s="20" t="s">
        <v>84</v>
      </c>
      <c r="P326" s="20" t="s">
        <v>84</v>
      </c>
      <c r="Q326" s="20"/>
      <c r="R326" s="20"/>
      <c r="T326" s="20"/>
      <c r="U326" s="19"/>
      <c r="V326" s="22"/>
      <c r="W326" s="22"/>
      <c r="X326" s="20"/>
      <c r="BQ326" s="25"/>
      <c r="BR326" s="20"/>
    </row>
    <row r="327" spans="1:70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84</v>
      </c>
      <c r="K327" s="20" t="s">
        <v>84</v>
      </c>
      <c r="L327" s="20"/>
      <c r="M327" s="20"/>
      <c r="N327" s="20" t="s">
        <v>84</v>
      </c>
      <c r="O327" s="20" t="s">
        <v>84</v>
      </c>
      <c r="P327" s="20" t="s">
        <v>84</v>
      </c>
      <c r="Q327" s="20"/>
      <c r="R327" s="20"/>
      <c r="T327" s="20"/>
      <c r="U327" s="19"/>
      <c r="V327" s="22"/>
      <c r="W327" s="22"/>
      <c r="X327" s="20"/>
      <c r="BQ327" s="25"/>
      <c r="BR327" s="20"/>
    </row>
    <row r="328" spans="1:70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84</v>
      </c>
      <c r="K328" s="20" t="s">
        <v>84</v>
      </c>
      <c r="L328" s="20"/>
      <c r="M328" s="20"/>
      <c r="N328" s="20" t="s">
        <v>84</v>
      </c>
      <c r="O328" s="20" t="s">
        <v>84</v>
      </c>
      <c r="P328" s="20" t="s">
        <v>84</v>
      </c>
      <c r="Q328" s="20"/>
      <c r="R328" s="20"/>
      <c r="T328" s="20"/>
      <c r="U328" s="19"/>
      <c r="V328" s="22"/>
      <c r="W328" s="22"/>
      <c r="X328" s="20"/>
      <c r="BQ328" s="25"/>
      <c r="BR328" s="20"/>
    </row>
    <row r="329" spans="1:70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84</v>
      </c>
      <c r="K329" s="20" t="s">
        <v>84</v>
      </c>
      <c r="L329" s="20"/>
      <c r="M329" s="20"/>
      <c r="N329" s="20" t="s">
        <v>84</v>
      </c>
      <c r="O329" s="20" t="s">
        <v>84</v>
      </c>
      <c r="P329" s="20" t="s">
        <v>84</v>
      </c>
      <c r="Q329" s="20"/>
      <c r="R329" s="20"/>
      <c r="T329" s="20"/>
      <c r="U329" s="19"/>
      <c r="V329" s="22"/>
      <c r="W329" s="22"/>
      <c r="X329" s="20"/>
      <c r="BQ329" s="25"/>
      <c r="BR329" s="20"/>
    </row>
    <row r="330" spans="1:70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84</v>
      </c>
      <c r="K330" s="20" t="s">
        <v>84</v>
      </c>
      <c r="L330" s="20"/>
      <c r="M330" s="20"/>
      <c r="N330" s="20" t="s">
        <v>84</v>
      </c>
      <c r="O330" s="20" t="s">
        <v>84</v>
      </c>
      <c r="P330" s="20" t="s">
        <v>84</v>
      </c>
      <c r="Q330" s="20"/>
      <c r="R330" s="20"/>
      <c r="T330" s="20"/>
      <c r="U330" s="19"/>
      <c r="V330" s="22"/>
      <c r="W330" s="22"/>
      <c r="X330" s="20"/>
      <c r="BQ330" s="25"/>
      <c r="BR330" s="20"/>
    </row>
    <row r="331" spans="1:70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84</v>
      </c>
      <c r="K331" s="20" t="s">
        <v>84</v>
      </c>
      <c r="L331" s="20"/>
      <c r="M331" s="20"/>
      <c r="N331" s="20" t="s">
        <v>84</v>
      </c>
      <c r="O331" s="20" t="s">
        <v>84</v>
      </c>
      <c r="P331" s="20" t="s">
        <v>84</v>
      </c>
      <c r="Q331" s="20"/>
      <c r="R331" s="20"/>
      <c r="T331" s="20"/>
      <c r="U331" s="19"/>
      <c r="V331" s="22"/>
      <c r="W331" s="22"/>
      <c r="X331" s="20"/>
      <c r="BQ331" s="25"/>
      <c r="BR331" s="20"/>
    </row>
    <row r="332" spans="1:70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84</v>
      </c>
      <c r="K332" s="20" t="s">
        <v>84</v>
      </c>
      <c r="L332" s="20"/>
      <c r="M332" s="20"/>
      <c r="N332" s="20" t="s">
        <v>84</v>
      </c>
      <c r="O332" s="20" t="s">
        <v>84</v>
      </c>
      <c r="P332" s="20" t="s">
        <v>84</v>
      </c>
      <c r="Q332" s="20"/>
      <c r="R332" s="20"/>
      <c r="T332" s="20"/>
      <c r="U332" s="19"/>
      <c r="V332" s="22"/>
      <c r="W332" s="22"/>
      <c r="X332" s="20"/>
      <c r="BQ332" s="25"/>
      <c r="BR332" s="20"/>
    </row>
    <row r="333" spans="1:70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84</v>
      </c>
      <c r="K333" s="20" t="s">
        <v>84</v>
      </c>
      <c r="L333" s="20"/>
      <c r="M333" s="20"/>
      <c r="N333" s="20" t="s">
        <v>84</v>
      </c>
      <c r="O333" s="20" t="s">
        <v>84</v>
      </c>
      <c r="P333" s="20" t="s">
        <v>84</v>
      </c>
      <c r="Q333" s="20"/>
      <c r="R333" s="20"/>
      <c r="T333" s="20"/>
      <c r="U333" s="19"/>
      <c r="V333" s="22"/>
      <c r="W333" s="22"/>
      <c r="X333" s="20"/>
      <c r="BQ333" s="25"/>
      <c r="BR333" s="20"/>
    </row>
    <row r="334" spans="1:70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84</v>
      </c>
      <c r="K334" s="20" t="s">
        <v>84</v>
      </c>
      <c r="L334" s="20"/>
      <c r="M334" s="20"/>
      <c r="N334" s="20" t="s">
        <v>84</v>
      </c>
      <c r="O334" s="20" t="s">
        <v>84</v>
      </c>
      <c r="P334" s="20" t="s">
        <v>84</v>
      </c>
      <c r="Q334" s="20"/>
      <c r="R334" s="20"/>
      <c r="T334" s="20"/>
      <c r="U334" s="19"/>
      <c r="V334" s="22"/>
      <c r="W334" s="22"/>
      <c r="X334" s="20"/>
      <c r="BQ334" s="25"/>
      <c r="BR334" s="20"/>
    </row>
    <row r="335" spans="1:70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84</v>
      </c>
      <c r="K335" s="20" t="s">
        <v>84</v>
      </c>
      <c r="L335" s="20"/>
      <c r="M335" s="20"/>
      <c r="N335" s="20" t="s">
        <v>84</v>
      </c>
      <c r="O335" s="20" t="s">
        <v>84</v>
      </c>
      <c r="P335" s="20" t="s">
        <v>84</v>
      </c>
      <c r="Q335" s="20"/>
      <c r="R335" s="20"/>
      <c r="T335" s="20"/>
      <c r="U335" s="19"/>
      <c r="V335" s="22"/>
      <c r="W335" s="22"/>
      <c r="X335" s="20"/>
      <c r="BQ335" s="25"/>
      <c r="BR335" s="20"/>
    </row>
    <row r="336" spans="1:70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84</v>
      </c>
      <c r="K336" s="20" t="s">
        <v>84</v>
      </c>
      <c r="L336" s="20"/>
      <c r="M336" s="20"/>
      <c r="N336" s="20" t="s">
        <v>84</v>
      </c>
      <c r="O336" s="20" t="s">
        <v>84</v>
      </c>
      <c r="P336" s="20" t="s">
        <v>84</v>
      </c>
      <c r="Q336" s="20"/>
      <c r="R336" s="20"/>
      <c r="T336" s="20"/>
      <c r="U336" s="19"/>
      <c r="V336" s="22"/>
      <c r="W336" s="22"/>
      <c r="X336" s="20"/>
      <c r="BQ336" s="25"/>
      <c r="BR336" s="20"/>
    </row>
    <row r="337" spans="1:70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84</v>
      </c>
      <c r="K337" s="20" t="s">
        <v>84</v>
      </c>
      <c r="L337" s="20"/>
      <c r="M337" s="20"/>
      <c r="N337" s="20" t="s">
        <v>84</v>
      </c>
      <c r="O337" s="20" t="s">
        <v>84</v>
      </c>
      <c r="P337" s="20" t="s">
        <v>84</v>
      </c>
      <c r="Q337" s="20"/>
      <c r="R337" s="20"/>
      <c r="T337" s="20"/>
      <c r="U337" s="19"/>
      <c r="V337" s="22"/>
      <c r="W337" s="22"/>
      <c r="X337" s="20"/>
      <c r="BQ337" s="25"/>
      <c r="BR337" s="20"/>
    </row>
    <row r="338" spans="1:70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84</v>
      </c>
      <c r="K338" s="20" t="s">
        <v>84</v>
      </c>
      <c r="L338" s="20"/>
      <c r="M338" s="20"/>
      <c r="N338" s="20" t="s">
        <v>84</v>
      </c>
      <c r="O338" s="20" t="s">
        <v>84</v>
      </c>
      <c r="P338" s="20" t="s">
        <v>84</v>
      </c>
      <c r="Q338" s="20"/>
      <c r="R338" s="20"/>
      <c r="T338" s="20"/>
      <c r="U338" s="19"/>
      <c r="V338" s="22"/>
      <c r="W338" s="22"/>
      <c r="X338" s="20"/>
      <c r="BQ338" s="25"/>
      <c r="BR338" s="20"/>
    </row>
    <row r="339" spans="1:70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84</v>
      </c>
      <c r="K339" s="20" t="s">
        <v>84</v>
      </c>
      <c r="L339" s="20"/>
      <c r="M339" s="20"/>
      <c r="N339" s="20" t="s">
        <v>84</v>
      </c>
      <c r="O339" s="20" t="s">
        <v>84</v>
      </c>
      <c r="P339" s="20" t="s">
        <v>84</v>
      </c>
      <c r="Q339" s="20"/>
      <c r="R339" s="20"/>
      <c r="T339" s="20"/>
      <c r="U339" s="19"/>
      <c r="V339" s="22"/>
      <c r="W339" s="22"/>
      <c r="X339" s="20"/>
      <c r="BQ339" s="25"/>
      <c r="BR339" s="20"/>
    </row>
    <row r="340" spans="1:70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84</v>
      </c>
      <c r="K340" s="20" t="s">
        <v>84</v>
      </c>
      <c r="L340" s="20"/>
      <c r="M340" s="20"/>
      <c r="N340" s="20" t="s">
        <v>84</v>
      </c>
      <c r="O340" s="20" t="s">
        <v>84</v>
      </c>
      <c r="P340" s="20" t="s">
        <v>84</v>
      </c>
      <c r="Q340" s="20"/>
      <c r="R340" s="20"/>
      <c r="T340" s="20"/>
      <c r="U340" s="19"/>
      <c r="V340" s="22"/>
      <c r="W340" s="22"/>
      <c r="X340" s="20"/>
      <c r="BQ340" s="25"/>
      <c r="BR340" s="20"/>
    </row>
    <row r="341" spans="1:70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84</v>
      </c>
      <c r="K341" s="20" t="s">
        <v>84</v>
      </c>
      <c r="L341" s="20"/>
      <c r="M341" s="20"/>
      <c r="N341" s="20" t="s">
        <v>84</v>
      </c>
      <c r="O341" s="20" t="s">
        <v>84</v>
      </c>
      <c r="P341" s="20" t="s">
        <v>84</v>
      </c>
      <c r="Q341" s="20"/>
      <c r="R341" s="20"/>
      <c r="T341" s="20"/>
      <c r="U341" s="19"/>
      <c r="V341" s="22"/>
      <c r="W341" s="22"/>
      <c r="X341" s="20"/>
      <c r="BQ341" s="25"/>
      <c r="BR341" s="20"/>
    </row>
    <row r="342" spans="1:70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84</v>
      </c>
      <c r="K342" s="20" t="s">
        <v>84</v>
      </c>
      <c r="L342" s="20"/>
      <c r="M342" s="20"/>
      <c r="N342" s="20" t="s">
        <v>84</v>
      </c>
      <c r="O342" s="20" t="s">
        <v>84</v>
      </c>
      <c r="P342" s="20" t="s">
        <v>84</v>
      </c>
      <c r="Q342" s="20"/>
      <c r="R342" s="20"/>
      <c r="T342" s="20"/>
      <c r="U342" s="19"/>
      <c r="V342" s="22"/>
      <c r="W342" s="22"/>
      <c r="X342" s="20"/>
      <c r="BQ342" s="25"/>
      <c r="BR342" s="20"/>
    </row>
    <row r="343" spans="1:70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84</v>
      </c>
      <c r="K343" s="20" t="s">
        <v>84</v>
      </c>
      <c r="L343" s="20"/>
      <c r="M343" s="20"/>
      <c r="N343" s="20" t="s">
        <v>84</v>
      </c>
      <c r="O343" s="20" t="s">
        <v>84</v>
      </c>
      <c r="P343" s="20" t="s">
        <v>84</v>
      </c>
      <c r="Q343" s="20"/>
      <c r="R343" s="20"/>
      <c r="T343" s="20"/>
      <c r="U343" s="19"/>
      <c r="V343" s="22"/>
      <c r="W343" s="22"/>
      <c r="X343" s="20"/>
      <c r="BQ343" s="25"/>
      <c r="BR343" s="20"/>
    </row>
    <row r="344" spans="1:70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84</v>
      </c>
      <c r="K344" s="20" t="s">
        <v>84</v>
      </c>
      <c r="L344" s="20"/>
      <c r="M344" s="20"/>
      <c r="N344" s="20" t="s">
        <v>84</v>
      </c>
      <c r="O344" s="20" t="s">
        <v>84</v>
      </c>
      <c r="P344" s="20" t="s">
        <v>84</v>
      </c>
      <c r="Q344" s="20"/>
      <c r="R344" s="20"/>
      <c r="T344" s="20"/>
      <c r="U344" s="19"/>
      <c r="V344" s="22"/>
      <c r="W344" s="22"/>
      <c r="X344" s="20"/>
      <c r="BQ344" s="25"/>
      <c r="BR344" s="20"/>
    </row>
    <row r="345" spans="1:70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84</v>
      </c>
      <c r="K345" s="20" t="s">
        <v>84</v>
      </c>
      <c r="L345" s="20"/>
      <c r="M345" s="20"/>
      <c r="N345" s="20" t="s">
        <v>84</v>
      </c>
      <c r="O345" s="20" t="s">
        <v>84</v>
      </c>
      <c r="P345" s="20" t="s">
        <v>84</v>
      </c>
      <c r="Q345" s="20"/>
      <c r="R345" s="20"/>
      <c r="T345" s="20"/>
      <c r="U345" s="19"/>
      <c r="V345" s="22"/>
      <c r="W345" s="22"/>
      <c r="X345" s="20"/>
      <c r="BQ345" s="25"/>
      <c r="BR345" s="20"/>
    </row>
    <row r="346" spans="1:70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84</v>
      </c>
      <c r="K346" s="20" t="s">
        <v>84</v>
      </c>
      <c r="L346" s="20"/>
      <c r="M346" s="20"/>
      <c r="N346" s="20" t="s">
        <v>84</v>
      </c>
      <c r="O346" s="20" t="s">
        <v>84</v>
      </c>
      <c r="P346" s="20" t="s">
        <v>84</v>
      </c>
      <c r="Q346" s="20"/>
      <c r="R346" s="20"/>
      <c r="T346" s="20"/>
      <c r="U346" s="19"/>
      <c r="V346" s="22"/>
      <c r="W346" s="22"/>
      <c r="X346" s="20"/>
      <c r="BQ346" s="25"/>
      <c r="BR346" s="20"/>
    </row>
    <row r="347" spans="1:70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84</v>
      </c>
      <c r="K347" s="20" t="s">
        <v>84</v>
      </c>
      <c r="L347" s="20"/>
      <c r="M347" s="20"/>
      <c r="N347" s="20" t="s">
        <v>84</v>
      </c>
      <c r="O347" s="20" t="s">
        <v>84</v>
      </c>
      <c r="P347" s="20" t="s">
        <v>84</v>
      </c>
      <c r="Q347" s="20"/>
      <c r="R347" s="20"/>
      <c r="T347" s="20"/>
      <c r="U347" s="19"/>
      <c r="V347" s="22"/>
      <c r="W347" s="22"/>
      <c r="X347" s="20"/>
      <c r="BQ347" s="25"/>
      <c r="BR347" s="20"/>
    </row>
    <row r="348" spans="1:70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84</v>
      </c>
      <c r="K348" s="20" t="s">
        <v>84</v>
      </c>
      <c r="L348" s="20"/>
      <c r="M348" s="20"/>
      <c r="N348" s="20" t="s">
        <v>84</v>
      </c>
      <c r="O348" s="20" t="s">
        <v>84</v>
      </c>
      <c r="P348" s="20" t="s">
        <v>84</v>
      </c>
      <c r="Q348" s="20"/>
      <c r="R348" s="20"/>
      <c r="T348" s="20"/>
      <c r="U348" s="19"/>
      <c r="V348" s="22"/>
      <c r="W348" s="22"/>
      <c r="X348" s="20"/>
      <c r="BQ348" s="25"/>
      <c r="BR348" s="20"/>
    </row>
    <row r="349" spans="1:70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84</v>
      </c>
      <c r="K349" s="20" t="s">
        <v>84</v>
      </c>
      <c r="L349" s="20"/>
      <c r="M349" s="20"/>
      <c r="N349" s="20" t="s">
        <v>84</v>
      </c>
      <c r="O349" s="20" t="s">
        <v>84</v>
      </c>
      <c r="P349" s="20" t="s">
        <v>84</v>
      </c>
      <c r="Q349" s="20"/>
      <c r="R349" s="20"/>
      <c r="T349" s="20"/>
      <c r="U349" s="19"/>
      <c r="V349" s="22"/>
      <c r="W349" s="22"/>
      <c r="X349" s="20"/>
      <c r="BQ349" s="25"/>
      <c r="BR349" s="20"/>
    </row>
    <row r="350" spans="1:70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84</v>
      </c>
      <c r="K350" s="20" t="s">
        <v>84</v>
      </c>
      <c r="L350" s="20"/>
      <c r="M350" s="20"/>
      <c r="N350" s="20" t="s">
        <v>84</v>
      </c>
      <c r="O350" s="20" t="s">
        <v>84</v>
      </c>
      <c r="P350" s="20" t="s">
        <v>84</v>
      </c>
      <c r="Q350" s="20"/>
      <c r="R350" s="20"/>
      <c r="T350" s="20"/>
      <c r="U350" s="19"/>
      <c r="V350" s="22"/>
      <c r="W350" s="22"/>
      <c r="X350" s="20"/>
      <c r="BQ350" s="25"/>
      <c r="BR350" s="20"/>
    </row>
    <row r="351" spans="1:70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84</v>
      </c>
      <c r="K351" s="20" t="s">
        <v>84</v>
      </c>
      <c r="L351" s="20"/>
      <c r="M351" s="20"/>
      <c r="N351" s="20" t="s">
        <v>84</v>
      </c>
      <c r="O351" s="20" t="s">
        <v>84</v>
      </c>
      <c r="P351" s="20" t="s">
        <v>84</v>
      </c>
      <c r="Q351" s="20"/>
      <c r="R351" s="20"/>
      <c r="T351" s="20"/>
      <c r="U351" s="19"/>
      <c r="V351" s="22"/>
      <c r="W351" s="22"/>
      <c r="X351" s="20"/>
      <c r="BQ351" s="25"/>
      <c r="BR351" s="20"/>
    </row>
    <row r="352" spans="1:70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84</v>
      </c>
      <c r="K352" s="20" t="s">
        <v>84</v>
      </c>
      <c r="L352" s="20"/>
      <c r="M352" s="20"/>
      <c r="N352" s="20" t="s">
        <v>84</v>
      </c>
      <c r="O352" s="20" t="s">
        <v>84</v>
      </c>
      <c r="P352" s="20" t="s">
        <v>84</v>
      </c>
      <c r="Q352" s="20"/>
      <c r="R352" s="20"/>
      <c r="T352" s="20"/>
      <c r="U352" s="19"/>
      <c r="V352" s="22"/>
      <c r="W352" s="22"/>
      <c r="X352" s="20"/>
      <c r="BQ352" s="25"/>
      <c r="BR352" s="20"/>
    </row>
    <row r="353" spans="1:70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84</v>
      </c>
      <c r="K353" s="20" t="s">
        <v>84</v>
      </c>
      <c r="L353" s="20"/>
      <c r="M353" s="20"/>
      <c r="N353" s="20" t="s">
        <v>84</v>
      </c>
      <c r="O353" s="20" t="s">
        <v>84</v>
      </c>
      <c r="P353" s="20" t="s">
        <v>84</v>
      </c>
      <c r="Q353" s="20"/>
      <c r="R353" s="20"/>
      <c r="T353" s="20"/>
      <c r="U353" s="19"/>
      <c r="V353" s="22"/>
      <c r="W353" s="22"/>
      <c r="X353" s="20"/>
      <c r="BQ353" s="25"/>
      <c r="BR353" s="20"/>
    </row>
    <row r="354" spans="1:70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84</v>
      </c>
      <c r="K354" s="20" t="s">
        <v>84</v>
      </c>
      <c r="L354" s="20"/>
      <c r="M354" s="20"/>
      <c r="N354" s="20" t="s">
        <v>84</v>
      </c>
      <c r="O354" s="20" t="s">
        <v>84</v>
      </c>
      <c r="P354" s="20" t="s">
        <v>84</v>
      </c>
      <c r="Q354" s="20"/>
      <c r="R354" s="20"/>
      <c r="T354" s="20"/>
      <c r="U354" s="19"/>
      <c r="V354" s="22"/>
      <c r="W354" s="22"/>
      <c r="X354" s="20"/>
      <c r="BQ354" s="25"/>
      <c r="BR354" s="20"/>
    </row>
    <row r="355" spans="1:70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84</v>
      </c>
      <c r="K355" s="20" t="s">
        <v>84</v>
      </c>
      <c r="L355" s="20"/>
      <c r="M355" s="20"/>
      <c r="N355" s="20" t="s">
        <v>84</v>
      </c>
      <c r="O355" s="20" t="s">
        <v>84</v>
      </c>
      <c r="P355" s="20" t="s">
        <v>84</v>
      </c>
      <c r="Q355" s="20"/>
      <c r="R355" s="20"/>
      <c r="T355" s="20"/>
      <c r="U355" s="19"/>
      <c r="V355" s="22"/>
      <c r="W355" s="22"/>
      <c r="X355" s="20"/>
      <c r="BQ355" s="25"/>
      <c r="BR355" s="20"/>
    </row>
    <row r="356" spans="1:70" x14ac:dyDescent="0.2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84</v>
      </c>
      <c r="K356" s="20" t="s">
        <v>84</v>
      </c>
      <c r="L356" s="20"/>
      <c r="M356" s="20"/>
      <c r="N356" s="20" t="s">
        <v>84</v>
      </c>
      <c r="O356" s="20" t="s">
        <v>84</v>
      </c>
      <c r="P356" s="20" t="s">
        <v>84</v>
      </c>
      <c r="Q356" s="20"/>
      <c r="R356" s="20"/>
      <c r="T356" s="20"/>
      <c r="U356" s="19"/>
      <c r="V356" s="22"/>
      <c r="W356" s="22"/>
      <c r="X356" s="20"/>
      <c r="BQ356" s="25"/>
      <c r="BR356" s="20"/>
    </row>
    <row r="357" spans="1:70" x14ac:dyDescent="0.2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84</v>
      </c>
      <c r="K357" s="20" t="s">
        <v>84</v>
      </c>
      <c r="L357" s="20"/>
      <c r="M357" s="20"/>
      <c r="N357" s="20" t="s">
        <v>84</v>
      </c>
      <c r="O357" s="20" t="s">
        <v>84</v>
      </c>
      <c r="P357" s="20" t="s">
        <v>84</v>
      </c>
      <c r="Q357" s="20"/>
      <c r="R357" s="20"/>
      <c r="T357" s="20"/>
      <c r="U357" s="19"/>
      <c r="V357" s="22"/>
      <c r="W357" s="22"/>
      <c r="X357" s="20"/>
      <c r="BQ357" s="25"/>
      <c r="BR357" s="20"/>
    </row>
    <row r="358" spans="1:70" x14ac:dyDescent="0.2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84</v>
      </c>
      <c r="K358" s="20" t="s">
        <v>84</v>
      </c>
      <c r="L358" s="20"/>
      <c r="M358" s="20"/>
      <c r="N358" s="20" t="s">
        <v>84</v>
      </c>
      <c r="O358" s="20" t="s">
        <v>84</v>
      </c>
      <c r="P358" s="20" t="s">
        <v>84</v>
      </c>
      <c r="Q358" s="20"/>
      <c r="R358" s="20"/>
      <c r="T358" s="20"/>
      <c r="U358" s="19"/>
      <c r="V358" s="22"/>
      <c r="W358" s="22"/>
      <c r="X358" s="20"/>
      <c r="BQ358" s="25"/>
      <c r="BR358" s="20"/>
    </row>
    <row r="359" spans="1:70" x14ac:dyDescent="0.2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84</v>
      </c>
      <c r="K359" s="20" t="s">
        <v>84</v>
      </c>
      <c r="L359" s="20"/>
      <c r="M359" s="20"/>
      <c r="N359" s="20" t="s">
        <v>84</v>
      </c>
      <c r="O359" s="20" t="s">
        <v>84</v>
      </c>
      <c r="P359" s="20" t="s">
        <v>84</v>
      </c>
      <c r="Q359" s="20"/>
      <c r="R359" s="20"/>
      <c r="T359" s="20"/>
      <c r="U359" s="19"/>
      <c r="V359" s="22"/>
      <c r="W359" s="22"/>
      <c r="X359" s="20"/>
      <c r="BQ359" s="25"/>
      <c r="BR359" s="20"/>
    </row>
    <row r="360" spans="1:70" x14ac:dyDescent="0.2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84</v>
      </c>
      <c r="K360" s="20" t="s">
        <v>84</v>
      </c>
      <c r="L360" s="20"/>
      <c r="M360" s="20"/>
      <c r="N360" s="20" t="s">
        <v>84</v>
      </c>
      <c r="O360" s="20" t="s">
        <v>84</v>
      </c>
      <c r="P360" s="20" t="s">
        <v>84</v>
      </c>
      <c r="Q360" s="20"/>
      <c r="R360" s="20"/>
      <c r="T360" s="20"/>
      <c r="U360" s="19"/>
      <c r="V360" s="22"/>
      <c r="W360" s="22"/>
      <c r="X360" s="20"/>
      <c r="BQ360" s="25"/>
      <c r="BR360" s="20"/>
    </row>
    <row r="361" spans="1:70" x14ac:dyDescent="0.2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84</v>
      </c>
      <c r="K361" s="20" t="s">
        <v>84</v>
      </c>
      <c r="L361" s="20"/>
      <c r="M361" s="20"/>
      <c r="N361" s="20" t="s">
        <v>84</v>
      </c>
      <c r="O361" s="20" t="s">
        <v>84</v>
      </c>
      <c r="P361" s="20" t="s">
        <v>84</v>
      </c>
      <c r="Q361" s="20"/>
      <c r="R361" s="20"/>
      <c r="T361" s="20"/>
      <c r="U361" s="19"/>
      <c r="V361" s="22"/>
      <c r="W361" s="22"/>
      <c r="X361" s="20"/>
      <c r="BQ361" s="25"/>
      <c r="BR361" s="20"/>
    </row>
    <row r="362" spans="1:70" x14ac:dyDescent="0.2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84</v>
      </c>
      <c r="K362" s="20" t="s">
        <v>84</v>
      </c>
      <c r="L362" s="20"/>
      <c r="M362" s="20"/>
      <c r="N362" s="20" t="s">
        <v>84</v>
      </c>
      <c r="O362" s="20" t="s">
        <v>84</v>
      </c>
      <c r="P362" s="20" t="s">
        <v>84</v>
      </c>
      <c r="Q362" s="20"/>
      <c r="R362" s="20"/>
      <c r="T362" s="20"/>
      <c r="U362" s="19"/>
      <c r="V362" s="22"/>
      <c r="W362" s="22"/>
      <c r="X362" s="20"/>
      <c r="BQ362" s="25"/>
      <c r="BR362" s="20"/>
    </row>
    <row r="363" spans="1:70" x14ac:dyDescent="0.2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84</v>
      </c>
      <c r="K363" s="20" t="s">
        <v>84</v>
      </c>
      <c r="L363" s="20"/>
      <c r="M363" s="20"/>
      <c r="N363" s="20" t="s">
        <v>84</v>
      </c>
      <c r="O363" s="20" t="s">
        <v>84</v>
      </c>
      <c r="P363" s="20" t="s">
        <v>84</v>
      </c>
      <c r="Q363" s="20"/>
      <c r="R363" s="20"/>
      <c r="T363" s="20"/>
      <c r="U363" s="19"/>
      <c r="V363" s="22"/>
      <c r="W363" s="22"/>
      <c r="X363" s="20"/>
      <c r="BQ363" s="25"/>
      <c r="BR363" s="20"/>
    </row>
    <row r="364" spans="1:70" x14ac:dyDescent="0.2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84</v>
      </c>
      <c r="K364" s="20" t="s">
        <v>84</v>
      </c>
      <c r="L364" s="20"/>
      <c r="M364" s="20"/>
      <c r="N364" s="20" t="s">
        <v>84</v>
      </c>
      <c r="O364" s="20" t="s">
        <v>84</v>
      </c>
      <c r="P364" s="20" t="s">
        <v>84</v>
      </c>
      <c r="Q364" s="20"/>
      <c r="R364" s="20"/>
      <c r="T364" s="20"/>
      <c r="U364" s="19"/>
      <c r="V364" s="22"/>
      <c r="W364" s="22"/>
      <c r="X364" s="20"/>
      <c r="BQ364" s="25"/>
      <c r="BR364" s="20"/>
    </row>
    <row r="365" spans="1:70" x14ac:dyDescent="0.2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84</v>
      </c>
      <c r="K365" s="20" t="s">
        <v>84</v>
      </c>
      <c r="L365" s="20"/>
      <c r="M365" s="20"/>
      <c r="N365" s="20" t="s">
        <v>84</v>
      </c>
      <c r="O365" s="20" t="s">
        <v>84</v>
      </c>
      <c r="P365" s="20" t="s">
        <v>84</v>
      </c>
      <c r="Q365" s="20"/>
      <c r="R365" s="20"/>
      <c r="T365" s="20"/>
      <c r="U365" s="19"/>
      <c r="V365" s="22"/>
      <c r="W365" s="22"/>
      <c r="X365" s="20"/>
      <c r="BQ365" s="25"/>
      <c r="BR365" s="20"/>
    </row>
    <row r="366" spans="1:70" x14ac:dyDescent="0.2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84</v>
      </c>
      <c r="K366" s="20" t="s">
        <v>84</v>
      </c>
      <c r="L366" s="20"/>
      <c r="M366" s="20"/>
      <c r="N366" s="20" t="s">
        <v>84</v>
      </c>
      <c r="O366" s="20" t="s">
        <v>84</v>
      </c>
      <c r="P366" s="20" t="s">
        <v>84</v>
      </c>
      <c r="Q366" s="20"/>
      <c r="R366" s="20"/>
      <c r="T366" s="20"/>
      <c r="U366" s="19"/>
      <c r="V366" s="22"/>
      <c r="W366" s="22"/>
      <c r="X366" s="20"/>
      <c r="BQ366" s="25"/>
      <c r="BR366" s="20"/>
    </row>
    <row r="367" spans="1:70" x14ac:dyDescent="0.2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84</v>
      </c>
      <c r="K367" s="20" t="s">
        <v>84</v>
      </c>
      <c r="L367" s="20"/>
      <c r="M367" s="20"/>
      <c r="N367" s="20" t="s">
        <v>84</v>
      </c>
      <c r="O367" s="20" t="s">
        <v>84</v>
      </c>
      <c r="P367" s="20" t="s">
        <v>84</v>
      </c>
      <c r="Q367" s="20"/>
      <c r="R367" s="20"/>
      <c r="T367" s="20"/>
      <c r="U367" s="19"/>
      <c r="V367" s="22"/>
      <c r="W367" s="22"/>
      <c r="X367" s="20"/>
      <c r="BQ367" s="25"/>
      <c r="BR367" s="20"/>
    </row>
    <row r="368" spans="1:70" x14ac:dyDescent="0.2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84</v>
      </c>
      <c r="K368" s="20" t="s">
        <v>84</v>
      </c>
      <c r="L368" s="20"/>
      <c r="M368" s="20"/>
      <c r="N368" s="20" t="s">
        <v>84</v>
      </c>
      <c r="O368" s="20" t="s">
        <v>84</v>
      </c>
      <c r="P368" s="20" t="s">
        <v>84</v>
      </c>
      <c r="Q368" s="20"/>
      <c r="R368" s="20"/>
      <c r="T368" s="20"/>
      <c r="U368" s="19"/>
      <c r="V368" s="22"/>
      <c r="W368" s="22"/>
      <c r="X368" s="20"/>
      <c r="BQ368" s="25"/>
      <c r="BR368" s="20"/>
    </row>
    <row r="369" spans="1:70" x14ac:dyDescent="0.2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84</v>
      </c>
      <c r="K369" s="20" t="s">
        <v>84</v>
      </c>
      <c r="L369" s="20"/>
      <c r="M369" s="20"/>
      <c r="N369" s="20" t="s">
        <v>84</v>
      </c>
      <c r="O369" s="20" t="s">
        <v>84</v>
      </c>
      <c r="P369" s="20" t="s">
        <v>84</v>
      </c>
      <c r="Q369" s="20"/>
      <c r="R369" s="20"/>
      <c r="T369" s="20"/>
      <c r="U369" s="19"/>
      <c r="V369" s="22"/>
      <c r="W369" s="22"/>
      <c r="X369" s="20"/>
      <c r="BQ369" s="25"/>
      <c r="BR369" s="20"/>
    </row>
    <row r="370" spans="1:70" x14ac:dyDescent="0.2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84</v>
      </c>
      <c r="K370" s="20" t="s">
        <v>84</v>
      </c>
      <c r="L370" s="20"/>
      <c r="M370" s="20"/>
      <c r="N370" s="20" t="s">
        <v>84</v>
      </c>
      <c r="O370" s="20" t="s">
        <v>84</v>
      </c>
      <c r="P370" s="20" t="s">
        <v>84</v>
      </c>
      <c r="Q370" s="20"/>
      <c r="R370" s="20"/>
      <c r="T370" s="20"/>
      <c r="U370" s="19"/>
      <c r="V370" s="22"/>
      <c r="W370" s="22"/>
      <c r="X370" s="20"/>
      <c r="BQ370" s="25"/>
      <c r="BR370" s="20"/>
    </row>
    <row r="371" spans="1:70" x14ac:dyDescent="0.2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84</v>
      </c>
      <c r="K371" s="20" t="s">
        <v>84</v>
      </c>
      <c r="L371" s="20"/>
      <c r="M371" s="20"/>
      <c r="N371" s="20" t="s">
        <v>84</v>
      </c>
      <c r="O371" s="20" t="s">
        <v>84</v>
      </c>
      <c r="P371" s="20" t="s">
        <v>84</v>
      </c>
      <c r="Q371" s="20"/>
      <c r="R371" s="20"/>
      <c r="T371" s="20"/>
      <c r="U371" s="19"/>
      <c r="V371" s="22"/>
      <c r="W371" s="22"/>
      <c r="X371" s="20"/>
      <c r="BQ371" s="25"/>
      <c r="BR371" s="20"/>
    </row>
    <row r="372" spans="1:70" x14ac:dyDescent="0.2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84</v>
      </c>
      <c r="K372" s="20" t="s">
        <v>84</v>
      </c>
      <c r="L372" s="20"/>
      <c r="M372" s="20"/>
      <c r="N372" s="20" t="s">
        <v>84</v>
      </c>
      <c r="O372" s="20" t="s">
        <v>84</v>
      </c>
      <c r="P372" s="20" t="s">
        <v>84</v>
      </c>
      <c r="Q372" s="20"/>
      <c r="R372" s="20"/>
      <c r="T372" s="20"/>
      <c r="U372" s="19"/>
      <c r="V372" s="22"/>
      <c r="W372" s="22"/>
      <c r="X372" s="20"/>
      <c r="BQ372" s="25"/>
      <c r="BR372" s="20"/>
    </row>
    <row r="373" spans="1:70" x14ac:dyDescent="0.2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84</v>
      </c>
      <c r="K373" s="20" t="s">
        <v>84</v>
      </c>
      <c r="L373" s="20"/>
      <c r="M373" s="20"/>
      <c r="N373" s="20" t="s">
        <v>84</v>
      </c>
      <c r="O373" s="20" t="s">
        <v>84</v>
      </c>
      <c r="P373" s="20" t="s">
        <v>84</v>
      </c>
      <c r="Q373" s="20"/>
      <c r="R373" s="20"/>
      <c r="T373" s="20"/>
      <c r="U373" s="19"/>
      <c r="V373" s="22"/>
      <c r="W373" s="22"/>
      <c r="X373" s="20"/>
      <c r="BQ373" s="25"/>
      <c r="BR373" s="20"/>
    </row>
    <row r="374" spans="1:70" x14ac:dyDescent="0.2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84</v>
      </c>
      <c r="K374" s="20" t="s">
        <v>84</v>
      </c>
      <c r="L374" s="20"/>
      <c r="M374" s="20"/>
      <c r="N374" s="20" t="s">
        <v>84</v>
      </c>
      <c r="O374" s="20" t="s">
        <v>84</v>
      </c>
      <c r="P374" s="20" t="s">
        <v>84</v>
      </c>
      <c r="Q374" s="20"/>
      <c r="R374" s="20"/>
      <c r="T374" s="20"/>
      <c r="U374" s="19"/>
      <c r="V374" s="22"/>
      <c r="W374" s="22"/>
      <c r="X374" s="20"/>
      <c r="BQ374" s="25"/>
      <c r="BR374" s="20"/>
    </row>
    <row r="375" spans="1:70" x14ac:dyDescent="0.2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84</v>
      </c>
      <c r="K375" s="20" t="s">
        <v>84</v>
      </c>
      <c r="L375" s="20"/>
      <c r="M375" s="20"/>
      <c r="N375" s="20" t="s">
        <v>84</v>
      </c>
      <c r="O375" s="20" t="s">
        <v>84</v>
      </c>
      <c r="P375" s="20" t="s">
        <v>84</v>
      </c>
      <c r="Q375" s="20"/>
      <c r="R375" s="20"/>
      <c r="T375" s="20"/>
      <c r="U375" s="19"/>
      <c r="V375" s="22"/>
      <c r="W375" s="22"/>
      <c r="X375" s="20"/>
      <c r="BQ375" s="25"/>
      <c r="BR375" s="20"/>
    </row>
    <row r="376" spans="1:70" x14ac:dyDescent="0.2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84</v>
      </c>
      <c r="K376" s="20" t="s">
        <v>84</v>
      </c>
      <c r="L376" s="20"/>
      <c r="M376" s="20"/>
      <c r="N376" s="20" t="s">
        <v>84</v>
      </c>
      <c r="O376" s="20" t="s">
        <v>84</v>
      </c>
      <c r="P376" s="20" t="s">
        <v>84</v>
      </c>
      <c r="Q376" s="20"/>
      <c r="R376" s="20"/>
      <c r="T376" s="20"/>
      <c r="U376" s="19"/>
      <c r="V376" s="22"/>
      <c r="W376" s="22"/>
      <c r="X376" s="20"/>
      <c r="BQ376" s="25"/>
      <c r="BR376" s="20"/>
    </row>
    <row r="377" spans="1:70" x14ac:dyDescent="0.2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84</v>
      </c>
      <c r="K377" s="20" t="s">
        <v>84</v>
      </c>
      <c r="L377" s="20"/>
      <c r="M377" s="20"/>
      <c r="N377" s="20" t="s">
        <v>84</v>
      </c>
      <c r="O377" s="20" t="s">
        <v>84</v>
      </c>
      <c r="P377" s="20" t="s">
        <v>84</v>
      </c>
      <c r="Q377" s="20"/>
      <c r="R377" s="20"/>
      <c r="T377" s="20"/>
      <c r="U377" s="19"/>
      <c r="V377" s="22"/>
      <c r="W377" s="22"/>
      <c r="X377" s="20"/>
      <c r="BQ377" s="25"/>
      <c r="BR377" s="20"/>
    </row>
    <row r="378" spans="1:70" x14ac:dyDescent="0.2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84</v>
      </c>
      <c r="K378" s="20" t="s">
        <v>84</v>
      </c>
      <c r="L378" s="20"/>
      <c r="M378" s="20"/>
      <c r="N378" s="20" t="s">
        <v>84</v>
      </c>
      <c r="O378" s="20" t="s">
        <v>84</v>
      </c>
      <c r="P378" s="20" t="s">
        <v>84</v>
      </c>
      <c r="Q378" s="20"/>
      <c r="R378" s="20"/>
      <c r="T378" s="20"/>
      <c r="U378" s="19"/>
      <c r="V378" s="22"/>
      <c r="W378" s="22"/>
      <c r="X378" s="20"/>
      <c r="BQ378" s="25"/>
      <c r="BR378" s="20"/>
    </row>
    <row r="379" spans="1:70" x14ac:dyDescent="0.2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84</v>
      </c>
      <c r="K379" s="20" t="s">
        <v>84</v>
      </c>
      <c r="L379" s="20"/>
      <c r="M379" s="20"/>
      <c r="N379" s="20" t="s">
        <v>84</v>
      </c>
      <c r="O379" s="20" t="s">
        <v>84</v>
      </c>
      <c r="P379" s="20" t="s">
        <v>84</v>
      </c>
      <c r="Q379" s="20"/>
      <c r="R379" s="20"/>
      <c r="T379" s="20"/>
      <c r="U379" s="19"/>
      <c r="V379" s="22"/>
      <c r="W379" s="22"/>
      <c r="X379" s="20"/>
      <c r="BQ379" s="25"/>
      <c r="BR379" s="20"/>
    </row>
    <row r="380" spans="1:70" x14ac:dyDescent="0.2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84</v>
      </c>
      <c r="K380" s="20" t="s">
        <v>84</v>
      </c>
      <c r="L380" s="20"/>
      <c r="M380" s="20"/>
      <c r="N380" s="20" t="s">
        <v>84</v>
      </c>
      <c r="O380" s="20" t="s">
        <v>84</v>
      </c>
      <c r="P380" s="20" t="s">
        <v>84</v>
      </c>
      <c r="Q380" s="20"/>
      <c r="R380" s="20"/>
      <c r="T380" s="20"/>
      <c r="U380" s="19"/>
      <c r="V380" s="22"/>
      <c r="W380" s="22"/>
      <c r="X380" s="20"/>
      <c r="BQ380" s="25"/>
      <c r="BR380" s="20"/>
    </row>
    <row r="381" spans="1:70" x14ac:dyDescent="0.2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84</v>
      </c>
      <c r="K381" s="20" t="s">
        <v>84</v>
      </c>
      <c r="L381" s="20"/>
      <c r="M381" s="20"/>
      <c r="N381" s="20" t="s">
        <v>84</v>
      </c>
      <c r="O381" s="20" t="s">
        <v>84</v>
      </c>
      <c r="P381" s="20" t="s">
        <v>84</v>
      </c>
      <c r="Q381" s="20"/>
      <c r="R381" s="20"/>
      <c r="T381" s="20"/>
      <c r="U381" s="19"/>
      <c r="V381" s="22"/>
      <c r="W381" s="22"/>
      <c r="X381" s="20"/>
      <c r="BQ381" s="25"/>
      <c r="BR381" s="20"/>
    </row>
    <row r="382" spans="1:70" x14ac:dyDescent="0.2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84</v>
      </c>
      <c r="K382" s="20" t="s">
        <v>84</v>
      </c>
      <c r="L382" s="20"/>
      <c r="M382" s="20"/>
      <c r="N382" s="20" t="s">
        <v>84</v>
      </c>
      <c r="O382" s="20" t="s">
        <v>84</v>
      </c>
      <c r="P382" s="20" t="s">
        <v>84</v>
      </c>
      <c r="Q382" s="20"/>
      <c r="R382" s="20"/>
      <c r="T382" s="20"/>
      <c r="U382" s="19"/>
      <c r="V382" s="22"/>
      <c r="W382" s="22"/>
      <c r="X382" s="20"/>
      <c r="BQ382" s="25"/>
      <c r="BR382" s="20"/>
    </row>
    <row r="383" spans="1:70" x14ac:dyDescent="0.2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84</v>
      </c>
      <c r="K383" s="20" t="s">
        <v>84</v>
      </c>
      <c r="L383" s="20"/>
      <c r="M383" s="20"/>
      <c r="N383" s="20" t="s">
        <v>84</v>
      </c>
      <c r="O383" s="20" t="s">
        <v>84</v>
      </c>
      <c r="P383" s="20" t="s">
        <v>84</v>
      </c>
      <c r="Q383" s="20"/>
      <c r="R383" s="20"/>
      <c r="T383" s="20"/>
      <c r="U383" s="19"/>
      <c r="V383" s="22"/>
      <c r="W383" s="22"/>
      <c r="X383" s="20"/>
      <c r="BQ383" s="25"/>
      <c r="BR383" s="20"/>
    </row>
    <row r="384" spans="1:70" x14ac:dyDescent="0.2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84</v>
      </c>
      <c r="K384" s="20" t="s">
        <v>84</v>
      </c>
      <c r="L384" s="20"/>
      <c r="M384" s="20"/>
      <c r="N384" s="20" t="s">
        <v>84</v>
      </c>
      <c r="O384" s="20" t="s">
        <v>84</v>
      </c>
      <c r="P384" s="20" t="s">
        <v>84</v>
      </c>
      <c r="Q384" s="20"/>
      <c r="R384" s="20"/>
      <c r="T384" s="20"/>
      <c r="U384" s="19"/>
      <c r="V384" s="22"/>
      <c r="W384" s="22"/>
      <c r="X384" s="20"/>
      <c r="BQ384" s="25"/>
      <c r="BR384" s="20"/>
    </row>
    <row r="385" spans="1:70" x14ac:dyDescent="0.2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84</v>
      </c>
      <c r="K385" s="20" t="s">
        <v>84</v>
      </c>
      <c r="L385" s="20"/>
      <c r="M385" s="20"/>
      <c r="N385" s="20" t="s">
        <v>84</v>
      </c>
      <c r="O385" s="20" t="s">
        <v>84</v>
      </c>
      <c r="P385" s="20" t="s">
        <v>84</v>
      </c>
      <c r="Q385" s="20"/>
      <c r="R385" s="20"/>
      <c r="T385" s="20"/>
      <c r="U385" s="19"/>
      <c r="V385" s="22"/>
      <c r="W385" s="22"/>
      <c r="X385" s="20"/>
      <c r="BQ385" s="25"/>
      <c r="BR385" s="20"/>
    </row>
    <row r="386" spans="1:70" x14ac:dyDescent="0.2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84</v>
      </c>
      <c r="K386" s="20" t="s">
        <v>84</v>
      </c>
      <c r="L386" s="20"/>
      <c r="M386" s="20"/>
      <c r="N386" s="20" t="s">
        <v>84</v>
      </c>
      <c r="O386" s="20" t="s">
        <v>84</v>
      </c>
      <c r="P386" s="20" t="s">
        <v>84</v>
      </c>
      <c r="Q386" s="20"/>
      <c r="R386" s="20"/>
      <c r="T386" s="20"/>
      <c r="U386" s="19"/>
      <c r="V386" s="22"/>
      <c r="W386" s="22"/>
      <c r="X386" s="20"/>
      <c r="BQ386" s="25"/>
      <c r="BR386" s="20"/>
    </row>
    <row r="387" spans="1:70" x14ac:dyDescent="0.2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84</v>
      </c>
      <c r="K387" s="20" t="s">
        <v>84</v>
      </c>
      <c r="L387" s="20"/>
      <c r="M387" s="20"/>
      <c r="N387" s="20" t="s">
        <v>84</v>
      </c>
      <c r="O387" s="20" t="s">
        <v>84</v>
      </c>
      <c r="P387" s="20" t="s">
        <v>84</v>
      </c>
      <c r="Q387" s="20"/>
      <c r="R387" s="20"/>
      <c r="T387" s="20"/>
      <c r="U387" s="19"/>
      <c r="V387" s="22"/>
      <c r="W387" s="22"/>
      <c r="X387" s="20"/>
      <c r="BQ387" s="25"/>
      <c r="BR387" s="20"/>
    </row>
    <row r="388" spans="1:70" x14ac:dyDescent="0.2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84</v>
      </c>
      <c r="K388" s="20" t="s">
        <v>84</v>
      </c>
      <c r="L388" s="20"/>
      <c r="M388" s="20"/>
      <c r="N388" s="20" t="s">
        <v>84</v>
      </c>
      <c r="O388" s="20" t="s">
        <v>84</v>
      </c>
      <c r="P388" s="20" t="s">
        <v>84</v>
      </c>
      <c r="Q388" s="20"/>
      <c r="R388" s="20"/>
      <c r="T388" s="20"/>
      <c r="U388" s="19"/>
      <c r="V388" s="22"/>
      <c r="W388" s="22"/>
      <c r="X388" s="20"/>
      <c r="BQ388" s="25"/>
      <c r="BR388" s="20"/>
    </row>
    <row r="389" spans="1:70" x14ac:dyDescent="0.2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84</v>
      </c>
      <c r="K389" s="20" t="s">
        <v>84</v>
      </c>
      <c r="L389" s="20"/>
      <c r="M389" s="20"/>
      <c r="N389" s="20" t="s">
        <v>84</v>
      </c>
      <c r="O389" s="20" t="s">
        <v>84</v>
      </c>
      <c r="P389" s="20" t="s">
        <v>84</v>
      </c>
      <c r="Q389" s="20"/>
      <c r="R389" s="20"/>
      <c r="T389" s="20"/>
      <c r="U389" s="19"/>
      <c r="V389" s="22"/>
      <c r="W389" s="22"/>
      <c r="X389" s="20"/>
      <c r="BQ389" s="25"/>
      <c r="BR389" s="20"/>
    </row>
    <row r="390" spans="1:70" x14ac:dyDescent="0.2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84</v>
      </c>
      <c r="K390" s="20" t="s">
        <v>84</v>
      </c>
      <c r="L390" s="20"/>
      <c r="M390" s="20"/>
      <c r="N390" s="20" t="s">
        <v>84</v>
      </c>
      <c r="O390" s="20" t="s">
        <v>84</v>
      </c>
      <c r="P390" s="20" t="s">
        <v>84</v>
      </c>
      <c r="Q390" s="20"/>
      <c r="R390" s="20"/>
      <c r="T390" s="20"/>
      <c r="U390" s="19"/>
      <c r="V390" s="22"/>
      <c r="W390" s="22"/>
      <c r="X390" s="20"/>
      <c r="BQ390" s="25"/>
      <c r="BR390" s="20"/>
    </row>
    <row r="391" spans="1:70" x14ac:dyDescent="0.2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84</v>
      </c>
      <c r="K391" s="20" t="s">
        <v>84</v>
      </c>
      <c r="L391" s="20"/>
      <c r="M391" s="20"/>
      <c r="N391" s="20" t="s">
        <v>84</v>
      </c>
      <c r="O391" s="20" t="s">
        <v>84</v>
      </c>
      <c r="P391" s="20" t="s">
        <v>84</v>
      </c>
      <c r="Q391" s="20"/>
      <c r="R391" s="20"/>
      <c r="T391" s="20"/>
      <c r="U391" s="19"/>
      <c r="V391" s="22"/>
      <c r="W391" s="22"/>
      <c r="X391" s="20"/>
      <c r="BQ391" s="25"/>
      <c r="BR391" s="20"/>
    </row>
    <row r="392" spans="1:70" x14ac:dyDescent="0.2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84</v>
      </c>
      <c r="K392" s="20" t="s">
        <v>84</v>
      </c>
      <c r="L392" s="20"/>
      <c r="M392" s="20"/>
      <c r="N392" s="20" t="s">
        <v>84</v>
      </c>
      <c r="O392" s="20" t="s">
        <v>84</v>
      </c>
      <c r="P392" s="20" t="s">
        <v>84</v>
      </c>
      <c r="Q392" s="20"/>
      <c r="R392" s="20"/>
      <c r="T392" s="20"/>
      <c r="U392" s="19"/>
      <c r="V392" s="22"/>
      <c r="W392" s="22"/>
      <c r="X392" s="20"/>
      <c r="BQ392" s="25"/>
      <c r="BR392" s="20"/>
    </row>
    <row r="393" spans="1:70" x14ac:dyDescent="0.2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84</v>
      </c>
      <c r="K393" s="20" t="s">
        <v>84</v>
      </c>
      <c r="L393" s="20"/>
      <c r="M393" s="20"/>
      <c r="N393" s="20" t="s">
        <v>84</v>
      </c>
      <c r="O393" s="20" t="s">
        <v>84</v>
      </c>
      <c r="P393" s="20" t="s">
        <v>84</v>
      </c>
      <c r="Q393" s="20"/>
      <c r="R393" s="20"/>
      <c r="T393" s="20"/>
      <c r="U393" s="19"/>
      <c r="V393" s="22"/>
      <c r="W393" s="22"/>
      <c r="X393" s="20"/>
      <c r="BQ393" s="25"/>
      <c r="BR393" s="20"/>
    </row>
    <row r="394" spans="1:70" x14ac:dyDescent="0.2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84</v>
      </c>
      <c r="K394" s="20" t="s">
        <v>84</v>
      </c>
      <c r="L394" s="20"/>
      <c r="M394" s="20"/>
      <c r="N394" s="20" t="s">
        <v>84</v>
      </c>
      <c r="O394" s="20" t="s">
        <v>84</v>
      </c>
      <c r="P394" s="20" t="s">
        <v>84</v>
      </c>
      <c r="Q394" s="20"/>
      <c r="R394" s="20"/>
      <c r="T394" s="20"/>
      <c r="U394" s="19"/>
      <c r="V394" s="22"/>
      <c r="W394" s="22"/>
      <c r="X394" s="20"/>
      <c r="BQ394" s="25"/>
      <c r="BR394" s="20"/>
    </row>
    <row r="395" spans="1:70" x14ac:dyDescent="0.2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84</v>
      </c>
      <c r="K395" s="20" t="s">
        <v>84</v>
      </c>
      <c r="L395" s="20"/>
      <c r="M395" s="20"/>
      <c r="N395" s="20" t="s">
        <v>84</v>
      </c>
      <c r="O395" s="20" t="s">
        <v>84</v>
      </c>
      <c r="P395" s="20" t="s">
        <v>84</v>
      </c>
      <c r="Q395" s="20"/>
      <c r="R395" s="20"/>
      <c r="T395" s="20"/>
      <c r="U395" s="19"/>
      <c r="V395" s="22"/>
      <c r="W395" s="22"/>
      <c r="X395" s="20"/>
      <c r="BQ395" s="25"/>
      <c r="BR395" s="20"/>
    </row>
    <row r="396" spans="1:70" x14ac:dyDescent="0.2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84</v>
      </c>
      <c r="K396" s="20" t="s">
        <v>84</v>
      </c>
      <c r="L396" s="20"/>
      <c r="M396" s="20"/>
      <c r="N396" s="20" t="s">
        <v>84</v>
      </c>
      <c r="O396" s="20" t="s">
        <v>84</v>
      </c>
      <c r="P396" s="20" t="s">
        <v>84</v>
      </c>
      <c r="Q396" s="20"/>
      <c r="R396" s="20"/>
      <c r="T396" s="20"/>
      <c r="U396" s="19"/>
      <c r="V396" s="22"/>
      <c r="W396" s="22"/>
      <c r="X396" s="20"/>
      <c r="BQ396" s="25"/>
      <c r="BR396" s="20"/>
    </row>
    <row r="397" spans="1:70" x14ac:dyDescent="0.2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84</v>
      </c>
      <c r="K397" s="20" t="s">
        <v>84</v>
      </c>
      <c r="L397" s="20"/>
      <c r="M397" s="20"/>
      <c r="N397" s="20" t="s">
        <v>84</v>
      </c>
      <c r="O397" s="20" t="s">
        <v>84</v>
      </c>
      <c r="P397" s="20" t="s">
        <v>84</v>
      </c>
      <c r="Q397" s="20"/>
      <c r="R397" s="20"/>
      <c r="T397" s="20"/>
      <c r="U397" s="19"/>
      <c r="V397" s="22"/>
      <c r="W397" s="22"/>
      <c r="X397" s="20"/>
      <c r="BQ397" s="25"/>
      <c r="BR397" s="20"/>
    </row>
    <row r="398" spans="1:70" x14ac:dyDescent="0.2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84</v>
      </c>
      <c r="K398" s="20" t="s">
        <v>84</v>
      </c>
      <c r="L398" s="20"/>
      <c r="M398" s="20"/>
      <c r="N398" s="20" t="s">
        <v>84</v>
      </c>
      <c r="O398" s="20" t="s">
        <v>84</v>
      </c>
      <c r="P398" s="20" t="s">
        <v>84</v>
      </c>
      <c r="Q398" s="20"/>
      <c r="R398" s="20"/>
      <c r="T398" s="20"/>
      <c r="U398" s="19"/>
      <c r="V398" s="22"/>
      <c r="W398" s="22"/>
      <c r="X398" s="20"/>
      <c r="BQ398" s="25"/>
      <c r="BR398" s="20"/>
    </row>
    <row r="399" spans="1:70" x14ac:dyDescent="0.2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84</v>
      </c>
      <c r="K399" s="20" t="s">
        <v>84</v>
      </c>
      <c r="L399" s="20"/>
      <c r="M399" s="20"/>
      <c r="N399" s="20" t="s">
        <v>84</v>
      </c>
      <c r="O399" s="20" t="s">
        <v>84</v>
      </c>
      <c r="P399" s="20" t="s">
        <v>84</v>
      </c>
      <c r="Q399" s="20"/>
      <c r="R399" s="20"/>
      <c r="T399" s="20"/>
      <c r="U399" s="19"/>
      <c r="V399" s="22"/>
      <c r="W399" s="22"/>
      <c r="X399" s="20"/>
      <c r="BQ399" s="25"/>
      <c r="BR399" s="20"/>
    </row>
    <row r="400" spans="1:70" x14ac:dyDescent="0.2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84</v>
      </c>
      <c r="K400" s="20" t="s">
        <v>84</v>
      </c>
      <c r="L400" s="20"/>
      <c r="M400" s="20"/>
      <c r="N400" s="20" t="s">
        <v>84</v>
      </c>
      <c r="O400" s="20" t="s">
        <v>84</v>
      </c>
      <c r="P400" s="20" t="s">
        <v>84</v>
      </c>
      <c r="Q400" s="20"/>
      <c r="R400" s="20"/>
      <c r="T400" s="20"/>
      <c r="U400" s="19"/>
      <c r="V400" s="22"/>
      <c r="W400" s="22"/>
      <c r="X400" s="20"/>
      <c r="BQ400" s="25"/>
      <c r="BR400" s="20"/>
    </row>
    <row r="401" spans="1:70" x14ac:dyDescent="0.2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84</v>
      </c>
      <c r="K401" s="20" t="s">
        <v>84</v>
      </c>
      <c r="L401" s="20"/>
      <c r="M401" s="20"/>
      <c r="N401" s="20" t="s">
        <v>84</v>
      </c>
      <c r="O401" s="20" t="s">
        <v>84</v>
      </c>
      <c r="P401" s="20" t="s">
        <v>84</v>
      </c>
      <c r="Q401" s="20"/>
      <c r="R401" s="20"/>
      <c r="T401" s="20"/>
      <c r="U401" s="19"/>
      <c r="V401" s="22"/>
      <c r="W401" s="22"/>
      <c r="X401" s="20"/>
      <c r="BQ401" s="25"/>
      <c r="BR401" s="20"/>
    </row>
    <row r="402" spans="1:70" x14ac:dyDescent="0.2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84</v>
      </c>
      <c r="K402" s="20" t="s">
        <v>84</v>
      </c>
      <c r="L402" s="20"/>
      <c r="M402" s="20"/>
      <c r="N402" s="20" t="s">
        <v>84</v>
      </c>
      <c r="O402" s="20" t="s">
        <v>84</v>
      </c>
      <c r="P402" s="20" t="s">
        <v>84</v>
      </c>
      <c r="Q402" s="20"/>
      <c r="R402" s="20"/>
      <c r="T402" s="20"/>
      <c r="U402" s="19"/>
      <c r="V402" s="22"/>
      <c r="W402" s="22"/>
      <c r="X402" s="20"/>
      <c r="BQ402" s="25"/>
      <c r="BR402" s="20"/>
    </row>
    <row r="403" spans="1:70" x14ac:dyDescent="0.2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84</v>
      </c>
      <c r="K403" s="20" t="s">
        <v>84</v>
      </c>
      <c r="L403" s="20"/>
      <c r="M403" s="20"/>
      <c r="N403" s="20" t="s">
        <v>84</v>
      </c>
      <c r="O403" s="20" t="s">
        <v>84</v>
      </c>
      <c r="P403" s="20" t="s">
        <v>84</v>
      </c>
      <c r="Q403" s="20"/>
      <c r="R403" s="20"/>
      <c r="T403" s="20"/>
      <c r="U403" s="19"/>
      <c r="V403" s="22"/>
      <c r="W403" s="22"/>
      <c r="X403" s="20"/>
      <c r="BQ403" s="25"/>
      <c r="BR403" s="20"/>
    </row>
    <row r="404" spans="1:70" x14ac:dyDescent="0.2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84</v>
      </c>
      <c r="K404" s="20" t="s">
        <v>84</v>
      </c>
      <c r="L404" s="20"/>
      <c r="M404" s="20"/>
      <c r="N404" s="20" t="s">
        <v>84</v>
      </c>
      <c r="O404" s="20" t="s">
        <v>84</v>
      </c>
      <c r="P404" s="20" t="s">
        <v>84</v>
      </c>
      <c r="Q404" s="20"/>
      <c r="R404" s="20"/>
      <c r="T404" s="20"/>
      <c r="U404" s="19"/>
      <c r="V404" s="22"/>
      <c r="W404" s="22"/>
      <c r="X404" s="20"/>
      <c r="BQ404" s="25"/>
      <c r="BR404" s="20"/>
    </row>
    <row r="405" spans="1:70" x14ac:dyDescent="0.2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84</v>
      </c>
      <c r="K405" s="20" t="s">
        <v>84</v>
      </c>
      <c r="L405" s="20"/>
      <c r="M405" s="20"/>
      <c r="N405" s="20" t="s">
        <v>84</v>
      </c>
      <c r="O405" s="20" t="s">
        <v>84</v>
      </c>
      <c r="P405" s="20" t="s">
        <v>84</v>
      </c>
      <c r="Q405" s="20"/>
      <c r="R405" s="20"/>
      <c r="T405" s="20"/>
      <c r="U405" s="19"/>
      <c r="V405" s="22"/>
      <c r="W405" s="22"/>
      <c r="X405" s="20"/>
      <c r="BQ405" s="25"/>
      <c r="BR405" s="20"/>
    </row>
    <row r="406" spans="1:70" x14ac:dyDescent="0.2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84</v>
      </c>
      <c r="K406" s="20" t="s">
        <v>84</v>
      </c>
      <c r="L406" s="20"/>
      <c r="M406" s="20"/>
      <c r="N406" s="20" t="s">
        <v>84</v>
      </c>
      <c r="O406" s="20" t="s">
        <v>84</v>
      </c>
      <c r="P406" s="20" t="s">
        <v>84</v>
      </c>
      <c r="Q406" s="20"/>
      <c r="R406" s="20"/>
      <c r="T406" s="20"/>
      <c r="U406" s="19"/>
      <c r="V406" s="22"/>
      <c r="W406" s="22"/>
      <c r="X406" s="20"/>
      <c r="BQ406" s="25"/>
      <c r="BR406" s="20"/>
    </row>
    <row r="407" spans="1:70" x14ac:dyDescent="0.2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84</v>
      </c>
      <c r="K407" s="20" t="s">
        <v>84</v>
      </c>
      <c r="L407" s="20"/>
      <c r="M407" s="20"/>
      <c r="N407" s="20" t="s">
        <v>84</v>
      </c>
      <c r="O407" s="20" t="s">
        <v>84</v>
      </c>
      <c r="P407" s="20" t="s">
        <v>84</v>
      </c>
      <c r="Q407" s="20"/>
      <c r="R407" s="20"/>
      <c r="T407" s="20"/>
      <c r="U407" s="19"/>
      <c r="V407" s="22"/>
      <c r="W407" s="22"/>
      <c r="X407" s="20"/>
      <c r="BQ407" s="25"/>
      <c r="BR407" s="20"/>
    </row>
    <row r="408" spans="1:70" x14ac:dyDescent="0.2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84</v>
      </c>
      <c r="K408" s="20" t="s">
        <v>84</v>
      </c>
      <c r="L408" s="20"/>
      <c r="M408" s="20"/>
      <c r="N408" s="20" t="s">
        <v>84</v>
      </c>
      <c r="O408" s="20" t="s">
        <v>84</v>
      </c>
      <c r="P408" s="20" t="s">
        <v>84</v>
      </c>
      <c r="Q408" s="20"/>
      <c r="R408" s="20"/>
      <c r="T408" s="20"/>
      <c r="U408" s="19"/>
      <c r="V408" s="22"/>
      <c r="W408" s="22"/>
      <c r="X408" s="20"/>
      <c r="BQ408" s="25"/>
      <c r="BR408" s="20"/>
    </row>
    <row r="409" spans="1:70" x14ac:dyDescent="0.2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84</v>
      </c>
      <c r="K409" s="20" t="s">
        <v>84</v>
      </c>
      <c r="L409" s="20"/>
      <c r="M409" s="20"/>
      <c r="N409" s="20" t="s">
        <v>84</v>
      </c>
      <c r="O409" s="20" t="s">
        <v>84</v>
      </c>
      <c r="P409" s="20" t="s">
        <v>84</v>
      </c>
      <c r="Q409" s="20"/>
      <c r="R409" s="20"/>
      <c r="T409" s="20"/>
      <c r="U409" s="19"/>
      <c r="V409" s="22"/>
      <c r="W409" s="22"/>
      <c r="X409" s="20"/>
      <c r="BQ409" s="25"/>
      <c r="BR409" s="20"/>
    </row>
    <row r="410" spans="1:70" x14ac:dyDescent="0.2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84</v>
      </c>
      <c r="K410" s="20" t="s">
        <v>84</v>
      </c>
      <c r="L410" s="20"/>
      <c r="M410" s="20"/>
      <c r="N410" s="20" t="s">
        <v>84</v>
      </c>
      <c r="O410" s="20" t="s">
        <v>84</v>
      </c>
      <c r="P410" s="20" t="s">
        <v>84</v>
      </c>
      <c r="Q410" s="20"/>
      <c r="R410" s="20"/>
      <c r="T410" s="20"/>
      <c r="U410" s="19"/>
      <c r="V410" s="22"/>
      <c r="W410" s="22"/>
      <c r="X410" s="20"/>
      <c r="BQ410" s="25"/>
      <c r="BR410" s="20"/>
    </row>
    <row r="411" spans="1:70" x14ac:dyDescent="0.2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84</v>
      </c>
      <c r="K411" s="20" t="s">
        <v>84</v>
      </c>
      <c r="L411" s="20"/>
      <c r="M411" s="20"/>
      <c r="N411" s="20" t="s">
        <v>84</v>
      </c>
      <c r="O411" s="20" t="s">
        <v>84</v>
      </c>
      <c r="P411" s="20" t="s">
        <v>84</v>
      </c>
      <c r="Q411" s="20"/>
      <c r="R411" s="20"/>
      <c r="T411" s="20"/>
      <c r="U411" s="19"/>
      <c r="V411" s="22"/>
      <c r="W411" s="22"/>
      <c r="X411" s="20"/>
      <c r="BQ411" s="25"/>
      <c r="BR411" s="20"/>
    </row>
    <row r="412" spans="1:70" x14ac:dyDescent="0.2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84</v>
      </c>
      <c r="K412" s="20" t="s">
        <v>84</v>
      </c>
      <c r="L412" s="20"/>
      <c r="M412" s="20"/>
      <c r="N412" s="20" t="s">
        <v>84</v>
      </c>
      <c r="O412" s="20" t="s">
        <v>84</v>
      </c>
      <c r="P412" s="20" t="s">
        <v>84</v>
      </c>
      <c r="Q412" s="20"/>
      <c r="R412" s="20"/>
      <c r="T412" s="20"/>
      <c r="U412" s="19"/>
      <c r="V412" s="22"/>
      <c r="W412" s="22"/>
      <c r="X412" s="20"/>
      <c r="BQ412" s="25"/>
      <c r="BR412" s="20"/>
    </row>
    <row r="413" spans="1:70" x14ac:dyDescent="0.2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84</v>
      </c>
      <c r="K413" s="20" t="s">
        <v>84</v>
      </c>
      <c r="L413" s="20"/>
      <c r="M413" s="20"/>
      <c r="N413" s="20" t="s">
        <v>84</v>
      </c>
      <c r="O413" s="20" t="s">
        <v>84</v>
      </c>
      <c r="P413" s="20" t="s">
        <v>84</v>
      </c>
      <c r="Q413" s="20"/>
      <c r="R413" s="20"/>
      <c r="T413" s="20"/>
      <c r="U413" s="19"/>
      <c r="V413" s="22"/>
      <c r="W413" s="22"/>
      <c r="X413" s="20"/>
      <c r="BQ413" s="25"/>
      <c r="BR413" s="20"/>
    </row>
    <row r="414" spans="1:70" x14ac:dyDescent="0.2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84</v>
      </c>
      <c r="K414" s="20" t="s">
        <v>84</v>
      </c>
      <c r="L414" s="20"/>
      <c r="M414" s="20"/>
      <c r="N414" s="20" t="s">
        <v>84</v>
      </c>
      <c r="O414" s="20" t="s">
        <v>84</v>
      </c>
      <c r="P414" s="20" t="s">
        <v>84</v>
      </c>
      <c r="Q414" s="20"/>
      <c r="R414" s="20"/>
      <c r="T414" s="20"/>
      <c r="U414" s="19"/>
      <c r="V414" s="22"/>
      <c r="W414" s="22"/>
      <c r="X414" s="20"/>
      <c r="BQ414" s="25"/>
      <c r="BR414" s="20"/>
    </row>
    <row r="415" spans="1:70" x14ac:dyDescent="0.2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84</v>
      </c>
      <c r="K415" s="20" t="s">
        <v>84</v>
      </c>
      <c r="L415" s="20"/>
      <c r="M415" s="20"/>
      <c r="N415" s="20" t="s">
        <v>84</v>
      </c>
      <c r="O415" s="20" t="s">
        <v>84</v>
      </c>
      <c r="P415" s="20" t="s">
        <v>84</v>
      </c>
      <c r="Q415" s="20"/>
      <c r="R415" s="20"/>
      <c r="T415" s="20"/>
      <c r="U415" s="19"/>
      <c r="V415" s="22"/>
      <c r="W415" s="22"/>
      <c r="X415" s="20"/>
      <c r="BQ415" s="25"/>
      <c r="BR415" s="20"/>
    </row>
    <row r="416" spans="1:70" x14ac:dyDescent="0.2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84</v>
      </c>
      <c r="K416" s="20" t="s">
        <v>84</v>
      </c>
      <c r="L416" s="20"/>
      <c r="M416" s="20"/>
      <c r="N416" s="20" t="s">
        <v>84</v>
      </c>
      <c r="O416" s="20" t="s">
        <v>84</v>
      </c>
      <c r="P416" s="20" t="s">
        <v>84</v>
      </c>
      <c r="Q416" s="20"/>
      <c r="R416" s="20"/>
      <c r="T416" s="20"/>
      <c r="U416" s="19"/>
      <c r="V416" s="22"/>
      <c r="W416" s="22"/>
      <c r="X416" s="20"/>
      <c r="BQ416" s="25"/>
      <c r="BR416" s="20"/>
    </row>
    <row r="417" spans="1:70" x14ac:dyDescent="0.2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84</v>
      </c>
      <c r="K417" s="20" t="s">
        <v>84</v>
      </c>
      <c r="L417" s="20"/>
      <c r="M417" s="20"/>
      <c r="N417" s="20" t="s">
        <v>84</v>
      </c>
      <c r="O417" s="20" t="s">
        <v>84</v>
      </c>
      <c r="P417" s="20" t="s">
        <v>84</v>
      </c>
      <c r="Q417" s="20"/>
      <c r="R417" s="20"/>
      <c r="T417" s="20"/>
      <c r="U417" s="19"/>
      <c r="V417" s="22"/>
      <c r="W417" s="22"/>
      <c r="X417" s="20"/>
      <c r="BQ417" s="25"/>
      <c r="BR417" s="20"/>
    </row>
    <row r="418" spans="1:70" x14ac:dyDescent="0.2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84</v>
      </c>
      <c r="K418" s="20" t="s">
        <v>84</v>
      </c>
      <c r="L418" s="20"/>
      <c r="M418" s="20"/>
      <c r="N418" s="20" t="s">
        <v>84</v>
      </c>
      <c r="O418" s="20" t="s">
        <v>84</v>
      </c>
      <c r="P418" s="20" t="s">
        <v>84</v>
      </c>
      <c r="Q418" s="20"/>
      <c r="R418" s="20"/>
      <c r="T418" s="20"/>
      <c r="U418" s="19"/>
      <c r="V418" s="22"/>
      <c r="W418" s="22"/>
      <c r="X418" s="20"/>
      <c r="BQ418" s="25"/>
      <c r="BR418" s="20"/>
    </row>
    <row r="419" spans="1:70" x14ac:dyDescent="0.2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84</v>
      </c>
      <c r="K419" s="20" t="s">
        <v>84</v>
      </c>
      <c r="L419" s="20"/>
      <c r="M419" s="20"/>
      <c r="N419" s="20" t="s">
        <v>84</v>
      </c>
      <c r="O419" s="20" t="s">
        <v>84</v>
      </c>
      <c r="P419" s="20" t="s">
        <v>84</v>
      </c>
      <c r="Q419" s="20"/>
      <c r="R419" s="20"/>
      <c r="T419" s="20"/>
      <c r="U419" s="19"/>
      <c r="V419" s="22"/>
      <c r="W419" s="22"/>
      <c r="X419" s="20"/>
      <c r="BQ419" s="25"/>
      <c r="BR419" s="20"/>
    </row>
    <row r="420" spans="1:70" x14ac:dyDescent="0.2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84</v>
      </c>
      <c r="K420" s="20" t="s">
        <v>84</v>
      </c>
      <c r="L420" s="20"/>
      <c r="M420" s="20"/>
      <c r="N420" s="20" t="s">
        <v>84</v>
      </c>
      <c r="O420" s="20" t="s">
        <v>84</v>
      </c>
      <c r="P420" s="20" t="s">
        <v>84</v>
      </c>
      <c r="Q420" s="20"/>
      <c r="R420" s="20"/>
      <c r="T420" s="20"/>
      <c r="U420" s="19"/>
      <c r="V420" s="22"/>
      <c r="W420" s="22"/>
      <c r="X420" s="20"/>
      <c r="BQ420" s="25"/>
      <c r="BR420" s="20"/>
    </row>
    <row r="421" spans="1:70" x14ac:dyDescent="0.2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84</v>
      </c>
      <c r="K421" s="20" t="s">
        <v>84</v>
      </c>
      <c r="L421" s="20"/>
      <c r="M421" s="20"/>
      <c r="N421" s="20" t="s">
        <v>84</v>
      </c>
      <c r="O421" s="20" t="s">
        <v>84</v>
      </c>
      <c r="P421" s="20" t="s">
        <v>84</v>
      </c>
      <c r="Q421" s="20"/>
      <c r="R421" s="20"/>
      <c r="T421" s="20"/>
      <c r="U421" s="19"/>
      <c r="V421" s="22"/>
      <c r="W421" s="22"/>
      <c r="X421" s="20"/>
      <c r="BQ421" s="25"/>
      <c r="BR421" s="20"/>
    </row>
    <row r="422" spans="1:70" x14ac:dyDescent="0.2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84</v>
      </c>
      <c r="K422" s="20" t="s">
        <v>84</v>
      </c>
      <c r="L422" s="20"/>
      <c r="M422" s="20"/>
      <c r="N422" s="20" t="s">
        <v>84</v>
      </c>
      <c r="O422" s="20" t="s">
        <v>84</v>
      </c>
      <c r="P422" s="20" t="s">
        <v>84</v>
      </c>
      <c r="Q422" s="20"/>
      <c r="R422" s="20"/>
      <c r="T422" s="20"/>
      <c r="U422" s="19"/>
      <c r="V422" s="22"/>
      <c r="W422" s="22"/>
      <c r="X422" s="20"/>
      <c r="BQ422" s="25"/>
      <c r="BR422" s="20"/>
    </row>
    <row r="423" spans="1:70" x14ac:dyDescent="0.2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84</v>
      </c>
      <c r="K423" s="20" t="s">
        <v>84</v>
      </c>
      <c r="L423" s="20"/>
      <c r="M423" s="20"/>
      <c r="N423" s="20" t="s">
        <v>84</v>
      </c>
      <c r="O423" s="20" t="s">
        <v>84</v>
      </c>
      <c r="P423" s="20" t="s">
        <v>84</v>
      </c>
      <c r="Q423" s="20"/>
      <c r="R423" s="20"/>
      <c r="T423" s="20"/>
      <c r="U423" s="19"/>
      <c r="V423" s="22"/>
      <c r="W423" s="22"/>
      <c r="X423" s="20"/>
      <c r="BQ423" s="25"/>
      <c r="BR423" s="20"/>
    </row>
    <row r="424" spans="1:70" x14ac:dyDescent="0.2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84</v>
      </c>
      <c r="K424" s="20" t="s">
        <v>84</v>
      </c>
      <c r="L424" s="20"/>
      <c r="M424" s="20"/>
      <c r="N424" s="20" t="s">
        <v>84</v>
      </c>
      <c r="O424" s="20" t="s">
        <v>84</v>
      </c>
      <c r="P424" s="20" t="s">
        <v>84</v>
      </c>
      <c r="Q424" s="20"/>
      <c r="R424" s="20"/>
      <c r="T424" s="20"/>
      <c r="U424" s="19"/>
      <c r="V424" s="22"/>
      <c r="W424" s="22"/>
      <c r="X424" s="20"/>
      <c r="BQ424" s="25"/>
      <c r="BR424" s="20"/>
    </row>
    <row r="425" spans="1:70" x14ac:dyDescent="0.2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84</v>
      </c>
      <c r="K425" s="20" t="s">
        <v>84</v>
      </c>
      <c r="L425" s="20"/>
      <c r="M425" s="20"/>
      <c r="N425" s="20" t="s">
        <v>84</v>
      </c>
      <c r="O425" s="20" t="s">
        <v>84</v>
      </c>
      <c r="P425" s="20" t="s">
        <v>84</v>
      </c>
      <c r="Q425" s="20"/>
      <c r="R425" s="20"/>
      <c r="T425" s="20"/>
      <c r="U425" s="19"/>
      <c r="V425" s="22"/>
      <c r="W425" s="22"/>
      <c r="X425" s="20"/>
      <c r="BQ425" s="25"/>
      <c r="BR425" s="20"/>
    </row>
    <row r="426" spans="1:70" x14ac:dyDescent="0.2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84</v>
      </c>
      <c r="K426" s="20" t="s">
        <v>84</v>
      </c>
      <c r="L426" s="20"/>
      <c r="M426" s="20"/>
      <c r="N426" s="20" t="s">
        <v>84</v>
      </c>
      <c r="O426" s="20" t="s">
        <v>84</v>
      </c>
      <c r="P426" s="20" t="s">
        <v>84</v>
      </c>
      <c r="Q426" s="20"/>
      <c r="R426" s="20"/>
      <c r="T426" s="20"/>
      <c r="U426" s="19"/>
      <c r="V426" s="22"/>
      <c r="W426" s="22"/>
      <c r="X426" s="20"/>
      <c r="BQ426" s="25"/>
      <c r="BR426" s="20"/>
    </row>
    <row r="427" spans="1:70" x14ac:dyDescent="0.2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84</v>
      </c>
      <c r="K427" s="20" t="s">
        <v>84</v>
      </c>
      <c r="L427" s="20"/>
      <c r="M427" s="20"/>
      <c r="N427" s="20" t="s">
        <v>84</v>
      </c>
      <c r="O427" s="20" t="s">
        <v>84</v>
      </c>
      <c r="P427" s="20" t="s">
        <v>84</v>
      </c>
      <c r="Q427" s="20"/>
      <c r="R427" s="20"/>
      <c r="T427" s="20"/>
      <c r="U427" s="19"/>
      <c r="V427" s="22"/>
      <c r="W427" s="22"/>
      <c r="X427" s="20"/>
      <c r="BQ427" s="25"/>
      <c r="BR427" s="20"/>
    </row>
    <row r="428" spans="1:70" x14ac:dyDescent="0.2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84</v>
      </c>
      <c r="K428" s="20" t="s">
        <v>84</v>
      </c>
      <c r="L428" s="20"/>
      <c r="M428" s="20"/>
      <c r="N428" s="20" t="s">
        <v>84</v>
      </c>
      <c r="O428" s="20" t="s">
        <v>84</v>
      </c>
      <c r="P428" s="20" t="s">
        <v>84</v>
      </c>
      <c r="Q428" s="20"/>
      <c r="R428" s="20"/>
      <c r="T428" s="20"/>
      <c r="U428" s="19"/>
      <c r="V428" s="22"/>
      <c r="W428" s="22"/>
      <c r="X428" s="20"/>
      <c r="BQ428" s="25"/>
      <c r="BR428" s="20"/>
    </row>
    <row r="429" spans="1:70" x14ac:dyDescent="0.2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84</v>
      </c>
      <c r="K429" s="20" t="s">
        <v>84</v>
      </c>
      <c r="L429" s="20"/>
      <c r="M429" s="20"/>
      <c r="N429" s="20" t="s">
        <v>84</v>
      </c>
      <c r="O429" s="20" t="s">
        <v>84</v>
      </c>
      <c r="P429" s="20" t="s">
        <v>84</v>
      </c>
      <c r="Q429" s="20"/>
      <c r="R429" s="20"/>
      <c r="T429" s="20"/>
      <c r="U429" s="19"/>
      <c r="V429" s="22"/>
      <c r="W429" s="22"/>
      <c r="X429" s="20"/>
      <c r="BQ429" s="25"/>
      <c r="BR429" s="20"/>
    </row>
    <row r="430" spans="1:70" x14ac:dyDescent="0.2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84</v>
      </c>
      <c r="K430" s="20" t="s">
        <v>84</v>
      </c>
      <c r="L430" s="20"/>
      <c r="M430" s="20"/>
      <c r="N430" s="20" t="s">
        <v>84</v>
      </c>
      <c r="O430" s="20" t="s">
        <v>84</v>
      </c>
      <c r="P430" s="20" t="s">
        <v>84</v>
      </c>
      <c r="Q430" s="20"/>
      <c r="R430" s="20"/>
      <c r="T430" s="20"/>
      <c r="U430" s="19"/>
      <c r="V430" s="22"/>
      <c r="W430" s="22"/>
      <c r="X430" s="20"/>
      <c r="BQ430" s="25"/>
      <c r="BR430" s="20"/>
    </row>
    <row r="431" spans="1:70" x14ac:dyDescent="0.2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84</v>
      </c>
      <c r="K431" s="20" t="s">
        <v>84</v>
      </c>
      <c r="L431" s="20"/>
      <c r="M431" s="20"/>
      <c r="N431" s="20" t="s">
        <v>84</v>
      </c>
      <c r="O431" s="20" t="s">
        <v>84</v>
      </c>
      <c r="P431" s="20" t="s">
        <v>84</v>
      </c>
      <c r="Q431" s="20"/>
      <c r="R431" s="20"/>
      <c r="T431" s="20"/>
      <c r="U431" s="19"/>
      <c r="V431" s="22"/>
      <c r="W431" s="22"/>
      <c r="X431" s="20"/>
      <c r="BQ431" s="25"/>
      <c r="BR431" s="20"/>
    </row>
    <row r="432" spans="1:70" x14ac:dyDescent="0.2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84</v>
      </c>
      <c r="K432" s="20" t="s">
        <v>84</v>
      </c>
      <c r="L432" s="20"/>
      <c r="M432" s="20"/>
      <c r="N432" s="20" t="s">
        <v>84</v>
      </c>
      <c r="O432" s="20" t="s">
        <v>84</v>
      </c>
      <c r="P432" s="20" t="s">
        <v>84</v>
      </c>
      <c r="Q432" s="20"/>
      <c r="R432" s="20"/>
      <c r="T432" s="20"/>
      <c r="U432" s="19"/>
      <c r="V432" s="22"/>
      <c r="W432" s="22"/>
      <c r="X432" s="20"/>
      <c r="BQ432" s="25"/>
      <c r="BR432" s="20"/>
    </row>
    <row r="433" spans="1:70" x14ac:dyDescent="0.2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84</v>
      </c>
      <c r="K433" s="20" t="s">
        <v>84</v>
      </c>
      <c r="L433" s="20"/>
      <c r="M433" s="20"/>
      <c r="N433" s="20" t="s">
        <v>84</v>
      </c>
      <c r="O433" s="20" t="s">
        <v>84</v>
      </c>
      <c r="P433" s="20" t="s">
        <v>84</v>
      </c>
      <c r="Q433" s="20"/>
      <c r="R433" s="20"/>
      <c r="T433" s="20"/>
      <c r="U433" s="19"/>
      <c r="V433" s="22"/>
      <c r="W433" s="22"/>
      <c r="X433" s="20"/>
      <c r="BQ433" s="25"/>
      <c r="BR433" s="20"/>
    </row>
    <row r="434" spans="1:70" x14ac:dyDescent="0.2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84</v>
      </c>
      <c r="K434" s="20" t="s">
        <v>84</v>
      </c>
      <c r="L434" s="20"/>
      <c r="M434" s="20"/>
      <c r="N434" s="20" t="s">
        <v>84</v>
      </c>
      <c r="O434" s="20" t="s">
        <v>84</v>
      </c>
      <c r="P434" s="20" t="s">
        <v>84</v>
      </c>
      <c r="Q434" s="20"/>
      <c r="R434" s="20"/>
      <c r="T434" s="20"/>
      <c r="U434" s="19"/>
      <c r="V434" s="22"/>
      <c r="W434" s="22"/>
      <c r="X434" s="20"/>
      <c r="BQ434" s="25"/>
      <c r="BR434" s="20"/>
    </row>
    <row r="435" spans="1:70" x14ac:dyDescent="0.2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84</v>
      </c>
      <c r="K435" s="20" t="s">
        <v>84</v>
      </c>
      <c r="L435" s="20"/>
      <c r="M435" s="20"/>
      <c r="N435" s="20" t="s">
        <v>84</v>
      </c>
      <c r="O435" s="20" t="s">
        <v>84</v>
      </c>
      <c r="P435" s="20" t="s">
        <v>84</v>
      </c>
      <c r="Q435" s="20"/>
      <c r="R435" s="20"/>
      <c r="T435" s="20"/>
      <c r="U435" s="19"/>
      <c r="V435" s="22"/>
      <c r="W435" s="22"/>
      <c r="X435" s="20"/>
      <c r="BQ435" s="25"/>
      <c r="BR435" s="20"/>
    </row>
    <row r="436" spans="1:70" x14ac:dyDescent="0.2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84</v>
      </c>
      <c r="K436" s="20" t="s">
        <v>84</v>
      </c>
      <c r="L436" s="20"/>
      <c r="M436" s="20"/>
      <c r="N436" s="20" t="s">
        <v>84</v>
      </c>
      <c r="O436" s="20" t="s">
        <v>84</v>
      </c>
      <c r="P436" s="20" t="s">
        <v>84</v>
      </c>
      <c r="Q436" s="20"/>
      <c r="R436" s="20"/>
      <c r="T436" s="20"/>
      <c r="U436" s="19"/>
      <c r="V436" s="22"/>
      <c r="W436" s="22"/>
      <c r="X436" s="20"/>
      <c r="BQ436" s="25"/>
      <c r="BR436" s="20"/>
    </row>
    <row r="437" spans="1:70" x14ac:dyDescent="0.2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84</v>
      </c>
      <c r="K437" s="20" t="s">
        <v>84</v>
      </c>
      <c r="L437" s="20"/>
      <c r="M437" s="20"/>
      <c r="N437" s="20" t="s">
        <v>84</v>
      </c>
      <c r="O437" s="20" t="s">
        <v>84</v>
      </c>
      <c r="P437" s="20" t="s">
        <v>84</v>
      </c>
      <c r="Q437" s="20"/>
      <c r="R437" s="20"/>
      <c r="T437" s="20"/>
      <c r="U437" s="19"/>
      <c r="V437" s="22"/>
      <c r="W437" s="22"/>
      <c r="X437" s="20"/>
      <c r="BQ437" s="25"/>
      <c r="BR437" s="20"/>
    </row>
    <row r="438" spans="1:70" x14ac:dyDescent="0.2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84</v>
      </c>
      <c r="K438" s="20" t="s">
        <v>84</v>
      </c>
      <c r="L438" s="20"/>
      <c r="M438" s="20"/>
      <c r="N438" s="20" t="s">
        <v>84</v>
      </c>
      <c r="O438" s="20" t="s">
        <v>84</v>
      </c>
      <c r="P438" s="20" t="s">
        <v>84</v>
      </c>
      <c r="Q438" s="20"/>
      <c r="R438" s="20"/>
      <c r="T438" s="20"/>
      <c r="U438" s="19"/>
      <c r="V438" s="22"/>
      <c r="W438" s="22"/>
      <c r="X438" s="20"/>
      <c r="BQ438" s="25"/>
      <c r="BR438" s="20"/>
    </row>
    <row r="439" spans="1:70" x14ac:dyDescent="0.2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84</v>
      </c>
      <c r="K439" s="20" t="s">
        <v>84</v>
      </c>
      <c r="L439" s="20"/>
      <c r="M439" s="20"/>
      <c r="N439" s="20" t="s">
        <v>84</v>
      </c>
      <c r="O439" s="20" t="s">
        <v>84</v>
      </c>
      <c r="P439" s="20" t="s">
        <v>84</v>
      </c>
      <c r="Q439" s="20"/>
      <c r="R439" s="20"/>
      <c r="T439" s="20"/>
      <c r="U439" s="19"/>
      <c r="V439" s="22"/>
      <c r="W439" s="22"/>
      <c r="X439" s="20"/>
      <c r="BQ439" s="25"/>
      <c r="BR439" s="20"/>
    </row>
    <row r="440" spans="1:70" x14ac:dyDescent="0.2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84</v>
      </c>
      <c r="K440" s="20" t="s">
        <v>84</v>
      </c>
      <c r="L440" s="20"/>
      <c r="M440" s="20"/>
      <c r="N440" s="20" t="s">
        <v>84</v>
      </c>
      <c r="O440" s="20" t="s">
        <v>84</v>
      </c>
      <c r="P440" s="20" t="s">
        <v>84</v>
      </c>
      <c r="Q440" s="20"/>
      <c r="R440" s="20"/>
      <c r="T440" s="20"/>
      <c r="U440" s="19"/>
      <c r="V440" s="22"/>
      <c r="W440" s="22"/>
      <c r="X440" s="20"/>
      <c r="BQ440" s="25"/>
      <c r="BR440" s="20"/>
    </row>
    <row r="441" spans="1:70" x14ac:dyDescent="0.2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84</v>
      </c>
      <c r="K441" s="20" t="s">
        <v>84</v>
      </c>
      <c r="L441" s="20"/>
      <c r="M441" s="20"/>
      <c r="N441" s="20" t="s">
        <v>84</v>
      </c>
      <c r="O441" s="20" t="s">
        <v>84</v>
      </c>
      <c r="P441" s="20" t="s">
        <v>84</v>
      </c>
      <c r="Q441" s="20"/>
      <c r="R441" s="20"/>
      <c r="T441" s="20"/>
      <c r="U441" s="19"/>
      <c r="V441" s="22"/>
      <c r="W441" s="22"/>
      <c r="X441" s="20"/>
      <c r="BQ441" s="25"/>
      <c r="BR441" s="20"/>
    </row>
    <row r="442" spans="1:70" x14ac:dyDescent="0.2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84</v>
      </c>
      <c r="K442" s="20" t="s">
        <v>84</v>
      </c>
      <c r="L442" s="20"/>
      <c r="M442" s="20"/>
      <c r="N442" s="20" t="s">
        <v>84</v>
      </c>
      <c r="O442" s="20" t="s">
        <v>84</v>
      </c>
      <c r="P442" s="20" t="s">
        <v>84</v>
      </c>
      <c r="Q442" s="20"/>
      <c r="R442" s="20"/>
      <c r="T442" s="20"/>
      <c r="U442" s="19"/>
      <c r="V442" s="22"/>
      <c r="W442" s="22"/>
      <c r="X442" s="20"/>
      <c r="BQ442" s="25"/>
      <c r="BR442" s="20"/>
    </row>
    <row r="443" spans="1:70" x14ac:dyDescent="0.2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84</v>
      </c>
      <c r="K443" s="20" t="s">
        <v>84</v>
      </c>
      <c r="L443" s="20"/>
      <c r="M443" s="20"/>
      <c r="N443" s="20" t="s">
        <v>84</v>
      </c>
      <c r="O443" s="20" t="s">
        <v>84</v>
      </c>
      <c r="P443" s="20" t="s">
        <v>84</v>
      </c>
      <c r="Q443" s="20"/>
      <c r="R443" s="20"/>
      <c r="T443" s="20"/>
      <c r="U443" s="19"/>
      <c r="V443" s="22"/>
      <c r="W443" s="22"/>
      <c r="X443" s="20"/>
      <c r="BQ443" s="25"/>
      <c r="BR443" s="20"/>
    </row>
    <row r="444" spans="1:70" x14ac:dyDescent="0.2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84</v>
      </c>
      <c r="K444" s="20" t="s">
        <v>84</v>
      </c>
      <c r="L444" s="20"/>
      <c r="M444" s="20"/>
      <c r="N444" s="20" t="s">
        <v>84</v>
      </c>
      <c r="O444" s="20" t="s">
        <v>84</v>
      </c>
      <c r="P444" s="20" t="s">
        <v>84</v>
      </c>
      <c r="Q444" s="20"/>
      <c r="R444" s="20"/>
      <c r="T444" s="20"/>
      <c r="U444" s="19"/>
      <c r="V444" s="22"/>
      <c r="W444" s="22"/>
      <c r="X444" s="20"/>
      <c r="BQ444" s="25"/>
      <c r="BR444" s="20"/>
    </row>
    <row r="445" spans="1:70" x14ac:dyDescent="0.2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84</v>
      </c>
      <c r="K445" s="20" t="s">
        <v>84</v>
      </c>
      <c r="L445" s="20"/>
      <c r="M445" s="20"/>
      <c r="N445" s="20" t="s">
        <v>84</v>
      </c>
      <c r="O445" s="20" t="s">
        <v>84</v>
      </c>
      <c r="P445" s="20" t="s">
        <v>84</v>
      </c>
      <c r="Q445" s="20"/>
      <c r="R445" s="20"/>
      <c r="T445" s="20"/>
      <c r="U445" s="19"/>
      <c r="V445" s="22"/>
      <c r="W445" s="22"/>
      <c r="X445" s="20"/>
      <c r="BQ445" s="25"/>
      <c r="BR445" s="20"/>
    </row>
    <row r="446" spans="1:70" x14ac:dyDescent="0.2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84</v>
      </c>
      <c r="K446" s="20" t="s">
        <v>84</v>
      </c>
      <c r="L446" s="20"/>
      <c r="M446" s="20"/>
      <c r="N446" s="20" t="s">
        <v>84</v>
      </c>
      <c r="O446" s="20" t="s">
        <v>84</v>
      </c>
      <c r="P446" s="20" t="s">
        <v>84</v>
      </c>
      <c r="Q446" s="20"/>
      <c r="R446" s="20"/>
      <c r="T446" s="20"/>
      <c r="U446" s="19"/>
      <c r="V446" s="22"/>
      <c r="W446" s="22"/>
      <c r="X446" s="20"/>
      <c r="BQ446" s="25"/>
      <c r="BR446" s="20"/>
    </row>
    <row r="447" spans="1:70" x14ac:dyDescent="0.2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84</v>
      </c>
      <c r="K447" s="20" t="s">
        <v>84</v>
      </c>
      <c r="L447" s="20"/>
      <c r="M447" s="20"/>
      <c r="N447" s="20" t="s">
        <v>84</v>
      </c>
      <c r="O447" s="20" t="s">
        <v>84</v>
      </c>
      <c r="P447" s="20" t="s">
        <v>84</v>
      </c>
      <c r="Q447" s="20"/>
      <c r="R447" s="20"/>
      <c r="T447" s="20"/>
      <c r="U447" s="19"/>
      <c r="V447" s="22"/>
      <c r="W447" s="22"/>
      <c r="X447" s="20"/>
      <c r="BQ447" s="25"/>
      <c r="BR447" s="20"/>
    </row>
    <row r="448" spans="1:70" x14ac:dyDescent="0.2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84</v>
      </c>
      <c r="K448" s="20" t="s">
        <v>84</v>
      </c>
      <c r="L448" s="20"/>
      <c r="M448" s="20"/>
      <c r="N448" s="20" t="s">
        <v>84</v>
      </c>
      <c r="O448" s="20" t="s">
        <v>84</v>
      </c>
      <c r="P448" s="20" t="s">
        <v>84</v>
      </c>
      <c r="Q448" s="20"/>
      <c r="R448" s="20"/>
      <c r="T448" s="20"/>
      <c r="U448" s="19"/>
      <c r="V448" s="22"/>
      <c r="W448" s="22"/>
      <c r="X448" s="20"/>
      <c r="BQ448" s="25"/>
      <c r="BR448" s="20"/>
    </row>
    <row r="449" spans="1:70" x14ac:dyDescent="0.2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84</v>
      </c>
      <c r="K449" s="20" t="s">
        <v>84</v>
      </c>
      <c r="L449" s="20"/>
      <c r="M449" s="20"/>
      <c r="N449" s="20" t="s">
        <v>84</v>
      </c>
      <c r="O449" s="20" t="s">
        <v>84</v>
      </c>
      <c r="P449" s="20" t="s">
        <v>84</v>
      </c>
      <c r="Q449" s="20"/>
      <c r="R449" s="20"/>
      <c r="T449" s="20"/>
      <c r="U449" s="19"/>
      <c r="V449" s="22"/>
      <c r="W449" s="22"/>
      <c r="X449" s="20"/>
      <c r="BQ449" s="25"/>
      <c r="BR449" s="20"/>
    </row>
    <row r="450" spans="1:70" x14ac:dyDescent="0.2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84</v>
      </c>
      <c r="K450" s="20" t="s">
        <v>84</v>
      </c>
      <c r="L450" s="20"/>
      <c r="M450" s="20"/>
      <c r="N450" s="20" t="s">
        <v>84</v>
      </c>
      <c r="O450" s="20" t="s">
        <v>84</v>
      </c>
      <c r="P450" s="20" t="s">
        <v>84</v>
      </c>
      <c r="Q450" s="20"/>
      <c r="R450" s="20"/>
      <c r="T450" s="20"/>
      <c r="U450" s="19"/>
      <c r="V450" s="22"/>
      <c r="W450" s="22"/>
      <c r="X450" s="20"/>
      <c r="BQ450" s="25"/>
      <c r="BR450" s="20"/>
    </row>
    <row r="451" spans="1:70" x14ac:dyDescent="0.2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84</v>
      </c>
      <c r="K451" s="20" t="s">
        <v>84</v>
      </c>
      <c r="L451" s="20"/>
      <c r="M451" s="20"/>
      <c r="N451" s="20" t="s">
        <v>84</v>
      </c>
      <c r="O451" s="20" t="s">
        <v>84</v>
      </c>
      <c r="P451" s="20" t="s">
        <v>84</v>
      </c>
      <c r="Q451" s="20"/>
      <c r="R451" s="20"/>
      <c r="T451" s="20"/>
      <c r="U451" s="19"/>
      <c r="V451" s="22"/>
      <c r="W451" s="22"/>
      <c r="X451" s="20"/>
      <c r="BQ451" s="25"/>
      <c r="BR451" s="20"/>
    </row>
    <row r="452" spans="1:70" x14ac:dyDescent="0.2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84</v>
      </c>
      <c r="K452" s="20" t="s">
        <v>84</v>
      </c>
      <c r="L452" s="20"/>
      <c r="M452" s="20"/>
      <c r="N452" s="20" t="s">
        <v>84</v>
      </c>
      <c r="O452" s="20" t="s">
        <v>84</v>
      </c>
      <c r="P452" s="20" t="s">
        <v>84</v>
      </c>
      <c r="Q452" s="20"/>
      <c r="R452" s="20"/>
      <c r="T452" s="20"/>
      <c r="U452" s="19"/>
      <c r="V452" s="22"/>
      <c r="W452" s="22"/>
      <c r="X452" s="20"/>
      <c r="BQ452" s="25"/>
      <c r="BR452" s="20"/>
    </row>
    <row r="453" spans="1:70" x14ac:dyDescent="0.2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84</v>
      </c>
      <c r="K453" s="20" t="s">
        <v>84</v>
      </c>
      <c r="L453" s="20"/>
      <c r="M453" s="20"/>
      <c r="N453" s="20" t="s">
        <v>84</v>
      </c>
      <c r="O453" s="20" t="s">
        <v>84</v>
      </c>
      <c r="P453" s="20" t="s">
        <v>84</v>
      </c>
      <c r="Q453" s="20"/>
      <c r="R453" s="20"/>
      <c r="T453" s="20"/>
      <c r="U453" s="19"/>
      <c r="V453" s="22"/>
      <c r="W453" s="22"/>
      <c r="X453" s="20"/>
      <c r="BQ453" s="25"/>
      <c r="BR453" s="20"/>
    </row>
    <row r="454" spans="1:70" x14ac:dyDescent="0.2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84</v>
      </c>
      <c r="K454" s="20" t="s">
        <v>84</v>
      </c>
      <c r="L454" s="20"/>
      <c r="M454" s="20"/>
      <c r="N454" s="20" t="s">
        <v>84</v>
      </c>
      <c r="O454" s="20" t="s">
        <v>84</v>
      </c>
      <c r="P454" s="20" t="s">
        <v>84</v>
      </c>
      <c r="Q454" s="20"/>
      <c r="R454" s="20"/>
      <c r="T454" s="20"/>
      <c r="U454" s="19"/>
      <c r="V454" s="22"/>
      <c r="W454" s="22"/>
      <c r="X454" s="20"/>
      <c r="BQ454" s="25"/>
      <c r="BR454" s="20"/>
    </row>
    <row r="455" spans="1:70" x14ac:dyDescent="0.2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84</v>
      </c>
      <c r="K455" s="20" t="s">
        <v>84</v>
      </c>
      <c r="L455" s="20"/>
      <c r="M455" s="20"/>
      <c r="N455" s="20" t="s">
        <v>84</v>
      </c>
      <c r="O455" s="20" t="s">
        <v>84</v>
      </c>
      <c r="P455" s="20" t="s">
        <v>84</v>
      </c>
      <c r="Q455" s="20"/>
      <c r="R455" s="20"/>
      <c r="T455" s="20"/>
      <c r="U455" s="19"/>
      <c r="V455" s="22"/>
      <c r="W455" s="22"/>
      <c r="X455" s="20"/>
      <c r="BQ455" s="25"/>
      <c r="BR455" s="20"/>
    </row>
    <row r="456" spans="1:70" x14ac:dyDescent="0.2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84</v>
      </c>
      <c r="K456" s="20" t="s">
        <v>84</v>
      </c>
      <c r="L456" s="20"/>
      <c r="M456" s="20"/>
      <c r="N456" s="20" t="s">
        <v>84</v>
      </c>
      <c r="O456" s="20" t="s">
        <v>84</v>
      </c>
      <c r="P456" s="20" t="s">
        <v>84</v>
      </c>
      <c r="Q456" s="20"/>
      <c r="R456" s="20"/>
      <c r="T456" s="20"/>
      <c r="U456" s="19"/>
      <c r="V456" s="22"/>
      <c r="W456" s="22"/>
      <c r="X456" s="20"/>
      <c r="BQ456" s="25"/>
      <c r="BR456" s="20"/>
    </row>
    <row r="457" spans="1:70" x14ac:dyDescent="0.2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84</v>
      </c>
      <c r="K457" s="20" t="s">
        <v>84</v>
      </c>
      <c r="L457" s="20"/>
      <c r="M457" s="20"/>
      <c r="N457" s="20" t="s">
        <v>84</v>
      </c>
      <c r="O457" s="20" t="s">
        <v>84</v>
      </c>
      <c r="P457" s="20" t="s">
        <v>84</v>
      </c>
      <c r="Q457" s="20"/>
      <c r="R457" s="20"/>
      <c r="T457" s="20"/>
      <c r="U457" s="19"/>
      <c r="V457" s="22"/>
      <c r="W457" s="22"/>
      <c r="X457" s="20"/>
      <c r="BQ457" s="25"/>
      <c r="BR457" s="20"/>
    </row>
    <row r="458" spans="1:70" x14ac:dyDescent="0.2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84</v>
      </c>
      <c r="K458" s="20" t="s">
        <v>84</v>
      </c>
      <c r="L458" s="20"/>
      <c r="M458" s="20"/>
      <c r="N458" s="20" t="s">
        <v>84</v>
      </c>
      <c r="O458" s="20" t="s">
        <v>84</v>
      </c>
      <c r="P458" s="20" t="s">
        <v>84</v>
      </c>
      <c r="Q458" s="20"/>
      <c r="R458" s="20"/>
      <c r="T458" s="20"/>
      <c r="U458" s="19"/>
      <c r="V458" s="22"/>
      <c r="W458" s="22"/>
      <c r="X458" s="20"/>
      <c r="BQ458" s="25"/>
      <c r="BR458" s="20"/>
    </row>
    <row r="459" spans="1:70" x14ac:dyDescent="0.2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84</v>
      </c>
      <c r="K459" s="20" t="s">
        <v>84</v>
      </c>
      <c r="L459" s="20"/>
      <c r="M459" s="20"/>
      <c r="N459" s="20" t="s">
        <v>84</v>
      </c>
      <c r="O459" s="20" t="s">
        <v>84</v>
      </c>
      <c r="P459" s="20" t="s">
        <v>84</v>
      </c>
      <c r="Q459" s="20"/>
      <c r="R459" s="20"/>
      <c r="T459" s="20"/>
      <c r="U459" s="19"/>
      <c r="V459" s="22"/>
      <c r="W459" s="22"/>
      <c r="X459" s="20"/>
      <c r="BQ459" s="25"/>
      <c r="BR459" s="20"/>
    </row>
    <row r="460" spans="1:70" x14ac:dyDescent="0.2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84</v>
      </c>
      <c r="K460" s="20" t="s">
        <v>84</v>
      </c>
      <c r="L460" s="20"/>
      <c r="M460" s="20"/>
      <c r="N460" s="20" t="s">
        <v>84</v>
      </c>
      <c r="O460" s="20" t="s">
        <v>84</v>
      </c>
      <c r="P460" s="20" t="s">
        <v>84</v>
      </c>
      <c r="Q460" s="20"/>
      <c r="R460" s="20"/>
      <c r="T460" s="20"/>
      <c r="U460" s="19"/>
      <c r="V460" s="22"/>
      <c r="W460" s="22"/>
      <c r="X460" s="20"/>
      <c r="BQ460" s="25"/>
      <c r="BR460" s="20"/>
    </row>
    <row r="461" spans="1:70" x14ac:dyDescent="0.2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84</v>
      </c>
      <c r="K461" s="20" t="s">
        <v>84</v>
      </c>
      <c r="L461" s="20"/>
      <c r="M461" s="20"/>
      <c r="N461" s="20" t="s">
        <v>84</v>
      </c>
      <c r="O461" s="20" t="s">
        <v>84</v>
      </c>
      <c r="P461" s="20" t="s">
        <v>84</v>
      </c>
      <c r="Q461" s="20"/>
      <c r="R461" s="20"/>
      <c r="T461" s="20"/>
      <c r="U461" s="19"/>
      <c r="V461" s="22"/>
      <c r="W461" s="22"/>
      <c r="X461" s="20"/>
      <c r="BQ461" s="25"/>
      <c r="BR461" s="20"/>
    </row>
    <row r="462" spans="1:70" x14ac:dyDescent="0.2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84</v>
      </c>
      <c r="K462" s="20" t="s">
        <v>84</v>
      </c>
      <c r="L462" s="20"/>
      <c r="M462" s="20"/>
      <c r="N462" s="20" t="s">
        <v>84</v>
      </c>
      <c r="O462" s="20" t="s">
        <v>84</v>
      </c>
      <c r="P462" s="20" t="s">
        <v>84</v>
      </c>
      <c r="Q462" s="20"/>
      <c r="R462" s="20"/>
      <c r="T462" s="20"/>
      <c r="U462" s="19"/>
      <c r="V462" s="22"/>
      <c r="W462" s="22"/>
      <c r="X462" s="20"/>
      <c r="BQ462" s="25"/>
      <c r="BR462" s="20"/>
    </row>
    <row r="463" spans="1:70" x14ac:dyDescent="0.2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84</v>
      </c>
      <c r="K463" s="20" t="s">
        <v>84</v>
      </c>
      <c r="L463" s="20"/>
      <c r="M463" s="20"/>
      <c r="N463" s="20" t="s">
        <v>84</v>
      </c>
      <c r="O463" s="20" t="s">
        <v>84</v>
      </c>
      <c r="P463" s="20" t="s">
        <v>84</v>
      </c>
      <c r="Q463" s="20"/>
      <c r="R463" s="20"/>
      <c r="T463" s="20"/>
      <c r="U463" s="19"/>
      <c r="V463" s="22"/>
      <c r="W463" s="22"/>
      <c r="X463" s="20"/>
      <c r="BQ463" s="25"/>
      <c r="BR463" s="20"/>
    </row>
    <row r="464" spans="1:70" x14ac:dyDescent="0.2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84</v>
      </c>
      <c r="K464" s="20" t="s">
        <v>84</v>
      </c>
      <c r="L464" s="20"/>
      <c r="M464" s="20"/>
      <c r="N464" s="20" t="s">
        <v>84</v>
      </c>
      <c r="O464" s="20" t="s">
        <v>84</v>
      </c>
      <c r="P464" s="20" t="s">
        <v>84</v>
      </c>
      <c r="Q464" s="20"/>
      <c r="R464" s="20"/>
      <c r="T464" s="20"/>
      <c r="U464" s="19"/>
      <c r="V464" s="22"/>
      <c r="W464" s="22"/>
      <c r="X464" s="20"/>
      <c r="BQ464" s="25"/>
      <c r="BR464" s="20"/>
    </row>
    <row r="465" spans="1:70" x14ac:dyDescent="0.2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84</v>
      </c>
      <c r="K465" s="20" t="s">
        <v>84</v>
      </c>
      <c r="L465" s="20"/>
      <c r="M465" s="20"/>
      <c r="N465" s="20" t="s">
        <v>84</v>
      </c>
      <c r="O465" s="20" t="s">
        <v>84</v>
      </c>
      <c r="P465" s="20" t="s">
        <v>84</v>
      </c>
      <c r="Q465" s="20"/>
      <c r="R465" s="20"/>
      <c r="T465" s="20"/>
      <c r="U465" s="19"/>
      <c r="V465" s="22"/>
      <c r="W465" s="22"/>
      <c r="X465" s="20"/>
      <c r="BQ465" s="25"/>
      <c r="BR465" s="20"/>
    </row>
    <row r="466" spans="1:70" x14ac:dyDescent="0.2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84</v>
      </c>
      <c r="K466" s="20" t="s">
        <v>84</v>
      </c>
      <c r="L466" s="20"/>
      <c r="M466" s="20"/>
      <c r="N466" s="20" t="s">
        <v>84</v>
      </c>
      <c r="O466" s="20" t="s">
        <v>84</v>
      </c>
      <c r="P466" s="20" t="s">
        <v>84</v>
      </c>
      <c r="Q466" s="20"/>
      <c r="R466" s="20"/>
      <c r="T466" s="20"/>
      <c r="U466" s="19"/>
      <c r="V466" s="22"/>
      <c r="W466" s="22"/>
      <c r="X466" s="20"/>
      <c r="BQ466" s="25"/>
      <c r="BR466" s="20"/>
    </row>
    <row r="467" spans="1:70" x14ac:dyDescent="0.2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84</v>
      </c>
      <c r="K467" s="20" t="s">
        <v>84</v>
      </c>
      <c r="L467" s="20"/>
      <c r="M467" s="20"/>
      <c r="N467" s="20" t="s">
        <v>84</v>
      </c>
      <c r="O467" s="20" t="s">
        <v>84</v>
      </c>
      <c r="P467" s="20" t="s">
        <v>84</v>
      </c>
      <c r="Q467" s="20"/>
      <c r="R467" s="20"/>
      <c r="T467" s="20"/>
      <c r="U467" s="19"/>
      <c r="V467" s="22"/>
      <c r="W467" s="22"/>
      <c r="X467" s="20"/>
      <c r="BQ467" s="25"/>
      <c r="BR467" s="20"/>
    </row>
    <row r="468" spans="1:70" x14ac:dyDescent="0.2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84</v>
      </c>
      <c r="K468" s="20" t="s">
        <v>84</v>
      </c>
      <c r="L468" s="20"/>
      <c r="M468" s="20"/>
      <c r="N468" s="20" t="s">
        <v>84</v>
      </c>
      <c r="O468" s="20" t="s">
        <v>84</v>
      </c>
      <c r="P468" s="20" t="s">
        <v>84</v>
      </c>
      <c r="Q468" s="20"/>
      <c r="R468" s="20"/>
      <c r="T468" s="20"/>
      <c r="U468" s="19"/>
      <c r="V468" s="22"/>
      <c r="W468" s="22"/>
      <c r="X468" s="20"/>
      <c r="BQ468" s="25"/>
      <c r="BR468" s="20"/>
    </row>
    <row r="469" spans="1:70" x14ac:dyDescent="0.2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84</v>
      </c>
      <c r="K469" s="20" t="s">
        <v>84</v>
      </c>
      <c r="L469" s="20"/>
      <c r="M469" s="20"/>
      <c r="N469" s="20" t="s">
        <v>84</v>
      </c>
      <c r="O469" s="20" t="s">
        <v>84</v>
      </c>
      <c r="P469" s="20" t="s">
        <v>84</v>
      </c>
      <c r="Q469" s="20"/>
      <c r="R469" s="20"/>
      <c r="T469" s="20"/>
      <c r="U469" s="19"/>
      <c r="V469" s="22"/>
      <c r="W469" s="22"/>
      <c r="X469" s="20"/>
      <c r="BQ469" s="25"/>
      <c r="BR469" s="20"/>
    </row>
    <row r="470" spans="1:70" x14ac:dyDescent="0.2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84</v>
      </c>
      <c r="K470" s="20" t="s">
        <v>84</v>
      </c>
      <c r="L470" s="20"/>
      <c r="M470" s="20"/>
      <c r="N470" s="20" t="s">
        <v>84</v>
      </c>
      <c r="O470" s="20" t="s">
        <v>84</v>
      </c>
      <c r="P470" s="20" t="s">
        <v>84</v>
      </c>
      <c r="Q470" s="20"/>
      <c r="R470" s="20"/>
      <c r="T470" s="20"/>
      <c r="U470" s="19"/>
      <c r="V470" s="22"/>
      <c r="W470" s="22"/>
      <c r="X470" s="20"/>
      <c r="BQ470" s="25"/>
      <c r="BR470" s="20"/>
    </row>
    <row r="471" spans="1:70" x14ac:dyDescent="0.2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84</v>
      </c>
      <c r="K471" s="20" t="s">
        <v>84</v>
      </c>
      <c r="L471" s="20"/>
      <c r="M471" s="20"/>
      <c r="N471" s="20" t="s">
        <v>84</v>
      </c>
      <c r="O471" s="20" t="s">
        <v>84</v>
      </c>
      <c r="P471" s="20" t="s">
        <v>84</v>
      </c>
      <c r="Q471" s="20"/>
      <c r="R471" s="20"/>
      <c r="T471" s="20"/>
      <c r="U471" s="19"/>
      <c r="V471" s="22"/>
      <c r="W471" s="22"/>
      <c r="X471" s="20"/>
      <c r="BQ471" s="25"/>
      <c r="BR471" s="20"/>
    </row>
  </sheetData>
  <autoFilter ref="A1:OJ471" xr:uid="{02E62661-EEFC-4AEF-A22C-5F1A4538D3D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7157-03F6-471B-B85D-D885F1DF2E9F}">
  <dimension ref="A1:AP47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9.7109375" style="23" customWidth="1"/>
    <col min="42" max="42" width="15.7109375" style="24" customWidth="1"/>
    <col min="43" max="16384" width="11.42578125" style="13"/>
  </cols>
  <sheetData>
    <row r="1" spans="1:4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276</v>
      </c>
      <c r="Y1" s="12" t="s">
        <v>277</v>
      </c>
      <c r="Z1" s="12" t="s">
        <v>278</v>
      </c>
      <c r="AA1" s="12" t="s">
        <v>279</v>
      </c>
      <c r="AB1" s="12" t="s">
        <v>280</v>
      </c>
      <c r="AC1" s="12" t="s">
        <v>281</v>
      </c>
      <c r="AD1" s="12" t="s">
        <v>282</v>
      </c>
      <c r="AE1" s="12" t="s">
        <v>283</v>
      </c>
      <c r="AF1" s="12" t="s">
        <v>284</v>
      </c>
      <c r="AG1" s="12" t="s">
        <v>285</v>
      </c>
      <c r="AH1" s="12" t="s">
        <v>286</v>
      </c>
      <c r="AI1" s="12" t="s">
        <v>287</v>
      </c>
      <c r="AJ1" s="12" t="s">
        <v>288</v>
      </c>
      <c r="AK1" s="12" t="s">
        <v>289</v>
      </c>
      <c r="AL1" s="12" t="s">
        <v>290</v>
      </c>
      <c r="AM1" s="12" t="s">
        <v>291</v>
      </c>
      <c r="AN1" s="12" t="s">
        <v>292</v>
      </c>
      <c r="AO1" s="10" t="s">
        <v>69</v>
      </c>
      <c r="AP1" s="10" t="s">
        <v>70</v>
      </c>
    </row>
    <row r="2" spans="1:42" ht="150" x14ac:dyDescent="0.25">
      <c r="A2" s="14" t="s">
        <v>71</v>
      </c>
      <c r="B2" s="14" t="s">
        <v>72</v>
      </c>
      <c r="C2" s="15">
        <v>44711.679166666669</v>
      </c>
      <c r="D2" s="14" t="s">
        <v>73</v>
      </c>
      <c r="E2" s="16" t="s">
        <v>74</v>
      </c>
      <c r="F2" s="14" t="s">
        <v>75</v>
      </c>
      <c r="G2" s="16" t="s">
        <v>76</v>
      </c>
      <c r="H2" s="14" t="s">
        <v>77</v>
      </c>
      <c r="I2" s="16" t="s">
        <v>78</v>
      </c>
      <c r="J2" s="16" t="s">
        <v>79</v>
      </c>
      <c r="K2" s="16" t="s">
        <v>80</v>
      </c>
      <c r="L2" s="14" t="s">
        <v>81</v>
      </c>
      <c r="M2" s="16" t="s">
        <v>82</v>
      </c>
      <c r="N2" s="14" t="s">
        <v>83</v>
      </c>
      <c r="O2" s="16" t="s">
        <v>84</v>
      </c>
      <c r="P2" s="16" t="s">
        <v>84</v>
      </c>
      <c r="Q2" s="16" t="s">
        <v>85</v>
      </c>
      <c r="R2" s="14" t="s">
        <v>86</v>
      </c>
      <c r="S2" s="14" t="s">
        <v>87</v>
      </c>
      <c r="T2" s="14" t="s">
        <v>88</v>
      </c>
      <c r="U2" s="14" t="s">
        <v>89</v>
      </c>
      <c r="V2" s="15">
        <v>40725</v>
      </c>
      <c r="W2" s="15">
        <v>43861</v>
      </c>
      <c r="X2" s="16" t="s">
        <v>293</v>
      </c>
      <c r="Y2" s="17" t="s">
        <v>294</v>
      </c>
      <c r="Z2" s="18" t="str">
        <f>VLOOKUP(Y2,'Axe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2" s="17" t="s">
        <v>296</v>
      </c>
      <c r="AB2" s="18" t="str">
        <f>VLOOKUP(AA2,'Axe 2 Règles de gestion'!$D$2:$F$41,3, FALSE)</f>
        <v>Classement : L'agent est classé dans son corps.</v>
      </c>
      <c r="AC2" s="17" t="s">
        <v>298</v>
      </c>
      <c r="AD2" s="18" t="str">
        <f>VLOOKUP(AC2,'Axe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2" s="17" t="s">
        <v>300</v>
      </c>
      <c r="AF2" s="18" t="str">
        <f>VLOOKUP(AE2,'Axe 2 Règles de gestion'!$D$2:$F$41,3, FALSE)</f>
        <v>Evaluation professionnelle : L'agent est évalué par l'administration d'accueil.</v>
      </c>
      <c r="AG2" s="17" t="s">
        <v>302</v>
      </c>
      <c r="AH2" s="18" t="str">
        <f>VLOOKUP(AG2,'Axe 2 Règles de gestion'!$D$2:$F$41,3, FALSE)</f>
        <v>Congés annuels : L'agent cumule des droits à congé. L'administration d'accueil gère les droits à congés annuels de l'agent.</v>
      </c>
      <c r="AI2" s="17" t="s">
        <v>304</v>
      </c>
      <c r="AJ2" s="18" t="str">
        <f>VLOOKUP(AI2,'Axe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2" s="17" t="s">
        <v>306</v>
      </c>
      <c r="AL2" s="18" t="str">
        <f>VLOOKUP(AK2,'Axe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2" s="17" t="s">
        <v>308</v>
      </c>
      <c r="AN2" s="18" t="str">
        <f>VLOOKUP(AM2,'Axe 2 Règles de gestion'!$D$2:$F$41,3, FALSE)</f>
        <v>Acte : Un acte administratif doit être produit.</v>
      </c>
      <c r="AO2" s="14" t="s">
        <v>84</v>
      </c>
      <c r="AP2" s="16" t="s">
        <v>84</v>
      </c>
    </row>
    <row r="3" spans="1:42" ht="150" x14ac:dyDescent="0.25">
      <c r="A3" s="14" t="s">
        <v>71</v>
      </c>
      <c r="B3" s="14" t="s">
        <v>129</v>
      </c>
      <c r="C3" s="15">
        <v>44711.421527777777</v>
      </c>
      <c r="D3" s="14" t="s">
        <v>73</v>
      </c>
      <c r="E3" s="16" t="s">
        <v>74</v>
      </c>
      <c r="F3" s="14" t="s">
        <v>75</v>
      </c>
      <c r="G3" s="16" t="s">
        <v>76</v>
      </c>
      <c r="H3" s="14" t="s">
        <v>77</v>
      </c>
      <c r="I3" s="16" t="s">
        <v>78</v>
      </c>
      <c r="J3" s="16" t="s">
        <v>79</v>
      </c>
      <c r="K3" s="16" t="s">
        <v>80</v>
      </c>
      <c r="L3" s="14" t="s">
        <v>81</v>
      </c>
      <c r="M3" s="16" t="s">
        <v>82</v>
      </c>
      <c r="N3" s="14" t="s">
        <v>83</v>
      </c>
      <c r="O3" s="16" t="s">
        <v>84</v>
      </c>
      <c r="P3" s="16" t="s">
        <v>84</v>
      </c>
      <c r="Q3" s="16" t="s">
        <v>85</v>
      </c>
      <c r="R3" s="14" t="s">
        <v>86</v>
      </c>
      <c r="S3" s="14" t="s">
        <v>87</v>
      </c>
      <c r="T3" s="14" t="s">
        <v>88</v>
      </c>
      <c r="U3" s="14" t="s">
        <v>89</v>
      </c>
      <c r="V3" s="15">
        <v>43862</v>
      </c>
      <c r="W3" s="15">
        <v>43938</v>
      </c>
      <c r="X3" s="16" t="s">
        <v>293</v>
      </c>
      <c r="Y3" s="17" t="s">
        <v>294</v>
      </c>
      <c r="Z3" s="18" t="str">
        <f>VLOOKUP(Y3,'Axe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3" s="17" t="s">
        <v>296</v>
      </c>
      <c r="AB3" s="18" t="str">
        <f>VLOOKUP(AA3,'Axe 2 Règles de gestion'!$D$2:$F$41,3, FALSE)</f>
        <v>Classement : L'agent est classé dans son corps.</v>
      </c>
      <c r="AC3" s="17" t="s">
        <v>298</v>
      </c>
      <c r="AD3" s="18" t="str">
        <f>VLOOKUP(AC3,'Axe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3" s="17" t="s">
        <v>300</v>
      </c>
      <c r="AF3" s="18" t="str">
        <f>VLOOKUP(AE3,'Axe 2 Règles de gestion'!$D$2:$F$41,3, FALSE)</f>
        <v>Evaluation professionnelle : L'agent est évalué par l'administration d'accueil.</v>
      </c>
      <c r="AG3" s="17" t="s">
        <v>302</v>
      </c>
      <c r="AH3" s="18" t="str">
        <f>VLOOKUP(AG3,'Axe 2 Règles de gestion'!$D$2:$F$41,3, FALSE)</f>
        <v>Congés annuels : L'agent cumule des droits à congé. L'administration d'accueil gère les droits à congés annuels de l'agent.</v>
      </c>
      <c r="AI3" s="17" t="s">
        <v>304</v>
      </c>
      <c r="AJ3" s="18" t="str">
        <f>VLOOKUP(AI3,'Axe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3" s="17" t="s">
        <v>306</v>
      </c>
      <c r="AL3" s="18" t="str">
        <f>VLOOKUP(AK3,'Axe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3" s="17" t="s">
        <v>308</v>
      </c>
      <c r="AN3" s="18" t="str">
        <f>VLOOKUP(AM3,'Axe 2 Règles de gestion'!$D$2:$F$41,3, FALSE)</f>
        <v>Acte : Un acte administratif doit être produit.</v>
      </c>
      <c r="AO3" s="14" t="s">
        <v>84</v>
      </c>
      <c r="AP3" s="16" t="s">
        <v>84</v>
      </c>
    </row>
    <row r="4" spans="1:42" ht="75" x14ac:dyDescent="0.25">
      <c r="A4" s="14" t="s">
        <v>133</v>
      </c>
      <c r="B4" s="14" t="s">
        <v>72</v>
      </c>
      <c r="C4" s="15">
        <v>43999.45416666667</v>
      </c>
      <c r="D4" s="14" t="s">
        <v>73</v>
      </c>
      <c r="E4" s="16" t="s">
        <v>74</v>
      </c>
      <c r="F4" s="14" t="s">
        <v>75</v>
      </c>
      <c r="G4" s="16" t="s">
        <v>76</v>
      </c>
      <c r="H4" s="14" t="s">
        <v>77</v>
      </c>
      <c r="I4" s="16" t="s">
        <v>78</v>
      </c>
      <c r="J4" s="16" t="s">
        <v>79</v>
      </c>
      <c r="K4" s="16" t="s">
        <v>80</v>
      </c>
      <c r="L4" s="14" t="s">
        <v>134</v>
      </c>
      <c r="M4" s="16" t="s">
        <v>135</v>
      </c>
      <c r="N4" s="14" t="s">
        <v>136</v>
      </c>
      <c r="O4" s="16" t="s">
        <v>84</v>
      </c>
      <c r="P4" s="16" t="s">
        <v>84</v>
      </c>
      <c r="Q4" s="16" t="s">
        <v>85</v>
      </c>
      <c r="R4" s="14" t="s">
        <v>86</v>
      </c>
      <c r="S4" s="14" t="s">
        <v>87</v>
      </c>
      <c r="T4" s="14" t="s">
        <v>88</v>
      </c>
      <c r="U4" s="14" t="s">
        <v>89</v>
      </c>
      <c r="V4" s="15">
        <v>40725</v>
      </c>
      <c r="W4" s="15">
        <v>43938</v>
      </c>
      <c r="X4" s="16" t="s">
        <v>84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4" t="s">
        <v>84</v>
      </c>
      <c r="AP4" s="16" t="s">
        <v>84</v>
      </c>
    </row>
    <row r="5" spans="1:42" ht="75" x14ac:dyDescent="0.25">
      <c r="A5" s="14" t="s">
        <v>133</v>
      </c>
      <c r="B5" s="14" t="s">
        <v>72</v>
      </c>
      <c r="C5" s="15">
        <v>43999.64166666667</v>
      </c>
      <c r="D5" s="14" t="s">
        <v>73</v>
      </c>
      <c r="E5" s="16" t="s">
        <v>74</v>
      </c>
      <c r="F5" s="14" t="s">
        <v>75</v>
      </c>
      <c r="G5" s="16" t="s">
        <v>76</v>
      </c>
      <c r="H5" s="14" t="s">
        <v>77</v>
      </c>
      <c r="I5" s="16" t="s">
        <v>78</v>
      </c>
      <c r="J5" s="16" t="s">
        <v>79</v>
      </c>
      <c r="K5" s="16" t="s">
        <v>80</v>
      </c>
      <c r="L5" s="14" t="s">
        <v>81</v>
      </c>
      <c r="M5" s="16" t="s">
        <v>82</v>
      </c>
      <c r="N5" s="14" t="s">
        <v>83</v>
      </c>
      <c r="O5" s="16" t="s">
        <v>84</v>
      </c>
      <c r="P5" s="16" t="s">
        <v>84</v>
      </c>
      <c r="Q5" s="16" t="s">
        <v>138</v>
      </c>
      <c r="R5" s="14" t="s">
        <v>139</v>
      </c>
      <c r="S5" s="14" t="s">
        <v>72</v>
      </c>
      <c r="T5" s="14" t="s">
        <v>88</v>
      </c>
      <c r="U5" s="14" t="s">
        <v>140</v>
      </c>
      <c r="V5" s="15">
        <v>40725</v>
      </c>
      <c r="W5" s="15">
        <v>43938</v>
      </c>
      <c r="X5" s="16" t="s">
        <v>84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4" t="s">
        <v>84</v>
      </c>
      <c r="AP5" s="16" t="s">
        <v>84</v>
      </c>
    </row>
    <row r="6" spans="1:42" ht="75" x14ac:dyDescent="0.25">
      <c r="A6" s="14" t="s">
        <v>133</v>
      </c>
      <c r="B6" s="14" t="s">
        <v>72</v>
      </c>
      <c r="C6" s="15">
        <v>43999.640277777777</v>
      </c>
      <c r="D6" s="14" t="s">
        <v>73</v>
      </c>
      <c r="E6" s="16" t="s">
        <v>74</v>
      </c>
      <c r="F6" s="14" t="s">
        <v>75</v>
      </c>
      <c r="G6" s="16" t="s">
        <v>76</v>
      </c>
      <c r="H6" s="14" t="s">
        <v>77</v>
      </c>
      <c r="I6" s="16" t="s">
        <v>78</v>
      </c>
      <c r="J6" s="16" t="s">
        <v>79</v>
      </c>
      <c r="K6" s="16" t="s">
        <v>80</v>
      </c>
      <c r="L6" s="14" t="s">
        <v>134</v>
      </c>
      <c r="M6" s="16" t="s">
        <v>135</v>
      </c>
      <c r="N6" s="14" t="s">
        <v>136</v>
      </c>
      <c r="O6" s="16" t="s">
        <v>84</v>
      </c>
      <c r="P6" s="16" t="s">
        <v>84</v>
      </c>
      <c r="Q6" s="16" t="s">
        <v>138</v>
      </c>
      <c r="R6" s="14" t="s">
        <v>139</v>
      </c>
      <c r="S6" s="14" t="s">
        <v>72</v>
      </c>
      <c r="T6" s="14" t="s">
        <v>88</v>
      </c>
      <c r="U6" s="14" t="s">
        <v>140</v>
      </c>
      <c r="V6" s="15">
        <v>40725</v>
      </c>
      <c r="W6" s="15">
        <v>43938</v>
      </c>
      <c r="X6" s="16" t="s">
        <v>84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4" t="s">
        <v>84</v>
      </c>
      <c r="AP6" s="16" t="s">
        <v>84</v>
      </c>
    </row>
    <row r="7" spans="1:42" ht="75" x14ac:dyDescent="0.25">
      <c r="A7" s="14" t="s">
        <v>133</v>
      </c>
      <c r="B7" s="14" t="s">
        <v>72</v>
      </c>
      <c r="C7" s="15">
        <v>43999.642361111109</v>
      </c>
      <c r="D7" s="14" t="s">
        <v>73</v>
      </c>
      <c r="E7" s="16" t="s">
        <v>74</v>
      </c>
      <c r="F7" s="14" t="s">
        <v>75</v>
      </c>
      <c r="G7" s="16" t="s">
        <v>76</v>
      </c>
      <c r="H7" s="14" t="s">
        <v>77</v>
      </c>
      <c r="I7" s="16" t="s">
        <v>78</v>
      </c>
      <c r="J7" s="16" t="s">
        <v>79</v>
      </c>
      <c r="K7" s="16" t="s">
        <v>80</v>
      </c>
      <c r="L7" s="14" t="s">
        <v>81</v>
      </c>
      <c r="M7" s="16" t="s">
        <v>82</v>
      </c>
      <c r="N7" s="14" t="s">
        <v>83</v>
      </c>
      <c r="O7" s="16" t="s">
        <v>84</v>
      </c>
      <c r="P7" s="16" t="s">
        <v>84</v>
      </c>
      <c r="Q7" s="16" t="s">
        <v>141</v>
      </c>
      <c r="R7" s="14" t="s">
        <v>142</v>
      </c>
      <c r="S7" s="14" t="s">
        <v>143</v>
      </c>
      <c r="T7" s="14" t="s">
        <v>88</v>
      </c>
      <c r="U7" s="14" t="s">
        <v>140</v>
      </c>
      <c r="V7" s="15">
        <v>40725</v>
      </c>
      <c r="W7" s="15">
        <v>43938</v>
      </c>
      <c r="X7" s="16" t="s">
        <v>84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4" t="s">
        <v>84</v>
      </c>
      <c r="AP7" s="16" t="s">
        <v>84</v>
      </c>
    </row>
    <row r="8" spans="1:42" ht="75" x14ac:dyDescent="0.25">
      <c r="A8" s="14" t="s">
        <v>133</v>
      </c>
      <c r="B8" s="14" t="s">
        <v>72</v>
      </c>
      <c r="C8" s="15">
        <v>43999.640972222223</v>
      </c>
      <c r="D8" s="14" t="s">
        <v>73</v>
      </c>
      <c r="E8" s="16" t="s">
        <v>74</v>
      </c>
      <c r="F8" s="14" t="s">
        <v>75</v>
      </c>
      <c r="G8" s="16" t="s">
        <v>76</v>
      </c>
      <c r="H8" s="14" t="s">
        <v>77</v>
      </c>
      <c r="I8" s="16" t="s">
        <v>78</v>
      </c>
      <c r="J8" s="16" t="s">
        <v>79</v>
      </c>
      <c r="K8" s="16" t="s">
        <v>80</v>
      </c>
      <c r="L8" s="14" t="s">
        <v>134</v>
      </c>
      <c r="M8" s="16" t="s">
        <v>135</v>
      </c>
      <c r="N8" s="14" t="s">
        <v>136</v>
      </c>
      <c r="O8" s="16" t="s">
        <v>84</v>
      </c>
      <c r="P8" s="16" t="s">
        <v>84</v>
      </c>
      <c r="Q8" s="16" t="s">
        <v>141</v>
      </c>
      <c r="R8" s="14" t="s">
        <v>142</v>
      </c>
      <c r="S8" s="14" t="s">
        <v>143</v>
      </c>
      <c r="T8" s="14" t="s">
        <v>88</v>
      </c>
      <c r="U8" s="14" t="s">
        <v>140</v>
      </c>
      <c r="V8" s="15">
        <v>40725</v>
      </c>
      <c r="W8" s="15">
        <v>43938</v>
      </c>
      <c r="X8" s="16" t="s">
        <v>84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4" t="s">
        <v>84</v>
      </c>
      <c r="AP8" s="16" t="s">
        <v>84</v>
      </c>
    </row>
    <row r="9" spans="1:42" ht="150" x14ac:dyDescent="0.25">
      <c r="A9" s="14" t="s">
        <v>71</v>
      </c>
      <c r="B9" s="14" t="s">
        <v>72</v>
      </c>
      <c r="C9" s="15">
        <v>44711.426388888889</v>
      </c>
      <c r="D9" s="14" t="s">
        <v>73</v>
      </c>
      <c r="E9" s="16" t="s">
        <v>74</v>
      </c>
      <c r="F9" s="14" t="s">
        <v>75</v>
      </c>
      <c r="G9" s="16" t="s">
        <v>76</v>
      </c>
      <c r="H9" s="14" t="s">
        <v>77</v>
      </c>
      <c r="I9" s="16" t="s">
        <v>78</v>
      </c>
      <c r="J9" s="16" t="s">
        <v>79</v>
      </c>
      <c r="K9" s="16" t="s">
        <v>80</v>
      </c>
      <c r="L9" s="14" t="s">
        <v>81</v>
      </c>
      <c r="M9" s="16" t="s">
        <v>82</v>
      </c>
      <c r="N9" s="14" t="s">
        <v>83</v>
      </c>
      <c r="O9" s="16" t="s">
        <v>84</v>
      </c>
      <c r="P9" s="16" t="s">
        <v>84</v>
      </c>
      <c r="Q9" s="16" t="s">
        <v>144</v>
      </c>
      <c r="R9" s="14" t="s">
        <v>145</v>
      </c>
      <c r="S9" s="14" t="s">
        <v>146</v>
      </c>
      <c r="T9" s="14" t="s">
        <v>88</v>
      </c>
      <c r="U9" s="14" t="s">
        <v>89</v>
      </c>
      <c r="V9" s="15">
        <v>40725</v>
      </c>
      <c r="W9" s="15">
        <v>43938</v>
      </c>
      <c r="X9" s="16" t="s">
        <v>310</v>
      </c>
      <c r="Y9" s="17" t="s">
        <v>294</v>
      </c>
      <c r="Z9" s="18" t="str">
        <f>VLOOKUP(Y9,'Axe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9" s="17" t="s">
        <v>296</v>
      </c>
      <c r="AB9" s="18" t="str">
        <f>VLOOKUP(AA9,'Axe 2 Règles de gestion'!$D$2:$F$41,3, FALSE)</f>
        <v>Classement : L'agent est classé dans son corps.</v>
      </c>
      <c r="AC9" s="17" t="s">
        <v>311</v>
      </c>
      <c r="AD9" s="18" t="str">
        <f>VLOOKUP(AC9,'Axe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9" s="17" t="s">
        <v>313</v>
      </c>
      <c r="AF9" s="18" t="str">
        <f>VLOOKUP(AE9,'Axe 2 Règles de gestion'!$D$2:$F$41,3, FALSE)</f>
        <v>Evaluation professionnelle : L'administration d'accueil établit le rapport de titularisation de l'agent.</v>
      </c>
      <c r="AG9" s="17" t="s">
        <v>302</v>
      </c>
      <c r="AH9" s="18" t="str">
        <f>VLOOKUP(AG9,'Axe 2 Règles de gestion'!$D$2:$F$41,3, FALSE)</f>
        <v>Congés annuels : L'agent cumule des droits à congé. L'administration d'accueil gère les droits à congés annuels de l'agent.</v>
      </c>
      <c r="AI9" s="17" t="s">
        <v>304</v>
      </c>
      <c r="AJ9" s="18" t="str">
        <f>VLOOKUP(AI9,'Axe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9" s="17" t="s">
        <v>315</v>
      </c>
      <c r="AL9" s="18" t="str">
        <f>VLOOKUP(AK9,'Axe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9" s="17" t="s">
        <v>308</v>
      </c>
      <c r="AN9" s="18" t="str">
        <f>VLOOKUP(AM9,'Axe 2 Règles de gestion'!$D$2:$F$41,3, FALSE)</f>
        <v>Acte : Un acte administratif doit être produit.</v>
      </c>
      <c r="AO9" s="14" t="s">
        <v>84</v>
      </c>
      <c r="AP9" s="16" t="s">
        <v>84</v>
      </c>
    </row>
    <row r="10" spans="1:42" ht="75" x14ac:dyDescent="0.25">
      <c r="A10" s="14" t="s">
        <v>133</v>
      </c>
      <c r="B10" s="14" t="s">
        <v>72</v>
      </c>
      <c r="C10" s="15">
        <v>43999.453472222223</v>
      </c>
      <c r="D10" s="14" t="s">
        <v>73</v>
      </c>
      <c r="E10" s="16" t="s">
        <v>74</v>
      </c>
      <c r="F10" s="14" t="s">
        <v>75</v>
      </c>
      <c r="G10" s="16" t="s">
        <v>76</v>
      </c>
      <c r="H10" s="14" t="s">
        <v>77</v>
      </c>
      <c r="I10" s="16" t="s">
        <v>78</v>
      </c>
      <c r="J10" s="16" t="s">
        <v>79</v>
      </c>
      <c r="K10" s="16" t="s">
        <v>80</v>
      </c>
      <c r="L10" s="14" t="s">
        <v>134</v>
      </c>
      <c r="M10" s="16" t="s">
        <v>135</v>
      </c>
      <c r="N10" s="14" t="s">
        <v>136</v>
      </c>
      <c r="O10" s="16" t="s">
        <v>84</v>
      </c>
      <c r="P10" s="16" t="s">
        <v>84</v>
      </c>
      <c r="Q10" s="16" t="s">
        <v>144</v>
      </c>
      <c r="R10" s="14" t="s">
        <v>145</v>
      </c>
      <c r="S10" s="14" t="s">
        <v>146</v>
      </c>
      <c r="T10" s="14" t="s">
        <v>88</v>
      </c>
      <c r="U10" s="14" t="s">
        <v>89</v>
      </c>
      <c r="V10" s="15">
        <v>40725</v>
      </c>
      <c r="W10" s="15">
        <v>43938</v>
      </c>
      <c r="X10" s="16" t="s">
        <v>84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4" t="s">
        <v>84</v>
      </c>
      <c r="AP10" s="16" t="s">
        <v>84</v>
      </c>
    </row>
    <row r="11" spans="1:42" ht="75" x14ac:dyDescent="0.25">
      <c r="A11" s="14" t="s">
        <v>133</v>
      </c>
      <c r="B11" s="14" t="s">
        <v>72</v>
      </c>
      <c r="C11" s="15">
        <v>43999.642361111109</v>
      </c>
      <c r="D11" s="14" t="s">
        <v>73</v>
      </c>
      <c r="E11" s="16" t="s">
        <v>74</v>
      </c>
      <c r="F11" s="14" t="s">
        <v>75</v>
      </c>
      <c r="G11" s="16" t="s">
        <v>76</v>
      </c>
      <c r="H11" s="14" t="s">
        <v>77</v>
      </c>
      <c r="I11" s="16" t="s">
        <v>78</v>
      </c>
      <c r="J11" s="16" t="s">
        <v>79</v>
      </c>
      <c r="K11" s="16" t="s">
        <v>80</v>
      </c>
      <c r="L11" s="14" t="s">
        <v>81</v>
      </c>
      <c r="M11" s="16" t="s">
        <v>82</v>
      </c>
      <c r="N11" s="14" t="s">
        <v>83</v>
      </c>
      <c r="O11" s="16" t="s">
        <v>84</v>
      </c>
      <c r="P11" s="16" t="s">
        <v>84</v>
      </c>
      <c r="Q11" s="16" t="s">
        <v>148</v>
      </c>
      <c r="R11" s="14" t="s">
        <v>149</v>
      </c>
      <c r="S11" s="14" t="s">
        <v>150</v>
      </c>
      <c r="T11" s="14" t="s">
        <v>88</v>
      </c>
      <c r="U11" s="14" t="s">
        <v>140</v>
      </c>
      <c r="V11" s="15">
        <v>40725</v>
      </c>
      <c r="W11" s="15">
        <v>43938</v>
      </c>
      <c r="X11" s="16" t="s">
        <v>84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4" t="s">
        <v>84</v>
      </c>
      <c r="AP11" s="16" t="s">
        <v>84</v>
      </c>
    </row>
    <row r="12" spans="1:42" ht="75" x14ac:dyDescent="0.25">
      <c r="A12" s="14" t="s">
        <v>133</v>
      </c>
      <c r="B12" s="14" t="s">
        <v>72</v>
      </c>
      <c r="C12" s="15">
        <v>43999.64166666667</v>
      </c>
      <c r="D12" s="14" t="s">
        <v>73</v>
      </c>
      <c r="E12" s="16" t="s">
        <v>74</v>
      </c>
      <c r="F12" s="14" t="s">
        <v>75</v>
      </c>
      <c r="G12" s="16" t="s">
        <v>76</v>
      </c>
      <c r="H12" s="14" t="s">
        <v>77</v>
      </c>
      <c r="I12" s="16" t="s">
        <v>78</v>
      </c>
      <c r="J12" s="16" t="s">
        <v>79</v>
      </c>
      <c r="K12" s="16" t="s">
        <v>80</v>
      </c>
      <c r="L12" s="14" t="s">
        <v>134</v>
      </c>
      <c r="M12" s="16" t="s">
        <v>135</v>
      </c>
      <c r="N12" s="14" t="s">
        <v>136</v>
      </c>
      <c r="O12" s="16" t="s">
        <v>84</v>
      </c>
      <c r="P12" s="16" t="s">
        <v>84</v>
      </c>
      <c r="Q12" s="16" t="s">
        <v>148</v>
      </c>
      <c r="R12" s="14" t="s">
        <v>149</v>
      </c>
      <c r="S12" s="14" t="s">
        <v>150</v>
      </c>
      <c r="T12" s="14" t="s">
        <v>88</v>
      </c>
      <c r="U12" s="14" t="s">
        <v>140</v>
      </c>
      <c r="V12" s="15">
        <v>40725</v>
      </c>
      <c r="W12" s="15">
        <v>43938</v>
      </c>
      <c r="X12" s="16" t="s">
        <v>84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4" t="s">
        <v>84</v>
      </c>
      <c r="AP12" s="16" t="s">
        <v>84</v>
      </c>
    </row>
    <row r="13" spans="1:42" ht="75" x14ac:dyDescent="0.25">
      <c r="A13" s="14" t="s">
        <v>133</v>
      </c>
      <c r="B13" s="14" t="s">
        <v>72</v>
      </c>
      <c r="C13" s="15">
        <v>43999.643055555556</v>
      </c>
      <c r="D13" s="14" t="s">
        <v>73</v>
      </c>
      <c r="E13" s="16" t="s">
        <v>74</v>
      </c>
      <c r="F13" s="14" t="s">
        <v>75</v>
      </c>
      <c r="G13" s="16" t="s">
        <v>76</v>
      </c>
      <c r="H13" s="14" t="s">
        <v>77</v>
      </c>
      <c r="I13" s="16" t="s">
        <v>78</v>
      </c>
      <c r="J13" s="16" t="s">
        <v>79</v>
      </c>
      <c r="K13" s="16" t="s">
        <v>80</v>
      </c>
      <c r="L13" s="14" t="s">
        <v>81</v>
      </c>
      <c r="M13" s="16" t="s">
        <v>82</v>
      </c>
      <c r="N13" s="14" t="s">
        <v>83</v>
      </c>
      <c r="O13" s="16" t="s">
        <v>84</v>
      </c>
      <c r="P13" s="16" t="s">
        <v>84</v>
      </c>
      <c r="Q13" s="16" t="s">
        <v>151</v>
      </c>
      <c r="R13" s="14" t="s">
        <v>152</v>
      </c>
      <c r="S13" s="14" t="s">
        <v>87</v>
      </c>
      <c r="T13" s="14" t="s">
        <v>153</v>
      </c>
      <c r="U13" s="14" t="s">
        <v>140</v>
      </c>
      <c r="V13" s="15">
        <v>40725</v>
      </c>
      <c r="W13" s="15">
        <v>43938</v>
      </c>
      <c r="X13" s="16" t="s">
        <v>84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4" t="s">
        <v>84</v>
      </c>
      <c r="AP13" s="16" t="s">
        <v>84</v>
      </c>
    </row>
    <row r="14" spans="1:42" ht="75" x14ac:dyDescent="0.25">
      <c r="A14" s="14" t="s">
        <v>133</v>
      </c>
      <c r="B14" s="14" t="s">
        <v>72</v>
      </c>
      <c r="C14" s="15">
        <v>43999.643750000003</v>
      </c>
      <c r="D14" s="14" t="s">
        <v>73</v>
      </c>
      <c r="E14" s="16" t="s">
        <v>74</v>
      </c>
      <c r="F14" s="14" t="s">
        <v>75</v>
      </c>
      <c r="G14" s="16" t="s">
        <v>76</v>
      </c>
      <c r="H14" s="14" t="s">
        <v>77</v>
      </c>
      <c r="I14" s="16" t="s">
        <v>78</v>
      </c>
      <c r="J14" s="16" t="s">
        <v>79</v>
      </c>
      <c r="K14" s="16" t="s">
        <v>80</v>
      </c>
      <c r="L14" s="14" t="s">
        <v>134</v>
      </c>
      <c r="M14" s="16" t="s">
        <v>135</v>
      </c>
      <c r="N14" s="14" t="s">
        <v>136</v>
      </c>
      <c r="O14" s="16" t="s">
        <v>84</v>
      </c>
      <c r="P14" s="16" t="s">
        <v>84</v>
      </c>
      <c r="Q14" s="16" t="s">
        <v>151</v>
      </c>
      <c r="R14" s="14" t="s">
        <v>152</v>
      </c>
      <c r="S14" s="14" t="s">
        <v>87</v>
      </c>
      <c r="T14" s="14" t="s">
        <v>153</v>
      </c>
      <c r="U14" s="14" t="s">
        <v>140</v>
      </c>
      <c r="V14" s="15">
        <v>40725</v>
      </c>
      <c r="W14" s="15">
        <v>43938</v>
      </c>
      <c r="X14" s="16" t="s">
        <v>84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4" t="s">
        <v>84</v>
      </c>
      <c r="AP14" s="16" t="s">
        <v>84</v>
      </c>
    </row>
    <row r="15" spans="1:42" ht="75" x14ac:dyDescent="0.25">
      <c r="A15" s="14" t="s">
        <v>133</v>
      </c>
      <c r="B15" s="14" t="s">
        <v>72</v>
      </c>
      <c r="C15" s="15">
        <v>43999.643055555556</v>
      </c>
      <c r="D15" s="14" t="s">
        <v>73</v>
      </c>
      <c r="E15" s="16" t="s">
        <v>74</v>
      </c>
      <c r="F15" s="14" t="s">
        <v>75</v>
      </c>
      <c r="G15" s="16" t="s">
        <v>76</v>
      </c>
      <c r="H15" s="14" t="s">
        <v>77</v>
      </c>
      <c r="I15" s="16" t="s">
        <v>78</v>
      </c>
      <c r="J15" s="16" t="s">
        <v>79</v>
      </c>
      <c r="K15" s="16" t="s">
        <v>80</v>
      </c>
      <c r="L15" s="14" t="s">
        <v>81</v>
      </c>
      <c r="M15" s="16" t="s">
        <v>82</v>
      </c>
      <c r="N15" s="14" t="s">
        <v>83</v>
      </c>
      <c r="O15" s="16" t="s">
        <v>84</v>
      </c>
      <c r="P15" s="16" t="s">
        <v>84</v>
      </c>
      <c r="Q15" s="16" t="s">
        <v>154</v>
      </c>
      <c r="R15" s="14" t="s">
        <v>155</v>
      </c>
      <c r="S15" s="14" t="s">
        <v>146</v>
      </c>
      <c r="T15" s="14" t="s">
        <v>153</v>
      </c>
      <c r="U15" s="14" t="s">
        <v>140</v>
      </c>
      <c r="V15" s="15">
        <v>40725</v>
      </c>
      <c r="W15" s="15">
        <v>43938</v>
      </c>
      <c r="X15" s="16" t="s">
        <v>84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4" t="s">
        <v>84</v>
      </c>
      <c r="AP15" s="16" t="s">
        <v>84</v>
      </c>
    </row>
    <row r="16" spans="1:42" ht="75" x14ac:dyDescent="0.25">
      <c r="A16" s="14" t="s">
        <v>133</v>
      </c>
      <c r="B16" s="14" t="s">
        <v>72</v>
      </c>
      <c r="C16" s="15">
        <v>43999.643750000003</v>
      </c>
      <c r="D16" s="14" t="s">
        <v>73</v>
      </c>
      <c r="E16" s="16" t="s">
        <v>74</v>
      </c>
      <c r="F16" s="14" t="s">
        <v>75</v>
      </c>
      <c r="G16" s="16" t="s">
        <v>76</v>
      </c>
      <c r="H16" s="14" t="s">
        <v>77</v>
      </c>
      <c r="I16" s="16" t="s">
        <v>78</v>
      </c>
      <c r="J16" s="16" t="s">
        <v>79</v>
      </c>
      <c r="K16" s="16" t="s">
        <v>80</v>
      </c>
      <c r="L16" s="14" t="s">
        <v>134</v>
      </c>
      <c r="M16" s="16" t="s">
        <v>135</v>
      </c>
      <c r="N16" s="14" t="s">
        <v>136</v>
      </c>
      <c r="O16" s="16" t="s">
        <v>84</v>
      </c>
      <c r="P16" s="16" t="s">
        <v>84</v>
      </c>
      <c r="Q16" s="16" t="s">
        <v>154</v>
      </c>
      <c r="R16" s="14" t="s">
        <v>155</v>
      </c>
      <c r="S16" s="14" t="s">
        <v>146</v>
      </c>
      <c r="T16" s="14" t="s">
        <v>153</v>
      </c>
      <c r="U16" s="14" t="s">
        <v>140</v>
      </c>
      <c r="V16" s="15">
        <v>40725</v>
      </c>
      <c r="W16" s="15">
        <v>43938</v>
      </c>
      <c r="X16" s="16" t="s">
        <v>84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4" t="s">
        <v>84</v>
      </c>
      <c r="AP16" s="16" t="s">
        <v>84</v>
      </c>
    </row>
    <row r="17" spans="1:42" ht="150" x14ac:dyDescent="0.25">
      <c r="A17" s="14" t="s">
        <v>71</v>
      </c>
      <c r="B17" s="14" t="s">
        <v>72</v>
      </c>
      <c r="C17" s="15">
        <v>44711.679861111108</v>
      </c>
      <c r="D17" s="14" t="s">
        <v>73</v>
      </c>
      <c r="E17" s="16" t="s">
        <v>74</v>
      </c>
      <c r="F17" s="14" t="s">
        <v>75</v>
      </c>
      <c r="G17" s="16" t="s">
        <v>76</v>
      </c>
      <c r="H17" s="14" t="s">
        <v>156</v>
      </c>
      <c r="I17" s="16" t="s">
        <v>157</v>
      </c>
      <c r="J17" s="16" t="s">
        <v>158</v>
      </c>
      <c r="K17" s="16" t="s">
        <v>159</v>
      </c>
      <c r="L17" s="14" t="s">
        <v>160</v>
      </c>
      <c r="M17" s="16" t="s">
        <v>161</v>
      </c>
      <c r="N17" s="14" t="s">
        <v>83</v>
      </c>
      <c r="O17" s="16" t="s">
        <v>84</v>
      </c>
      <c r="P17" s="16" t="s">
        <v>84</v>
      </c>
      <c r="Q17" s="16" t="s">
        <v>85</v>
      </c>
      <c r="R17" s="14" t="s">
        <v>86</v>
      </c>
      <c r="S17" s="14" t="s">
        <v>87</v>
      </c>
      <c r="T17" s="14" t="s">
        <v>88</v>
      </c>
      <c r="U17" s="14" t="s">
        <v>89</v>
      </c>
      <c r="V17" s="15">
        <v>40725</v>
      </c>
      <c r="W17" s="15">
        <v>43861</v>
      </c>
      <c r="X17" s="16" t="s">
        <v>317</v>
      </c>
      <c r="Y17" s="17" t="s">
        <v>318</v>
      </c>
      <c r="Z17" s="18" t="str">
        <f>VLOOKUP(Y17,'Axe 2 Règles de gestion'!$D$2:$F$41,3, FALSE)</f>
        <v>Rémunération : L'agent ne perçoit plus de rémunération.</v>
      </c>
      <c r="AA17" s="17" t="s">
        <v>296</v>
      </c>
      <c r="AB17" s="18" t="str">
        <f>VLOOKUP(AA17,'Axe 2 Règles de gestion'!$D$2:$F$41,3, FALSE)</f>
        <v>Classement : L'agent est classé dans son corps.</v>
      </c>
      <c r="AC17" s="17" t="s">
        <v>298</v>
      </c>
      <c r="AD17" s="18" t="str">
        <f>VLOOKUP(AC17,'Axe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17" s="17" t="s">
        <v>300</v>
      </c>
      <c r="AF17" s="18" t="str">
        <f>VLOOKUP(AE17,'Axe 2 Règles de gestion'!$D$2:$F$41,3, FALSE)</f>
        <v>Evaluation professionnelle : L'agent est évalué par l'administration d'accueil.</v>
      </c>
      <c r="AG17" s="17" t="s">
        <v>302</v>
      </c>
      <c r="AH17" s="18" t="str">
        <f>VLOOKUP(AG17,'Axe 2 Règles de gestion'!$D$2:$F$41,3, FALSE)</f>
        <v>Congés annuels : L'agent cumule des droits à congé. L'administration d'accueil gère les droits à congés annuels de l'agent.</v>
      </c>
      <c r="AI17" s="17" t="s">
        <v>304</v>
      </c>
      <c r="AJ17" s="18" t="str">
        <f>VLOOKUP(AI17,'Axe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7" s="17" t="s">
        <v>306</v>
      </c>
      <c r="AL17" s="18" t="str">
        <f>VLOOKUP(AK17,'Axe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17" s="17" t="s">
        <v>308</v>
      </c>
      <c r="AN17" s="18" t="str">
        <f>VLOOKUP(AM17,'Axe 2 Règles de gestion'!$D$2:$F$41,3, FALSE)</f>
        <v>Acte : Un acte administratif doit être produit.</v>
      </c>
      <c r="AO17" s="14" t="s">
        <v>84</v>
      </c>
      <c r="AP17" s="16" t="s">
        <v>84</v>
      </c>
    </row>
    <row r="18" spans="1:42" ht="150" x14ac:dyDescent="0.25">
      <c r="A18" s="14" t="s">
        <v>71</v>
      </c>
      <c r="B18" s="14" t="s">
        <v>129</v>
      </c>
      <c r="C18" s="15">
        <v>44711.428472222222</v>
      </c>
      <c r="D18" s="14" t="s">
        <v>73</v>
      </c>
      <c r="E18" s="16" t="s">
        <v>74</v>
      </c>
      <c r="F18" s="14" t="s">
        <v>75</v>
      </c>
      <c r="G18" s="16" t="s">
        <v>76</v>
      </c>
      <c r="H18" s="14" t="s">
        <v>156</v>
      </c>
      <c r="I18" s="16" t="s">
        <v>157</v>
      </c>
      <c r="J18" s="16" t="s">
        <v>158</v>
      </c>
      <c r="K18" s="16" t="s">
        <v>159</v>
      </c>
      <c r="L18" s="14" t="s">
        <v>160</v>
      </c>
      <c r="M18" s="16" t="s">
        <v>161</v>
      </c>
      <c r="N18" s="14" t="s">
        <v>83</v>
      </c>
      <c r="O18" s="16" t="s">
        <v>84</v>
      </c>
      <c r="P18" s="16" t="s">
        <v>84</v>
      </c>
      <c r="Q18" s="16" t="s">
        <v>85</v>
      </c>
      <c r="R18" s="14" t="s">
        <v>86</v>
      </c>
      <c r="S18" s="14" t="s">
        <v>87</v>
      </c>
      <c r="T18" s="14" t="s">
        <v>88</v>
      </c>
      <c r="U18" s="14" t="s">
        <v>89</v>
      </c>
      <c r="V18" s="15">
        <v>43862</v>
      </c>
      <c r="W18" s="15">
        <v>43938</v>
      </c>
      <c r="X18" s="16" t="s">
        <v>317</v>
      </c>
      <c r="Y18" s="17" t="s">
        <v>318</v>
      </c>
      <c r="Z18" s="18" t="str">
        <f>VLOOKUP(Y18,'Axe 2 Règles de gestion'!$D$2:$F$41,3, FALSE)</f>
        <v>Rémunération : L'agent ne perçoit plus de rémunération.</v>
      </c>
      <c r="AA18" s="17" t="s">
        <v>296</v>
      </c>
      <c r="AB18" s="18" t="str">
        <f>VLOOKUP(AA18,'Axe 2 Règles de gestion'!$D$2:$F$41,3, FALSE)</f>
        <v>Classement : L'agent est classé dans son corps.</v>
      </c>
      <c r="AC18" s="17" t="s">
        <v>298</v>
      </c>
      <c r="AD18" s="18" t="str">
        <f>VLOOKUP(AC18,'Axe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18" s="17" t="s">
        <v>300</v>
      </c>
      <c r="AF18" s="18" t="str">
        <f>VLOOKUP(AE18,'Axe 2 Règles de gestion'!$D$2:$F$41,3, FALSE)</f>
        <v>Evaluation professionnelle : L'agent est évalué par l'administration d'accueil.</v>
      </c>
      <c r="AG18" s="17" t="s">
        <v>302</v>
      </c>
      <c r="AH18" s="18" t="str">
        <f>VLOOKUP(AG18,'Axe 2 Règles de gestion'!$D$2:$F$41,3, FALSE)</f>
        <v>Congés annuels : L'agent cumule des droits à congé. L'administration d'accueil gère les droits à congés annuels de l'agent.</v>
      </c>
      <c r="AI18" s="17" t="s">
        <v>304</v>
      </c>
      <c r="AJ18" s="18" t="str">
        <f>VLOOKUP(AI18,'Axe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8" s="17" t="s">
        <v>306</v>
      </c>
      <c r="AL18" s="18" t="str">
        <f>VLOOKUP(AK18,'Axe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18" s="17" t="s">
        <v>308</v>
      </c>
      <c r="AN18" s="18" t="str">
        <f>VLOOKUP(AM18,'Axe 2 Règles de gestion'!$D$2:$F$41,3, FALSE)</f>
        <v>Acte : Un acte administratif doit être produit.</v>
      </c>
      <c r="AO18" s="14" t="s">
        <v>84</v>
      </c>
      <c r="AP18" s="16" t="s">
        <v>84</v>
      </c>
    </row>
    <row r="19" spans="1:42" ht="75" x14ac:dyDescent="0.25">
      <c r="A19" s="14" t="s">
        <v>133</v>
      </c>
      <c r="B19" s="14" t="s">
        <v>72</v>
      </c>
      <c r="C19" s="15">
        <v>43999.455555555556</v>
      </c>
      <c r="D19" s="14" t="s">
        <v>73</v>
      </c>
      <c r="E19" s="16" t="s">
        <v>74</v>
      </c>
      <c r="F19" s="14" t="s">
        <v>75</v>
      </c>
      <c r="G19" s="16" t="s">
        <v>76</v>
      </c>
      <c r="H19" s="14" t="s">
        <v>156</v>
      </c>
      <c r="I19" s="16" t="s">
        <v>157</v>
      </c>
      <c r="J19" s="16" t="s">
        <v>158</v>
      </c>
      <c r="K19" s="16" t="s">
        <v>159</v>
      </c>
      <c r="L19" s="14" t="s">
        <v>162</v>
      </c>
      <c r="M19" s="16" t="s">
        <v>163</v>
      </c>
      <c r="N19" s="14" t="s">
        <v>136</v>
      </c>
      <c r="O19" s="16" t="s">
        <v>84</v>
      </c>
      <c r="P19" s="16" t="s">
        <v>84</v>
      </c>
      <c r="Q19" s="16" t="s">
        <v>85</v>
      </c>
      <c r="R19" s="14" t="s">
        <v>86</v>
      </c>
      <c r="S19" s="14" t="s">
        <v>87</v>
      </c>
      <c r="T19" s="14" t="s">
        <v>88</v>
      </c>
      <c r="U19" s="14" t="s">
        <v>89</v>
      </c>
      <c r="V19" s="15">
        <v>40725</v>
      </c>
      <c r="W19" s="15">
        <v>43938</v>
      </c>
      <c r="X19" s="16" t="s">
        <v>84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4" t="s">
        <v>84</v>
      </c>
      <c r="AP19" s="16" t="s">
        <v>84</v>
      </c>
    </row>
    <row r="20" spans="1:42" ht="75" x14ac:dyDescent="0.25">
      <c r="A20" s="14" t="s">
        <v>133</v>
      </c>
      <c r="B20" s="14" t="s">
        <v>72</v>
      </c>
      <c r="C20" s="15">
        <v>43999.645138888889</v>
      </c>
      <c r="D20" s="14" t="s">
        <v>73</v>
      </c>
      <c r="E20" s="16" t="s">
        <v>74</v>
      </c>
      <c r="F20" s="14" t="s">
        <v>75</v>
      </c>
      <c r="G20" s="16" t="s">
        <v>76</v>
      </c>
      <c r="H20" s="14" t="s">
        <v>156</v>
      </c>
      <c r="I20" s="16" t="s">
        <v>157</v>
      </c>
      <c r="J20" s="16" t="s">
        <v>158</v>
      </c>
      <c r="K20" s="16" t="s">
        <v>159</v>
      </c>
      <c r="L20" s="14" t="s">
        <v>160</v>
      </c>
      <c r="M20" s="16" t="s">
        <v>161</v>
      </c>
      <c r="N20" s="14" t="s">
        <v>83</v>
      </c>
      <c r="O20" s="16" t="s">
        <v>84</v>
      </c>
      <c r="P20" s="16" t="s">
        <v>84</v>
      </c>
      <c r="Q20" s="16" t="s">
        <v>138</v>
      </c>
      <c r="R20" s="14" t="s">
        <v>139</v>
      </c>
      <c r="S20" s="14" t="s">
        <v>72</v>
      </c>
      <c r="T20" s="14" t="s">
        <v>88</v>
      </c>
      <c r="U20" s="14" t="s">
        <v>140</v>
      </c>
      <c r="V20" s="15">
        <v>40725</v>
      </c>
      <c r="W20" s="15">
        <v>43938</v>
      </c>
      <c r="X20" s="16" t="s">
        <v>84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4" t="s">
        <v>84</v>
      </c>
      <c r="AP20" s="16" t="s">
        <v>84</v>
      </c>
    </row>
    <row r="21" spans="1:42" ht="75" x14ac:dyDescent="0.25">
      <c r="A21" s="14" t="s">
        <v>133</v>
      </c>
      <c r="B21" s="14" t="s">
        <v>72</v>
      </c>
      <c r="C21" s="15">
        <v>43999.646527777775</v>
      </c>
      <c r="D21" s="14" t="s">
        <v>73</v>
      </c>
      <c r="E21" s="16" t="s">
        <v>74</v>
      </c>
      <c r="F21" s="14" t="s">
        <v>75</v>
      </c>
      <c r="G21" s="16" t="s">
        <v>76</v>
      </c>
      <c r="H21" s="14" t="s">
        <v>156</v>
      </c>
      <c r="I21" s="16" t="s">
        <v>157</v>
      </c>
      <c r="J21" s="16" t="s">
        <v>158</v>
      </c>
      <c r="K21" s="16" t="s">
        <v>159</v>
      </c>
      <c r="L21" s="14" t="s">
        <v>162</v>
      </c>
      <c r="M21" s="16" t="s">
        <v>163</v>
      </c>
      <c r="N21" s="14" t="s">
        <v>136</v>
      </c>
      <c r="O21" s="16" t="s">
        <v>84</v>
      </c>
      <c r="P21" s="16" t="s">
        <v>84</v>
      </c>
      <c r="Q21" s="16" t="s">
        <v>138</v>
      </c>
      <c r="R21" s="14" t="s">
        <v>139</v>
      </c>
      <c r="S21" s="14" t="s">
        <v>72</v>
      </c>
      <c r="T21" s="14" t="s">
        <v>88</v>
      </c>
      <c r="U21" s="14" t="s">
        <v>140</v>
      </c>
      <c r="V21" s="15">
        <v>40725</v>
      </c>
      <c r="W21" s="15">
        <v>43938</v>
      </c>
      <c r="X21" s="16" t="s">
        <v>84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4" t="s">
        <v>84</v>
      </c>
      <c r="AP21" s="16" t="s">
        <v>84</v>
      </c>
    </row>
    <row r="22" spans="1:42" ht="75" x14ac:dyDescent="0.25">
      <c r="A22" s="14" t="s">
        <v>133</v>
      </c>
      <c r="B22" s="14" t="s">
        <v>72</v>
      </c>
      <c r="C22" s="15">
        <v>43999.645833333336</v>
      </c>
      <c r="D22" s="14" t="s">
        <v>73</v>
      </c>
      <c r="E22" s="16" t="s">
        <v>74</v>
      </c>
      <c r="F22" s="14" t="s">
        <v>75</v>
      </c>
      <c r="G22" s="16" t="s">
        <v>76</v>
      </c>
      <c r="H22" s="14" t="s">
        <v>156</v>
      </c>
      <c r="I22" s="16" t="s">
        <v>157</v>
      </c>
      <c r="J22" s="16" t="s">
        <v>158</v>
      </c>
      <c r="K22" s="16" t="s">
        <v>159</v>
      </c>
      <c r="L22" s="14" t="s">
        <v>160</v>
      </c>
      <c r="M22" s="16" t="s">
        <v>161</v>
      </c>
      <c r="N22" s="14" t="s">
        <v>83</v>
      </c>
      <c r="O22" s="16" t="s">
        <v>84</v>
      </c>
      <c r="P22" s="16" t="s">
        <v>84</v>
      </c>
      <c r="Q22" s="16" t="s">
        <v>141</v>
      </c>
      <c r="R22" s="14" t="s">
        <v>142</v>
      </c>
      <c r="S22" s="14" t="s">
        <v>143</v>
      </c>
      <c r="T22" s="14" t="s">
        <v>88</v>
      </c>
      <c r="U22" s="14" t="s">
        <v>140</v>
      </c>
      <c r="V22" s="15">
        <v>40725</v>
      </c>
      <c r="W22" s="15">
        <v>43938</v>
      </c>
      <c r="X22" s="16" t="s">
        <v>84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4" t="s">
        <v>84</v>
      </c>
      <c r="AP22" s="16" t="s">
        <v>84</v>
      </c>
    </row>
    <row r="23" spans="1:42" ht="75" x14ac:dyDescent="0.25">
      <c r="A23" s="14" t="s">
        <v>133</v>
      </c>
      <c r="B23" s="14" t="s">
        <v>72</v>
      </c>
      <c r="C23" s="15">
        <v>43999.647222222222</v>
      </c>
      <c r="D23" s="14" t="s">
        <v>73</v>
      </c>
      <c r="E23" s="16" t="s">
        <v>74</v>
      </c>
      <c r="F23" s="14" t="s">
        <v>75</v>
      </c>
      <c r="G23" s="16" t="s">
        <v>76</v>
      </c>
      <c r="H23" s="14" t="s">
        <v>156</v>
      </c>
      <c r="I23" s="16" t="s">
        <v>157</v>
      </c>
      <c r="J23" s="16" t="s">
        <v>158</v>
      </c>
      <c r="K23" s="16" t="s">
        <v>159</v>
      </c>
      <c r="L23" s="14" t="s">
        <v>162</v>
      </c>
      <c r="M23" s="16" t="s">
        <v>163</v>
      </c>
      <c r="N23" s="14" t="s">
        <v>136</v>
      </c>
      <c r="O23" s="16" t="s">
        <v>84</v>
      </c>
      <c r="P23" s="16" t="s">
        <v>84</v>
      </c>
      <c r="Q23" s="16" t="s">
        <v>141</v>
      </c>
      <c r="R23" s="14" t="s">
        <v>142</v>
      </c>
      <c r="S23" s="14" t="s">
        <v>143</v>
      </c>
      <c r="T23" s="14" t="s">
        <v>88</v>
      </c>
      <c r="U23" s="14" t="s">
        <v>140</v>
      </c>
      <c r="V23" s="15">
        <v>40725</v>
      </c>
      <c r="W23" s="15">
        <v>43938</v>
      </c>
      <c r="X23" s="16" t="s">
        <v>84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4" t="s">
        <v>84</v>
      </c>
      <c r="AP23" s="16" t="s">
        <v>84</v>
      </c>
    </row>
    <row r="24" spans="1:42" ht="150" x14ac:dyDescent="0.25">
      <c r="A24" s="14" t="s">
        <v>71</v>
      </c>
      <c r="B24" s="14" t="s">
        <v>72</v>
      </c>
      <c r="C24" s="15">
        <v>44711.43472222222</v>
      </c>
      <c r="D24" s="14" t="s">
        <v>73</v>
      </c>
      <c r="E24" s="16" t="s">
        <v>74</v>
      </c>
      <c r="F24" s="14" t="s">
        <v>75</v>
      </c>
      <c r="G24" s="16" t="s">
        <v>76</v>
      </c>
      <c r="H24" s="14" t="s">
        <v>156</v>
      </c>
      <c r="I24" s="16" t="s">
        <v>157</v>
      </c>
      <c r="J24" s="16" t="s">
        <v>158</v>
      </c>
      <c r="K24" s="16" t="s">
        <v>159</v>
      </c>
      <c r="L24" s="14" t="s">
        <v>160</v>
      </c>
      <c r="M24" s="16" t="s">
        <v>161</v>
      </c>
      <c r="N24" s="14" t="s">
        <v>83</v>
      </c>
      <c r="O24" s="16" t="s">
        <v>84</v>
      </c>
      <c r="P24" s="16" t="s">
        <v>84</v>
      </c>
      <c r="Q24" s="16" t="s">
        <v>144</v>
      </c>
      <c r="R24" s="14" t="s">
        <v>145</v>
      </c>
      <c r="S24" s="14" t="s">
        <v>146</v>
      </c>
      <c r="T24" s="14" t="s">
        <v>88</v>
      </c>
      <c r="U24" s="14" t="s">
        <v>89</v>
      </c>
      <c r="V24" s="15">
        <v>40725</v>
      </c>
      <c r="W24" s="15">
        <v>43938</v>
      </c>
      <c r="X24" s="16" t="s">
        <v>320</v>
      </c>
      <c r="Y24" s="17" t="s">
        <v>318</v>
      </c>
      <c r="Z24" s="18" t="str">
        <f>VLOOKUP(Y24,'Axe 2 Règles de gestion'!$D$2:$F$41,3, FALSE)</f>
        <v>Rémunération : L'agent ne perçoit plus de rémunération.</v>
      </c>
      <c r="AA24" s="17" t="s">
        <v>296</v>
      </c>
      <c r="AB24" s="18" t="str">
        <f>VLOOKUP(AA24,'Axe 2 Règles de gestion'!$D$2:$F$41,3, FALSE)</f>
        <v>Classement : L'agent est classé dans son corps.</v>
      </c>
      <c r="AC24" s="17" t="s">
        <v>311</v>
      </c>
      <c r="AD24" s="18" t="str">
        <f>VLOOKUP(AC24,'Axe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24" s="17" t="s">
        <v>313</v>
      </c>
      <c r="AF24" s="18" t="str">
        <f>VLOOKUP(AE24,'Axe 2 Règles de gestion'!$D$2:$F$41,3, FALSE)</f>
        <v>Evaluation professionnelle : L'administration d'accueil établit le rapport de titularisation de l'agent.</v>
      </c>
      <c r="AG24" s="17" t="s">
        <v>302</v>
      </c>
      <c r="AH24" s="18" t="str">
        <f>VLOOKUP(AG24,'Axe 2 Règles de gestion'!$D$2:$F$41,3, FALSE)</f>
        <v>Congés annuels : L'agent cumule des droits à congé. L'administration d'accueil gère les droits à congés annuels de l'agent.</v>
      </c>
      <c r="AI24" s="17" t="s">
        <v>304</v>
      </c>
      <c r="AJ24" s="18" t="str">
        <f>VLOOKUP(AI24,'Axe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24" s="17" t="s">
        <v>315</v>
      </c>
      <c r="AL24" s="18" t="str">
        <f>VLOOKUP(AK24,'Axe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24" s="17" t="s">
        <v>308</v>
      </c>
      <c r="AN24" s="18" t="str">
        <f>VLOOKUP(AM24,'Axe 2 Règles de gestion'!$D$2:$F$41,3, FALSE)</f>
        <v>Acte : Un acte administratif doit être produit.</v>
      </c>
      <c r="AO24" s="14" t="s">
        <v>84</v>
      </c>
      <c r="AP24" s="16" t="s">
        <v>84</v>
      </c>
    </row>
    <row r="25" spans="1:42" ht="75" x14ac:dyDescent="0.25">
      <c r="A25" s="14" t="s">
        <v>133</v>
      </c>
      <c r="B25" s="14" t="s">
        <v>72</v>
      </c>
      <c r="C25" s="15">
        <v>43999.455555555556</v>
      </c>
      <c r="D25" s="14" t="s">
        <v>73</v>
      </c>
      <c r="E25" s="16" t="s">
        <v>74</v>
      </c>
      <c r="F25" s="14" t="s">
        <v>75</v>
      </c>
      <c r="G25" s="16" t="s">
        <v>76</v>
      </c>
      <c r="H25" s="14" t="s">
        <v>156</v>
      </c>
      <c r="I25" s="16" t="s">
        <v>157</v>
      </c>
      <c r="J25" s="16" t="s">
        <v>158</v>
      </c>
      <c r="K25" s="16" t="s">
        <v>159</v>
      </c>
      <c r="L25" s="14" t="s">
        <v>162</v>
      </c>
      <c r="M25" s="16" t="s">
        <v>163</v>
      </c>
      <c r="N25" s="14" t="s">
        <v>136</v>
      </c>
      <c r="O25" s="16" t="s">
        <v>84</v>
      </c>
      <c r="P25" s="16" t="s">
        <v>84</v>
      </c>
      <c r="Q25" s="16" t="s">
        <v>144</v>
      </c>
      <c r="R25" s="14" t="s">
        <v>145</v>
      </c>
      <c r="S25" s="14" t="s">
        <v>146</v>
      </c>
      <c r="T25" s="14" t="s">
        <v>88</v>
      </c>
      <c r="U25" s="14" t="s">
        <v>89</v>
      </c>
      <c r="V25" s="15">
        <v>40725</v>
      </c>
      <c r="W25" s="15">
        <v>43938</v>
      </c>
      <c r="X25" s="16" t="s">
        <v>84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4" t="s">
        <v>84</v>
      </c>
      <c r="AP25" s="16" t="s">
        <v>84</v>
      </c>
    </row>
    <row r="26" spans="1:42" ht="75" x14ac:dyDescent="0.25">
      <c r="A26" s="14" t="s">
        <v>133</v>
      </c>
      <c r="B26" s="14" t="s">
        <v>72</v>
      </c>
      <c r="C26" s="15">
        <v>43999.645833333336</v>
      </c>
      <c r="D26" s="14" t="s">
        <v>73</v>
      </c>
      <c r="E26" s="16" t="s">
        <v>74</v>
      </c>
      <c r="F26" s="14" t="s">
        <v>75</v>
      </c>
      <c r="G26" s="16" t="s">
        <v>76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83</v>
      </c>
      <c r="O26" s="16" t="s">
        <v>84</v>
      </c>
      <c r="P26" s="16" t="s">
        <v>84</v>
      </c>
      <c r="Q26" s="16" t="s">
        <v>148</v>
      </c>
      <c r="R26" s="14" t="s">
        <v>149</v>
      </c>
      <c r="S26" s="14" t="s">
        <v>150</v>
      </c>
      <c r="T26" s="14" t="s">
        <v>88</v>
      </c>
      <c r="U26" s="14" t="s">
        <v>140</v>
      </c>
      <c r="V26" s="15">
        <v>40725</v>
      </c>
      <c r="W26" s="15">
        <v>43938</v>
      </c>
      <c r="X26" s="16" t="s">
        <v>84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4" t="s">
        <v>84</v>
      </c>
      <c r="AP26" s="16" t="s">
        <v>84</v>
      </c>
    </row>
    <row r="27" spans="1:42" ht="75" x14ac:dyDescent="0.25">
      <c r="A27" s="14" t="s">
        <v>133</v>
      </c>
      <c r="B27" s="14" t="s">
        <v>72</v>
      </c>
      <c r="C27" s="15">
        <v>43999.647222222222</v>
      </c>
      <c r="D27" s="14" t="s">
        <v>73</v>
      </c>
      <c r="E27" s="16" t="s">
        <v>74</v>
      </c>
      <c r="F27" s="14" t="s">
        <v>75</v>
      </c>
      <c r="G27" s="16" t="s">
        <v>76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136</v>
      </c>
      <c r="O27" s="16" t="s">
        <v>84</v>
      </c>
      <c r="P27" s="16" t="s">
        <v>84</v>
      </c>
      <c r="Q27" s="16" t="s">
        <v>148</v>
      </c>
      <c r="R27" s="14" t="s">
        <v>149</v>
      </c>
      <c r="S27" s="14" t="s">
        <v>150</v>
      </c>
      <c r="T27" s="14" t="s">
        <v>88</v>
      </c>
      <c r="U27" s="14" t="s">
        <v>140</v>
      </c>
      <c r="V27" s="15">
        <v>40725</v>
      </c>
      <c r="W27" s="15">
        <v>43938</v>
      </c>
      <c r="X27" s="16" t="s">
        <v>84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4" t="s">
        <v>84</v>
      </c>
      <c r="AP27" s="16" t="s">
        <v>84</v>
      </c>
    </row>
    <row r="28" spans="1:42" ht="75" x14ac:dyDescent="0.25">
      <c r="A28" s="14" t="s">
        <v>133</v>
      </c>
      <c r="B28" s="14" t="s">
        <v>72</v>
      </c>
      <c r="C28" s="15">
        <v>43999.645138888889</v>
      </c>
      <c r="D28" s="14" t="s">
        <v>73</v>
      </c>
      <c r="E28" s="16" t="s">
        <v>74</v>
      </c>
      <c r="F28" s="14" t="s">
        <v>75</v>
      </c>
      <c r="G28" s="16" t="s">
        <v>76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83</v>
      </c>
      <c r="O28" s="16" t="s">
        <v>84</v>
      </c>
      <c r="P28" s="16" t="s">
        <v>84</v>
      </c>
      <c r="Q28" s="16" t="s">
        <v>151</v>
      </c>
      <c r="R28" s="14" t="s">
        <v>152</v>
      </c>
      <c r="S28" s="14" t="s">
        <v>87</v>
      </c>
      <c r="T28" s="14" t="s">
        <v>153</v>
      </c>
      <c r="U28" s="14" t="s">
        <v>140</v>
      </c>
      <c r="V28" s="15">
        <v>40725</v>
      </c>
      <c r="W28" s="15">
        <v>43938</v>
      </c>
      <c r="X28" s="16" t="s">
        <v>84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4" t="s">
        <v>84</v>
      </c>
      <c r="AP28" s="16" t="s">
        <v>84</v>
      </c>
    </row>
    <row r="29" spans="1:42" ht="75" x14ac:dyDescent="0.25">
      <c r="A29" s="14" t="s">
        <v>133</v>
      </c>
      <c r="B29" s="14" t="s">
        <v>72</v>
      </c>
      <c r="C29" s="15">
        <v>43999.646527777775</v>
      </c>
      <c r="D29" s="14" t="s">
        <v>73</v>
      </c>
      <c r="E29" s="16" t="s">
        <v>74</v>
      </c>
      <c r="F29" s="14" t="s">
        <v>75</v>
      </c>
      <c r="G29" s="16" t="s">
        <v>76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136</v>
      </c>
      <c r="O29" s="16" t="s">
        <v>84</v>
      </c>
      <c r="P29" s="16" t="s">
        <v>84</v>
      </c>
      <c r="Q29" s="16" t="s">
        <v>151</v>
      </c>
      <c r="R29" s="14" t="s">
        <v>152</v>
      </c>
      <c r="S29" s="14" t="s">
        <v>87</v>
      </c>
      <c r="T29" s="14" t="s">
        <v>153</v>
      </c>
      <c r="U29" s="14" t="s">
        <v>140</v>
      </c>
      <c r="V29" s="15">
        <v>40725</v>
      </c>
      <c r="W29" s="15">
        <v>43938</v>
      </c>
      <c r="X29" s="16" t="s">
        <v>84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4" t="s">
        <v>84</v>
      </c>
      <c r="AP29" s="16" t="s">
        <v>84</v>
      </c>
    </row>
    <row r="30" spans="1:42" ht="75" x14ac:dyDescent="0.25">
      <c r="A30" s="14" t="s">
        <v>133</v>
      </c>
      <c r="B30" s="14" t="s">
        <v>72</v>
      </c>
      <c r="C30" s="15">
        <v>43999.644444444442</v>
      </c>
      <c r="D30" s="14" t="s">
        <v>73</v>
      </c>
      <c r="E30" s="16" t="s">
        <v>74</v>
      </c>
      <c r="F30" s="14" t="s">
        <v>75</v>
      </c>
      <c r="G30" s="16" t="s">
        <v>76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83</v>
      </c>
      <c r="O30" s="16" t="s">
        <v>84</v>
      </c>
      <c r="P30" s="16" t="s">
        <v>84</v>
      </c>
      <c r="Q30" s="16" t="s">
        <v>154</v>
      </c>
      <c r="R30" s="14" t="s">
        <v>155</v>
      </c>
      <c r="S30" s="14" t="s">
        <v>146</v>
      </c>
      <c r="T30" s="14" t="s">
        <v>153</v>
      </c>
      <c r="U30" s="14" t="s">
        <v>140</v>
      </c>
      <c r="V30" s="15">
        <v>40725</v>
      </c>
      <c r="W30" s="15">
        <v>43938</v>
      </c>
      <c r="X30" s="16" t="s">
        <v>84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4" t="s">
        <v>84</v>
      </c>
      <c r="AP30" s="16" t="s">
        <v>84</v>
      </c>
    </row>
    <row r="31" spans="1:42" ht="75" x14ac:dyDescent="0.25">
      <c r="A31" s="14" t="s">
        <v>133</v>
      </c>
      <c r="B31" s="14" t="s">
        <v>72</v>
      </c>
      <c r="C31" s="15">
        <v>43999.646527777775</v>
      </c>
      <c r="D31" s="14" t="s">
        <v>73</v>
      </c>
      <c r="E31" s="16" t="s">
        <v>74</v>
      </c>
      <c r="F31" s="14" t="s">
        <v>75</v>
      </c>
      <c r="G31" s="16" t="s">
        <v>76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136</v>
      </c>
      <c r="O31" s="16" t="s">
        <v>84</v>
      </c>
      <c r="P31" s="16" t="s">
        <v>84</v>
      </c>
      <c r="Q31" s="16" t="s">
        <v>154</v>
      </c>
      <c r="R31" s="14" t="s">
        <v>155</v>
      </c>
      <c r="S31" s="14" t="s">
        <v>146</v>
      </c>
      <c r="T31" s="14" t="s">
        <v>153</v>
      </c>
      <c r="U31" s="14" t="s">
        <v>140</v>
      </c>
      <c r="V31" s="15">
        <v>40725</v>
      </c>
      <c r="W31" s="15">
        <v>43938</v>
      </c>
      <c r="X31" s="16" t="s">
        <v>84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4" t="s">
        <v>84</v>
      </c>
      <c r="AP31" s="16" t="s">
        <v>84</v>
      </c>
    </row>
    <row r="32" spans="1:42" ht="90" x14ac:dyDescent="0.25">
      <c r="A32" s="14" t="s">
        <v>71</v>
      </c>
      <c r="B32" s="14" t="s">
        <v>72</v>
      </c>
      <c r="C32" s="15">
        <v>44711.680555555555</v>
      </c>
      <c r="D32" s="14" t="s">
        <v>73</v>
      </c>
      <c r="E32" s="16" t="s">
        <v>74</v>
      </c>
      <c r="F32" s="14" t="s">
        <v>75</v>
      </c>
      <c r="G32" s="16" t="s">
        <v>76</v>
      </c>
      <c r="H32" s="14" t="s">
        <v>164</v>
      </c>
      <c r="I32" s="16" t="s">
        <v>165</v>
      </c>
      <c r="J32" s="16" t="s">
        <v>166</v>
      </c>
      <c r="K32" s="16" t="s">
        <v>167</v>
      </c>
      <c r="L32" s="14" t="s">
        <v>168</v>
      </c>
      <c r="M32" s="16" t="s">
        <v>169</v>
      </c>
      <c r="N32" s="14" t="s">
        <v>83</v>
      </c>
      <c r="O32" s="16" t="s">
        <v>84</v>
      </c>
      <c r="P32" s="16" t="s">
        <v>84</v>
      </c>
      <c r="Q32" s="16" t="s">
        <v>85</v>
      </c>
      <c r="R32" s="14" t="s">
        <v>86</v>
      </c>
      <c r="S32" s="14" t="s">
        <v>87</v>
      </c>
      <c r="T32" s="14" t="s">
        <v>88</v>
      </c>
      <c r="U32" s="14" t="s">
        <v>89</v>
      </c>
      <c r="V32" s="15">
        <v>40725</v>
      </c>
      <c r="W32" s="15">
        <v>43861</v>
      </c>
      <c r="X32" s="16" t="s">
        <v>84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4" t="s">
        <v>84</v>
      </c>
      <c r="AP32" s="16" t="s">
        <v>84</v>
      </c>
    </row>
    <row r="33" spans="1:42" ht="90" x14ac:dyDescent="0.25">
      <c r="A33" s="14" t="s">
        <v>71</v>
      </c>
      <c r="B33" s="14" t="s">
        <v>129</v>
      </c>
      <c r="C33" s="15">
        <v>44711.443749999999</v>
      </c>
      <c r="D33" s="14" t="s">
        <v>73</v>
      </c>
      <c r="E33" s="16" t="s">
        <v>74</v>
      </c>
      <c r="F33" s="14" t="s">
        <v>75</v>
      </c>
      <c r="G33" s="16" t="s">
        <v>76</v>
      </c>
      <c r="H33" s="14" t="s">
        <v>164</v>
      </c>
      <c r="I33" s="16" t="s">
        <v>165</v>
      </c>
      <c r="J33" s="16" t="s">
        <v>166</v>
      </c>
      <c r="K33" s="16" t="s">
        <v>167</v>
      </c>
      <c r="L33" s="14" t="s">
        <v>168</v>
      </c>
      <c r="M33" s="16" t="s">
        <v>169</v>
      </c>
      <c r="N33" s="14" t="s">
        <v>83</v>
      </c>
      <c r="O33" s="16" t="s">
        <v>84</v>
      </c>
      <c r="P33" s="16" t="s">
        <v>84</v>
      </c>
      <c r="Q33" s="16" t="s">
        <v>85</v>
      </c>
      <c r="R33" s="14" t="s">
        <v>86</v>
      </c>
      <c r="S33" s="14" t="s">
        <v>87</v>
      </c>
      <c r="T33" s="14" t="s">
        <v>88</v>
      </c>
      <c r="U33" s="14" t="s">
        <v>89</v>
      </c>
      <c r="V33" s="15">
        <v>43862</v>
      </c>
      <c r="W33" s="15">
        <v>43938</v>
      </c>
      <c r="X33" s="16" t="s">
        <v>84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4" t="s">
        <v>84</v>
      </c>
      <c r="AP33" s="16" t="s">
        <v>84</v>
      </c>
    </row>
    <row r="34" spans="1:42" ht="90" x14ac:dyDescent="0.25">
      <c r="A34" s="14" t="s">
        <v>133</v>
      </c>
      <c r="B34" s="14" t="s">
        <v>72</v>
      </c>
      <c r="C34" s="15">
        <v>43999.456944444442</v>
      </c>
      <c r="D34" s="14" t="s">
        <v>73</v>
      </c>
      <c r="E34" s="16" t="s">
        <v>74</v>
      </c>
      <c r="F34" s="14" t="s">
        <v>75</v>
      </c>
      <c r="G34" s="16" t="s">
        <v>76</v>
      </c>
      <c r="H34" s="14" t="s">
        <v>164</v>
      </c>
      <c r="I34" s="16" t="s">
        <v>165</v>
      </c>
      <c r="J34" s="16" t="s">
        <v>166</v>
      </c>
      <c r="K34" s="16" t="s">
        <v>167</v>
      </c>
      <c r="L34" s="14" t="s">
        <v>170</v>
      </c>
      <c r="M34" s="16" t="s">
        <v>171</v>
      </c>
      <c r="N34" s="14" t="s">
        <v>136</v>
      </c>
      <c r="O34" s="16" t="s">
        <v>84</v>
      </c>
      <c r="P34" s="16" t="s">
        <v>84</v>
      </c>
      <c r="Q34" s="16" t="s">
        <v>85</v>
      </c>
      <c r="R34" s="14" t="s">
        <v>86</v>
      </c>
      <c r="S34" s="14" t="s">
        <v>87</v>
      </c>
      <c r="T34" s="14" t="s">
        <v>88</v>
      </c>
      <c r="U34" s="14" t="s">
        <v>89</v>
      </c>
      <c r="V34" s="15">
        <v>40725</v>
      </c>
      <c r="W34" s="15">
        <v>43938</v>
      </c>
      <c r="X34" s="16" t="s">
        <v>84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4" t="s">
        <v>84</v>
      </c>
      <c r="AP34" s="16" t="s">
        <v>84</v>
      </c>
    </row>
    <row r="35" spans="1:42" ht="90" x14ac:dyDescent="0.25">
      <c r="A35" s="14" t="s">
        <v>133</v>
      </c>
      <c r="B35" s="14" t="s">
        <v>72</v>
      </c>
      <c r="C35" s="15">
        <v>43999.652083333334</v>
      </c>
      <c r="D35" s="14" t="s">
        <v>73</v>
      </c>
      <c r="E35" s="16" t="s">
        <v>74</v>
      </c>
      <c r="F35" s="14" t="s">
        <v>75</v>
      </c>
      <c r="G35" s="16" t="s">
        <v>76</v>
      </c>
      <c r="H35" s="14" t="s">
        <v>164</v>
      </c>
      <c r="I35" s="16" t="s">
        <v>165</v>
      </c>
      <c r="J35" s="16" t="s">
        <v>166</v>
      </c>
      <c r="K35" s="16" t="s">
        <v>167</v>
      </c>
      <c r="L35" s="14" t="s">
        <v>168</v>
      </c>
      <c r="M35" s="16" t="s">
        <v>169</v>
      </c>
      <c r="N35" s="14" t="s">
        <v>83</v>
      </c>
      <c r="O35" s="16" t="s">
        <v>84</v>
      </c>
      <c r="P35" s="16" t="s">
        <v>84</v>
      </c>
      <c r="Q35" s="16" t="s">
        <v>138</v>
      </c>
      <c r="R35" s="14" t="s">
        <v>139</v>
      </c>
      <c r="S35" s="14" t="s">
        <v>72</v>
      </c>
      <c r="T35" s="14" t="s">
        <v>88</v>
      </c>
      <c r="U35" s="14" t="s">
        <v>140</v>
      </c>
      <c r="V35" s="15">
        <v>40725</v>
      </c>
      <c r="W35" s="15">
        <v>43938</v>
      </c>
      <c r="X35" s="16" t="s">
        <v>84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4" t="s">
        <v>84</v>
      </c>
      <c r="AP35" s="16" t="s">
        <v>84</v>
      </c>
    </row>
    <row r="36" spans="1:42" ht="90" x14ac:dyDescent="0.25">
      <c r="A36" s="14" t="s">
        <v>133</v>
      </c>
      <c r="B36" s="14" t="s">
        <v>72</v>
      </c>
      <c r="C36" s="15">
        <v>43999.649305555555</v>
      </c>
      <c r="D36" s="14" t="s">
        <v>73</v>
      </c>
      <c r="E36" s="16" t="s">
        <v>74</v>
      </c>
      <c r="F36" s="14" t="s">
        <v>75</v>
      </c>
      <c r="G36" s="16" t="s">
        <v>76</v>
      </c>
      <c r="H36" s="14" t="s">
        <v>164</v>
      </c>
      <c r="I36" s="16" t="s">
        <v>165</v>
      </c>
      <c r="J36" s="16" t="s">
        <v>166</v>
      </c>
      <c r="K36" s="16" t="s">
        <v>167</v>
      </c>
      <c r="L36" s="14" t="s">
        <v>170</v>
      </c>
      <c r="M36" s="16" t="s">
        <v>171</v>
      </c>
      <c r="N36" s="14" t="s">
        <v>136</v>
      </c>
      <c r="O36" s="16" t="s">
        <v>84</v>
      </c>
      <c r="P36" s="16" t="s">
        <v>84</v>
      </c>
      <c r="Q36" s="16" t="s">
        <v>138</v>
      </c>
      <c r="R36" s="14" t="s">
        <v>139</v>
      </c>
      <c r="S36" s="14" t="s">
        <v>72</v>
      </c>
      <c r="T36" s="14" t="s">
        <v>88</v>
      </c>
      <c r="U36" s="14" t="s">
        <v>140</v>
      </c>
      <c r="V36" s="15">
        <v>40725</v>
      </c>
      <c r="W36" s="15">
        <v>43938</v>
      </c>
      <c r="X36" s="16" t="s">
        <v>84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4" t="s">
        <v>84</v>
      </c>
      <c r="AP36" s="16" t="s">
        <v>84</v>
      </c>
    </row>
    <row r="37" spans="1:42" ht="90" x14ac:dyDescent="0.25">
      <c r="A37" s="14" t="s">
        <v>133</v>
      </c>
      <c r="B37" s="14" t="s">
        <v>72</v>
      </c>
      <c r="C37" s="15">
        <v>43999.652083333334</v>
      </c>
      <c r="D37" s="14" t="s">
        <v>73</v>
      </c>
      <c r="E37" s="16" t="s">
        <v>74</v>
      </c>
      <c r="F37" s="14" t="s">
        <v>75</v>
      </c>
      <c r="G37" s="16" t="s">
        <v>76</v>
      </c>
      <c r="H37" s="14" t="s">
        <v>164</v>
      </c>
      <c r="I37" s="16" t="s">
        <v>165</v>
      </c>
      <c r="J37" s="16" t="s">
        <v>166</v>
      </c>
      <c r="K37" s="16" t="s">
        <v>167</v>
      </c>
      <c r="L37" s="14" t="s">
        <v>168</v>
      </c>
      <c r="M37" s="16" t="s">
        <v>169</v>
      </c>
      <c r="N37" s="14" t="s">
        <v>83</v>
      </c>
      <c r="O37" s="16" t="s">
        <v>84</v>
      </c>
      <c r="P37" s="16" t="s">
        <v>84</v>
      </c>
      <c r="Q37" s="16" t="s">
        <v>141</v>
      </c>
      <c r="R37" s="14" t="s">
        <v>142</v>
      </c>
      <c r="S37" s="14" t="s">
        <v>143</v>
      </c>
      <c r="T37" s="14" t="s">
        <v>88</v>
      </c>
      <c r="U37" s="14" t="s">
        <v>140</v>
      </c>
      <c r="V37" s="15">
        <v>40725</v>
      </c>
      <c r="W37" s="15">
        <v>43938</v>
      </c>
      <c r="X37" s="16" t="s">
        <v>84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4" t="s">
        <v>84</v>
      </c>
      <c r="AP37" s="16" t="s">
        <v>84</v>
      </c>
    </row>
    <row r="38" spans="1:42" ht="90" x14ac:dyDescent="0.25">
      <c r="A38" s="14" t="s">
        <v>133</v>
      </c>
      <c r="B38" s="14" t="s">
        <v>72</v>
      </c>
      <c r="C38" s="15">
        <v>43999.649305555555</v>
      </c>
      <c r="D38" s="14" t="s">
        <v>73</v>
      </c>
      <c r="E38" s="16" t="s">
        <v>74</v>
      </c>
      <c r="F38" s="14" t="s">
        <v>75</v>
      </c>
      <c r="G38" s="16" t="s">
        <v>76</v>
      </c>
      <c r="H38" s="14" t="s">
        <v>164</v>
      </c>
      <c r="I38" s="16" t="s">
        <v>165</v>
      </c>
      <c r="J38" s="16" t="s">
        <v>166</v>
      </c>
      <c r="K38" s="16" t="s">
        <v>167</v>
      </c>
      <c r="L38" s="14" t="s">
        <v>170</v>
      </c>
      <c r="M38" s="16" t="s">
        <v>171</v>
      </c>
      <c r="N38" s="14" t="s">
        <v>136</v>
      </c>
      <c r="O38" s="16" t="s">
        <v>84</v>
      </c>
      <c r="P38" s="16" t="s">
        <v>84</v>
      </c>
      <c r="Q38" s="16" t="s">
        <v>141</v>
      </c>
      <c r="R38" s="14" t="s">
        <v>142</v>
      </c>
      <c r="S38" s="14" t="s">
        <v>143</v>
      </c>
      <c r="T38" s="14" t="s">
        <v>88</v>
      </c>
      <c r="U38" s="14" t="s">
        <v>140</v>
      </c>
      <c r="V38" s="15">
        <v>40725</v>
      </c>
      <c r="W38" s="15">
        <v>43938</v>
      </c>
      <c r="X38" s="16" t="s">
        <v>84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4" t="s">
        <v>84</v>
      </c>
      <c r="AP38" s="16" t="s">
        <v>84</v>
      </c>
    </row>
    <row r="39" spans="1:42" ht="90" x14ac:dyDescent="0.25">
      <c r="A39" s="14" t="s">
        <v>71</v>
      </c>
      <c r="B39" s="14" t="s">
        <v>72</v>
      </c>
      <c r="C39" s="15">
        <v>44711.445833333331</v>
      </c>
      <c r="D39" s="14" t="s">
        <v>73</v>
      </c>
      <c r="E39" s="16" t="s">
        <v>74</v>
      </c>
      <c r="F39" s="14" t="s">
        <v>75</v>
      </c>
      <c r="G39" s="16" t="s">
        <v>76</v>
      </c>
      <c r="H39" s="14" t="s">
        <v>164</v>
      </c>
      <c r="I39" s="16" t="s">
        <v>165</v>
      </c>
      <c r="J39" s="16" t="s">
        <v>166</v>
      </c>
      <c r="K39" s="16" t="s">
        <v>167</v>
      </c>
      <c r="L39" s="14" t="s">
        <v>168</v>
      </c>
      <c r="M39" s="16" t="s">
        <v>169</v>
      </c>
      <c r="N39" s="14" t="s">
        <v>83</v>
      </c>
      <c r="O39" s="16" t="s">
        <v>84</v>
      </c>
      <c r="P39" s="16" t="s">
        <v>84</v>
      </c>
      <c r="Q39" s="16" t="s">
        <v>144</v>
      </c>
      <c r="R39" s="14" t="s">
        <v>145</v>
      </c>
      <c r="S39" s="14" t="s">
        <v>146</v>
      </c>
      <c r="T39" s="14" t="s">
        <v>88</v>
      </c>
      <c r="U39" s="14" t="s">
        <v>89</v>
      </c>
      <c r="V39" s="15">
        <v>40725</v>
      </c>
      <c r="W39" s="15">
        <v>43938</v>
      </c>
      <c r="X39" s="16" t="s">
        <v>84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4" t="s">
        <v>84</v>
      </c>
      <c r="AP39" s="16" t="s">
        <v>84</v>
      </c>
    </row>
    <row r="40" spans="1:42" ht="90" x14ac:dyDescent="0.25">
      <c r="A40" s="14" t="s">
        <v>133</v>
      </c>
      <c r="B40" s="14" t="s">
        <v>72</v>
      </c>
      <c r="C40" s="15">
        <v>43999.456250000003</v>
      </c>
      <c r="D40" s="14" t="s">
        <v>73</v>
      </c>
      <c r="E40" s="16" t="s">
        <v>74</v>
      </c>
      <c r="F40" s="14" t="s">
        <v>75</v>
      </c>
      <c r="G40" s="16" t="s">
        <v>76</v>
      </c>
      <c r="H40" s="14" t="s">
        <v>164</v>
      </c>
      <c r="I40" s="16" t="s">
        <v>165</v>
      </c>
      <c r="J40" s="16" t="s">
        <v>166</v>
      </c>
      <c r="K40" s="16" t="s">
        <v>167</v>
      </c>
      <c r="L40" s="14" t="s">
        <v>170</v>
      </c>
      <c r="M40" s="16" t="s">
        <v>171</v>
      </c>
      <c r="N40" s="14" t="s">
        <v>136</v>
      </c>
      <c r="O40" s="16" t="s">
        <v>84</v>
      </c>
      <c r="P40" s="16" t="s">
        <v>84</v>
      </c>
      <c r="Q40" s="16" t="s">
        <v>144</v>
      </c>
      <c r="R40" s="14" t="s">
        <v>145</v>
      </c>
      <c r="S40" s="14" t="s">
        <v>146</v>
      </c>
      <c r="T40" s="14" t="s">
        <v>88</v>
      </c>
      <c r="U40" s="14" t="s">
        <v>89</v>
      </c>
      <c r="V40" s="15">
        <v>40725</v>
      </c>
      <c r="W40" s="15">
        <v>43938</v>
      </c>
      <c r="X40" s="16" t="s">
        <v>84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4" t="s">
        <v>84</v>
      </c>
      <c r="AP40" s="16" t="s">
        <v>84</v>
      </c>
    </row>
    <row r="41" spans="1:42" ht="90" x14ac:dyDescent="0.25">
      <c r="A41" s="14" t="s">
        <v>133</v>
      </c>
      <c r="B41" s="14" t="s">
        <v>72</v>
      </c>
      <c r="C41" s="15">
        <v>43999.652083333334</v>
      </c>
      <c r="D41" s="14" t="s">
        <v>73</v>
      </c>
      <c r="E41" s="16" t="s">
        <v>74</v>
      </c>
      <c r="F41" s="14" t="s">
        <v>75</v>
      </c>
      <c r="G41" s="16" t="s">
        <v>76</v>
      </c>
      <c r="H41" s="14" t="s">
        <v>164</v>
      </c>
      <c r="I41" s="16" t="s">
        <v>165</v>
      </c>
      <c r="J41" s="16" t="s">
        <v>166</v>
      </c>
      <c r="K41" s="16" t="s">
        <v>167</v>
      </c>
      <c r="L41" s="14" t="s">
        <v>168</v>
      </c>
      <c r="M41" s="16" t="s">
        <v>169</v>
      </c>
      <c r="N41" s="14" t="s">
        <v>83</v>
      </c>
      <c r="O41" s="16" t="s">
        <v>84</v>
      </c>
      <c r="P41" s="16" t="s">
        <v>84</v>
      </c>
      <c r="Q41" s="16" t="s">
        <v>148</v>
      </c>
      <c r="R41" s="14" t="s">
        <v>149</v>
      </c>
      <c r="S41" s="14" t="s">
        <v>150</v>
      </c>
      <c r="T41" s="14" t="s">
        <v>88</v>
      </c>
      <c r="U41" s="14" t="s">
        <v>140</v>
      </c>
      <c r="V41" s="15">
        <v>40725</v>
      </c>
      <c r="W41" s="15">
        <v>43938</v>
      </c>
      <c r="X41" s="16" t="s">
        <v>84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4" t="s">
        <v>84</v>
      </c>
      <c r="AP41" s="16" t="s">
        <v>84</v>
      </c>
    </row>
    <row r="42" spans="1:42" ht="90" x14ac:dyDescent="0.25">
      <c r="A42" s="14" t="s">
        <v>133</v>
      </c>
      <c r="B42" s="14" t="s">
        <v>72</v>
      </c>
      <c r="C42" s="15">
        <v>43999.65</v>
      </c>
      <c r="D42" s="14" t="s">
        <v>73</v>
      </c>
      <c r="E42" s="16" t="s">
        <v>74</v>
      </c>
      <c r="F42" s="14" t="s">
        <v>75</v>
      </c>
      <c r="G42" s="16" t="s">
        <v>76</v>
      </c>
      <c r="H42" s="14" t="s">
        <v>164</v>
      </c>
      <c r="I42" s="16" t="s">
        <v>165</v>
      </c>
      <c r="J42" s="16" t="s">
        <v>166</v>
      </c>
      <c r="K42" s="16" t="s">
        <v>167</v>
      </c>
      <c r="L42" s="14" t="s">
        <v>170</v>
      </c>
      <c r="M42" s="16" t="s">
        <v>171</v>
      </c>
      <c r="N42" s="14" t="s">
        <v>136</v>
      </c>
      <c r="O42" s="16" t="s">
        <v>84</v>
      </c>
      <c r="P42" s="16" t="s">
        <v>84</v>
      </c>
      <c r="Q42" s="16" t="s">
        <v>148</v>
      </c>
      <c r="R42" s="14" t="s">
        <v>149</v>
      </c>
      <c r="S42" s="14" t="s">
        <v>150</v>
      </c>
      <c r="T42" s="14" t="s">
        <v>88</v>
      </c>
      <c r="U42" s="14" t="s">
        <v>140</v>
      </c>
      <c r="V42" s="15">
        <v>40725</v>
      </c>
      <c r="W42" s="15">
        <v>43938</v>
      </c>
      <c r="X42" s="16" t="s">
        <v>84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4" t="s">
        <v>84</v>
      </c>
      <c r="AP42" s="16" t="s">
        <v>84</v>
      </c>
    </row>
    <row r="43" spans="1:42" ht="90" x14ac:dyDescent="0.25">
      <c r="A43" s="14" t="s">
        <v>133</v>
      </c>
      <c r="B43" s="14" t="s">
        <v>72</v>
      </c>
      <c r="C43" s="15">
        <v>43999.651388888888</v>
      </c>
      <c r="D43" s="14" t="s">
        <v>73</v>
      </c>
      <c r="E43" s="16" t="s">
        <v>74</v>
      </c>
      <c r="F43" s="14" t="s">
        <v>75</v>
      </c>
      <c r="G43" s="16" t="s">
        <v>76</v>
      </c>
      <c r="H43" s="14" t="s">
        <v>164</v>
      </c>
      <c r="I43" s="16" t="s">
        <v>165</v>
      </c>
      <c r="J43" s="16" t="s">
        <v>166</v>
      </c>
      <c r="K43" s="16" t="s">
        <v>167</v>
      </c>
      <c r="L43" s="14" t="s">
        <v>168</v>
      </c>
      <c r="M43" s="16" t="s">
        <v>169</v>
      </c>
      <c r="N43" s="14" t="s">
        <v>83</v>
      </c>
      <c r="O43" s="16" t="s">
        <v>84</v>
      </c>
      <c r="P43" s="16" t="s">
        <v>84</v>
      </c>
      <c r="Q43" s="16" t="s">
        <v>151</v>
      </c>
      <c r="R43" s="14" t="s">
        <v>152</v>
      </c>
      <c r="S43" s="14" t="s">
        <v>87</v>
      </c>
      <c r="T43" s="14" t="s">
        <v>153</v>
      </c>
      <c r="U43" s="14" t="s">
        <v>140</v>
      </c>
      <c r="V43" s="15">
        <v>40725</v>
      </c>
      <c r="W43" s="15">
        <v>43938</v>
      </c>
      <c r="X43" s="16" t="s">
        <v>84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4" t="s">
        <v>84</v>
      </c>
      <c r="AP43" s="16" t="s">
        <v>84</v>
      </c>
    </row>
    <row r="44" spans="1:42" ht="90" x14ac:dyDescent="0.25">
      <c r="A44" s="14" t="s">
        <v>133</v>
      </c>
      <c r="B44" s="14" t="s">
        <v>72</v>
      </c>
      <c r="C44" s="15">
        <v>43999.650694444441</v>
      </c>
      <c r="D44" s="14" t="s">
        <v>73</v>
      </c>
      <c r="E44" s="16" t="s">
        <v>74</v>
      </c>
      <c r="F44" s="14" t="s">
        <v>75</v>
      </c>
      <c r="G44" s="16" t="s">
        <v>76</v>
      </c>
      <c r="H44" s="14" t="s">
        <v>164</v>
      </c>
      <c r="I44" s="16" t="s">
        <v>165</v>
      </c>
      <c r="J44" s="16" t="s">
        <v>166</v>
      </c>
      <c r="K44" s="16" t="s">
        <v>167</v>
      </c>
      <c r="L44" s="14" t="s">
        <v>170</v>
      </c>
      <c r="M44" s="16" t="s">
        <v>171</v>
      </c>
      <c r="N44" s="14" t="s">
        <v>136</v>
      </c>
      <c r="O44" s="16" t="s">
        <v>84</v>
      </c>
      <c r="P44" s="16" t="s">
        <v>84</v>
      </c>
      <c r="Q44" s="16" t="s">
        <v>151</v>
      </c>
      <c r="R44" s="14" t="s">
        <v>152</v>
      </c>
      <c r="S44" s="14" t="s">
        <v>87</v>
      </c>
      <c r="T44" s="14" t="s">
        <v>153</v>
      </c>
      <c r="U44" s="14" t="s">
        <v>140</v>
      </c>
      <c r="V44" s="15">
        <v>40725</v>
      </c>
      <c r="W44" s="15">
        <v>43938</v>
      </c>
      <c r="X44" s="16" t="s">
        <v>84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4" t="s">
        <v>84</v>
      </c>
      <c r="AP44" s="16" t="s">
        <v>84</v>
      </c>
    </row>
    <row r="45" spans="1:42" ht="90" x14ac:dyDescent="0.25">
      <c r="A45" s="14" t="s">
        <v>133</v>
      </c>
      <c r="B45" s="14" t="s">
        <v>72</v>
      </c>
      <c r="C45" s="15">
        <v>43999.651388888888</v>
      </c>
      <c r="D45" s="14" t="s">
        <v>73</v>
      </c>
      <c r="E45" s="16" t="s">
        <v>74</v>
      </c>
      <c r="F45" s="14" t="s">
        <v>75</v>
      </c>
      <c r="G45" s="16" t="s">
        <v>76</v>
      </c>
      <c r="H45" s="14" t="s">
        <v>164</v>
      </c>
      <c r="I45" s="16" t="s">
        <v>165</v>
      </c>
      <c r="J45" s="16" t="s">
        <v>166</v>
      </c>
      <c r="K45" s="16" t="s">
        <v>167</v>
      </c>
      <c r="L45" s="14" t="s">
        <v>168</v>
      </c>
      <c r="M45" s="16" t="s">
        <v>169</v>
      </c>
      <c r="N45" s="14" t="s">
        <v>83</v>
      </c>
      <c r="O45" s="16" t="s">
        <v>84</v>
      </c>
      <c r="P45" s="16" t="s">
        <v>84</v>
      </c>
      <c r="Q45" s="16" t="s">
        <v>154</v>
      </c>
      <c r="R45" s="14" t="s">
        <v>155</v>
      </c>
      <c r="S45" s="14" t="s">
        <v>146</v>
      </c>
      <c r="T45" s="14" t="s">
        <v>153</v>
      </c>
      <c r="U45" s="14" t="s">
        <v>140</v>
      </c>
      <c r="V45" s="15">
        <v>40725</v>
      </c>
      <c r="W45" s="15">
        <v>43938</v>
      </c>
      <c r="X45" s="16" t="s">
        <v>84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4" t="s">
        <v>84</v>
      </c>
      <c r="AP45" s="16" t="s">
        <v>84</v>
      </c>
    </row>
    <row r="46" spans="1:42" ht="90" x14ac:dyDescent="0.25">
      <c r="A46" s="14" t="s">
        <v>133</v>
      </c>
      <c r="B46" s="14" t="s">
        <v>72</v>
      </c>
      <c r="C46" s="15">
        <v>43999.650694444441</v>
      </c>
      <c r="D46" s="14" t="s">
        <v>73</v>
      </c>
      <c r="E46" s="16" t="s">
        <v>74</v>
      </c>
      <c r="F46" s="14" t="s">
        <v>75</v>
      </c>
      <c r="G46" s="16" t="s">
        <v>76</v>
      </c>
      <c r="H46" s="14" t="s">
        <v>164</v>
      </c>
      <c r="I46" s="16" t="s">
        <v>165</v>
      </c>
      <c r="J46" s="16" t="s">
        <v>166</v>
      </c>
      <c r="K46" s="16" t="s">
        <v>167</v>
      </c>
      <c r="L46" s="14" t="s">
        <v>170</v>
      </c>
      <c r="M46" s="16" t="s">
        <v>171</v>
      </c>
      <c r="N46" s="14" t="s">
        <v>136</v>
      </c>
      <c r="O46" s="16" t="s">
        <v>84</v>
      </c>
      <c r="P46" s="16" t="s">
        <v>84</v>
      </c>
      <c r="Q46" s="16" t="s">
        <v>154</v>
      </c>
      <c r="R46" s="14" t="s">
        <v>155</v>
      </c>
      <c r="S46" s="14" t="s">
        <v>146</v>
      </c>
      <c r="T46" s="14" t="s">
        <v>153</v>
      </c>
      <c r="U46" s="14" t="s">
        <v>140</v>
      </c>
      <c r="V46" s="15">
        <v>40725</v>
      </c>
      <c r="W46" s="15">
        <v>43938</v>
      </c>
      <c r="X46" s="16" t="s">
        <v>84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4" t="s">
        <v>84</v>
      </c>
      <c r="AP46" s="16" t="s">
        <v>84</v>
      </c>
    </row>
    <row r="47" spans="1:42" ht="75" x14ac:dyDescent="0.25">
      <c r="A47" s="14" t="s">
        <v>133</v>
      </c>
      <c r="B47" s="14" t="s">
        <v>129</v>
      </c>
      <c r="C47" s="15">
        <v>44005.584722222222</v>
      </c>
      <c r="D47" s="14" t="s">
        <v>73</v>
      </c>
      <c r="E47" s="16" t="s">
        <v>74</v>
      </c>
      <c r="F47" s="14" t="s">
        <v>75</v>
      </c>
      <c r="G47" s="16" t="s">
        <v>76</v>
      </c>
      <c r="H47" s="14" t="s">
        <v>172</v>
      </c>
      <c r="I47" s="16" t="s">
        <v>173</v>
      </c>
      <c r="J47" s="16" t="s">
        <v>174</v>
      </c>
      <c r="K47" s="16" t="s">
        <v>175</v>
      </c>
      <c r="L47" s="14" t="s">
        <v>176</v>
      </c>
      <c r="M47" s="16" t="s">
        <v>177</v>
      </c>
      <c r="N47" s="14" t="s">
        <v>178</v>
      </c>
      <c r="O47" s="16" t="s">
        <v>179</v>
      </c>
      <c r="P47" s="16" t="s">
        <v>180</v>
      </c>
      <c r="Q47" s="16" t="s">
        <v>85</v>
      </c>
      <c r="R47" s="14" t="s">
        <v>86</v>
      </c>
      <c r="S47" s="14" t="s">
        <v>87</v>
      </c>
      <c r="T47" s="14" t="s">
        <v>88</v>
      </c>
      <c r="U47" s="14" t="s">
        <v>89</v>
      </c>
      <c r="V47" s="15">
        <v>43939</v>
      </c>
      <c r="W47" s="15"/>
      <c r="X47" s="16" t="s">
        <v>84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4" t="s">
        <v>84</v>
      </c>
      <c r="AP47" s="16" t="s">
        <v>84</v>
      </c>
    </row>
    <row r="48" spans="1:42" ht="150" x14ac:dyDescent="0.25">
      <c r="A48" s="14" t="s">
        <v>71</v>
      </c>
      <c r="B48" s="14" t="s">
        <v>72</v>
      </c>
      <c r="C48" s="15">
        <v>44711.451388888891</v>
      </c>
      <c r="D48" s="14" t="s">
        <v>73</v>
      </c>
      <c r="E48" s="16" t="s">
        <v>74</v>
      </c>
      <c r="F48" s="14" t="s">
        <v>75</v>
      </c>
      <c r="G48" s="16" t="s">
        <v>76</v>
      </c>
      <c r="H48" s="14" t="s">
        <v>172</v>
      </c>
      <c r="I48" s="16" t="s">
        <v>173</v>
      </c>
      <c r="J48" s="16" t="s">
        <v>174</v>
      </c>
      <c r="K48" s="16" t="s">
        <v>175</v>
      </c>
      <c r="L48" s="14" t="s">
        <v>190</v>
      </c>
      <c r="M48" s="16" t="s">
        <v>191</v>
      </c>
      <c r="N48" s="14" t="s">
        <v>178</v>
      </c>
      <c r="O48" s="16" t="s">
        <v>192</v>
      </c>
      <c r="P48" s="16" t="s">
        <v>193</v>
      </c>
      <c r="Q48" s="16" t="s">
        <v>85</v>
      </c>
      <c r="R48" s="14" t="s">
        <v>86</v>
      </c>
      <c r="S48" s="14" t="s">
        <v>87</v>
      </c>
      <c r="T48" s="14" t="s">
        <v>88</v>
      </c>
      <c r="U48" s="14" t="s">
        <v>89</v>
      </c>
      <c r="V48" s="15">
        <v>43939</v>
      </c>
      <c r="W48" s="15"/>
      <c r="X48" s="16" t="s">
        <v>293</v>
      </c>
      <c r="Y48" s="17" t="s">
        <v>294</v>
      </c>
      <c r="Z48" s="18" t="str">
        <f>VLOOKUP(Y48,'Axe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48" s="17" t="s">
        <v>296</v>
      </c>
      <c r="AB48" s="18" t="str">
        <f>VLOOKUP(AA48,'Axe 2 Règles de gestion'!$D$2:$F$41,3, FALSE)</f>
        <v>Classement : L'agent est classé dans son corps.</v>
      </c>
      <c r="AC48" s="17" t="s">
        <v>298</v>
      </c>
      <c r="AD48" s="18" t="str">
        <f>VLOOKUP(AC48,'Axe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48" s="17" t="s">
        <v>300</v>
      </c>
      <c r="AF48" s="18" t="str">
        <f>VLOOKUP(AE48,'Axe 2 Règles de gestion'!$D$2:$F$41,3, FALSE)</f>
        <v>Evaluation professionnelle : L'agent est évalué par l'administration d'accueil.</v>
      </c>
      <c r="AG48" s="17" t="s">
        <v>302</v>
      </c>
      <c r="AH48" s="18" t="str">
        <f>VLOOKUP(AG48,'Axe 2 Règles de gestion'!$D$2:$F$41,3, FALSE)</f>
        <v>Congés annuels : L'agent cumule des droits à congé. L'administration d'accueil gère les droits à congés annuels de l'agent.</v>
      </c>
      <c r="AI48" s="17" t="s">
        <v>304</v>
      </c>
      <c r="AJ48" s="18" t="str">
        <f>VLOOKUP(AI48,'Axe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48" s="17" t="s">
        <v>306</v>
      </c>
      <c r="AL48" s="18" t="str">
        <f>VLOOKUP(AK48,'Axe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48" s="17" t="s">
        <v>308</v>
      </c>
      <c r="AN48" s="18" t="str">
        <f>VLOOKUP(AM48,'Axe 2 Règles de gestion'!$D$2:$F$41,3, FALSE)</f>
        <v>Acte : Un acte administratif doit être produit.</v>
      </c>
      <c r="AO48" s="14" t="s">
        <v>84</v>
      </c>
      <c r="AP48" s="16" t="s">
        <v>84</v>
      </c>
    </row>
    <row r="49" spans="1:42" ht="75" x14ac:dyDescent="0.25">
      <c r="A49" s="14" t="s">
        <v>133</v>
      </c>
      <c r="B49" s="14" t="s">
        <v>129</v>
      </c>
      <c r="C49" s="15">
        <v>44721.45416666667</v>
      </c>
      <c r="D49" s="14" t="s">
        <v>73</v>
      </c>
      <c r="E49" s="16" t="s">
        <v>74</v>
      </c>
      <c r="F49" s="14" t="s">
        <v>75</v>
      </c>
      <c r="G49" s="16" t="s">
        <v>76</v>
      </c>
      <c r="H49" s="14" t="s">
        <v>172</v>
      </c>
      <c r="I49" s="16" t="s">
        <v>173</v>
      </c>
      <c r="J49" s="16" t="s">
        <v>174</v>
      </c>
      <c r="K49" s="16" t="s">
        <v>175</v>
      </c>
      <c r="L49" s="14" t="s">
        <v>197</v>
      </c>
      <c r="M49" s="16" t="s">
        <v>198</v>
      </c>
      <c r="N49" s="14" t="s">
        <v>136</v>
      </c>
      <c r="O49" s="16" t="s">
        <v>199</v>
      </c>
      <c r="P49" s="16" t="s">
        <v>200</v>
      </c>
      <c r="Q49" s="16" t="s">
        <v>85</v>
      </c>
      <c r="R49" s="14" t="s">
        <v>86</v>
      </c>
      <c r="S49" s="14" t="s">
        <v>87</v>
      </c>
      <c r="T49" s="14" t="s">
        <v>88</v>
      </c>
      <c r="U49" s="14" t="s">
        <v>89</v>
      </c>
      <c r="V49" s="15">
        <v>43939</v>
      </c>
      <c r="W49" s="15"/>
      <c r="X49" s="16" t="s">
        <v>84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4" t="s">
        <v>84</v>
      </c>
      <c r="AP49" s="16" t="s">
        <v>84</v>
      </c>
    </row>
    <row r="50" spans="1:42" ht="75" x14ac:dyDescent="0.25">
      <c r="A50" s="14" t="s">
        <v>133</v>
      </c>
      <c r="B50" s="14" t="s">
        <v>129</v>
      </c>
      <c r="C50" s="15">
        <v>43999.673611111109</v>
      </c>
      <c r="D50" s="14" t="s">
        <v>73</v>
      </c>
      <c r="E50" s="16" t="s">
        <v>74</v>
      </c>
      <c r="F50" s="14" t="s">
        <v>75</v>
      </c>
      <c r="G50" s="16" t="s">
        <v>76</v>
      </c>
      <c r="H50" s="14" t="s">
        <v>172</v>
      </c>
      <c r="I50" s="16" t="s">
        <v>173</v>
      </c>
      <c r="J50" s="16" t="s">
        <v>174</v>
      </c>
      <c r="K50" s="16" t="s">
        <v>175</v>
      </c>
      <c r="L50" s="14" t="s">
        <v>176</v>
      </c>
      <c r="M50" s="16" t="s">
        <v>177</v>
      </c>
      <c r="N50" s="14" t="s">
        <v>178</v>
      </c>
      <c r="O50" s="16" t="s">
        <v>179</v>
      </c>
      <c r="P50" s="16" t="s">
        <v>180</v>
      </c>
      <c r="Q50" s="16" t="s">
        <v>138</v>
      </c>
      <c r="R50" s="14" t="s">
        <v>139</v>
      </c>
      <c r="S50" s="14" t="s">
        <v>72</v>
      </c>
      <c r="T50" s="14" t="s">
        <v>88</v>
      </c>
      <c r="U50" s="14" t="s">
        <v>140</v>
      </c>
      <c r="V50" s="15">
        <v>43939</v>
      </c>
      <c r="W50" s="15"/>
      <c r="X50" s="16" t="s">
        <v>84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4" t="s">
        <v>84</v>
      </c>
      <c r="AP50" s="16" t="s">
        <v>84</v>
      </c>
    </row>
    <row r="51" spans="1:42" ht="75" x14ac:dyDescent="0.25">
      <c r="A51" s="14" t="s">
        <v>133</v>
      </c>
      <c r="B51" s="14" t="s">
        <v>129</v>
      </c>
      <c r="C51" s="15">
        <v>43999.670138888891</v>
      </c>
      <c r="D51" s="14" t="s">
        <v>73</v>
      </c>
      <c r="E51" s="16" t="s">
        <v>74</v>
      </c>
      <c r="F51" s="14" t="s">
        <v>75</v>
      </c>
      <c r="G51" s="16" t="s">
        <v>76</v>
      </c>
      <c r="H51" s="14" t="s">
        <v>172</v>
      </c>
      <c r="I51" s="16" t="s">
        <v>173</v>
      </c>
      <c r="J51" s="16" t="s">
        <v>174</v>
      </c>
      <c r="K51" s="16" t="s">
        <v>175</v>
      </c>
      <c r="L51" s="14" t="s">
        <v>190</v>
      </c>
      <c r="M51" s="16" t="s">
        <v>191</v>
      </c>
      <c r="N51" s="14" t="s">
        <v>178</v>
      </c>
      <c r="O51" s="16" t="s">
        <v>192</v>
      </c>
      <c r="P51" s="16" t="s">
        <v>193</v>
      </c>
      <c r="Q51" s="16" t="s">
        <v>138</v>
      </c>
      <c r="R51" s="14" t="s">
        <v>139</v>
      </c>
      <c r="S51" s="14" t="s">
        <v>72</v>
      </c>
      <c r="T51" s="14" t="s">
        <v>88</v>
      </c>
      <c r="U51" s="14" t="s">
        <v>140</v>
      </c>
      <c r="V51" s="15">
        <v>43939</v>
      </c>
      <c r="W51" s="15"/>
      <c r="X51" s="16" t="s">
        <v>84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4" t="s">
        <v>84</v>
      </c>
      <c r="AP51" s="16" t="s">
        <v>84</v>
      </c>
    </row>
    <row r="52" spans="1:42" ht="75" x14ac:dyDescent="0.25">
      <c r="A52" s="14" t="s">
        <v>133</v>
      </c>
      <c r="B52" s="14" t="s">
        <v>129</v>
      </c>
      <c r="C52" s="15">
        <v>43999.671527777777</v>
      </c>
      <c r="D52" s="14" t="s">
        <v>73</v>
      </c>
      <c r="E52" s="16" t="s">
        <v>74</v>
      </c>
      <c r="F52" s="14" t="s">
        <v>75</v>
      </c>
      <c r="G52" s="16" t="s">
        <v>76</v>
      </c>
      <c r="H52" s="14" t="s">
        <v>172</v>
      </c>
      <c r="I52" s="16" t="s">
        <v>173</v>
      </c>
      <c r="J52" s="16" t="s">
        <v>174</v>
      </c>
      <c r="K52" s="16" t="s">
        <v>175</v>
      </c>
      <c r="L52" s="14" t="s">
        <v>197</v>
      </c>
      <c r="M52" s="16" t="s">
        <v>198</v>
      </c>
      <c r="N52" s="14" t="s">
        <v>136</v>
      </c>
      <c r="O52" s="16" t="s">
        <v>199</v>
      </c>
      <c r="P52" s="16" t="s">
        <v>200</v>
      </c>
      <c r="Q52" s="16" t="s">
        <v>138</v>
      </c>
      <c r="R52" s="14" t="s">
        <v>139</v>
      </c>
      <c r="S52" s="14" t="s">
        <v>72</v>
      </c>
      <c r="T52" s="14" t="s">
        <v>88</v>
      </c>
      <c r="U52" s="14" t="s">
        <v>140</v>
      </c>
      <c r="V52" s="15">
        <v>43939</v>
      </c>
      <c r="W52" s="15"/>
      <c r="X52" s="16" t="s">
        <v>84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4" t="s">
        <v>84</v>
      </c>
      <c r="AP52" s="16" t="s">
        <v>84</v>
      </c>
    </row>
    <row r="53" spans="1:42" ht="75" x14ac:dyDescent="0.25">
      <c r="A53" s="14" t="s">
        <v>133</v>
      </c>
      <c r="B53" s="14" t="s">
        <v>129</v>
      </c>
      <c r="C53" s="15">
        <v>43999.673611111109</v>
      </c>
      <c r="D53" s="14" t="s">
        <v>73</v>
      </c>
      <c r="E53" s="16" t="s">
        <v>74</v>
      </c>
      <c r="F53" s="14" t="s">
        <v>75</v>
      </c>
      <c r="G53" s="16" t="s">
        <v>76</v>
      </c>
      <c r="H53" s="14" t="s">
        <v>172</v>
      </c>
      <c r="I53" s="16" t="s">
        <v>173</v>
      </c>
      <c r="J53" s="16" t="s">
        <v>174</v>
      </c>
      <c r="K53" s="16" t="s">
        <v>175</v>
      </c>
      <c r="L53" s="14" t="s">
        <v>176</v>
      </c>
      <c r="M53" s="16" t="s">
        <v>177</v>
      </c>
      <c r="N53" s="14" t="s">
        <v>178</v>
      </c>
      <c r="O53" s="16" t="s">
        <v>179</v>
      </c>
      <c r="P53" s="16" t="s">
        <v>180</v>
      </c>
      <c r="Q53" s="16" t="s">
        <v>141</v>
      </c>
      <c r="R53" s="14" t="s">
        <v>142</v>
      </c>
      <c r="S53" s="14" t="s">
        <v>143</v>
      </c>
      <c r="T53" s="14" t="s">
        <v>88</v>
      </c>
      <c r="U53" s="14" t="s">
        <v>140</v>
      </c>
      <c r="V53" s="15">
        <v>43939</v>
      </c>
      <c r="W53" s="15"/>
      <c r="X53" s="16" t="s">
        <v>84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4" t="s">
        <v>84</v>
      </c>
      <c r="AP53" s="16" t="s">
        <v>84</v>
      </c>
    </row>
    <row r="54" spans="1:42" ht="75" x14ac:dyDescent="0.25">
      <c r="A54" s="14" t="s">
        <v>133</v>
      </c>
      <c r="B54" s="14" t="s">
        <v>129</v>
      </c>
      <c r="C54" s="15">
        <v>43999.670138888891</v>
      </c>
      <c r="D54" s="14" t="s">
        <v>73</v>
      </c>
      <c r="E54" s="16" t="s">
        <v>74</v>
      </c>
      <c r="F54" s="14" t="s">
        <v>75</v>
      </c>
      <c r="G54" s="16" t="s">
        <v>76</v>
      </c>
      <c r="H54" s="14" t="s">
        <v>172</v>
      </c>
      <c r="I54" s="16" t="s">
        <v>173</v>
      </c>
      <c r="J54" s="16" t="s">
        <v>174</v>
      </c>
      <c r="K54" s="16" t="s">
        <v>175</v>
      </c>
      <c r="L54" s="14" t="s">
        <v>190</v>
      </c>
      <c r="M54" s="16" t="s">
        <v>191</v>
      </c>
      <c r="N54" s="14" t="s">
        <v>178</v>
      </c>
      <c r="O54" s="16" t="s">
        <v>192</v>
      </c>
      <c r="P54" s="16" t="s">
        <v>193</v>
      </c>
      <c r="Q54" s="16" t="s">
        <v>141</v>
      </c>
      <c r="R54" s="14" t="s">
        <v>142</v>
      </c>
      <c r="S54" s="14" t="s">
        <v>143</v>
      </c>
      <c r="T54" s="14" t="s">
        <v>88</v>
      </c>
      <c r="U54" s="14" t="s">
        <v>140</v>
      </c>
      <c r="V54" s="15">
        <v>43939</v>
      </c>
      <c r="W54" s="15"/>
      <c r="X54" s="16" t="s">
        <v>84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4" t="s">
        <v>84</v>
      </c>
      <c r="AP54" s="16" t="s">
        <v>84</v>
      </c>
    </row>
    <row r="55" spans="1:42" ht="75" x14ac:dyDescent="0.25">
      <c r="A55" s="14" t="s">
        <v>133</v>
      </c>
      <c r="B55" s="14" t="s">
        <v>129</v>
      </c>
      <c r="C55" s="15">
        <v>43999.67291666667</v>
      </c>
      <c r="D55" s="14" t="s">
        <v>73</v>
      </c>
      <c r="E55" s="16" t="s">
        <v>74</v>
      </c>
      <c r="F55" s="14" t="s">
        <v>75</v>
      </c>
      <c r="G55" s="16" t="s">
        <v>76</v>
      </c>
      <c r="H55" s="14" t="s">
        <v>172</v>
      </c>
      <c r="I55" s="16" t="s">
        <v>173</v>
      </c>
      <c r="J55" s="16" t="s">
        <v>174</v>
      </c>
      <c r="K55" s="16" t="s">
        <v>175</v>
      </c>
      <c r="L55" s="14" t="s">
        <v>197</v>
      </c>
      <c r="M55" s="16" t="s">
        <v>198</v>
      </c>
      <c r="N55" s="14" t="s">
        <v>136</v>
      </c>
      <c r="O55" s="16" t="s">
        <v>199</v>
      </c>
      <c r="P55" s="16" t="s">
        <v>200</v>
      </c>
      <c r="Q55" s="16" t="s">
        <v>141</v>
      </c>
      <c r="R55" s="14" t="s">
        <v>142</v>
      </c>
      <c r="S55" s="14" t="s">
        <v>143</v>
      </c>
      <c r="T55" s="14" t="s">
        <v>88</v>
      </c>
      <c r="U55" s="14" t="s">
        <v>140</v>
      </c>
      <c r="V55" s="15">
        <v>43939</v>
      </c>
      <c r="W55" s="15"/>
      <c r="X55" s="16" t="s">
        <v>84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4" t="s">
        <v>84</v>
      </c>
      <c r="AP55" s="16" t="s">
        <v>84</v>
      </c>
    </row>
    <row r="56" spans="1:42" ht="75" x14ac:dyDescent="0.25">
      <c r="A56" s="14" t="s">
        <v>133</v>
      </c>
      <c r="B56" s="14" t="s">
        <v>129</v>
      </c>
      <c r="C56" s="15">
        <v>44005.584722222222</v>
      </c>
      <c r="D56" s="14" t="s">
        <v>73</v>
      </c>
      <c r="E56" s="16" t="s">
        <v>74</v>
      </c>
      <c r="F56" s="14" t="s">
        <v>75</v>
      </c>
      <c r="G56" s="16" t="s">
        <v>76</v>
      </c>
      <c r="H56" s="14" t="s">
        <v>172</v>
      </c>
      <c r="I56" s="16" t="s">
        <v>173</v>
      </c>
      <c r="J56" s="16" t="s">
        <v>174</v>
      </c>
      <c r="K56" s="16" t="s">
        <v>175</v>
      </c>
      <c r="L56" s="14" t="s">
        <v>176</v>
      </c>
      <c r="M56" s="16" t="s">
        <v>177</v>
      </c>
      <c r="N56" s="14" t="s">
        <v>178</v>
      </c>
      <c r="O56" s="16" t="s">
        <v>179</v>
      </c>
      <c r="P56" s="16" t="s">
        <v>180</v>
      </c>
      <c r="Q56" s="16" t="s">
        <v>144</v>
      </c>
      <c r="R56" s="14" t="s">
        <v>145</v>
      </c>
      <c r="S56" s="14" t="s">
        <v>146</v>
      </c>
      <c r="T56" s="14" t="s">
        <v>88</v>
      </c>
      <c r="U56" s="14" t="s">
        <v>89</v>
      </c>
      <c r="V56" s="15">
        <v>43939</v>
      </c>
      <c r="W56" s="15"/>
      <c r="X56" s="16" t="s">
        <v>84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4" t="s">
        <v>84</v>
      </c>
      <c r="AP56" s="16" t="s">
        <v>84</v>
      </c>
    </row>
    <row r="57" spans="1:42" ht="150" x14ac:dyDescent="0.25">
      <c r="A57" s="14" t="s">
        <v>71</v>
      </c>
      <c r="B57" s="14" t="s">
        <v>72</v>
      </c>
      <c r="C57" s="15">
        <v>44711.450694444444</v>
      </c>
      <c r="D57" s="14" t="s">
        <v>73</v>
      </c>
      <c r="E57" s="16" t="s">
        <v>74</v>
      </c>
      <c r="F57" s="14" t="s">
        <v>75</v>
      </c>
      <c r="G57" s="16" t="s">
        <v>76</v>
      </c>
      <c r="H57" s="14" t="s">
        <v>172</v>
      </c>
      <c r="I57" s="16" t="s">
        <v>173</v>
      </c>
      <c r="J57" s="16" t="s">
        <v>174</v>
      </c>
      <c r="K57" s="16" t="s">
        <v>175</v>
      </c>
      <c r="L57" s="14" t="s">
        <v>190</v>
      </c>
      <c r="M57" s="16" t="s">
        <v>191</v>
      </c>
      <c r="N57" s="14" t="s">
        <v>178</v>
      </c>
      <c r="O57" s="16" t="s">
        <v>192</v>
      </c>
      <c r="P57" s="16" t="s">
        <v>193</v>
      </c>
      <c r="Q57" s="16" t="s">
        <v>144</v>
      </c>
      <c r="R57" s="14" t="s">
        <v>145</v>
      </c>
      <c r="S57" s="14" t="s">
        <v>146</v>
      </c>
      <c r="T57" s="14" t="s">
        <v>88</v>
      </c>
      <c r="U57" s="14" t="s">
        <v>89</v>
      </c>
      <c r="V57" s="15">
        <v>43939</v>
      </c>
      <c r="W57" s="15"/>
      <c r="X57" s="16" t="s">
        <v>310</v>
      </c>
      <c r="Y57" s="17" t="s">
        <v>294</v>
      </c>
      <c r="Z57" s="18" t="str">
        <f>VLOOKUP(Y57,'Axe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57" s="17" t="s">
        <v>296</v>
      </c>
      <c r="AB57" s="18" t="str">
        <f>VLOOKUP(AA57,'Axe 2 Règles de gestion'!$D$2:$F$41,3, FALSE)</f>
        <v>Classement : L'agent est classé dans son corps.</v>
      </c>
      <c r="AC57" s="17" t="s">
        <v>311</v>
      </c>
      <c r="AD57" s="18" t="str">
        <f>VLOOKUP(AC57,'Axe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57" s="17" t="s">
        <v>313</v>
      </c>
      <c r="AF57" s="18" t="str">
        <f>VLOOKUP(AE57,'Axe 2 Règles de gestion'!$D$2:$F$41,3, FALSE)</f>
        <v>Evaluation professionnelle : L'administration d'accueil établit le rapport de titularisation de l'agent.</v>
      </c>
      <c r="AG57" s="17" t="s">
        <v>302</v>
      </c>
      <c r="AH57" s="18" t="str">
        <f>VLOOKUP(AG57,'Axe 2 Règles de gestion'!$D$2:$F$41,3, FALSE)</f>
        <v>Congés annuels : L'agent cumule des droits à congé. L'administration d'accueil gère les droits à congés annuels de l'agent.</v>
      </c>
      <c r="AI57" s="17" t="s">
        <v>304</v>
      </c>
      <c r="AJ57" s="18" t="str">
        <f>VLOOKUP(AI57,'Axe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57" s="17" t="s">
        <v>315</v>
      </c>
      <c r="AL57" s="18" t="str">
        <f>VLOOKUP(AK57,'Axe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57" s="17" t="s">
        <v>308</v>
      </c>
      <c r="AN57" s="18" t="str">
        <f>VLOOKUP(AM57,'Axe 2 Règles de gestion'!$D$2:$F$41,3, FALSE)</f>
        <v>Acte : Un acte administratif doit être produit.</v>
      </c>
      <c r="AO57" s="14" t="s">
        <v>84</v>
      </c>
      <c r="AP57" s="16" t="s">
        <v>84</v>
      </c>
    </row>
    <row r="58" spans="1:42" ht="75" x14ac:dyDescent="0.25">
      <c r="A58" s="14" t="s">
        <v>133</v>
      </c>
      <c r="B58" s="14" t="s">
        <v>129</v>
      </c>
      <c r="C58" s="15">
        <v>44721.454861111109</v>
      </c>
      <c r="D58" s="14" t="s">
        <v>73</v>
      </c>
      <c r="E58" s="16" t="s">
        <v>74</v>
      </c>
      <c r="F58" s="14" t="s">
        <v>75</v>
      </c>
      <c r="G58" s="16" t="s">
        <v>76</v>
      </c>
      <c r="H58" s="14" t="s">
        <v>172</v>
      </c>
      <c r="I58" s="16" t="s">
        <v>173</v>
      </c>
      <c r="J58" s="16" t="s">
        <v>174</v>
      </c>
      <c r="K58" s="16" t="s">
        <v>175</v>
      </c>
      <c r="L58" s="14" t="s">
        <v>197</v>
      </c>
      <c r="M58" s="16" t="s">
        <v>198</v>
      </c>
      <c r="N58" s="14" t="s">
        <v>136</v>
      </c>
      <c r="O58" s="16" t="s">
        <v>199</v>
      </c>
      <c r="P58" s="16" t="s">
        <v>200</v>
      </c>
      <c r="Q58" s="16" t="s">
        <v>144</v>
      </c>
      <c r="R58" s="14" t="s">
        <v>145</v>
      </c>
      <c r="S58" s="14" t="s">
        <v>146</v>
      </c>
      <c r="T58" s="14" t="s">
        <v>88</v>
      </c>
      <c r="U58" s="14" t="s">
        <v>89</v>
      </c>
      <c r="V58" s="15">
        <v>43939</v>
      </c>
      <c r="W58" s="15"/>
      <c r="X58" s="16" t="s">
        <v>84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4" t="s">
        <v>84</v>
      </c>
      <c r="AP58" s="16" t="s">
        <v>84</v>
      </c>
    </row>
    <row r="59" spans="1:42" ht="75" x14ac:dyDescent="0.25">
      <c r="A59" s="14" t="s">
        <v>133</v>
      </c>
      <c r="B59" s="14" t="s">
        <v>129</v>
      </c>
      <c r="C59" s="15">
        <v>43999.674305555556</v>
      </c>
      <c r="D59" s="14" t="s">
        <v>73</v>
      </c>
      <c r="E59" s="16" t="s">
        <v>74</v>
      </c>
      <c r="F59" s="14" t="s">
        <v>75</v>
      </c>
      <c r="G59" s="16" t="s">
        <v>76</v>
      </c>
      <c r="H59" s="14" t="s">
        <v>172</v>
      </c>
      <c r="I59" s="16" t="s">
        <v>173</v>
      </c>
      <c r="J59" s="16" t="s">
        <v>174</v>
      </c>
      <c r="K59" s="16" t="s">
        <v>175</v>
      </c>
      <c r="L59" s="14" t="s">
        <v>176</v>
      </c>
      <c r="M59" s="16" t="s">
        <v>177</v>
      </c>
      <c r="N59" s="14" t="s">
        <v>178</v>
      </c>
      <c r="O59" s="16" t="s">
        <v>179</v>
      </c>
      <c r="P59" s="16" t="s">
        <v>180</v>
      </c>
      <c r="Q59" s="16" t="s">
        <v>148</v>
      </c>
      <c r="R59" s="14" t="s">
        <v>149</v>
      </c>
      <c r="S59" s="14" t="s">
        <v>150</v>
      </c>
      <c r="T59" s="14" t="s">
        <v>88</v>
      </c>
      <c r="U59" s="14" t="s">
        <v>140</v>
      </c>
      <c r="V59" s="15">
        <v>43939</v>
      </c>
      <c r="W59" s="15"/>
      <c r="X59" s="16" t="s">
        <v>84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4" t="s">
        <v>84</v>
      </c>
      <c r="AP59" s="16" t="s">
        <v>84</v>
      </c>
    </row>
    <row r="60" spans="1:42" ht="75" x14ac:dyDescent="0.25">
      <c r="A60" s="14" t="s">
        <v>133</v>
      </c>
      <c r="B60" s="14" t="s">
        <v>129</v>
      </c>
      <c r="C60" s="15">
        <v>43999.67083333333</v>
      </c>
      <c r="D60" s="14" t="s">
        <v>73</v>
      </c>
      <c r="E60" s="16" t="s">
        <v>74</v>
      </c>
      <c r="F60" s="14" t="s">
        <v>75</v>
      </c>
      <c r="G60" s="16" t="s">
        <v>76</v>
      </c>
      <c r="H60" s="14" t="s">
        <v>172</v>
      </c>
      <c r="I60" s="16" t="s">
        <v>173</v>
      </c>
      <c r="J60" s="16" t="s">
        <v>174</v>
      </c>
      <c r="K60" s="16" t="s">
        <v>175</v>
      </c>
      <c r="L60" s="14" t="s">
        <v>190</v>
      </c>
      <c r="M60" s="16" t="s">
        <v>191</v>
      </c>
      <c r="N60" s="14" t="s">
        <v>178</v>
      </c>
      <c r="O60" s="16" t="s">
        <v>192</v>
      </c>
      <c r="P60" s="16" t="s">
        <v>193</v>
      </c>
      <c r="Q60" s="16" t="s">
        <v>148</v>
      </c>
      <c r="R60" s="14" t="s">
        <v>149</v>
      </c>
      <c r="S60" s="14" t="s">
        <v>150</v>
      </c>
      <c r="T60" s="14" t="s">
        <v>88</v>
      </c>
      <c r="U60" s="14" t="s">
        <v>140</v>
      </c>
      <c r="V60" s="15">
        <v>43939</v>
      </c>
      <c r="W60" s="15"/>
      <c r="X60" s="16" t="s">
        <v>84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4" t="s">
        <v>84</v>
      </c>
      <c r="AP60" s="16" t="s">
        <v>84</v>
      </c>
    </row>
    <row r="61" spans="1:42" ht="75" x14ac:dyDescent="0.25">
      <c r="A61" s="14" t="s">
        <v>133</v>
      </c>
      <c r="B61" s="14" t="s">
        <v>129</v>
      </c>
      <c r="C61" s="15">
        <v>43999.673611111109</v>
      </c>
      <c r="D61" s="14" t="s">
        <v>73</v>
      </c>
      <c r="E61" s="16" t="s">
        <v>74</v>
      </c>
      <c r="F61" s="14" t="s">
        <v>75</v>
      </c>
      <c r="G61" s="16" t="s">
        <v>76</v>
      </c>
      <c r="H61" s="14" t="s">
        <v>172</v>
      </c>
      <c r="I61" s="16" t="s">
        <v>173</v>
      </c>
      <c r="J61" s="16" t="s">
        <v>174</v>
      </c>
      <c r="K61" s="16" t="s">
        <v>175</v>
      </c>
      <c r="L61" s="14" t="s">
        <v>197</v>
      </c>
      <c r="M61" s="16" t="s">
        <v>198</v>
      </c>
      <c r="N61" s="14" t="s">
        <v>136</v>
      </c>
      <c r="O61" s="16" t="s">
        <v>199</v>
      </c>
      <c r="P61" s="16" t="s">
        <v>200</v>
      </c>
      <c r="Q61" s="16" t="s">
        <v>148</v>
      </c>
      <c r="R61" s="14" t="s">
        <v>149</v>
      </c>
      <c r="S61" s="14" t="s">
        <v>150</v>
      </c>
      <c r="T61" s="14" t="s">
        <v>88</v>
      </c>
      <c r="U61" s="14" t="s">
        <v>140</v>
      </c>
      <c r="V61" s="15">
        <v>43939</v>
      </c>
      <c r="W61" s="15"/>
      <c r="X61" s="16" t="s">
        <v>84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4" t="s">
        <v>84</v>
      </c>
      <c r="AP61" s="16" t="s">
        <v>84</v>
      </c>
    </row>
    <row r="62" spans="1:42" ht="75" x14ac:dyDescent="0.25">
      <c r="A62" s="14" t="s">
        <v>133</v>
      </c>
      <c r="B62" s="14" t="s">
        <v>129</v>
      </c>
      <c r="C62" s="15">
        <v>43999.676388888889</v>
      </c>
      <c r="D62" s="14" t="s">
        <v>73</v>
      </c>
      <c r="E62" s="16" t="s">
        <v>74</v>
      </c>
      <c r="F62" s="14" t="s">
        <v>75</v>
      </c>
      <c r="G62" s="16" t="s">
        <v>76</v>
      </c>
      <c r="H62" s="14" t="s">
        <v>172</v>
      </c>
      <c r="I62" s="16" t="s">
        <v>173</v>
      </c>
      <c r="J62" s="16" t="s">
        <v>174</v>
      </c>
      <c r="K62" s="16" t="s">
        <v>175</v>
      </c>
      <c r="L62" s="14" t="s">
        <v>176</v>
      </c>
      <c r="M62" s="16" t="s">
        <v>177</v>
      </c>
      <c r="N62" s="14" t="s">
        <v>178</v>
      </c>
      <c r="O62" s="16" t="s">
        <v>179</v>
      </c>
      <c r="P62" s="16" t="s">
        <v>180</v>
      </c>
      <c r="Q62" s="16" t="s">
        <v>151</v>
      </c>
      <c r="R62" s="14" t="s">
        <v>152</v>
      </c>
      <c r="S62" s="14" t="s">
        <v>87</v>
      </c>
      <c r="T62" s="14" t="s">
        <v>153</v>
      </c>
      <c r="U62" s="14" t="s">
        <v>140</v>
      </c>
      <c r="V62" s="15">
        <v>43939</v>
      </c>
      <c r="W62" s="15"/>
      <c r="X62" s="16" t="s">
        <v>84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4" t="s">
        <v>84</v>
      </c>
      <c r="AP62" s="16" t="s">
        <v>84</v>
      </c>
    </row>
    <row r="63" spans="1:42" ht="75" x14ac:dyDescent="0.25">
      <c r="A63" s="14" t="s">
        <v>133</v>
      </c>
      <c r="B63" s="14" t="s">
        <v>129</v>
      </c>
      <c r="C63" s="15">
        <v>43999.675000000003</v>
      </c>
      <c r="D63" s="14" t="s">
        <v>73</v>
      </c>
      <c r="E63" s="16" t="s">
        <v>74</v>
      </c>
      <c r="F63" s="14" t="s">
        <v>75</v>
      </c>
      <c r="G63" s="16" t="s">
        <v>76</v>
      </c>
      <c r="H63" s="14" t="s">
        <v>172</v>
      </c>
      <c r="I63" s="16" t="s">
        <v>173</v>
      </c>
      <c r="J63" s="16" t="s">
        <v>174</v>
      </c>
      <c r="K63" s="16" t="s">
        <v>175</v>
      </c>
      <c r="L63" s="14" t="s">
        <v>190</v>
      </c>
      <c r="M63" s="16" t="s">
        <v>191</v>
      </c>
      <c r="N63" s="14" t="s">
        <v>178</v>
      </c>
      <c r="O63" s="16" t="s">
        <v>192</v>
      </c>
      <c r="P63" s="16" t="s">
        <v>193</v>
      </c>
      <c r="Q63" s="16" t="s">
        <v>151</v>
      </c>
      <c r="R63" s="14" t="s">
        <v>152</v>
      </c>
      <c r="S63" s="14" t="s">
        <v>87</v>
      </c>
      <c r="T63" s="14" t="s">
        <v>153</v>
      </c>
      <c r="U63" s="14" t="s">
        <v>140</v>
      </c>
      <c r="V63" s="15">
        <v>43939</v>
      </c>
      <c r="W63" s="15"/>
      <c r="X63" s="16" t="s">
        <v>84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4" t="s">
        <v>84</v>
      </c>
      <c r="AP63" s="16" t="s">
        <v>84</v>
      </c>
    </row>
    <row r="64" spans="1:42" ht="75" x14ac:dyDescent="0.25">
      <c r="A64" s="14" t="s">
        <v>133</v>
      </c>
      <c r="B64" s="14" t="s">
        <v>129</v>
      </c>
      <c r="C64" s="15">
        <v>43999.675694444442</v>
      </c>
      <c r="D64" s="14" t="s">
        <v>73</v>
      </c>
      <c r="E64" s="16" t="s">
        <v>74</v>
      </c>
      <c r="F64" s="14" t="s">
        <v>75</v>
      </c>
      <c r="G64" s="16" t="s">
        <v>76</v>
      </c>
      <c r="H64" s="14" t="s">
        <v>172</v>
      </c>
      <c r="I64" s="16" t="s">
        <v>173</v>
      </c>
      <c r="J64" s="16" t="s">
        <v>174</v>
      </c>
      <c r="K64" s="16" t="s">
        <v>175</v>
      </c>
      <c r="L64" s="14" t="s">
        <v>197</v>
      </c>
      <c r="M64" s="16" t="s">
        <v>198</v>
      </c>
      <c r="N64" s="14" t="s">
        <v>136</v>
      </c>
      <c r="O64" s="16" t="s">
        <v>199</v>
      </c>
      <c r="P64" s="16" t="s">
        <v>200</v>
      </c>
      <c r="Q64" s="16" t="s">
        <v>151</v>
      </c>
      <c r="R64" s="14" t="s">
        <v>152</v>
      </c>
      <c r="S64" s="14" t="s">
        <v>87</v>
      </c>
      <c r="T64" s="14" t="s">
        <v>153</v>
      </c>
      <c r="U64" s="14" t="s">
        <v>140</v>
      </c>
      <c r="V64" s="15">
        <v>43939</v>
      </c>
      <c r="W64" s="15"/>
      <c r="X64" s="16" t="s">
        <v>84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4" t="s">
        <v>84</v>
      </c>
      <c r="AP64" s="16" t="s">
        <v>84</v>
      </c>
    </row>
    <row r="65" spans="1:42" ht="75" x14ac:dyDescent="0.25">
      <c r="A65" s="14" t="s">
        <v>133</v>
      </c>
      <c r="B65" s="14" t="s">
        <v>129</v>
      </c>
      <c r="C65" s="15">
        <v>43999.677083333336</v>
      </c>
      <c r="D65" s="14" t="s">
        <v>73</v>
      </c>
      <c r="E65" s="16" t="s">
        <v>74</v>
      </c>
      <c r="F65" s="14" t="s">
        <v>75</v>
      </c>
      <c r="G65" s="16" t="s">
        <v>76</v>
      </c>
      <c r="H65" s="14" t="s">
        <v>172</v>
      </c>
      <c r="I65" s="16" t="s">
        <v>173</v>
      </c>
      <c r="J65" s="16" t="s">
        <v>174</v>
      </c>
      <c r="K65" s="16" t="s">
        <v>175</v>
      </c>
      <c r="L65" s="14" t="s">
        <v>176</v>
      </c>
      <c r="M65" s="16" t="s">
        <v>177</v>
      </c>
      <c r="N65" s="14" t="s">
        <v>178</v>
      </c>
      <c r="O65" s="16" t="s">
        <v>179</v>
      </c>
      <c r="P65" s="16" t="s">
        <v>180</v>
      </c>
      <c r="Q65" s="16" t="s">
        <v>154</v>
      </c>
      <c r="R65" s="14" t="s">
        <v>155</v>
      </c>
      <c r="S65" s="14" t="s">
        <v>146</v>
      </c>
      <c r="T65" s="14" t="s">
        <v>153</v>
      </c>
      <c r="U65" s="14" t="s">
        <v>140</v>
      </c>
      <c r="V65" s="15">
        <v>43939</v>
      </c>
      <c r="W65" s="15"/>
      <c r="X65" s="16" t="s">
        <v>84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4" t="s">
        <v>84</v>
      </c>
      <c r="AP65" s="16" t="s">
        <v>84</v>
      </c>
    </row>
    <row r="66" spans="1:42" ht="75" x14ac:dyDescent="0.25">
      <c r="A66" s="14" t="s">
        <v>133</v>
      </c>
      <c r="B66" s="14" t="s">
        <v>129</v>
      </c>
      <c r="C66" s="15">
        <v>43999.675694444442</v>
      </c>
      <c r="D66" s="14" t="s">
        <v>73</v>
      </c>
      <c r="E66" s="16" t="s">
        <v>74</v>
      </c>
      <c r="F66" s="14" t="s">
        <v>75</v>
      </c>
      <c r="G66" s="16" t="s">
        <v>76</v>
      </c>
      <c r="H66" s="14" t="s">
        <v>172</v>
      </c>
      <c r="I66" s="16" t="s">
        <v>173</v>
      </c>
      <c r="J66" s="16" t="s">
        <v>174</v>
      </c>
      <c r="K66" s="16" t="s">
        <v>175</v>
      </c>
      <c r="L66" s="14" t="s">
        <v>190</v>
      </c>
      <c r="M66" s="16" t="s">
        <v>191</v>
      </c>
      <c r="N66" s="14" t="s">
        <v>178</v>
      </c>
      <c r="O66" s="16" t="s">
        <v>192</v>
      </c>
      <c r="P66" s="16" t="s">
        <v>193</v>
      </c>
      <c r="Q66" s="16" t="s">
        <v>154</v>
      </c>
      <c r="R66" s="14" t="s">
        <v>155</v>
      </c>
      <c r="S66" s="14" t="s">
        <v>146</v>
      </c>
      <c r="T66" s="14" t="s">
        <v>153</v>
      </c>
      <c r="U66" s="14" t="s">
        <v>140</v>
      </c>
      <c r="V66" s="15">
        <v>43939</v>
      </c>
      <c r="W66" s="15"/>
      <c r="X66" s="16" t="s">
        <v>84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4" t="s">
        <v>84</v>
      </c>
      <c r="AP66" s="16" t="s">
        <v>84</v>
      </c>
    </row>
    <row r="67" spans="1:42" ht="75" x14ac:dyDescent="0.25">
      <c r="A67" s="14" t="s">
        <v>133</v>
      </c>
      <c r="B67" s="14" t="s">
        <v>129</v>
      </c>
      <c r="C67" s="15">
        <v>43999.676388888889</v>
      </c>
      <c r="D67" s="14" t="s">
        <v>73</v>
      </c>
      <c r="E67" s="16" t="s">
        <v>74</v>
      </c>
      <c r="F67" s="14" t="s">
        <v>75</v>
      </c>
      <c r="G67" s="16" t="s">
        <v>76</v>
      </c>
      <c r="H67" s="14" t="s">
        <v>172</v>
      </c>
      <c r="I67" s="16" t="s">
        <v>173</v>
      </c>
      <c r="J67" s="16" t="s">
        <v>174</v>
      </c>
      <c r="K67" s="16" t="s">
        <v>175</v>
      </c>
      <c r="L67" s="14" t="s">
        <v>197</v>
      </c>
      <c r="M67" s="16" t="s">
        <v>198</v>
      </c>
      <c r="N67" s="14" t="s">
        <v>136</v>
      </c>
      <c r="O67" s="16" t="s">
        <v>199</v>
      </c>
      <c r="P67" s="16" t="s">
        <v>200</v>
      </c>
      <c r="Q67" s="16" t="s">
        <v>154</v>
      </c>
      <c r="R67" s="14" t="s">
        <v>155</v>
      </c>
      <c r="S67" s="14" t="s">
        <v>146</v>
      </c>
      <c r="T67" s="14" t="s">
        <v>153</v>
      </c>
      <c r="U67" s="14" t="s">
        <v>140</v>
      </c>
      <c r="V67" s="15">
        <v>43939</v>
      </c>
      <c r="W67" s="15"/>
      <c r="X67" s="16" t="s">
        <v>84</v>
      </c>
      <c r="Y67" s="17"/>
      <c r="Z67" s="18"/>
      <c r="AA67" s="17"/>
      <c r="AB67" s="18"/>
      <c r="AC67" s="17"/>
      <c r="AD67" s="18"/>
      <c r="AE67" s="17"/>
      <c r="AF67" s="18"/>
      <c r="AG67" s="17"/>
      <c r="AH67" s="18"/>
      <c r="AI67" s="17"/>
      <c r="AJ67" s="18"/>
      <c r="AK67" s="17"/>
      <c r="AL67" s="18"/>
      <c r="AM67" s="17"/>
      <c r="AN67" s="18"/>
      <c r="AO67" s="14" t="s">
        <v>84</v>
      </c>
      <c r="AP67" s="16" t="s">
        <v>84</v>
      </c>
    </row>
    <row r="68" spans="1:42" ht="75" x14ac:dyDescent="0.25">
      <c r="A68" s="14" t="s">
        <v>133</v>
      </c>
      <c r="B68" s="14" t="s">
        <v>129</v>
      </c>
      <c r="C68" s="15">
        <v>44005.594444444447</v>
      </c>
      <c r="D68" s="14" t="s">
        <v>73</v>
      </c>
      <c r="E68" s="16" t="s">
        <v>74</v>
      </c>
      <c r="F68" s="14" t="s">
        <v>75</v>
      </c>
      <c r="G68" s="16" t="s">
        <v>76</v>
      </c>
      <c r="H68" s="14" t="s">
        <v>205</v>
      </c>
      <c r="I68" s="16" t="s">
        <v>206</v>
      </c>
      <c r="J68" s="16" t="s">
        <v>207</v>
      </c>
      <c r="K68" s="16" t="s">
        <v>208</v>
      </c>
      <c r="L68" s="14" t="s">
        <v>209</v>
      </c>
      <c r="M68" s="16" t="s">
        <v>210</v>
      </c>
      <c r="N68" s="14" t="s">
        <v>178</v>
      </c>
      <c r="O68" s="16" t="s">
        <v>179</v>
      </c>
      <c r="P68" s="16" t="s">
        <v>180</v>
      </c>
      <c r="Q68" s="16" t="s">
        <v>85</v>
      </c>
      <c r="R68" s="14" t="s">
        <v>86</v>
      </c>
      <c r="S68" s="14" t="s">
        <v>87</v>
      </c>
      <c r="T68" s="14" t="s">
        <v>88</v>
      </c>
      <c r="U68" s="14" t="s">
        <v>89</v>
      </c>
      <c r="V68" s="15">
        <v>43939</v>
      </c>
      <c r="W68" s="15"/>
      <c r="X68" s="16" t="s">
        <v>84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4" t="s">
        <v>84</v>
      </c>
      <c r="AP68" s="16" t="s">
        <v>84</v>
      </c>
    </row>
    <row r="69" spans="1:42" ht="150" x14ac:dyDescent="0.25">
      <c r="A69" s="14" t="s">
        <v>71</v>
      </c>
      <c r="B69" s="14" t="s">
        <v>72</v>
      </c>
      <c r="C69" s="15">
        <v>44711.479861111111</v>
      </c>
      <c r="D69" s="14" t="s">
        <v>73</v>
      </c>
      <c r="E69" s="16" t="s">
        <v>74</v>
      </c>
      <c r="F69" s="14" t="s">
        <v>75</v>
      </c>
      <c r="G69" s="16" t="s">
        <v>76</v>
      </c>
      <c r="H69" s="14" t="s">
        <v>205</v>
      </c>
      <c r="I69" s="16" t="s">
        <v>206</v>
      </c>
      <c r="J69" s="16" t="s">
        <v>207</v>
      </c>
      <c r="K69" s="16" t="s">
        <v>208</v>
      </c>
      <c r="L69" s="14" t="s">
        <v>211</v>
      </c>
      <c r="M69" s="16" t="s">
        <v>212</v>
      </c>
      <c r="N69" s="14" t="s">
        <v>178</v>
      </c>
      <c r="O69" s="16" t="s">
        <v>192</v>
      </c>
      <c r="P69" s="16" t="s">
        <v>193</v>
      </c>
      <c r="Q69" s="16" t="s">
        <v>85</v>
      </c>
      <c r="R69" s="14" t="s">
        <v>86</v>
      </c>
      <c r="S69" s="14" t="s">
        <v>87</v>
      </c>
      <c r="T69" s="14" t="s">
        <v>88</v>
      </c>
      <c r="U69" s="14" t="s">
        <v>89</v>
      </c>
      <c r="V69" s="15">
        <v>43939</v>
      </c>
      <c r="W69" s="15"/>
      <c r="X69" s="16" t="s">
        <v>317</v>
      </c>
      <c r="Y69" s="17" t="s">
        <v>318</v>
      </c>
      <c r="Z69" s="18" t="str">
        <f>VLOOKUP(Y69,'Axe 2 Règles de gestion'!$D$2:$F$41,3, FALSE)</f>
        <v>Rémunération : L'agent ne perçoit plus de rémunération.</v>
      </c>
      <c r="AA69" s="17" t="s">
        <v>296</v>
      </c>
      <c r="AB69" s="18" t="str">
        <f>VLOOKUP(AA69,'Axe 2 Règles de gestion'!$D$2:$F$41,3, FALSE)</f>
        <v>Classement : L'agent est classé dans son corps.</v>
      </c>
      <c r="AC69" s="17" t="s">
        <v>298</v>
      </c>
      <c r="AD69" s="18" t="str">
        <f>VLOOKUP(AC69,'Axe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69" s="17" t="s">
        <v>300</v>
      </c>
      <c r="AF69" s="18" t="str">
        <f>VLOOKUP(AE69,'Axe 2 Règles de gestion'!$D$2:$F$41,3, FALSE)</f>
        <v>Evaluation professionnelle : L'agent est évalué par l'administration d'accueil.</v>
      </c>
      <c r="AG69" s="17" t="s">
        <v>302</v>
      </c>
      <c r="AH69" s="18" t="str">
        <f>VLOOKUP(AG69,'Axe 2 Règles de gestion'!$D$2:$F$41,3, FALSE)</f>
        <v>Congés annuels : L'agent cumule des droits à congé. L'administration d'accueil gère les droits à congés annuels de l'agent.</v>
      </c>
      <c r="AI69" s="17" t="s">
        <v>304</v>
      </c>
      <c r="AJ69" s="18" t="str">
        <f>VLOOKUP(AI69,'Axe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69" s="17" t="s">
        <v>306</v>
      </c>
      <c r="AL69" s="18" t="str">
        <f>VLOOKUP(AK69,'Axe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69" s="17" t="s">
        <v>308</v>
      </c>
      <c r="AN69" s="18" t="str">
        <f>VLOOKUP(AM69,'Axe 2 Règles de gestion'!$D$2:$F$41,3, FALSE)</f>
        <v>Acte : Un acte administratif doit être produit.</v>
      </c>
      <c r="AO69" s="14" t="s">
        <v>84</v>
      </c>
      <c r="AP69" s="16" t="s">
        <v>84</v>
      </c>
    </row>
    <row r="70" spans="1:42" ht="75" x14ac:dyDescent="0.25">
      <c r="A70" s="14" t="s">
        <v>133</v>
      </c>
      <c r="B70" s="14" t="s">
        <v>129</v>
      </c>
      <c r="C70" s="15">
        <v>44721.455555555556</v>
      </c>
      <c r="D70" s="14" t="s">
        <v>73</v>
      </c>
      <c r="E70" s="16" t="s">
        <v>74</v>
      </c>
      <c r="F70" s="14" t="s">
        <v>75</v>
      </c>
      <c r="G70" s="16" t="s">
        <v>76</v>
      </c>
      <c r="H70" s="14" t="s">
        <v>205</v>
      </c>
      <c r="I70" s="16" t="s">
        <v>206</v>
      </c>
      <c r="J70" s="16" t="s">
        <v>207</v>
      </c>
      <c r="K70" s="16" t="s">
        <v>208</v>
      </c>
      <c r="L70" s="14" t="s">
        <v>213</v>
      </c>
      <c r="M70" s="16" t="s">
        <v>214</v>
      </c>
      <c r="N70" s="14" t="s">
        <v>136</v>
      </c>
      <c r="O70" s="16" t="s">
        <v>199</v>
      </c>
      <c r="P70" s="16" t="s">
        <v>200</v>
      </c>
      <c r="Q70" s="16" t="s">
        <v>85</v>
      </c>
      <c r="R70" s="14" t="s">
        <v>86</v>
      </c>
      <c r="S70" s="14" t="s">
        <v>87</v>
      </c>
      <c r="T70" s="14" t="s">
        <v>88</v>
      </c>
      <c r="U70" s="14" t="s">
        <v>89</v>
      </c>
      <c r="V70" s="15">
        <v>43939</v>
      </c>
      <c r="W70" s="15"/>
      <c r="X70" s="16" t="s">
        <v>84</v>
      </c>
      <c r="Y70" s="17"/>
      <c r="Z70" s="18"/>
      <c r="AA70" s="17"/>
      <c r="AB70" s="18"/>
      <c r="AC70" s="17"/>
      <c r="AD70" s="18"/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4" t="s">
        <v>84</v>
      </c>
      <c r="AP70" s="16" t="s">
        <v>84</v>
      </c>
    </row>
    <row r="71" spans="1:42" ht="75" x14ac:dyDescent="0.25">
      <c r="A71" s="14" t="s">
        <v>133</v>
      </c>
      <c r="B71" s="14" t="s">
        <v>129</v>
      </c>
      <c r="C71" s="15">
        <v>43999.684027777781</v>
      </c>
      <c r="D71" s="14" t="s">
        <v>73</v>
      </c>
      <c r="E71" s="16" t="s">
        <v>74</v>
      </c>
      <c r="F71" s="14" t="s">
        <v>75</v>
      </c>
      <c r="G71" s="16" t="s">
        <v>76</v>
      </c>
      <c r="H71" s="14" t="s">
        <v>205</v>
      </c>
      <c r="I71" s="16" t="s">
        <v>206</v>
      </c>
      <c r="J71" s="16" t="s">
        <v>207</v>
      </c>
      <c r="K71" s="16" t="s">
        <v>208</v>
      </c>
      <c r="L71" s="14" t="s">
        <v>209</v>
      </c>
      <c r="M71" s="16" t="s">
        <v>210</v>
      </c>
      <c r="N71" s="14" t="s">
        <v>178</v>
      </c>
      <c r="O71" s="16" t="s">
        <v>179</v>
      </c>
      <c r="P71" s="16" t="s">
        <v>180</v>
      </c>
      <c r="Q71" s="16" t="s">
        <v>138</v>
      </c>
      <c r="R71" s="14" t="s">
        <v>139</v>
      </c>
      <c r="S71" s="14" t="s">
        <v>72</v>
      </c>
      <c r="T71" s="14" t="s">
        <v>88</v>
      </c>
      <c r="U71" s="14" t="s">
        <v>140</v>
      </c>
      <c r="V71" s="15">
        <v>43939</v>
      </c>
      <c r="W71" s="15"/>
      <c r="X71" s="16" t="s">
        <v>84</v>
      </c>
      <c r="Y71" s="17"/>
      <c r="Z71" s="18"/>
      <c r="AA71" s="17"/>
      <c r="AB71" s="18"/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4" t="s">
        <v>84</v>
      </c>
      <c r="AP71" s="16" t="s">
        <v>84</v>
      </c>
    </row>
    <row r="72" spans="1:42" ht="75" x14ac:dyDescent="0.25">
      <c r="A72" s="14" t="s">
        <v>133</v>
      </c>
      <c r="B72" s="14" t="s">
        <v>129</v>
      </c>
      <c r="C72" s="15">
        <v>43999.681944444441</v>
      </c>
      <c r="D72" s="14" t="s">
        <v>73</v>
      </c>
      <c r="E72" s="16" t="s">
        <v>74</v>
      </c>
      <c r="F72" s="14" t="s">
        <v>75</v>
      </c>
      <c r="G72" s="16" t="s">
        <v>76</v>
      </c>
      <c r="H72" s="14" t="s">
        <v>205</v>
      </c>
      <c r="I72" s="16" t="s">
        <v>206</v>
      </c>
      <c r="J72" s="16" t="s">
        <v>207</v>
      </c>
      <c r="K72" s="16" t="s">
        <v>208</v>
      </c>
      <c r="L72" s="14" t="s">
        <v>211</v>
      </c>
      <c r="M72" s="16" t="s">
        <v>212</v>
      </c>
      <c r="N72" s="14" t="s">
        <v>178</v>
      </c>
      <c r="O72" s="16" t="s">
        <v>192</v>
      </c>
      <c r="P72" s="16" t="s">
        <v>193</v>
      </c>
      <c r="Q72" s="16" t="s">
        <v>138</v>
      </c>
      <c r="R72" s="14" t="s">
        <v>139</v>
      </c>
      <c r="S72" s="14" t="s">
        <v>72</v>
      </c>
      <c r="T72" s="14" t="s">
        <v>88</v>
      </c>
      <c r="U72" s="14" t="s">
        <v>140</v>
      </c>
      <c r="V72" s="15">
        <v>43939</v>
      </c>
      <c r="W72" s="15"/>
      <c r="X72" s="16" t="s">
        <v>84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4" t="s">
        <v>84</v>
      </c>
      <c r="AP72" s="16" t="s">
        <v>84</v>
      </c>
    </row>
    <row r="73" spans="1:42" ht="75" x14ac:dyDescent="0.25">
      <c r="A73" s="14" t="s">
        <v>133</v>
      </c>
      <c r="B73" s="14" t="s">
        <v>129</v>
      </c>
      <c r="C73" s="15">
        <v>43999.683333333334</v>
      </c>
      <c r="D73" s="14" t="s">
        <v>73</v>
      </c>
      <c r="E73" s="16" t="s">
        <v>74</v>
      </c>
      <c r="F73" s="14" t="s">
        <v>75</v>
      </c>
      <c r="G73" s="16" t="s">
        <v>76</v>
      </c>
      <c r="H73" s="14" t="s">
        <v>205</v>
      </c>
      <c r="I73" s="16" t="s">
        <v>206</v>
      </c>
      <c r="J73" s="16" t="s">
        <v>207</v>
      </c>
      <c r="K73" s="16" t="s">
        <v>208</v>
      </c>
      <c r="L73" s="14" t="s">
        <v>213</v>
      </c>
      <c r="M73" s="16" t="s">
        <v>214</v>
      </c>
      <c r="N73" s="14" t="s">
        <v>136</v>
      </c>
      <c r="O73" s="16" t="s">
        <v>199</v>
      </c>
      <c r="P73" s="16" t="s">
        <v>200</v>
      </c>
      <c r="Q73" s="16" t="s">
        <v>138</v>
      </c>
      <c r="R73" s="14" t="s">
        <v>139</v>
      </c>
      <c r="S73" s="14" t="s">
        <v>72</v>
      </c>
      <c r="T73" s="14" t="s">
        <v>88</v>
      </c>
      <c r="U73" s="14" t="s">
        <v>140</v>
      </c>
      <c r="V73" s="15">
        <v>43939</v>
      </c>
      <c r="W73" s="15"/>
      <c r="X73" s="16" t="s">
        <v>84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4" t="s">
        <v>84</v>
      </c>
      <c r="AP73" s="16" t="s">
        <v>84</v>
      </c>
    </row>
    <row r="74" spans="1:42" ht="75" x14ac:dyDescent="0.25">
      <c r="A74" s="14" t="s">
        <v>133</v>
      </c>
      <c r="B74" s="14" t="s">
        <v>129</v>
      </c>
      <c r="C74" s="15">
        <v>43999.684027777781</v>
      </c>
      <c r="D74" s="14" t="s">
        <v>73</v>
      </c>
      <c r="E74" s="16" t="s">
        <v>74</v>
      </c>
      <c r="F74" s="14" t="s">
        <v>75</v>
      </c>
      <c r="G74" s="16" t="s">
        <v>76</v>
      </c>
      <c r="H74" s="14" t="s">
        <v>205</v>
      </c>
      <c r="I74" s="16" t="s">
        <v>206</v>
      </c>
      <c r="J74" s="16" t="s">
        <v>207</v>
      </c>
      <c r="K74" s="16" t="s">
        <v>208</v>
      </c>
      <c r="L74" s="14" t="s">
        <v>209</v>
      </c>
      <c r="M74" s="16" t="s">
        <v>210</v>
      </c>
      <c r="N74" s="14" t="s">
        <v>178</v>
      </c>
      <c r="O74" s="16" t="s">
        <v>179</v>
      </c>
      <c r="P74" s="16" t="s">
        <v>180</v>
      </c>
      <c r="Q74" s="16" t="s">
        <v>141</v>
      </c>
      <c r="R74" s="14" t="s">
        <v>142</v>
      </c>
      <c r="S74" s="14" t="s">
        <v>143</v>
      </c>
      <c r="T74" s="14" t="s">
        <v>88</v>
      </c>
      <c r="U74" s="14" t="s">
        <v>140</v>
      </c>
      <c r="V74" s="15">
        <v>43939</v>
      </c>
      <c r="W74" s="15"/>
      <c r="X74" s="16" t="s">
        <v>84</v>
      </c>
      <c r="Y74" s="17"/>
      <c r="Z74" s="18"/>
      <c r="AA74" s="17"/>
      <c r="AB74" s="18"/>
      <c r="AC74" s="17"/>
      <c r="AD74" s="18"/>
      <c r="AE74" s="17"/>
      <c r="AF74" s="18"/>
      <c r="AG74" s="17"/>
      <c r="AH74" s="18"/>
      <c r="AI74" s="17"/>
      <c r="AJ74" s="18"/>
      <c r="AK74" s="17"/>
      <c r="AL74" s="18"/>
      <c r="AM74" s="17"/>
      <c r="AN74" s="18"/>
      <c r="AO74" s="14" t="s">
        <v>84</v>
      </c>
      <c r="AP74" s="16" t="s">
        <v>84</v>
      </c>
    </row>
    <row r="75" spans="1:42" ht="75" x14ac:dyDescent="0.25">
      <c r="A75" s="14" t="s">
        <v>133</v>
      </c>
      <c r="B75" s="14" t="s">
        <v>129</v>
      </c>
      <c r="C75" s="15">
        <v>43999.682638888888</v>
      </c>
      <c r="D75" s="14" t="s">
        <v>73</v>
      </c>
      <c r="E75" s="16" t="s">
        <v>74</v>
      </c>
      <c r="F75" s="14" t="s">
        <v>75</v>
      </c>
      <c r="G75" s="16" t="s">
        <v>76</v>
      </c>
      <c r="H75" s="14" t="s">
        <v>205</v>
      </c>
      <c r="I75" s="16" t="s">
        <v>206</v>
      </c>
      <c r="J75" s="16" t="s">
        <v>207</v>
      </c>
      <c r="K75" s="16" t="s">
        <v>208</v>
      </c>
      <c r="L75" s="14" t="s">
        <v>211</v>
      </c>
      <c r="M75" s="16" t="s">
        <v>212</v>
      </c>
      <c r="N75" s="14" t="s">
        <v>178</v>
      </c>
      <c r="O75" s="16" t="s">
        <v>192</v>
      </c>
      <c r="P75" s="16" t="s">
        <v>193</v>
      </c>
      <c r="Q75" s="16" t="s">
        <v>141</v>
      </c>
      <c r="R75" s="14" t="s">
        <v>142</v>
      </c>
      <c r="S75" s="14" t="s">
        <v>143</v>
      </c>
      <c r="T75" s="14" t="s">
        <v>88</v>
      </c>
      <c r="U75" s="14" t="s">
        <v>140</v>
      </c>
      <c r="V75" s="15">
        <v>43939</v>
      </c>
      <c r="W75" s="15"/>
      <c r="X75" s="16" t="s">
        <v>84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4" t="s">
        <v>84</v>
      </c>
      <c r="AP75" s="16" t="s">
        <v>84</v>
      </c>
    </row>
    <row r="76" spans="1:42" ht="75" x14ac:dyDescent="0.25">
      <c r="A76" s="14" t="s">
        <v>133</v>
      </c>
      <c r="B76" s="14" t="s">
        <v>129</v>
      </c>
      <c r="C76" s="15">
        <v>43999.683333333334</v>
      </c>
      <c r="D76" s="14" t="s">
        <v>73</v>
      </c>
      <c r="E76" s="16" t="s">
        <v>74</v>
      </c>
      <c r="F76" s="14" t="s">
        <v>75</v>
      </c>
      <c r="G76" s="16" t="s">
        <v>76</v>
      </c>
      <c r="H76" s="14" t="s">
        <v>205</v>
      </c>
      <c r="I76" s="16" t="s">
        <v>206</v>
      </c>
      <c r="J76" s="16" t="s">
        <v>207</v>
      </c>
      <c r="K76" s="16" t="s">
        <v>208</v>
      </c>
      <c r="L76" s="14" t="s">
        <v>213</v>
      </c>
      <c r="M76" s="16" t="s">
        <v>214</v>
      </c>
      <c r="N76" s="14" t="s">
        <v>136</v>
      </c>
      <c r="O76" s="16" t="s">
        <v>199</v>
      </c>
      <c r="P76" s="16" t="s">
        <v>200</v>
      </c>
      <c r="Q76" s="16" t="s">
        <v>141</v>
      </c>
      <c r="R76" s="14" t="s">
        <v>142</v>
      </c>
      <c r="S76" s="14" t="s">
        <v>143</v>
      </c>
      <c r="T76" s="14" t="s">
        <v>88</v>
      </c>
      <c r="U76" s="14" t="s">
        <v>140</v>
      </c>
      <c r="V76" s="15">
        <v>43939</v>
      </c>
      <c r="W76" s="15"/>
      <c r="X76" s="16" t="s">
        <v>84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4" t="s">
        <v>84</v>
      </c>
      <c r="AP76" s="16" t="s">
        <v>84</v>
      </c>
    </row>
    <row r="77" spans="1:42" ht="75" x14ac:dyDescent="0.25">
      <c r="A77" s="14" t="s">
        <v>133</v>
      </c>
      <c r="B77" s="14" t="s">
        <v>129</v>
      </c>
      <c r="C77" s="15">
        <v>44005.594444444447</v>
      </c>
      <c r="D77" s="14" t="s">
        <v>73</v>
      </c>
      <c r="E77" s="16" t="s">
        <v>74</v>
      </c>
      <c r="F77" s="14" t="s">
        <v>75</v>
      </c>
      <c r="G77" s="16" t="s">
        <v>76</v>
      </c>
      <c r="H77" s="14" t="s">
        <v>205</v>
      </c>
      <c r="I77" s="16" t="s">
        <v>206</v>
      </c>
      <c r="J77" s="16" t="s">
        <v>207</v>
      </c>
      <c r="K77" s="16" t="s">
        <v>208</v>
      </c>
      <c r="L77" s="14" t="s">
        <v>209</v>
      </c>
      <c r="M77" s="16" t="s">
        <v>210</v>
      </c>
      <c r="N77" s="14" t="s">
        <v>178</v>
      </c>
      <c r="O77" s="16" t="s">
        <v>179</v>
      </c>
      <c r="P77" s="16" t="s">
        <v>180</v>
      </c>
      <c r="Q77" s="16" t="s">
        <v>144</v>
      </c>
      <c r="R77" s="14" t="s">
        <v>145</v>
      </c>
      <c r="S77" s="14" t="s">
        <v>146</v>
      </c>
      <c r="T77" s="14" t="s">
        <v>88</v>
      </c>
      <c r="U77" s="14" t="s">
        <v>89</v>
      </c>
      <c r="V77" s="15">
        <v>43939</v>
      </c>
      <c r="W77" s="15"/>
      <c r="X77" s="16" t="s">
        <v>84</v>
      </c>
      <c r="Y77" s="17"/>
      <c r="Z77" s="18"/>
      <c r="AA77" s="17"/>
      <c r="AB77" s="18"/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4" t="s">
        <v>84</v>
      </c>
      <c r="AP77" s="16" t="s">
        <v>84</v>
      </c>
    </row>
    <row r="78" spans="1:42" ht="150" x14ac:dyDescent="0.25">
      <c r="A78" s="14" t="s">
        <v>71</v>
      </c>
      <c r="B78" s="14" t="s">
        <v>72</v>
      </c>
      <c r="C78" s="15">
        <v>44711.480555555558</v>
      </c>
      <c r="D78" s="14" t="s">
        <v>73</v>
      </c>
      <c r="E78" s="16" t="s">
        <v>74</v>
      </c>
      <c r="F78" s="14" t="s">
        <v>75</v>
      </c>
      <c r="G78" s="16" t="s">
        <v>76</v>
      </c>
      <c r="H78" s="14" t="s">
        <v>205</v>
      </c>
      <c r="I78" s="16" t="s">
        <v>206</v>
      </c>
      <c r="J78" s="16" t="s">
        <v>207</v>
      </c>
      <c r="K78" s="16" t="s">
        <v>208</v>
      </c>
      <c r="L78" s="14" t="s">
        <v>211</v>
      </c>
      <c r="M78" s="16" t="s">
        <v>212</v>
      </c>
      <c r="N78" s="14" t="s">
        <v>178</v>
      </c>
      <c r="O78" s="16" t="s">
        <v>192</v>
      </c>
      <c r="P78" s="16" t="s">
        <v>193</v>
      </c>
      <c r="Q78" s="16" t="s">
        <v>144</v>
      </c>
      <c r="R78" s="14" t="s">
        <v>145</v>
      </c>
      <c r="S78" s="14" t="s">
        <v>146</v>
      </c>
      <c r="T78" s="14" t="s">
        <v>88</v>
      </c>
      <c r="U78" s="14" t="s">
        <v>89</v>
      </c>
      <c r="V78" s="15">
        <v>43939</v>
      </c>
      <c r="W78" s="15"/>
      <c r="X78" s="16" t="s">
        <v>320</v>
      </c>
      <c r="Y78" s="17" t="s">
        <v>318</v>
      </c>
      <c r="Z78" s="18" t="str">
        <f>VLOOKUP(Y78,'Axe 2 Règles de gestion'!$D$2:$F$41,3, FALSE)</f>
        <v>Rémunération : L'agent ne perçoit plus de rémunération.</v>
      </c>
      <c r="AA78" s="17" t="s">
        <v>296</v>
      </c>
      <c r="AB78" s="18" t="str">
        <f>VLOOKUP(AA78,'Axe 2 Règles de gestion'!$D$2:$F$41,3, FALSE)</f>
        <v>Classement : L'agent est classé dans son corps.</v>
      </c>
      <c r="AC78" s="17" t="s">
        <v>311</v>
      </c>
      <c r="AD78" s="18" t="str">
        <f>VLOOKUP(AC78,'Axe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78" s="17" t="s">
        <v>313</v>
      </c>
      <c r="AF78" s="18" t="str">
        <f>VLOOKUP(AE78,'Axe 2 Règles de gestion'!$D$2:$F$41,3, FALSE)</f>
        <v>Evaluation professionnelle : L'administration d'accueil établit le rapport de titularisation de l'agent.</v>
      </c>
      <c r="AG78" s="17" t="s">
        <v>302</v>
      </c>
      <c r="AH78" s="18" t="str">
        <f>VLOOKUP(AG78,'Axe 2 Règles de gestion'!$D$2:$F$41,3, FALSE)</f>
        <v>Congés annuels : L'agent cumule des droits à congé. L'administration d'accueil gère les droits à congés annuels de l'agent.</v>
      </c>
      <c r="AI78" s="17" t="s">
        <v>304</v>
      </c>
      <c r="AJ78" s="18" t="str">
        <f>VLOOKUP(AI78,'Axe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78" s="17" t="s">
        <v>315</v>
      </c>
      <c r="AL78" s="18" t="str">
        <f>VLOOKUP(AK78,'Axe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78" s="17" t="s">
        <v>308</v>
      </c>
      <c r="AN78" s="18" t="str">
        <f>VLOOKUP(AM78,'Axe 2 Règles de gestion'!$D$2:$F$41,3, FALSE)</f>
        <v>Acte : Un acte administratif doit être produit.</v>
      </c>
      <c r="AO78" s="14" t="s">
        <v>84</v>
      </c>
      <c r="AP78" s="16" t="s">
        <v>84</v>
      </c>
    </row>
    <row r="79" spans="1:42" ht="75" x14ac:dyDescent="0.25">
      <c r="A79" s="14" t="s">
        <v>133</v>
      </c>
      <c r="B79" s="14" t="s">
        <v>129</v>
      </c>
      <c r="C79" s="15">
        <v>44721.456250000003</v>
      </c>
      <c r="D79" s="14" t="s">
        <v>73</v>
      </c>
      <c r="E79" s="16" t="s">
        <v>74</v>
      </c>
      <c r="F79" s="14" t="s">
        <v>75</v>
      </c>
      <c r="G79" s="16" t="s">
        <v>76</v>
      </c>
      <c r="H79" s="14" t="s">
        <v>205</v>
      </c>
      <c r="I79" s="16" t="s">
        <v>206</v>
      </c>
      <c r="J79" s="16" t="s">
        <v>207</v>
      </c>
      <c r="K79" s="16" t="s">
        <v>208</v>
      </c>
      <c r="L79" s="14" t="s">
        <v>213</v>
      </c>
      <c r="M79" s="16" t="s">
        <v>214</v>
      </c>
      <c r="N79" s="14" t="s">
        <v>136</v>
      </c>
      <c r="O79" s="16" t="s">
        <v>199</v>
      </c>
      <c r="P79" s="16" t="s">
        <v>200</v>
      </c>
      <c r="Q79" s="16" t="s">
        <v>144</v>
      </c>
      <c r="R79" s="14" t="s">
        <v>145</v>
      </c>
      <c r="S79" s="14" t="s">
        <v>146</v>
      </c>
      <c r="T79" s="14" t="s">
        <v>88</v>
      </c>
      <c r="U79" s="14" t="s">
        <v>89</v>
      </c>
      <c r="V79" s="15">
        <v>43939</v>
      </c>
      <c r="W79" s="15"/>
      <c r="X79" s="16" t="s">
        <v>84</v>
      </c>
      <c r="Y79" s="17"/>
      <c r="Z79" s="18"/>
      <c r="AA79" s="17"/>
      <c r="AB79" s="18"/>
      <c r="AC79" s="17"/>
      <c r="AD79" s="18"/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4" t="s">
        <v>84</v>
      </c>
      <c r="AP79" s="16" t="s">
        <v>84</v>
      </c>
    </row>
    <row r="80" spans="1:42" ht="75" x14ac:dyDescent="0.25">
      <c r="A80" s="14" t="s">
        <v>133</v>
      </c>
      <c r="B80" s="14" t="s">
        <v>129</v>
      </c>
      <c r="C80" s="15">
        <v>43999.68472222222</v>
      </c>
      <c r="D80" s="14" t="s">
        <v>73</v>
      </c>
      <c r="E80" s="16" t="s">
        <v>74</v>
      </c>
      <c r="F80" s="14" t="s">
        <v>75</v>
      </c>
      <c r="G80" s="16" t="s">
        <v>76</v>
      </c>
      <c r="H80" s="14" t="s">
        <v>205</v>
      </c>
      <c r="I80" s="16" t="s">
        <v>206</v>
      </c>
      <c r="J80" s="16" t="s">
        <v>207</v>
      </c>
      <c r="K80" s="16" t="s">
        <v>208</v>
      </c>
      <c r="L80" s="14" t="s">
        <v>209</v>
      </c>
      <c r="M80" s="16" t="s">
        <v>210</v>
      </c>
      <c r="N80" s="14" t="s">
        <v>178</v>
      </c>
      <c r="O80" s="16" t="s">
        <v>179</v>
      </c>
      <c r="P80" s="16" t="s">
        <v>180</v>
      </c>
      <c r="Q80" s="16" t="s">
        <v>148</v>
      </c>
      <c r="R80" s="14" t="s">
        <v>149</v>
      </c>
      <c r="S80" s="14" t="s">
        <v>150</v>
      </c>
      <c r="T80" s="14" t="s">
        <v>88</v>
      </c>
      <c r="U80" s="14" t="s">
        <v>140</v>
      </c>
      <c r="V80" s="15">
        <v>43939</v>
      </c>
      <c r="W80" s="15"/>
      <c r="X80" s="16" t="s">
        <v>84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4" t="s">
        <v>84</v>
      </c>
      <c r="AP80" s="16" t="s">
        <v>84</v>
      </c>
    </row>
    <row r="81" spans="1:42" ht="75" x14ac:dyDescent="0.25">
      <c r="A81" s="14" t="s">
        <v>133</v>
      </c>
      <c r="B81" s="14" t="s">
        <v>129</v>
      </c>
      <c r="C81" s="15">
        <v>43999.682638888888</v>
      </c>
      <c r="D81" s="14" t="s">
        <v>73</v>
      </c>
      <c r="E81" s="16" t="s">
        <v>74</v>
      </c>
      <c r="F81" s="14" t="s">
        <v>75</v>
      </c>
      <c r="G81" s="16" t="s">
        <v>76</v>
      </c>
      <c r="H81" s="14" t="s">
        <v>205</v>
      </c>
      <c r="I81" s="16" t="s">
        <v>206</v>
      </c>
      <c r="J81" s="16" t="s">
        <v>207</v>
      </c>
      <c r="K81" s="16" t="s">
        <v>208</v>
      </c>
      <c r="L81" s="14" t="s">
        <v>211</v>
      </c>
      <c r="M81" s="16" t="s">
        <v>212</v>
      </c>
      <c r="N81" s="14" t="s">
        <v>178</v>
      </c>
      <c r="O81" s="16" t="s">
        <v>192</v>
      </c>
      <c r="P81" s="16" t="s">
        <v>193</v>
      </c>
      <c r="Q81" s="16" t="s">
        <v>148</v>
      </c>
      <c r="R81" s="14" t="s">
        <v>149</v>
      </c>
      <c r="S81" s="14" t="s">
        <v>150</v>
      </c>
      <c r="T81" s="14" t="s">
        <v>88</v>
      </c>
      <c r="U81" s="14" t="s">
        <v>140</v>
      </c>
      <c r="V81" s="15">
        <v>43939</v>
      </c>
      <c r="W81" s="15"/>
      <c r="X81" s="16" t="s">
        <v>84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/>
      <c r="AL81" s="18"/>
      <c r="AM81" s="17"/>
      <c r="AN81" s="18"/>
      <c r="AO81" s="14" t="s">
        <v>84</v>
      </c>
      <c r="AP81" s="16" t="s">
        <v>84</v>
      </c>
    </row>
    <row r="82" spans="1:42" ht="75" x14ac:dyDescent="0.25">
      <c r="A82" s="14" t="s">
        <v>133</v>
      </c>
      <c r="B82" s="14" t="s">
        <v>129</v>
      </c>
      <c r="C82" s="15">
        <v>43999.683333333334</v>
      </c>
      <c r="D82" s="14" t="s">
        <v>73</v>
      </c>
      <c r="E82" s="16" t="s">
        <v>74</v>
      </c>
      <c r="F82" s="14" t="s">
        <v>75</v>
      </c>
      <c r="G82" s="16" t="s">
        <v>76</v>
      </c>
      <c r="H82" s="14" t="s">
        <v>205</v>
      </c>
      <c r="I82" s="16" t="s">
        <v>206</v>
      </c>
      <c r="J82" s="16" t="s">
        <v>207</v>
      </c>
      <c r="K82" s="16" t="s">
        <v>208</v>
      </c>
      <c r="L82" s="14" t="s">
        <v>213</v>
      </c>
      <c r="M82" s="16" t="s">
        <v>214</v>
      </c>
      <c r="N82" s="14" t="s">
        <v>136</v>
      </c>
      <c r="O82" s="16" t="s">
        <v>199</v>
      </c>
      <c r="P82" s="16" t="s">
        <v>200</v>
      </c>
      <c r="Q82" s="16" t="s">
        <v>148</v>
      </c>
      <c r="R82" s="14" t="s">
        <v>149</v>
      </c>
      <c r="S82" s="14" t="s">
        <v>150</v>
      </c>
      <c r="T82" s="14" t="s">
        <v>88</v>
      </c>
      <c r="U82" s="14" t="s">
        <v>140</v>
      </c>
      <c r="V82" s="15">
        <v>43939</v>
      </c>
      <c r="W82" s="15"/>
      <c r="X82" s="16" t="s">
        <v>84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4" t="s">
        <v>84</v>
      </c>
      <c r="AP82" s="16" t="s">
        <v>84</v>
      </c>
    </row>
    <row r="83" spans="1:42" ht="75" x14ac:dyDescent="0.25">
      <c r="A83" s="14" t="s">
        <v>133</v>
      </c>
      <c r="B83" s="14" t="s">
        <v>129</v>
      </c>
      <c r="C83" s="15">
        <v>44040.392361111109</v>
      </c>
      <c r="D83" s="14" t="s">
        <v>73</v>
      </c>
      <c r="E83" s="16" t="s">
        <v>74</v>
      </c>
      <c r="F83" s="14" t="s">
        <v>75</v>
      </c>
      <c r="G83" s="16" t="s">
        <v>76</v>
      </c>
      <c r="H83" s="14" t="s">
        <v>205</v>
      </c>
      <c r="I83" s="16" t="s">
        <v>206</v>
      </c>
      <c r="J83" s="16" t="s">
        <v>207</v>
      </c>
      <c r="K83" s="16" t="s">
        <v>208</v>
      </c>
      <c r="L83" s="14" t="s">
        <v>209</v>
      </c>
      <c r="M83" s="16" t="s">
        <v>210</v>
      </c>
      <c r="N83" s="14" t="s">
        <v>178</v>
      </c>
      <c r="O83" s="16" t="s">
        <v>179</v>
      </c>
      <c r="P83" s="16" t="s">
        <v>180</v>
      </c>
      <c r="Q83" s="16" t="s">
        <v>151</v>
      </c>
      <c r="R83" s="14" t="s">
        <v>152</v>
      </c>
      <c r="S83" s="14" t="s">
        <v>87</v>
      </c>
      <c r="T83" s="14" t="s">
        <v>153</v>
      </c>
      <c r="U83" s="14" t="s">
        <v>140</v>
      </c>
      <c r="V83" s="15">
        <v>43939</v>
      </c>
      <c r="W83" s="15"/>
      <c r="X83" s="16" t="s">
        <v>84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4" t="s">
        <v>84</v>
      </c>
      <c r="AP83" s="16" t="s">
        <v>84</v>
      </c>
    </row>
    <row r="84" spans="1:42" ht="75" x14ac:dyDescent="0.25">
      <c r="A84" s="14" t="s">
        <v>133</v>
      </c>
      <c r="B84" s="14" t="s">
        <v>129</v>
      </c>
      <c r="C84" s="15">
        <v>43999.68472222222</v>
      </c>
      <c r="D84" s="14" t="s">
        <v>73</v>
      </c>
      <c r="E84" s="16" t="s">
        <v>74</v>
      </c>
      <c r="F84" s="14" t="s">
        <v>75</v>
      </c>
      <c r="G84" s="16" t="s">
        <v>76</v>
      </c>
      <c r="H84" s="14" t="s">
        <v>205</v>
      </c>
      <c r="I84" s="16" t="s">
        <v>206</v>
      </c>
      <c r="J84" s="16" t="s">
        <v>207</v>
      </c>
      <c r="K84" s="16" t="s">
        <v>208</v>
      </c>
      <c r="L84" s="14" t="s">
        <v>211</v>
      </c>
      <c r="M84" s="16" t="s">
        <v>212</v>
      </c>
      <c r="N84" s="14" t="s">
        <v>178</v>
      </c>
      <c r="O84" s="16" t="s">
        <v>192</v>
      </c>
      <c r="P84" s="16" t="s">
        <v>193</v>
      </c>
      <c r="Q84" s="16" t="s">
        <v>151</v>
      </c>
      <c r="R84" s="14" t="s">
        <v>152</v>
      </c>
      <c r="S84" s="14" t="s">
        <v>87</v>
      </c>
      <c r="T84" s="14" t="s">
        <v>153</v>
      </c>
      <c r="U84" s="14" t="s">
        <v>140</v>
      </c>
      <c r="V84" s="15">
        <v>43939</v>
      </c>
      <c r="W84" s="15"/>
      <c r="X84" s="16" t="s">
        <v>84</v>
      </c>
      <c r="Y84" s="17"/>
      <c r="Z84" s="18"/>
      <c r="AA84" s="17"/>
      <c r="AB84" s="18"/>
      <c r="AC84" s="17"/>
      <c r="AD84" s="18"/>
      <c r="AE84" s="17"/>
      <c r="AF84" s="18"/>
      <c r="AG84" s="17"/>
      <c r="AH84" s="18"/>
      <c r="AI84" s="17"/>
      <c r="AJ84" s="18"/>
      <c r="AK84" s="17"/>
      <c r="AL84" s="18"/>
      <c r="AM84" s="17"/>
      <c r="AN84" s="18"/>
      <c r="AO84" s="14" t="s">
        <v>84</v>
      </c>
      <c r="AP84" s="16" t="s">
        <v>84</v>
      </c>
    </row>
    <row r="85" spans="1:42" ht="75" x14ac:dyDescent="0.25">
      <c r="A85" s="14" t="s">
        <v>133</v>
      </c>
      <c r="B85" s="14" t="s">
        <v>129</v>
      </c>
      <c r="C85" s="15">
        <v>43999.685416666667</v>
      </c>
      <c r="D85" s="14" t="s">
        <v>73</v>
      </c>
      <c r="E85" s="16" t="s">
        <v>74</v>
      </c>
      <c r="F85" s="14" t="s">
        <v>75</v>
      </c>
      <c r="G85" s="16" t="s">
        <v>76</v>
      </c>
      <c r="H85" s="14" t="s">
        <v>205</v>
      </c>
      <c r="I85" s="16" t="s">
        <v>206</v>
      </c>
      <c r="J85" s="16" t="s">
        <v>207</v>
      </c>
      <c r="K85" s="16" t="s">
        <v>208</v>
      </c>
      <c r="L85" s="14" t="s">
        <v>213</v>
      </c>
      <c r="M85" s="16" t="s">
        <v>214</v>
      </c>
      <c r="N85" s="14" t="s">
        <v>136</v>
      </c>
      <c r="O85" s="16" t="s">
        <v>199</v>
      </c>
      <c r="P85" s="16" t="s">
        <v>200</v>
      </c>
      <c r="Q85" s="16" t="s">
        <v>151</v>
      </c>
      <c r="R85" s="14" t="s">
        <v>152</v>
      </c>
      <c r="S85" s="14" t="s">
        <v>87</v>
      </c>
      <c r="T85" s="14" t="s">
        <v>153</v>
      </c>
      <c r="U85" s="14" t="s">
        <v>140</v>
      </c>
      <c r="V85" s="15">
        <v>43939</v>
      </c>
      <c r="W85" s="15"/>
      <c r="X85" s="16" t="s">
        <v>84</v>
      </c>
      <c r="Y85" s="17"/>
      <c r="Z85" s="18"/>
      <c r="AA85" s="17"/>
      <c r="AB85" s="18"/>
      <c r="AC85" s="17"/>
      <c r="AD85" s="18"/>
      <c r="AE85" s="17"/>
      <c r="AF85" s="18"/>
      <c r="AG85" s="17"/>
      <c r="AH85" s="18"/>
      <c r="AI85" s="17"/>
      <c r="AJ85" s="18"/>
      <c r="AK85" s="17"/>
      <c r="AL85" s="18"/>
      <c r="AM85" s="17"/>
      <c r="AN85" s="18"/>
      <c r="AO85" s="14" t="s">
        <v>84</v>
      </c>
      <c r="AP85" s="16" t="s">
        <v>84</v>
      </c>
    </row>
    <row r="86" spans="1:42" ht="75" x14ac:dyDescent="0.25">
      <c r="A86" s="14" t="s">
        <v>133</v>
      </c>
      <c r="B86" s="14" t="s">
        <v>129</v>
      </c>
      <c r="C86" s="15">
        <v>44040.39166666667</v>
      </c>
      <c r="D86" s="14" t="s">
        <v>73</v>
      </c>
      <c r="E86" s="16" t="s">
        <v>74</v>
      </c>
      <c r="F86" s="14" t="s">
        <v>75</v>
      </c>
      <c r="G86" s="16" t="s">
        <v>76</v>
      </c>
      <c r="H86" s="14" t="s">
        <v>205</v>
      </c>
      <c r="I86" s="16" t="s">
        <v>206</v>
      </c>
      <c r="J86" s="16" t="s">
        <v>207</v>
      </c>
      <c r="K86" s="16" t="s">
        <v>208</v>
      </c>
      <c r="L86" s="14" t="s">
        <v>209</v>
      </c>
      <c r="M86" s="16" t="s">
        <v>210</v>
      </c>
      <c r="N86" s="14" t="s">
        <v>178</v>
      </c>
      <c r="O86" s="16" t="s">
        <v>179</v>
      </c>
      <c r="P86" s="16" t="s">
        <v>180</v>
      </c>
      <c r="Q86" s="16" t="s">
        <v>154</v>
      </c>
      <c r="R86" s="14" t="s">
        <v>155</v>
      </c>
      <c r="S86" s="14" t="s">
        <v>146</v>
      </c>
      <c r="T86" s="14" t="s">
        <v>153</v>
      </c>
      <c r="U86" s="14" t="s">
        <v>140</v>
      </c>
      <c r="V86" s="15">
        <v>43939</v>
      </c>
      <c r="W86" s="15"/>
      <c r="X86" s="16" t="s">
        <v>84</v>
      </c>
      <c r="Y86" s="17"/>
      <c r="Z86" s="18"/>
      <c r="AA86" s="17"/>
      <c r="AB86" s="18"/>
      <c r="AC86" s="17"/>
      <c r="AD86" s="18"/>
      <c r="AE86" s="17"/>
      <c r="AF86" s="18"/>
      <c r="AG86" s="17"/>
      <c r="AH86" s="18"/>
      <c r="AI86" s="17"/>
      <c r="AJ86" s="18"/>
      <c r="AK86" s="17"/>
      <c r="AL86" s="18"/>
      <c r="AM86" s="17"/>
      <c r="AN86" s="18"/>
      <c r="AO86" s="14" t="s">
        <v>84</v>
      </c>
      <c r="AP86" s="16" t="s">
        <v>84</v>
      </c>
    </row>
    <row r="87" spans="1:42" ht="75" x14ac:dyDescent="0.25">
      <c r="A87" s="14" t="s">
        <v>133</v>
      </c>
      <c r="B87" s="14" t="s">
        <v>129</v>
      </c>
      <c r="C87" s="15">
        <v>43999.68472222222</v>
      </c>
      <c r="D87" s="14" t="s">
        <v>73</v>
      </c>
      <c r="E87" s="16" t="s">
        <v>74</v>
      </c>
      <c r="F87" s="14" t="s">
        <v>75</v>
      </c>
      <c r="G87" s="16" t="s">
        <v>76</v>
      </c>
      <c r="H87" s="14" t="s">
        <v>205</v>
      </c>
      <c r="I87" s="16" t="s">
        <v>206</v>
      </c>
      <c r="J87" s="16" t="s">
        <v>207</v>
      </c>
      <c r="K87" s="16" t="s">
        <v>208</v>
      </c>
      <c r="L87" s="14" t="s">
        <v>211</v>
      </c>
      <c r="M87" s="16" t="s">
        <v>212</v>
      </c>
      <c r="N87" s="14" t="s">
        <v>178</v>
      </c>
      <c r="O87" s="16" t="s">
        <v>192</v>
      </c>
      <c r="P87" s="16" t="s">
        <v>193</v>
      </c>
      <c r="Q87" s="16" t="s">
        <v>154</v>
      </c>
      <c r="R87" s="14" t="s">
        <v>155</v>
      </c>
      <c r="S87" s="14" t="s">
        <v>146</v>
      </c>
      <c r="T87" s="14" t="s">
        <v>153</v>
      </c>
      <c r="U87" s="14" t="s">
        <v>140</v>
      </c>
      <c r="V87" s="15">
        <v>43939</v>
      </c>
      <c r="W87" s="15"/>
      <c r="X87" s="16" t="s">
        <v>84</v>
      </c>
      <c r="Y87" s="17"/>
      <c r="Z87" s="18"/>
      <c r="AA87" s="17"/>
      <c r="AB87" s="18"/>
      <c r="AC87" s="17"/>
      <c r="AD87" s="18"/>
      <c r="AE87" s="17"/>
      <c r="AF87" s="18"/>
      <c r="AG87" s="17"/>
      <c r="AH87" s="18"/>
      <c r="AI87" s="17"/>
      <c r="AJ87" s="18"/>
      <c r="AK87" s="17"/>
      <c r="AL87" s="18"/>
      <c r="AM87" s="17"/>
      <c r="AN87" s="18"/>
      <c r="AO87" s="14" t="s">
        <v>84</v>
      </c>
      <c r="AP87" s="16" t="s">
        <v>84</v>
      </c>
    </row>
    <row r="88" spans="1:42" ht="75" x14ac:dyDescent="0.25">
      <c r="A88" s="14" t="s">
        <v>133</v>
      </c>
      <c r="B88" s="14" t="s">
        <v>129</v>
      </c>
      <c r="C88" s="15">
        <v>43999.685416666667</v>
      </c>
      <c r="D88" s="14" t="s">
        <v>73</v>
      </c>
      <c r="E88" s="16" t="s">
        <v>74</v>
      </c>
      <c r="F88" s="14" t="s">
        <v>75</v>
      </c>
      <c r="G88" s="16" t="s">
        <v>76</v>
      </c>
      <c r="H88" s="14" t="s">
        <v>205</v>
      </c>
      <c r="I88" s="16" t="s">
        <v>206</v>
      </c>
      <c r="J88" s="16" t="s">
        <v>207</v>
      </c>
      <c r="K88" s="16" t="s">
        <v>208</v>
      </c>
      <c r="L88" s="14" t="s">
        <v>213</v>
      </c>
      <c r="M88" s="16" t="s">
        <v>214</v>
      </c>
      <c r="N88" s="14" t="s">
        <v>136</v>
      </c>
      <c r="O88" s="16" t="s">
        <v>199</v>
      </c>
      <c r="P88" s="16" t="s">
        <v>200</v>
      </c>
      <c r="Q88" s="16" t="s">
        <v>154</v>
      </c>
      <c r="R88" s="14" t="s">
        <v>155</v>
      </c>
      <c r="S88" s="14" t="s">
        <v>146</v>
      </c>
      <c r="T88" s="14" t="s">
        <v>153</v>
      </c>
      <c r="U88" s="14" t="s">
        <v>140</v>
      </c>
      <c r="V88" s="15">
        <v>43939</v>
      </c>
      <c r="W88" s="15"/>
      <c r="X88" s="16" t="s">
        <v>84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4" t="s">
        <v>84</v>
      </c>
      <c r="AP88" s="16" t="s">
        <v>84</v>
      </c>
    </row>
    <row r="89" spans="1:42" ht="90" x14ac:dyDescent="0.25">
      <c r="A89" s="14" t="s">
        <v>133</v>
      </c>
      <c r="B89" s="14" t="s">
        <v>129</v>
      </c>
      <c r="C89" s="15">
        <v>44005.599999999999</v>
      </c>
      <c r="D89" s="14" t="s">
        <v>73</v>
      </c>
      <c r="E89" s="16" t="s">
        <v>74</v>
      </c>
      <c r="F89" s="14" t="s">
        <v>75</v>
      </c>
      <c r="G89" s="16" t="s">
        <v>76</v>
      </c>
      <c r="H89" s="14" t="s">
        <v>215</v>
      </c>
      <c r="I89" s="16" t="s">
        <v>216</v>
      </c>
      <c r="J89" s="16" t="s">
        <v>217</v>
      </c>
      <c r="K89" s="16" t="s">
        <v>218</v>
      </c>
      <c r="L89" s="14" t="s">
        <v>219</v>
      </c>
      <c r="M89" s="16" t="s">
        <v>220</v>
      </c>
      <c r="N89" s="14" t="s">
        <v>178</v>
      </c>
      <c r="O89" s="16" t="s">
        <v>179</v>
      </c>
      <c r="P89" s="16" t="s">
        <v>180</v>
      </c>
      <c r="Q89" s="16" t="s">
        <v>85</v>
      </c>
      <c r="R89" s="14" t="s">
        <v>86</v>
      </c>
      <c r="S89" s="14" t="s">
        <v>87</v>
      </c>
      <c r="T89" s="14" t="s">
        <v>88</v>
      </c>
      <c r="U89" s="14" t="s">
        <v>89</v>
      </c>
      <c r="V89" s="15">
        <v>43939</v>
      </c>
      <c r="W89" s="15"/>
      <c r="X89" s="16" t="s">
        <v>84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4" t="s">
        <v>84</v>
      </c>
      <c r="AP89" s="16" t="s">
        <v>84</v>
      </c>
    </row>
    <row r="90" spans="1:42" ht="90" x14ac:dyDescent="0.25">
      <c r="A90" s="14" t="s">
        <v>71</v>
      </c>
      <c r="B90" s="14" t="s">
        <v>72</v>
      </c>
      <c r="C90" s="15">
        <v>44711.482638888891</v>
      </c>
      <c r="D90" s="14" t="s">
        <v>73</v>
      </c>
      <c r="E90" s="16" t="s">
        <v>74</v>
      </c>
      <c r="F90" s="14" t="s">
        <v>75</v>
      </c>
      <c r="G90" s="16" t="s">
        <v>76</v>
      </c>
      <c r="H90" s="14" t="s">
        <v>215</v>
      </c>
      <c r="I90" s="16" t="s">
        <v>216</v>
      </c>
      <c r="J90" s="16" t="s">
        <v>217</v>
      </c>
      <c r="K90" s="16" t="s">
        <v>218</v>
      </c>
      <c r="L90" s="14" t="s">
        <v>221</v>
      </c>
      <c r="M90" s="16" t="s">
        <v>222</v>
      </c>
      <c r="N90" s="14" t="s">
        <v>178</v>
      </c>
      <c r="O90" s="16" t="s">
        <v>192</v>
      </c>
      <c r="P90" s="16" t="s">
        <v>193</v>
      </c>
      <c r="Q90" s="16" t="s">
        <v>85</v>
      </c>
      <c r="R90" s="14" t="s">
        <v>86</v>
      </c>
      <c r="S90" s="14" t="s">
        <v>87</v>
      </c>
      <c r="T90" s="14" t="s">
        <v>88</v>
      </c>
      <c r="U90" s="14" t="s">
        <v>89</v>
      </c>
      <c r="V90" s="15">
        <v>43939</v>
      </c>
      <c r="W90" s="15"/>
      <c r="X90" s="16" t="s">
        <v>84</v>
      </c>
      <c r="Y90" s="17"/>
      <c r="Z90" s="18"/>
      <c r="AA90" s="17"/>
      <c r="AB90" s="18"/>
      <c r="AC90" s="17"/>
      <c r="AD90" s="18"/>
      <c r="AE90" s="17"/>
      <c r="AF90" s="18"/>
      <c r="AG90" s="17"/>
      <c r="AH90" s="18"/>
      <c r="AI90" s="17"/>
      <c r="AJ90" s="18"/>
      <c r="AK90" s="17"/>
      <c r="AL90" s="18"/>
      <c r="AM90" s="17"/>
      <c r="AN90" s="18"/>
      <c r="AO90" s="14" t="s">
        <v>84</v>
      </c>
      <c r="AP90" s="16" t="s">
        <v>84</v>
      </c>
    </row>
    <row r="91" spans="1:42" ht="90" x14ac:dyDescent="0.25">
      <c r="A91" s="14" t="s">
        <v>133</v>
      </c>
      <c r="B91" s="14" t="s">
        <v>129</v>
      </c>
      <c r="C91" s="15">
        <v>44721.458333333336</v>
      </c>
      <c r="D91" s="14" t="s">
        <v>73</v>
      </c>
      <c r="E91" s="16" t="s">
        <v>74</v>
      </c>
      <c r="F91" s="14" t="s">
        <v>75</v>
      </c>
      <c r="G91" s="16" t="s">
        <v>76</v>
      </c>
      <c r="H91" s="14" t="s">
        <v>215</v>
      </c>
      <c r="I91" s="16" t="s">
        <v>216</v>
      </c>
      <c r="J91" s="16" t="s">
        <v>217</v>
      </c>
      <c r="K91" s="16" t="s">
        <v>218</v>
      </c>
      <c r="L91" s="14" t="s">
        <v>223</v>
      </c>
      <c r="M91" s="16" t="s">
        <v>224</v>
      </c>
      <c r="N91" s="14" t="s">
        <v>136</v>
      </c>
      <c r="O91" s="16" t="s">
        <v>199</v>
      </c>
      <c r="P91" s="16" t="s">
        <v>200</v>
      </c>
      <c r="Q91" s="16" t="s">
        <v>85</v>
      </c>
      <c r="R91" s="14" t="s">
        <v>86</v>
      </c>
      <c r="S91" s="14" t="s">
        <v>87</v>
      </c>
      <c r="T91" s="14" t="s">
        <v>88</v>
      </c>
      <c r="U91" s="14" t="s">
        <v>89</v>
      </c>
      <c r="V91" s="15">
        <v>43939</v>
      </c>
      <c r="W91" s="15"/>
      <c r="X91" s="16" t="s">
        <v>84</v>
      </c>
      <c r="Y91" s="17"/>
      <c r="Z91" s="18"/>
      <c r="AA91" s="17"/>
      <c r="AB91" s="18"/>
      <c r="AC91" s="17"/>
      <c r="AD91" s="18"/>
      <c r="AE91" s="17"/>
      <c r="AF91" s="18"/>
      <c r="AG91" s="17"/>
      <c r="AH91" s="18"/>
      <c r="AI91" s="17"/>
      <c r="AJ91" s="18"/>
      <c r="AK91" s="17"/>
      <c r="AL91" s="18"/>
      <c r="AM91" s="17"/>
      <c r="AN91" s="18"/>
      <c r="AO91" s="14" t="s">
        <v>84</v>
      </c>
      <c r="AP91" s="16" t="s">
        <v>84</v>
      </c>
    </row>
    <row r="92" spans="1:42" ht="90" x14ac:dyDescent="0.25">
      <c r="A92" s="14" t="s">
        <v>133</v>
      </c>
      <c r="B92" s="14" t="s">
        <v>129</v>
      </c>
      <c r="C92" s="15">
        <v>43999.688888888886</v>
      </c>
      <c r="D92" s="14" t="s">
        <v>73</v>
      </c>
      <c r="E92" s="16" t="s">
        <v>74</v>
      </c>
      <c r="F92" s="14" t="s">
        <v>75</v>
      </c>
      <c r="G92" s="16" t="s">
        <v>76</v>
      </c>
      <c r="H92" s="14" t="s">
        <v>215</v>
      </c>
      <c r="I92" s="16" t="s">
        <v>216</v>
      </c>
      <c r="J92" s="16" t="s">
        <v>217</v>
      </c>
      <c r="K92" s="16" t="s">
        <v>218</v>
      </c>
      <c r="L92" s="14" t="s">
        <v>219</v>
      </c>
      <c r="M92" s="16" t="s">
        <v>220</v>
      </c>
      <c r="N92" s="14" t="s">
        <v>178</v>
      </c>
      <c r="O92" s="16" t="s">
        <v>179</v>
      </c>
      <c r="P92" s="16" t="s">
        <v>180</v>
      </c>
      <c r="Q92" s="16" t="s">
        <v>138</v>
      </c>
      <c r="R92" s="14" t="s">
        <v>139</v>
      </c>
      <c r="S92" s="14" t="s">
        <v>72</v>
      </c>
      <c r="T92" s="14" t="s">
        <v>88</v>
      </c>
      <c r="U92" s="14" t="s">
        <v>140</v>
      </c>
      <c r="V92" s="15">
        <v>43939</v>
      </c>
      <c r="W92" s="15"/>
      <c r="X92" s="16" t="s">
        <v>84</v>
      </c>
      <c r="Y92" s="17"/>
      <c r="Z92" s="18"/>
      <c r="AA92" s="17"/>
      <c r="AB92" s="18"/>
      <c r="AC92" s="17"/>
      <c r="AD92" s="18"/>
      <c r="AE92" s="17"/>
      <c r="AF92" s="18"/>
      <c r="AG92" s="17"/>
      <c r="AH92" s="18"/>
      <c r="AI92" s="17"/>
      <c r="AJ92" s="18"/>
      <c r="AK92" s="17"/>
      <c r="AL92" s="18"/>
      <c r="AM92" s="17"/>
      <c r="AN92" s="18"/>
      <c r="AO92" s="14" t="s">
        <v>84</v>
      </c>
      <c r="AP92" s="16" t="s">
        <v>84</v>
      </c>
    </row>
    <row r="93" spans="1:42" ht="90" x14ac:dyDescent="0.25">
      <c r="A93" s="14" t="s">
        <v>133</v>
      </c>
      <c r="B93" s="14" t="s">
        <v>129</v>
      </c>
      <c r="C93" s="15">
        <v>43999.690972222219</v>
      </c>
      <c r="D93" s="14" t="s">
        <v>73</v>
      </c>
      <c r="E93" s="16" t="s">
        <v>74</v>
      </c>
      <c r="F93" s="14" t="s">
        <v>75</v>
      </c>
      <c r="G93" s="16" t="s">
        <v>76</v>
      </c>
      <c r="H93" s="14" t="s">
        <v>215</v>
      </c>
      <c r="I93" s="16" t="s">
        <v>216</v>
      </c>
      <c r="J93" s="16" t="s">
        <v>217</v>
      </c>
      <c r="K93" s="16" t="s">
        <v>218</v>
      </c>
      <c r="L93" s="14" t="s">
        <v>221</v>
      </c>
      <c r="M93" s="16" t="s">
        <v>222</v>
      </c>
      <c r="N93" s="14" t="s">
        <v>178</v>
      </c>
      <c r="O93" s="16" t="s">
        <v>192</v>
      </c>
      <c r="P93" s="16" t="s">
        <v>193</v>
      </c>
      <c r="Q93" s="16" t="s">
        <v>138</v>
      </c>
      <c r="R93" s="14" t="s">
        <v>139</v>
      </c>
      <c r="S93" s="14" t="s">
        <v>72</v>
      </c>
      <c r="T93" s="14" t="s">
        <v>88</v>
      </c>
      <c r="U93" s="14" t="s">
        <v>140</v>
      </c>
      <c r="V93" s="15">
        <v>43939</v>
      </c>
      <c r="W93" s="15"/>
      <c r="X93" s="16" t="s">
        <v>84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4" t="s">
        <v>84</v>
      </c>
      <c r="AP93" s="16" t="s">
        <v>84</v>
      </c>
    </row>
    <row r="94" spans="1:42" ht="90" x14ac:dyDescent="0.25">
      <c r="A94" s="14" t="s">
        <v>133</v>
      </c>
      <c r="B94" s="14" t="s">
        <v>129</v>
      </c>
      <c r="C94" s="15">
        <v>43999.693055555559</v>
      </c>
      <c r="D94" s="14" t="s">
        <v>73</v>
      </c>
      <c r="E94" s="16" t="s">
        <v>74</v>
      </c>
      <c r="F94" s="14" t="s">
        <v>75</v>
      </c>
      <c r="G94" s="16" t="s">
        <v>76</v>
      </c>
      <c r="H94" s="14" t="s">
        <v>215</v>
      </c>
      <c r="I94" s="16" t="s">
        <v>216</v>
      </c>
      <c r="J94" s="16" t="s">
        <v>217</v>
      </c>
      <c r="K94" s="16" t="s">
        <v>218</v>
      </c>
      <c r="L94" s="14" t="s">
        <v>223</v>
      </c>
      <c r="M94" s="16" t="s">
        <v>224</v>
      </c>
      <c r="N94" s="14" t="s">
        <v>136</v>
      </c>
      <c r="O94" s="16" t="s">
        <v>199</v>
      </c>
      <c r="P94" s="16" t="s">
        <v>200</v>
      </c>
      <c r="Q94" s="16" t="s">
        <v>138</v>
      </c>
      <c r="R94" s="14" t="s">
        <v>139</v>
      </c>
      <c r="S94" s="14" t="s">
        <v>72</v>
      </c>
      <c r="T94" s="14" t="s">
        <v>88</v>
      </c>
      <c r="U94" s="14" t="s">
        <v>140</v>
      </c>
      <c r="V94" s="15">
        <v>43939</v>
      </c>
      <c r="W94" s="15"/>
      <c r="X94" s="16" t="s">
        <v>84</v>
      </c>
      <c r="Y94" s="17"/>
      <c r="Z94" s="18"/>
      <c r="AA94" s="17"/>
      <c r="AB94" s="18"/>
      <c r="AC94" s="17"/>
      <c r="AD94" s="18"/>
      <c r="AE94" s="17"/>
      <c r="AF94" s="18"/>
      <c r="AG94" s="17"/>
      <c r="AH94" s="18"/>
      <c r="AI94" s="17"/>
      <c r="AJ94" s="18"/>
      <c r="AK94" s="17"/>
      <c r="AL94" s="18"/>
      <c r="AM94" s="17"/>
      <c r="AN94" s="18"/>
      <c r="AO94" s="14" t="s">
        <v>84</v>
      </c>
      <c r="AP94" s="16" t="s">
        <v>84</v>
      </c>
    </row>
    <row r="95" spans="1:42" ht="90" x14ac:dyDescent="0.25">
      <c r="A95" s="14" t="s">
        <v>133</v>
      </c>
      <c r="B95" s="14" t="s">
        <v>129</v>
      </c>
      <c r="C95" s="15">
        <v>43999.689583333333</v>
      </c>
      <c r="D95" s="14" t="s">
        <v>73</v>
      </c>
      <c r="E95" s="16" t="s">
        <v>74</v>
      </c>
      <c r="F95" s="14" t="s">
        <v>75</v>
      </c>
      <c r="G95" s="16" t="s">
        <v>76</v>
      </c>
      <c r="H95" s="14" t="s">
        <v>215</v>
      </c>
      <c r="I95" s="16" t="s">
        <v>216</v>
      </c>
      <c r="J95" s="16" t="s">
        <v>217</v>
      </c>
      <c r="K95" s="16" t="s">
        <v>218</v>
      </c>
      <c r="L95" s="14" t="s">
        <v>219</v>
      </c>
      <c r="M95" s="16" t="s">
        <v>220</v>
      </c>
      <c r="N95" s="14" t="s">
        <v>178</v>
      </c>
      <c r="O95" s="16" t="s">
        <v>179</v>
      </c>
      <c r="P95" s="16" t="s">
        <v>180</v>
      </c>
      <c r="Q95" s="16" t="s">
        <v>141</v>
      </c>
      <c r="R95" s="14" t="s">
        <v>142</v>
      </c>
      <c r="S95" s="14" t="s">
        <v>143</v>
      </c>
      <c r="T95" s="14" t="s">
        <v>88</v>
      </c>
      <c r="U95" s="14" t="s">
        <v>140</v>
      </c>
      <c r="V95" s="15">
        <v>43939</v>
      </c>
      <c r="W95" s="15"/>
      <c r="X95" s="16" t="s">
        <v>84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4" t="s">
        <v>84</v>
      </c>
      <c r="AP95" s="16" t="s">
        <v>84</v>
      </c>
    </row>
    <row r="96" spans="1:42" ht="90" x14ac:dyDescent="0.25">
      <c r="A96" s="14" t="s">
        <v>133</v>
      </c>
      <c r="B96" s="14" t="s">
        <v>129</v>
      </c>
      <c r="C96" s="15">
        <v>43999.690972222219</v>
      </c>
      <c r="D96" s="14" t="s">
        <v>73</v>
      </c>
      <c r="E96" s="16" t="s">
        <v>74</v>
      </c>
      <c r="F96" s="14" t="s">
        <v>75</v>
      </c>
      <c r="G96" s="16" t="s">
        <v>76</v>
      </c>
      <c r="H96" s="14" t="s">
        <v>215</v>
      </c>
      <c r="I96" s="16" t="s">
        <v>216</v>
      </c>
      <c r="J96" s="16" t="s">
        <v>217</v>
      </c>
      <c r="K96" s="16" t="s">
        <v>218</v>
      </c>
      <c r="L96" s="14" t="s">
        <v>221</v>
      </c>
      <c r="M96" s="16" t="s">
        <v>222</v>
      </c>
      <c r="N96" s="14" t="s">
        <v>178</v>
      </c>
      <c r="O96" s="16" t="s">
        <v>192</v>
      </c>
      <c r="P96" s="16" t="s">
        <v>193</v>
      </c>
      <c r="Q96" s="16" t="s">
        <v>141</v>
      </c>
      <c r="R96" s="14" t="s">
        <v>142</v>
      </c>
      <c r="S96" s="14" t="s">
        <v>143</v>
      </c>
      <c r="T96" s="14" t="s">
        <v>88</v>
      </c>
      <c r="U96" s="14" t="s">
        <v>140</v>
      </c>
      <c r="V96" s="15">
        <v>43939</v>
      </c>
      <c r="W96" s="15"/>
      <c r="X96" s="16" t="s">
        <v>84</v>
      </c>
      <c r="Y96" s="17"/>
      <c r="Z96" s="18"/>
      <c r="AA96" s="17"/>
      <c r="AB96" s="18"/>
      <c r="AC96" s="17"/>
      <c r="AD96" s="18"/>
      <c r="AE96" s="17"/>
      <c r="AF96" s="18"/>
      <c r="AG96" s="17"/>
      <c r="AH96" s="18"/>
      <c r="AI96" s="17"/>
      <c r="AJ96" s="18"/>
      <c r="AK96" s="17"/>
      <c r="AL96" s="18"/>
      <c r="AM96" s="17"/>
      <c r="AN96" s="18"/>
      <c r="AO96" s="14" t="s">
        <v>84</v>
      </c>
      <c r="AP96" s="16" t="s">
        <v>84</v>
      </c>
    </row>
    <row r="97" spans="1:42" ht="90" x14ac:dyDescent="0.25">
      <c r="A97" s="14" t="s">
        <v>133</v>
      </c>
      <c r="B97" s="14" t="s">
        <v>129</v>
      </c>
      <c r="C97" s="15">
        <v>43999.693055555559</v>
      </c>
      <c r="D97" s="14" t="s">
        <v>73</v>
      </c>
      <c r="E97" s="16" t="s">
        <v>74</v>
      </c>
      <c r="F97" s="14" t="s">
        <v>75</v>
      </c>
      <c r="G97" s="16" t="s">
        <v>76</v>
      </c>
      <c r="H97" s="14" t="s">
        <v>215</v>
      </c>
      <c r="I97" s="16" t="s">
        <v>216</v>
      </c>
      <c r="J97" s="16" t="s">
        <v>217</v>
      </c>
      <c r="K97" s="16" t="s">
        <v>218</v>
      </c>
      <c r="L97" s="14" t="s">
        <v>223</v>
      </c>
      <c r="M97" s="16" t="s">
        <v>224</v>
      </c>
      <c r="N97" s="14" t="s">
        <v>136</v>
      </c>
      <c r="O97" s="16" t="s">
        <v>199</v>
      </c>
      <c r="P97" s="16" t="s">
        <v>200</v>
      </c>
      <c r="Q97" s="16" t="s">
        <v>141</v>
      </c>
      <c r="R97" s="14" t="s">
        <v>142</v>
      </c>
      <c r="S97" s="14" t="s">
        <v>143</v>
      </c>
      <c r="T97" s="14" t="s">
        <v>88</v>
      </c>
      <c r="U97" s="14" t="s">
        <v>140</v>
      </c>
      <c r="V97" s="15">
        <v>43939</v>
      </c>
      <c r="W97" s="15"/>
      <c r="X97" s="16" t="s">
        <v>84</v>
      </c>
      <c r="Y97" s="17"/>
      <c r="Z97" s="18"/>
      <c r="AA97" s="17"/>
      <c r="AB97" s="18"/>
      <c r="AC97" s="17"/>
      <c r="AD97" s="18"/>
      <c r="AE97" s="17"/>
      <c r="AF97" s="18"/>
      <c r="AG97" s="17"/>
      <c r="AH97" s="18"/>
      <c r="AI97" s="17"/>
      <c r="AJ97" s="18"/>
      <c r="AK97" s="17"/>
      <c r="AL97" s="18"/>
      <c r="AM97" s="17"/>
      <c r="AN97" s="18"/>
      <c r="AO97" s="14" t="s">
        <v>84</v>
      </c>
      <c r="AP97" s="16" t="s">
        <v>84</v>
      </c>
    </row>
    <row r="98" spans="1:42" ht="90" x14ac:dyDescent="0.25">
      <c r="A98" s="14" t="s">
        <v>133</v>
      </c>
      <c r="B98" s="14" t="s">
        <v>129</v>
      </c>
      <c r="C98" s="15">
        <v>44005.599999999999</v>
      </c>
      <c r="D98" s="14" t="s">
        <v>73</v>
      </c>
      <c r="E98" s="16" t="s">
        <v>74</v>
      </c>
      <c r="F98" s="14" t="s">
        <v>75</v>
      </c>
      <c r="G98" s="16" t="s">
        <v>76</v>
      </c>
      <c r="H98" s="14" t="s">
        <v>215</v>
      </c>
      <c r="I98" s="16" t="s">
        <v>216</v>
      </c>
      <c r="J98" s="16" t="s">
        <v>217</v>
      </c>
      <c r="K98" s="16" t="s">
        <v>218</v>
      </c>
      <c r="L98" s="14" t="s">
        <v>219</v>
      </c>
      <c r="M98" s="16" t="s">
        <v>220</v>
      </c>
      <c r="N98" s="14" t="s">
        <v>178</v>
      </c>
      <c r="O98" s="16" t="s">
        <v>179</v>
      </c>
      <c r="P98" s="16" t="s">
        <v>180</v>
      </c>
      <c r="Q98" s="16" t="s">
        <v>144</v>
      </c>
      <c r="R98" s="14" t="s">
        <v>145</v>
      </c>
      <c r="S98" s="14" t="s">
        <v>146</v>
      </c>
      <c r="T98" s="14" t="s">
        <v>88</v>
      </c>
      <c r="U98" s="14" t="s">
        <v>89</v>
      </c>
      <c r="V98" s="15">
        <v>43939</v>
      </c>
      <c r="W98" s="15"/>
      <c r="X98" s="16" t="s">
        <v>84</v>
      </c>
      <c r="Y98" s="17"/>
      <c r="Z98" s="18"/>
      <c r="AA98" s="17"/>
      <c r="AB98" s="18"/>
      <c r="AC98" s="17"/>
      <c r="AD98" s="18"/>
      <c r="AE98" s="17"/>
      <c r="AF98" s="18"/>
      <c r="AG98" s="17"/>
      <c r="AH98" s="18"/>
      <c r="AI98" s="17"/>
      <c r="AJ98" s="18"/>
      <c r="AK98" s="17"/>
      <c r="AL98" s="18"/>
      <c r="AM98" s="17"/>
      <c r="AN98" s="18"/>
      <c r="AO98" s="14" t="s">
        <v>84</v>
      </c>
      <c r="AP98" s="16" t="s">
        <v>84</v>
      </c>
    </row>
    <row r="99" spans="1:42" ht="90" x14ac:dyDescent="0.25">
      <c r="A99" s="14" t="s">
        <v>71</v>
      </c>
      <c r="B99" s="14" t="s">
        <v>72</v>
      </c>
      <c r="C99" s="15">
        <v>44711.484027777777</v>
      </c>
      <c r="D99" s="14" t="s">
        <v>73</v>
      </c>
      <c r="E99" s="16" t="s">
        <v>74</v>
      </c>
      <c r="F99" s="14" t="s">
        <v>75</v>
      </c>
      <c r="G99" s="16" t="s">
        <v>76</v>
      </c>
      <c r="H99" s="14" t="s">
        <v>215</v>
      </c>
      <c r="I99" s="16" t="s">
        <v>216</v>
      </c>
      <c r="J99" s="16" t="s">
        <v>217</v>
      </c>
      <c r="K99" s="16" t="s">
        <v>218</v>
      </c>
      <c r="L99" s="14" t="s">
        <v>221</v>
      </c>
      <c r="M99" s="16" t="s">
        <v>222</v>
      </c>
      <c r="N99" s="14" t="s">
        <v>178</v>
      </c>
      <c r="O99" s="16" t="s">
        <v>192</v>
      </c>
      <c r="P99" s="16" t="s">
        <v>193</v>
      </c>
      <c r="Q99" s="16" t="s">
        <v>144</v>
      </c>
      <c r="R99" s="14" t="s">
        <v>145</v>
      </c>
      <c r="S99" s="14" t="s">
        <v>146</v>
      </c>
      <c r="T99" s="14" t="s">
        <v>88</v>
      </c>
      <c r="U99" s="14" t="s">
        <v>89</v>
      </c>
      <c r="V99" s="15">
        <v>43939</v>
      </c>
      <c r="W99" s="15"/>
      <c r="X99" s="16" t="s">
        <v>84</v>
      </c>
      <c r="Y99" s="17"/>
      <c r="Z99" s="18"/>
      <c r="AA99" s="17"/>
      <c r="AB99" s="18"/>
      <c r="AC99" s="17"/>
      <c r="AD99" s="18"/>
      <c r="AE99" s="17"/>
      <c r="AF99" s="18"/>
      <c r="AG99" s="17"/>
      <c r="AH99" s="18"/>
      <c r="AI99" s="17"/>
      <c r="AJ99" s="18"/>
      <c r="AK99" s="17"/>
      <c r="AL99" s="18"/>
      <c r="AM99" s="17"/>
      <c r="AN99" s="18"/>
      <c r="AO99" s="14" t="s">
        <v>84</v>
      </c>
      <c r="AP99" s="16" t="s">
        <v>84</v>
      </c>
    </row>
    <row r="100" spans="1:42" ht="90" x14ac:dyDescent="0.25">
      <c r="A100" s="14" t="s">
        <v>133</v>
      </c>
      <c r="B100" s="14" t="s">
        <v>129</v>
      </c>
      <c r="C100" s="15">
        <v>44721.459027777775</v>
      </c>
      <c r="D100" s="14" t="s">
        <v>73</v>
      </c>
      <c r="E100" s="16" t="s">
        <v>74</v>
      </c>
      <c r="F100" s="14" t="s">
        <v>75</v>
      </c>
      <c r="G100" s="16" t="s">
        <v>76</v>
      </c>
      <c r="H100" s="14" t="s">
        <v>215</v>
      </c>
      <c r="I100" s="16" t="s">
        <v>216</v>
      </c>
      <c r="J100" s="16" t="s">
        <v>217</v>
      </c>
      <c r="K100" s="16" t="s">
        <v>218</v>
      </c>
      <c r="L100" s="14" t="s">
        <v>223</v>
      </c>
      <c r="M100" s="16" t="s">
        <v>224</v>
      </c>
      <c r="N100" s="14" t="s">
        <v>136</v>
      </c>
      <c r="O100" s="16" t="s">
        <v>199</v>
      </c>
      <c r="P100" s="16" t="s">
        <v>200</v>
      </c>
      <c r="Q100" s="16" t="s">
        <v>144</v>
      </c>
      <c r="R100" s="14" t="s">
        <v>145</v>
      </c>
      <c r="S100" s="14" t="s">
        <v>146</v>
      </c>
      <c r="T100" s="14" t="s">
        <v>88</v>
      </c>
      <c r="U100" s="14" t="s">
        <v>89</v>
      </c>
      <c r="V100" s="15">
        <v>43939</v>
      </c>
      <c r="W100" s="15"/>
      <c r="X100" s="16" t="s">
        <v>84</v>
      </c>
      <c r="Y100" s="17"/>
      <c r="Z100" s="18"/>
      <c r="AA100" s="17"/>
      <c r="AB100" s="18"/>
      <c r="AC100" s="17"/>
      <c r="AD100" s="18"/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4" t="s">
        <v>84</v>
      </c>
      <c r="AP100" s="16" t="s">
        <v>84</v>
      </c>
    </row>
    <row r="101" spans="1:42" ht="90" x14ac:dyDescent="0.25">
      <c r="A101" s="14" t="s">
        <v>133</v>
      </c>
      <c r="B101" s="14" t="s">
        <v>129</v>
      </c>
      <c r="C101" s="15">
        <v>43999.69027777778</v>
      </c>
      <c r="D101" s="14" t="s">
        <v>73</v>
      </c>
      <c r="E101" s="16" t="s">
        <v>74</v>
      </c>
      <c r="F101" s="14" t="s">
        <v>75</v>
      </c>
      <c r="G101" s="16" t="s">
        <v>76</v>
      </c>
      <c r="H101" s="14" t="s">
        <v>215</v>
      </c>
      <c r="I101" s="16" t="s">
        <v>216</v>
      </c>
      <c r="J101" s="16" t="s">
        <v>217</v>
      </c>
      <c r="K101" s="16" t="s">
        <v>218</v>
      </c>
      <c r="L101" s="14" t="s">
        <v>219</v>
      </c>
      <c r="M101" s="16" t="s">
        <v>220</v>
      </c>
      <c r="N101" s="14" t="s">
        <v>178</v>
      </c>
      <c r="O101" s="16" t="s">
        <v>179</v>
      </c>
      <c r="P101" s="16" t="s">
        <v>180</v>
      </c>
      <c r="Q101" s="16" t="s">
        <v>148</v>
      </c>
      <c r="R101" s="14" t="s">
        <v>149</v>
      </c>
      <c r="S101" s="14" t="s">
        <v>150</v>
      </c>
      <c r="T101" s="14" t="s">
        <v>88</v>
      </c>
      <c r="U101" s="14" t="s">
        <v>140</v>
      </c>
      <c r="V101" s="15">
        <v>43939</v>
      </c>
      <c r="W101" s="15"/>
      <c r="X101" s="16" t="s">
        <v>84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4" t="s">
        <v>84</v>
      </c>
      <c r="AP101" s="16" t="s">
        <v>84</v>
      </c>
    </row>
    <row r="102" spans="1:42" ht="90" x14ac:dyDescent="0.25">
      <c r="A102" s="14" t="s">
        <v>133</v>
      </c>
      <c r="B102" s="14" t="s">
        <v>129</v>
      </c>
      <c r="C102" s="15">
        <v>43999.690972222219</v>
      </c>
      <c r="D102" s="14" t="s">
        <v>73</v>
      </c>
      <c r="E102" s="16" t="s">
        <v>74</v>
      </c>
      <c r="F102" s="14" t="s">
        <v>75</v>
      </c>
      <c r="G102" s="16" t="s">
        <v>76</v>
      </c>
      <c r="H102" s="14" t="s">
        <v>215</v>
      </c>
      <c r="I102" s="16" t="s">
        <v>216</v>
      </c>
      <c r="J102" s="16" t="s">
        <v>217</v>
      </c>
      <c r="K102" s="16" t="s">
        <v>218</v>
      </c>
      <c r="L102" s="14" t="s">
        <v>221</v>
      </c>
      <c r="M102" s="16" t="s">
        <v>222</v>
      </c>
      <c r="N102" s="14" t="s">
        <v>178</v>
      </c>
      <c r="O102" s="16" t="s">
        <v>192</v>
      </c>
      <c r="P102" s="16" t="s">
        <v>193</v>
      </c>
      <c r="Q102" s="16" t="s">
        <v>148</v>
      </c>
      <c r="R102" s="14" t="s">
        <v>149</v>
      </c>
      <c r="S102" s="14" t="s">
        <v>150</v>
      </c>
      <c r="T102" s="14" t="s">
        <v>88</v>
      </c>
      <c r="U102" s="14" t="s">
        <v>140</v>
      </c>
      <c r="V102" s="15">
        <v>43939</v>
      </c>
      <c r="W102" s="15"/>
      <c r="X102" s="16" t="s">
        <v>84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4" t="s">
        <v>84</v>
      </c>
      <c r="AP102" s="16" t="s">
        <v>84</v>
      </c>
    </row>
    <row r="103" spans="1:42" ht="90" x14ac:dyDescent="0.25">
      <c r="A103" s="14" t="s">
        <v>133</v>
      </c>
      <c r="B103" s="14" t="s">
        <v>129</v>
      </c>
      <c r="C103" s="15">
        <v>43999.693055555559</v>
      </c>
      <c r="D103" s="14" t="s">
        <v>73</v>
      </c>
      <c r="E103" s="16" t="s">
        <v>74</v>
      </c>
      <c r="F103" s="14" t="s">
        <v>75</v>
      </c>
      <c r="G103" s="16" t="s">
        <v>76</v>
      </c>
      <c r="H103" s="14" t="s">
        <v>215</v>
      </c>
      <c r="I103" s="16" t="s">
        <v>216</v>
      </c>
      <c r="J103" s="16" t="s">
        <v>217</v>
      </c>
      <c r="K103" s="16" t="s">
        <v>218</v>
      </c>
      <c r="L103" s="14" t="s">
        <v>223</v>
      </c>
      <c r="M103" s="16" t="s">
        <v>224</v>
      </c>
      <c r="N103" s="14" t="s">
        <v>136</v>
      </c>
      <c r="O103" s="16" t="s">
        <v>199</v>
      </c>
      <c r="P103" s="16" t="s">
        <v>200</v>
      </c>
      <c r="Q103" s="16" t="s">
        <v>148</v>
      </c>
      <c r="R103" s="14" t="s">
        <v>149</v>
      </c>
      <c r="S103" s="14" t="s">
        <v>150</v>
      </c>
      <c r="T103" s="14" t="s">
        <v>88</v>
      </c>
      <c r="U103" s="14" t="s">
        <v>140</v>
      </c>
      <c r="V103" s="15">
        <v>43939</v>
      </c>
      <c r="W103" s="15"/>
      <c r="X103" s="16" t="s">
        <v>84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4" t="s">
        <v>84</v>
      </c>
      <c r="AP103" s="16" t="s">
        <v>84</v>
      </c>
    </row>
    <row r="104" spans="1:42" ht="90" x14ac:dyDescent="0.25">
      <c r="A104" s="14" t="s">
        <v>133</v>
      </c>
      <c r="B104" s="14" t="s">
        <v>129</v>
      </c>
      <c r="C104" s="15">
        <v>44005.65902777778</v>
      </c>
      <c r="D104" s="14" t="s">
        <v>73</v>
      </c>
      <c r="E104" s="16" t="s">
        <v>74</v>
      </c>
      <c r="F104" s="14" t="s">
        <v>75</v>
      </c>
      <c r="G104" s="16" t="s">
        <v>76</v>
      </c>
      <c r="H104" s="14" t="s">
        <v>215</v>
      </c>
      <c r="I104" s="16" t="s">
        <v>216</v>
      </c>
      <c r="J104" s="16" t="s">
        <v>217</v>
      </c>
      <c r="K104" s="16" t="s">
        <v>218</v>
      </c>
      <c r="L104" s="14" t="s">
        <v>219</v>
      </c>
      <c r="M104" s="16" t="s">
        <v>220</v>
      </c>
      <c r="N104" s="14" t="s">
        <v>178</v>
      </c>
      <c r="O104" s="16" t="s">
        <v>179</v>
      </c>
      <c r="P104" s="16" t="s">
        <v>180</v>
      </c>
      <c r="Q104" s="16" t="s">
        <v>151</v>
      </c>
      <c r="R104" s="14" t="s">
        <v>152</v>
      </c>
      <c r="S104" s="14" t="s">
        <v>87</v>
      </c>
      <c r="T104" s="14" t="s">
        <v>153</v>
      </c>
      <c r="U104" s="14" t="s">
        <v>140</v>
      </c>
      <c r="V104" s="15">
        <v>43939</v>
      </c>
      <c r="W104" s="15"/>
      <c r="X104" s="16" t="s">
        <v>84</v>
      </c>
      <c r="Y104" s="17"/>
      <c r="Z104" s="18"/>
      <c r="AA104" s="17"/>
      <c r="AB104" s="18"/>
      <c r="AC104" s="17"/>
      <c r="AD104" s="18"/>
      <c r="AE104" s="17"/>
      <c r="AF104" s="18"/>
      <c r="AG104" s="17"/>
      <c r="AH104" s="18"/>
      <c r="AI104" s="17"/>
      <c r="AJ104" s="18"/>
      <c r="AK104" s="17"/>
      <c r="AL104" s="18"/>
      <c r="AM104" s="17"/>
      <c r="AN104" s="18"/>
      <c r="AO104" s="14" t="s">
        <v>84</v>
      </c>
      <c r="AP104" s="16" t="s">
        <v>84</v>
      </c>
    </row>
    <row r="105" spans="1:42" ht="90" x14ac:dyDescent="0.25">
      <c r="A105" s="14" t="s">
        <v>133</v>
      </c>
      <c r="B105" s="14" t="s">
        <v>129</v>
      </c>
      <c r="C105" s="15">
        <v>43999.691666666666</v>
      </c>
      <c r="D105" s="14" t="s">
        <v>73</v>
      </c>
      <c r="E105" s="16" t="s">
        <v>74</v>
      </c>
      <c r="F105" s="14" t="s">
        <v>75</v>
      </c>
      <c r="G105" s="16" t="s">
        <v>76</v>
      </c>
      <c r="H105" s="14" t="s">
        <v>215</v>
      </c>
      <c r="I105" s="16" t="s">
        <v>216</v>
      </c>
      <c r="J105" s="16" t="s">
        <v>217</v>
      </c>
      <c r="K105" s="16" t="s">
        <v>218</v>
      </c>
      <c r="L105" s="14" t="s">
        <v>221</v>
      </c>
      <c r="M105" s="16" t="s">
        <v>222</v>
      </c>
      <c r="N105" s="14" t="s">
        <v>178</v>
      </c>
      <c r="O105" s="16" t="s">
        <v>192</v>
      </c>
      <c r="P105" s="16" t="s">
        <v>193</v>
      </c>
      <c r="Q105" s="16" t="s">
        <v>151</v>
      </c>
      <c r="R105" s="14" t="s">
        <v>152</v>
      </c>
      <c r="S105" s="14" t="s">
        <v>87</v>
      </c>
      <c r="T105" s="14" t="s">
        <v>153</v>
      </c>
      <c r="U105" s="14" t="s">
        <v>140</v>
      </c>
      <c r="V105" s="15">
        <v>43939</v>
      </c>
      <c r="W105" s="15"/>
      <c r="X105" s="16" t="s">
        <v>84</v>
      </c>
      <c r="Y105" s="17"/>
      <c r="Z105" s="18"/>
      <c r="AA105" s="17"/>
      <c r="AB105" s="18"/>
      <c r="AC105" s="17"/>
      <c r="AD105" s="18"/>
      <c r="AE105" s="17"/>
      <c r="AF105" s="18"/>
      <c r="AG105" s="17"/>
      <c r="AH105" s="18"/>
      <c r="AI105" s="17"/>
      <c r="AJ105" s="18"/>
      <c r="AK105" s="17"/>
      <c r="AL105" s="18"/>
      <c r="AM105" s="17"/>
      <c r="AN105" s="18"/>
      <c r="AO105" s="14" t="s">
        <v>84</v>
      </c>
      <c r="AP105" s="16" t="s">
        <v>84</v>
      </c>
    </row>
    <row r="106" spans="1:42" ht="90" x14ac:dyDescent="0.25">
      <c r="A106" s="14" t="s">
        <v>133</v>
      </c>
      <c r="B106" s="14" t="s">
        <v>129</v>
      </c>
      <c r="C106" s="15">
        <v>43999.692361111112</v>
      </c>
      <c r="D106" s="14" t="s">
        <v>73</v>
      </c>
      <c r="E106" s="16" t="s">
        <v>74</v>
      </c>
      <c r="F106" s="14" t="s">
        <v>75</v>
      </c>
      <c r="G106" s="16" t="s">
        <v>76</v>
      </c>
      <c r="H106" s="14" t="s">
        <v>215</v>
      </c>
      <c r="I106" s="16" t="s">
        <v>216</v>
      </c>
      <c r="J106" s="16" t="s">
        <v>217</v>
      </c>
      <c r="K106" s="16" t="s">
        <v>218</v>
      </c>
      <c r="L106" s="14" t="s">
        <v>223</v>
      </c>
      <c r="M106" s="16" t="s">
        <v>224</v>
      </c>
      <c r="N106" s="14" t="s">
        <v>136</v>
      </c>
      <c r="O106" s="16" t="s">
        <v>199</v>
      </c>
      <c r="P106" s="16" t="s">
        <v>200</v>
      </c>
      <c r="Q106" s="16" t="s">
        <v>151</v>
      </c>
      <c r="R106" s="14" t="s">
        <v>152</v>
      </c>
      <c r="S106" s="14" t="s">
        <v>87</v>
      </c>
      <c r="T106" s="14" t="s">
        <v>153</v>
      </c>
      <c r="U106" s="14" t="s">
        <v>140</v>
      </c>
      <c r="V106" s="15">
        <v>43939</v>
      </c>
      <c r="W106" s="15"/>
      <c r="X106" s="16" t="s">
        <v>84</v>
      </c>
      <c r="Y106" s="17"/>
      <c r="Z106" s="18"/>
      <c r="AA106" s="17"/>
      <c r="AB106" s="18"/>
      <c r="AC106" s="17"/>
      <c r="AD106" s="18"/>
      <c r="AE106" s="17"/>
      <c r="AF106" s="18"/>
      <c r="AG106" s="17"/>
      <c r="AH106" s="18"/>
      <c r="AI106" s="17"/>
      <c r="AJ106" s="18"/>
      <c r="AK106" s="17"/>
      <c r="AL106" s="18"/>
      <c r="AM106" s="17"/>
      <c r="AN106" s="18"/>
      <c r="AO106" s="14" t="s">
        <v>84</v>
      </c>
      <c r="AP106" s="16" t="s">
        <v>84</v>
      </c>
    </row>
    <row r="107" spans="1:42" ht="90" x14ac:dyDescent="0.25">
      <c r="A107" s="14" t="s">
        <v>133</v>
      </c>
      <c r="B107" s="14" t="s">
        <v>129</v>
      </c>
      <c r="C107" s="15">
        <v>43999.689583333333</v>
      </c>
      <c r="D107" s="14" t="s">
        <v>73</v>
      </c>
      <c r="E107" s="16" t="s">
        <v>74</v>
      </c>
      <c r="F107" s="14" t="s">
        <v>75</v>
      </c>
      <c r="G107" s="16" t="s">
        <v>76</v>
      </c>
      <c r="H107" s="14" t="s">
        <v>215</v>
      </c>
      <c r="I107" s="16" t="s">
        <v>216</v>
      </c>
      <c r="J107" s="16" t="s">
        <v>217</v>
      </c>
      <c r="K107" s="16" t="s">
        <v>218</v>
      </c>
      <c r="L107" s="14" t="s">
        <v>219</v>
      </c>
      <c r="M107" s="16" t="s">
        <v>220</v>
      </c>
      <c r="N107" s="14" t="s">
        <v>178</v>
      </c>
      <c r="O107" s="16" t="s">
        <v>179</v>
      </c>
      <c r="P107" s="16" t="s">
        <v>180</v>
      </c>
      <c r="Q107" s="16" t="s">
        <v>154</v>
      </c>
      <c r="R107" s="14" t="s">
        <v>155</v>
      </c>
      <c r="S107" s="14" t="s">
        <v>146</v>
      </c>
      <c r="T107" s="14" t="s">
        <v>153</v>
      </c>
      <c r="U107" s="14" t="s">
        <v>140</v>
      </c>
      <c r="V107" s="15">
        <v>43939</v>
      </c>
      <c r="W107" s="15"/>
      <c r="X107" s="16" t="s">
        <v>84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/>
      <c r="AL107" s="18"/>
      <c r="AM107" s="17"/>
      <c r="AN107" s="18"/>
      <c r="AO107" s="14" t="s">
        <v>84</v>
      </c>
      <c r="AP107" s="16" t="s">
        <v>84</v>
      </c>
    </row>
    <row r="108" spans="1:42" ht="90" x14ac:dyDescent="0.25">
      <c r="A108" s="14" t="s">
        <v>133</v>
      </c>
      <c r="B108" s="14" t="s">
        <v>129</v>
      </c>
      <c r="C108" s="15">
        <v>43999.691666666666</v>
      </c>
      <c r="D108" s="14" t="s">
        <v>73</v>
      </c>
      <c r="E108" s="16" t="s">
        <v>74</v>
      </c>
      <c r="F108" s="14" t="s">
        <v>75</v>
      </c>
      <c r="G108" s="16" t="s">
        <v>76</v>
      </c>
      <c r="H108" s="14" t="s">
        <v>215</v>
      </c>
      <c r="I108" s="16" t="s">
        <v>216</v>
      </c>
      <c r="J108" s="16" t="s">
        <v>217</v>
      </c>
      <c r="K108" s="16" t="s">
        <v>218</v>
      </c>
      <c r="L108" s="14" t="s">
        <v>221</v>
      </c>
      <c r="M108" s="16" t="s">
        <v>222</v>
      </c>
      <c r="N108" s="14" t="s">
        <v>178</v>
      </c>
      <c r="O108" s="16" t="s">
        <v>192</v>
      </c>
      <c r="P108" s="16" t="s">
        <v>193</v>
      </c>
      <c r="Q108" s="16" t="s">
        <v>154</v>
      </c>
      <c r="R108" s="14" t="s">
        <v>155</v>
      </c>
      <c r="S108" s="14" t="s">
        <v>146</v>
      </c>
      <c r="T108" s="14" t="s">
        <v>153</v>
      </c>
      <c r="U108" s="14" t="s">
        <v>140</v>
      </c>
      <c r="V108" s="15">
        <v>43939</v>
      </c>
      <c r="W108" s="15"/>
      <c r="X108" s="16" t="s">
        <v>84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4" t="s">
        <v>84</v>
      </c>
      <c r="AP108" s="16" t="s">
        <v>84</v>
      </c>
    </row>
    <row r="109" spans="1:42" ht="90" x14ac:dyDescent="0.25">
      <c r="A109" s="14" t="s">
        <v>133</v>
      </c>
      <c r="B109" s="14" t="s">
        <v>129</v>
      </c>
      <c r="C109" s="15">
        <v>43999.692361111112</v>
      </c>
      <c r="D109" s="14" t="s">
        <v>73</v>
      </c>
      <c r="E109" s="16" t="s">
        <v>74</v>
      </c>
      <c r="F109" s="14" t="s">
        <v>75</v>
      </c>
      <c r="G109" s="16" t="s">
        <v>76</v>
      </c>
      <c r="H109" s="14" t="s">
        <v>215</v>
      </c>
      <c r="I109" s="16" t="s">
        <v>216</v>
      </c>
      <c r="J109" s="16" t="s">
        <v>217</v>
      </c>
      <c r="K109" s="16" t="s">
        <v>218</v>
      </c>
      <c r="L109" s="14" t="s">
        <v>223</v>
      </c>
      <c r="M109" s="16" t="s">
        <v>224</v>
      </c>
      <c r="N109" s="14" t="s">
        <v>136</v>
      </c>
      <c r="O109" s="16" t="s">
        <v>199</v>
      </c>
      <c r="P109" s="16" t="s">
        <v>200</v>
      </c>
      <c r="Q109" s="16" t="s">
        <v>154</v>
      </c>
      <c r="R109" s="14" t="s">
        <v>155</v>
      </c>
      <c r="S109" s="14" t="s">
        <v>146</v>
      </c>
      <c r="T109" s="14" t="s">
        <v>153</v>
      </c>
      <c r="U109" s="14" t="s">
        <v>140</v>
      </c>
      <c r="V109" s="15">
        <v>43939</v>
      </c>
      <c r="W109" s="15"/>
      <c r="X109" s="16" t="s">
        <v>84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4" t="s">
        <v>84</v>
      </c>
      <c r="AP109" s="16" t="s">
        <v>84</v>
      </c>
    </row>
    <row r="110" spans="1:42" ht="150" x14ac:dyDescent="0.25">
      <c r="A110" s="14" t="s">
        <v>225</v>
      </c>
      <c r="B110" s="14" t="s">
        <v>129</v>
      </c>
      <c r="C110" s="15">
        <v>45083.474999999999</v>
      </c>
      <c r="D110" s="14" t="s">
        <v>73</v>
      </c>
      <c r="E110" s="16" t="s">
        <v>74</v>
      </c>
      <c r="F110" s="14" t="s">
        <v>75</v>
      </c>
      <c r="G110" s="16" t="s">
        <v>76</v>
      </c>
      <c r="H110" s="14" t="s">
        <v>226</v>
      </c>
      <c r="I110" s="16" t="s">
        <v>227</v>
      </c>
      <c r="J110" s="16" t="s">
        <v>228</v>
      </c>
      <c r="K110" s="16" t="s">
        <v>229</v>
      </c>
      <c r="L110" s="14" t="s">
        <v>230</v>
      </c>
      <c r="M110" s="16" t="s">
        <v>231</v>
      </c>
      <c r="N110" s="14" t="s">
        <v>83</v>
      </c>
      <c r="O110" s="16" t="s">
        <v>84</v>
      </c>
      <c r="P110" s="16" t="s">
        <v>84</v>
      </c>
      <c r="Q110" s="16" t="s">
        <v>85</v>
      </c>
      <c r="R110" s="14" t="s">
        <v>86</v>
      </c>
      <c r="S110" s="14" t="s">
        <v>87</v>
      </c>
      <c r="T110" s="14" t="s">
        <v>88</v>
      </c>
      <c r="U110" s="14" t="s">
        <v>89</v>
      </c>
      <c r="V110" s="15">
        <v>43939</v>
      </c>
      <c r="W110" s="15"/>
      <c r="X110" s="16" t="s">
        <v>293</v>
      </c>
      <c r="Y110" s="17" t="s">
        <v>294</v>
      </c>
      <c r="Z110" s="18" t="str">
        <f>VLOOKUP(Y110,'Axe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110" s="17" t="s">
        <v>296</v>
      </c>
      <c r="AB110" s="18" t="str">
        <f>VLOOKUP(AA110,'Axe 2 Règles de gestion'!$D$2:$F$41,3, FALSE)</f>
        <v>Classement : L'agent est classé dans son corps.</v>
      </c>
      <c r="AC110" s="17" t="s">
        <v>298</v>
      </c>
      <c r="AD110" s="18" t="str">
        <f>VLOOKUP(AC110,'Axe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110" s="17" t="s">
        <v>300</v>
      </c>
      <c r="AF110" s="18" t="str">
        <f>VLOOKUP(AE110,'Axe 2 Règles de gestion'!$D$2:$F$41,3, FALSE)</f>
        <v>Evaluation professionnelle : L'agent est évalué par l'administration d'accueil.</v>
      </c>
      <c r="AG110" s="17" t="s">
        <v>302</v>
      </c>
      <c r="AH110" s="18" t="str">
        <f>VLOOKUP(AG110,'Axe 2 Règles de gestion'!$D$2:$F$41,3, FALSE)</f>
        <v>Congés annuels : L'agent cumule des droits à congé. L'administration d'accueil gère les droits à congés annuels de l'agent.</v>
      </c>
      <c r="AI110" s="17" t="s">
        <v>304</v>
      </c>
      <c r="AJ110" s="18" t="str">
        <f>VLOOKUP(AI110,'Axe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10" s="17" t="s">
        <v>306</v>
      </c>
      <c r="AL110" s="18" t="str">
        <f>VLOOKUP(AK110,'Axe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110" s="17" t="s">
        <v>308</v>
      </c>
      <c r="AN110" s="18" t="str">
        <f>VLOOKUP(AM110,'Axe 2 Règles de gestion'!$D$2:$F$41,3, FALSE)</f>
        <v>Acte : Un acte administratif doit être produit.</v>
      </c>
      <c r="AO110" s="14" t="s">
        <v>84</v>
      </c>
      <c r="AP110" s="16" t="s">
        <v>84</v>
      </c>
    </row>
    <row r="111" spans="1:42" ht="150" x14ac:dyDescent="0.25">
      <c r="A111" s="14" t="s">
        <v>225</v>
      </c>
      <c r="B111" s="14" t="s">
        <v>129</v>
      </c>
      <c r="C111" s="15">
        <v>45083.484722222223</v>
      </c>
      <c r="D111" s="14" t="s">
        <v>73</v>
      </c>
      <c r="E111" s="16" t="s">
        <v>74</v>
      </c>
      <c r="F111" s="14" t="s">
        <v>75</v>
      </c>
      <c r="G111" s="16" t="s">
        <v>76</v>
      </c>
      <c r="H111" s="14" t="s">
        <v>226</v>
      </c>
      <c r="I111" s="16" t="s">
        <v>227</v>
      </c>
      <c r="J111" s="16" t="s">
        <v>228</v>
      </c>
      <c r="K111" s="16" t="s">
        <v>229</v>
      </c>
      <c r="L111" s="14" t="s">
        <v>235</v>
      </c>
      <c r="M111" s="16" t="s">
        <v>236</v>
      </c>
      <c r="N111" s="14" t="s">
        <v>136</v>
      </c>
      <c r="O111" s="16" t="s">
        <v>84</v>
      </c>
      <c r="P111" s="16" t="s">
        <v>84</v>
      </c>
      <c r="Q111" s="16" t="s">
        <v>85</v>
      </c>
      <c r="R111" s="14" t="s">
        <v>86</v>
      </c>
      <c r="S111" s="14" t="s">
        <v>87</v>
      </c>
      <c r="T111" s="14" t="s">
        <v>88</v>
      </c>
      <c r="U111" s="14" t="s">
        <v>89</v>
      </c>
      <c r="V111" s="15">
        <v>43939</v>
      </c>
      <c r="W111" s="15"/>
      <c r="X111" s="16" t="s">
        <v>320</v>
      </c>
      <c r="Y111" s="17" t="s">
        <v>318</v>
      </c>
      <c r="Z111" s="18" t="str">
        <f>VLOOKUP(Y111,'Axe 2 Règles de gestion'!$D$2:$F$41,3, FALSE)</f>
        <v>Rémunération : L'agent ne perçoit plus de rémunération.</v>
      </c>
      <c r="AA111" s="17" t="s">
        <v>296</v>
      </c>
      <c r="AB111" s="18" t="str">
        <f>VLOOKUP(AA111,'Axe 2 Règles de gestion'!$D$2:$F$41,3, FALSE)</f>
        <v>Classement : L'agent est classé dans son corps.</v>
      </c>
      <c r="AC111" s="17" t="s">
        <v>311</v>
      </c>
      <c r="AD111" s="18" t="str">
        <f>VLOOKUP(AC111,'Axe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111" s="17" t="s">
        <v>313</v>
      </c>
      <c r="AF111" s="18" t="str">
        <f>VLOOKUP(AE111,'Axe 2 Règles de gestion'!$D$2:$F$41,3, FALSE)</f>
        <v>Evaluation professionnelle : L'administration d'accueil établit le rapport de titularisation de l'agent.</v>
      </c>
      <c r="AG111" s="17" t="s">
        <v>302</v>
      </c>
      <c r="AH111" s="18" t="str">
        <f>VLOOKUP(AG111,'Axe 2 Règles de gestion'!$D$2:$F$41,3, FALSE)</f>
        <v>Congés annuels : L'agent cumule des droits à congé. L'administration d'accueil gère les droits à congés annuels de l'agent.</v>
      </c>
      <c r="AI111" s="17" t="s">
        <v>304</v>
      </c>
      <c r="AJ111" s="18" t="str">
        <f>VLOOKUP(AI111,'Axe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11" s="17" t="s">
        <v>315</v>
      </c>
      <c r="AL111" s="18" t="str">
        <f>VLOOKUP(AK111,'Axe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111" s="17" t="s">
        <v>308</v>
      </c>
      <c r="AN111" s="18" t="str">
        <f>VLOOKUP(AM111,'Axe 2 Règles de gestion'!$D$2:$F$41,3, FALSE)</f>
        <v>Acte : Un acte administratif doit être produit.</v>
      </c>
      <c r="AO111" s="14" t="s">
        <v>84</v>
      </c>
      <c r="AP111" s="16" t="s">
        <v>84</v>
      </c>
    </row>
    <row r="112" spans="1:42" ht="60" x14ac:dyDescent="0.25">
      <c r="A112" s="14" t="s">
        <v>225</v>
      </c>
      <c r="B112" s="14" t="s">
        <v>129</v>
      </c>
      <c r="C112" s="15">
        <v>45083.462500000001</v>
      </c>
      <c r="D112" s="14" t="s">
        <v>73</v>
      </c>
      <c r="E112" s="16" t="s">
        <v>74</v>
      </c>
      <c r="F112" s="14" t="s">
        <v>75</v>
      </c>
      <c r="G112" s="16" t="s">
        <v>76</v>
      </c>
      <c r="H112" s="14" t="s">
        <v>226</v>
      </c>
      <c r="I112" s="16" t="s">
        <v>227</v>
      </c>
      <c r="J112" s="16" t="s">
        <v>228</v>
      </c>
      <c r="K112" s="16" t="s">
        <v>229</v>
      </c>
      <c r="L112" s="14" t="s">
        <v>230</v>
      </c>
      <c r="M112" s="16" t="s">
        <v>231</v>
      </c>
      <c r="N112" s="14" t="s">
        <v>83</v>
      </c>
      <c r="O112" s="16" t="s">
        <v>84</v>
      </c>
      <c r="P112" s="16" t="s">
        <v>84</v>
      </c>
      <c r="Q112" s="16" t="s">
        <v>138</v>
      </c>
      <c r="R112" s="14" t="s">
        <v>139</v>
      </c>
      <c r="S112" s="14" t="s">
        <v>72</v>
      </c>
      <c r="T112" s="14" t="s">
        <v>88</v>
      </c>
      <c r="U112" s="14" t="s">
        <v>140</v>
      </c>
      <c r="V112" s="15">
        <v>43939</v>
      </c>
      <c r="W112" s="15"/>
      <c r="X112" s="16" t="s">
        <v>84</v>
      </c>
      <c r="Y112" s="17"/>
      <c r="Z112" s="18"/>
      <c r="AA112" s="17"/>
      <c r="AB112" s="18"/>
      <c r="AC112" s="17"/>
      <c r="AD112" s="18"/>
      <c r="AE112" s="17"/>
      <c r="AF112" s="18"/>
      <c r="AG112" s="17"/>
      <c r="AH112" s="18"/>
      <c r="AI112" s="17"/>
      <c r="AJ112" s="18"/>
      <c r="AK112" s="17"/>
      <c r="AL112" s="18"/>
      <c r="AM112" s="17"/>
      <c r="AN112" s="18"/>
      <c r="AO112" s="14" t="s">
        <v>84</v>
      </c>
      <c r="AP112" s="16" t="s">
        <v>84</v>
      </c>
    </row>
    <row r="113" spans="1:42" ht="60" x14ac:dyDescent="0.25">
      <c r="A113" s="14" t="s">
        <v>225</v>
      </c>
      <c r="B113" s="14" t="s">
        <v>129</v>
      </c>
      <c r="C113" s="15">
        <v>45083.479166666664</v>
      </c>
      <c r="D113" s="14" t="s">
        <v>73</v>
      </c>
      <c r="E113" s="16" t="s">
        <v>74</v>
      </c>
      <c r="F113" s="14" t="s">
        <v>75</v>
      </c>
      <c r="G113" s="16" t="s">
        <v>76</v>
      </c>
      <c r="H113" s="14" t="s">
        <v>226</v>
      </c>
      <c r="I113" s="16" t="s">
        <v>227</v>
      </c>
      <c r="J113" s="16" t="s">
        <v>228</v>
      </c>
      <c r="K113" s="16" t="s">
        <v>229</v>
      </c>
      <c r="L113" s="14" t="s">
        <v>235</v>
      </c>
      <c r="M113" s="16" t="s">
        <v>236</v>
      </c>
      <c r="N113" s="14" t="s">
        <v>136</v>
      </c>
      <c r="O113" s="16" t="s">
        <v>84</v>
      </c>
      <c r="P113" s="16" t="s">
        <v>84</v>
      </c>
      <c r="Q113" s="16" t="s">
        <v>138</v>
      </c>
      <c r="R113" s="14" t="s">
        <v>139</v>
      </c>
      <c r="S113" s="14" t="s">
        <v>72</v>
      </c>
      <c r="T113" s="14" t="s">
        <v>88</v>
      </c>
      <c r="U113" s="14" t="s">
        <v>140</v>
      </c>
      <c r="V113" s="15">
        <v>43939</v>
      </c>
      <c r="W113" s="15"/>
      <c r="X113" s="16" t="s">
        <v>84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4" t="s">
        <v>84</v>
      </c>
      <c r="AP113" s="16" t="s">
        <v>84</v>
      </c>
    </row>
    <row r="114" spans="1:42" ht="60" x14ac:dyDescent="0.25">
      <c r="A114" s="14" t="s">
        <v>225</v>
      </c>
      <c r="B114" s="14" t="s">
        <v>129</v>
      </c>
      <c r="C114" s="15">
        <v>45083.461805555555</v>
      </c>
      <c r="D114" s="14" t="s">
        <v>73</v>
      </c>
      <c r="E114" s="16" t="s">
        <v>74</v>
      </c>
      <c r="F114" s="14" t="s">
        <v>75</v>
      </c>
      <c r="G114" s="16" t="s">
        <v>76</v>
      </c>
      <c r="H114" s="14" t="s">
        <v>226</v>
      </c>
      <c r="I114" s="16" t="s">
        <v>227</v>
      </c>
      <c r="J114" s="16" t="s">
        <v>228</v>
      </c>
      <c r="K114" s="16" t="s">
        <v>229</v>
      </c>
      <c r="L114" s="14" t="s">
        <v>230</v>
      </c>
      <c r="M114" s="16" t="s">
        <v>231</v>
      </c>
      <c r="N114" s="14" t="s">
        <v>83</v>
      </c>
      <c r="O114" s="16" t="s">
        <v>84</v>
      </c>
      <c r="P114" s="16" t="s">
        <v>84</v>
      </c>
      <c r="Q114" s="16" t="s">
        <v>141</v>
      </c>
      <c r="R114" s="14" t="s">
        <v>142</v>
      </c>
      <c r="S114" s="14" t="s">
        <v>143</v>
      </c>
      <c r="T114" s="14" t="s">
        <v>88</v>
      </c>
      <c r="U114" s="14" t="s">
        <v>140</v>
      </c>
      <c r="V114" s="15">
        <v>43939</v>
      </c>
      <c r="W114" s="15"/>
      <c r="X114" s="16" t="s">
        <v>84</v>
      </c>
      <c r="Y114" s="17"/>
      <c r="Z114" s="18"/>
      <c r="AA114" s="17"/>
      <c r="AB114" s="18"/>
      <c r="AC114" s="17"/>
      <c r="AD114" s="18"/>
      <c r="AE114" s="17"/>
      <c r="AF114" s="18"/>
      <c r="AG114" s="17"/>
      <c r="AH114" s="18"/>
      <c r="AI114" s="17"/>
      <c r="AJ114" s="18"/>
      <c r="AK114" s="17"/>
      <c r="AL114" s="18"/>
      <c r="AM114" s="17"/>
      <c r="AN114" s="18"/>
      <c r="AO114" s="14" t="s">
        <v>84</v>
      </c>
      <c r="AP114" s="16" t="s">
        <v>84</v>
      </c>
    </row>
    <row r="115" spans="1:42" ht="60" x14ac:dyDescent="0.25">
      <c r="A115" s="14" t="s">
        <v>225</v>
      </c>
      <c r="B115" s="14" t="s">
        <v>129</v>
      </c>
      <c r="C115" s="15">
        <v>45083.479166666664</v>
      </c>
      <c r="D115" s="14" t="s">
        <v>73</v>
      </c>
      <c r="E115" s="16" t="s">
        <v>74</v>
      </c>
      <c r="F115" s="14" t="s">
        <v>75</v>
      </c>
      <c r="G115" s="16" t="s">
        <v>76</v>
      </c>
      <c r="H115" s="14" t="s">
        <v>226</v>
      </c>
      <c r="I115" s="16" t="s">
        <v>227</v>
      </c>
      <c r="J115" s="16" t="s">
        <v>228</v>
      </c>
      <c r="K115" s="16" t="s">
        <v>229</v>
      </c>
      <c r="L115" s="14" t="s">
        <v>235</v>
      </c>
      <c r="M115" s="16" t="s">
        <v>236</v>
      </c>
      <c r="N115" s="14" t="s">
        <v>136</v>
      </c>
      <c r="O115" s="16" t="s">
        <v>84</v>
      </c>
      <c r="P115" s="16" t="s">
        <v>84</v>
      </c>
      <c r="Q115" s="16" t="s">
        <v>141</v>
      </c>
      <c r="R115" s="14" t="s">
        <v>142</v>
      </c>
      <c r="S115" s="14" t="s">
        <v>143</v>
      </c>
      <c r="T115" s="14" t="s">
        <v>88</v>
      </c>
      <c r="U115" s="14" t="s">
        <v>140</v>
      </c>
      <c r="V115" s="15">
        <v>43939</v>
      </c>
      <c r="W115" s="15"/>
      <c r="X115" s="16" t="s">
        <v>84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4" t="s">
        <v>84</v>
      </c>
      <c r="AP115" s="16" t="s">
        <v>84</v>
      </c>
    </row>
    <row r="116" spans="1:42" ht="150" x14ac:dyDescent="0.25">
      <c r="A116" s="14" t="s">
        <v>225</v>
      </c>
      <c r="B116" s="14" t="s">
        <v>129</v>
      </c>
      <c r="C116" s="15">
        <v>45083.476388888892</v>
      </c>
      <c r="D116" s="14" t="s">
        <v>73</v>
      </c>
      <c r="E116" s="16" t="s">
        <v>74</v>
      </c>
      <c r="F116" s="14" t="s">
        <v>75</v>
      </c>
      <c r="G116" s="16" t="s">
        <v>76</v>
      </c>
      <c r="H116" s="14" t="s">
        <v>226</v>
      </c>
      <c r="I116" s="16" t="s">
        <v>227</v>
      </c>
      <c r="J116" s="16" t="s">
        <v>228</v>
      </c>
      <c r="K116" s="16" t="s">
        <v>229</v>
      </c>
      <c r="L116" s="14" t="s">
        <v>230</v>
      </c>
      <c r="M116" s="16" t="s">
        <v>231</v>
      </c>
      <c r="N116" s="14" t="s">
        <v>83</v>
      </c>
      <c r="O116" s="16" t="s">
        <v>84</v>
      </c>
      <c r="P116" s="16" t="s">
        <v>84</v>
      </c>
      <c r="Q116" s="16" t="s">
        <v>144</v>
      </c>
      <c r="R116" s="14" t="s">
        <v>145</v>
      </c>
      <c r="S116" s="14" t="s">
        <v>146</v>
      </c>
      <c r="T116" s="14" t="s">
        <v>88</v>
      </c>
      <c r="U116" s="14" t="s">
        <v>89</v>
      </c>
      <c r="V116" s="15">
        <v>43939</v>
      </c>
      <c r="W116" s="15"/>
      <c r="X116" s="16" t="s">
        <v>293</v>
      </c>
      <c r="Y116" s="17" t="s">
        <v>294</v>
      </c>
      <c r="Z116" s="18" t="str">
        <f>VLOOKUP(Y116,'Axe 2 Règles de gestion'!$D$2:$F$41,3,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AA116" s="17" t="s">
        <v>296</v>
      </c>
      <c r="AB116" s="18" t="str">
        <f>VLOOKUP(AA116,'Axe 2 Règles de gestion'!$D$2:$F$41,3, FALSE)</f>
        <v>Classement : L'agent est classé dans son corps.</v>
      </c>
      <c r="AC116" s="17" t="s">
        <v>298</v>
      </c>
      <c r="AD116" s="18" t="str">
        <f>VLOOKUP(AC116,'Axe 2 Règles de gestion'!$D$2:$F$41,3, FALSE)</f>
        <v>Carrière : L'administration d'origine assure la gestion de l'agent. Il conserve son droit à l'avancement dans son corps et relève de la commission administrative paritaire de son corps dans son ministère d'origine.</v>
      </c>
      <c r="AE116" s="17" t="s">
        <v>300</v>
      </c>
      <c r="AF116" s="18" t="str">
        <f>VLOOKUP(AE116,'Axe 2 Règles de gestion'!$D$2:$F$41,3, FALSE)</f>
        <v>Evaluation professionnelle : L'agent est évalué par l'administration d'accueil.</v>
      </c>
      <c r="AG116" s="17" t="s">
        <v>302</v>
      </c>
      <c r="AH116" s="18" t="str">
        <f>VLOOKUP(AG116,'Axe 2 Règles de gestion'!$D$2:$F$41,3, FALSE)</f>
        <v>Congés annuels : L'agent cumule des droits à congé. L'administration d'accueil gère les droits à congés annuels de l'agent.</v>
      </c>
      <c r="AI116" s="17" t="s">
        <v>304</v>
      </c>
      <c r="AJ116" s="18" t="str">
        <f>VLOOKUP(AI116,'Axe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16" s="17" t="s">
        <v>306</v>
      </c>
      <c r="AL116" s="18" t="str">
        <f>VLOOKUP(AK116,'Axe 2 Règles de gestion'!$D$2:$F$41,3, FALSE)</f>
        <v>Retraite : L'agent cumule de l'ancienneté. La mise à la retraite de l'agent intervient normalement lorsque celui-ci a atteint la limite d'âge prévue par les statuts de son corps d'origine.</v>
      </c>
      <c r="AM116" s="17" t="s">
        <v>308</v>
      </c>
      <c r="AN116" s="18" t="str">
        <f>VLOOKUP(AM116,'Axe 2 Règles de gestion'!$D$2:$F$41,3, FALSE)</f>
        <v>Acte : Un acte administratif doit être produit.</v>
      </c>
      <c r="AO116" s="14" t="s">
        <v>84</v>
      </c>
      <c r="AP116" s="16" t="s">
        <v>84</v>
      </c>
    </row>
    <row r="117" spans="1:42" ht="150" x14ac:dyDescent="0.25">
      <c r="A117" s="14" t="s">
        <v>225</v>
      </c>
      <c r="B117" s="14" t="s">
        <v>129</v>
      </c>
      <c r="C117" s="15">
        <v>45083.48541666667</v>
      </c>
      <c r="D117" s="14" t="s">
        <v>73</v>
      </c>
      <c r="E117" s="16" t="s">
        <v>74</v>
      </c>
      <c r="F117" s="14" t="s">
        <v>75</v>
      </c>
      <c r="G117" s="16" t="s">
        <v>76</v>
      </c>
      <c r="H117" s="14" t="s">
        <v>226</v>
      </c>
      <c r="I117" s="16" t="s">
        <v>227</v>
      </c>
      <c r="J117" s="16" t="s">
        <v>228</v>
      </c>
      <c r="K117" s="16" t="s">
        <v>229</v>
      </c>
      <c r="L117" s="14" t="s">
        <v>235</v>
      </c>
      <c r="M117" s="16" t="s">
        <v>236</v>
      </c>
      <c r="N117" s="14" t="s">
        <v>136</v>
      </c>
      <c r="O117" s="16" t="s">
        <v>84</v>
      </c>
      <c r="P117" s="16" t="s">
        <v>84</v>
      </c>
      <c r="Q117" s="16" t="s">
        <v>144</v>
      </c>
      <c r="R117" s="14" t="s">
        <v>145</v>
      </c>
      <c r="S117" s="14" t="s">
        <v>146</v>
      </c>
      <c r="T117" s="14" t="s">
        <v>88</v>
      </c>
      <c r="U117" s="14" t="s">
        <v>89</v>
      </c>
      <c r="V117" s="15">
        <v>43939</v>
      </c>
      <c r="W117" s="15"/>
      <c r="X117" s="16" t="s">
        <v>320</v>
      </c>
      <c r="Y117" s="17" t="s">
        <v>318</v>
      </c>
      <c r="Z117" s="18" t="str">
        <f>VLOOKUP(Y117,'Axe 2 Règles de gestion'!$D$2:$F$41,3, FALSE)</f>
        <v>Rémunération : L'agent ne perçoit plus de rémunération.</v>
      </c>
      <c r="AA117" s="17" t="s">
        <v>296</v>
      </c>
      <c r="AB117" s="18" t="str">
        <f>VLOOKUP(AA117,'Axe 2 Règles de gestion'!$D$2:$F$41,3, FALSE)</f>
        <v>Classement : L'agent est classé dans son corps.</v>
      </c>
      <c r="AC117" s="17" t="s">
        <v>311</v>
      </c>
      <c r="AD117" s="18" t="str">
        <f>VLOOKUP(AC117,'Axe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117" s="17" t="s">
        <v>313</v>
      </c>
      <c r="AF117" s="18" t="str">
        <f>VLOOKUP(AE117,'Axe 2 Règles de gestion'!$D$2:$F$41,3, FALSE)</f>
        <v>Evaluation professionnelle : L'administration d'accueil établit le rapport de titularisation de l'agent.</v>
      </c>
      <c r="AG117" s="17" t="s">
        <v>302</v>
      </c>
      <c r="AH117" s="18" t="str">
        <f>VLOOKUP(AG117,'Axe 2 Règles de gestion'!$D$2:$F$41,3, FALSE)</f>
        <v>Congés annuels : L'agent cumule des droits à congé. L'administration d'accueil gère les droits à congés annuels de l'agent.</v>
      </c>
      <c r="AI117" s="17" t="s">
        <v>304</v>
      </c>
      <c r="AJ117" s="18" t="str">
        <f>VLOOKUP(AI117,'Axe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17" s="17" t="s">
        <v>315</v>
      </c>
      <c r="AL117" s="18" t="str">
        <f>VLOOKUP(AK117,'Axe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117" s="17" t="s">
        <v>308</v>
      </c>
      <c r="AN117" s="18" t="str">
        <f>VLOOKUP(AM117,'Axe 2 Règles de gestion'!$D$2:$F$41,3, FALSE)</f>
        <v>Acte : Un acte administratif doit être produit.</v>
      </c>
      <c r="AO117" s="14" t="s">
        <v>84</v>
      </c>
      <c r="AP117" s="16" t="s">
        <v>84</v>
      </c>
    </row>
    <row r="118" spans="1:42" ht="60" x14ac:dyDescent="0.25">
      <c r="A118" s="14" t="s">
        <v>225</v>
      </c>
      <c r="B118" s="14" t="s">
        <v>129</v>
      </c>
      <c r="C118" s="15">
        <v>45083.461805555555</v>
      </c>
      <c r="D118" s="14" t="s">
        <v>73</v>
      </c>
      <c r="E118" s="16" t="s">
        <v>74</v>
      </c>
      <c r="F118" s="14" t="s">
        <v>75</v>
      </c>
      <c r="G118" s="16" t="s">
        <v>76</v>
      </c>
      <c r="H118" s="14" t="s">
        <v>226</v>
      </c>
      <c r="I118" s="16" t="s">
        <v>227</v>
      </c>
      <c r="J118" s="16" t="s">
        <v>228</v>
      </c>
      <c r="K118" s="16" t="s">
        <v>229</v>
      </c>
      <c r="L118" s="14" t="s">
        <v>230</v>
      </c>
      <c r="M118" s="16" t="s">
        <v>231</v>
      </c>
      <c r="N118" s="14" t="s">
        <v>83</v>
      </c>
      <c r="O118" s="16" t="s">
        <v>84</v>
      </c>
      <c r="P118" s="16" t="s">
        <v>84</v>
      </c>
      <c r="Q118" s="16" t="s">
        <v>148</v>
      </c>
      <c r="R118" s="14" t="s">
        <v>149</v>
      </c>
      <c r="S118" s="14" t="s">
        <v>150</v>
      </c>
      <c r="T118" s="14" t="s">
        <v>88</v>
      </c>
      <c r="U118" s="14" t="s">
        <v>140</v>
      </c>
      <c r="V118" s="15">
        <v>43939</v>
      </c>
      <c r="W118" s="15"/>
      <c r="X118" s="16" t="s">
        <v>84</v>
      </c>
      <c r="Y118" s="17"/>
      <c r="Z118" s="18"/>
      <c r="AA118" s="17"/>
      <c r="AB118" s="18"/>
      <c r="AC118" s="17"/>
      <c r="AD118" s="18"/>
      <c r="AE118" s="17"/>
      <c r="AF118" s="18"/>
      <c r="AG118" s="17"/>
      <c r="AH118" s="18"/>
      <c r="AI118" s="17"/>
      <c r="AJ118" s="18"/>
      <c r="AK118" s="17"/>
      <c r="AL118" s="18"/>
      <c r="AM118" s="17"/>
      <c r="AN118" s="18"/>
      <c r="AO118" s="14" t="s">
        <v>84</v>
      </c>
      <c r="AP118" s="16" t="s">
        <v>84</v>
      </c>
    </row>
    <row r="119" spans="1:42" ht="60" x14ac:dyDescent="0.25">
      <c r="A119" s="14" t="s">
        <v>225</v>
      </c>
      <c r="B119" s="14" t="s">
        <v>129</v>
      </c>
      <c r="C119" s="15">
        <v>45083.478472222225</v>
      </c>
      <c r="D119" s="14" t="s">
        <v>73</v>
      </c>
      <c r="E119" s="16" t="s">
        <v>74</v>
      </c>
      <c r="F119" s="14" t="s">
        <v>75</v>
      </c>
      <c r="G119" s="16" t="s">
        <v>76</v>
      </c>
      <c r="H119" s="14" t="s">
        <v>226</v>
      </c>
      <c r="I119" s="16" t="s">
        <v>227</v>
      </c>
      <c r="J119" s="16" t="s">
        <v>228</v>
      </c>
      <c r="K119" s="16" t="s">
        <v>229</v>
      </c>
      <c r="L119" s="14" t="s">
        <v>235</v>
      </c>
      <c r="M119" s="16" t="s">
        <v>236</v>
      </c>
      <c r="N119" s="14" t="s">
        <v>136</v>
      </c>
      <c r="O119" s="16" t="s">
        <v>84</v>
      </c>
      <c r="P119" s="16" t="s">
        <v>84</v>
      </c>
      <c r="Q119" s="16" t="s">
        <v>148</v>
      </c>
      <c r="R119" s="14" t="s">
        <v>149</v>
      </c>
      <c r="S119" s="14" t="s">
        <v>150</v>
      </c>
      <c r="T119" s="14" t="s">
        <v>88</v>
      </c>
      <c r="U119" s="14" t="s">
        <v>140</v>
      </c>
      <c r="V119" s="15">
        <v>43939</v>
      </c>
      <c r="W119" s="15"/>
      <c r="X119" s="16" t="s">
        <v>84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/>
      <c r="AL119" s="18"/>
      <c r="AM119" s="17"/>
      <c r="AN119" s="18"/>
      <c r="AO119" s="14" t="s">
        <v>84</v>
      </c>
      <c r="AP119" s="16" t="s">
        <v>84</v>
      </c>
    </row>
    <row r="120" spans="1:42" ht="150" x14ac:dyDescent="0.25">
      <c r="A120" s="14" t="s">
        <v>225</v>
      </c>
      <c r="B120" s="14" t="s">
        <v>129</v>
      </c>
      <c r="C120" s="15">
        <v>45083.490277777775</v>
      </c>
      <c r="D120" s="14" t="s">
        <v>73</v>
      </c>
      <c r="E120" s="16" t="s">
        <v>74</v>
      </c>
      <c r="F120" s="14" t="s">
        <v>75</v>
      </c>
      <c r="G120" s="16" t="s">
        <v>76</v>
      </c>
      <c r="H120" s="14" t="s">
        <v>238</v>
      </c>
      <c r="I120" s="16" t="s">
        <v>239</v>
      </c>
      <c r="J120" s="16" t="s">
        <v>240</v>
      </c>
      <c r="K120" s="16" t="s">
        <v>241</v>
      </c>
      <c r="L120" s="14" t="s">
        <v>242</v>
      </c>
      <c r="M120" s="16" t="s">
        <v>243</v>
      </c>
      <c r="N120" s="14" t="s">
        <v>83</v>
      </c>
      <c r="O120" s="16" t="s">
        <v>84</v>
      </c>
      <c r="P120" s="16" t="s">
        <v>84</v>
      </c>
      <c r="Q120" s="16" t="s">
        <v>85</v>
      </c>
      <c r="R120" s="14" t="s">
        <v>86</v>
      </c>
      <c r="S120" s="14" t="s">
        <v>87</v>
      </c>
      <c r="T120" s="14" t="s">
        <v>88</v>
      </c>
      <c r="U120" s="14" t="s">
        <v>89</v>
      </c>
      <c r="V120" s="15">
        <v>43939</v>
      </c>
      <c r="W120" s="15"/>
      <c r="X120" s="16" t="s">
        <v>320</v>
      </c>
      <c r="Y120" s="17" t="s">
        <v>318</v>
      </c>
      <c r="Z120" s="18" t="str">
        <f>VLOOKUP(Y120,'Axe 2 Règles de gestion'!$D$2:$F$41,3, FALSE)</f>
        <v>Rémunération : L'agent ne perçoit plus de rémunération.</v>
      </c>
      <c r="AA120" s="17" t="s">
        <v>296</v>
      </c>
      <c r="AB120" s="18" t="str">
        <f>VLOOKUP(AA120,'Axe 2 Règles de gestion'!$D$2:$F$41,3, FALSE)</f>
        <v>Classement : L'agent est classé dans son corps.</v>
      </c>
      <c r="AC120" s="17" t="s">
        <v>311</v>
      </c>
      <c r="AD120" s="18" t="str">
        <f>VLOOKUP(AC120,'Axe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120" s="17" t="s">
        <v>313</v>
      </c>
      <c r="AF120" s="18" t="str">
        <f>VLOOKUP(AE120,'Axe 2 Règles de gestion'!$D$2:$F$41,3, FALSE)</f>
        <v>Evaluation professionnelle : L'administration d'accueil établit le rapport de titularisation de l'agent.</v>
      </c>
      <c r="AG120" s="17" t="s">
        <v>302</v>
      </c>
      <c r="AH120" s="18" t="str">
        <f>VLOOKUP(AG120,'Axe 2 Règles de gestion'!$D$2:$F$41,3, FALSE)</f>
        <v>Congés annuels : L'agent cumule des droits à congé. L'administration d'accueil gère les droits à congés annuels de l'agent.</v>
      </c>
      <c r="AI120" s="17" t="s">
        <v>304</v>
      </c>
      <c r="AJ120" s="18" t="str">
        <f>VLOOKUP(AI120,'Axe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20" s="17" t="s">
        <v>315</v>
      </c>
      <c r="AL120" s="18" t="str">
        <f>VLOOKUP(AK120,'Axe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120" s="17" t="s">
        <v>308</v>
      </c>
      <c r="AN120" s="18" t="str">
        <f>VLOOKUP(AM120,'Axe 2 Règles de gestion'!$D$2:$F$41,3, FALSE)</f>
        <v>Acte : Un acte administratif doit être produit.</v>
      </c>
      <c r="AO120" s="14" t="s">
        <v>84</v>
      </c>
      <c r="AP120" s="16" t="s">
        <v>84</v>
      </c>
    </row>
    <row r="121" spans="1:42" ht="75" x14ac:dyDescent="0.25">
      <c r="A121" s="14" t="s">
        <v>225</v>
      </c>
      <c r="B121" s="14" t="s">
        <v>129</v>
      </c>
      <c r="C121" s="15">
        <v>45091.428472222222</v>
      </c>
      <c r="D121" s="14" t="s">
        <v>73</v>
      </c>
      <c r="E121" s="16" t="s">
        <v>74</v>
      </c>
      <c r="F121" s="14" t="s">
        <v>75</v>
      </c>
      <c r="G121" s="16" t="s">
        <v>76</v>
      </c>
      <c r="H121" s="14" t="s">
        <v>238</v>
      </c>
      <c r="I121" s="16" t="s">
        <v>239</v>
      </c>
      <c r="J121" s="16" t="s">
        <v>240</v>
      </c>
      <c r="K121" s="16" t="s">
        <v>241</v>
      </c>
      <c r="L121" s="14" t="s">
        <v>244</v>
      </c>
      <c r="M121" s="16" t="s">
        <v>245</v>
      </c>
      <c r="N121" s="14" t="s">
        <v>136</v>
      </c>
      <c r="O121" s="16" t="s">
        <v>84</v>
      </c>
      <c r="P121" s="16" t="s">
        <v>84</v>
      </c>
      <c r="Q121" s="16" t="s">
        <v>85</v>
      </c>
      <c r="R121" s="14" t="s">
        <v>86</v>
      </c>
      <c r="S121" s="14" t="s">
        <v>87</v>
      </c>
      <c r="T121" s="14" t="s">
        <v>88</v>
      </c>
      <c r="U121" s="14" t="s">
        <v>89</v>
      </c>
      <c r="V121" s="15">
        <v>43939</v>
      </c>
      <c r="W121" s="15"/>
      <c r="X121" s="16" t="s">
        <v>84</v>
      </c>
      <c r="Y121" s="17"/>
      <c r="Z121" s="18"/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4" t="s">
        <v>84</v>
      </c>
      <c r="AP121" s="16" t="s">
        <v>84</v>
      </c>
    </row>
    <row r="122" spans="1:42" ht="75" x14ac:dyDescent="0.25">
      <c r="A122" s="14" t="s">
        <v>225</v>
      </c>
      <c r="B122" s="14" t="s">
        <v>129</v>
      </c>
      <c r="C122" s="15">
        <v>45083.491666666669</v>
      </c>
      <c r="D122" s="14" t="s">
        <v>73</v>
      </c>
      <c r="E122" s="16" t="s">
        <v>74</v>
      </c>
      <c r="F122" s="14" t="s">
        <v>75</v>
      </c>
      <c r="G122" s="16" t="s">
        <v>76</v>
      </c>
      <c r="H122" s="14" t="s">
        <v>238</v>
      </c>
      <c r="I122" s="16" t="s">
        <v>239</v>
      </c>
      <c r="J122" s="16" t="s">
        <v>240</v>
      </c>
      <c r="K122" s="16" t="s">
        <v>241</v>
      </c>
      <c r="L122" s="14" t="s">
        <v>242</v>
      </c>
      <c r="M122" s="16" t="s">
        <v>243</v>
      </c>
      <c r="N122" s="14" t="s">
        <v>83</v>
      </c>
      <c r="O122" s="16" t="s">
        <v>84</v>
      </c>
      <c r="P122" s="16" t="s">
        <v>84</v>
      </c>
      <c r="Q122" s="16" t="s">
        <v>138</v>
      </c>
      <c r="R122" s="14" t="s">
        <v>139</v>
      </c>
      <c r="S122" s="14" t="s">
        <v>72</v>
      </c>
      <c r="T122" s="14" t="s">
        <v>88</v>
      </c>
      <c r="U122" s="14" t="s">
        <v>140</v>
      </c>
      <c r="V122" s="15">
        <v>43939</v>
      </c>
      <c r="W122" s="15"/>
      <c r="X122" s="16" t="s">
        <v>84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4" t="s">
        <v>84</v>
      </c>
      <c r="AP122" s="16" t="s">
        <v>84</v>
      </c>
    </row>
    <row r="123" spans="1:42" ht="75" x14ac:dyDescent="0.25">
      <c r="A123" s="14" t="s">
        <v>225</v>
      </c>
      <c r="B123" s="14" t="s">
        <v>129</v>
      </c>
      <c r="C123" s="15">
        <v>45091.427083333336</v>
      </c>
      <c r="D123" s="14" t="s">
        <v>73</v>
      </c>
      <c r="E123" s="16" t="s">
        <v>74</v>
      </c>
      <c r="F123" s="14" t="s">
        <v>75</v>
      </c>
      <c r="G123" s="16" t="s">
        <v>76</v>
      </c>
      <c r="H123" s="14" t="s">
        <v>238</v>
      </c>
      <c r="I123" s="16" t="s">
        <v>239</v>
      </c>
      <c r="J123" s="16" t="s">
        <v>240</v>
      </c>
      <c r="K123" s="16" t="s">
        <v>241</v>
      </c>
      <c r="L123" s="14" t="s">
        <v>244</v>
      </c>
      <c r="M123" s="16" t="s">
        <v>245</v>
      </c>
      <c r="N123" s="14" t="s">
        <v>136</v>
      </c>
      <c r="O123" s="16" t="s">
        <v>84</v>
      </c>
      <c r="P123" s="16" t="s">
        <v>84</v>
      </c>
      <c r="Q123" s="16" t="s">
        <v>138</v>
      </c>
      <c r="R123" s="14" t="s">
        <v>139</v>
      </c>
      <c r="S123" s="14" t="s">
        <v>72</v>
      </c>
      <c r="T123" s="14" t="s">
        <v>88</v>
      </c>
      <c r="U123" s="14" t="s">
        <v>140</v>
      </c>
      <c r="V123" s="15">
        <v>43939</v>
      </c>
      <c r="W123" s="15"/>
      <c r="X123" s="16" t="s">
        <v>84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4" t="s">
        <v>84</v>
      </c>
      <c r="AP123" s="16" t="s">
        <v>84</v>
      </c>
    </row>
    <row r="124" spans="1:42" ht="75" x14ac:dyDescent="0.25">
      <c r="A124" s="14" t="s">
        <v>225</v>
      </c>
      <c r="B124" s="14" t="s">
        <v>129</v>
      </c>
      <c r="C124" s="15">
        <v>45083.490972222222</v>
      </c>
      <c r="D124" s="14" t="s">
        <v>73</v>
      </c>
      <c r="E124" s="16" t="s">
        <v>74</v>
      </c>
      <c r="F124" s="14" t="s">
        <v>75</v>
      </c>
      <c r="G124" s="16" t="s">
        <v>76</v>
      </c>
      <c r="H124" s="14" t="s">
        <v>238</v>
      </c>
      <c r="I124" s="16" t="s">
        <v>239</v>
      </c>
      <c r="J124" s="16" t="s">
        <v>240</v>
      </c>
      <c r="K124" s="16" t="s">
        <v>241</v>
      </c>
      <c r="L124" s="14" t="s">
        <v>242</v>
      </c>
      <c r="M124" s="16" t="s">
        <v>243</v>
      </c>
      <c r="N124" s="14" t="s">
        <v>83</v>
      </c>
      <c r="O124" s="16" t="s">
        <v>84</v>
      </c>
      <c r="P124" s="16" t="s">
        <v>84</v>
      </c>
      <c r="Q124" s="16" t="s">
        <v>141</v>
      </c>
      <c r="R124" s="14" t="s">
        <v>142</v>
      </c>
      <c r="S124" s="14" t="s">
        <v>143</v>
      </c>
      <c r="T124" s="14" t="s">
        <v>88</v>
      </c>
      <c r="U124" s="14" t="s">
        <v>140</v>
      </c>
      <c r="V124" s="15">
        <v>43939</v>
      </c>
      <c r="W124" s="15"/>
      <c r="X124" s="16" t="s">
        <v>84</v>
      </c>
      <c r="Y124" s="17"/>
      <c r="Z124" s="18"/>
      <c r="AA124" s="17"/>
      <c r="AB124" s="18"/>
      <c r="AC124" s="17"/>
      <c r="AD124" s="18"/>
      <c r="AE124" s="17"/>
      <c r="AF124" s="18"/>
      <c r="AG124" s="17"/>
      <c r="AH124" s="18"/>
      <c r="AI124" s="17"/>
      <c r="AJ124" s="18"/>
      <c r="AK124" s="17"/>
      <c r="AL124" s="18"/>
      <c r="AM124" s="17"/>
      <c r="AN124" s="18"/>
      <c r="AO124" s="14" t="s">
        <v>84</v>
      </c>
      <c r="AP124" s="16" t="s">
        <v>84</v>
      </c>
    </row>
    <row r="125" spans="1:42" ht="75" x14ac:dyDescent="0.25">
      <c r="A125" s="14" t="s">
        <v>225</v>
      </c>
      <c r="B125" s="14" t="s">
        <v>129</v>
      </c>
      <c r="C125" s="15">
        <v>45091.427777777775</v>
      </c>
      <c r="D125" s="14" t="s">
        <v>73</v>
      </c>
      <c r="E125" s="16" t="s">
        <v>74</v>
      </c>
      <c r="F125" s="14" t="s">
        <v>75</v>
      </c>
      <c r="G125" s="16" t="s">
        <v>76</v>
      </c>
      <c r="H125" s="14" t="s">
        <v>238</v>
      </c>
      <c r="I125" s="16" t="s">
        <v>239</v>
      </c>
      <c r="J125" s="16" t="s">
        <v>240</v>
      </c>
      <c r="K125" s="16" t="s">
        <v>241</v>
      </c>
      <c r="L125" s="14" t="s">
        <v>244</v>
      </c>
      <c r="M125" s="16" t="s">
        <v>245</v>
      </c>
      <c r="N125" s="14" t="s">
        <v>136</v>
      </c>
      <c r="O125" s="16" t="s">
        <v>84</v>
      </c>
      <c r="P125" s="16" t="s">
        <v>84</v>
      </c>
      <c r="Q125" s="16" t="s">
        <v>141</v>
      </c>
      <c r="R125" s="14" t="s">
        <v>142</v>
      </c>
      <c r="S125" s="14" t="s">
        <v>143</v>
      </c>
      <c r="T125" s="14" t="s">
        <v>88</v>
      </c>
      <c r="U125" s="14" t="s">
        <v>140</v>
      </c>
      <c r="V125" s="15">
        <v>43939</v>
      </c>
      <c r="W125" s="15"/>
      <c r="X125" s="16" t="s">
        <v>84</v>
      </c>
      <c r="Y125" s="17"/>
      <c r="Z125" s="18"/>
      <c r="AA125" s="17"/>
      <c r="AB125" s="18"/>
      <c r="AC125" s="17"/>
      <c r="AD125" s="18"/>
      <c r="AE125" s="17"/>
      <c r="AF125" s="18"/>
      <c r="AG125" s="17"/>
      <c r="AH125" s="18"/>
      <c r="AI125" s="17"/>
      <c r="AJ125" s="18"/>
      <c r="AK125" s="17"/>
      <c r="AL125" s="18"/>
      <c r="AM125" s="17"/>
      <c r="AN125" s="18"/>
      <c r="AO125" s="14" t="s">
        <v>84</v>
      </c>
      <c r="AP125" s="16" t="s">
        <v>84</v>
      </c>
    </row>
    <row r="126" spans="1:42" ht="150" x14ac:dyDescent="0.25">
      <c r="A126" s="14" t="s">
        <v>225</v>
      </c>
      <c r="B126" s="14" t="s">
        <v>129</v>
      </c>
      <c r="C126" s="15">
        <v>45083.490972222222</v>
      </c>
      <c r="D126" s="14" t="s">
        <v>73</v>
      </c>
      <c r="E126" s="16" t="s">
        <v>74</v>
      </c>
      <c r="F126" s="14" t="s">
        <v>75</v>
      </c>
      <c r="G126" s="16" t="s">
        <v>76</v>
      </c>
      <c r="H126" s="14" t="s">
        <v>238</v>
      </c>
      <c r="I126" s="16" t="s">
        <v>239</v>
      </c>
      <c r="J126" s="16" t="s">
        <v>240</v>
      </c>
      <c r="K126" s="16" t="s">
        <v>241</v>
      </c>
      <c r="L126" s="14" t="s">
        <v>242</v>
      </c>
      <c r="M126" s="16" t="s">
        <v>243</v>
      </c>
      <c r="N126" s="14" t="s">
        <v>83</v>
      </c>
      <c r="O126" s="16" t="s">
        <v>84</v>
      </c>
      <c r="P126" s="16" t="s">
        <v>84</v>
      </c>
      <c r="Q126" s="16" t="s">
        <v>144</v>
      </c>
      <c r="R126" s="14" t="s">
        <v>145</v>
      </c>
      <c r="S126" s="14" t="s">
        <v>146</v>
      </c>
      <c r="T126" s="14" t="s">
        <v>88</v>
      </c>
      <c r="U126" s="14" t="s">
        <v>89</v>
      </c>
      <c r="V126" s="15">
        <v>43939</v>
      </c>
      <c r="W126" s="15"/>
      <c r="X126" s="16" t="s">
        <v>320</v>
      </c>
      <c r="Y126" s="17" t="s">
        <v>318</v>
      </c>
      <c r="Z126" s="18" t="str">
        <f>VLOOKUP(Y126,'Axe 2 Règles de gestion'!$D$2:$F$41,3, FALSE)</f>
        <v>Rémunération : L'agent ne perçoit plus de rémunération.</v>
      </c>
      <c r="AA126" s="17" t="s">
        <v>296</v>
      </c>
      <c r="AB126" s="18" t="str">
        <f>VLOOKUP(AA126,'Axe 2 Règles de gestion'!$D$2:$F$41,3, FALSE)</f>
        <v>Classement : L'agent est classé dans son corps.</v>
      </c>
      <c r="AC126" s="17" t="s">
        <v>311</v>
      </c>
      <c r="AD126" s="18" t="str">
        <f>VLOOKUP(AC126,'Axe 2 Règles de gestion'!$D$2:$F$41,3, FALSE)</f>
        <v>Carrière : L'administration d'origine assure la gestion de l'agent. Il conserve son droit à titularisation dans son corps et relève de la commission administrative paritaire de son corps dans son ministère d'origine.</v>
      </c>
      <c r="AE126" s="17" t="s">
        <v>313</v>
      </c>
      <c r="AF126" s="18" t="str">
        <f>VLOOKUP(AE126,'Axe 2 Règles de gestion'!$D$2:$F$41,3, FALSE)</f>
        <v>Evaluation professionnelle : L'administration d'accueil établit le rapport de titularisation de l'agent.</v>
      </c>
      <c r="AG126" s="17" t="s">
        <v>302</v>
      </c>
      <c r="AH126" s="18" t="str">
        <f>VLOOKUP(AG126,'Axe 2 Règles de gestion'!$D$2:$F$41,3, FALSE)</f>
        <v>Congés annuels : L'agent cumule des droits à congé. L'administration d'accueil gère les droits à congés annuels de l'agent.</v>
      </c>
      <c r="AI126" s="17" t="s">
        <v>304</v>
      </c>
      <c r="AJ126" s="18" t="str">
        <f>VLOOKUP(AI126,'Axe 2 Règles de gestion'!$D$2:$F$41,3,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K126" s="17" t="s">
        <v>315</v>
      </c>
      <c r="AL126" s="18" t="str">
        <f>VLOOKUP(AK126,'Axe 2 Règles de gestion'!$D$2:$F$41,3, FALSE)</f>
        <v>Retraite : Une fois titularisé, l'agent cumule de l'ancienneté. La mise à la retraite de l'agent intervient normalement lorsque celui-ci a atteint la limite d'âge prévue par les statuts de son corps d'origine.</v>
      </c>
      <c r="AM126" s="17" t="s">
        <v>308</v>
      </c>
      <c r="AN126" s="18" t="str">
        <f>VLOOKUP(AM126,'Axe 2 Règles de gestion'!$D$2:$F$41,3, FALSE)</f>
        <v>Acte : Un acte administratif doit être produit.</v>
      </c>
      <c r="AO126" s="14" t="s">
        <v>84</v>
      </c>
      <c r="AP126" s="16" t="s">
        <v>84</v>
      </c>
    </row>
    <row r="127" spans="1:42" ht="75" x14ac:dyDescent="0.25">
      <c r="A127" s="14" t="s">
        <v>225</v>
      </c>
      <c r="B127" s="14" t="s">
        <v>129</v>
      </c>
      <c r="C127" s="15">
        <v>45091.428472222222</v>
      </c>
      <c r="D127" s="14" t="s">
        <v>73</v>
      </c>
      <c r="E127" s="16" t="s">
        <v>74</v>
      </c>
      <c r="F127" s="14" t="s">
        <v>75</v>
      </c>
      <c r="G127" s="16" t="s">
        <v>76</v>
      </c>
      <c r="H127" s="14" t="s">
        <v>238</v>
      </c>
      <c r="I127" s="16" t="s">
        <v>239</v>
      </c>
      <c r="J127" s="16" t="s">
        <v>240</v>
      </c>
      <c r="K127" s="16" t="s">
        <v>241</v>
      </c>
      <c r="L127" s="14" t="s">
        <v>244</v>
      </c>
      <c r="M127" s="16" t="s">
        <v>245</v>
      </c>
      <c r="N127" s="14" t="s">
        <v>136</v>
      </c>
      <c r="O127" s="16" t="s">
        <v>84</v>
      </c>
      <c r="P127" s="16" t="s">
        <v>84</v>
      </c>
      <c r="Q127" s="16" t="s">
        <v>144</v>
      </c>
      <c r="R127" s="14" t="s">
        <v>145</v>
      </c>
      <c r="S127" s="14" t="s">
        <v>146</v>
      </c>
      <c r="T127" s="14" t="s">
        <v>88</v>
      </c>
      <c r="U127" s="14" t="s">
        <v>89</v>
      </c>
      <c r="V127" s="15">
        <v>43939</v>
      </c>
      <c r="W127" s="15"/>
      <c r="X127" s="16" t="s">
        <v>84</v>
      </c>
      <c r="Y127" s="17"/>
      <c r="Z127" s="18"/>
      <c r="AA127" s="17"/>
      <c r="AB127" s="18"/>
      <c r="AC127" s="17"/>
      <c r="AD127" s="18"/>
      <c r="AE127" s="17"/>
      <c r="AF127" s="18"/>
      <c r="AG127" s="17"/>
      <c r="AH127" s="18"/>
      <c r="AI127" s="17"/>
      <c r="AJ127" s="18"/>
      <c r="AK127" s="17"/>
      <c r="AL127" s="18"/>
      <c r="AM127" s="17"/>
      <c r="AN127" s="18"/>
      <c r="AO127" s="14" t="s">
        <v>84</v>
      </c>
      <c r="AP127" s="16" t="s">
        <v>84</v>
      </c>
    </row>
    <row r="128" spans="1:42" ht="75" x14ac:dyDescent="0.25">
      <c r="A128" s="14" t="s">
        <v>225</v>
      </c>
      <c r="B128" s="14" t="s">
        <v>129</v>
      </c>
      <c r="C128" s="15">
        <v>45083.491666666669</v>
      </c>
      <c r="D128" s="14" t="s">
        <v>73</v>
      </c>
      <c r="E128" s="16" t="s">
        <v>74</v>
      </c>
      <c r="F128" s="14" t="s">
        <v>75</v>
      </c>
      <c r="G128" s="16" t="s">
        <v>76</v>
      </c>
      <c r="H128" s="14" t="s">
        <v>238</v>
      </c>
      <c r="I128" s="16" t="s">
        <v>239</v>
      </c>
      <c r="J128" s="16" t="s">
        <v>240</v>
      </c>
      <c r="K128" s="16" t="s">
        <v>241</v>
      </c>
      <c r="L128" s="14" t="s">
        <v>242</v>
      </c>
      <c r="M128" s="16" t="s">
        <v>243</v>
      </c>
      <c r="N128" s="14" t="s">
        <v>83</v>
      </c>
      <c r="O128" s="16" t="s">
        <v>84</v>
      </c>
      <c r="P128" s="16" t="s">
        <v>84</v>
      </c>
      <c r="Q128" s="16" t="s">
        <v>148</v>
      </c>
      <c r="R128" s="14" t="s">
        <v>149</v>
      </c>
      <c r="S128" s="14" t="s">
        <v>150</v>
      </c>
      <c r="T128" s="14" t="s">
        <v>88</v>
      </c>
      <c r="U128" s="14" t="s">
        <v>140</v>
      </c>
      <c r="V128" s="15">
        <v>43939</v>
      </c>
      <c r="W128" s="15"/>
      <c r="X128" s="16" t="s">
        <v>84</v>
      </c>
      <c r="Y128" s="17"/>
      <c r="Z128" s="18"/>
      <c r="AA128" s="17"/>
      <c r="AB128" s="18"/>
      <c r="AC128" s="17"/>
      <c r="AD128" s="18"/>
      <c r="AE128" s="17"/>
      <c r="AF128" s="18"/>
      <c r="AG128" s="17"/>
      <c r="AH128" s="18"/>
      <c r="AI128" s="17"/>
      <c r="AJ128" s="18"/>
      <c r="AK128" s="17"/>
      <c r="AL128" s="18"/>
      <c r="AM128" s="17"/>
      <c r="AN128" s="18"/>
      <c r="AO128" s="14" t="s">
        <v>84</v>
      </c>
      <c r="AP128" s="16" t="s">
        <v>84</v>
      </c>
    </row>
    <row r="129" spans="1:42" ht="75" x14ac:dyDescent="0.25">
      <c r="A129" s="14" t="s">
        <v>225</v>
      </c>
      <c r="B129" s="14" t="s">
        <v>129</v>
      </c>
      <c r="C129" s="15">
        <v>45091.427083333336</v>
      </c>
      <c r="D129" s="14" t="s">
        <v>73</v>
      </c>
      <c r="E129" s="16" t="s">
        <v>74</v>
      </c>
      <c r="F129" s="14" t="s">
        <v>75</v>
      </c>
      <c r="G129" s="16" t="s">
        <v>76</v>
      </c>
      <c r="H129" s="14" t="s">
        <v>238</v>
      </c>
      <c r="I129" s="16" t="s">
        <v>239</v>
      </c>
      <c r="J129" s="16" t="s">
        <v>240</v>
      </c>
      <c r="K129" s="16" t="s">
        <v>241</v>
      </c>
      <c r="L129" s="14" t="s">
        <v>244</v>
      </c>
      <c r="M129" s="16" t="s">
        <v>245</v>
      </c>
      <c r="N129" s="14" t="s">
        <v>136</v>
      </c>
      <c r="O129" s="16" t="s">
        <v>84</v>
      </c>
      <c r="P129" s="16" t="s">
        <v>84</v>
      </c>
      <c r="Q129" s="16" t="s">
        <v>148</v>
      </c>
      <c r="R129" s="14" t="s">
        <v>149</v>
      </c>
      <c r="S129" s="14" t="s">
        <v>150</v>
      </c>
      <c r="T129" s="14" t="s">
        <v>88</v>
      </c>
      <c r="U129" s="14" t="s">
        <v>140</v>
      </c>
      <c r="V129" s="15">
        <v>43939</v>
      </c>
      <c r="W129" s="15"/>
      <c r="X129" s="16" t="s">
        <v>84</v>
      </c>
      <c r="Y129" s="17"/>
      <c r="Z129" s="18"/>
      <c r="AA129" s="17"/>
      <c r="AB129" s="18"/>
      <c r="AC129" s="17"/>
      <c r="AD129" s="18"/>
      <c r="AE129" s="17"/>
      <c r="AF129" s="18"/>
      <c r="AG129" s="17"/>
      <c r="AH129" s="18"/>
      <c r="AI129" s="17"/>
      <c r="AJ129" s="18"/>
      <c r="AK129" s="17"/>
      <c r="AL129" s="18"/>
      <c r="AM129" s="17"/>
      <c r="AN129" s="18"/>
      <c r="AO129" s="14" t="s">
        <v>84</v>
      </c>
      <c r="AP129" s="16" t="s">
        <v>84</v>
      </c>
    </row>
    <row r="130" spans="1:42" ht="75" x14ac:dyDescent="0.25">
      <c r="A130" s="14" t="s">
        <v>225</v>
      </c>
      <c r="B130" s="14" t="s">
        <v>129</v>
      </c>
      <c r="C130" s="15">
        <v>45084.614583333336</v>
      </c>
      <c r="D130" s="14" t="s">
        <v>73</v>
      </c>
      <c r="E130" s="16" t="s">
        <v>74</v>
      </c>
      <c r="F130" s="14" t="s">
        <v>75</v>
      </c>
      <c r="G130" s="16" t="s">
        <v>76</v>
      </c>
      <c r="H130" s="14" t="s">
        <v>246</v>
      </c>
      <c r="I130" s="16" t="s">
        <v>247</v>
      </c>
      <c r="J130" s="16" t="s">
        <v>248</v>
      </c>
      <c r="K130" s="16" t="s">
        <v>249</v>
      </c>
      <c r="L130" s="14" t="s">
        <v>250</v>
      </c>
      <c r="M130" s="16" t="s">
        <v>251</v>
      </c>
      <c r="N130" s="14" t="s">
        <v>83</v>
      </c>
      <c r="O130" s="16" t="s">
        <v>84</v>
      </c>
      <c r="P130" s="16" t="s">
        <v>84</v>
      </c>
      <c r="Q130" s="16" t="s">
        <v>85</v>
      </c>
      <c r="R130" s="14" t="s">
        <v>86</v>
      </c>
      <c r="S130" s="14" t="s">
        <v>87</v>
      </c>
      <c r="T130" s="14" t="s">
        <v>88</v>
      </c>
      <c r="U130" s="14" t="s">
        <v>89</v>
      </c>
      <c r="V130" s="15">
        <v>43939</v>
      </c>
      <c r="W130" s="15"/>
      <c r="X130" s="16" t="s">
        <v>84</v>
      </c>
      <c r="Y130" s="17"/>
      <c r="Z130" s="18"/>
      <c r="AA130" s="17"/>
      <c r="AB130" s="18"/>
      <c r="AC130" s="17"/>
      <c r="AD130" s="18"/>
      <c r="AE130" s="17"/>
      <c r="AF130" s="18"/>
      <c r="AG130" s="17"/>
      <c r="AH130" s="18"/>
      <c r="AI130" s="17"/>
      <c r="AJ130" s="18"/>
      <c r="AK130" s="17"/>
      <c r="AL130" s="18"/>
      <c r="AM130" s="17"/>
      <c r="AN130" s="18"/>
      <c r="AO130" s="14" t="s">
        <v>84</v>
      </c>
      <c r="AP130" s="16" t="s">
        <v>84</v>
      </c>
    </row>
    <row r="131" spans="1:42" ht="75" x14ac:dyDescent="0.25">
      <c r="A131" s="14" t="s">
        <v>225</v>
      </c>
      <c r="B131" s="14" t="s">
        <v>129</v>
      </c>
      <c r="C131" s="15">
        <v>45084.612500000003</v>
      </c>
      <c r="D131" s="14" t="s">
        <v>73</v>
      </c>
      <c r="E131" s="16" t="s">
        <v>74</v>
      </c>
      <c r="F131" s="14" t="s">
        <v>75</v>
      </c>
      <c r="G131" s="16" t="s">
        <v>76</v>
      </c>
      <c r="H131" s="14" t="s">
        <v>246</v>
      </c>
      <c r="I131" s="16" t="s">
        <v>247</v>
      </c>
      <c r="J131" s="16" t="s">
        <v>248</v>
      </c>
      <c r="K131" s="16" t="s">
        <v>249</v>
      </c>
      <c r="L131" s="14" t="s">
        <v>252</v>
      </c>
      <c r="M131" s="16" t="s">
        <v>253</v>
      </c>
      <c r="N131" s="14" t="s">
        <v>136</v>
      </c>
      <c r="O131" s="16" t="s">
        <v>84</v>
      </c>
      <c r="P131" s="16" t="s">
        <v>84</v>
      </c>
      <c r="Q131" s="16" t="s">
        <v>85</v>
      </c>
      <c r="R131" s="14" t="s">
        <v>86</v>
      </c>
      <c r="S131" s="14" t="s">
        <v>87</v>
      </c>
      <c r="T131" s="14" t="s">
        <v>88</v>
      </c>
      <c r="U131" s="14" t="s">
        <v>89</v>
      </c>
      <c r="V131" s="15">
        <v>43939</v>
      </c>
      <c r="W131" s="15"/>
      <c r="X131" s="16" t="s">
        <v>84</v>
      </c>
      <c r="Y131" s="17"/>
      <c r="Z131" s="18"/>
      <c r="AA131" s="17"/>
      <c r="AB131" s="18"/>
      <c r="AC131" s="17"/>
      <c r="AD131" s="18"/>
      <c r="AE131" s="17"/>
      <c r="AF131" s="18"/>
      <c r="AG131" s="17"/>
      <c r="AH131" s="18"/>
      <c r="AI131" s="17"/>
      <c r="AJ131" s="18"/>
      <c r="AK131" s="17"/>
      <c r="AL131" s="18"/>
      <c r="AM131" s="17"/>
      <c r="AN131" s="18"/>
      <c r="AO131" s="14" t="s">
        <v>84</v>
      </c>
      <c r="AP131" s="16" t="s">
        <v>84</v>
      </c>
    </row>
    <row r="132" spans="1:42" ht="75" x14ac:dyDescent="0.25">
      <c r="A132" s="14" t="s">
        <v>225</v>
      </c>
      <c r="B132" s="14" t="s">
        <v>129</v>
      </c>
      <c r="C132" s="15">
        <v>45084.615972222222</v>
      </c>
      <c r="D132" s="14" t="s">
        <v>73</v>
      </c>
      <c r="E132" s="16" t="s">
        <v>74</v>
      </c>
      <c r="F132" s="14" t="s">
        <v>75</v>
      </c>
      <c r="G132" s="16" t="s">
        <v>76</v>
      </c>
      <c r="H132" s="14" t="s">
        <v>246</v>
      </c>
      <c r="I132" s="16" t="s">
        <v>247</v>
      </c>
      <c r="J132" s="16" t="s">
        <v>248</v>
      </c>
      <c r="K132" s="16" t="s">
        <v>249</v>
      </c>
      <c r="L132" s="14" t="s">
        <v>250</v>
      </c>
      <c r="M132" s="16" t="s">
        <v>251</v>
      </c>
      <c r="N132" s="14" t="s">
        <v>83</v>
      </c>
      <c r="O132" s="16" t="s">
        <v>84</v>
      </c>
      <c r="P132" s="16" t="s">
        <v>84</v>
      </c>
      <c r="Q132" s="16" t="s">
        <v>138</v>
      </c>
      <c r="R132" s="14" t="s">
        <v>139</v>
      </c>
      <c r="S132" s="14" t="s">
        <v>72</v>
      </c>
      <c r="T132" s="14" t="s">
        <v>88</v>
      </c>
      <c r="U132" s="14" t="s">
        <v>140</v>
      </c>
      <c r="V132" s="15">
        <v>43939</v>
      </c>
      <c r="W132" s="15"/>
      <c r="X132" s="16" t="s">
        <v>84</v>
      </c>
      <c r="Y132" s="17"/>
      <c r="Z132" s="18"/>
      <c r="AA132" s="17"/>
      <c r="AB132" s="18"/>
      <c r="AC132" s="17"/>
      <c r="AD132" s="18"/>
      <c r="AE132" s="17"/>
      <c r="AF132" s="18"/>
      <c r="AG132" s="17"/>
      <c r="AH132" s="18"/>
      <c r="AI132" s="17"/>
      <c r="AJ132" s="18"/>
      <c r="AK132" s="17"/>
      <c r="AL132" s="18"/>
      <c r="AM132" s="17"/>
      <c r="AN132" s="18"/>
      <c r="AO132" s="14" t="s">
        <v>84</v>
      </c>
      <c r="AP132" s="16" t="s">
        <v>84</v>
      </c>
    </row>
    <row r="133" spans="1:42" ht="75" x14ac:dyDescent="0.25">
      <c r="A133" s="14" t="s">
        <v>225</v>
      </c>
      <c r="B133" s="14" t="s">
        <v>129</v>
      </c>
      <c r="C133" s="15">
        <v>45084.613194444442</v>
      </c>
      <c r="D133" s="14" t="s">
        <v>73</v>
      </c>
      <c r="E133" s="16" t="s">
        <v>74</v>
      </c>
      <c r="F133" s="14" t="s">
        <v>75</v>
      </c>
      <c r="G133" s="16" t="s">
        <v>76</v>
      </c>
      <c r="H133" s="14" t="s">
        <v>246</v>
      </c>
      <c r="I133" s="16" t="s">
        <v>247</v>
      </c>
      <c r="J133" s="16" t="s">
        <v>248</v>
      </c>
      <c r="K133" s="16" t="s">
        <v>249</v>
      </c>
      <c r="L133" s="14" t="s">
        <v>252</v>
      </c>
      <c r="M133" s="16" t="s">
        <v>253</v>
      </c>
      <c r="N133" s="14" t="s">
        <v>136</v>
      </c>
      <c r="O133" s="16" t="s">
        <v>84</v>
      </c>
      <c r="P133" s="16" t="s">
        <v>84</v>
      </c>
      <c r="Q133" s="16" t="s">
        <v>138</v>
      </c>
      <c r="R133" s="14" t="s">
        <v>139</v>
      </c>
      <c r="S133" s="14" t="s">
        <v>72</v>
      </c>
      <c r="T133" s="14" t="s">
        <v>88</v>
      </c>
      <c r="U133" s="14" t="s">
        <v>140</v>
      </c>
      <c r="V133" s="15">
        <v>43939</v>
      </c>
      <c r="W133" s="15"/>
      <c r="X133" s="16" t="s">
        <v>84</v>
      </c>
      <c r="Y133" s="17"/>
      <c r="Z133" s="18"/>
      <c r="AA133" s="17"/>
      <c r="AB133" s="18"/>
      <c r="AC133" s="17"/>
      <c r="AD133" s="18"/>
      <c r="AE133" s="17"/>
      <c r="AF133" s="18"/>
      <c r="AG133" s="17"/>
      <c r="AH133" s="18"/>
      <c r="AI133" s="17"/>
      <c r="AJ133" s="18"/>
      <c r="AK133" s="17"/>
      <c r="AL133" s="18"/>
      <c r="AM133" s="17"/>
      <c r="AN133" s="18"/>
      <c r="AO133" s="14" t="s">
        <v>84</v>
      </c>
      <c r="AP133" s="16" t="s">
        <v>84</v>
      </c>
    </row>
    <row r="134" spans="1:42" ht="75" x14ac:dyDescent="0.25">
      <c r="A134" s="14" t="s">
        <v>225</v>
      </c>
      <c r="B134" s="14" t="s">
        <v>129</v>
      </c>
      <c r="C134" s="15">
        <v>45084.615277777775</v>
      </c>
      <c r="D134" s="14" t="s">
        <v>73</v>
      </c>
      <c r="E134" s="16" t="s">
        <v>74</v>
      </c>
      <c r="F134" s="14" t="s">
        <v>75</v>
      </c>
      <c r="G134" s="16" t="s">
        <v>76</v>
      </c>
      <c r="H134" s="14" t="s">
        <v>246</v>
      </c>
      <c r="I134" s="16" t="s">
        <v>247</v>
      </c>
      <c r="J134" s="16" t="s">
        <v>248</v>
      </c>
      <c r="K134" s="16" t="s">
        <v>249</v>
      </c>
      <c r="L134" s="14" t="s">
        <v>250</v>
      </c>
      <c r="M134" s="16" t="s">
        <v>251</v>
      </c>
      <c r="N134" s="14" t="s">
        <v>83</v>
      </c>
      <c r="O134" s="16" t="s">
        <v>84</v>
      </c>
      <c r="P134" s="16" t="s">
        <v>84</v>
      </c>
      <c r="Q134" s="16" t="s">
        <v>141</v>
      </c>
      <c r="R134" s="14" t="s">
        <v>142</v>
      </c>
      <c r="S134" s="14" t="s">
        <v>143</v>
      </c>
      <c r="T134" s="14" t="s">
        <v>88</v>
      </c>
      <c r="U134" s="14" t="s">
        <v>140</v>
      </c>
      <c r="V134" s="15">
        <v>43939</v>
      </c>
      <c r="W134" s="15"/>
      <c r="X134" s="16" t="s">
        <v>84</v>
      </c>
      <c r="Y134" s="17"/>
      <c r="Z134" s="18"/>
      <c r="AA134" s="17"/>
      <c r="AB134" s="18"/>
      <c r="AC134" s="17"/>
      <c r="AD134" s="18"/>
      <c r="AE134" s="17"/>
      <c r="AF134" s="18"/>
      <c r="AG134" s="17"/>
      <c r="AH134" s="18"/>
      <c r="AI134" s="17"/>
      <c r="AJ134" s="18"/>
      <c r="AK134" s="17"/>
      <c r="AL134" s="18"/>
      <c r="AM134" s="17"/>
      <c r="AN134" s="18"/>
      <c r="AO134" s="14" t="s">
        <v>84</v>
      </c>
      <c r="AP134" s="16" t="s">
        <v>84</v>
      </c>
    </row>
    <row r="135" spans="1:42" ht="75" x14ac:dyDescent="0.25">
      <c r="A135" s="14" t="s">
        <v>225</v>
      </c>
      <c r="B135" s="14" t="s">
        <v>129</v>
      </c>
      <c r="C135" s="15">
        <v>45084.613194444442</v>
      </c>
      <c r="D135" s="14" t="s">
        <v>73</v>
      </c>
      <c r="E135" s="16" t="s">
        <v>74</v>
      </c>
      <c r="F135" s="14" t="s">
        <v>75</v>
      </c>
      <c r="G135" s="16" t="s">
        <v>76</v>
      </c>
      <c r="H135" s="14" t="s">
        <v>246</v>
      </c>
      <c r="I135" s="16" t="s">
        <v>247</v>
      </c>
      <c r="J135" s="16" t="s">
        <v>248</v>
      </c>
      <c r="K135" s="16" t="s">
        <v>249</v>
      </c>
      <c r="L135" s="14" t="s">
        <v>252</v>
      </c>
      <c r="M135" s="16" t="s">
        <v>253</v>
      </c>
      <c r="N135" s="14" t="s">
        <v>136</v>
      </c>
      <c r="O135" s="16" t="s">
        <v>84</v>
      </c>
      <c r="P135" s="16" t="s">
        <v>84</v>
      </c>
      <c r="Q135" s="16" t="s">
        <v>141</v>
      </c>
      <c r="R135" s="14" t="s">
        <v>142</v>
      </c>
      <c r="S135" s="14" t="s">
        <v>143</v>
      </c>
      <c r="T135" s="14" t="s">
        <v>88</v>
      </c>
      <c r="U135" s="14" t="s">
        <v>140</v>
      </c>
      <c r="V135" s="15">
        <v>43939</v>
      </c>
      <c r="W135" s="15"/>
      <c r="X135" s="16" t="s">
        <v>84</v>
      </c>
      <c r="Y135" s="17"/>
      <c r="Z135" s="18"/>
      <c r="AA135" s="17"/>
      <c r="AB135" s="18"/>
      <c r="AC135" s="17"/>
      <c r="AD135" s="18"/>
      <c r="AE135" s="17"/>
      <c r="AF135" s="18"/>
      <c r="AG135" s="17"/>
      <c r="AH135" s="18"/>
      <c r="AI135" s="17"/>
      <c r="AJ135" s="18"/>
      <c r="AK135" s="17"/>
      <c r="AL135" s="18"/>
      <c r="AM135" s="17"/>
      <c r="AN135" s="18"/>
      <c r="AO135" s="14" t="s">
        <v>84</v>
      </c>
      <c r="AP135" s="16" t="s">
        <v>84</v>
      </c>
    </row>
    <row r="136" spans="1:42" ht="75" x14ac:dyDescent="0.25">
      <c r="A136" s="14" t="s">
        <v>225</v>
      </c>
      <c r="B136" s="14" t="s">
        <v>129</v>
      </c>
      <c r="C136" s="15">
        <v>45084.615277777775</v>
      </c>
      <c r="D136" s="14" t="s">
        <v>73</v>
      </c>
      <c r="E136" s="16" t="s">
        <v>74</v>
      </c>
      <c r="F136" s="14" t="s">
        <v>75</v>
      </c>
      <c r="G136" s="16" t="s">
        <v>76</v>
      </c>
      <c r="H136" s="14" t="s">
        <v>246</v>
      </c>
      <c r="I136" s="16" t="s">
        <v>247</v>
      </c>
      <c r="J136" s="16" t="s">
        <v>248</v>
      </c>
      <c r="K136" s="16" t="s">
        <v>249</v>
      </c>
      <c r="L136" s="14" t="s">
        <v>250</v>
      </c>
      <c r="M136" s="16" t="s">
        <v>251</v>
      </c>
      <c r="N136" s="14" t="s">
        <v>83</v>
      </c>
      <c r="O136" s="16" t="s">
        <v>84</v>
      </c>
      <c r="P136" s="16" t="s">
        <v>84</v>
      </c>
      <c r="Q136" s="16" t="s">
        <v>144</v>
      </c>
      <c r="R136" s="14" t="s">
        <v>145</v>
      </c>
      <c r="S136" s="14" t="s">
        <v>146</v>
      </c>
      <c r="T136" s="14" t="s">
        <v>88</v>
      </c>
      <c r="U136" s="14" t="s">
        <v>89</v>
      </c>
      <c r="V136" s="15">
        <v>43939</v>
      </c>
      <c r="W136" s="15"/>
      <c r="X136" s="16" t="s">
        <v>84</v>
      </c>
      <c r="Y136" s="17"/>
      <c r="Z136" s="18"/>
      <c r="AA136" s="17"/>
      <c r="AB136" s="18"/>
      <c r="AC136" s="17"/>
      <c r="AD136" s="18"/>
      <c r="AE136" s="17"/>
      <c r="AF136" s="18"/>
      <c r="AG136" s="17"/>
      <c r="AH136" s="18"/>
      <c r="AI136" s="17"/>
      <c r="AJ136" s="18"/>
      <c r="AK136" s="17"/>
      <c r="AL136" s="18"/>
      <c r="AM136" s="17"/>
      <c r="AN136" s="18"/>
      <c r="AO136" s="14" t="s">
        <v>84</v>
      </c>
      <c r="AP136" s="16" t="s">
        <v>84</v>
      </c>
    </row>
    <row r="137" spans="1:42" ht="75" x14ac:dyDescent="0.25">
      <c r="A137" s="14" t="s">
        <v>225</v>
      </c>
      <c r="B137" s="14" t="s">
        <v>129</v>
      </c>
      <c r="C137" s="15">
        <v>45084.612500000003</v>
      </c>
      <c r="D137" s="14" t="s">
        <v>73</v>
      </c>
      <c r="E137" s="16" t="s">
        <v>74</v>
      </c>
      <c r="F137" s="14" t="s">
        <v>75</v>
      </c>
      <c r="G137" s="16" t="s">
        <v>76</v>
      </c>
      <c r="H137" s="14" t="s">
        <v>246</v>
      </c>
      <c r="I137" s="16" t="s">
        <v>247</v>
      </c>
      <c r="J137" s="16" t="s">
        <v>248</v>
      </c>
      <c r="K137" s="16" t="s">
        <v>249</v>
      </c>
      <c r="L137" s="14" t="s">
        <v>252</v>
      </c>
      <c r="M137" s="16" t="s">
        <v>253</v>
      </c>
      <c r="N137" s="14" t="s">
        <v>136</v>
      </c>
      <c r="O137" s="16" t="s">
        <v>84</v>
      </c>
      <c r="P137" s="16" t="s">
        <v>84</v>
      </c>
      <c r="Q137" s="16" t="s">
        <v>144</v>
      </c>
      <c r="R137" s="14" t="s">
        <v>145</v>
      </c>
      <c r="S137" s="14" t="s">
        <v>146</v>
      </c>
      <c r="T137" s="14" t="s">
        <v>88</v>
      </c>
      <c r="U137" s="14" t="s">
        <v>89</v>
      </c>
      <c r="V137" s="15">
        <v>43939</v>
      </c>
      <c r="W137" s="15"/>
      <c r="X137" s="16" t="s">
        <v>84</v>
      </c>
      <c r="Y137" s="17"/>
      <c r="Z137" s="18"/>
      <c r="AA137" s="17"/>
      <c r="AB137" s="18"/>
      <c r="AC137" s="17"/>
      <c r="AD137" s="18"/>
      <c r="AE137" s="17"/>
      <c r="AF137" s="18"/>
      <c r="AG137" s="17"/>
      <c r="AH137" s="18"/>
      <c r="AI137" s="17"/>
      <c r="AJ137" s="18"/>
      <c r="AK137" s="17"/>
      <c r="AL137" s="18"/>
      <c r="AM137" s="17"/>
      <c r="AN137" s="18"/>
      <c r="AO137" s="14" t="s">
        <v>84</v>
      </c>
      <c r="AP137" s="16" t="s">
        <v>84</v>
      </c>
    </row>
    <row r="138" spans="1:42" ht="75" x14ac:dyDescent="0.25">
      <c r="A138" s="14" t="s">
        <v>225</v>
      </c>
      <c r="B138" s="14" t="s">
        <v>129</v>
      </c>
      <c r="C138" s="15">
        <v>45084.615972222222</v>
      </c>
      <c r="D138" s="14" t="s">
        <v>73</v>
      </c>
      <c r="E138" s="16" t="s">
        <v>74</v>
      </c>
      <c r="F138" s="14" t="s">
        <v>75</v>
      </c>
      <c r="G138" s="16" t="s">
        <v>76</v>
      </c>
      <c r="H138" s="14" t="s">
        <v>246</v>
      </c>
      <c r="I138" s="16" t="s">
        <v>247</v>
      </c>
      <c r="J138" s="16" t="s">
        <v>248</v>
      </c>
      <c r="K138" s="16" t="s">
        <v>249</v>
      </c>
      <c r="L138" s="14" t="s">
        <v>250</v>
      </c>
      <c r="M138" s="16" t="s">
        <v>251</v>
      </c>
      <c r="N138" s="14" t="s">
        <v>83</v>
      </c>
      <c r="O138" s="16" t="s">
        <v>84</v>
      </c>
      <c r="P138" s="16" t="s">
        <v>84</v>
      </c>
      <c r="Q138" s="16" t="s">
        <v>148</v>
      </c>
      <c r="R138" s="14" t="s">
        <v>149</v>
      </c>
      <c r="S138" s="14" t="s">
        <v>150</v>
      </c>
      <c r="T138" s="14" t="s">
        <v>88</v>
      </c>
      <c r="U138" s="14" t="s">
        <v>140</v>
      </c>
      <c r="V138" s="15">
        <v>43939</v>
      </c>
      <c r="W138" s="15"/>
      <c r="X138" s="16" t="s">
        <v>84</v>
      </c>
      <c r="Y138" s="17"/>
      <c r="Z138" s="18"/>
      <c r="AA138" s="17"/>
      <c r="AB138" s="18"/>
      <c r="AC138" s="17"/>
      <c r="AD138" s="18"/>
      <c r="AE138" s="17"/>
      <c r="AF138" s="18"/>
      <c r="AG138" s="17"/>
      <c r="AH138" s="18"/>
      <c r="AI138" s="17"/>
      <c r="AJ138" s="18"/>
      <c r="AK138" s="17"/>
      <c r="AL138" s="18"/>
      <c r="AM138" s="17"/>
      <c r="AN138" s="18"/>
      <c r="AO138" s="14" t="s">
        <v>84</v>
      </c>
      <c r="AP138" s="16" t="s">
        <v>84</v>
      </c>
    </row>
    <row r="139" spans="1:42" ht="75" x14ac:dyDescent="0.25">
      <c r="A139" s="14" t="s">
        <v>225</v>
      </c>
      <c r="B139" s="14" t="s">
        <v>129</v>
      </c>
      <c r="C139" s="15">
        <v>45084.613194444442</v>
      </c>
      <c r="D139" s="14" t="s">
        <v>73</v>
      </c>
      <c r="E139" s="16" t="s">
        <v>74</v>
      </c>
      <c r="F139" s="14" t="s">
        <v>75</v>
      </c>
      <c r="G139" s="16" t="s">
        <v>76</v>
      </c>
      <c r="H139" s="14" t="s">
        <v>246</v>
      </c>
      <c r="I139" s="16" t="s">
        <v>247</v>
      </c>
      <c r="J139" s="16" t="s">
        <v>248</v>
      </c>
      <c r="K139" s="16" t="s">
        <v>249</v>
      </c>
      <c r="L139" s="14" t="s">
        <v>252</v>
      </c>
      <c r="M139" s="16" t="s">
        <v>253</v>
      </c>
      <c r="N139" s="14" t="s">
        <v>136</v>
      </c>
      <c r="O139" s="16" t="s">
        <v>84</v>
      </c>
      <c r="P139" s="16" t="s">
        <v>84</v>
      </c>
      <c r="Q139" s="16" t="s">
        <v>148</v>
      </c>
      <c r="R139" s="14" t="s">
        <v>149</v>
      </c>
      <c r="S139" s="14" t="s">
        <v>150</v>
      </c>
      <c r="T139" s="14" t="s">
        <v>88</v>
      </c>
      <c r="U139" s="14" t="s">
        <v>140</v>
      </c>
      <c r="V139" s="15">
        <v>43939</v>
      </c>
      <c r="W139" s="15"/>
      <c r="X139" s="16" t="s">
        <v>84</v>
      </c>
      <c r="Y139" s="17"/>
      <c r="Z139" s="18"/>
      <c r="AA139" s="17"/>
      <c r="AB139" s="18"/>
      <c r="AC139" s="17"/>
      <c r="AD139" s="18"/>
      <c r="AE139" s="17"/>
      <c r="AF139" s="18"/>
      <c r="AG139" s="17"/>
      <c r="AH139" s="18"/>
      <c r="AI139" s="17"/>
      <c r="AJ139" s="18"/>
      <c r="AK139" s="17"/>
      <c r="AL139" s="18"/>
      <c r="AM139" s="17"/>
      <c r="AN139" s="18"/>
      <c r="AO139" s="14" t="s">
        <v>84</v>
      </c>
      <c r="AP139" s="16" t="s">
        <v>84</v>
      </c>
    </row>
    <row r="140" spans="1:42" ht="135" x14ac:dyDescent="0.25">
      <c r="A140" s="14" t="s">
        <v>254</v>
      </c>
      <c r="B140" s="14" t="s">
        <v>129</v>
      </c>
      <c r="C140" s="15">
        <v>46101.674305555556</v>
      </c>
      <c r="D140" s="14" t="s">
        <v>73</v>
      </c>
      <c r="E140" s="16" t="s">
        <v>74</v>
      </c>
      <c r="F140" s="14" t="s">
        <v>75</v>
      </c>
      <c r="G140" s="16" t="s">
        <v>76</v>
      </c>
      <c r="H140" s="14" t="s">
        <v>255</v>
      </c>
      <c r="I140" s="16" t="s">
        <v>256</v>
      </c>
      <c r="J140" s="16" t="s">
        <v>257</v>
      </c>
      <c r="K140" s="16" t="s">
        <v>258</v>
      </c>
      <c r="L140" s="14" t="s">
        <v>259</v>
      </c>
      <c r="M140" s="16" t="s">
        <v>260</v>
      </c>
      <c r="N140" s="14" t="s">
        <v>178</v>
      </c>
      <c r="O140" s="16" t="s">
        <v>261</v>
      </c>
      <c r="P140" s="16" t="s">
        <v>262</v>
      </c>
      <c r="Q140" s="16" t="s">
        <v>85</v>
      </c>
      <c r="R140" s="14" t="s">
        <v>86</v>
      </c>
      <c r="S140" s="14" t="s">
        <v>87</v>
      </c>
      <c r="T140" s="14" t="s">
        <v>88</v>
      </c>
      <c r="U140" s="14" t="s">
        <v>89</v>
      </c>
      <c r="V140" s="15">
        <v>45658</v>
      </c>
      <c r="W140" s="15"/>
      <c r="X140" s="16" t="s">
        <v>84</v>
      </c>
      <c r="Y140" s="17"/>
      <c r="Z140" s="18"/>
      <c r="AA140" s="17"/>
      <c r="AB140" s="18"/>
      <c r="AC140" s="17"/>
      <c r="AD140" s="18"/>
      <c r="AE140" s="17"/>
      <c r="AF140" s="18"/>
      <c r="AG140" s="17"/>
      <c r="AH140" s="18"/>
      <c r="AI140" s="17"/>
      <c r="AJ140" s="18"/>
      <c r="AK140" s="17"/>
      <c r="AL140" s="18"/>
      <c r="AM140" s="17"/>
      <c r="AN140" s="18"/>
      <c r="AO140" s="14" t="s">
        <v>266</v>
      </c>
      <c r="AP140" s="16" t="s">
        <v>84</v>
      </c>
    </row>
    <row r="141" spans="1:42" ht="135" x14ac:dyDescent="0.25">
      <c r="A141" s="14" t="s">
        <v>254</v>
      </c>
      <c r="B141" s="14" t="s">
        <v>129</v>
      </c>
      <c r="C141" s="15">
        <v>46101.676388888889</v>
      </c>
      <c r="D141" s="14" t="s">
        <v>73</v>
      </c>
      <c r="E141" s="16" t="s">
        <v>74</v>
      </c>
      <c r="F141" s="14" t="s">
        <v>75</v>
      </c>
      <c r="G141" s="16" t="s">
        <v>76</v>
      </c>
      <c r="H141" s="14" t="s">
        <v>255</v>
      </c>
      <c r="I141" s="16" t="s">
        <v>256</v>
      </c>
      <c r="J141" s="16" t="s">
        <v>257</v>
      </c>
      <c r="K141" s="16" t="s">
        <v>258</v>
      </c>
      <c r="L141" s="14" t="s">
        <v>267</v>
      </c>
      <c r="M141" s="16" t="s">
        <v>268</v>
      </c>
      <c r="N141" s="14" t="s">
        <v>178</v>
      </c>
      <c r="O141" s="16" t="s">
        <v>269</v>
      </c>
      <c r="P141" s="16" t="s">
        <v>270</v>
      </c>
      <c r="Q141" s="16" t="s">
        <v>85</v>
      </c>
      <c r="R141" s="14" t="s">
        <v>86</v>
      </c>
      <c r="S141" s="14" t="s">
        <v>87</v>
      </c>
      <c r="T141" s="14" t="s">
        <v>88</v>
      </c>
      <c r="U141" s="14" t="s">
        <v>89</v>
      </c>
      <c r="V141" s="15">
        <v>45658</v>
      </c>
      <c r="W141" s="15"/>
      <c r="X141" s="16" t="s">
        <v>84</v>
      </c>
      <c r="Y141" s="17"/>
      <c r="Z141" s="18"/>
      <c r="AA141" s="17"/>
      <c r="AB141" s="18"/>
      <c r="AC141" s="17"/>
      <c r="AD141" s="18"/>
      <c r="AE141" s="17"/>
      <c r="AF141" s="18"/>
      <c r="AG141" s="17"/>
      <c r="AH141" s="18"/>
      <c r="AI141" s="17"/>
      <c r="AJ141" s="18"/>
      <c r="AK141" s="17"/>
      <c r="AL141" s="18"/>
      <c r="AM141" s="17"/>
      <c r="AN141" s="18"/>
      <c r="AO141" s="14" t="s">
        <v>266</v>
      </c>
      <c r="AP141" s="16" t="s">
        <v>84</v>
      </c>
    </row>
    <row r="142" spans="1:42" ht="135" x14ac:dyDescent="0.25">
      <c r="A142" s="14" t="s">
        <v>254</v>
      </c>
      <c r="B142" s="14" t="s">
        <v>129</v>
      </c>
      <c r="C142" s="15">
        <v>46101.679166666669</v>
      </c>
      <c r="D142" s="14" t="s">
        <v>73</v>
      </c>
      <c r="E142" s="16" t="s">
        <v>74</v>
      </c>
      <c r="F142" s="14" t="s">
        <v>75</v>
      </c>
      <c r="G142" s="16" t="s">
        <v>76</v>
      </c>
      <c r="H142" s="14" t="s">
        <v>255</v>
      </c>
      <c r="I142" s="16" t="s">
        <v>256</v>
      </c>
      <c r="J142" s="16" t="s">
        <v>257</v>
      </c>
      <c r="K142" s="16" t="s">
        <v>258</v>
      </c>
      <c r="L142" s="14" t="s">
        <v>271</v>
      </c>
      <c r="M142" s="16" t="s">
        <v>272</v>
      </c>
      <c r="N142" s="14" t="s">
        <v>136</v>
      </c>
      <c r="O142" s="16" t="s">
        <v>273</v>
      </c>
      <c r="P142" s="16" t="s">
        <v>274</v>
      </c>
      <c r="Q142" s="16" t="s">
        <v>85</v>
      </c>
      <c r="R142" s="14" t="s">
        <v>86</v>
      </c>
      <c r="S142" s="14" t="s">
        <v>87</v>
      </c>
      <c r="T142" s="14" t="s">
        <v>88</v>
      </c>
      <c r="U142" s="14" t="s">
        <v>89</v>
      </c>
      <c r="V142" s="15">
        <v>45658</v>
      </c>
      <c r="W142" s="15"/>
      <c r="X142" s="16" t="s">
        <v>84</v>
      </c>
      <c r="Y142" s="17"/>
      <c r="Z142" s="18"/>
      <c r="AA142" s="17"/>
      <c r="AB142" s="18"/>
      <c r="AC142" s="17"/>
      <c r="AD142" s="18"/>
      <c r="AE142" s="17"/>
      <c r="AF142" s="18"/>
      <c r="AG142" s="17"/>
      <c r="AH142" s="18"/>
      <c r="AI142" s="17"/>
      <c r="AJ142" s="18"/>
      <c r="AK142" s="17"/>
      <c r="AL142" s="18"/>
      <c r="AM142" s="17"/>
      <c r="AN142" s="18"/>
      <c r="AO142" s="14" t="s">
        <v>266</v>
      </c>
      <c r="AP142" s="16" t="s">
        <v>84</v>
      </c>
    </row>
    <row r="143" spans="1:42" ht="135" x14ac:dyDescent="0.25">
      <c r="A143" s="14" t="s">
        <v>254</v>
      </c>
      <c r="B143" s="14" t="s">
        <v>129</v>
      </c>
      <c r="C143" s="15">
        <v>46101.675000000003</v>
      </c>
      <c r="D143" s="14" t="s">
        <v>73</v>
      </c>
      <c r="E143" s="16" t="s">
        <v>74</v>
      </c>
      <c r="F143" s="14" t="s">
        <v>75</v>
      </c>
      <c r="G143" s="16" t="s">
        <v>76</v>
      </c>
      <c r="H143" s="14" t="s">
        <v>255</v>
      </c>
      <c r="I143" s="16" t="s">
        <v>256</v>
      </c>
      <c r="J143" s="16" t="s">
        <v>257</v>
      </c>
      <c r="K143" s="16" t="s">
        <v>258</v>
      </c>
      <c r="L143" s="14" t="s">
        <v>259</v>
      </c>
      <c r="M143" s="16" t="s">
        <v>260</v>
      </c>
      <c r="N143" s="14" t="s">
        <v>178</v>
      </c>
      <c r="O143" s="16" t="s">
        <v>261</v>
      </c>
      <c r="P143" s="16" t="s">
        <v>262</v>
      </c>
      <c r="Q143" s="16" t="s">
        <v>138</v>
      </c>
      <c r="R143" s="14" t="s">
        <v>139</v>
      </c>
      <c r="S143" s="14" t="s">
        <v>72</v>
      </c>
      <c r="T143" s="14" t="s">
        <v>88</v>
      </c>
      <c r="U143" s="14" t="s">
        <v>140</v>
      </c>
      <c r="V143" s="15">
        <v>45658</v>
      </c>
      <c r="W143" s="15"/>
      <c r="X143" s="16" t="s">
        <v>84</v>
      </c>
      <c r="Y143" s="17"/>
      <c r="Z143" s="18"/>
      <c r="AA143" s="17"/>
      <c r="AB143" s="18"/>
      <c r="AC143" s="17"/>
      <c r="AD143" s="18"/>
      <c r="AE143" s="17"/>
      <c r="AF143" s="18"/>
      <c r="AG143" s="17"/>
      <c r="AH143" s="18"/>
      <c r="AI143" s="17"/>
      <c r="AJ143" s="18"/>
      <c r="AK143" s="17"/>
      <c r="AL143" s="18"/>
      <c r="AM143" s="17"/>
      <c r="AN143" s="18"/>
      <c r="AO143" s="14" t="s">
        <v>266</v>
      </c>
      <c r="AP143" s="16" t="s">
        <v>84</v>
      </c>
    </row>
    <row r="144" spans="1:42" ht="135" x14ac:dyDescent="0.25">
      <c r="A144" s="14" t="s">
        <v>254</v>
      </c>
      <c r="B144" s="14" t="s">
        <v>129</v>
      </c>
      <c r="C144" s="15">
        <v>46101.676388888889</v>
      </c>
      <c r="D144" s="14" t="s">
        <v>73</v>
      </c>
      <c r="E144" s="16" t="s">
        <v>74</v>
      </c>
      <c r="F144" s="14" t="s">
        <v>75</v>
      </c>
      <c r="G144" s="16" t="s">
        <v>76</v>
      </c>
      <c r="H144" s="14" t="s">
        <v>255</v>
      </c>
      <c r="I144" s="16" t="s">
        <v>256</v>
      </c>
      <c r="J144" s="16" t="s">
        <v>257</v>
      </c>
      <c r="K144" s="16" t="s">
        <v>258</v>
      </c>
      <c r="L144" s="14" t="s">
        <v>267</v>
      </c>
      <c r="M144" s="16" t="s">
        <v>268</v>
      </c>
      <c r="N144" s="14" t="s">
        <v>178</v>
      </c>
      <c r="O144" s="16" t="s">
        <v>269</v>
      </c>
      <c r="P144" s="16" t="s">
        <v>270</v>
      </c>
      <c r="Q144" s="16" t="s">
        <v>138</v>
      </c>
      <c r="R144" s="14" t="s">
        <v>139</v>
      </c>
      <c r="S144" s="14" t="s">
        <v>72</v>
      </c>
      <c r="T144" s="14" t="s">
        <v>88</v>
      </c>
      <c r="U144" s="14" t="s">
        <v>140</v>
      </c>
      <c r="V144" s="15">
        <v>45658</v>
      </c>
      <c r="W144" s="15"/>
      <c r="X144" s="16" t="s">
        <v>84</v>
      </c>
      <c r="Y144" s="17"/>
      <c r="Z144" s="18"/>
      <c r="AA144" s="17"/>
      <c r="AB144" s="18"/>
      <c r="AC144" s="17"/>
      <c r="AD144" s="18"/>
      <c r="AE144" s="17"/>
      <c r="AF144" s="18"/>
      <c r="AG144" s="17"/>
      <c r="AH144" s="18"/>
      <c r="AI144" s="17"/>
      <c r="AJ144" s="18"/>
      <c r="AK144" s="17"/>
      <c r="AL144" s="18"/>
      <c r="AM144" s="17"/>
      <c r="AN144" s="18"/>
      <c r="AO144" s="14" t="s">
        <v>266</v>
      </c>
      <c r="AP144" s="16" t="s">
        <v>84</v>
      </c>
    </row>
    <row r="145" spans="1:42" ht="135" x14ac:dyDescent="0.25">
      <c r="A145" s="14" t="s">
        <v>254</v>
      </c>
      <c r="B145" s="14" t="s">
        <v>129</v>
      </c>
      <c r="C145" s="15">
        <v>46101.679166666669</v>
      </c>
      <c r="D145" s="14" t="s">
        <v>73</v>
      </c>
      <c r="E145" s="16" t="s">
        <v>74</v>
      </c>
      <c r="F145" s="14" t="s">
        <v>75</v>
      </c>
      <c r="G145" s="16" t="s">
        <v>76</v>
      </c>
      <c r="H145" s="14" t="s">
        <v>255</v>
      </c>
      <c r="I145" s="16" t="s">
        <v>256</v>
      </c>
      <c r="J145" s="16" t="s">
        <v>257</v>
      </c>
      <c r="K145" s="16" t="s">
        <v>258</v>
      </c>
      <c r="L145" s="14" t="s">
        <v>271</v>
      </c>
      <c r="M145" s="16" t="s">
        <v>272</v>
      </c>
      <c r="N145" s="14" t="s">
        <v>136</v>
      </c>
      <c r="O145" s="16" t="s">
        <v>273</v>
      </c>
      <c r="P145" s="16" t="s">
        <v>274</v>
      </c>
      <c r="Q145" s="16" t="s">
        <v>138</v>
      </c>
      <c r="R145" s="14" t="s">
        <v>139</v>
      </c>
      <c r="S145" s="14" t="s">
        <v>72</v>
      </c>
      <c r="T145" s="14" t="s">
        <v>88</v>
      </c>
      <c r="U145" s="14" t="s">
        <v>140</v>
      </c>
      <c r="V145" s="15">
        <v>45658</v>
      </c>
      <c r="W145" s="15"/>
      <c r="X145" s="16" t="s">
        <v>84</v>
      </c>
      <c r="Y145" s="17"/>
      <c r="Z145" s="18"/>
      <c r="AA145" s="17"/>
      <c r="AB145" s="18"/>
      <c r="AC145" s="17"/>
      <c r="AD145" s="18"/>
      <c r="AE145" s="17"/>
      <c r="AF145" s="18"/>
      <c r="AG145" s="17"/>
      <c r="AH145" s="18"/>
      <c r="AI145" s="17"/>
      <c r="AJ145" s="18"/>
      <c r="AK145" s="17"/>
      <c r="AL145" s="18"/>
      <c r="AM145" s="17"/>
      <c r="AN145" s="18"/>
      <c r="AO145" s="14" t="s">
        <v>266</v>
      </c>
      <c r="AP145" s="16" t="s">
        <v>84</v>
      </c>
    </row>
    <row r="146" spans="1:42" ht="135" x14ac:dyDescent="0.25">
      <c r="A146" s="14" t="s">
        <v>254</v>
      </c>
      <c r="B146" s="14" t="s">
        <v>129</v>
      </c>
      <c r="C146" s="15">
        <v>46101.675000000003</v>
      </c>
      <c r="D146" s="14" t="s">
        <v>73</v>
      </c>
      <c r="E146" s="16" t="s">
        <v>74</v>
      </c>
      <c r="F146" s="14" t="s">
        <v>75</v>
      </c>
      <c r="G146" s="16" t="s">
        <v>76</v>
      </c>
      <c r="H146" s="14" t="s">
        <v>255</v>
      </c>
      <c r="I146" s="16" t="s">
        <v>256</v>
      </c>
      <c r="J146" s="16" t="s">
        <v>257</v>
      </c>
      <c r="K146" s="16" t="s">
        <v>258</v>
      </c>
      <c r="L146" s="14" t="s">
        <v>259</v>
      </c>
      <c r="M146" s="16" t="s">
        <v>260</v>
      </c>
      <c r="N146" s="14" t="s">
        <v>178</v>
      </c>
      <c r="O146" s="16" t="s">
        <v>261</v>
      </c>
      <c r="P146" s="16" t="s">
        <v>262</v>
      </c>
      <c r="Q146" s="16" t="s">
        <v>141</v>
      </c>
      <c r="R146" s="14" t="s">
        <v>142</v>
      </c>
      <c r="S146" s="14" t="s">
        <v>143</v>
      </c>
      <c r="T146" s="14" t="s">
        <v>88</v>
      </c>
      <c r="U146" s="14" t="s">
        <v>140</v>
      </c>
      <c r="V146" s="15">
        <v>45658</v>
      </c>
      <c r="W146" s="15"/>
      <c r="X146" s="16" t="s">
        <v>84</v>
      </c>
      <c r="Y146" s="17"/>
      <c r="Z146" s="18"/>
      <c r="AA146" s="17"/>
      <c r="AB146" s="18"/>
      <c r="AC146" s="17"/>
      <c r="AD146" s="18"/>
      <c r="AE146" s="17"/>
      <c r="AF146" s="18"/>
      <c r="AG146" s="17"/>
      <c r="AH146" s="18"/>
      <c r="AI146" s="17"/>
      <c r="AJ146" s="18"/>
      <c r="AK146" s="17"/>
      <c r="AL146" s="18"/>
      <c r="AM146" s="17"/>
      <c r="AN146" s="18"/>
      <c r="AO146" s="14" t="s">
        <v>266</v>
      </c>
      <c r="AP146" s="16" t="s">
        <v>84</v>
      </c>
    </row>
    <row r="147" spans="1:42" ht="135" x14ac:dyDescent="0.25">
      <c r="A147" s="14" t="s">
        <v>254</v>
      </c>
      <c r="B147" s="14" t="s">
        <v>129</v>
      </c>
      <c r="C147" s="15">
        <v>46101.677083333336</v>
      </c>
      <c r="D147" s="14" t="s">
        <v>73</v>
      </c>
      <c r="E147" s="16" t="s">
        <v>74</v>
      </c>
      <c r="F147" s="14" t="s">
        <v>75</v>
      </c>
      <c r="G147" s="16" t="s">
        <v>76</v>
      </c>
      <c r="H147" s="14" t="s">
        <v>255</v>
      </c>
      <c r="I147" s="16" t="s">
        <v>256</v>
      </c>
      <c r="J147" s="16" t="s">
        <v>257</v>
      </c>
      <c r="K147" s="16" t="s">
        <v>258</v>
      </c>
      <c r="L147" s="14" t="s">
        <v>267</v>
      </c>
      <c r="M147" s="16" t="s">
        <v>268</v>
      </c>
      <c r="N147" s="14" t="s">
        <v>178</v>
      </c>
      <c r="O147" s="16" t="s">
        <v>269</v>
      </c>
      <c r="P147" s="16" t="s">
        <v>270</v>
      </c>
      <c r="Q147" s="16" t="s">
        <v>141</v>
      </c>
      <c r="R147" s="14" t="s">
        <v>142</v>
      </c>
      <c r="S147" s="14" t="s">
        <v>143</v>
      </c>
      <c r="T147" s="14" t="s">
        <v>88</v>
      </c>
      <c r="U147" s="14" t="s">
        <v>140</v>
      </c>
      <c r="V147" s="15">
        <v>45658</v>
      </c>
      <c r="W147" s="15"/>
      <c r="X147" s="16" t="s">
        <v>84</v>
      </c>
      <c r="Y147" s="17"/>
      <c r="Z147" s="18"/>
      <c r="AA147" s="17"/>
      <c r="AB147" s="18"/>
      <c r="AC147" s="17"/>
      <c r="AD147" s="18"/>
      <c r="AE147" s="17"/>
      <c r="AF147" s="18"/>
      <c r="AG147" s="17"/>
      <c r="AH147" s="18"/>
      <c r="AI147" s="17"/>
      <c r="AJ147" s="18"/>
      <c r="AK147" s="17"/>
      <c r="AL147" s="18"/>
      <c r="AM147" s="17"/>
      <c r="AN147" s="18"/>
      <c r="AO147" s="14" t="s">
        <v>266</v>
      </c>
      <c r="AP147" s="16" t="s">
        <v>84</v>
      </c>
    </row>
    <row r="148" spans="1:42" ht="135" x14ac:dyDescent="0.25">
      <c r="A148" s="14" t="s">
        <v>254</v>
      </c>
      <c r="B148" s="14" t="s">
        <v>129</v>
      </c>
      <c r="C148" s="15">
        <v>46101.679861111108</v>
      </c>
      <c r="D148" s="14" t="s">
        <v>73</v>
      </c>
      <c r="E148" s="16" t="s">
        <v>74</v>
      </c>
      <c r="F148" s="14" t="s">
        <v>75</v>
      </c>
      <c r="G148" s="16" t="s">
        <v>76</v>
      </c>
      <c r="H148" s="14" t="s">
        <v>255</v>
      </c>
      <c r="I148" s="16" t="s">
        <v>256</v>
      </c>
      <c r="J148" s="16" t="s">
        <v>257</v>
      </c>
      <c r="K148" s="16" t="s">
        <v>258</v>
      </c>
      <c r="L148" s="14" t="s">
        <v>271</v>
      </c>
      <c r="M148" s="16" t="s">
        <v>272</v>
      </c>
      <c r="N148" s="14" t="s">
        <v>136</v>
      </c>
      <c r="O148" s="16" t="s">
        <v>273</v>
      </c>
      <c r="P148" s="16" t="s">
        <v>274</v>
      </c>
      <c r="Q148" s="16" t="s">
        <v>141</v>
      </c>
      <c r="R148" s="14" t="s">
        <v>142</v>
      </c>
      <c r="S148" s="14" t="s">
        <v>143</v>
      </c>
      <c r="T148" s="14" t="s">
        <v>88</v>
      </c>
      <c r="U148" s="14" t="s">
        <v>140</v>
      </c>
      <c r="V148" s="15">
        <v>45658</v>
      </c>
      <c r="W148" s="15"/>
      <c r="X148" s="16" t="s">
        <v>84</v>
      </c>
      <c r="Y148" s="17"/>
      <c r="Z148" s="18"/>
      <c r="AA148" s="17"/>
      <c r="AB148" s="18"/>
      <c r="AC148" s="17"/>
      <c r="AD148" s="18"/>
      <c r="AE148" s="17"/>
      <c r="AF148" s="18"/>
      <c r="AG148" s="17"/>
      <c r="AH148" s="18"/>
      <c r="AI148" s="17"/>
      <c r="AJ148" s="18"/>
      <c r="AK148" s="17"/>
      <c r="AL148" s="18"/>
      <c r="AM148" s="17"/>
      <c r="AN148" s="18"/>
      <c r="AO148" s="14" t="s">
        <v>266</v>
      </c>
      <c r="AP148" s="16" t="s">
        <v>84</v>
      </c>
    </row>
    <row r="149" spans="1:42" ht="135" x14ac:dyDescent="0.25">
      <c r="A149" s="14" t="s">
        <v>254</v>
      </c>
      <c r="B149" s="14" t="s">
        <v>129</v>
      </c>
      <c r="C149" s="15">
        <v>46104.402777777781</v>
      </c>
      <c r="D149" s="14" t="s">
        <v>73</v>
      </c>
      <c r="E149" s="16" t="s">
        <v>74</v>
      </c>
      <c r="F149" s="14" t="s">
        <v>75</v>
      </c>
      <c r="G149" s="16" t="s">
        <v>76</v>
      </c>
      <c r="H149" s="14" t="s">
        <v>255</v>
      </c>
      <c r="I149" s="16" t="s">
        <v>256</v>
      </c>
      <c r="J149" s="16" t="s">
        <v>257</v>
      </c>
      <c r="K149" s="16" t="s">
        <v>258</v>
      </c>
      <c r="L149" s="14" t="s">
        <v>259</v>
      </c>
      <c r="M149" s="16" t="s">
        <v>260</v>
      </c>
      <c r="N149" s="14" t="s">
        <v>178</v>
      </c>
      <c r="O149" s="16" t="s">
        <v>261</v>
      </c>
      <c r="P149" s="16" t="s">
        <v>262</v>
      </c>
      <c r="Q149" s="16" t="s">
        <v>144</v>
      </c>
      <c r="R149" s="14" t="s">
        <v>145</v>
      </c>
      <c r="S149" s="14" t="s">
        <v>146</v>
      </c>
      <c r="T149" s="14" t="s">
        <v>88</v>
      </c>
      <c r="U149" s="14" t="s">
        <v>89</v>
      </c>
      <c r="V149" s="15">
        <v>45658</v>
      </c>
      <c r="W149" s="15"/>
      <c r="X149" s="16" t="s">
        <v>84</v>
      </c>
      <c r="Y149" s="17"/>
      <c r="Z149" s="18"/>
      <c r="AA149" s="17"/>
      <c r="AB149" s="18"/>
      <c r="AC149" s="17"/>
      <c r="AD149" s="18"/>
      <c r="AE149" s="17"/>
      <c r="AF149" s="18"/>
      <c r="AG149" s="17"/>
      <c r="AH149" s="18"/>
      <c r="AI149" s="17"/>
      <c r="AJ149" s="18"/>
      <c r="AK149" s="17"/>
      <c r="AL149" s="18"/>
      <c r="AM149" s="17"/>
      <c r="AN149" s="18"/>
      <c r="AO149" s="14" t="s">
        <v>266</v>
      </c>
      <c r="AP149" s="16" t="s">
        <v>84</v>
      </c>
    </row>
    <row r="150" spans="1:42" ht="135" x14ac:dyDescent="0.25">
      <c r="A150" s="14" t="s">
        <v>254</v>
      </c>
      <c r="B150" s="14" t="s">
        <v>129</v>
      </c>
      <c r="C150" s="15">
        <v>46101.678472222222</v>
      </c>
      <c r="D150" s="14" t="s">
        <v>73</v>
      </c>
      <c r="E150" s="16" t="s">
        <v>74</v>
      </c>
      <c r="F150" s="14" t="s">
        <v>75</v>
      </c>
      <c r="G150" s="16" t="s">
        <v>76</v>
      </c>
      <c r="H150" s="14" t="s">
        <v>255</v>
      </c>
      <c r="I150" s="16" t="s">
        <v>256</v>
      </c>
      <c r="J150" s="16" t="s">
        <v>257</v>
      </c>
      <c r="K150" s="16" t="s">
        <v>258</v>
      </c>
      <c r="L150" s="14" t="s">
        <v>267</v>
      </c>
      <c r="M150" s="16" t="s">
        <v>268</v>
      </c>
      <c r="N150" s="14" t="s">
        <v>178</v>
      </c>
      <c r="O150" s="16" t="s">
        <v>269</v>
      </c>
      <c r="P150" s="16" t="s">
        <v>270</v>
      </c>
      <c r="Q150" s="16" t="s">
        <v>144</v>
      </c>
      <c r="R150" s="14" t="s">
        <v>145</v>
      </c>
      <c r="S150" s="14" t="s">
        <v>146</v>
      </c>
      <c r="T150" s="14" t="s">
        <v>88</v>
      </c>
      <c r="U150" s="14" t="s">
        <v>89</v>
      </c>
      <c r="V150" s="15">
        <v>45658</v>
      </c>
      <c r="W150" s="15"/>
      <c r="X150" s="16" t="s">
        <v>84</v>
      </c>
      <c r="Y150" s="17"/>
      <c r="Z150" s="18"/>
      <c r="AA150" s="17"/>
      <c r="AB150" s="18"/>
      <c r="AC150" s="17"/>
      <c r="AD150" s="18"/>
      <c r="AE150" s="17"/>
      <c r="AF150" s="18"/>
      <c r="AG150" s="17"/>
      <c r="AH150" s="18"/>
      <c r="AI150" s="17"/>
      <c r="AJ150" s="18"/>
      <c r="AK150" s="17"/>
      <c r="AL150" s="18"/>
      <c r="AM150" s="17"/>
      <c r="AN150" s="18"/>
      <c r="AO150" s="14" t="s">
        <v>266</v>
      </c>
      <c r="AP150" s="16" t="s">
        <v>84</v>
      </c>
    </row>
    <row r="151" spans="1:42" ht="135" x14ac:dyDescent="0.25">
      <c r="A151" s="14" t="s">
        <v>254</v>
      </c>
      <c r="B151" s="14" t="s">
        <v>129</v>
      </c>
      <c r="C151" s="15">
        <v>46101.680555555555</v>
      </c>
      <c r="D151" s="14" t="s">
        <v>73</v>
      </c>
      <c r="E151" s="16" t="s">
        <v>74</v>
      </c>
      <c r="F151" s="14" t="s">
        <v>75</v>
      </c>
      <c r="G151" s="16" t="s">
        <v>76</v>
      </c>
      <c r="H151" s="14" t="s">
        <v>255</v>
      </c>
      <c r="I151" s="16" t="s">
        <v>256</v>
      </c>
      <c r="J151" s="16" t="s">
        <v>257</v>
      </c>
      <c r="K151" s="16" t="s">
        <v>258</v>
      </c>
      <c r="L151" s="14" t="s">
        <v>271</v>
      </c>
      <c r="M151" s="16" t="s">
        <v>272</v>
      </c>
      <c r="N151" s="14" t="s">
        <v>136</v>
      </c>
      <c r="O151" s="16" t="s">
        <v>273</v>
      </c>
      <c r="P151" s="16" t="s">
        <v>274</v>
      </c>
      <c r="Q151" s="16" t="s">
        <v>144</v>
      </c>
      <c r="R151" s="14" t="s">
        <v>145</v>
      </c>
      <c r="S151" s="14" t="s">
        <v>146</v>
      </c>
      <c r="T151" s="14" t="s">
        <v>88</v>
      </c>
      <c r="U151" s="14" t="s">
        <v>89</v>
      </c>
      <c r="V151" s="15">
        <v>45658</v>
      </c>
      <c r="W151" s="15"/>
      <c r="X151" s="16" t="s">
        <v>84</v>
      </c>
      <c r="Y151" s="17"/>
      <c r="Z151" s="18"/>
      <c r="AA151" s="17"/>
      <c r="AB151" s="18"/>
      <c r="AC151" s="17"/>
      <c r="AD151" s="18"/>
      <c r="AE151" s="17"/>
      <c r="AF151" s="18"/>
      <c r="AG151" s="17"/>
      <c r="AH151" s="18"/>
      <c r="AI151" s="17"/>
      <c r="AJ151" s="18"/>
      <c r="AK151" s="17"/>
      <c r="AL151" s="18"/>
      <c r="AM151" s="17"/>
      <c r="AN151" s="18"/>
      <c r="AO151" s="14" t="s">
        <v>266</v>
      </c>
      <c r="AP151" s="16" t="s">
        <v>84</v>
      </c>
    </row>
    <row r="152" spans="1:42" ht="135" x14ac:dyDescent="0.25">
      <c r="A152" s="14" t="s">
        <v>254</v>
      </c>
      <c r="B152" s="14" t="s">
        <v>129</v>
      </c>
      <c r="C152" s="15">
        <v>46101.675694444442</v>
      </c>
      <c r="D152" s="14" t="s">
        <v>73</v>
      </c>
      <c r="E152" s="16" t="s">
        <v>74</v>
      </c>
      <c r="F152" s="14" t="s">
        <v>75</v>
      </c>
      <c r="G152" s="16" t="s">
        <v>76</v>
      </c>
      <c r="H152" s="14" t="s">
        <v>255</v>
      </c>
      <c r="I152" s="16" t="s">
        <v>256</v>
      </c>
      <c r="J152" s="16" t="s">
        <v>257</v>
      </c>
      <c r="K152" s="16" t="s">
        <v>258</v>
      </c>
      <c r="L152" s="14" t="s">
        <v>259</v>
      </c>
      <c r="M152" s="16" t="s">
        <v>260</v>
      </c>
      <c r="N152" s="14" t="s">
        <v>178</v>
      </c>
      <c r="O152" s="16" t="s">
        <v>261</v>
      </c>
      <c r="P152" s="16" t="s">
        <v>262</v>
      </c>
      <c r="Q152" s="16" t="s">
        <v>148</v>
      </c>
      <c r="R152" s="14" t="s">
        <v>149</v>
      </c>
      <c r="S152" s="14" t="s">
        <v>150</v>
      </c>
      <c r="T152" s="14" t="s">
        <v>88</v>
      </c>
      <c r="U152" s="14" t="s">
        <v>140</v>
      </c>
      <c r="V152" s="15">
        <v>45658</v>
      </c>
      <c r="W152" s="15"/>
      <c r="X152" s="16" t="s">
        <v>84</v>
      </c>
      <c r="Y152" s="17"/>
      <c r="Z152" s="18"/>
      <c r="AA152" s="17"/>
      <c r="AB152" s="18"/>
      <c r="AC152" s="17"/>
      <c r="AD152" s="18"/>
      <c r="AE152" s="17"/>
      <c r="AF152" s="18"/>
      <c r="AG152" s="17"/>
      <c r="AH152" s="18"/>
      <c r="AI152" s="17"/>
      <c r="AJ152" s="18"/>
      <c r="AK152" s="17"/>
      <c r="AL152" s="18"/>
      <c r="AM152" s="17"/>
      <c r="AN152" s="18"/>
      <c r="AO152" s="14" t="s">
        <v>266</v>
      </c>
      <c r="AP152" s="16" t="s">
        <v>84</v>
      </c>
    </row>
    <row r="153" spans="1:42" ht="135" x14ac:dyDescent="0.25">
      <c r="A153" s="14" t="s">
        <v>254</v>
      </c>
      <c r="B153" s="14" t="s">
        <v>129</v>
      </c>
      <c r="C153" s="15">
        <v>46101.678472222222</v>
      </c>
      <c r="D153" s="14" t="s">
        <v>73</v>
      </c>
      <c r="E153" s="16" t="s">
        <v>74</v>
      </c>
      <c r="F153" s="14" t="s">
        <v>75</v>
      </c>
      <c r="G153" s="16" t="s">
        <v>76</v>
      </c>
      <c r="H153" s="14" t="s">
        <v>255</v>
      </c>
      <c r="I153" s="16" t="s">
        <v>256</v>
      </c>
      <c r="J153" s="16" t="s">
        <v>257</v>
      </c>
      <c r="K153" s="16" t="s">
        <v>258</v>
      </c>
      <c r="L153" s="14" t="s">
        <v>267</v>
      </c>
      <c r="M153" s="16" t="s">
        <v>268</v>
      </c>
      <c r="N153" s="14" t="s">
        <v>178</v>
      </c>
      <c r="O153" s="16" t="s">
        <v>269</v>
      </c>
      <c r="P153" s="16" t="s">
        <v>270</v>
      </c>
      <c r="Q153" s="16" t="s">
        <v>148</v>
      </c>
      <c r="R153" s="14" t="s">
        <v>149</v>
      </c>
      <c r="S153" s="14" t="s">
        <v>150</v>
      </c>
      <c r="T153" s="14" t="s">
        <v>88</v>
      </c>
      <c r="U153" s="14" t="s">
        <v>140</v>
      </c>
      <c r="V153" s="15">
        <v>45658</v>
      </c>
      <c r="W153" s="15"/>
      <c r="X153" s="16" t="s">
        <v>84</v>
      </c>
      <c r="Y153" s="17"/>
      <c r="Z153" s="18"/>
      <c r="AA153" s="17"/>
      <c r="AB153" s="18"/>
      <c r="AC153" s="17"/>
      <c r="AD153" s="18"/>
      <c r="AE153" s="17"/>
      <c r="AF153" s="18"/>
      <c r="AG153" s="17"/>
      <c r="AH153" s="18"/>
      <c r="AI153" s="17"/>
      <c r="AJ153" s="18"/>
      <c r="AK153" s="17"/>
      <c r="AL153" s="18"/>
      <c r="AM153" s="17"/>
      <c r="AN153" s="18"/>
      <c r="AO153" s="14" t="s">
        <v>266</v>
      </c>
      <c r="AP153" s="16" t="s">
        <v>84</v>
      </c>
    </row>
    <row r="154" spans="1:42" ht="135" x14ac:dyDescent="0.25">
      <c r="A154" s="14" t="s">
        <v>254</v>
      </c>
      <c r="B154" s="14" t="s">
        <v>129</v>
      </c>
      <c r="C154" s="15">
        <v>46101.680555555555</v>
      </c>
      <c r="D154" s="14" t="s">
        <v>73</v>
      </c>
      <c r="E154" s="16" t="s">
        <v>74</v>
      </c>
      <c r="F154" s="14" t="s">
        <v>75</v>
      </c>
      <c r="G154" s="16" t="s">
        <v>76</v>
      </c>
      <c r="H154" s="14" t="s">
        <v>255</v>
      </c>
      <c r="I154" s="16" t="s">
        <v>256</v>
      </c>
      <c r="J154" s="16" t="s">
        <v>257</v>
      </c>
      <c r="K154" s="16" t="s">
        <v>258</v>
      </c>
      <c r="L154" s="14" t="s">
        <v>271</v>
      </c>
      <c r="M154" s="16" t="s">
        <v>272</v>
      </c>
      <c r="N154" s="14" t="s">
        <v>136</v>
      </c>
      <c r="O154" s="16" t="s">
        <v>273</v>
      </c>
      <c r="P154" s="16" t="s">
        <v>274</v>
      </c>
      <c r="Q154" s="16" t="s">
        <v>148</v>
      </c>
      <c r="R154" s="14" t="s">
        <v>149</v>
      </c>
      <c r="S154" s="14" t="s">
        <v>150</v>
      </c>
      <c r="T154" s="14" t="s">
        <v>88</v>
      </c>
      <c r="U154" s="14" t="s">
        <v>140</v>
      </c>
      <c r="V154" s="15">
        <v>45658</v>
      </c>
      <c r="W154" s="15"/>
      <c r="X154" s="16" t="s">
        <v>84</v>
      </c>
      <c r="Y154" s="17"/>
      <c r="Z154" s="18"/>
      <c r="AA154" s="17"/>
      <c r="AB154" s="18"/>
      <c r="AC154" s="17"/>
      <c r="AD154" s="18"/>
      <c r="AE154" s="17"/>
      <c r="AF154" s="18"/>
      <c r="AG154" s="17"/>
      <c r="AH154" s="18"/>
      <c r="AI154" s="17"/>
      <c r="AJ154" s="18"/>
      <c r="AK154" s="17"/>
      <c r="AL154" s="18"/>
      <c r="AM154" s="17"/>
      <c r="AN154" s="18"/>
      <c r="AO154" s="14" t="s">
        <v>266</v>
      </c>
      <c r="AP154" s="16" t="s">
        <v>84</v>
      </c>
    </row>
    <row r="155" spans="1:42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84</v>
      </c>
      <c r="K155" s="20" t="s">
        <v>84</v>
      </c>
      <c r="L155" s="20"/>
      <c r="M155" s="20"/>
      <c r="N155" s="20" t="s">
        <v>84</v>
      </c>
      <c r="O155" s="20" t="s">
        <v>84</v>
      </c>
      <c r="P155" s="20" t="s">
        <v>84</v>
      </c>
      <c r="Q155" s="20"/>
      <c r="R155" s="20"/>
      <c r="S155" s="19"/>
      <c r="T155" s="20"/>
      <c r="U155" s="19"/>
      <c r="V155" s="22"/>
      <c r="W155" s="22"/>
      <c r="X155" s="20"/>
      <c r="AO155" s="25"/>
      <c r="AP155" s="20"/>
    </row>
    <row r="156" spans="1:42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84</v>
      </c>
      <c r="K156" s="20" t="s">
        <v>84</v>
      </c>
      <c r="L156" s="20"/>
      <c r="M156" s="20"/>
      <c r="N156" s="20" t="s">
        <v>84</v>
      </c>
      <c r="O156" s="20" t="s">
        <v>84</v>
      </c>
      <c r="P156" s="20" t="s">
        <v>84</v>
      </c>
      <c r="Q156" s="20"/>
      <c r="R156" s="20"/>
      <c r="S156" s="19"/>
      <c r="T156" s="20"/>
      <c r="U156" s="19"/>
      <c r="V156" s="22"/>
      <c r="W156" s="22"/>
      <c r="X156" s="20"/>
      <c r="AO156" s="25"/>
      <c r="AP156" s="20"/>
    </row>
    <row r="157" spans="1:42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84</v>
      </c>
      <c r="K157" s="20" t="s">
        <v>84</v>
      </c>
      <c r="L157" s="20"/>
      <c r="M157" s="20"/>
      <c r="N157" s="20" t="s">
        <v>84</v>
      </c>
      <c r="O157" s="20" t="s">
        <v>84</v>
      </c>
      <c r="P157" s="20" t="s">
        <v>84</v>
      </c>
      <c r="Q157" s="20"/>
      <c r="R157" s="20"/>
      <c r="S157" s="19"/>
      <c r="T157" s="20"/>
      <c r="U157" s="19"/>
      <c r="V157" s="22"/>
      <c r="W157" s="22"/>
      <c r="X157" s="20"/>
      <c r="AO157" s="25"/>
      <c r="AP157" s="20"/>
    </row>
    <row r="158" spans="1:42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84</v>
      </c>
      <c r="K158" s="20" t="s">
        <v>84</v>
      </c>
      <c r="L158" s="20"/>
      <c r="M158" s="20"/>
      <c r="N158" s="20" t="s">
        <v>84</v>
      </c>
      <c r="O158" s="20" t="s">
        <v>84</v>
      </c>
      <c r="P158" s="20" t="s">
        <v>84</v>
      </c>
      <c r="Q158" s="20"/>
      <c r="R158" s="20"/>
      <c r="S158" s="19"/>
      <c r="T158" s="20"/>
      <c r="U158" s="19"/>
      <c r="V158" s="22"/>
      <c r="W158" s="22"/>
      <c r="X158" s="20"/>
      <c r="AO158" s="25"/>
      <c r="AP158" s="20"/>
    </row>
    <row r="159" spans="1:42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84</v>
      </c>
      <c r="K159" s="20" t="s">
        <v>84</v>
      </c>
      <c r="L159" s="20"/>
      <c r="M159" s="20"/>
      <c r="N159" s="20" t="s">
        <v>84</v>
      </c>
      <c r="O159" s="20" t="s">
        <v>84</v>
      </c>
      <c r="P159" s="20" t="s">
        <v>84</v>
      </c>
      <c r="Q159" s="20"/>
      <c r="R159" s="20"/>
      <c r="S159" s="19"/>
      <c r="T159" s="20"/>
      <c r="U159" s="19"/>
      <c r="V159" s="22"/>
      <c r="W159" s="22"/>
      <c r="X159" s="20"/>
      <c r="AO159" s="25"/>
      <c r="AP159" s="20"/>
    </row>
    <row r="160" spans="1:42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84</v>
      </c>
      <c r="K160" s="20" t="s">
        <v>84</v>
      </c>
      <c r="L160" s="20"/>
      <c r="M160" s="20"/>
      <c r="N160" s="20" t="s">
        <v>84</v>
      </c>
      <c r="O160" s="20" t="s">
        <v>84</v>
      </c>
      <c r="P160" s="20" t="s">
        <v>84</v>
      </c>
      <c r="Q160" s="20"/>
      <c r="R160" s="20"/>
      <c r="S160" s="19"/>
      <c r="T160" s="20"/>
      <c r="U160" s="19"/>
      <c r="V160" s="22"/>
      <c r="W160" s="22"/>
      <c r="X160" s="20"/>
      <c r="AO160" s="25"/>
      <c r="AP160" s="20"/>
    </row>
    <row r="161" spans="1:42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84</v>
      </c>
      <c r="K161" s="20" t="s">
        <v>84</v>
      </c>
      <c r="L161" s="20"/>
      <c r="M161" s="20"/>
      <c r="N161" s="20" t="s">
        <v>84</v>
      </c>
      <c r="O161" s="20" t="s">
        <v>84</v>
      </c>
      <c r="P161" s="20" t="s">
        <v>84</v>
      </c>
      <c r="Q161" s="20"/>
      <c r="R161" s="20"/>
      <c r="S161" s="19"/>
      <c r="T161" s="20"/>
      <c r="U161" s="19"/>
      <c r="V161" s="22"/>
      <c r="W161" s="22"/>
      <c r="X161" s="20"/>
      <c r="AO161" s="25"/>
      <c r="AP161" s="20"/>
    </row>
    <row r="162" spans="1:42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84</v>
      </c>
      <c r="K162" s="20" t="s">
        <v>84</v>
      </c>
      <c r="L162" s="20"/>
      <c r="M162" s="20"/>
      <c r="N162" s="20" t="s">
        <v>84</v>
      </c>
      <c r="O162" s="20" t="s">
        <v>84</v>
      </c>
      <c r="P162" s="20" t="s">
        <v>84</v>
      </c>
      <c r="Q162" s="20"/>
      <c r="R162" s="20"/>
      <c r="S162" s="19"/>
      <c r="T162" s="20"/>
      <c r="U162" s="19"/>
      <c r="V162" s="22"/>
      <c r="W162" s="22"/>
      <c r="X162" s="20"/>
      <c r="AO162" s="25"/>
      <c r="AP162" s="20"/>
    </row>
    <row r="163" spans="1:42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84</v>
      </c>
      <c r="K163" s="20" t="s">
        <v>84</v>
      </c>
      <c r="L163" s="20"/>
      <c r="M163" s="20"/>
      <c r="N163" s="20" t="s">
        <v>84</v>
      </c>
      <c r="O163" s="20" t="s">
        <v>84</v>
      </c>
      <c r="P163" s="20" t="s">
        <v>84</v>
      </c>
      <c r="Q163" s="20"/>
      <c r="R163" s="20"/>
      <c r="S163" s="19"/>
      <c r="T163" s="20"/>
      <c r="U163" s="19"/>
      <c r="V163" s="22"/>
      <c r="W163" s="22"/>
      <c r="X163" s="20"/>
      <c r="AO163" s="25"/>
      <c r="AP163" s="20"/>
    </row>
    <row r="164" spans="1:42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84</v>
      </c>
      <c r="K164" s="20" t="s">
        <v>84</v>
      </c>
      <c r="L164" s="20"/>
      <c r="M164" s="20"/>
      <c r="N164" s="20" t="s">
        <v>84</v>
      </c>
      <c r="O164" s="20" t="s">
        <v>84</v>
      </c>
      <c r="P164" s="20" t="s">
        <v>84</v>
      </c>
      <c r="Q164" s="20"/>
      <c r="R164" s="20"/>
      <c r="S164" s="19"/>
      <c r="T164" s="20"/>
      <c r="U164" s="19"/>
      <c r="V164" s="22"/>
      <c r="W164" s="22"/>
      <c r="X164" s="20"/>
      <c r="AO164" s="25"/>
      <c r="AP164" s="20"/>
    </row>
    <row r="165" spans="1:42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84</v>
      </c>
      <c r="K165" s="20" t="s">
        <v>84</v>
      </c>
      <c r="L165" s="20"/>
      <c r="M165" s="20"/>
      <c r="N165" s="20" t="s">
        <v>84</v>
      </c>
      <c r="O165" s="20" t="s">
        <v>84</v>
      </c>
      <c r="P165" s="20" t="s">
        <v>84</v>
      </c>
      <c r="Q165" s="20"/>
      <c r="R165" s="20"/>
      <c r="S165" s="19"/>
      <c r="T165" s="20"/>
      <c r="U165" s="19"/>
      <c r="V165" s="22"/>
      <c r="W165" s="22"/>
      <c r="X165" s="20"/>
      <c r="AO165" s="25"/>
      <c r="AP165" s="20"/>
    </row>
    <row r="166" spans="1:42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84</v>
      </c>
      <c r="K166" s="20" t="s">
        <v>84</v>
      </c>
      <c r="L166" s="20"/>
      <c r="M166" s="20"/>
      <c r="N166" s="20" t="s">
        <v>84</v>
      </c>
      <c r="O166" s="20" t="s">
        <v>84</v>
      </c>
      <c r="P166" s="20" t="s">
        <v>84</v>
      </c>
      <c r="Q166" s="20"/>
      <c r="R166" s="20"/>
      <c r="S166" s="19"/>
      <c r="T166" s="20"/>
      <c r="U166" s="19"/>
      <c r="V166" s="22"/>
      <c r="W166" s="22"/>
      <c r="X166" s="20"/>
      <c r="AO166" s="25"/>
      <c r="AP166" s="20"/>
    </row>
    <row r="167" spans="1:42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84</v>
      </c>
      <c r="K167" s="20" t="s">
        <v>84</v>
      </c>
      <c r="L167" s="20"/>
      <c r="M167" s="20"/>
      <c r="N167" s="20" t="s">
        <v>84</v>
      </c>
      <c r="O167" s="20" t="s">
        <v>84</v>
      </c>
      <c r="P167" s="20" t="s">
        <v>84</v>
      </c>
      <c r="Q167" s="20"/>
      <c r="R167" s="20"/>
      <c r="S167" s="19"/>
      <c r="T167" s="20"/>
      <c r="U167" s="19"/>
      <c r="V167" s="22"/>
      <c r="W167" s="22"/>
      <c r="X167" s="20"/>
      <c r="AO167" s="25"/>
      <c r="AP167" s="20"/>
    </row>
    <row r="168" spans="1:42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84</v>
      </c>
      <c r="K168" s="20" t="s">
        <v>84</v>
      </c>
      <c r="L168" s="20"/>
      <c r="M168" s="20"/>
      <c r="N168" s="20" t="s">
        <v>84</v>
      </c>
      <c r="O168" s="20" t="s">
        <v>84</v>
      </c>
      <c r="P168" s="20" t="s">
        <v>84</v>
      </c>
      <c r="Q168" s="20"/>
      <c r="R168" s="20"/>
      <c r="S168" s="19"/>
      <c r="T168" s="20"/>
      <c r="U168" s="19"/>
      <c r="V168" s="22"/>
      <c r="W168" s="22"/>
      <c r="X168" s="20"/>
      <c r="AO168" s="25"/>
      <c r="AP168" s="20"/>
    </row>
    <row r="169" spans="1:42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84</v>
      </c>
      <c r="K169" s="20" t="s">
        <v>84</v>
      </c>
      <c r="L169" s="20"/>
      <c r="M169" s="20"/>
      <c r="N169" s="20" t="s">
        <v>84</v>
      </c>
      <c r="O169" s="20" t="s">
        <v>84</v>
      </c>
      <c r="P169" s="20" t="s">
        <v>84</v>
      </c>
      <c r="Q169" s="20"/>
      <c r="R169" s="20"/>
      <c r="S169" s="19"/>
      <c r="T169" s="20"/>
      <c r="U169" s="19"/>
      <c r="V169" s="22"/>
      <c r="W169" s="22"/>
      <c r="X169" s="20"/>
      <c r="AO169" s="25"/>
      <c r="AP169" s="20"/>
    </row>
    <row r="170" spans="1:42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84</v>
      </c>
      <c r="K170" s="20" t="s">
        <v>84</v>
      </c>
      <c r="L170" s="20"/>
      <c r="M170" s="20"/>
      <c r="N170" s="20" t="s">
        <v>84</v>
      </c>
      <c r="O170" s="20" t="s">
        <v>84</v>
      </c>
      <c r="P170" s="20" t="s">
        <v>84</v>
      </c>
      <c r="Q170" s="20"/>
      <c r="R170" s="20"/>
      <c r="S170" s="19"/>
      <c r="T170" s="20"/>
      <c r="U170" s="19"/>
      <c r="V170" s="22"/>
      <c r="W170" s="22"/>
      <c r="X170" s="20"/>
      <c r="AO170" s="25"/>
      <c r="AP170" s="20"/>
    </row>
    <row r="171" spans="1:42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84</v>
      </c>
      <c r="K171" s="20" t="s">
        <v>84</v>
      </c>
      <c r="L171" s="20"/>
      <c r="M171" s="20"/>
      <c r="N171" s="20" t="s">
        <v>84</v>
      </c>
      <c r="O171" s="20" t="s">
        <v>84</v>
      </c>
      <c r="P171" s="20" t="s">
        <v>84</v>
      </c>
      <c r="Q171" s="20"/>
      <c r="R171" s="20"/>
      <c r="S171" s="19"/>
      <c r="T171" s="20"/>
      <c r="U171" s="19"/>
      <c r="V171" s="22"/>
      <c r="W171" s="22"/>
      <c r="X171" s="20"/>
      <c r="AO171" s="25"/>
      <c r="AP171" s="20"/>
    </row>
    <row r="172" spans="1:42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84</v>
      </c>
      <c r="K172" s="20" t="s">
        <v>84</v>
      </c>
      <c r="L172" s="20"/>
      <c r="M172" s="20"/>
      <c r="N172" s="20" t="s">
        <v>84</v>
      </c>
      <c r="O172" s="20" t="s">
        <v>84</v>
      </c>
      <c r="P172" s="20" t="s">
        <v>84</v>
      </c>
      <c r="Q172" s="20"/>
      <c r="R172" s="20"/>
      <c r="S172" s="19"/>
      <c r="T172" s="20"/>
      <c r="U172" s="19"/>
      <c r="V172" s="22"/>
      <c r="W172" s="22"/>
      <c r="X172" s="20"/>
      <c r="AO172" s="25"/>
      <c r="AP172" s="20"/>
    </row>
    <row r="173" spans="1:42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84</v>
      </c>
      <c r="K173" s="20" t="s">
        <v>84</v>
      </c>
      <c r="L173" s="20"/>
      <c r="M173" s="20"/>
      <c r="N173" s="20" t="s">
        <v>84</v>
      </c>
      <c r="O173" s="20" t="s">
        <v>84</v>
      </c>
      <c r="P173" s="20" t="s">
        <v>84</v>
      </c>
      <c r="Q173" s="20"/>
      <c r="R173" s="20"/>
      <c r="S173" s="19"/>
      <c r="T173" s="20"/>
      <c r="U173" s="19"/>
      <c r="V173" s="22"/>
      <c r="W173" s="22"/>
      <c r="X173" s="20"/>
      <c r="AO173" s="25"/>
      <c r="AP173" s="20"/>
    </row>
    <row r="174" spans="1:42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84</v>
      </c>
      <c r="K174" s="20" t="s">
        <v>84</v>
      </c>
      <c r="L174" s="20"/>
      <c r="M174" s="20"/>
      <c r="N174" s="20" t="s">
        <v>84</v>
      </c>
      <c r="O174" s="20" t="s">
        <v>84</v>
      </c>
      <c r="P174" s="20" t="s">
        <v>84</v>
      </c>
      <c r="Q174" s="20"/>
      <c r="R174" s="20"/>
      <c r="S174" s="19"/>
      <c r="T174" s="20"/>
      <c r="U174" s="19"/>
      <c r="V174" s="22"/>
      <c r="W174" s="22"/>
      <c r="X174" s="20"/>
      <c r="AO174" s="25"/>
      <c r="AP174" s="20"/>
    </row>
    <row r="175" spans="1:42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84</v>
      </c>
      <c r="K175" s="20" t="s">
        <v>84</v>
      </c>
      <c r="L175" s="20"/>
      <c r="M175" s="20"/>
      <c r="N175" s="20" t="s">
        <v>84</v>
      </c>
      <c r="O175" s="20" t="s">
        <v>84</v>
      </c>
      <c r="P175" s="20" t="s">
        <v>84</v>
      </c>
      <c r="Q175" s="20"/>
      <c r="R175" s="20"/>
      <c r="S175" s="19"/>
      <c r="T175" s="20"/>
      <c r="U175" s="19"/>
      <c r="V175" s="22"/>
      <c r="W175" s="22"/>
      <c r="X175" s="20"/>
      <c r="AO175" s="25"/>
      <c r="AP175" s="20"/>
    </row>
    <row r="176" spans="1:42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84</v>
      </c>
      <c r="K176" s="20" t="s">
        <v>84</v>
      </c>
      <c r="L176" s="20"/>
      <c r="M176" s="20"/>
      <c r="N176" s="20" t="s">
        <v>84</v>
      </c>
      <c r="O176" s="20" t="s">
        <v>84</v>
      </c>
      <c r="P176" s="20" t="s">
        <v>84</v>
      </c>
      <c r="Q176" s="20"/>
      <c r="R176" s="20"/>
      <c r="S176" s="19"/>
      <c r="T176" s="20"/>
      <c r="U176" s="19"/>
      <c r="V176" s="22"/>
      <c r="W176" s="22"/>
      <c r="X176" s="20"/>
      <c r="AO176" s="25"/>
      <c r="AP176" s="20"/>
    </row>
    <row r="177" spans="1:42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84</v>
      </c>
      <c r="K177" s="20" t="s">
        <v>84</v>
      </c>
      <c r="L177" s="20"/>
      <c r="M177" s="20"/>
      <c r="N177" s="20" t="s">
        <v>84</v>
      </c>
      <c r="O177" s="20" t="s">
        <v>84</v>
      </c>
      <c r="P177" s="20" t="s">
        <v>84</v>
      </c>
      <c r="Q177" s="20"/>
      <c r="R177" s="20"/>
      <c r="S177" s="19"/>
      <c r="T177" s="20"/>
      <c r="U177" s="19"/>
      <c r="V177" s="22"/>
      <c r="W177" s="22"/>
      <c r="X177" s="20"/>
      <c r="AO177" s="25"/>
      <c r="AP177" s="20"/>
    </row>
    <row r="178" spans="1:42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84</v>
      </c>
      <c r="K178" s="20" t="s">
        <v>84</v>
      </c>
      <c r="L178" s="20"/>
      <c r="M178" s="20"/>
      <c r="N178" s="20" t="s">
        <v>84</v>
      </c>
      <c r="O178" s="20" t="s">
        <v>84</v>
      </c>
      <c r="P178" s="20" t="s">
        <v>84</v>
      </c>
      <c r="Q178" s="20"/>
      <c r="R178" s="20"/>
      <c r="S178" s="19"/>
      <c r="T178" s="20"/>
      <c r="U178" s="19"/>
      <c r="V178" s="22"/>
      <c r="W178" s="22"/>
      <c r="X178" s="20"/>
      <c r="AO178" s="25"/>
      <c r="AP178" s="20"/>
    </row>
    <row r="179" spans="1:42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84</v>
      </c>
      <c r="K179" s="20" t="s">
        <v>84</v>
      </c>
      <c r="L179" s="20"/>
      <c r="M179" s="20"/>
      <c r="N179" s="20" t="s">
        <v>84</v>
      </c>
      <c r="O179" s="20" t="s">
        <v>84</v>
      </c>
      <c r="P179" s="20" t="s">
        <v>84</v>
      </c>
      <c r="Q179" s="20"/>
      <c r="R179" s="20"/>
      <c r="S179" s="19"/>
      <c r="T179" s="20"/>
      <c r="U179" s="19"/>
      <c r="V179" s="22"/>
      <c r="W179" s="22"/>
      <c r="X179" s="20"/>
      <c r="AO179" s="25"/>
      <c r="AP179" s="20"/>
    </row>
    <row r="180" spans="1:42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84</v>
      </c>
      <c r="K180" s="20" t="s">
        <v>84</v>
      </c>
      <c r="L180" s="20"/>
      <c r="M180" s="20"/>
      <c r="N180" s="20" t="s">
        <v>84</v>
      </c>
      <c r="O180" s="20" t="s">
        <v>84</v>
      </c>
      <c r="P180" s="20" t="s">
        <v>84</v>
      </c>
      <c r="Q180" s="20"/>
      <c r="R180" s="20"/>
      <c r="S180" s="19"/>
      <c r="T180" s="20"/>
      <c r="U180" s="19"/>
      <c r="V180" s="22"/>
      <c r="W180" s="22"/>
      <c r="X180" s="20"/>
      <c r="AO180" s="25"/>
      <c r="AP180" s="20"/>
    </row>
    <row r="181" spans="1:42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84</v>
      </c>
      <c r="K181" s="20" t="s">
        <v>84</v>
      </c>
      <c r="L181" s="20"/>
      <c r="M181" s="20"/>
      <c r="N181" s="20" t="s">
        <v>84</v>
      </c>
      <c r="O181" s="20" t="s">
        <v>84</v>
      </c>
      <c r="P181" s="20" t="s">
        <v>84</v>
      </c>
      <c r="Q181" s="20"/>
      <c r="R181" s="20"/>
      <c r="S181" s="19"/>
      <c r="T181" s="20"/>
      <c r="U181" s="19"/>
      <c r="V181" s="22"/>
      <c r="W181" s="22"/>
      <c r="X181" s="20"/>
      <c r="AO181" s="25"/>
      <c r="AP181" s="20"/>
    </row>
    <row r="182" spans="1:42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84</v>
      </c>
      <c r="K182" s="20" t="s">
        <v>84</v>
      </c>
      <c r="L182" s="20"/>
      <c r="M182" s="20"/>
      <c r="N182" s="20" t="s">
        <v>84</v>
      </c>
      <c r="O182" s="20" t="s">
        <v>84</v>
      </c>
      <c r="P182" s="20" t="s">
        <v>84</v>
      </c>
      <c r="Q182" s="20"/>
      <c r="R182" s="20"/>
      <c r="S182" s="19"/>
      <c r="T182" s="20"/>
      <c r="U182" s="19"/>
      <c r="V182" s="22"/>
      <c r="W182" s="22"/>
      <c r="X182" s="20"/>
      <c r="AO182" s="25"/>
      <c r="AP182" s="20"/>
    </row>
    <row r="183" spans="1:42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84</v>
      </c>
      <c r="K183" s="20" t="s">
        <v>84</v>
      </c>
      <c r="L183" s="20"/>
      <c r="M183" s="20"/>
      <c r="N183" s="20" t="s">
        <v>84</v>
      </c>
      <c r="O183" s="20" t="s">
        <v>84</v>
      </c>
      <c r="P183" s="20" t="s">
        <v>84</v>
      </c>
      <c r="Q183" s="20"/>
      <c r="R183" s="20"/>
      <c r="S183" s="19"/>
      <c r="T183" s="20"/>
      <c r="U183" s="19"/>
      <c r="V183" s="22"/>
      <c r="W183" s="22"/>
      <c r="X183" s="20"/>
      <c r="AO183" s="25"/>
      <c r="AP183" s="20"/>
    </row>
    <row r="184" spans="1:42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84</v>
      </c>
      <c r="K184" s="20" t="s">
        <v>84</v>
      </c>
      <c r="L184" s="20"/>
      <c r="M184" s="20"/>
      <c r="N184" s="20" t="s">
        <v>84</v>
      </c>
      <c r="O184" s="20" t="s">
        <v>84</v>
      </c>
      <c r="P184" s="20" t="s">
        <v>84</v>
      </c>
      <c r="Q184" s="20"/>
      <c r="R184" s="20"/>
      <c r="S184" s="19"/>
      <c r="T184" s="20"/>
      <c r="U184" s="19"/>
      <c r="V184" s="22"/>
      <c r="W184" s="22"/>
      <c r="X184" s="20"/>
      <c r="AO184" s="25"/>
      <c r="AP184" s="20"/>
    </row>
    <row r="185" spans="1:42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84</v>
      </c>
      <c r="K185" s="20" t="s">
        <v>84</v>
      </c>
      <c r="L185" s="20"/>
      <c r="M185" s="20"/>
      <c r="N185" s="20" t="s">
        <v>84</v>
      </c>
      <c r="O185" s="20" t="s">
        <v>84</v>
      </c>
      <c r="P185" s="20" t="s">
        <v>84</v>
      </c>
      <c r="Q185" s="20"/>
      <c r="R185" s="20"/>
      <c r="S185" s="19"/>
      <c r="T185" s="20"/>
      <c r="U185" s="19"/>
      <c r="V185" s="22"/>
      <c r="W185" s="22"/>
      <c r="X185" s="20"/>
      <c r="AO185" s="25"/>
      <c r="AP185" s="20"/>
    </row>
    <row r="186" spans="1:42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84</v>
      </c>
      <c r="K186" s="20" t="s">
        <v>84</v>
      </c>
      <c r="L186" s="20"/>
      <c r="M186" s="20"/>
      <c r="N186" s="20" t="s">
        <v>84</v>
      </c>
      <c r="O186" s="20" t="s">
        <v>84</v>
      </c>
      <c r="P186" s="20" t="s">
        <v>84</v>
      </c>
      <c r="Q186" s="20"/>
      <c r="R186" s="20"/>
      <c r="S186" s="19"/>
      <c r="T186" s="20"/>
      <c r="U186" s="19"/>
      <c r="V186" s="22"/>
      <c r="W186" s="22"/>
      <c r="X186" s="20"/>
      <c r="AO186" s="25"/>
      <c r="AP186" s="20"/>
    </row>
    <row r="187" spans="1:42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84</v>
      </c>
      <c r="K187" s="20" t="s">
        <v>84</v>
      </c>
      <c r="L187" s="20"/>
      <c r="M187" s="20"/>
      <c r="N187" s="20" t="s">
        <v>84</v>
      </c>
      <c r="O187" s="20" t="s">
        <v>84</v>
      </c>
      <c r="P187" s="20" t="s">
        <v>84</v>
      </c>
      <c r="Q187" s="20"/>
      <c r="R187" s="20"/>
      <c r="S187" s="19"/>
      <c r="T187" s="20"/>
      <c r="U187" s="19"/>
      <c r="V187" s="22"/>
      <c r="W187" s="22"/>
      <c r="X187" s="20"/>
      <c r="AO187" s="25"/>
      <c r="AP187" s="20"/>
    </row>
    <row r="188" spans="1:42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84</v>
      </c>
      <c r="K188" s="20" t="s">
        <v>84</v>
      </c>
      <c r="L188" s="20"/>
      <c r="M188" s="20"/>
      <c r="N188" s="20" t="s">
        <v>84</v>
      </c>
      <c r="O188" s="20" t="s">
        <v>84</v>
      </c>
      <c r="P188" s="20" t="s">
        <v>84</v>
      </c>
      <c r="Q188" s="20"/>
      <c r="R188" s="20"/>
      <c r="S188" s="19"/>
      <c r="T188" s="20"/>
      <c r="U188" s="19"/>
      <c r="V188" s="22"/>
      <c r="W188" s="22"/>
      <c r="X188" s="20"/>
      <c r="AO188" s="25"/>
      <c r="AP188" s="20"/>
    </row>
    <row r="189" spans="1:42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84</v>
      </c>
      <c r="K189" s="20" t="s">
        <v>84</v>
      </c>
      <c r="L189" s="20"/>
      <c r="M189" s="20"/>
      <c r="N189" s="20" t="s">
        <v>84</v>
      </c>
      <c r="O189" s="20" t="s">
        <v>84</v>
      </c>
      <c r="P189" s="20" t="s">
        <v>84</v>
      </c>
      <c r="Q189" s="20"/>
      <c r="R189" s="20"/>
      <c r="S189" s="19"/>
      <c r="T189" s="20"/>
      <c r="U189" s="19"/>
      <c r="V189" s="22"/>
      <c r="W189" s="22"/>
      <c r="X189" s="20"/>
      <c r="AO189" s="25"/>
      <c r="AP189" s="20"/>
    </row>
    <row r="190" spans="1:42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84</v>
      </c>
      <c r="K190" s="20" t="s">
        <v>84</v>
      </c>
      <c r="L190" s="20"/>
      <c r="M190" s="20"/>
      <c r="N190" s="20" t="s">
        <v>84</v>
      </c>
      <c r="O190" s="20" t="s">
        <v>84</v>
      </c>
      <c r="P190" s="20" t="s">
        <v>84</v>
      </c>
      <c r="Q190" s="20"/>
      <c r="R190" s="20"/>
      <c r="S190" s="19"/>
      <c r="T190" s="20"/>
      <c r="U190" s="19"/>
      <c r="V190" s="22"/>
      <c r="W190" s="22"/>
      <c r="X190" s="20"/>
      <c r="AO190" s="25"/>
      <c r="AP190" s="20"/>
    </row>
    <row r="191" spans="1:42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84</v>
      </c>
      <c r="K191" s="20" t="s">
        <v>84</v>
      </c>
      <c r="L191" s="20"/>
      <c r="M191" s="20"/>
      <c r="N191" s="20" t="s">
        <v>84</v>
      </c>
      <c r="O191" s="20" t="s">
        <v>84</v>
      </c>
      <c r="P191" s="20" t="s">
        <v>84</v>
      </c>
      <c r="Q191" s="20"/>
      <c r="R191" s="20"/>
      <c r="S191" s="19"/>
      <c r="T191" s="20"/>
      <c r="U191" s="19"/>
      <c r="V191" s="22"/>
      <c r="W191" s="22"/>
      <c r="X191" s="20"/>
      <c r="AO191" s="25"/>
      <c r="AP191" s="20"/>
    </row>
    <row r="192" spans="1:42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84</v>
      </c>
      <c r="K192" s="20" t="s">
        <v>84</v>
      </c>
      <c r="L192" s="20"/>
      <c r="M192" s="20"/>
      <c r="N192" s="20" t="s">
        <v>84</v>
      </c>
      <c r="O192" s="20" t="s">
        <v>84</v>
      </c>
      <c r="P192" s="20" t="s">
        <v>84</v>
      </c>
      <c r="Q192" s="20"/>
      <c r="R192" s="20"/>
      <c r="S192" s="19"/>
      <c r="T192" s="20"/>
      <c r="U192" s="19"/>
      <c r="V192" s="22"/>
      <c r="W192" s="22"/>
      <c r="X192" s="20"/>
      <c r="AO192" s="25"/>
      <c r="AP192" s="20"/>
    </row>
    <row r="193" spans="1:42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84</v>
      </c>
      <c r="K193" s="20" t="s">
        <v>84</v>
      </c>
      <c r="L193" s="20"/>
      <c r="M193" s="20"/>
      <c r="N193" s="20" t="s">
        <v>84</v>
      </c>
      <c r="O193" s="20" t="s">
        <v>84</v>
      </c>
      <c r="P193" s="20" t="s">
        <v>84</v>
      </c>
      <c r="Q193" s="20"/>
      <c r="R193" s="20"/>
      <c r="S193" s="19"/>
      <c r="T193" s="20"/>
      <c r="U193" s="19"/>
      <c r="V193" s="22"/>
      <c r="W193" s="22"/>
      <c r="X193" s="20"/>
      <c r="AO193" s="25"/>
      <c r="AP193" s="20"/>
    </row>
    <row r="194" spans="1:42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84</v>
      </c>
      <c r="K194" s="20" t="s">
        <v>84</v>
      </c>
      <c r="L194" s="20"/>
      <c r="M194" s="20"/>
      <c r="N194" s="20" t="s">
        <v>84</v>
      </c>
      <c r="O194" s="20" t="s">
        <v>84</v>
      </c>
      <c r="P194" s="20" t="s">
        <v>84</v>
      </c>
      <c r="Q194" s="20"/>
      <c r="R194" s="20"/>
      <c r="S194" s="19"/>
      <c r="T194" s="20"/>
      <c r="U194" s="19"/>
      <c r="V194" s="22"/>
      <c r="W194" s="22"/>
      <c r="X194" s="20"/>
      <c r="AO194" s="25"/>
      <c r="AP194" s="20"/>
    </row>
    <row r="195" spans="1:42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84</v>
      </c>
      <c r="K195" s="20" t="s">
        <v>84</v>
      </c>
      <c r="L195" s="20"/>
      <c r="M195" s="20"/>
      <c r="N195" s="20" t="s">
        <v>84</v>
      </c>
      <c r="O195" s="20" t="s">
        <v>84</v>
      </c>
      <c r="P195" s="20" t="s">
        <v>84</v>
      </c>
      <c r="Q195" s="20"/>
      <c r="R195" s="20"/>
      <c r="S195" s="19"/>
      <c r="T195" s="20"/>
      <c r="U195" s="19"/>
      <c r="V195" s="22"/>
      <c r="W195" s="22"/>
      <c r="X195" s="20"/>
      <c r="AO195" s="25"/>
      <c r="AP195" s="20"/>
    </row>
    <row r="196" spans="1:42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84</v>
      </c>
      <c r="K196" s="20" t="s">
        <v>84</v>
      </c>
      <c r="L196" s="20"/>
      <c r="M196" s="20"/>
      <c r="N196" s="20" t="s">
        <v>84</v>
      </c>
      <c r="O196" s="20" t="s">
        <v>84</v>
      </c>
      <c r="P196" s="20" t="s">
        <v>84</v>
      </c>
      <c r="Q196" s="20"/>
      <c r="R196" s="20"/>
      <c r="S196" s="19"/>
      <c r="T196" s="20"/>
      <c r="U196" s="19"/>
      <c r="V196" s="22"/>
      <c r="W196" s="22"/>
      <c r="X196" s="20"/>
      <c r="AO196" s="25"/>
      <c r="AP196" s="20"/>
    </row>
    <row r="197" spans="1:42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84</v>
      </c>
      <c r="K197" s="20" t="s">
        <v>84</v>
      </c>
      <c r="L197" s="20"/>
      <c r="M197" s="20"/>
      <c r="N197" s="20" t="s">
        <v>84</v>
      </c>
      <c r="O197" s="20" t="s">
        <v>84</v>
      </c>
      <c r="P197" s="20" t="s">
        <v>84</v>
      </c>
      <c r="Q197" s="20"/>
      <c r="R197" s="20"/>
      <c r="S197" s="19"/>
      <c r="T197" s="20"/>
      <c r="U197" s="19"/>
      <c r="V197" s="22"/>
      <c r="W197" s="22"/>
      <c r="X197" s="20"/>
      <c r="AO197" s="25"/>
      <c r="AP197" s="20"/>
    </row>
    <row r="198" spans="1:42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84</v>
      </c>
      <c r="K198" s="20" t="s">
        <v>84</v>
      </c>
      <c r="L198" s="20"/>
      <c r="M198" s="20"/>
      <c r="N198" s="20" t="s">
        <v>84</v>
      </c>
      <c r="O198" s="20" t="s">
        <v>84</v>
      </c>
      <c r="P198" s="20" t="s">
        <v>84</v>
      </c>
      <c r="Q198" s="20"/>
      <c r="R198" s="20"/>
      <c r="S198" s="19"/>
      <c r="T198" s="20"/>
      <c r="U198" s="19"/>
      <c r="V198" s="22"/>
      <c r="W198" s="22"/>
      <c r="X198" s="20"/>
      <c r="AO198" s="25"/>
      <c r="AP198" s="20"/>
    </row>
    <row r="199" spans="1:42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84</v>
      </c>
      <c r="K199" s="20" t="s">
        <v>84</v>
      </c>
      <c r="L199" s="20"/>
      <c r="M199" s="20"/>
      <c r="N199" s="20" t="s">
        <v>84</v>
      </c>
      <c r="O199" s="20" t="s">
        <v>84</v>
      </c>
      <c r="P199" s="20" t="s">
        <v>84</v>
      </c>
      <c r="Q199" s="20"/>
      <c r="R199" s="20"/>
      <c r="S199" s="19"/>
      <c r="T199" s="20"/>
      <c r="U199" s="19"/>
      <c r="V199" s="22"/>
      <c r="W199" s="22"/>
      <c r="X199" s="20"/>
      <c r="AO199" s="25"/>
      <c r="AP199" s="20"/>
    </row>
    <row r="200" spans="1:42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84</v>
      </c>
      <c r="K200" s="20" t="s">
        <v>84</v>
      </c>
      <c r="L200" s="20"/>
      <c r="M200" s="20"/>
      <c r="N200" s="20" t="s">
        <v>84</v>
      </c>
      <c r="O200" s="20" t="s">
        <v>84</v>
      </c>
      <c r="P200" s="20" t="s">
        <v>84</v>
      </c>
      <c r="Q200" s="20"/>
      <c r="R200" s="20"/>
      <c r="S200" s="19"/>
      <c r="T200" s="20"/>
      <c r="U200" s="19"/>
      <c r="V200" s="22"/>
      <c r="W200" s="22"/>
      <c r="X200" s="20"/>
      <c r="AO200" s="25"/>
      <c r="AP200" s="20"/>
    </row>
    <row r="201" spans="1:42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84</v>
      </c>
      <c r="K201" s="20" t="s">
        <v>84</v>
      </c>
      <c r="L201" s="20"/>
      <c r="M201" s="20"/>
      <c r="N201" s="20" t="s">
        <v>84</v>
      </c>
      <c r="O201" s="20" t="s">
        <v>84</v>
      </c>
      <c r="P201" s="20" t="s">
        <v>84</v>
      </c>
      <c r="Q201" s="20"/>
      <c r="R201" s="20"/>
      <c r="S201" s="19"/>
      <c r="T201" s="20"/>
      <c r="U201" s="19"/>
      <c r="V201" s="22"/>
      <c r="W201" s="22"/>
      <c r="X201" s="20"/>
      <c r="AO201" s="25"/>
      <c r="AP201" s="20"/>
    </row>
    <row r="202" spans="1:42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84</v>
      </c>
      <c r="K202" s="20" t="s">
        <v>84</v>
      </c>
      <c r="L202" s="20"/>
      <c r="M202" s="20"/>
      <c r="N202" s="20" t="s">
        <v>84</v>
      </c>
      <c r="O202" s="20" t="s">
        <v>84</v>
      </c>
      <c r="P202" s="20" t="s">
        <v>84</v>
      </c>
      <c r="Q202" s="20"/>
      <c r="R202" s="20"/>
      <c r="S202" s="19"/>
      <c r="T202" s="20"/>
      <c r="U202" s="19"/>
      <c r="V202" s="22"/>
      <c r="W202" s="22"/>
      <c r="X202" s="20"/>
      <c r="AO202" s="25"/>
      <c r="AP202" s="20"/>
    </row>
    <row r="203" spans="1:42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84</v>
      </c>
      <c r="K203" s="20" t="s">
        <v>84</v>
      </c>
      <c r="L203" s="20"/>
      <c r="M203" s="20"/>
      <c r="N203" s="20" t="s">
        <v>84</v>
      </c>
      <c r="O203" s="20" t="s">
        <v>84</v>
      </c>
      <c r="P203" s="20" t="s">
        <v>84</v>
      </c>
      <c r="Q203" s="20"/>
      <c r="R203" s="20"/>
      <c r="S203" s="19"/>
      <c r="T203" s="20"/>
      <c r="U203" s="19"/>
      <c r="V203" s="22"/>
      <c r="W203" s="22"/>
      <c r="X203" s="20"/>
      <c r="AO203" s="25"/>
      <c r="AP203" s="20"/>
    </row>
    <row r="204" spans="1:42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84</v>
      </c>
      <c r="K204" s="20" t="s">
        <v>84</v>
      </c>
      <c r="L204" s="20"/>
      <c r="M204" s="20"/>
      <c r="N204" s="20" t="s">
        <v>84</v>
      </c>
      <c r="O204" s="20" t="s">
        <v>84</v>
      </c>
      <c r="P204" s="20" t="s">
        <v>84</v>
      </c>
      <c r="Q204" s="20"/>
      <c r="R204" s="20"/>
      <c r="S204" s="19"/>
      <c r="T204" s="20"/>
      <c r="U204" s="19"/>
      <c r="V204" s="22"/>
      <c r="W204" s="22"/>
      <c r="X204" s="20"/>
      <c r="AO204" s="25"/>
      <c r="AP204" s="20"/>
    </row>
    <row r="205" spans="1:42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84</v>
      </c>
      <c r="K205" s="20" t="s">
        <v>84</v>
      </c>
      <c r="L205" s="20"/>
      <c r="M205" s="20"/>
      <c r="N205" s="20" t="s">
        <v>84</v>
      </c>
      <c r="O205" s="20" t="s">
        <v>84</v>
      </c>
      <c r="P205" s="20" t="s">
        <v>84</v>
      </c>
      <c r="Q205" s="20"/>
      <c r="R205" s="20"/>
      <c r="S205" s="19"/>
      <c r="T205" s="20"/>
      <c r="U205" s="19"/>
      <c r="V205" s="22"/>
      <c r="W205" s="22"/>
      <c r="X205" s="20"/>
      <c r="AO205" s="25"/>
      <c r="AP205" s="20"/>
    </row>
    <row r="206" spans="1:42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84</v>
      </c>
      <c r="K206" s="20" t="s">
        <v>84</v>
      </c>
      <c r="L206" s="20"/>
      <c r="M206" s="20"/>
      <c r="N206" s="20" t="s">
        <v>84</v>
      </c>
      <c r="O206" s="20" t="s">
        <v>84</v>
      </c>
      <c r="P206" s="20" t="s">
        <v>84</v>
      </c>
      <c r="Q206" s="20"/>
      <c r="R206" s="20"/>
      <c r="S206" s="19"/>
      <c r="T206" s="20"/>
      <c r="U206" s="19"/>
      <c r="V206" s="22"/>
      <c r="W206" s="22"/>
      <c r="X206" s="20"/>
      <c r="AO206" s="25"/>
      <c r="AP206" s="20"/>
    </row>
    <row r="207" spans="1:42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84</v>
      </c>
      <c r="K207" s="20" t="s">
        <v>84</v>
      </c>
      <c r="L207" s="20"/>
      <c r="M207" s="20"/>
      <c r="N207" s="20" t="s">
        <v>84</v>
      </c>
      <c r="O207" s="20" t="s">
        <v>84</v>
      </c>
      <c r="P207" s="20" t="s">
        <v>84</v>
      </c>
      <c r="Q207" s="20"/>
      <c r="R207" s="20"/>
      <c r="S207" s="19"/>
      <c r="T207" s="20"/>
      <c r="U207" s="19"/>
      <c r="V207" s="22"/>
      <c r="W207" s="22"/>
      <c r="X207" s="20"/>
      <c r="AO207" s="25"/>
      <c r="AP207" s="20"/>
    </row>
    <row r="208" spans="1:42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84</v>
      </c>
      <c r="K208" s="20" t="s">
        <v>84</v>
      </c>
      <c r="L208" s="20"/>
      <c r="M208" s="20"/>
      <c r="N208" s="20" t="s">
        <v>84</v>
      </c>
      <c r="O208" s="20" t="s">
        <v>84</v>
      </c>
      <c r="P208" s="20" t="s">
        <v>84</v>
      </c>
      <c r="Q208" s="20"/>
      <c r="R208" s="20"/>
      <c r="S208" s="19"/>
      <c r="T208" s="20"/>
      <c r="U208" s="19"/>
      <c r="V208" s="22"/>
      <c r="W208" s="22"/>
      <c r="X208" s="20"/>
      <c r="AO208" s="25"/>
      <c r="AP208" s="20"/>
    </row>
    <row r="209" spans="1:42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84</v>
      </c>
      <c r="K209" s="20" t="s">
        <v>84</v>
      </c>
      <c r="L209" s="20"/>
      <c r="M209" s="20"/>
      <c r="N209" s="20" t="s">
        <v>84</v>
      </c>
      <c r="O209" s="20" t="s">
        <v>84</v>
      </c>
      <c r="P209" s="20" t="s">
        <v>84</v>
      </c>
      <c r="Q209" s="20"/>
      <c r="R209" s="20"/>
      <c r="S209" s="19"/>
      <c r="T209" s="20"/>
      <c r="U209" s="19"/>
      <c r="V209" s="22"/>
      <c r="W209" s="22"/>
      <c r="X209" s="20"/>
      <c r="AO209" s="25"/>
      <c r="AP209" s="20"/>
    </row>
    <row r="210" spans="1:42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84</v>
      </c>
      <c r="K210" s="20" t="s">
        <v>84</v>
      </c>
      <c r="L210" s="20"/>
      <c r="M210" s="20"/>
      <c r="N210" s="20" t="s">
        <v>84</v>
      </c>
      <c r="O210" s="20" t="s">
        <v>84</v>
      </c>
      <c r="P210" s="20" t="s">
        <v>84</v>
      </c>
      <c r="Q210" s="20"/>
      <c r="R210" s="20"/>
      <c r="S210" s="19"/>
      <c r="T210" s="20"/>
      <c r="U210" s="19"/>
      <c r="V210" s="22"/>
      <c r="W210" s="22"/>
      <c r="X210" s="20"/>
      <c r="AO210" s="25"/>
      <c r="AP210" s="20"/>
    </row>
    <row r="211" spans="1:42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84</v>
      </c>
      <c r="K211" s="20" t="s">
        <v>84</v>
      </c>
      <c r="L211" s="20"/>
      <c r="M211" s="20"/>
      <c r="N211" s="20" t="s">
        <v>84</v>
      </c>
      <c r="O211" s="20" t="s">
        <v>84</v>
      </c>
      <c r="P211" s="20" t="s">
        <v>84</v>
      </c>
      <c r="Q211" s="20"/>
      <c r="R211" s="20"/>
      <c r="S211" s="19"/>
      <c r="T211" s="20"/>
      <c r="U211" s="19"/>
      <c r="V211" s="22"/>
      <c r="W211" s="22"/>
      <c r="X211" s="20"/>
      <c r="AO211" s="25"/>
      <c r="AP211" s="20"/>
    </row>
    <row r="212" spans="1:42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84</v>
      </c>
      <c r="K212" s="20" t="s">
        <v>84</v>
      </c>
      <c r="L212" s="20"/>
      <c r="M212" s="20"/>
      <c r="N212" s="20" t="s">
        <v>84</v>
      </c>
      <c r="O212" s="20" t="s">
        <v>84</v>
      </c>
      <c r="P212" s="20" t="s">
        <v>84</v>
      </c>
      <c r="Q212" s="20"/>
      <c r="R212" s="20"/>
      <c r="S212" s="19"/>
      <c r="T212" s="20"/>
      <c r="U212" s="19"/>
      <c r="V212" s="22"/>
      <c r="W212" s="22"/>
      <c r="X212" s="20"/>
      <c r="AO212" s="25"/>
      <c r="AP212" s="20"/>
    </row>
    <row r="213" spans="1:42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84</v>
      </c>
      <c r="K213" s="20" t="s">
        <v>84</v>
      </c>
      <c r="L213" s="20"/>
      <c r="M213" s="20"/>
      <c r="N213" s="20" t="s">
        <v>84</v>
      </c>
      <c r="O213" s="20" t="s">
        <v>84</v>
      </c>
      <c r="P213" s="20" t="s">
        <v>84</v>
      </c>
      <c r="Q213" s="20"/>
      <c r="R213" s="20"/>
      <c r="S213" s="19"/>
      <c r="T213" s="20"/>
      <c r="U213" s="19"/>
      <c r="V213" s="22"/>
      <c r="W213" s="22"/>
      <c r="X213" s="20"/>
      <c r="AO213" s="25"/>
      <c r="AP213" s="20"/>
    </row>
    <row r="214" spans="1:42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84</v>
      </c>
      <c r="K214" s="20" t="s">
        <v>84</v>
      </c>
      <c r="L214" s="20"/>
      <c r="M214" s="20"/>
      <c r="N214" s="20" t="s">
        <v>84</v>
      </c>
      <c r="O214" s="20" t="s">
        <v>84</v>
      </c>
      <c r="P214" s="20" t="s">
        <v>84</v>
      </c>
      <c r="Q214" s="20"/>
      <c r="R214" s="20"/>
      <c r="S214" s="19"/>
      <c r="T214" s="20"/>
      <c r="U214" s="19"/>
      <c r="V214" s="22"/>
      <c r="W214" s="22"/>
      <c r="X214" s="20"/>
      <c r="AO214" s="25"/>
      <c r="AP214" s="20"/>
    </row>
    <row r="215" spans="1:42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84</v>
      </c>
      <c r="K215" s="20" t="s">
        <v>84</v>
      </c>
      <c r="L215" s="20"/>
      <c r="M215" s="20"/>
      <c r="N215" s="20" t="s">
        <v>84</v>
      </c>
      <c r="O215" s="20" t="s">
        <v>84</v>
      </c>
      <c r="P215" s="20" t="s">
        <v>84</v>
      </c>
      <c r="Q215" s="20"/>
      <c r="R215" s="20"/>
      <c r="S215" s="19"/>
      <c r="T215" s="20"/>
      <c r="U215" s="19"/>
      <c r="V215" s="22"/>
      <c r="W215" s="22"/>
      <c r="X215" s="20"/>
      <c r="AO215" s="25"/>
      <c r="AP215" s="20"/>
    </row>
    <row r="216" spans="1:42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84</v>
      </c>
      <c r="K216" s="20" t="s">
        <v>84</v>
      </c>
      <c r="L216" s="20"/>
      <c r="M216" s="20"/>
      <c r="N216" s="20" t="s">
        <v>84</v>
      </c>
      <c r="O216" s="20" t="s">
        <v>84</v>
      </c>
      <c r="P216" s="20" t="s">
        <v>84</v>
      </c>
      <c r="Q216" s="20"/>
      <c r="R216" s="20"/>
      <c r="S216" s="19"/>
      <c r="T216" s="20"/>
      <c r="U216" s="19"/>
      <c r="V216" s="22"/>
      <c r="W216" s="22"/>
      <c r="X216" s="20"/>
      <c r="AO216" s="25"/>
      <c r="AP216" s="20"/>
    </row>
    <row r="217" spans="1:42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84</v>
      </c>
      <c r="K217" s="20" t="s">
        <v>84</v>
      </c>
      <c r="L217" s="20"/>
      <c r="M217" s="20"/>
      <c r="N217" s="20" t="s">
        <v>84</v>
      </c>
      <c r="O217" s="20" t="s">
        <v>84</v>
      </c>
      <c r="P217" s="20" t="s">
        <v>84</v>
      </c>
      <c r="Q217" s="20"/>
      <c r="R217" s="20"/>
      <c r="S217" s="19"/>
      <c r="T217" s="20"/>
      <c r="U217" s="19"/>
      <c r="V217" s="22"/>
      <c r="W217" s="22"/>
      <c r="X217" s="20"/>
      <c r="AO217" s="25"/>
      <c r="AP217" s="20"/>
    </row>
    <row r="218" spans="1:42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84</v>
      </c>
      <c r="K218" s="20" t="s">
        <v>84</v>
      </c>
      <c r="L218" s="20"/>
      <c r="M218" s="20"/>
      <c r="N218" s="20" t="s">
        <v>84</v>
      </c>
      <c r="O218" s="20" t="s">
        <v>84</v>
      </c>
      <c r="P218" s="20" t="s">
        <v>84</v>
      </c>
      <c r="Q218" s="20"/>
      <c r="R218" s="20"/>
      <c r="S218" s="19"/>
      <c r="T218" s="20"/>
      <c r="U218" s="19"/>
      <c r="V218" s="22"/>
      <c r="W218" s="22"/>
      <c r="X218" s="20"/>
      <c r="AO218" s="25"/>
      <c r="AP218" s="20"/>
    </row>
    <row r="219" spans="1:42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84</v>
      </c>
      <c r="K219" s="20" t="s">
        <v>84</v>
      </c>
      <c r="L219" s="20"/>
      <c r="M219" s="20"/>
      <c r="N219" s="20" t="s">
        <v>84</v>
      </c>
      <c r="O219" s="20" t="s">
        <v>84</v>
      </c>
      <c r="P219" s="20" t="s">
        <v>84</v>
      </c>
      <c r="Q219" s="20"/>
      <c r="R219" s="20"/>
      <c r="S219" s="19"/>
      <c r="T219" s="20"/>
      <c r="U219" s="19"/>
      <c r="V219" s="22"/>
      <c r="W219" s="22"/>
      <c r="X219" s="20"/>
      <c r="AO219" s="25"/>
      <c r="AP219" s="20"/>
    </row>
    <row r="220" spans="1:42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84</v>
      </c>
      <c r="K220" s="20" t="s">
        <v>84</v>
      </c>
      <c r="L220" s="20"/>
      <c r="M220" s="20"/>
      <c r="N220" s="20" t="s">
        <v>84</v>
      </c>
      <c r="O220" s="20" t="s">
        <v>84</v>
      </c>
      <c r="P220" s="20" t="s">
        <v>84</v>
      </c>
      <c r="Q220" s="20"/>
      <c r="R220" s="20"/>
      <c r="S220" s="19"/>
      <c r="T220" s="20"/>
      <c r="U220" s="19"/>
      <c r="V220" s="22"/>
      <c r="W220" s="22"/>
      <c r="X220" s="20"/>
      <c r="AO220" s="25"/>
      <c r="AP220" s="20"/>
    </row>
    <row r="221" spans="1:42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84</v>
      </c>
      <c r="K221" s="20" t="s">
        <v>84</v>
      </c>
      <c r="L221" s="20"/>
      <c r="M221" s="20"/>
      <c r="N221" s="20" t="s">
        <v>84</v>
      </c>
      <c r="O221" s="20" t="s">
        <v>84</v>
      </c>
      <c r="P221" s="20" t="s">
        <v>84</v>
      </c>
      <c r="Q221" s="20"/>
      <c r="R221" s="20"/>
      <c r="S221" s="19"/>
      <c r="T221" s="20"/>
      <c r="U221" s="19"/>
      <c r="V221" s="22"/>
      <c r="W221" s="22"/>
      <c r="X221" s="20"/>
      <c r="AO221" s="25"/>
      <c r="AP221" s="20"/>
    </row>
    <row r="222" spans="1:42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84</v>
      </c>
      <c r="K222" s="20" t="s">
        <v>84</v>
      </c>
      <c r="L222" s="20"/>
      <c r="M222" s="20"/>
      <c r="N222" s="20" t="s">
        <v>84</v>
      </c>
      <c r="O222" s="20" t="s">
        <v>84</v>
      </c>
      <c r="P222" s="20" t="s">
        <v>84</v>
      </c>
      <c r="Q222" s="20"/>
      <c r="R222" s="20"/>
      <c r="S222" s="19"/>
      <c r="T222" s="20"/>
      <c r="U222" s="19"/>
      <c r="V222" s="22"/>
      <c r="W222" s="22"/>
      <c r="X222" s="20"/>
      <c r="AO222" s="25"/>
      <c r="AP222" s="20"/>
    </row>
    <row r="223" spans="1:42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84</v>
      </c>
      <c r="K223" s="20" t="s">
        <v>84</v>
      </c>
      <c r="L223" s="20"/>
      <c r="M223" s="20"/>
      <c r="N223" s="20" t="s">
        <v>84</v>
      </c>
      <c r="O223" s="20" t="s">
        <v>84</v>
      </c>
      <c r="P223" s="20" t="s">
        <v>84</v>
      </c>
      <c r="Q223" s="20"/>
      <c r="R223" s="20"/>
      <c r="S223" s="19"/>
      <c r="T223" s="20"/>
      <c r="U223" s="19"/>
      <c r="V223" s="22"/>
      <c r="W223" s="22"/>
      <c r="X223" s="20"/>
      <c r="AO223" s="25"/>
      <c r="AP223" s="20"/>
    </row>
    <row r="224" spans="1:42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84</v>
      </c>
      <c r="K224" s="20" t="s">
        <v>84</v>
      </c>
      <c r="L224" s="20"/>
      <c r="M224" s="20"/>
      <c r="N224" s="20" t="s">
        <v>84</v>
      </c>
      <c r="O224" s="20" t="s">
        <v>84</v>
      </c>
      <c r="P224" s="20" t="s">
        <v>84</v>
      </c>
      <c r="Q224" s="20"/>
      <c r="R224" s="20"/>
      <c r="S224" s="19"/>
      <c r="T224" s="20"/>
      <c r="U224" s="19"/>
      <c r="V224" s="22"/>
      <c r="W224" s="22"/>
      <c r="X224" s="20"/>
      <c r="AO224" s="25"/>
      <c r="AP224" s="20"/>
    </row>
    <row r="225" spans="1:42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84</v>
      </c>
      <c r="K225" s="20" t="s">
        <v>84</v>
      </c>
      <c r="L225" s="20"/>
      <c r="M225" s="20"/>
      <c r="N225" s="20" t="s">
        <v>84</v>
      </c>
      <c r="O225" s="20" t="s">
        <v>84</v>
      </c>
      <c r="P225" s="20" t="s">
        <v>84</v>
      </c>
      <c r="Q225" s="20"/>
      <c r="R225" s="20"/>
      <c r="S225" s="19"/>
      <c r="T225" s="20"/>
      <c r="U225" s="19"/>
      <c r="V225" s="22"/>
      <c r="W225" s="22"/>
      <c r="X225" s="20"/>
      <c r="AO225" s="25"/>
      <c r="AP225" s="20"/>
    </row>
    <row r="226" spans="1:42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84</v>
      </c>
      <c r="K226" s="20" t="s">
        <v>84</v>
      </c>
      <c r="L226" s="20"/>
      <c r="M226" s="20"/>
      <c r="N226" s="20" t="s">
        <v>84</v>
      </c>
      <c r="O226" s="20" t="s">
        <v>84</v>
      </c>
      <c r="P226" s="20" t="s">
        <v>84</v>
      </c>
      <c r="Q226" s="20"/>
      <c r="R226" s="20"/>
      <c r="S226" s="19"/>
      <c r="T226" s="20"/>
      <c r="U226" s="19"/>
      <c r="V226" s="22"/>
      <c r="W226" s="22"/>
      <c r="X226" s="20"/>
      <c r="AO226" s="25"/>
      <c r="AP226" s="20"/>
    </row>
    <row r="227" spans="1:42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84</v>
      </c>
      <c r="K227" s="20" t="s">
        <v>84</v>
      </c>
      <c r="L227" s="20"/>
      <c r="M227" s="20"/>
      <c r="N227" s="20" t="s">
        <v>84</v>
      </c>
      <c r="O227" s="20" t="s">
        <v>84</v>
      </c>
      <c r="P227" s="20" t="s">
        <v>84</v>
      </c>
      <c r="Q227" s="20"/>
      <c r="R227" s="20"/>
      <c r="S227" s="19"/>
      <c r="T227" s="20"/>
      <c r="U227" s="19"/>
      <c r="V227" s="22"/>
      <c r="W227" s="22"/>
      <c r="X227" s="20"/>
      <c r="AO227" s="25"/>
      <c r="AP227" s="20"/>
    </row>
    <row r="228" spans="1:42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84</v>
      </c>
      <c r="K228" s="20" t="s">
        <v>84</v>
      </c>
      <c r="L228" s="20"/>
      <c r="M228" s="20"/>
      <c r="N228" s="20" t="s">
        <v>84</v>
      </c>
      <c r="O228" s="20" t="s">
        <v>84</v>
      </c>
      <c r="P228" s="20" t="s">
        <v>84</v>
      </c>
      <c r="Q228" s="20"/>
      <c r="R228" s="20"/>
      <c r="S228" s="19"/>
      <c r="T228" s="20"/>
      <c r="U228" s="19"/>
      <c r="V228" s="22"/>
      <c r="W228" s="22"/>
      <c r="X228" s="20"/>
      <c r="AO228" s="25"/>
      <c r="AP228" s="20"/>
    </row>
    <row r="229" spans="1:42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84</v>
      </c>
      <c r="K229" s="20" t="s">
        <v>84</v>
      </c>
      <c r="L229" s="20"/>
      <c r="M229" s="20"/>
      <c r="N229" s="20" t="s">
        <v>84</v>
      </c>
      <c r="O229" s="20" t="s">
        <v>84</v>
      </c>
      <c r="P229" s="20" t="s">
        <v>84</v>
      </c>
      <c r="Q229" s="20"/>
      <c r="R229" s="20"/>
      <c r="S229" s="19"/>
      <c r="T229" s="20"/>
      <c r="U229" s="19"/>
      <c r="V229" s="22"/>
      <c r="W229" s="22"/>
      <c r="X229" s="20"/>
      <c r="AO229" s="25"/>
      <c r="AP229" s="20"/>
    </row>
    <row r="230" spans="1:42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84</v>
      </c>
      <c r="K230" s="20" t="s">
        <v>84</v>
      </c>
      <c r="L230" s="20"/>
      <c r="M230" s="20"/>
      <c r="N230" s="20" t="s">
        <v>84</v>
      </c>
      <c r="O230" s="20" t="s">
        <v>84</v>
      </c>
      <c r="P230" s="20" t="s">
        <v>84</v>
      </c>
      <c r="Q230" s="20"/>
      <c r="R230" s="20"/>
      <c r="S230" s="19"/>
      <c r="T230" s="20"/>
      <c r="U230" s="19"/>
      <c r="V230" s="22"/>
      <c r="W230" s="22"/>
      <c r="X230" s="20"/>
      <c r="AO230" s="25"/>
      <c r="AP230" s="20"/>
    </row>
    <row r="231" spans="1:42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84</v>
      </c>
      <c r="K231" s="20" t="s">
        <v>84</v>
      </c>
      <c r="L231" s="20"/>
      <c r="M231" s="20"/>
      <c r="N231" s="20" t="s">
        <v>84</v>
      </c>
      <c r="O231" s="20" t="s">
        <v>84</v>
      </c>
      <c r="P231" s="20" t="s">
        <v>84</v>
      </c>
      <c r="Q231" s="20"/>
      <c r="R231" s="20"/>
      <c r="S231" s="19"/>
      <c r="T231" s="20"/>
      <c r="U231" s="19"/>
      <c r="V231" s="22"/>
      <c r="W231" s="22"/>
      <c r="X231" s="20"/>
      <c r="AO231" s="25"/>
      <c r="AP231" s="20"/>
    </row>
    <row r="232" spans="1:42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84</v>
      </c>
      <c r="K232" s="20" t="s">
        <v>84</v>
      </c>
      <c r="L232" s="20"/>
      <c r="M232" s="20"/>
      <c r="N232" s="20" t="s">
        <v>84</v>
      </c>
      <c r="O232" s="20" t="s">
        <v>84</v>
      </c>
      <c r="P232" s="20" t="s">
        <v>84</v>
      </c>
      <c r="Q232" s="20"/>
      <c r="R232" s="20"/>
      <c r="S232" s="19"/>
      <c r="T232" s="20"/>
      <c r="U232" s="19"/>
      <c r="V232" s="22"/>
      <c r="W232" s="22"/>
      <c r="X232" s="20"/>
      <c r="AO232" s="25"/>
      <c r="AP232" s="20"/>
    </row>
    <row r="233" spans="1:42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84</v>
      </c>
      <c r="K233" s="20" t="s">
        <v>84</v>
      </c>
      <c r="L233" s="20"/>
      <c r="M233" s="20"/>
      <c r="N233" s="20" t="s">
        <v>84</v>
      </c>
      <c r="O233" s="20" t="s">
        <v>84</v>
      </c>
      <c r="P233" s="20" t="s">
        <v>84</v>
      </c>
      <c r="Q233" s="20"/>
      <c r="R233" s="20"/>
      <c r="S233" s="19"/>
      <c r="T233" s="20"/>
      <c r="U233" s="19"/>
      <c r="V233" s="22"/>
      <c r="W233" s="22"/>
      <c r="X233" s="20"/>
      <c r="AO233" s="25"/>
      <c r="AP233" s="20"/>
    </row>
    <row r="234" spans="1:42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84</v>
      </c>
      <c r="K234" s="20" t="s">
        <v>84</v>
      </c>
      <c r="L234" s="20"/>
      <c r="M234" s="20"/>
      <c r="N234" s="20" t="s">
        <v>84</v>
      </c>
      <c r="O234" s="20" t="s">
        <v>84</v>
      </c>
      <c r="P234" s="20" t="s">
        <v>84</v>
      </c>
      <c r="Q234" s="20"/>
      <c r="R234" s="20"/>
      <c r="S234" s="19"/>
      <c r="T234" s="20"/>
      <c r="U234" s="19"/>
      <c r="V234" s="22"/>
      <c r="W234" s="22"/>
      <c r="X234" s="20"/>
      <c r="AO234" s="25"/>
      <c r="AP234" s="20"/>
    </row>
    <row r="235" spans="1:42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84</v>
      </c>
      <c r="K235" s="20" t="s">
        <v>84</v>
      </c>
      <c r="L235" s="20"/>
      <c r="M235" s="20"/>
      <c r="N235" s="20" t="s">
        <v>84</v>
      </c>
      <c r="O235" s="20" t="s">
        <v>84</v>
      </c>
      <c r="P235" s="20" t="s">
        <v>84</v>
      </c>
      <c r="Q235" s="20"/>
      <c r="R235" s="20"/>
      <c r="S235" s="19"/>
      <c r="T235" s="20"/>
      <c r="U235" s="19"/>
      <c r="V235" s="22"/>
      <c r="W235" s="22"/>
      <c r="X235" s="20"/>
      <c r="AO235" s="25"/>
      <c r="AP235" s="20"/>
    </row>
    <row r="236" spans="1:42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84</v>
      </c>
      <c r="K236" s="20" t="s">
        <v>84</v>
      </c>
      <c r="L236" s="20"/>
      <c r="M236" s="20"/>
      <c r="N236" s="20" t="s">
        <v>84</v>
      </c>
      <c r="O236" s="20" t="s">
        <v>84</v>
      </c>
      <c r="P236" s="20" t="s">
        <v>84</v>
      </c>
      <c r="Q236" s="20"/>
      <c r="R236" s="20"/>
      <c r="S236" s="19"/>
      <c r="T236" s="20"/>
      <c r="U236" s="19"/>
      <c r="V236" s="22"/>
      <c r="W236" s="22"/>
      <c r="X236" s="20"/>
      <c r="AO236" s="25"/>
      <c r="AP236" s="20"/>
    </row>
    <row r="237" spans="1:42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84</v>
      </c>
      <c r="K237" s="20" t="s">
        <v>84</v>
      </c>
      <c r="L237" s="20"/>
      <c r="M237" s="20"/>
      <c r="N237" s="20" t="s">
        <v>84</v>
      </c>
      <c r="O237" s="20" t="s">
        <v>84</v>
      </c>
      <c r="P237" s="20" t="s">
        <v>84</v>
      </c>
      <c r="Q237" s="20"/>
      <c r="R237" s="20"/>
      <c r="S237" s="19"/>
      <c r="T237" s="20"/>
      <c r="U237" s="19"/>
      <c r="V237" s="22"/>
      <c r="W237" s="22"/>
      <c r="X237" s="20"/>
      <c r="AO237" s="25"/>
      <c r="AP237" s="20"/>
    </row>
    <row r="238" spans="1:42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84</v>
      </c>
      <c r="K238" s="20" t="s">
        <v>84</v>
      </c>
      <c r="L238" s="20"/>
      <c r="M238" s="20"/>
      <c r="N238" s="20" t="s">
        <v>84</v>
      </c>
      <c r="O238" s="20" t="s">
        <v>84</v>
      </c>
      <c r="P238" s="20" t="s">
        <v>84</v>
      </c>
      <c r="Q238" s="20"/>
      <c r="R238" s="20"/>
      <c r="S238" s="19"/>
      <c r="T238" s="20"/>
      <c r="U238" s="19"/>
      <c r="V238" s="22"/>
      <c r="W238" s="22"/>
      <c r="X238" s="20"/>
      <c r="AO238" s="25"/>
      <c r="AP238" s="20"/>
    </row>
    <row r="239" spans="1:42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84</v>
      </c>
      <c r="K239" s="20" t="s">
        <v>84</v>
      </c>
      <c r="L239" s="20"/>
      <c r="M239" s="20"/>
      <c r="N239" s="20" t="s">
        <v>84</v>
      </c>
      <c r="O239" s="20" t="s">
        <v>84</v>
      </c>
      <c r="P239" s="20" t="s">
        <v>84</v>
      </c>
      <c r="Q239" s="20"/>
      <c r="R239" s="20"/>
      <c r="S239" s="19"/>
      <c r="T239" s="20"/>
      <c r="U239" s="19"/>
      <c r="V239" s="22"/>
      <c r="W239" s="22"/>
      <c r="X239" s="20"/>
      <c r="AO239" s="25"/>
      <c r="AP239" s="20"/>
    </row>
    <row r="240" spans="1:42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84</v>
      </c>
      <c r="K240" s="20" t="s">
        <v>84</v>
      </c>
      <c r="L240" s="20"/>
      <c r="M240" s="20"/>
      <c r="N240" s="20" t="s">
        <v>84</v>
      </c>
      <c r="O240" s="20" t="s">
        <v>84</v>
      </c>
      <c r="P240" s="20" t="s">
        <v>84</v>
      </c>
      <c r="Q240" s="20"/>
      <c r="R240" s="20"/>
      <c r="S240" s="19"/>
      <c r="T240" s="20"/>
      <c r="U240" s="19"/>
      <c r="V240" s="22"/>
      <c r="W240" s="22"/>
      <c r="X240" s="20"/>
      <c r="AO240" s="25"/>
      <c r="AP240" s="20"/>
    </row>
    <row r="241" spans="1:42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84</v>
      </c>
      <c r="K241" s="20" t="s">
        <v>84</v>
      </c>
      <c r="L241" s="20"/>
      <c r="M241" s="20"/>
      <c r="N241" s="20" t="s">
        <v>84</v>
      </c>
      <c r="O241" s="20" t="s">
        <v>84</v>
      </c>
      <c r="P241" s="20" t="s">
        <v>84</v>
      </c>
      <c r="Q241" s="20"/>
      <c r="R241" s="20"/>
      <c r="S241" s="19"/>
      <c r="T241" s="20"/>
      <c r="U241" s="19"/>
      <c r="V241" s="22"/>
      <c r="W241" s="22"/>
      <c r="X241" s="20"/>
      <c r="AO241" s="25"/>
      <c r="AP241" s="20"/>
    </row>
    <row r="242" spans="1:42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84</v>
      </c>
      <c r="K242" s="20" t="s">
        <v>84</v>
      </c>
      <c r="L242" s="20"/>
      <c r="M242" s="20"/>
      <c r="N242" s="20" t="s">
        <v>84</v>
      </c>
      <c r="O242" s="20" t="s">
        <v>84</v>
      </c>
      <c r="P242" s="20" t="s">
        <v>84</v>
      </c>
      <c r="Q242" s="20"/>
      <c r="R242" s="20"/>
      <c r="S242" s="19"/>
      <c r="T242" s="20"/>
      <c r="U242" s="19"/>
      <c r="V242" s="22"/>
      <c r="W242" s="22"/>
      <c r="X242" s="20"/>
      <c r="AO242" s="25"/>
      <c r="AP242" s="20"/>
    </row>
    <row r="243" spans="1:42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84</v>
      </c>
      <c r="K243" s="20" t="s">
        <v>84</v>
      </c>
      <c r="L243" s="20"/>
      <c r="M243" s="20"/>
      <c r="N243" s="20" t="s">
        <v>84</v>
      </c>
      <c r="O243" s="20" t="s">
        <v>84</v>
      </c>
      <c r="P243" s="20" t="s">
        <v>84</v>
      </c>
      <c r="Q243" s="20"/>
      <c r="R243" s="20"/>
      <c r="S243" s="19"/>
      <c r="T243" s="20"/>
      <c r="U243" s="19"/>
      <c r="V243" s="22"/>
      <c r="W243" s="22"/>
      <c r="X243" s="20"/>
      <c r="AO243" s="25"/>
      <c r="AP243" s="20"/>
    </row>
    <row r="244" spans="1:42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84</v>
      </c>
      <c r="K244" s="20" t="s">
        <v>84</v>
      </c>
      <c r="L244" s="20"/>
      <c r="M244" s="20"/>
      <c r="N244" s="20" t="s">
        <v>84</v>
      </c>
      <c r="O244" s="20" t="s">
        <v>84</v>
      </c>
      <c r="P244" s="20" t="s">
        <v>84</v>
      </c>
      <c r="Q244" s="20"/>
      <c r="R244" s="20"/>
      <c r="S244" s="19"/>
      <c r="T244" s="20"/>
      <c r="U244" s="19"/>
      <c r="V244" s="22"/>
      <c r="W244" s="22"/>
      <c r="X244" s="20"/>
      <c r="AO244" s="25"/>
      <c r="AP244" s="20"/>
    </row>
    <row r="245" spans="1:42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84</v>
      </c>
      <c r="K245" s="20" t="s">
        <v>84</v>
      </c>
      <c r="L245" s="20"/>
      <c r="M245" s="20"/>
      <c r="N245" s="20" t="s">
        <v>84</v>
      </c>
      <c r="O245" s="20" t="s">
        <v>84</v>
      </c>
      <c r="P245" s="20" t="s">
        <v>84</v>
      </c>
      <c r="Q245" s="20"/>
      <c r="R245" s="20"/>
      <c r="S245" s="19"/>
      <c r="T245" s="20"/>
      <c r="U245" s="19"/>
      <c r="V245" s="22"/>
      <c r="W245" s="22"/>
      <c r="X245" s="20"/>
      <c r="AO245" s="25"/>
      <c r="AP245" s="20"/>
    </row>
    <row r="246" spans="1:42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84</v>
      </c>
      <c r="K246" s="20" t="s">
        <v>84</v>
      </c>
      <c r="L246" s="20"/>
      <c r="M246" s="20"/>
      <c r="N246" s="20" t="s">
        <v>84</v>
      </c>
      <c r="O246" s="20" t="s">
        <v>84</v>
      </c>
      <c r="P246" s="20" t="s">
        <v>84</v>
      </c>
      <c r="Q246" s="20"/>
      <c r="R246" s="20"/>
      <c r="S246" s="19"/>
      <c r="T246" s="20"/>
      <c r="U246" s="19"/>
      <c r="V246" s="22"/>
      <c r="W246" s="22"/>
      <c r="X246" s="20"/>
      <c r="AO246" s="25"/>
      <c r="AP246" s="20"/>
    </row>
    <row r="247" spans="1:42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84</v>
      </c>
      <c r="K247" s="20" t="s">
        <v>84</v>
      </c>
      <c r="L247" s="20"/>
      <c r="M247" s="20"/>
      <c r="N247" s="20" t="s">
        <v>84</v>
      </c>
      <c r="O247" s="20" t="s">
        <v>84</v>
      </c>
      <c r="P247" s="20" t="s">
        <v>84</v>
      </c>
      <c r="Q247" s="20"/>
      <c r="R247" s="20"/>
      <c r="S247" s="19"/>
      <c r="T247" s="20"/>
      <c r="U247" s="19"/>
      <c r="V247" s="22"/>
      <c r="W247" s="22"/>
      <c r="X247" s="20"/>
      <c r="AO247" s="25"/>
      <c r="AP247" s="20"/>
    </row>
    <row r="248" spans="1:42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84</v>
      </c>
      <c r="K248" s="20" t="s">
        <v>84</v>
      </c>
      <c r="L248" s="20"/>
      <c r="M248" s="20"/>
      <c r="N248" s="20" t="s">
        <v>84</v>
      </c>
      <c r="O248" s="20" t="s">
        <v>84</v>
      </c>
      <c r="P248" s="20" t="s">
        <v>84</v>
      </c>
      <c r="Q248" s="20"/>
      <c r="R248" s="20"/>
      <c r="S248" s="19"/>
      <c r="T248" s="20"/>
      <c r="U248" s="19"/>
      <c r="V248" s="22"/>
      <c r="W248" s="22"/>
      <c r="X248" s="20"/>
      <c r="AO248" s="25"/>
      <c r="AP248" s="20"/>
    </row>
    <row r="249" spans="1:42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84</v>
      </c>
      <c r="K249" s="20" t="s">
        <v>84</v>
      </c>
      <c r="L249" s="20"/>
      <c r="M249" s="20"/>
      <c r="N249" s="20" t="s">
        <v>84</v>
      </c>
      <c r="O249" s="20" t="s">
        <v>84</v>
      </c>
      <c r="P249" s="20" t="s">
        <v>84</v>
      </c>
      <c r="Q249" s="20"/>
      <c r="R249" s="20"/>
      <c r="S249" s="19"/>
      <c r="T249" s="20"/>
      <c r="U249" s="19"/>
      <c r="V249" s="22"/>
      <c r="W249" s="22"/>
      <c r="X249" s="20"/>
      <c r="AO249" s="25"/>
      <c r="AP249" s="20"/>
    </row>
    <row r="250" spans="1:42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84</v>
      </c>
      <c r="K250" s="20" t="s">
        <v>84</v>
      </c>
      <c r="L250" s="20"/>
      <c r="M250" s="20"/>
      <c r="N250" s="20" t="s">
        <v>84</v>
      </c>
      <c r="O250" s="20" t="s">
        <v>84</v>
      </c>
      <c r="P250" s="20" t="s">
        <v>84</v>
      </c>
      <c r="Q250" s="20"/>
      <c r="R250" s="20"/>
      <c r="S250" s="19"/>
      <c r="T250" s="20"/>
      <c r="U250" s="19"/>
      <c r="V250" s="22"/>
      <c r="W250" s="22"/>
      <c r="X250" s="20"/>
      <c r="AO250" s="25"/>
      <c r="AP250" s="20"/>
    </row>
    <row r="251" spans="1:42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84</v>
      </c>
      <c r="K251" s="20" t="s">
        <v>84</v>
      </c>
      <c r="L251" s="20"/>
      <c r="M251" s="20"/>
      <c r="N251" s="20" t="s">
        <v>84</v>
      </c>
      <c r="O251" s="20" t="s">
        <v>84</v>
      </c>
      <c r="P251" s="20" t="s">
        <v>84</v>
      </c>
      <c r="Q251" s="20"/>
      <c r="R251" s="20"/>
      <c r="S251" s="19"/>
      <c r="T251" s="20"/>
      <c r="U251" s="19"/>
      <c r="V251" s="22"/>
      <c r="W251" s="22"/>
      <c r="X251" s="20"/>
      <c r="AO251" s="25"/>
      <c r="AP251" s="20"/>
    </row>
    <row r="252" spans="1:42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84</v>
      </c>
      <c r="K252" s="20" t="s">
        <v>84</v>
      </c>
      <c r="L252" s="20"/>
      <c r="M252" s="20"/>
      <c r="N252" s="20" t="s">
        <v>84</v>
      </c>
      <c r="O252" s="20" t="s">
        <v>84</v>
      </c>
      <c r="P252" s="20" t="s">
        <v>84</v>
      </c>
      <c r="Q252" s="20"/>
      <c r="R252" s="20"/>
      <c r="S252" s="19"/>
      <c r="T252" s="20"/>
      <c r="U252" s="19"/>
      <c r="V252" s="22"/>
      <c r="W252" s="22"/>
      <c r="X252" s="20"/>
      <c r="AO252" s="25"/>
      <c r="AP252" s="20"/>
    </row>
    <row r="253" spans="1:42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84</v>
      </c>
      <c r="K253" s="20" t="s">
        <v>84</v>
      </c>
      <c r="L253" s="20"/>
      <c r="M253" s="20"/>
      <c r="N253" s="20" t="s">
        <v>84</v>
      </c>
      <c r="O253" s="20" t="s">
        <v>84</v>
      </c>
      <c r="P253" s="20" t="s">
        <v>84</v>
      </c>
      <c r="Q253" s="20"/>
      <c r="R253" s="20"/>
      <c r="S253" s="19"/>
      <c r="T253" s="20"/>
      <c r="U253" s="19"/>
      <c r="V253" s="22"/>
      <c r="W253" s="22"/>
      <c r="X253" s="20"/>
      <c r="AO253" s="25"/>
      <c r="AP253" s="20"/>
    </row>
    <row r="254" spans="1:42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84</v>
      </c>
      <c r="K254" s="20" t="s">
        <v>84</v>
      </c>
      <c r="L254" s="20"/>
      <c r="M254" s="20"/>
      <c r="N254" s="20" t="s">
        <v>84</v>
      </c>
      <c r="O254" s="20" t="s">
        <v>84</v>
      </c>
      <c r="P254" s="20" t="s">
        <v>84</v>
      </c>
      <c r="Q254" s="20"/>
      <c r="R254" s="20"/>
      <c r="S254" s="19"/>
      <c r="T254" s="20"/>
      <c r="U254" s="19"/>
      <c r="V254" s="22"/>
      <c r="W254" s="22"/>
      <c r="X254" s="20"/>
      <c r="AO254" s="25"/>
      <c r="AP254" s="20"/>
    </row>
    <row r="255" spans="1:42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84</v>
      </c>
      <c r="K255" s="20" t="s">
        <v>84</v>
      </c>
      <c r="L255" s="20"/>
      <c r="M255" s="20"/>
      <c r="N255" s="20" t="s">
        <v>84</v>
      </c>
      <c r="O255" s="20" t="s">
        <v>84</v>
      </c>
      <c r="P255" s="20" t="s">
        <v>84</v>
      </c>
      <c r="Q255" s="20"/>
      <c r="R255" s="20"/>
      <c r="S255" s="19"/>
      <c r="T255" s="20"/>
      <c r="U255" s="19"/>
      <c r="V255" s="22"/>
      <c r="W255" s="22"/>
      <c r="X255" s="20"/>
      <c r="AO255" s="25"/>
      <c r="AP255" s="20"/>
    </row>
    <row r="256" spans="1:42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84</v>
      </c>
      <c r="K256" s="20" t="s">
        <v>84</v>
      </c>
      <c r="L256" s="20"/>
      <c r="M256" s="20"/>
      <c r="N256" s="20" t="s">
        <v>84</v>
      </c>
      <c r="O256" s="20" t="s">
        <v>84</v>
      </c>
      <c r="P256" s="20" t="s">
        <v>84</v>
      </c>
      <c r="Q256" s="20"/>
      <c r="R256" s="20"/>
      <c r="S256" s="19"/>
      <c r="T256" s="20"/>
      <c r="U256" s="19"/>
      <c r="V256" s="22"/>
      <c r="W256" s="22"/>
      <c r="X256" s="20"/>
      <c r="AO256" s="25"/>
      <c r="AP256" s="20"/>
    </row>
    <row r="257" spans="1:42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84</v>
      </c>
      <c r="K257" s="20" t="s">
        <v>84</v>
      </c>
      <c r="L257" s="20"/>
      <c r="M257" s="20"/>
      <c r="N257" s="20" t="s">
        <v>84</v>
      </c>
      <c r="O257" s="20" t="s">
        <v>84</v>
      </c>
      <c r="P257" s="20" t="s">
        <v>84</v>
      </c>
      <c r="Q257" s="20"/>
      <c r="R257" s="20"/>
      <c r="S257" s="19"/>
      <c r="T257" s="20"/>
      <c r="U257" s="19"/>
      <c r="V257" s="22"/>
      <c r="W257" s="22"/>
      <c r="X257" s="20"/>
      <c r="AO257" s="25"/>
      <c r="AP257" s="20"/>
    </row>
    <row r="258" spans="1:42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84</v>
      </c>
      <c r="K258" s="20" t="s">
        <v>84</v>
      </c>
      <c r="L258" s="20"/>
      <c r="M258" s="20"/>
      <c r="N258" s="20" t="s">
        <v>84</v>
      </c>
      <c r="O258" s="20" t="s">
        <v>84</v>
      </c>
      <c r="P258" s="20" t="s">
        <v>84</v>
      </c>
      <c r="Q258" s="20"/>
      <c r="R258" s="20"/>
      <c r="S258" s="19"/>
      <c r="T258" s="20"/>
      <c r="U258" s="19"/>
      <c r="V258" s="22"/>
      <c r="W258" s="22"/>
      <c r="X258" s="20"/>
      <c r="AO258" s="25"/>
      <c r="AP258" s="20"/>
    </row>
    <row r="259" spans="1:42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84</v>
      </c>
      <c r="K259" s="20" t="s">
        <v>84</v>
      </c>
      <c r="L259" s="20"/>
      <c r="M259" s="20"/>
      <c r="N259" s="20" t="s">
        <v>84</v>
      </c>
      <c r="O259" s="20" t="s">
        <v>84</v>
      </c>
      <c r="P259" s="20" t="s">
        <v>84</v>
      </c>
      <c r="Q259" s="20"/>
      <c r="R259" s="20"/>
      <c r="S259" s="19"/>
      <c r="T259" s="20"/>
      <c r="U259" s="19"/>
      <c r="V259" s="22"/>
      <c r="W259" s="22"/>
      <c r="X259" s="20"/>
      <c r="AO259" s="25"/>
      <c r="AP259" s="20"/>
    </row>
    <row r="260" spans="1:42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84</v>
      </c>
      <c r="K260" s="20" t="s">
        <v>84</v>
      </c>
      <c r="L260" s="20"/>
      <c r="M260" s="20"/>
      <c r="N260" s="20" t="s">
        <v>84</v>
      </c>
      <c r="O260" s="20" t="s">
        <v>84</v>
      </c>
      <c r="P260" s="20" t="s">
        <v>84</v>
      </c>
      <c r="Q260" s="20"/>
      <c r="R260" s="20"/>
      <c r="S260" s="19"/>
      <c r="T260" s="20"/>
      <c r="U260" s="19"/>
      <c r="V260" s="22"/>
      <c r="W260" s="22"/>
      <c r="X260" s="20"/>
      <c r="AO260" s="25"/>
      <c r="AP260" s="20"/>
    </row>
    <row r="261" spans="1:42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84</v>
      </c>
      <c r="K261" s="20" t="s">
        <v>84</v>
      </c>
      <c r="L261" s="20"/>
      <c r="M261" s="20"/>
      <c r="N261" s="20" t="s">
        <v>84</v>
      </c>
      <c r="O261" s="20" t="s">
        <v>84</v>
      </c>
      <c r="P261" s="20" t="s">
        <v>84</v>
      </c>
      <c r="Q261" s="20"/>
      <c r="R261" s="20"/>
      <c r="S261" s="19"/>
      <c r="T261" s="20"/>
      <c r="U261" s="19"/>
      <c r="V261" s="22"/>
      <c r="W261" s="22"/>
      <c r="X261" s="20"/>
      <c r="AO261" s="25"/>
      <c r="AP261" s="20"/>
    </row>
    <row r="262" spans="1:42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84</v>
      </c>
      <c r="K262" s="20" t="s">
        <v>84</v>
      </c>
      <c r="L262" s="20"/>
      <c r="M262" s="20"/>
      <c r="N262" s="20" t="s">
        <v>84</v>
      </c>
      <c r="O262" s="20" t="s">
        <v>84</v>
      </c>
      <c r="P262" s="20" t="s">
        <v>84</v>
      </c>
      <c r="Q262" s="20"/>
      <c r="R262" s="20"/>
      <c r="S262" s="19"/>
      <c r="T262" s="20"/>
      <c r="U262" s="19"/>
      <c r="V262" s="22"/>
      <c r="W262" s="22"/>
      <c r="X262" s="20"/>
      <c r="AO262" s="25"/>
      <c r="AP262" s="20"/>
    </row>
    <row r="263" spans="1:42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84</v>
      </c>
      <c r="K263" s="20" t="s">
        <v>84</v>
      </c>
      <c r="L263" s="20"/>
      <c r="M263" s="20"/>
      <c r="N263" s="20" t="s">
        <v>84</v>
      </c>
      <c r="O263" s="20" t="s">
        <v>84</v>
      </c>
      <c r="P263" s="20" t="s">
        <v>84</v>
      </c>
      <c r="Q263" s="20"/>
      <c r="R263" s="20"/>
      <c r="S263" s="19"/>
      <c r="T263" s="20"/>
      <c r="U263" s="19"/>
      <c r="V263" s="22"/>
      <c r="W263" s="22"/>
      <c r="X263" s="20"/>
      <c r="AO263" s="25"/>
      <c r="AP263" s="20"/>
    </row>
    <row r="264" spans="1:42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84</v>
      </c>
      <c r="K264" s="20" t="s">
        <v>84</v>
      </c>
      <c r="L264" s="20"/>
      <c r="M264" s="20"/>
      <c r="N264" s="20" t="s">
        <v>84</v>
      </c>
      <c r="O264" s="20" t="s">
        <v>84</v>
      </c>
      <c r="P264" s="20" t="s">
        <v>84</v>
      </c>
      <c r="Q264" s="20"/>
      <c r="R264" s="20"/>
      <c r="S264" s="19"/>
      <c r="T264" s="20"/>
      <c r="U264" s="19"/>
      <c r="V264" s="22"/>
      <c r="W264" s="22"/>
      <c r="X264" s="20"/>
      <c r="AO264" s="25"/>
      <c r="AP264" s="20"/>
    </row>
    <row r="265" spans="1:42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84</v>
      </c>
      <c r="K265" s="20" t="s">
        <v>84</v>
      </c>
      <c r="L265" s="20"/>
      <c r="M265" s="20"/>
      <c r="N265" s="20" t="s">
        <v>84</v>
      </c>
      <c r="O265" s="20" t="s">
        <v>84</v>
      </c>
      <c r="P265" s="20" t="s">
        <v>84</v>
      </c>
      <c r="Q265" s="20"/>
      <c r="R265" s="20"/>
      <c r="S265" s="19"/>
      <c r="T265" s="20"/>
      <c r="U265" s="19"/>
      <c r="V265" s="22"/>
      <c r="W265" s="22"/>
      <c r="X265" s="20"/>
      <c r="AO265" s="25"/>
      <c r="AP265" s="20"/>
    </row>
    <row r="266" spans="1:42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84</v>
      </c>
      <c r="K266" s="20" t="s">
        <v>84</v>
      </c>
      <c r="L266" s="20"/>
      <c r="M266" s="20"/>
      <c r="N266" s="20" t="s">
        <v>84</v>
      </c>
      <c r="O266" s="20" t="s">
        <v>84</v>
      </c>
      <c r="P266" s="20" t="s">
        <v>84</v>
      </c>
      <c r="Q266" s="20"/>
      <c r="R266" s="20"/>
      <c r="S266" s="19"/>
      <c r="T266" s="20"/>
      <c r="U266" s="19"/>
      <c r="V266" s="22"/>
      <c r="W266" s="22"/>
      <c r="X266" s="20"/>
      <c r="AO266" s="25"/>
      <c r="AP266" s="20"/>
    </row>
    <row r="267" spans="1:42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84</v>
      </c>
      <c r="K267" s="20" t="s">
        <v>84</v>
      </c>
      <c r="L267" s="20"/>
      <c r="M267" s="20"/>
      <c r="N267" s="20" t="s">
        <v>84</v>
      </c>
      <c r="O267" s="20" t="s">
        <v>84</v>
      </c>
      <c r="P267" s="20" t="s">
        <v>84</v>
      </c>
      <c r="Q267" s="20"/>
      <c r="R267" s="20"/>
      <c r="S267" s="19"/>
      <c r="T267" s="20"/>
      <c r="U267" s="19"/>
      <c r="V267" s="22"/>
      <c r="W267" s="22"/>
      <c r="X267" s="20"/>
      <c r="AO267" s="25"/>
      <c r="AP267" s="20"/>
    </row>
    <row r="268" spans="1:42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84</v>
      </c>
      <c r="K268" s="20" t="s">
        <v>84</v>
      </c>
      <c r="L268" s="20"/>
      <c r="M268" s="20"/>
      <c r="N268" s="20" t="s">
        <v>84</v>
      </c>
      <c r="O268" s="20" t="s">
        <v>84</v>
      </c>
      <c r="P268" s="20" t="s">
        <v>84</v>
      </c>
      <c r="Q268" s="20"/>
      <c r="R268" s="20"/>
      <c r="S268" s="19"/>
      <c r="T268" s="20"/>
      <c r="U268" s="19"/>
      <c r="V268" s="22"/>
      <c r="W268" s="22"/>
      <c r="X268" s="20"/>
      <c r="AO268" s="25"/>
      <c r="AP268" s="20"/>
    </row>
    <row r="269" spans="1:42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84</v>
      </c>
      <c r="K269" s="20" t="s">
        <v>84</v>
      </c>
      <c r="L269" s="20"/>
      <c r="M269" s="20"/>
      <c r="N269" s="20" t="s">
        <v>84</v>
      </c>
      <c r="O269" s="20" t="s">
        <v>84</v>
      </c>
      <c r="P269" s="20" t="s">
        <v>84</v>
      </c>
      <c r="Q269" s="20"/>
      <c r="R269" s="20"/>
      <c r="S269" s="19"/>
      <c r="T269" s="20"/>
      <c r="U269" s="19"/>
      <c r="V269" s="22"/>
      <c r="W269" s="22"/>
      <c r="X269" s="20"/>
      <c r="AO269" s="25"/>
      <c r="AP269" s="20"/>
    </row>
    <row r="270" spans="1:42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84</v>
      </c>
      <c r="K270" s="20" t="s">
        <v>84</v>
      </c>
      <c r="L270" s="20"/>
      <c r="M270" s="20"/>
      <c r="N270" s="20" t="s">
        <v>84</v>
      </c>
      <c r="O270" s="20" t="s">
        <v>84</v>
      </c>
      <c r="P270" s="20" t="s">
        <v>84</v>
      </c>
      <c r="Q270" s="20"/>
      <c r="R270" s="20"/>
      <c r="S270" s="19"/>
      <c r="T270" s="20"/>
      <c r="U270" s="19"/>
      <c r="V270" s="22"/>
      <c r="W270" s="22"/>
      <c r="X270" s="20"/>
      <c r="AO270" s="25"/>
      <c r="AP270" s="20"/>
    </row>
    <row r="271" spans="1:42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84</v>
      </c>
      <c r="K271" s="20" t="s">
        <v>84</v>
      </c>
      <c r="L271" s="20"/>
      <c r="M271" s="20"/>
      <c r="N271" s="20" t="s">
        <v>84</v>
      </c>
      <c r="O271" s="20" t="s">
        <v>84</v>
      </c>
      <c r="P271" s="20" t="s">
        <v>84</v>
      </c>
      <c r="Q271" s="20"/>
      <c r="R271" s="20"/>
      <c r="S271" s="19"/>
      <c r="T271" s="20"/>
      <c r="U271" s="19"/>
      <c r="V271" s="22"/>
      <c r="W271" s="22"/>
      <c r="X271" s="20"/>
      <c r="AO271" s="25"/>
      <c r="AP271" s="20"/>
    </row>
    <row r="272" spans="1:42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84</v>
      </c>
      <c r="K272" s="20" t="s">
        <v>84</v>
      </c>
      <c r="L272" s="20"/>
      <c r="M272" s="20"/>
      <c r="N272" s="20" t="s">
        <v>84</v>
      </c>
      <c r="O272" s="20" t="s">
        <v>84</v>
      </c>
      <c r="P272" s="20" t="s">
        <v>84</v>
      </c>
      <c r="Q272" s="20"/>
      <c r="R272" s="20"/>
      <c r="S272" s="19"/>
      <c r="T272" s="20"/>
      <c r="U272" s="19"/>
      <c r="V272" s="22"/>
      <c r="W272" s="22"/>
      <c r="X272" s="20"/>
      <c r="AO272" s="25"/>
      <c r="AP272" s="20"/>
    </row>
    <row r="273" spans="1:42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84</v>
      </c>
      <c r="K273" s="20" t="s">
        <v>84</v>
      </c>
      <c r="L273" s="20"/>
      <c r="M273" s="20"/>
      <c r="N273" s="20" t="s">
        <v>84</v>
      </c>
      <c r="O273" s="20" t="s">
        <v>84</v>
      </c>
      <c r="P273" s="20" t="s">
        <v>84</v>
      </c>
      <c r="Q273" s="20"/>
      <c r="R273" s="20"/>
      <c r="S273" s="19"/>
      <c r="T273" s="20"/>
      <c r="U273" s="19"/>
      <c r="V273" s="22"/>
      <c r="W273" s="22"/>
      <c r="X273" s="20"/>
      <c r="AO273" s="25"/>
      <c r="AP273" s="20"/>
    </row>
    <row r="274" spans="1:42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84</v>
      </c>
      <c r="K274" s="20" t="s">
        <v>84</v>
      </c>
      <c r="L274" s="20"/>
      <c r="M274" s="20"/>
      <c r="N274" s="20" t="s">
        <v>84</v>
      </c>
      <c r="O274" s="20" t="s">
        <v>84</v>
      </c>
      <c r="P274" s="20" t="s">
        <v>84</v>
      </c>
      <c r="Q274" s="20"/>
      <c r="R274" s="20"/>
      <c r="S274" s="19"/>
      <c r="T274" s="20"/>
      <c r="U274" s="19"/>
      <c r="V274" s="22"/>
      <c r="W274" s="22"/>
      <c r="X274" s="20"/>
      <c r="AO274" s="25"/>
      <c r="AP274" s="20"/>
    </row>
    <row r="275" spans="1:42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84</v>
      </c>
      <c r="K275" s="20" t="s">
        <v>84</v>
      </c>
      <c r="L275" s="20"/>
      <c r="M275" s="20"/>
      <c r="N275" s="20" t="s">
        <v>84</v>
      </c>
      <c r="O275" s="20" t="s">
        <v>84</v>
      </c>
      <c r="P275" s="20" t="s">
        <v>84</v>
      </c>
      <c r="Q275" s="20"/>
      <c r="R275" s="20"/>
      <c r="S275" s="19"/>
      <c r="T275" s="20"/>
      <c r="U275" s="19"/>
      <c r="V275" s="22"/>
      <c r="W275" s="22"/>
      <c r="X275" s="20"/>
      <c r="AO275" s="25"/>
      <c r="AP275" s="20"/>
    </row>
    <row r="276" spans="1:42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84</v>
      </c>
      <c r="K276" s="20" t="s">
        <v>84</v>
      </c>
      <c r="L276" s="20"/>
      <c r="M276" s="20"/>
      <c r="N276" s="20" t="s">
        <v>84</v>
      </c>
      <c r="O276" s="20" t="s">
        <v>84</v>
      </c>
      <c r="P276" s="20" t="s">
        <v>84</v>
      </c>
      <c r="Q276" s="20"/>
      <c r="R276" s="20"/>
      <c r="S276" s="19"/>
      <c r="T276" s="20"/>
      <c r="U276" s="19"/>
      <c r="V276" s="22"/>
      <c r="W276" s="22"/>
      <c r="X276" s="20"/>
      <c r="AO276" s="25"/>
      <c r="AP276" s="20"/>
    </row>
    <row r="277" spans="1:42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84</v>
      </c>
      <c r="K277" s="20" t="s">
        <v>84</v>
      </c>
      <c r="L277" s="20"/>
      <c r="M277" s="20"/>
      <c r="N277" s="20" t="s">
        <v>84</v>
      </c>
      <c r="O277" s="20" t="s">
        <v>84</v>
      </c>
      <c r="P277" s="20" t="s">
        <v>84</v>
      </c>
      <c r="Q277" s="20"/>
      <c r="R277" s="20"/>
      <c r="S277" s="19"/>
      <c r="T277" s="20"/>
      <c r="U277" s="19"/>
      <c r="V277" s="22"/>
      <c r="W277" s="22"/>
      <c r="X277" s="20"/>
      <c r="AO277" s="25"/>
      <c r="AP277" s="20"/>
    </row>
    <row r="278" spans="1:42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84</v>
      </c>
      <c r="K278" s="20" t="s">
        <v>84</v>
      </c>
      <c r="L278" s="20"/>
      <c r="M278" s="20"/>
      <c r="N278" s="20" t="s">
        <v>84</v>
      </c>
      <c r="O278" s="20" t="s">
        <v>84</v>
      </c>
      <c r="P278" s="20" t="s">
        <v>84</v>
      </c>
      <c r="Q278" s="20"/>
      <c r="R278" s="20"/>
      <c r="S278" s="19"/>
      <c r="T278" s="20"/>
      <c r="U278" s="19"/>
      <c r="V278" s="22"/>
      <c r="W278" s="22"/>
      <c r="X278" s="20"/>
      <c r="AO278" s="25"/>
      <c r="AP278" s="20"/>
    </row>
    <row r="279" spans="1:42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84</v>
      </c>
      <c r="K279" s="20" t="s">
        <v>84</v>
      </c>
      <c r="L279" s="20"/>
      <c r="M279" s="20"/>
      <c r="N279" s="20" t="s">
        <v>84</v>
      </c>
      <c r="O279" s="20" t="s">
        <v>84</v>
      </c>
      <c r="P279" s="20" t="s">
        <v>84</v>
      </c>
      <c r="Q279" s="20"/>
      <c r="R279" s="20"/>
      <c r="S279" s="19"/>
      <c r="T279" s="20"/>
      <c r="U279" s="19"/>
      <c r="V279" s="22"/>
      <c r="W279" s="22"/>
      <c r="X279" s="20"/>
      <c r="AO279" s="25"/>
      <c r="AP279" s="20"/>
    </row>
    <row r="280" spans="1:42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84</v>
      </c>
      <c r="K280" s="20" t="s">
        <v>84</v>
      </c>
      <c r="L280" s="20"/>
      <c r="M280" s="20"/>
      <c r="N280" s="20" t="s">
        <v>84</v>
      </c>
      <c r="O280" s="20" t="s">
        <v>84</v>
      </c>
      <c r="P280" s="20" t="s">
        <v>84</v>
      </c>
      <c r="Q280" s="20"/>
      <c r="R280" s="20"/>
      <c r="S280" s="19"/>
      <c r="T280" s="20"/>
      <c r="U280" s="19"/>
      <c r="V280" s="22"/>
      <c r="W280" s="22"/>
      <c r="X280" s="20"/>
      <c r="AO280" s="25"/>
      <c r="AP280" s="20"/>
    </row>
    <row r="281" spans="1:42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84</v>
      </c>
      <c r="K281" s="20" t="s">
        <v>84</v>
      </c>
      <c r="L281" s="20"/>
      <c r="M281" s="20"/>
      <c r="N281" s="20" t="s">
        <v>84</v>
      </c>
      <c r="O281" s="20" t="s">
        <v>84</v>
      </c>
      <c r="P281" s="20" t="s">
        <v>84</v>
      </c>
      <c r="Q281" s="20"/>
      <c r="R281" s="20"/>
      <c r="S281" s="19"/>
      <c r="T281" s="20"/>
      <c r="U281" s="19"/>
      <c r="V281" s="22"/>
      <c r="W281" s="22"/>
      <c r="X281" s="20"/>
      <c r="AO281" s="25"/>
      <c r="AP281" s="20"/>
    </row>
    <row r="282" spans="1:42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84</v>
      </c>
      <c r="K282" s="20" t="s">
        <v>84</v>
      </c>
      <c r="L282" s="20"/>
      <c r="M282" s="20"/>
      <c r="N282" s="20" t="s">
        <v>84</v>
      </c>
      <c r="O282" s="20" t="s">
        <v>84</v>
      </c>
      <c r="P282" s="20" t="s">
        <v>84</v>
      </c>
      <c r="Q282" s="20"/>
      <c r="R282" s="20"/>
      <c r="S282" s="19"/>
      <c r="T282" s="20"/>
      <c r="U282" s="19"/>
      <c r="V282" s="22"/>
      <c r="W282" s="22"/>
      <c r="X282" s="20"/>
      <c r="AO282" s="25"/>
      <c r="AP282" s="20"/>
    </row>
    <row r="283" spans="1:42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84</v>
      </c>
      <c r="K283" s="20" t="s">
        <v>84</v>
      </c>
      <c r="L283" s="20"/>
      <c r="M283" s="20"/>
      <c r="N283" s="20" t="s">
        <v>84</v>
      </c>
      <c r="O283" s="20" t="s">
        <v>84</v>
      </c>
      <c r="P283" s="20" t="s">
        <v>84</v>
      </c>
      <c r="Q283" s="20"/>
      <c r="R283" s="20"/>
      <c r="S283" s="19"/>
      <c r="T283" s="20"/>
      <c r="U283" s="19"/>
      <c r="V283" s="22"/>
      <c r="W283" s="22"/>
      <c r="X283" s="20"/>
      <c r="AO283" s="25"/>
      <c r="AP283" s="20"/>
    </row>
    <row r="284" spans="1:42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84</v>
      </c>
      <c r="K284" s="20" t="s">
        <v>84</v>
      </c>
      <c r="L284" s="20"/>
      <c r="M284" s="20"/>
      <c r="N284" s="20" t="s">
        <v>84</v>
      </c>
      <c r="O284" s="20" t="s">
        <v>84</v>
      </c>
      <c r="P284" s="20" t="s">
        <v>84</v>
      </c>
      <c r="Q284" s="20"/>
      <c r="R284" s="20"/>
      <c r="S284" s="19"/>
      <c r="T284" s="20"/>
      <c r="U284" s="19"/>
      <c r="V284" s="22"/>
      <c r="W284" s="22"/>
      <c r="X284" s="20"/>
      <c r="AO284" s="25"/>
      <c r="AP284" s="20"/>
    </row>
    <row r="285" spans="1:42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84</v>
      </c>
      <c r="K285" s="20" t="s">
        <v>84</v>
      </c>
      <c r="L285" s="20"/>
      <c r="M285" s="20"/>
      <c r="N285" s="20" t="s">
        <v>84</v>
      </c>
      <c r="O285" s="20" t="s">
        <v>84</v>
      </c>
      <c r="P285" s="20" t="s">
        <v>84</v>
      </c>
      <c r="Q285" s="20"/>
      <c r="R285" s="20"/>
      <c r="S285" s="19"/>
      <c r="T285" s="20"/>
      <c r="U285" s="19"/>
      <c r="V285" s="22"/>
      <c r="W285" s="22"/>
      <c r="X285" s="20"/>
      <c r="AO285" s="25"/>
      <c r="AP285" s="20"/>
    </row>
    <row r="286" spans="1:42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84</v>
      </c>
      <c r="K286" s="20" t="s">
        <v>84</v>
      </c>
      <c r="L286" s="20"/>
      <c r="M286" s="20"/>
      <c r="N286" s="20" t="s">
        <v>84</v>
      </c>
      <c r="O286" s="20" t="s">
        <v>84</v>
      </c>
      <c r="P286" s="20" t="s">
        <v>84</v>
      </c>
      <c r="Q286" s="20"/>
      <c r="R286" s="20"/>
      <c r="S286" s="19"/>
      <c r="T286" s="20"/>
      <c r="U286" s="19"/>
      <c r="V286" s="22"/>
      <c r="W286" s="22"/>
      <c r="X286" s="20"/>
      <c r="AO286" s="25"/>
      <c r="AP286" s="20"/>
    </row>
    <row r="287" spans="1:42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84</v>
      </c>
      <c r="K287" s="20" t="s">
        <v>84</v>
      </c>
      <c r="L287" s="20"/>
      <c r="M287" s="20"/>
      <c r="N287" s="20" t="s">
        <v>84</v>
      </c>
      <c r="O287" s="20" t="s">
        <v>84</v>
      </c>
      <c r="P287" s="20" t="s">
        <v>84</v>
      </c>
      <c r="Q287" s="20"/>
      <c r="R287" s="20"/>
      <c r="S287" s="19"/>
      <c r="T287" s="20"/>
      <c r="U287" s="19"/>
      <c r="V287" s="22"/>
      <c r="W287" s="22"/>
      <c r="X287" s="20"/>
      <c r="AO287" s="25"/>
      <c r="AP287" s="20"/>
    </row>
    <row r="288" spans="1:42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84</v>
      </c>
      <c r="K288" s="20" t="s">
        <v>84</v>
      </c>
      <c r="L288" s="20"/>
      <c r="M288" s="20"/>
      <c r="N288" s="20" t="s">
        <v>84</v>
      </c>
      <c r="O288" s="20" t="s">
        <v>84</v>
      </c>
      <c r="P288" s="20" t="s">
        <v>84</v>
      </c>
      <c r="Q288" s="20"/>
      <c r="R288" s="20"/>
      <c r="S288" s="19"/>
      <c r="T288" s="20"/>
      <c r="U288" s="19"/>
      <c r="V288" s="22"/>
      <c r="W288" s="22"/>
      <c r="X288" s="20"/>
      <c r="AO288" s="25"/>
      <c r="AP288" s="20"/>
    </row>
    <row r="289" spans="1:42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84</v>
      </c>
      <c r="K289" s="20" t="s">
        <v>84</v>
      </c>
      <c r="L289" s="20"/>
      <c r="M289" s="20"/>
      <c r="N289" s="20" t="s">
        <v>84</v>
      </c>
      <c r="O289" s="20" t="s">
        <v>84</v>
      </c>
      <c r="P289" s="20" t="s">
        <v>84</v>
      </c>
      <c r="Q289" s="20"/>
      <c r="R289" s="20"/>
      <c r="S289" s="19"/>
      <c r="T289" s="20"/>
      <c r="U289" s="19"/>
      <c r="V289" s="22"/>
      <c r="W289" s="22"/>
      <c r="X289" s="20"/>
      <c r="AO289" s="25"/>
      <c r="AP289" s="20"/>
    </row>
    <row r="290" spans="1:42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84</v>
      </c>
      <c r="K290" s="20" t="s">
        <v>84</v>
      </c>
      <c r="L290" s="20"/>
      <c r="M290" s="20"/>
      <c r="N290" s="20" t="s">
        <v>84</v>
      </c>
      <c r="O290" s="20" t="s">
        <v>84</v>
      </c>
      <c r="P290" s="20" t="s">
        <v>84</v>
      </c>
      <c r="Q290" s="20"/>
      <c r="R290" s="20"/>
      <c r="S290" s="19"/>
      <c r="T290" s="20"/>
      <c r="U290" s="19"/>
      <c r="V290" s="22"/>
      <c r="W290" s="22"/>
      <c r="X290" s="20"/>
      <c r="AO290" s="25"/>
      <c r="AP290" s="20"/>
    </row>
    <row r="291" spans="1:42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84</v>
      </c>
      <c r="K291" s="20" t="s">
        <v>84</v>
      </c>
      <c r="L291" s="20"/>
      <c r="M291" s="20"/>
      <c r="N291" s="20" t="s">
        <v>84</v>
      </c>
      <c r="O291" s="20" t="s">
        <v>84</v>
      </c>
      <c r="P291" s="20" t="s">
        <v>84</v>
      </c>
      <c r="Q291" s="20"/>
      <c r="R291" s="20"/>
      <c r="S291" s="19"/>
      <c r="T291" s="20"/>
      <c r="U291" s="19"/>
      <c r="V291" s="22"/>
      <c r="W291" s="22"/>
      <c r="X291" s="20"/>
      <c r="AO291" s="25"/>
      <c r="AP291" s="20"/>
    </row>
    <row r="292" spans="1:42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84</v>
      </c>
      <c r="K292" s="20" t="s">
        <v>84</v>
      </c>
      <c r="L292" s="20"/>
      <c r="M292" s="20"/>
      <c r="N292" s="20" t="s">
        <v>84</v>
      </c>
      <c r="O292" s="20" t="s">
        <v>84</v>
      </c>
      <c r="P292" s="20" t="s">
        <v>84</v>
      </c>
      <c r="Q292" s="20"/>
      <c r="R292" s="20"/>
      <c r="S292" s="19"/>
      <c r="T292" s="20"/>
      <c r="U292" s="19"/>
      <c r="V292" s="22"/>
      <c r="W292" s="22"/>
      <c r="X292" s="20"/>
      <c r="AO292" s="25"/>
      <c r="AP292" s="20"/>
    </row>
    <row r="293" spans="1:42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84</v>
      </c>
      <c r="K293" s="20" t="s">
        <v>84</v>
      </c>
      <c r="L293" s="20"/>
      <c r="M293" s="20"/>
      <c r="N293" s="20" t="s">
        <v>84</v>
      </c>
      <c r="O293" s="20" t="s">
        <v>84</v>
      </c>
      <c r="P293" s="20" t="s">
        <v>84</v>
      </c>
      <c r="Q293" s="20"/>
      <c r="R293" s="20"/>
      <c r="S293" s="19"/>
      <c r="T293" s="20"/>
      <c r="U293" s="19"/>
      <c r="V293" s="22"/>
      <c r="W293" s="22"/>
      <c r="X293" s="20"/>
      <c r="AO293" s="25"/>
      <c r="AP293" s="20"/>
    </row>
    <row r="294" spans="1:42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84</v>
      </c>
      <c r="K294" s="20" t="s">
        <v>84</v>
      </c>
      <c r="L294" s="20"/>
      <c r="M294" s="20"/>
      <c r="N294" s="20" t="s">
        <v>84</v>
      </c>
      <c r="O294" s="20" t="s">
        <v>84</v>
      </c>
      <c r="P294" s="20" t="s">
        <v>84</v>
      </c>
      <c r="Q294" s="20"/>
      <c r="R294" s="20"/>
      <c r="S294" s="19"/>
      <c r="T294" s="20"/>
      <c r="U294" s="19"/>
      <c r="V294" s="22"/>
      <c r="W294" s="22"/>
      <c r="X294" s="20"/>
      <c r="AO294" s="25"/>
      <c r="AP294" s="20"/>
    </row>
    <row r="295" spans="1:42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84</v>
      </c>
      <c r="K295" s="20" t="s">
        <v>84</v>
      </c>
      <c r="L295" s="20"/>
      <c r="M295" s="20"/>
      <c r="N295" s="20" t="s">
        <v>84</v>
      </c>
      <c r="O295" s="20" t="s">
        <v>84</v>
      </c>
      <c r="P295" s="20" t="s">
        <v>84</v>
      </c>
      <c r="Q295" s="20"/>
      <c r="R295" s="20"/>
      <c r="S295" s="19"/>
      <c r="T295" s="20"/>
      <c r="U295" s="19"/>
      <c r="V295" s="22"/>
      <c r="W295" s="22"/>
      <c r="X295" s="20"/>
      <c r="AO295" s="25"/>
      <c r="AP295" s="20"/>
    </row>
    <row r="296" spans="1:42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84</v>
      </c>
      <c r="K296" s="20" t="s">
        <v>84</v>
      </c>
      <c r="L296" s="20"/>
      <c r="M296" s="20"/>
      <c r="N296" s="20" t="s">
        <v>84</v>
      </c>
      <c r="O296" s="20" t="s">
        <v>84</v>
      </c>
      <c r="P296" s="20" t="s">
        <v>84</v>
      </c>
      <c r="Q296" s="20"/>
      <c r="R296" s="20"/>
      <c r="S296" s="19"/>
      <c r="T296" s="20"/>
      <c r="U296" s="19"/>
      <c r="V296" s="22"/>
      <c r="W296" s="22"/>
      <c r="X296" s="20"/>
      <c r="AO296" s="25"/>
      <c r="AP296" s="20"/>
    </row>
    <row r="297" spans="1:42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84</v>
      </c>
      <c r="K297" s="20" t="s">
        <v>84</v>
      </c>
      <c r="L297" s="20"/>
      <c r="M297" s="20"/>
      <c r="N297" s="20" t="s">
        <v>84</v>
      </c>
      <c r="O297" s="20" t="s">
        <v>84</v>
      </c>
      <c r="P297" s="20" t="s">
        <v>84</v>
      </c>
      <c r="Q297" s="20"/>
      <c r="R297" s="20"/>
      <c r="S297" s="19"/>
      <c r="T297" s="20"/>
      <c r="U297" s="19"/>
      <c r="V297" s="22"/>
      <c r="W297" s="22"/>
      <c r="X297" s="20"/>
      <c r="AO297" s="25"/>
      <c r="AP297" s="20"/>
    </row>
    <row r="298" spans="1:42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84</v>
      </c>
      <c r="K298" s="20" t="s">
        <v>84</v>
      </c>
      <c r="L298" s="20"/>
      <c r="M298" s="20"/>
      <c r="N298" s="20" t="s">
        <v>84</v>
      </c>
      <c r="O298" s="20" t="s">
        <v>84</v>
      </c>
      <c r="P298" s="20" t="s">
        <v>84</v>
      </c>
      <c r="Q298" s="20"/>
      <c r="R298" s="20"/>
      <c r="S298" s="19"/>
      <c r="T298" s="20"/>
      <c r="U298" s="19"/>
      <c r="V298" s="22"/>
      <c r="W298" s="22"/>
      <c r="X298" s="20"/>
      <c r="AO298" s="25"/>
      <c r="AP298" s="20"/>
    </row>
    <row r="299" spans="1:42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84</v>
      </c>
      <c r="K299" s="20" t="s">
        <v>84</v>
      </c>
      <c r="L299" s="20"/>
      <c r="M299" s="20"/>
      <c r="N299" s="20" t="s">
        <v>84</v>
      </c>
      <c r="O299" s="20" t="s">
        <v>84</v>
      </c>
      <c r="P299" s="20" t="s">
        <v>84</v>
      </c>
      <c r="Q299" s="20"/>
      <c r="R299" s="20"/>
      <c r="S299" s="19"/>
      <c r="T299" s="20"/>
      <c r="U299" s="19"/>
      <c r="V299" s="22"/>
      <c r="W299" s="22"/>
      <c r="X299" s="20"/>
      <c r="AO299" s="25"/>
      <c r="AP299" s="20"/>
    </row>
    <row r="300" spans="1:42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84</v>
      </c>
      <c r="K300" s="20" t="s">
        <v>84</v>
      </c>
      <c r="L300" s="20"/>
      <c r="M300" s="20"/>
      <c r="N300" s="20" t="s">
        <v>84</v>
      </c>
      <c r="O300" s="20" t="s">
        <v>84</v>
      </c>
      <c r="P300" s="20" t="s">
        <v>84</v>
      </c>
      <c r="Q300" s="20"/>
      <c r="R300" s="20"/>
      <c r="S300" s="19"/>
      <c r="T300" s="20"/>
      <c r="U300" s="19"/>
      <c r="V300" s="22"/>
      <c r="W300" s="22"/>
      <c r="X300" s="20"/>
      <c r="AO300" s="25"/>
      <c r="AP300" s="20"/>
    </row>
    <row r="301" spans="1:42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84</v>
      </c>
      <c r="K301" s="20" t="s">
        <v>84</v>
      </c>
      <c r="L301" s="20"/>
      <c r="M301" s="20"/>
      <c r="N301" s="20" t="s">
        <v>84</v>
      </c>
      <c r="O301" s="20" t="s">
        <v>84</v>
      </c>
      <c r="P301" s="20" t="s">
        <v>84</v>
      </c>
      <c r="Q301" s="20"/>
      <c r="R301" s="20"/>
      <c r="S301" s="19"/>
      <c r="T301" s="20"/>
      <c r="U301" s="19"/>
      <c r="V301" s="22"/>
      <c r="W301" s="22"/>
      <c r="X301" s="20"/>
      <c r="AO301" s="25"/>
      <c r="AP301" s="20"/>
    </row>
    <row r="302" spans="1:42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84</v>
      </c>
      <c r="K302" s="20" t="s">
        <v>84</v>
      </c>
      <c r="L302" s="20"/>
      <c r="M302" s="20"/>
      <c r="N302" s="20" t="s">
        <v>84</v>
      </c>
      <c r="O302" s="20" t="s">
        <v>84</v>
      </c>
      <c r="P302" s="20" t="s">
        <v>84</v>
      </c>
      <c r="Q302" s="20"/>
      <c r="R302" s="20"/>
      <c r="S302" s="19"/>
      <c r="T302" s="20"/>
      <c r="U302" s="19"/>
      <c r="V302" s="22"/>
      <c r="W302" s="22"/>
      <c r="X302" s="20"/>
      <c r="AO302" s="25"/>
      <c r="AP302" s="20"/>
    </row>
    <row r="303" spans="1:42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84</v>
      </c>
      <c r="K303" s="20" t="s">
        <v>84</v>
      </c>
      <c r="L303" s="20"/>
      <c r="M303" s="20"/>
      <c r="N303" s="20" t="s">
        <v>84</v>
      </c>
      <c r="O303" s="20" t="s">
        <v>84</v>
      </c>
      <c r="P303" s="20" t="s">
        <v>84</v>
      </c>
      <c r="Q303" s="20"/>
      <c r="R303" s="20"/>
      <c r="S303" s="19"/>
      <c r="T303" s="20"/>
      <c r="U303" s="19"/>
      <c r="V303" s="22"/>
      <c r="W303" s="22"/>
      <c r="X303" s="20"/>
      <c r="AO303" s="25"/>
      <c r="AP303" s="20"/>
    </row>
    <row r="304" spans="1:42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84</v>
      </c>
      <c r="K304" s="20" t="s">
        <v>84</v>
      </c>
      <c r="L304" s="20"/>
      <c r="M304" s="20"/>
      <c r="N304" s="20" t="s">
        <v>84</v>
      </c>
      <c r="O304" s="20" t="s">
        <v>84</v>
      </c>
      <c r="P304" s="20" t="s">
        <v>84</v>
      </c>
      <c r="Q304" s="20"/>
      <c r="R304" s="20"/>
      <c r="S304" s="19"/>
      <c r="T304" s="20"/>
      <c r="U304" s="19"/>
      <c r="V304" s="22"/>
      <c r="W304" s="22"/>
      <c r="X304" s="20"/>
      <c r="AO304" s="25"/>
      <c r="AP304" s="20"/>
    </row>
    <row r="305" spans="1:42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84</v>
      </c>
      <c r="K305" s="20" t="s">
        <v>84</v>
      </c>
      <c r="L305" s="20"/>
      <c r="M305" s="20"/>
      <c r="N305" s="20" t="s">
        <v>84</v>
      </c>
      <c r="O305" s="20" t="s">
        <v>84</v>
      </c>
      <c r="P305" s="20" t="s">
        <v>84</v>
      </c>
      <c r="Q305" s="20"/>
      <c r="R305" s="20"/>
      <c r="S305" s="19"/>
      <c r="T305" s="20"/>
      <c r="U305" s="19"/>
      <c r="V305" s="22"/>
      <c r="W305" s="22"/>
      <c r="X305" s="20"/>
      <c r="AO305" s="25"/>
      <c r="AP305" s="20"/>
    </row>
    <row r="306" spans="1:42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84</v>
      </c>
      <c r="K306" s="20" t="s">
        <v>84</v>
      </c>
      <c r="L306" s="20"/>
      <c r="M306" s="20"/>
      <c r="N306" s="20" t="s">
        <v>84</v>
      </c>
      <c r="O306" s="20" t="s">
        <v>84</v>
      </c>
      <c r="P306" s="20" t="s">
        <v>84</v>
      </c>
      <c r="Q306" s="20"/>
      <c r="R306" s="20"/>
      <c r="S306" s="19"/>
      <c r="T306" s="20"/>
      <c r="U306" s="19"/>
      <c r="V306" s="22"/>
      <c r="W306" s="22"/>
      <c r="X306" s="20"/>
      <c r="AO306" s="25"/>
      <c r="AP306" s="20"/>
    </row>
    <row r="307" spans="1:42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84</v>
      </c>
      <c r="K307" s="20" t="s">
        <v>84</v>
      </c>
      <c r="L307" s="20"/>
      <c r="M307" s="20"/>
      <c r="N307" s="20" t="s">
        <v>84</v>
      </c>
      <c r="O307" s="20" t="s">
        <v>84</v>
      </c>
      <c r="P307" s="20" t="s">
        <v>84</v>
      </c>
      <c r="Q307" s="20"/>
      <c r="R307" s="20"/>
      <c r="S307" s="19"/>
      <c r="T307" s="20"/>
      <c r="U307" s="19"/>
      <c r="V307" s="22"/>
      <c r="W307" s="22"/>
      <c r="X307" s="20"/>
      <c r="AO307" s="25"/>
      <c r="AP307" s="20"/>
    </row>
    <row r="308" spans="1:42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84</v>
      </c>
      <c r="K308" s="20" t="s">
        <v>84</v>
      </c>
      <c r="L308" s="20"/>
      <c r="M308" s="20"/>
      <c r="N308" s="20" t="s">
        <v>84</v>
      </c>
      <c r="O308" s="20" t="s">
        <v>84</v>
      </c>
      <c r="P308" s="20" t="s">
        <v>84</v>
      </c>
      <c r="Q308" s="20"/>
      <c r="R308" s="20"/>
      <c r="S308" s="19"/>
      <c r="T308" s="20"/>
      <c r="U308" s="19"/>
      <c r="V308" s="22"/>
      <c r="W308" s="22"/>
      <c r="X308" s="20"/>
      <c r="AO308" s="25"/>
      <c r="AP308" s="20"/>
    </row>
    <row r="309" spans="1:42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84</v>
      </c>
      <c r="K309" s="20" t="s">
        <v>84</v>
      </c>
      <c r="L309" s="20"/>
      <c r="M309" s="20"/>
      <c r="N309" s="20" t="s">
        <v>84</v>
      </c>
      <c r="O309" s="20" t="s">
        <v>84</v>
      </c>
      <c r="P309" s="20" t="s">
        <v>84</v>
      </c>
      <c r="Q309" s="20"/>
      <c r="R309" s="20"/>
      <c r="S309" s="19"/>
      <c r="T309" s="20"/>
      <c r="U309" s="19"/>
      <c r="V309" s="22"/>
      <c r="W309" s="22"/>
      <c r="X309" s="20"/>
      <c r="AO309" s="25"/>
      <c r="AP309" s="20"/>
    </row>
    <row r="310" spans="1:42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84</v>
      </c>
      <c r="K310" s="20" t="s">
        <v>84</v>
      </c>
      <c r="L310" s="20"/>
      <c r="M310" s="20"/>
      <c r="N310" s="20" t="s">
        <v>84</v>
      </c>
      <c r="O310" s="20" t="s">
        <v>84</v>
      </c>
      <c r="P310" s="20" t="s">
        <v>84</v>
      </c>
      <c r="Q310" s="20"/>
      <c r="R310" s="20"/>
      <c r="S310" s="19"/>
      <c r="T310" s="20"/>
      <c r="U310" s="19"/>
      <c r="V310" s="22"/>
      <c r="W310" s="22"/>
      <c r="X310" s="20"/>
      <c r="AO310" s="25"/>
      <c r="AP310" s="20"/>
    </row>
    <row r="311" spans="1:42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84</v>
      </c>
      <c r="K311" s="20" t="s">
        <v>84</v>
      </c>
      <c r="L311" s="20"/>
      <c r="M311" s="20"/>
      <c r="N311" s="20" t="s">
        <v>84</v>
      </c>
      <c r="O311" s="20" t="s">
        <v>84</v>
      </c>
      <c r="P311" s="20" t="s">
        <v>84</v>
      </c>
      <c r="Q311" s="20"/>
      <c r="R311" s="20"/>
      <c r="S311" s="19"/>
      <c r="T311" s="20"/>
      <c r="U311" s="19"/>
      <c r="V311" s="22"/>
      <c r="W311" s="22"/>
      <c r="X311" s="20"/>
      <c r="AO311" s="25"/>
      <c r="AP311" s="20"/>
    </row>
    <row r="312" spans="1:42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84</v>
      </c>
      <c r="K312" s="20" t="s">
        <v>84</v>
      </c>
      <c r="L312" s="20"/>
      <c r="M312" s="20"/>
      <c r="N312" s="20" t="s">
        <v>84</v>
      </c>
      <c r="O312" s="20" t="s">
        <v>84</v>
      </c>
      <c r="P312" s="20" t="s">
        <v>84</v>
      </c>
      <c r="Q312" s="20"/>
      <c r="R312" s="20"/>
      <c r="S312" s="19"/>
      <c r="T312" s="20"/>
      <c r="U312" s="19"/>
      <c r="V312" s="22"/>
      <c r="W312" s="22"/>
      <c r="X312" s="20"/>
      <c r="AO312" s="25"/>
      <c r="AP312" s="20"/>
    </row>
    <row r="313" spans="1:42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84</v>
      </c>
      <c r="K313" s="20" t="s">
        <v>84</v>
      </c>
      <c r="L313" s="20"/>
      <c r="M313" s="20"/>
      <c r="N313" s="20" t="s">
        <v>84</v>
      </c>
      <c r="O313" s="20" t="s">
        <v>84</v>
      </c>
      <c r="P313" s="20" t="s">
        <v>84</v>
      </c>
      <c r="Q313" s="20"/>
      <c r="R313" s="20"/>
      <c r="S313" s="19"/>
      <c r="T313" s="20"/>
      <c r="U313" s="19"/>
      <c r="V313" s="22"/>
      <c r="W313" s="22"/>
      <c r="X313" s="20"/>
      <c r="AO313" s="25"/>
      <c r="AP313" s="20"/>
    </row>
    <row r="314" spans="1:42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84</v>
      </c>
      <c r="K314" s="20" t="s">
        <v>84</v>
      </c>
      <c r="L314" s="20"/>
      <c r="M314" s="20"/>
      <c r="N314" s="20" t="s">
        <v>84</v>
      </c>
      <c r="O314" s="20" t="s">
        <v>84</v>
      </c>
      <c r="P314" s="20" t="s">
        <v>84</v>
      </c>
      <c r="Q314" s="20"/>
      <c r="R314" s="20"/>
      <c r="S314" s="19"/>
      <c r="T314" s="20"/>
      <c r="U314" s="19"/>
      <c r="V314" s="22"/>
      <c r="W314" s="22"/>
      <c r="X314" s="20"/>
      <c r="AO314" s="25"/>
      <c r="AP314" s="20"/>
    </row>
    <row r="315" spans="1:42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84</v>
      </c>
      <c r="K315" s="20" t="s">
        <v>84</v>
      </c>
      <c r="L315" s="20"/>
      <c r="M315" s="20"/>
      <c r="N315" s="20" t="s">
        <v>84</v>
      </c>
      <c r="O315" s="20" t="s">
        <v>84</v>
      </c>
      <c r="P315" s="20" t="s">
        <v>84</v>
      </c>
      <c r="Q315" s="20"/>
      <c r="R315" s="20"/>
      <c r="S315" s="19"/>
      <c r="T315" s="20"/>
      <c r="U315" s="19"/>
      <c r="V315" s="22"/>
      <c r="W315" s="22"/>
      <c r="X315" s="20"/>
      <c r="AO315" s="25"/>
      <c r="AP315" s="20"/>
    </row>
    <row r="316" spans="1:42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84</v>
      </c>
      <c r="K316" s="20" t="s">
        <v>84</v>
      </c>
      <c r="L316" s="20"/>
      <c r="M316" s="20"/>
      <c r="N316" s="20" t="s">
        <v>84</v>
      </c>
      <c r="O316" s="20" t="s">
        <v>84</v>
      </c>
      <c r="P316" s="20" t="s">
        <v>84</v>
      </c>
      <c r="Q316" s="20"/>
      <c r="R316" s="20"/>
      <c r="S316" s="19"/>
      <c r="T316" s="20"/>
      <c r="U316" s="19"/>
      <c r="V316" s="22"/>
      <c r="W316" s="22"/>
      <c r="X316" s="20"/>
      <c r="AO316" s="25"/>
      <c r="AP316" s="20"/>
    </row>
    <row r="317" spans="1:42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84</v>
      </c>
      <c r="K317" s="20" t="s">
        <v>84</v>
      </c>
      <c r="L317" s="20"/>
      <c r="M317" s="20"/>
      <c r="N317" s="20" t="s">
        <v>84</v>
      </c>
      <c r="O317" s="20" t="s">
        <v>84</v>
      </c>
      <c r="P317" s="20" t="s">
        <v>84</v>
      </c>
      <c r="Q317" s="20"/>
      <c r="R317" s="20"/>
      <c r="S317" s="19"/>
      <c r="T317" s="20"/>
      <c r="U317" s="19"/>
      <c r="V317" s="22"/>
      <c r="W317" s="22"/>
      <c r="X317" s="20"/>
      <c r="AO317" s="25"/>
      <c r="AP317" s="20"/>
    </row>
    <row r="318" spans="1:42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84</v>
      </c>
      <c r="K318" s="20" t="s">
        <v>84</v>
      </c>
      <c r="L318" s="20"/>
      <c r="M318" s="20"/>
      <c r="N318" s="20" t="s">
        <v>84</v>
      </c>
      <c r="O318" s="20" t="s">
        <v>84</v>
      </c>
      <c r="P318" s="20" t="s">
        <v>84</v>
      </c>
      <c r="Q318" s="20"/>
      <c r="R318" s="20"/>
      <c r="S318" s="19"/>
      <c r="T318" s="20"/>
      <c r="U318" s="19"/>
      <c r="V318" s="22"/>
      <c r="W318" s="22"/>
      <c r="X318" s="20"/>
      <c r="AO318" s="25"/>
      <c r="AP318" s="20"/>
    </row>
    <row r="319" spans="1:42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84</v>
      </c>
      <c r="K319" s="20" t="s">
        <v>84</v>
      </c>
      <c r="L319" s="20"/>
      <c r="M319" s="20"/>
      <c r="N319" s="20" t="s">
        <v>84</v>
      </c>
      <c r="O319" s="20" t="s">
        <v>84</v>
      </c>
      <c r="P319" s="20" t="s">
        <v>84</v>
      </c>
      <c r="Q319" s="20"/>
      <c r="R319" s="20"/>
      <c r="S319" s="19"/>
      <c r="T319" s="20"/>
      <c r="U319" s="19"/>
      <c r="V319" s="22"/>
      <c r="W319" s="22"/>
      <c r="X319" s="20"/>
      <c r="AO319" s="25"/>
      <c r="AP319" s="20"/>
    </row>
    <row r="320" spans="1:42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84</v>
      </c>
      <c r="K320" s="20" t="s">
        <v>84</v>
      </c>
      <c r="L320" s="20"/>
      <c r="M320" s="20"/>
      <c r="N320" s="20" t="s">
        <v>84</v>
      </c>
      <c r="O320" s="20" t="s">
        <v>84</v>
      </c>
      <c r="P320" s="20" t="s">
        <v>84</v>
      </c>
      <c r="Q320" s="20"/>
      <c r="R320" s="20"/>
      <c r="S320" s="19"/>
      <c r="T320" s="20"/>
      <c r="U320" s="19"/>
      <c r="V320" s="22"/>
      <c r="W320" s="22"/>
      <c r="X320" s="20"/>
      <c r="AO320" s="25"/>
      <c r="AP320" s="20"/>
    </row>
    <row r="321" spans="1:42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84</v>
      </c>
      <c r="K321" s="20" t="s">
        <v>84</v>
      </c>
      <c r="L321" s="20"/>
      <c r="M321" s="20"/>
      <c r="N321" s="20" t="s">
        <v>84</v>
      </c>
      <c r="O321" s="20" t="s">
        <v>84</v>
      </c>
      <c r="P321" s="20" t="s">
        <v>84</v>
      </c>
      <c r="Q321" s="20"/>
      <c r="R321" s="20"/>
      <c r="S321" s="19"/>
      <c r="T321" s="20"/>
      <c r="U321" s="19"/>
      <c r="V321" s="22"/>
      <c r="W321" s="22"/>
      <c r="X321" s="20"/>
      <c r="AO321" s="25"/>
      <c r="AP321" s="20"/>
    </row>
    <row r="322" spans="1:42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84</v>
      </c>
      <c r="K322" s="20" t="s">
        <v>84</v>
      </c>
      <c r="L322" s="20"/>
      <c r="M322" s="20"/>
      <c r="N322" s="20" t="s">
        <v>84</v>
      </c>
      <c r="O322" s="20" t="s">
        <v>84</v>
      </c>
      <c r="P322" s="20" t="s">
        <v>84</v>
      </c>
      <c r="Q322" s="20"/>
      <c r="R322" s="20"/>
      <c r="S322" s="19"/>
      <c r="T322" s="20"/>
      <c r="U322" s="19"/>
      <c r="V322" s="22"/>
      <c r="W322" s="22"/>
      <c r="X322" s="20"/>
      <c r="AO322" s="25"/>
      <c r="AP322" s="20"/>
    </row>
    <row r="323" spans="1:42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84</v>
      </c>
      <c r="K323" s="20" t="s">
        <v>84</v>
      </c>
      <c r="L323" s="20"/>
      <c r="M323" s="20"/>
      <c r="N323" s="20" t="s">
        <v>84</v>
      </c>
      <c r="O323" s="20" t="s">
        <v>84</v>
      </c>
      <c r="P323" s="20" t="s">
        <v>84</v>
      </c>
      <c r="Q323" s="20"/>
      <c r="R323" s="20"/>
      <c r="S323" s="19"/>
      <c r="T323" s="20"/>
      <c r="U323" s="19"/>
      <c r="V323" s="22"/>
      <c r="W323" s="22"/>
      <c r="X323" s="20"/>
      <c r="AO323" s="25"/>
      <c r="AP323" s="20"/>
    </row>
    <row r="324" spans="1:42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84</v>
      </c>
      <c r="K324" s="20" t="s">
        <v>84</v>
      </c>
      <c r="L324" s="20"/>
      <c r="M324" s="20"/>
      <c r="N324" s="20" t="s">
        <v>84</v>
      </c>
      <c r="O324" s="20" t="s">
        <v>84</v>
      </c>
      <c r="P324" s="20" t="s">
        <v>84</v>
      </c>
      <c r="Q324" s="20"/>
      <c r="R324" s="20"/>
      <c r="S324" s="19"/>
      <c r="T324" s="20"/>
      <c r="U324" s="19"/>
      <c r="V324" s="22"/>
      <c r="W324" s="22"/>
      <c r="X324" s="20"/>
      <c r="AO324" s="25"/>
      <c r="AP324" s="20"/>
    </row>
    <row r="325" spans="1:42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84</v>
      </c>
      <c r="K325" s="20" t="s">
        <v>84</v>
      </c>
      <c r="L325" s="20"/>
      <c r="M325" s="20"/>
      <c r="N325" s="20" t="s">
        <v>84</v>
      </c>
      <c r="O325" s="20" t="s">
        <v>84</v>
      </c>
      <c r="P325" s="20" t="s">
        <v>84</v>
      </c>
      <c r="Q325" s="20"/>
      <c r="R325" s="20"/>
      <c r="S325" s="19"/>
      <c r="T325" s="20"/>
      <c r="U325" s="19"/>
      <c r="V325" s="22"/>
      <c r="W325" s="22"/>
      <c r="X325" s="20"/>
      <c r="AO325" s="25"/>
      <c r="AP325" s="20"/>
    </row>
    <row r="326" spans="1:42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84</v>
      </c>
      <c r="K326" s="20" t="s">
        <v>84</v>
      </c>
      <c r="L326" s="20"/>
      <c r="M326" s="20"/>
      <c r="N326" s="20" t="s">
        <v>84</v>
      </c>
      <c r="O326" s="20" t="s">
        <v>84</v>
      </c>
      <c r="P326" s="20" t="s">
        <v>84</v>
      </c>
      <c r="Q326" s="20"/>
      <c r="R326" s="20"/>
      <c r="S326" s="19"/>
      <c r="T326" s="20"/>
      <c r="U326" s="19"/>
      <c r="V326" s="22"/>
      <c r="W326" s="22"/>
      <c r="X326" s="20"/>
      <c r="AO326" s="25"/>
      <c r="AP326" s="20"/>
    </row>
    <row r="327" spans="1:42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84</v>
      </c>
      <c r="K327" s="20" t="s">
        <v>84</v>
      </c>
      <c r="L327" s="20"/>
      <c r="M327" s="20"/>
      <c r="N327" s="20" t="s">
        <v>84</v>
      </c>
      <c r="O327" s="20" t="s">
        <v>84</v>
      </c>
      <c r="P327" s="20" t="s">
        <v>84</v>
      </c>
      <c r="Q327" s="20"/>
      <c r="R327" s="20"/>
      <c r="S327" s="19"/>
      <c r="T327" s="20"/>
      <c r="U327" s="19"/>
      <c r="V327" s="22"/>
      <c r="W327" s="22"/>
      <c r="X327" s="20"/>
      <c r="AO327" s="25"/>
      <c r="AP327" s="20"/>
    </row>
    <row r="328" spans="1:42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84</v>
      </c>
      <c r="K328" s="20" t="s">
        <v>84</v>
      </c>
      <c r="L328" s="20"/>
      <c r="M328" s="20"/>
      <c r="N328" s="20" t="s">
        <v>84</v>
      </c>
      <c r="O328" s="20" t="s">
        <v>84</v>
      </c>
      <c r="P328" s="20" t="s">
        <v>84</v>
      </c>
      <c r="Q328" s="20"/>
      <c r="R328" s="20"/>
      <c r="S328" s="19"/>
      <c r="T328" s="20"/>
      <c r="U328" s="19"/>
      <c r="V328" s="22"/>
      <c r="W328" s="22"/>
      <c r="X328" s="20"/>
      <c r="AO328" s="25"/>
      <c r="AP328" s="20"/>
    </row>
    <row r="329" spans="1:42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84</v>
      </c>
      <c r="K329" s="20" t="s">
        <v>84</v>
      </c>
      <c r="L329" s="20"/>
      <c r="M329" s="20"/>
      <c r="N329" s="20" t="s">
        <v>84</v>
      </c>
      <c r="O329" s="20" t="s">
        <v>84</v>
      </c>
      <c r="P329" s="20" t="s">
        <v>84</v>
      </c>
      <c r="Q329" s="20"/>
      <c r="R329" s="20"/>
      <c r="S329" s="19"/>
      <c r="T329" s="20"/>
      <c r="U329" s="19"/>
      <c r="V329" s="22"/>
      <c r="W329" s="22"/>
      <c r="X329" s="20"/>
      <c r="AO329" s="25"/>
      <c r="AP329" s="20"/>
    </row>
    <row r="330" spans="1:42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84</v>
      </c>
      <c r="K330" s="20" t="s">
        <v>84</v>
      </c>
      <c r="L330" s="20"/>
      <c r="M330" s="20"/>
      <c r="N330" s="20" t="s">
        <v>84</v>
      </c>
      <c r="O330" s="20" t="s">
        <v>84</v>
      </c>
      <c r="P330" s="20" t="s">
        <v>84</v>
      </c>
      <c r="Q330" s="20"/>
      <c r="R330" s="20"/>
      <c r="S330" s="19"/>
      <c r="T330" s="20"/>
      <c r="U330" s="19"/>
      <c r="V330" s="22"/>
      <c r="W330" s="22"/>
      <c r="X330" s="20"/>
      <c r="AO330" s="25"/>
      <c r="AP330" s="20"/>
    </row>
    <row r="331" spans="1:42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84</v>
      </c>
      <c r="K331" s="20" t="s">
        <v>84</v>
      </c>
      <c r="L331" s="20"/>
      <c r="M331" s="20"/>
      <c r="N331" s="20" t="s">
        <v>84</v>
      </c>
      <c r="O331" s="20" t="s">
        <v>84</v>
      </c>
      <c r="P331" s="20" t="s">
        <v>84</v>
      </c>
      <c r="Q331" s="20"/>
      <c r="R331" s="20"/>
      <c r="S331" s="19"/>
      <c r="T331" s="20"/>
      <c r="U331" s="19"/>
      <c r="V331" s="22"/>
      <c r="W331" s="22"/>
      <c r="X331" s="20"/>
      <c r="AO331" s="25"/>
      <c r="AP331" s="20"/>
    </row>
    <row r="332" spans="1:42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84</v>
      </c>
      <c r="K332" s="20" t="s">
        <v>84</v>
      </c>
      <c r="L332" s="20"/>
      <c r="M332" s="20"/>
      <c r="N332" s="20" t="s">
        <v>84</v>
      </c>
      <c r="O332" s="20" t="s">
        <v>84</v>
      </c>
      <c r="P332" s="20" t="s">
        <v>84</v>
      </c>
      <c r="Q332" s="20"/>
      <c r="R332" s="20"/>
      <c r="S332" s="19"/>
      <c r="T332" s="20"/>
      <c r="U332" s="19"/>
      <c r="V332" s="22"/>
      <c r="W332" s="22"/>
      <c r="X332" s="20"/>
      <c r="AO332" s="25"/>
      <c r="AP332" s="20"/>
    </row>
    <row r="333" spans="1:42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84</v>
      </c>
      <c r="K333" s="20" t="s">
        <v>84</v>
      </c>
      <c r="L333" s="20"/>
      <c r="M333" s="20"/>
      <c r="N333" s="20" t="s">
        <v>84</v>
      </c>
      <c r="O333" s="20" t="s">
        <v>84</v>
      </c>
      <c r="P333" s="20" t="s">
        <v>84</v>
      </c>
      <c r="Q333" s="20"/>
      <c r="R333" s="20"/>
      <c r="S333" s="19"/>
      <c r="T333" s="20"/>
      <c r="U333" s="19"/>
      <c r="V333" s="22"/>
      <c r="W333" s="22"/>
      <c r="X333" s="20"/>
      <c r="AO333" s="25"/>
      <c r="AP333" s="20"/>
    </row>
    <row r="334" spans="1:42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84</v>
      </c>
      <c r="K334" s="20" t="s">
        <v>84</v>
      </c>
      <c r="L334" s="20"/>
      <c r="M334" s="20"/>
      <c r="N334" s="20" t="s">
        <v>84</v>
      </c>
      <c r="O334" s="20" t="s">
        <v>84</v>
      </c>
      <c r="P334" s="20" t="s">
        <v>84</v>
      </c>
      <c r="Q334" s="20"/>
      <c r="R334" s="20"/>
      <c r="S334" s="19"/>
      <c r="T334" s="20"/>
      <c r="U334" s="19"/>
      <c r="V334" s="22"/>
      <c r="W334" s="22"/>
      <c r="X334" s="20"/>
      <c r="AO334" s="25"/>
      <c r="AP334" s="20"/>
    </row>
    <row r="335" spans="1:42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84</v>
      </c>
      <c r="K335" s="20" t="s">
        <v>84</v>
      </c>
      <c r="L335" s="20"/>
      <c r="M335" s="20"/>
      <c r="N335" s="20" t="s">
        <v>84</v>
      </c>
      <c r="O335" s="20" t="s">
        <v>84</v>
      </c>
      <c r="P335" s="20" t="s">
        <v>84</v>
      </c>
      <c r="Q335" s="20"/>
      <c r="R335" s="20"/>
      <c r="S335" s="19"/>
      <c r="T335" s="20"/>
      <c r="U335" s="19"/>
      <c r="V335" s="22"/>
      <c r="W335" s="22"/>
      <c r="X335" s="20"/>
      <c r="AO335" s="25"/>
      <c r="AP335" s="20"/>
    </row>
    <row r="336" spans="1:42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84</v>
      </c>
      <c r="K336" s="20" t="s">
        <v>84</v>
      </c>
      <c r="L336" s="20"/>
      <c r="M336" s="20"/>
      <c r="N336" s="20" t="s">
        <v>84</v>
      </c>
      <c r="O336" s="20" t="s">
        <v>84</v>
      </c>
      <c r="P336" s="20" t="s">
        <v>84</v>
      </c>
      <c r="Q336" s="20"/>
      <c r="R336" s="20"/>
      <c r="S336" s="19"/>
      <c r="T336" s="20"/>
      <c r="U336" s="19"/>
      <c r="V336" s="22"/>
      <c r="W336" s="22"/>
      <c r="X336" s="20"/>
      <c r="AO336" s="25"/>
      <c r="AP336" s="20"/>
    </row>
    <row r="337" spans="1:42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84</v>
      </c>
      <c r="K337" s="20" t="s">
        <v>84</v>
      </c>
      <c r="L337" s="20"/>
      <c r="M337" s="20"/>
      <c r="N337" s="20" t="s">
        <v>84</v>
      </c>
      <c r="O337" s="20" t="s">
        <v>84</v>
      </c>
      <c r="P337" s="20" t="s">
        <v>84</v>
      </c>
      <c r="Q337" s="20"/>
      <c r="R337" s="20"/>
      <c r="S337" s="19"/>
      <c r="T337" s="20"/>
      <c r="U337" s="19"/>
      <c r="V337" s="22"/>
      <c r="W337" s="22"/>
      <c r="X337" s="20"/>
      <c r="AO337" s="25"/>
      <c r="AP337" s="20"/>
    </row>
    <row r="338" spans="1:42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84</v>
      </c>
      <c r="K338" s="20" t="s">
        <v>84</v>
      </c>
      <c r="L338" s="20"/>
      <c r="M338" s="20"/>
      <c r="N338" s="20" t="s">
        <v>84</v>
      </c>
      <c r="O338" s="20" t="s">
        <v>84</v>
      </c>
      <c r="P338" s="20" t="s">
        <v>84</v>
      </c>
      <c r="Q338" s="20"/>
      <c r="R338" s="20"/>
      <c r="S338" s="19"/>
      <c r="T338" s="20"/>
      <c r="U338" s="19"/>
      <c r="V338" s="22"/>
      <c r="W338" s="22"/>
      <c r="X338" s="20"/>
      <c r="AO338" s="25"/>
      <c r="AP338" s="20"/>
    </row>
    <row r="339" spans="1:42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84</v>
      </c>
      <c r="K339" s="20" t="s">
        <v>84</v>
      </c>
      <c r="L339" s="20"/>
      <c r="M339" s="20"/>
      <c r="N339" s="20" t="s">
        <v>84</v>
      </c>
      <c r="O339" s="20" t="s">
        <v>84</v>
      </c>
      <c r="P339" s="20" t="s">
        <v>84</v>
      </c>
      <c r="Q339" s="20"/>
      <c r="R339" s="20"/>
      <c r="S339" s="19"/>
      <c r="T339" s="20"/>
      <c r="U339" s="19"/>
      <c r="V339" s="22"/>
      <c r="W339" s="22"/>
      <c r="X339" s="20"/>
      <c r="AO339" s="25"/>
      <c r="AP339" s="20"/>
    </row>
    <row r="340" spans="1:42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84</v>
      </c>
      <c r="K340" s="20" t="s">
        <v>84</v>
      </c>
      <c r="L340" s="20"/>
      <c r="M340" s="20"/>
      <c r="N340" s="20" t="s">
        <v>84</v>
      </c>
      <c r="O340" s="20" t="s">
        <v>84</v>
      </c>
      <c r="P340" s="20" t="s">
        <v>84</v>
      </c>
      <c r="Q340" s="20"/>
      <c r="R340" s="20"/>
      <c r="S340" s="19"/>
      <c r="T340" s="20"/>
      <c r="U340" s="19"/>
      <c r="V340" s="22"/>
      <c r="W340" s="22"/>
      <c r="X340" s="20"/>
      <c r="AO340" s="25"/>
      <c r="AP340" s="20"/>
    </row>
    <row r="341" spans="1:42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84</v>
      </c>
      <c r="K341" s="20" t="s">
        <v>84</v>
      </c>
      <c r="L341" s="20"/>
      <c r="M341" s="20"/>
      <c r="N341" s="20" t="s">
        <v>84</v>
      </c>
      <c r="O341" s="20" t="s">
        <v>84</v>
      </c>
      <c r="P341" s="20" t="s">
        <v>84</v>
      </c>
      <c r="Q341" s="20"/>
      <c r="R341" s="20"/>
      <c r="S341" s="19"/>
      <c r="T341" s="20"/>
      <c r="U341" s="19"/>
      <c r="V341" s="22"/>
      <c r="W341" s="22"/>
      <c r="X341" s="20"/>
      <c r="AO341" s="25"/>
      <c r="AP341" s="20"/>
    </row>
    <row r="342" spans="1:42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84</v>
      </c>
      <c r="K342" s="20" t="s">
        <v>84</v>
      </c>
      <c r="L342" s="20"/>
      <c r="M342" s="20"/>
      <c r="N342" s="20" t="s">
        <v>84</v>
      </c>
      <c r="O342" s="20" t="s">
        <v>84</v>
      </c>
      <c r="P342" s="20" t="s">
        <v>84</v>
      </c>
      <c r="Q342" s="20"/>
      <c r="R342" s="20"/>
      <c r="S342" s="19"/>
      <c r="T342" s="20"/>
      <c r="U342" s="19"/>
      <c r="V342" s="22"/>
      <c r="W342" s="22"/>
      <c r="X342" s="20"/>
      <c r="AO342" s="25"/>
      <c r="AP342" s="20"/>
    </row>
    <row r="343" spans="1:42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84</v>
      </c>
      <c r="K343" s="20" t="s">
        <v>84</v>
      </c>
      <c r="L343" s="20"/>
      <c r="M343" s="20"/>
      <c r="N343" s="20" t="s">
        <v>84</v>
      </c>
      <c r="O343" s="20" t="s">
        <v>84</v>
      </c>
      <c r="P343" s="20" t="s">
        <v>84</v>
      </c>
      <c r="Q343" s="20"/>
      <c r="R343" s="20"/>
      <c r="S343" s="19"/>
      <c r="T343" s="20"/>
      <c r="U343" s="19"/>
      <c r="V343" s="22"/>
      <c r="W343" s="22"/>
      <c r="X343" s="20"/>
      <c r="AO343" s="25"/>
      <c r="AP343" s="20"/>
    </row>
    <row r="344" spans="1:42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84</v>
      </c>
      <c r="K344" s="20" t="s">
        <v>84</v>
      </c>
      <c r="L344" s="20"/>
      <c r="M344" s="20"/>
      <c r="N344" s="20" t="s">
        <v>84</v>
      </c>
      <c r="O344" s="20" t="s">
        <v>84</v>
      </c>
      <c r="P344" s="20" t="s">
        <v>84</v>
      </c>
      <c r="Q344" s="20"/>
      <c r="R344" s="20"/>
      <c r="S344" s="19"/>
      <c r="T344" s="20"/>
      <c r="U344" s="19"/>
      <c r="V344" s="22"/>
      <c r="W344" s="22"/>
      <c r="X344" s="20"/>
      <c r="AO344" s="25"/>
      <c r="AP344" s="20"/>
    </row>
    <row r="345" spans="1:42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84</v>
      </c>
      <c r="K345" s="20" t="s">
        <v>84</v>
      </c>
      <c r="L345" s="20"/>
      <c r="M345" s="20"/>
      <c r="N345" s="20" t="s">
        <v>84</v>
      </c>
      <c r="O345" s="20" t="s">
        <v>84</v>
      </c>
      <c r="P345" s="20" t="s">
        <v>84</v>
      </c>
      <c r="Q345" s="20"/>
      <c r="R345" s="20"/>
      <c r="S345" s="19"/>
      <c r="T345" s="20"/>
      <c r="U345" s="19"/>
      <c r="V345" s="22"/>
      <c r="W345" s="22"/>
      <c r="X345" s="20"/>
      <c r="AO345" s="25"/>
      <c r="AP345" s="20"/>
    </row>
    <row r="346" spans="1:42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84</v>
      </c>
      <c r="K346" s="20" t="s">
        <v>84</v>
      </c>
      <c r="L346" s="20"/>
      <c r="M346" s="20"/>
      <c r="N346" s="20" t="s">
        <v>84</v>
      </c>
      <c r="O346" s="20" t="s">
        <v>84</v>
      </c>
      <c r="P346" s="20" t="s">
        <v>84</v>
      </c>
      <c r="Q346" s="20"/>
      <c r="R346" s="20"/>
      <c r="S346" s="19"/>
      <c r="T346" s="20"/>
      <c r="U346" s="19"/>
      <c r="V346" s="22"/>
      <c r="W346" s="22"/>
      <c r="X346" s="20"/>
      <c r="AO346" s="25"/>
      <c r="AP346" s="20"/>
    </row>
    <row r="347" spans="1:42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84</v>
      </c>
      <c r="K347" s="20" t="s">
        <v>84</v>
      </c>
      <c r="L347" s="20"/>
      <c r="M347" s="20"/>
      <c r="N347" s="20" t="s">
        <v>84</v>
      </c>
      <c r="O347" s="20" t="s">
        <v>84</v>
      </c>
      <c r="P347" s="20" t="s">
        <v>84</v>
      </c>
      <c r="Q347" s="20"/>
      <c r="R347" s="20"/>
      <c r="S347" s="19"/>
      <c r="T347" s="20"/>
      <c r="U347" s="19"/>
      <c r="V347" s="22"/>
      <c r="W347" s="22"/>
      <c r="X347" s="20"/>
      <c r="AO347" s="25"/>
      <c r="AP347" s="20"/>
    </row>
    <row r="348" spans="1:42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84</v>
      </c>
      <c r="K348" s="20" t="s">
        <v>84</v>
      </c>
      <c r="L348" s="20"/>
      <c r="M348" s="20"/>
      <c r="N348" s="20" t="s">
        <v>84</v>
      </c>
      <c r="O348" s="20" t="s">
        <v>84</v>
      </c>
      <c r="P348" s="20" t="s">
        <v>84</v>
      </c>
      <c r="Q348" s="20"/>
      <c r="R348" s="20"/>
      <c r="S348" s="19"/>
      <c r="T348" s="20"/>
      <c r="U348" s="19"/>
      <c r="V348" s="22"/>
      <c r="W348" s="22"/>
      <c r="X348" s="20"/>
      <c r="AO348" s="25"/>
      <c r="AP348" s="20"/>
    </row>
    <row r="349" spans="1:42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84</v>
      </c>
      <c r="K349" s="20" t="s">
        <v>84</v>
      </c>
      <c r="L349" s="20"/>
      <c r="M349" s="20"/>
      <c r="N349" s="20" t="s">
        <v>84</v>
      </c>
      <c r="O349" s="20" t="s">
        <v>84</v>
      </c>
      <c r="P349" s="20" t="s">
        <v>84</v>
      </c>
      <c r="Q349" s="20"/>
      <c r="R349" s="20"/>
      <c r="S349" s="19"/>
      <c r="T349" s="20"/>
      <c r="U349" s="19"/>
      <c r="V349" s="22"/>
      <c r="W349" s="22"/>
      <c r="X349" s="20"/>
      <c r="AO349" s="25"/>
      <c r="AP349" s="20"/>
    </row>
    <row r="350" spans="1:42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84</v>
      </c>
      <c r="K350" s="20" t="s">
        <v>84</v>
      </c>
      <c r="L350" s="20"/>
      <c r="M350" s="20"/>
      <c r="N350" s="20" t="s">
        <v>84</v>
      </c>
      <c r="O350" s="20" t="s">
        <v>84</v>
      </c>
      <c r="P350" s="20" t="s">
        <v>84</v>
      </c>
      <c r="Q350" s="20"/>
      <c r="R350" s="20"/>
      <c r="S350" s="19"/>
      <c r="T350" s="20"/>
      <c r="U350" s="19"/>
      <c r="V350" s="22"/>
      <c r="W350" s="22"/>
      <c r="X350" s="20"/>
      <c r="AO350" s="25"/>
      <c r="AP350" s="20"/>
    </row>
    <row r="351" spans="1:42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84</v>
      </c>
      <c r="K351" s="20" t="s">
        <v>84</v>
      </c>
      <c r="L351" s="20"/>
      <c r="M351" s="20"/>
      <c r="N351" s="20" t="s">
        <v>84</v>
      </c>
      <c r="O351" s="20" t="s">
        <v>84</v>
      </c>
      <c r="P351" s="20" t="s">
        <v>84</v>
      </c>
      <c r="Q351" s="20"/>
      <c r="R351" s="20"/>
      <c r="S351" s="19"/>
      <c r="T351" s="20"/>
      <c r="U351" s="19"/>
      <c r="V351" s="22"/>
      <c r="W351" s="22"/>
      <c r="X351" s="20"/>
      <c r="AO351" s="25"/>
      <c r="AP351" s="20"/>
    </row>
    <row r="352" spans="1:42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84</v>
      </c>
      <c r="K352" s="20" t="s">
        <v>84</v>
      </c>
      <c r="L352" s="20"/>
      <c r="M352" s="20"/>
      <c r="N352" s="20" t="s">
        <v>84</v>
      </c>
      <c r="O352" s="20" t="s">
        <v>84</v>
      </c>
      <c r="P352" s="20" t="s">
        <v>84</v>
      </c>
      <c r="Q352" s="20"/>
      <c r="R352" s="20"/>
      <c r="S352" s="19"/>
      <c r="T352" s="20"/>
      <c r="U352" s="19"/>
      <c r="V352" s="22"/>
      <c r="W352" s="22"/>
      <c r="X352" s="20"/>
      <c r="AO352" s="25"/>
      <c r="AP352" s="20"/>
    </row>
    <row r="353" spans="1:42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84</v>
      </c>
      <c r="K353" s="20" t="s">
        <v>84</v>
      </c>
      <c r="L353" s="20"/>
      <c r="M353" s="20"/>
      <c r="N353" s="20" t="s">
        <v>84</v>
      </c>
      <c r="O353" s="20" t="s">
        <v>84</v>
      </c>
      <c r="P353" s="20" t="s">
        <v>84</v>
      </c>
      <c r="Q353" s="20"/>
      <c r="R353" s="20"/>
      <c r="S353" s="19"/>
      <c r="T353" s="20"/>
      <c r="U353" s="19"/>
      <c r="V353" s="22"/>
      <c r="W353" s="22"/>
      <c r="X353" s="20"/>
      <c r="AO353" s="25"/>
      <c r="AP353" s="20"/>
    </row>
    <row r="354" spans="1:42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84</v>
      </c>
      <c r="K354" s="20" t="s">
        <v>84</v>
      </c>
      <c r="L354" s="20"/>
      <c r="M354" s="20"/>
      <c r="N354" s="20" t="s">
        <v>84</v>
      </c>
      <c r="O354" s="20" t="s">
        <v>84</v>
      </c>
      <c r="P354" s="20" t="s">
        <v>84</v>
      </c>
      <c r="Q354" s="20"/>
      <c r="R354" s="20"/>
      <c r="S354" s="19"/>
      <c r="T354" s="20"/>
      <c r="U354" s="19"/>
      <c r="V354" s="22"/>
      <c r="W354" s="22"/>
      <c r="X354" s="20"/>
      <c r="AO354" s="25"/>
      <c r="AP354" s="20"/>
    </row>
    <row r="355" spans="1:42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84</v>
      </c>
      <c r="K355" s="20" t="s">
        <v>84</v>
      </c>
      <c r="L355" s="20"/>
      <c r="M355" s="20"/>
      <c r="N355" s="20" t="s">
        <v>84</v>
      </c>
      <c r="O355" s="20" t="s">
        <v>84</v>
      </c>
      <c r="P355" s="20" t="s">
        <v>84</v>
      </c>
      <c r="Q355" s="20"/>
      <c r="R355" s="20"/>
      <c r="S355" s="19"/>
      <c r="T355" s="20"/>
      <c r="U355" s="19"/>
      <c r="V355" s="22"/>
      <c r="W355" s="22"/>
      <c r="X355" s="20"/>
      <c r="AO355" s="25"/>
      <c r="AP355" s="20"/>
    </row>
    <row r="356" spans="1:42" x14ac:dyDescent="0.2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84</v>
      </c>
      <c r="K356" s="20" t="s">
        <v>84</v>
      </c>
      <c r="L356" s="20"/>
      <c r="M356" s="20"/>
      <c r="N356" s="20" t="s">
        <v>84</v>
      </c>
      <c r="O356" s="20" t="s">
        <v>84</v>
      </c>
      <c r="P356" s="20" t="s">
        <v>84</v>
      </c>
      <c r="Q356" s="20"/>
      <c r="R356" s="20"/>
      <c r="S356" s="19"/>
      <c r="T356" s="20"/>
      <c r="U356" s="19"/>
      <c r="V356" s="22"/>
      <c r="W356" s="22"/>
      <c r="X356" s="20"/>
      <c r="AO356" s="25"/>
      <c r="AP356" s="20"/>
    </row>
    <row r="357" spans="1:42" x14ac:dyDescent="0.2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84</v>
      </c>
      <c r="K357" s="20" t="s">
        <v>84</v>
      </c>
      <c r="L357" s="20"/>
      <c r="M357" s="20"/>
      <c r="N357" s="20" t="s">
        <v>84</v>
      </c>
      <c r="O357" s="20" t="s">
        <v>84</v>
      </c>
      <c r="P357" s="20" t="s">
        <v>84</v>
      </c>
      <c r="Q357" s="20"/>
      <c r="R357" s="20"/>
      <c r="S357" s="19"/>
      <c r="T357" s="20"/>
      <c r="U357" s="19"/>
      <c r="V357" s="22"/>
      <c r="W357" s="22"/>
      <c r="X357" s="20"/>
      <c r="AO357" s="25"/>
      <c r="AP357" s="20"/>
    </row>
    <row r="358" spans="1:42" x14ac:dyDescent="0.2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84</v>
      </c>
      <c r="K358" s="20" t="s">
        <v>84</v>
      </c>
      <c r="L358" s="20"/>
      <c r="M358" s="20"/>
      <c r="N358" s="20" t="s">
        <v>84</v>
      </c>
      <c r="O358" s="20" t="s">
        <v>84</v>
      </c>
      <c r="P358" s="20" t="s">
        <v>84</v>
      </c>
      <c r="Q358" s="20"/>
      <c r="R358" s="20"/>
      <c r="S358" s="19"/>
      <c r="T358" s="20"/>
      <c r="U358" s="19"/>
      <c r="V358" s="22"/>
      <c r="W358" s="22"/>
      <c r="X358" s="20"/>
      <c r="AO358" s="25"/>
      <c r="AP358" s="20"/>
    </row>
    <row r="359" spans="1:42" x14ac:dyDescent="0.2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84</v>
      </c>
      <c r="K359" s="20" t="s">
        <v>84</v>
      </c>
      <c r="L359" s="20"/>
      <c r="M359" s="20"/>
      <c r="N359" s="20" t="s">
        <v>84</v>
      </c>
      <c r="O359" s="20" t="s">
        <v>84</v>
      </c>
      <c r="P359" s="20" t="s">
        <v>84</v>
      </c>
      <c r="Q359" s="20"/>
      <c r="R359" s="20"/>
      <c r="S359" s="19"/>
      <c r="T359" s="20"/>
      <c r="U359" s="19"/>
      <c r="V359" s="22"/>
      <c r="W359" s="22"/>
      <c r="X359" s="20"/>
      <c r="AO359" s="25"/>
      <c r="AP359" s="20"/>
    </row>
    <row r="360" spans="1:42" x14ac:dyDescent="0.2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84</v>
      </c>
      <c r="K360" s="20" t="s">
        <v>84</v>
      </c>
      <c r="L360" s="20"/>
      <c r="M360" s="20"/>
      <c r="N360" s="20" t="s">
        <v>84</v>
      </c>
      <c r="O360" s="20" t="s">
        <v>84</v>
      </c>
      <c r="P360" s="20" t="s">
        <v>84</v>
      </c>
      <c r="Q360" s="20"/>
      <c r="R360" s="20"/>
      <c r="S360" s="19"/>
      <c r="T360" s="20"/>
      <c r="U360" s="19"/>
      <c r="V360" s="22"/>
      <c r="W360" s="22"/>
      <c r="X360" s="20"/>
      <c r="AO360" s="25"/>
      <c r="AP360" s="20"/>
    </row>
    <row r="361" spans="1:42" x14ac:dyDescent="0.2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84</v>
      </c>
      <c r="K361" s="20" t="s">
        <v>84</v>
      </c>
      <c r="L361" s="20"/>
      <c r="M361" s="20"/>
      <c r="N361" s="20" t="s">
        <v>84</v>
      </c>
      <c r="O361" s="20" t="s">
        <v>84</v>
      </c>
      <c r="P361" s="20" t="s">
        <v>84</v>
      </c>
      <c r="Q361" s="20"/>
      <c r="R361" s="20"/>
      <c r="S361" s="19"/>
      <c r="T361" s="20"/>
      <c r="U361" s="19"/>
      <c r="V361" s="22"/>
      <c r="W361" s="22"/>
      <c r="X361" s="20"/>
      <c r="AO361" s="25"/>
      <c r="AP361" s="20"/>
    </row>
    <row r="362" spans="1:42" x14ac:dyDescent="0.2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84</v>
      </c>
      <c r="K362" s="20" t="s">
        <v>84</v>
      </c>
      <c r="L362" s="20"/>
      <c r="M362" s="20"/>
      <c r="N362" s="20" t="s">
        <v>84</v>
      </c>
      <c r="O362" s="20" t="s">
        <v>84</v>
      </c>
      <c r="P362" s="20" t="s">
        <v>84</v>
      </c>
      <c r="Q362" s="20"/>
      <c r="R362" s="20"/>
      <c r="S362" s="19"/>
      <c r="T362" s="20"/>
      <c r="U362" s="19"/>
      <c r="V362" s="22"/>
      <c r="W362" s="22"/>
      <c r="X362" s="20"/>
      <c r="AO362" s="25"/>
      <c r="AP362" s="20"/>
    </row>
    <row r="363" spans="1:42" x14ac:dyDescent="0.2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84</v>
      </c>
      <c r="K363" s="20" t="s">
        <v>84</v>
      </c>
      <c r="L363" s="20"/>
      <c r="M363" s="20"/>
      <c r="N363" s="20" t="s">
        <v>84</v>
      </c>
      <c r="O363" s="20" t="s">
        <v>84</v>
      </c>
      <c r="P363" s="20" t="s">
        <v>84</v>
      </c>
      <c r="Q363" s="20"/>
      <c r="R363" s="20"/>
      <c r="S363" s="19"/>
      <c r="T363" s="20"/>
      <c r="U363" s="19"/>
      <c r="V363" s="22"/>
      <c r="W363" s="22"/>
      <c r="X363" s="20"/>
      <c r="AO363" s="25"/>
      <c r="AP363" s="20"/>
    </row>
    <row r="364" spans="1:42" x14ac:dyDescent="0.2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84</v>
      </c>
      <c r="K364" s="20" t="s">
        <v>84</v>
      </c>
      <c r="L364" s="20"/>
      <c r="M364" s="20"/>
      <c r="N364" s="20" t="s">
        <v>84</v>
      </c>
      <c r="O364" s="20" t="s">
        <v>84</v>
      </c>
      <c r="P364" s="20" t="s">
        <v>84</v>
      </c>
      <c r="Q364" s="20"/>
      <c r="R364" s="20"/>
      <c r="S364" s="19"/>
      <c r="T364" s="20"/>
      <c r="U364" s="19"/>
      <c r="V364" s="22"/>
      <c r="W364" s="22"/>
      <c r="X364" s="20"/>
      <c r="AO364" s="25"/>
      <c r="AP364" s="20"/>
    </row>
    <row r="365" spans="1:42" x14ac:dyDescent="0.2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84</v>
      </c>
      <c r="K365" s="20" t="s">
        <v>84</v>
      </c>
      <c r="L365" s="20"/>
      <c r="M365" s="20"/>
      <c r="N365" s="20" t="s">
        <v>84</v>
      </c>
      <c r="O365" s="20" t="s">
        <v>84</v>
      </c>
      <c r="P365" s="20" t="s">
        <v>84</v>
      </c>
      <c r="Q365" s="20"/>
      <c r="R365" s="20"/>
      <c r="S365" s="19"/>
      <c r="T365" s="20"/>
      <c r="U365" s="19"/>
      <c r="V365" s="22"/>
      <c r="W365" s="22"/>
      <c r="X365" s="20"/>
      <c r="AO365" s="25"/>
      <c r="AP365" s="20"/>
    </row>
    <row r="366" spans="1:42" x14ac:dyDescent="0.2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84</v>
      </c>
      <c r="K366" s="20" t="s">
        <v>84</v>
      </c>
      <c r="L366" s="20"/>
      <c r="M366" s="20"/>
      <c r="N366" s="20" t="s">
        <v>84</v>
      </c>
      <c r="O366" s="20" t="s">
        <v>84</v>
      </c>
      <c r="P366" s="20" t="s">
        <v>84</v>
      </c>
      <c r="Q366" s="20"/>
      <c r="R366" s="20"/>
      <c r="S366" s="19"/>
      <c r="T366" s="20"/>
      <c r="U366" s="19"/>
      <c r="V366" s="22"/>
      <c r="W366" s="22"/>
      <c r="X366" s="20"/>
      <c r="AO366" s="25"/>
      <c r="AP366" s="20"/>
    </row>
    <row r="367" spans="1:42" x14ac:dyDescent="0.2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84</v>
      </c>
      <c r="K367" s="20" t="s">
        <v>84</v>
      </c>
      <c r="L367" s="20"/>
      <c r="M367" s="20"/>
      <c r="N367" s="20" t="s">
        <v>84</v>
      </c>
      <c r="O367" s="20" t="s">
        <v>84</v>
      </c>
      <c r="P367" s="20" t="s">
        <v>84</v>
      </c>
      <c r="Q367" s="20"/>
      <c r="R367" s="20"/>
      <c r="S367" s="19"/>
      <c r="T367" s="20"/>
      <c r="U367" s="19"/>
      <c r="V367" s="22"/>
      <c r="W367" s="22"/>
      <c r="X367" s="20"/>
      <c r="AO367" s="25"/>
      <c r="AP367" s="20"/>
    </row>
    <row r="368" spans="1:42" x14ac:dyDescent="0.2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84</v>
      </c>
      <c r="K368" s="20" t="s">
        <v>84</v>
      </c>
      <c r="L368" s="20"/>
      <c r="M368" s="20"/>
      <c r="N368" s="20" t="s">
        <v>84</v>
      </c>
      <c r="O368" s="20" t="s">
        <v>84</v>
      </c>
      <c r="P368" s="20" t="s">
        <v>84</v>
      </c>
      <c r="Q368" s="20"/>
      <c r="R368" s="20"/>
      <c r="S368" s="19"/>
      <c r="T368" s="20"/>
      <c r="U368" s="19"/>
      <c r="V368" s="22"/>
      <c r="W368" s="22"/>
      <c r="X368" s="20"/>
      <c r="AO368" s="25"/>
      <c r="AP368" s="20"/>
    </row>
    <row r="369" spans="1:42" x14ac:dyDescent="0.2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84</v>
      </c>
      <c r="K369" s="20" t="s">
        <v>84</v>
      </c>
      <c r="L369" s="20"/>
      <c r="M369" s="20"/>
      <c r="N369" s="20" t="s">
        <v>84</v>
      </c>
      <c r="O369" s="20" t="s">
        <v>84</v>
      </c>
      <c r="P369" s="20" t="s">
        <v>84</v>
      </c>
      <c r="Q369" s="20"/>
      <c r="R369" s="20"/>
      <c r="S369" s="19"/>
      <c r="T369" s="20"/>
      <c r="U369" s="19"/>
      <c r="V369" s="22"/>
      <c r="W369" s="22"/>
      <c r="X369" s="20"/>
      <c r="AO369" s="25"/>
      <c r="AP369" s="20"/>
    </row>
    <row r="370" spans="1:42" x14ac:dyDescent="0.2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84</v>
      </c>
      <c r="K370" s="20" t="s">
        <v>84</v>
      </c>
      <c r="L370" s="20"/>
      <c r="M370" s="20"/>
      <c r="N370" s="20" t="s">
        <v>84</v>
      </c>
      <c r="O370" s="20" t="s">
        <v>84</v>
      </c>
      <c r="P370" s="20" t="s">
        <v>84</v>
      </c>
      <c r="Q370" s="20"/>
      <c r="R370" s="20"/>
      <c r="S370" s="19"/>
      <c r="T370" s="20"/>
      <c r="U370" s="19"/>
      <c r="V370" s="22"/>
      <c r="W370" s="22"/>
      <c r="X370" s="20"/>
      <c r="AO370" s="25"/>
      <c r="AP370" s="20"/>
    </row>
    <row r="371" spans="1:42" x14ac:dyDescent="0.2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84</v>
      </c>
      <c r="K371" s="20" t="s">
        <v>84</v>
      </c>
      <c r="L371" s="20"/>
      <c r="M371" s="20"/>
      <c r="N371" s="20" t="s">
        <v>84</v>
      </c>
      <c r="O371" s="20" t="s">
        <v>84</v>
      </c>
      <c r="P371" s="20" t="s">
        <v>84</v>
      </c>
      <c r="Q371" s="20"/>
      <c r="R371" s="20"/>
      <c r="S371" s="19"/>
      <c r="T371" s="20"/>
      <c r="U371" s="19"/>
      <c r="V371" s="22"/>
      <c r="W371" s="22"/>
      <c r="X371" s="20"/>
      <c r="AO371" s="25"/>
      <c r="AP371" s="20"/>
    </row>
    <row r="372" spans="1:42" x14ac:dyDescent="0.2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84</v>
      </c>
      <c r="K372" s="20" t="s">
        <v>84</v>
      </c>
      <c r="L372" s="20"/>
      <c r="M372" s="20"/>
      <c r="N372" s="20" t="s">
        <v>84</v>
      </c>
      <c r="O372" s="20" t="s">
        <v>84</v>
      </c>
      <c r="P372" s="20" t="s">
        <v>84</v>
      </c>
      <c r="Q372" s="20"/>
      <c r="R372" s="20"/>
      <c r="S372" s="19"/>
      <c r="T372" s="20"/>
      <c r="U372" s="19"/>
      <c r="V372" s="22"/>
      <c r="W372" s="22"/>
      <c r="X372" s="20"/>
      <c r="AO372" s="25"/>
      <c r="AP372" s="20"/>
    </row>
    <row r="373" spans="1:42" x14ac:dyDescent="0.2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84</v>
      </c>
      <c r="K373" s="20" t="s">
        <v>84</v>
      </c>
      <c r="L373" s="20"/>
      <c r="M373" s="20"/>
      <c r="N373" s="20" t="s">
        <v>84</v>
      </c>
      <c r="O373" s="20" t="s">
        <v>84</v>
      </c>
      <c r="P373" s="20" t="s">
        <v>84</v>
      </c>
      <c r="Q373" s="20"/>
      <c r="R373" s="20"/>
      <c r="S373" s="19"/>
      <c r="T373" s="20"/>
      <c r="U373" s="19"/>
      <c r="V373" s="22"/>
      <c r="W373" s="22"/>
      <c r="X373" s="20"/>
      <c r="AO373" s="25"/>
      <c r="AP373" s="20"/>
    </row>
    <row r="374" spans="1:42" x14ac:dyDescent="0.2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84</v>
      </c>
      <c r="K374" s="20" t="s">
        <v>84</v>
      </c>
      <c r="L374" s="20"/>
      <c r="M374" s="20"/>
      <c r="N374" s="20" t="s">
        <v>84</v>
      </c>
      <c r="O374" s="20" t="s">
        <v>84</v>
      </c>
      <c r="P374" s="20" t="s">
        <v>84</v>
      </c>
      <c r="Q374" s="20"/>
      <c r="R374" s="20"/>
      <c r="S374" s="19"/>
      <c r="T374" s="20"/>
      <c r="U374" s="19"/>
      <c r="V374" s="22"/>
      <c r="W374" s="22"/>
      <c r="X374" s="20"/>
      <c r="AO374" s="25"/>
      <c r="AP374" s="20"/>
    </row>
    <row r="375" spans="1:42" x14ac:dyDescent="0.2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84</v>
      </c>
      <c r="K375" s="20" t="s">
        <v>84</v>
      </c>
      <c r="L375" s="20"/>
      <c r="M375" s="20"/>
      <c r="N375" s="20" t="s">
        <v>84</v>
      </c>
      <c r="O375" s="20" t="s">
        <v>84</v>
      </c>
      <c r="P375" s="20" t="s">
        <v>84</v>
      </c>
      <c r="Q375" s="20"/>
      <c r="R375" s="20"/>
      <c r="S375" s="19"/>
      <c r="T375" s="20"/>
      <c r="U375" s="19"/>
      <c r="V375" s="22"/>
      <c r="W375" s="22"/>
      <c r="X375" s="20"/>
      <c r="AO375" s="25"/>
      <c r="AP375" s="20"/>
    </row>
    <row r="376" spans="1:42" x14ac:dyDescent="0.2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84</v>
      </c>
      <c r="K376" s="20" t="s">
        <v>84</v>
      </c>
      <c r="L376" s="20"/>
      <c r="M376" s="20"/>
      <c r="N376" s="20" t="s">
        <v>84</v>
      </c>
      <c r="O376" s="20" t="s">
        <v>84</v>
      </c>
      <c r="P376" s="20" t="s">
        <v>84</v>
      </c>
      <c r="Q376" s="20"/>
      <c r="R376" s="20"/>
      <c r="S376" s="19"/>
      <c r="T376" s="20"/>
      <c r="U376" s="19"/>
      <c r="V376" s="22"/>
      <c r="W376" s="22"/>
      <c r="X376" s="20"/>
      <c r="AO376" s="25"/>
      <c r="AP376" s="20"/>
    </row>
    <row r="377" spans="1:42" x14ac:dyDescent="0.2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84</v>
      </c>
      <c r="K377" s="20" t="s">
        <v>84</v>
      </c>
      <c r="L377" s="20"/>
      <c r="M377" s="20"/>
      <c r="N377" s="20" t="s">
        <v>84</v>
      </c>
      <c r="O377" s="20" t="s">
        <v>84</v>
      </c>
      <c r="P377" s="20" t="s">
        <v>84</v>
      </c>
      <c r="Q377" s="20"/>
      <c r="R377" s="20"/>
      <c r="S377" s="19"/>
      <c r="T377" s="20"/>
      <c r="U377" s="19"/>
      <c r="V377" s="22"/>
      <c r="W377" s="22"/>
      <c r="X377" s="20"/>
      <c r="AO377" s="25"/>
      <c r="AP377" s="20"/>
    </row>
    <row r="378" spans="1:42" x14ac:dyDescent="0.2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84</v>
      </c>
      <c r="K378" s="20" t="s">
        <v>84</v>
      </c>
      <c r="L378" s="20"/>
      <c r="M378" s="20"/>
      <c r="N378" s="20" t="s">
        <v>84</v>
      </c>
      <c r="O378" s="20" t="s">
        <v>84</v>
      </c>
      <c r="P378" s="20" t="s">
        <v>84</v>
      </c>
      <c r="Q378" s="20"/>
      <c r="R378" s="20"/>
      <c r="S378" s="19"/>
      <c r="T378" s="20"/>
      <c r="U378" s="19"/>
      <c r="V378" s="22"/>
      <c r="W378" s="22"/>
      <c r="X378" s="20"/>
      <c r="AO378" s="25"/>
      <c r="AP378" s="20"/>
    </row>
    <row r="379" spans="1:42" x14ac:dyDescent="0.2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84</v>
      </c>
      <c r="K379" s="20" t="s">
        <v>84</v>
      </c>
      <c r="L379" s="20"/>
      <c r="M379" s="20"/>
      <c r="N379" s="20" t="s">
        <v>84</v>
      </c>
      <c r="O379" s="20" t="s">
        <v>84</v>
      </c>
      <c r="P379" s="20" t="s">
        <v>84</v>
      </c>
      <c r="Q379" s="20"/>
      <c r="R379" s="20"/>
      <c r="S379" s="19"/>
      <c r="T379" s="20"/>
      <c r="U379" s="19"/>
      <c r="V379" s="22"/>
      <c r="W379" s="22"/>
      <c r="X379" s="20"/>
      <c r="AO379" s="25"/>
      <c r="AP379" s="20"/>
    </row>
    <row r="380" spans="1:42" x14ac:dyDescent="0.2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84</v>
      </c>
      <c r="K380" s="20" t="s">
        <v>84</v>
      </c>
      <c r="L380" s="20"/>
      <c r="M380" s="20"/>
      <c r="N380" s="20" t="s">
        <v>84</v>
      </c>
      <c r="O380" s="20" t="s">
        <v>84</v>
      </c>
      <c r="P380" s="20" t="s">
        <v>84</v>
      </c>
      <c r="Q380" s="20"/>
      <c r="R380" s="20"/>
      <c r="S380" s="19"/>
      <c r="T380" s="20"/>
      <c r="U380" s="19"/>
      <c r="V380" s="22"/>
      <c r="W380" s="22"/>
      <c r="X380" s="20"/>
      <c r="AO380" s="25"/>
      <c r="AP380" s="20"/>
    </row>
    <row r="381" spans="1:42" x14ac:dyDescent="0.2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84</v>
      </c>
      <c r="K381" s="20" t="s">
        <v>84</v>
      </c>
      <c r="L381" s="20"/>
      <c r="M381" s="20"/>
      <c r="N381" s="20" t="s">
        <v>84</v>
      </c>
      <c r="O381" s="20" t="s">
        <v>84</v>
      </c>
      <c r="P381" s="20" t="s">
        <v>84</v>
      </c>
      <c r="Q381" s="20"/>
      <c r="R381" s="20"/>
      <c r="S381" s="19"/>
      <c r="T381" s="20"/>
      <c r="U381" s="19"/>
      <c r="V381" s="22"/>
      <c r="W381" s="22"/>
      <c r="X381" s="20"/>
      <c r="AO381" s="25"/>
      <c r="AP381" s="20"/>
    </row>
    <row r="382" spans="1:42" x14ac:dyDescent="0.2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84</v>
      </c>
      <c r="K382" s="20" t="s">
        <v>84</v>
      </c>
      <c r="L382" s="20"/>
      <c r="M382" s="20"/>
      <c r="N382" s="20" t="s">
        <v>84</v>
      </c>
      <c r="O382" s="20" t="s">
        <v>84</v>
      </c>
      <c r="P382" s="20" t="s">
        <v>84</v>
      </c>
      <c r="Q382" s="20"/>
      <c r="R382" s="20"/>
      <c r="S382" s="19"/>
      <c r="T382" s="20"/>
      <c r="U382" s="19"/>
      <c r="V382" s="22"/>
      <c r="W382" s="22"/>
      <c r="X382" s="20"/>
      <c r="AO382" s="25"/>
      <c r="AP382" s="20"/>
    </row>
    <row r="383" spans="1:42" x14ac:dyDescent="0.2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84</v>
      </c>
      <c r="K383" s="20" t="s">
        <v>84</v>
      </c>
      <c r="L383" s="20"/>
      <c r="M383" s="20"/>
      <c r="N383" s="20" t="s">
        <v>84</v>
      </c>
      <c r="O383" s="20" t="s">
        <v>84</v>
      </c>
      <c r="P383" s="20" t="s">
        <v>84</v>
      </c>
      <c r="Q383" s="20"/>
      <c r="R383" s="20"/>
      <c r="S383" s="19"/>
      <c r="T383" s="20"/>
      <c r="U383" s="19"/>
      <c r="V383" s="22"/>
      <c r="W383" s="22"/>
      <c r="X383" s="20"/>
      <c r="AO383" s="25"/>
      <c r="AP383" s="20"/>
    </row>
    <row r="384" spans="1:42" x14ac:dyDescent="0.2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84</v>
      </c>
      <c r="K384" s="20" t="s">
        <v>84</v>
      </c>
      <c r="L384" s="20"/>
      <c r="M384" s="20"/>
      <c r="N384" s="20" t="s">
        <v>84</v>
      </c>
      <c r="O384" s="20" t="s">
        <v>84</v>
      </c>
      <c r="P384" s="20" t="s">
        <v>84</v>
      </c>
      <c r="Q384" s="20"/>
      <c r="R384" s="20"/>
      <c r="S384" s="19"/>
      <c r="T384" s="20"/>
      <c r="U384" s="19"/>
      <c r="V384" s="22"/>
      <c r="W384" s="22"/>
      <c r="X384" s="20"/>
      <c r="AO384" s="25"/>
      <c r="AP384" s="20"/>
    </row>
    <row r="385" spans="1:42" x14ac:dyDescent="0.2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84</v>
      </c>
      <c r="K385" s="20" t="s">
        <v>84</v>
      </c>
      <c r="L385" s="20"/>
      <c r="M385" s="20"/>
      <c r="N385" s="20" t="s">
        <v>84</v>
      </c>
      <c r="O385" s="20" t="s">
        <v>84</v>
      </c>
      <c r="P385" s="20" t="s">
        <v>84</v>
      </c>
      <c r="Q385" s="20"/>
      <c r="R385" s="20"/>
      <c r="S385" s="19"/>
      <c r="T385" s="20"/>
      <c r="U385" s="19"/>
      <c r="V385" s="22"/>
      <c r="W385" s="22"/>
      <c r="X385" s="20"/>
      <c r="AO385" s="25"/>
      <c r="AP385" s="20"/>
    </row>
    <row r="386" spans="1:42" x14ac:dyDescent="0.2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84</v>
      </c>
      <c r="K386" s="20" t="s">
        <v>84</v>
      </c>
      <c r="L386" s="20"/>
      <c r="M386" s="20"/>
      <c r="N386" s="20" t="s">
        <v>84</v>
      </c>
      <c r="O386" s="20" t="s">
        <v>84</v>
      </c>
      <c r="P386" s="20" t="s">
        <v>84</v>
      </c>
      <c r="Q386" s="20"/>
      <c r="R386" s="20"/>
      <c r="S386" s="19"/>
      <c r="T386" s="20"/>
      <c r="U386" s="19"/>
      <c r="V386" s="22"/>
      <c r="W386" s="22"/>
      <c r="X386" s="20"/>
      <c r="AO386" s="25"/>
      <c r="AP386" s="20"/>
    </row>
    <row r="387" spans="1:42" x14ac:dyDescent="0.2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84</v>
      </c>
      <c r="K387" s="20" t="s">
        <v>84</v>
      </c>
      <c r="L387" s="20"/>
      <c r="M387" s="20"/>
      <c r="N387" s="20" t="s">
        <v>84</v>
      </c>
      <c r="O387" s="20" t="s">
        <v>84</v>
      </c>
      <c r="P387" s="20" t="s">
        <v>84</v>
      </c>
      <c r="Q387" s="20"/>
      <c r="R387" s="20"/>
      <c r="S387" s="19"/>
      <c r="T387" s="20"/>
      <c r="U387" s="19"/>
      <c r="V387" s="22"/>
      <c r="W387" s="22"/>
      <c r="X387" s="20"/>
      <c r="AO387" s="25"/>
      <c r="AP387" s="20"/>
    </row>
    <row r="388" spans="1:42" x14ac:dyDescent="0.2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84</v>
      </c>
      <c r="K388" s="20" t="s">
        <v>84</v>
      </c>
      <c r="L388" s="20"/>
      <c r="M388" s="20"/>
      <c r="N388" s="20" t="s">
        <v>84</v>
      </c>
      <c r="O388" s="20" t="s">
        <v>84</v>
      </c>
      <c r="P388" s="20" t="s">
        <v>84</v>
      </c>
      <c r="Q388" s="20"/>
      <c r="R388" s="20"/>
      <c r="S388" s="19"/>
      <c r="T388" s="20"/>
      <c r="U388" s="19"/>
      <c r="V388" s="22"/>
      <c r="W388" s="22"/>
      <c r="X388" s="20"/>
      <c r="AO388" s="25"/>
      <c r="AP388" s="20"/>
    </row>
    <row r="389" spans="1:42" x14ac:dyDescent="0.2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84</v>
      </c>
      <c r="K389" s="20" t="s">
        <v>84</v>
      </c>
      <c r="L389" s="20"/>
      <c r="M389" s="20"/>
      <c r="N389" s="20" t="s">
        <v>84</v>
      </c>
      <c r="O389" s="20" t="s">
        <v>84</v>
      </c>
      <c r="P389" s="20" t="s">
        <v>84</v>
      </c>
      <c r="Q389" s="20"/>
      <c r="R389" s="20"/>
      <c r="S389" s="19"/>
      <c r="T389" s="20"/>
      <c r="U389" s="19"/>
      <c r="V389" s="22"/>
      <c r="W389" s="22"/>
      <c r="X389" s="20"/>
      <c r="AO389" s="25"/>
      <c r="AP389" s="20"/>
    </row>
    <row r="390" spans="1:42" x14ac:dyDescent="0.2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84</v>
      </c>
      <c r="K390" s="20" t="s">
        <v>84</v>
      </c>
      <c r="L390" s="20"/>
      <c r="M390" s="20"/>
      <c r="N390" s="20" t="s">
        <v>84</v>
      </c>
      <c r="O390" s="20" t="s">
        <v>84</v>
      </c>
      <c r="P390" s="20" t="s">
        <v>84</v>
      </c>
      <c r="Q390" s="20"/>
      <c r="R390" s="20"/>
      <c r="S390" s="19"/>
      <c r="T390" s="20"/>
      <c r="U390" s="19"/>
      <c r="V390" s="22"/>
      <c r="W390" s="22"/>
      <c r="X390" s="20"/>
      <c r="AO390" s="25"/>
      <c r="AP390" s="20"/>
    </row>
    <row r="391" spans="1:42" x14ac:dyDescent="0.2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84</v>
      </c>
      <c r="K391" s="20" t="s">
        <v>84</v>
      </c>
      <c r="L391" s="20"/>
      <c r="M391" s="20"/>
      <c r="N391" s="20" t="s">
        <v>84</v>
      </c>
      <c r="O391" s="20" t="s">
        <v>84</v>
      </c>
      <c r="P391" s="20" t="s">
        <v>84</v>
      </c>
      <c r="Q391" s="20"/>
      <c r="R391" s="20"/>
      <c r="S391" s="19"/>
      <c r="T391" s="20"/>
      <c r="U391" s="19"/>
      <c r="V391" s="22"/>
      <c r="W391" s="22"/>
      <c r="X391" s="20"/>
      <c r="AO391" s="25"/>
      <c r="AP391" s="20"/>
    </row>
    <row r="392" spans="1:42" x14ac:dyDescent="0.2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84</v>
      </c>
      <c r="K392" s="20" t="s">
        <v>84</v>
      </c>
      <c r="L392" s="20"/>
      <c r="M392" s="20"/>
      <c r="N392" s="20" t="s">
        <v>84</v>
      </c>
      <c r="O392" s="20" t="s">
        <v>84</v>
      </c>
      <c r="P392" s="20" t="s">
        <v>84</v>
      </c>
      <c r="Q392" s="20"/>
      <c r="R392" s="20"/>
      <c r="S392" s="19"/>
      <c r="T392" s="20"/>
      <c r="U392" s="19"/>
      <c r="V392" s="22"/>
      <c r="W392" s="22"/>
      <c r="X392" s="20"/>
      <c r="AO392" s="25"/>
      <c r="AP392" s="20"/>
    </row>
    <row r="393" spans="1:42" x14ac:dyDescent="0.2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84</v>
      </c>
      <c r="K393" s="20" t="s">
        <v>84</v>
      </c>
      <c r="L393" s="20"/>
      <c r="M393" s="20"/>
      <c r="N393" s="20" t="s">
        <v>84</v>
      </c>
      <c r="O393" s="20" t="s">
        <v>84</v>
      </c>
      <c r="P393" s="20" t="s">
        <v>84</v>
      </c>
      <c r="Q393" s="20"/>
      <c r="R393" s="20"/>
      <c r="S393" s="19"/>
      <c r="T393" s="20"/>
      <c r="U393" s="19"/>
      <c r="V393" s="22"/>
      <c r="W393" s="22"/>
      <c r="X393" s="20"/>
      <c r="AO393" s="25"/>
      <c r="AP393" s="20"/>
    </row>
    <row r="394" spans="1:42" x14ac:dyDescent="0.2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84</v>
      </c>
      <c r="K394" s="20" t="s">
        <v>84</v>
      </c>
      <c r="L394" s="20"/>
      <c r="M394" s="20"/>
      <c r="N394" s="20" t="s">
        <v>84</v>
      </c>
      <c r="O394" s="20" t="s">
        <v>84</v>
      </c>
      <c r="P394" s="20" t="s">
        <v>84</v>
      </c>
      <c r="Q394" s="20"/>
      <c r="R394" s="20"/>
      <c r="S394" s="19"/>
      <c r="T394" s="20"/>
      <c r="U394" s="19"/>
      <c r="V394" s="22"/>
      <c r="W394" s="22"/>
      <c r="X394" s="20"/>
      <c r="AO394" s="25"/>
      <c r="AP394" s="20"/>
    </row>
    <row r="395" spans="1:42" x14ac:dyDescent="0.2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84</v>
      </c>
      <c r="K395" s="20" t="s">
        <v>84</v>
      </c>
      <c r="L395" s="20"/>
      <c r="M395" s="20"/>
      <c r="N395" s="20" t="s">
        <v>84</v>
      </c>
      <c r="O395" s="20" t="s">
        <v>84</v>
      </c>
      <c r="P395" s="20" t="s">
        <v>84</v>
      </c>
      <c r="Q395" s="20"/>
      <c r="R395" s="20"/>
      <c r="S395" s="19"/>
      <c r="T395" s="20"/>
      <c r="U395" s="19"/>
      <c r="V395" s="22"/>
      <c r="W395" s="22"/>
      <c r="X395" s="20"/>
      <c r="AO395" s="25"/>
      <c r="AP395" s="20"/>
    </row>
    <row r="396" spans="1:42" x14ac:dyDescent="0.2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84</v>
      </c>
      <c r="K396" s="20" t="s">
        <v>84</v>
      </c>
      <c r="L396" s="20"/>
      <c r="M396" s="20"/>
      <c r="N396" s="20" t="s">
        <v>84</v>
      </c>
      <c r="O396" s="20" t="s">
        <v>84</v>
      </c>
      <c r="P396" s="20" t="s">
        <v>84</v>
      </c>
      <c r="Q396" s="20"/>
      <c r="R396" s="20"/>
      <c r="S396" s="19"/>
      <c r="T396" s="20"/>
      <c r="U396" s="19"/>
      <c r="V396" s="22"/>
      <c r="W396" s="22"/>
      <c r="X396" s="20"/>
      <c r="AO396" s="25"/>
      <c r="AP396" s="20"/>
    </row>
    <row r="397" spans="1:42" x14ac:dyDescent="0.2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84</v>
      </c>
      <c r="K397" s="20" t="s">
        <v>84</v>
      </c>
      <c r="L397" s="20"/>
      <c r="M397" s="20"/>
      <c r="N397" s="20" t="s">
        <v>84</v>
      </c>
      <c r="O397" s="20" t="s">
        <v>84</v>
      </c>
      <c r="P397" s="20" t="s">
        <v>84</v>
      </c>
      <c r="Q397" s="20"/>
      <c r="R397" s="20"/>
      <c r="S397" s="19"/>
      <c r="T397" s="20"/>
      <c r="U397" s="19"/>
      <c r="V397" s="22"/>
      <c r="W397" s="22"/>
      <c r="X397" s="20"/>
      <c r="AO397" s="25"/>
      <c r="AP397" s="20"/>
    </row>
    <row r="398" spans="1:42" x14ac:dyDescent="0.2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84</v>
      </c>
      <c r="K398" s="20" t="s">
        <v>84</v>
      </c>
      <c r="L398" s="20"/>
      <c r="M398" s="20"/>
      <c r="N398" s="20" t="s">
        <v>84</v>
      </c>
      <c r="O398" s="20" t="s">
        <v>84</v>
      </c>
      <c r="P398" s="20" t="s">
        <v>84</v>
      </c>
      <c r="Q398" s="20"/>
      <c r="R398" s="20"/>
      <c r="S398" s="19"/>
      <c r="T398" s="20"/>
      <c r="U398" s="19"/>
      <c r="V398" s="22"/>
      <c r="W398" s="22"/>
      <c r="X398" s="20"/>
      <c r="AO398" s="25"/>
      <c r="AP398" s="20"/>
    </row>
    <row r="399" spans="1:42" x14ac:dyDescent="0.2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84</v>
      </c>
      <c r="K399" s="20" t="s">
        <v>84</v>
      </c>
      <c r="L399" s="20"/>
      <c r="M399" s="20"/>
      <c r="N399" s="20" t="s">
        <v>84</v>
      </c>
      <c r="O399" s="20" t="s">
        <v>84</v>
      </c>
      <c r="P399" s="20" t="s">
        <v>84</v>
      </c>
      <c r="Q399" s="20"/>
      <c r="R399" s="20"/>
      <c r="S399" s="19"/>
      <c r="T399" s="20"/>
      <c r="U399" s="19"/>
      <c r="V399" s="22"/>
      <c r="W399" s="22"/>
      <c r="X399" s="20"/>
      <c r="AO399" s="25"/>
      <c r="AP399" s="20"/>
    </row>
    <row r="400" spans="1:42" x14ac:dyDescent="0.2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84</v>
      </c>
      <c r="K400" s="20" t="s">
        <v>84</v>
      </c>
      <c r="L400" s="20"/>
      <c r="M400" s="20"/>
      <c r="N400" s="20" t="s">
        <v>84</v>
      </c>
      <c r="O400" s="20" t="s">
        <v>84</v>
      </c>
      <c r="P400" s="20" t="s">
        <v>84</v>
      </c>
      <c r="Q400" s="20"/>
      <c r="R400" s="20"/>
      <c r="S400" s="19"/>
      <c r="T400" s="20"/>
      <c r="U400" s="19"/>
      <c r="V400" s="22"/>
      <c r="W400" s="22"/>
      <c r="X400" s="20"/>
      <c r="AO400" s="25"/>
      <c r="AP400" s="20"/>
    </row>
    <row r="401" spans="1:42" x14ac:dyDescent="0.2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84</v>
      </c>
      <c r="K401" s="20" t="s">
        <v>84</v>
      </c>
      <c r="L401" s="20"/>
      <c r="M401" s="20"/>
      <c r="N401" s="20" t="s">
        <v>84</v>
      </c>
      <c r="O401" s="20" t="s">
        <v>84</v>
      </c>
      <c r="P401" s="20" t="s">
        <v>84</v>
      </c>
      <c r="Q401" s="20"/>
      <c r="R401" s="20"/>
      <c r="S401" s="19"/>
      <c r="T401" s="20"/>
      <c r="U401" s="19"/>
      <c r="V401" s="22"/>
      <c r="W401" s="22"/>
      <c r="X401" s="20"/>
      <c r="AO401" s="25"/>
      <c r="AP401" s="20"/>
    </row>
    <row r="402" spans="1:42" x14ac:dyDescent="0.2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84</v>
      </c>
      <c r="K402" s="20" t="s">
        <v>84</v>
      </c>
      <c r="L402" s="20"/>
      <c r="M402" s="20"/>
      <c r="N402" s="20" t="s">
        <v>84</v>
      </c>
      <c r="O402" s="20" t="s">
        <v>84</v>
      </c>
      <c r="P402" s="20" t="s">
        <v>84</v>
      </c>
      <c r="Q402" s="20"/>
      <c r="R402" s="20"/>
      <c r="S402" s="19"/>
      <c r="T402" s="20"/>
      <c r="U402" s="19"/>
      <c r="V402" s="22"/>
      <c r="W402" s="22"/>
      <c r="X402" s="20"/>
      <c r="AO402" s="25"/>
      <c r="AP402" s="20"/>
    </row>
    <row r="403" spans="1:42" x14ac:dyDescent="0.2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84</v>
      </c>
      <c r="K403" s="20" t="s">
        <v>84</v>
      </c>
      <c r="L403" s="20"/>
      <c r="M403" s="20"/>
      <c r="N403" s="20" t="s">
        <v>84</v>
      </c>
      <c r="O403" s="20" t="s">
        <v>84</v>
      </c>
      <c r="P403" s="20" t="s">
        <v>84</v>
      </c>
      <c r="Q403" s="20"/>
      <c r="R403" s="20"/>
      <c r="S403" s="19"/>
      <c r="T403" s="20"/>
      <c r="U403" s="19"/>
      <c r="V403" s="22"/>
      <c r="W403" s="22"/>
      <c r="X403" s="20"/>
      <c r="AO403" s="25"/>
      <c r="AP403" s="20"/>
    </row>
    <row r="404" spans="1:42" x14ac:dyDescent="0.2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84</v>
      </c>
      <c r="K404" s="20" t="s">
        <v>84</v>
      </c>
      <c r="L404" s="20"/>
      <c r="M404" s="20"/>
      <c r="N404" s="20" t="s">
        <v>84</v>
      </c>
      <c r="O404" s="20" t="s">
        <v>84</v>
      </c>
      <c r="P404" s="20" t="s">
        <v>84</v>
      </c>
      <c r="Q404" s="20"/>
      <c r="R404" s="20"/>
      <c r="S404" s="19"/>
      <c r="T404" s="20"/>
      <c r="U404" s="19"/>
      <c r="V404" s="22"/>
      <c r="W404" s="22"/>
      <c r="X404" s="20"/>
      <c r="AO404" s="25"/>
      <c r="AP404" s="20"/>
    </row>
    <row r="405" spans="1:42" x14ac:dyDescent="0.2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84</v>
      </c>
      <c r="K405" s="20" t="s">
        <v>84</v>
      </c>
      <c r="L405" s="20"/>
      <c r="M405" s="20"/>
      <c r="N405" s="20" t="s">
        <v>84</v>
      </c>
      <c r="O405" s="20" t="s">
        <v>84</v>
      </c>
      <c r="P405" s="20" t="s">
        <v>84</v>
      </c>
      <c r="Q405" s="20"/>
      <c r="R405" s="20"/>
      <c r="S405" s="19"/>
      <c r="T405" s="20"/>
      <c r="U405" s="19"/>
      <c r="V405" s="22"/>
      <c r="W405" s="22"/>
      <c r="X405" s="20"/>
      <c r="AO405" s="25"/>
      <c r="AP405" s="20"/>
    </row>
    <row r="406" spans="1:42" x14ac:dyDescent="0.2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84</v>
      </c>
      <c r="K406" s="20" t="s">
        <v>84</v>
      </c>
      <c r="L406" s="20"/>
      <c r="M406" s="20"/>
      <c r="N406" s="20" t="s">
        <v>84</v>
      </c>
      <c r="O406" s="20" t="s">
        <v>84</v>
      </c>
      <c r="P406" s="20" t="s">
        <v>84</v>
      </c>
      <c r="Q406" s="20"/>
      <c r="R406" s="20"/>
      <c r="S406" s="19"/>
      <c r="T406" s="20"/>
      <c r="U406" s="19"/>
      <c r="V406" s="22"/>
      <c r="W406" s="22"/>
      <c r="X406" s="20"/>
      <c r="AO406" s="25"/>
      <c r="AP406" s="20"/>
    </row>
    <row r="407" spans="1:42" x14ac:dyDescent="0.2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84</v>
      </c>
      <c r="K407" s="20" t="s">
        <v>84</v>
      </c>
      <c r="L407" s="20"/>
      <c r="M407" s="20"/>
      <c r="N407" s="20" t="s">
        <v>84</v>
      </c>
      <c r="O407" s="20" t="s">
        <v>84</v>
      </c>
      <c r="P407" s="20" t="s">
        <v>84</v>
      </c>
      <c r="Q407" s="20"/>
      <c r="R407" s="20"/>
      <c r="S407" s="19"/>
      <c r="T407" s="20"/>
      <c r="U407" s="19"/>
      <c r="V407" s="22"/>
      <c r="W407" s="22"/>
      <c r="X407" s="20"/>
      <c r="AO407" s="25"/>
      <c r="AP407" s="20"/>
    </row>
    <row r="408" spans="1:42" x14ac:dyDescent="0.2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84</v>
      </c>
      <c r="K408" s="20" t="s">
        <v>84</v>
      </c>
      <c r="L408" s="20"/>
      <c r="M408" s="20"/>
      <c r="N408" s="20" t="s">
        <v>84</v>
      </c>
      <c r="O408" s="20" t="s">
        <v>84</v>
      </c>
      <c r="P408" s="20" t="s">
        <v>84</v>
      </c>
      <c r="Q408" s="20"/>
      <c r="R408" s="20"/>
      <c r="S408" s="19"/>
      <c r="T408" s="20"/>
      <c r="U408" s="19"/>
      <c r="V408" s="22"/>
      <c r="W408" s="22"/>
      <c r="X408" s="20"/>
      <c r="AO408" s="25"/>
      <c r="AP408" s="20"/>
    </row>
    <row r="409" spans="1:42" x14ac:dyDescent="0.2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84</v>
      </c>
      <c r="K409" s="20" t="s">
        <v>84</v>
      </c>
      <c r="L409" s="20"/>
      <c r="M409" s="20"/>
      <c r="N409" s="20" t="s">
        <v>84</v>
      </c>
      <c r="O409" s="20" t="s">
        <v>84</v>
      </c>
      <c r="P409" s="20" t="s">
        <v>84</v>
      </c>
      <c r="Q409" s="20"/>
      <c r="R409" s="20"/>
      <c r="S409" s="19"/>
      <c r="T409" s="20"/>
      <c r="U409" s="19"/>
      <c r="V409" s="22"/>
      <c r="W409" s="22"/>
      <c r="X409" s="20"/>
      <c r="AO409" s="25"/>
      <c r="AP409" s="20"/>
    </row>
    <row r="410" spans="1:42" x14ac:dyDescent="0.2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84</v>
      </c>
      <c r="K410" s="20" t="s">
        <v>84</v>
      </c>
      <c r="L410" s="20"/>
      <c r="M410" s="20"/>
      <c r="N410" s="20" t="s">
        <v>84</v>
      </c>
      <c r="O410" s="20" t="s">
        <v>84</v>
      </c>
      <c r="P410" s="20" t="s">
        <v>84</v>
      </c>
      <c r="Q410" s="20"/>
      <c r="R410" s="20"/>
      <c r="S410" s="19"/>
      <c r="T410" s="20"/>
      <c r="U410" s="19"/>
      <c r="V410" s="22"/>
      <c r="W410" s="22"/>
      <c r="X410" s="20"/>
      <c r="AO410" s="25"/>
      <c r="AP410" s="20"/>
    </row>
    <row r="411" spans="1:42" x14ac:dyDescent="0.2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84</v>
      </c>
      <c r="K411" s="20" t="s">
        <v>84</v>
      </c>
      <c r="L411" s="20"/>
      <c r="M411" s="20"/>
      <c r="N411" s="20" t="s">
        <v>84</v>
      </c>
      <c r="O411" s="20" t="s">
        <v>84</v>
      </c>
      <c r="P411" s="20" t="s">
        <v>84</v>
      </c>
      <c r="Q411" s="20"/>
      <c r="R411" s="20"/>
      <c r="S411" s="19"/>
      <c r="T411" s="20"/>
      <c r="U411" s="19"/>
      <c r="V411" s="22"/>
      <c r="W411" s="22"/>
      <c r="X411" s="20"/>
      <c r="AO411" s="25"/>
      <c r="AP411" s="20"/>
    </row>
    <row r="412" spans="1:42" x14ac:dyDescent="0.2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84</v>
      </c>
      <c r="K412" s="20" t="s">
        <v>84</v>
      </c>
      <c r="L412" s="20"/>
      <c r="M412" s="20"/>
      <c r="N412" s="20" t="s">
        <v>84</v>
      </c>
      <c r="O412" s="20" t="s">
        <v>84</v>
      </c>
      <c r="P412" s="20" t="s">
        <v>84</v>
      </c>
      <c r="Q412" s="20"/>
      <c r="R412" s="20"/>
      <c r="S412" s="19"/>
      <c r="T412" s="20"/>
      <c r="U412" s="19"/>
      <c r="V412" s="22"/>
      <c r="W412" s="22"/>
      <c r="X412" s="20"/>
      <c r="AO412" s="25"/>
      <c r="AP412" s="20"/>
    </row>
    <row r="413" spans="1:42" x14ac:dyDescent="0.2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84</v>
      </c>
      <c r="K413" s="20" t="s">
        <v>84</v>
      </c>
      <c r="L413" s="20"/>
      <c r="M413" s="20"/>
      <c r="N413" s="20" t="s">
        <v>84</v>
      </c>
      <c r="O413" s="20" t="s">
        <v>84</v>
      </c>
      <c r="P413" s="20" t="s">
        <v>84</v>
      </c>
      <c r="Q413" s="20"/>
      <c r="R413" s="20"/>
      <c r="S413" s="19"/>
      <c r="T413" s="20"/>
      <c r="U413" s="19"/>
      <c r="V413" s="22"/>
      <c r="W413" s="22"/>
      <c r="X413" s="20"/>
      <c r="AO413" s="25"/>
      <c r="AP413" s="20"/>
    </row>
    <row r="414" spans="1:42" x14ac:dyDescent="0.2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84</v>
      </c>
      <c r="K414" s="20" t="s">
        <v>84</v>
      </c>
      <c r="L414" s="20"/>
      <c r="M414" s="20"/>
      <c r="N414" s="20" t="s">
        <v>84</v>
      </c>
      <c r="O414" s="20" t="s">
        <v>84</v>
      </c>
      <c r="P414" s="20" t="s">
        <v>84</v>
      </c>
      <c r="Q414" s="20"/>
      <c r="R414" s="20"/>
      <c r="S414" s="19"/>
      <c r="T414" s="20"/>
      <c r="U414" s="19"/>
      <c r="V414" s="22"/>
      <c r="W414" s="22"/>
      <c r="X414" s="20"/>
      <c r="AO414" s="25"/>
      <c r="AP414" s="20"/>
    </row>
    <row r="415" spans="1:42" x14ac:dyDescent="0.2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84</v>
      </c>
      <c r="K415" s="20" t="s">
        <v>84</v>
      </c>
      <c r="L415" s="20"/>
      <c r="M415" s="20"/>
      <c r="N415" s="20" t="s">
        <v>84</v>
      </c>
      <c r="O415" s="20" t="s">
        <v>84</v>
      </c>
      <c r="P415" s="20" t="s">
        <v>84</v>
      </c>
      <c r="Q415" s="20"/>
      <c r="R415" s="20"/>
      <c r="S415" s="19"/>
      <c r="T415" s="20"/>
      <c r="U415" s="19"/>
      <c r="V415" s="22"/>
      <c r="W415" s="22"/>
      <c r="X415" s="20"/>
      <c r="AO415" s="25"/>
      <c r="AP415" s="20"/>
    </row>
    <row r="416" spans="1:42" x14ac:dyDescent="0.2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84</v>
      </c>
      <c r="K416" s="20" t="s">
        <v>84</v>
      </c>
      <c r="L416" s="20"/>
      <c r="M416" s="20"/>
      <c r="N416" s="20" t="s">
        <v>84</v>
      </c>
      <c r="O416" s="20" t="s">
        <v>84</v>
      </c>
      <c r="P416" s="20" t="s">
        <v>84</v>
      </c>
      <c r="Q416" s="20"/>
      <c r="R416" s="20"/>
      <c r="S416" s="19"/>
      <c r="T416" s="20"/>
      <c r="U416" s="19"/>
      <c r="V416" s="22"/>
      <c r="W416" s="22"/>
      <c r="X416" s="20"/>
      <c r="AO416" s="25"/>
      <c r="AP416" s="20"/>
    </row>
    <row r="417" spans="1:42" x14ac:dyDescent="0.2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84</v>
      </c>
      <c r="K417" s="20" t="s">
        <v>84</v>
      </c>
      <c r="L417" s="20"/>
      <c r="M417" s="20"/>
      <c r="N417" s="20" t="s">
        <v>84</v>
      </c>
      <c r="O417" s="20" t="s">
        <v>84</v>
      </c>
      <c r="P417" s="20" t="s">
        <v>84</v>
      </c>
      <c r="Q417" s="20"/>
      <c r="R417" s="20"/>
      <c r="S417" s="19"/>
      <c r="T417" s="20"/>
      <c r="U417" s="19"/>
      <c r="V417" s="22"/>
      <c r="W417" s="22"/>
      <c r="X417" s="20"/>
      <c r="AO417" s="25"/>
      <c r="AP417" s="20"/>
    </row>
    <row r="418" spans="1:42" x14ac:dyDescent="0.2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84</v>
      </c>
      <c r="K418" s="20" t="s">
        <v>84</v>
      </c>
      <c r="L418" s="20"/>
      <c r="M418" s="20"/>
      <c r="N418" s="20" t="s">
        <v>84</v>
      </c>
      <c r="O418" s="20" t="s">
        <v>84</v>
      </c>
      <c r="P418" s="20" t="s">
        <v>84</v>
      </c>
      <c r="Q418" s="20"/>
      <c r="R418" s="20"/>
      <c r="S418" s="19"/>
      <c r="T418" s="20"/>
      <c r="U418" s="19"/>
      <c r="V418" s="22"/>
      <c r="W418" s="22"/>
      <c r="X418" s="20"/>
      <c r="AO418" s="25"/>
      <c r="AP418" s="20"/>
    </row>
    <row r="419" spans="1:42" x14ac:dyDescent="0.2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84</v>
      </c>
      <c r="K419" s="20" t="s">
        <v>84</v>
      </c>
      <c r="L419" s="20"/>
      <c r="M419" s="20"/>
      <c r="N419" s="20" t="s">
        <v>84</v>
      </c>
      <c r="O419" s="20" t="s">
        <v>84</v>
      </c>
      <c r="P419" s="20" t="s">
        <v>84</v>
      </c>
      <c r="Q419" s="20"/>
      <c r="R419" s="20"/>
      <c r="S419" s="19"/>
      <c r="T419" s="20"/>
      <c r="U419" s="19"/>
      <c r="V419" s="22"/>
      <c r="W419" s="22"/>
      <c r="X419" s="20"/>
      <c r="AO419" s="25"/>
      <c r="AP419" s="20"/>
    </row>
    <row r="420" spans="1:42" x14ac:dyDescent="0.2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84</v>
      </c>
      <c r="K420" s="20" t="s">
        <v>84</v>
      </c>
      <c r="L420" s="20"/>
      <c r="M420" s="20"/>
      <c r="N420" s="20" t="s">
        <v>84</v>
      </c>
      <c r="O420" s="20" t="s">
        <v>84</v>
      </c>
      <c r="P420" s="20" t="s">
        <v>84</v>
      </c>
      <c r="Q420" s="20"/>
      <c r="R420" s="20"/>
      <c r="S420" s="19"/>
      <c r="T420" s="20"/>
      <c r="U420" s="19"/>
      <c r="V420" s="22"/>
      <c r="W420" s="22"/>
      <c r="X420" s="20"/>
      <c r="AO420" s="25"/>
      <c r="AP420" s="20"/>
    </row>
    <row r="421" spans="1:42" x14ac:dyDescent="0.2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84</v>
      </c>
      <c r="K421" s="20" t="s">
        <v>84</v>
      </c>
      <c r="L421" s="20"/>
      <c r="M421" s="20"/>
      <c r="N421" s="20" t="s">
        <v>84</v>
      </c>
      <c r="O421" s="20" t="s">
        <v>84</v>
      </c>
      <c r="P421" s="20" t="s">
        <v>84</v>
      </c>
      <c r="Q421" s="20"/>
      <c r="R421" s="20"/>
      <c r="S421" s="19"/>
      <c r="T421" s="20"/>
      <c r="U421" s="19"/>
      <c r="V421" s="22"/>
      <c r="W421" s="22"/>
      <c r="X421" s="20"/>
      <c r="AO421" s="25"/>
      <c r="AP421" s="20"/>
    </row>
    <row r="422" spans="1:42" x14ac:dyDescent="0.2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84</v>
      </c>
      <c r="K422" s="20" t="s">
        <v>84</v>
      </c>
      <c r="L422" s="20"/>
      <c r="M422" s="20"/>
      <c r="N422" s="20" t="s">
        <v>84</v>
      </c>
      <c r="O422" s="20" t="s">
        <v>84</v>
      </c>
      <c r="P422" s="20" t="s">
        <v>84</v>
      </c>
      <c r="Q422" s="20"/>
      <c r="R422" s="20"/>
      <c r="S422" s="19"/>
      <c r="T422" s="20"/>
      <c r="U422" s="19"/>
      <c r="V422" s="22"/>
      <c r="W422" s="22"/>
      <c r="X422" s="20"/>
      <c r="AO422" s="25"/>
      <c r="AP422" s="20"/>
    </row>
    <row r="423" spans="1:42" x14ac:dyDescent="0.2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84</v>
      </c>
      <c r="K423" s="20" t="s">
        <v>84</v>
      </c>
      <c r="L423" s="20"/>
      <c r="M423" s="20"/>
      <c r="N423" s="20" t="s">
        <v>84</v>
      </c>
      <c r="O423" s="20" t="s">
        <v>84</v>
      </c>
      <c r="P423" s="20" t="s">
        <v>84</v>
      </c>
      <c r="Q423" s="20"/>
      <c r="R423" s="20"/>
      <c r="S423" s="19"/>
      <c r="T423" s="20"/>
      <c r="U423" s="19"/>
      <c r="V423" s="22"/>
      <c r="W423" s="22"/>
      <c r="X423" s="20"/>
      <c r="AO423" s="25"/>
      <c r="AP423" s="20"/>
    </row>
    <row r="424" spans="1:42" x14ac:dyDescent="0.2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84</v>
      </c>
      <c r="K424" s="20" t="s">
        <v>84</v>
      </c>
      <c r="L424" s="20"/>
      <c r="M424" s="20"/>
      <c r="N424" s="20" t="s">
        <v>84</v>
      </c>
      <c r="O424" s="20" t="s">
        <v>84</v>
      </c>
      <c r="P424" s="20" t="s">
        <v>84</v>
      </c>
      <c r="Q424" s="20"/>
      <c r="R424" s="20"/>
      <c r="S424" s="19"/>
      <c r="T424" s="20"/>
      <c r="U424" s="19"/>
      <c r="V424" s="22"/>
      <c r="W424" s="22"/>
      <c r="X424" s="20"/>
      <c r="AO424" s="25"/>
      <c r="AP424" s="20"/>
    </row>
    <row r="425" spans="1:42" x14ac:dyDescent="0.2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84</v>
      </c>
      <c r="K425" s="20" t="s">
        <v>84</v>
      </c>
      <c r="L425" s="20"/>
      <c r="M425" s="20"/>
      <c r="N425" s="20" t="s">
        <v>84</v>
      </c>
      <c r="O425" s="20" t="s">
        <v>84</v>
      </c>
      <c r="P425" s="20" t="s">
        <v>84</v>
      </c>
      <c r="Q425" s="20"/>
      <c r="R425" s="20"/>
      <c r="S425" s="19"/>
      <c r="T425" s="20"/>
      <c r="U425" s="19"/>
      <c r="V425" s="22"/>
      <c r="W425" s="22"/>
      <c r="X425" s="20"/>
      <c r="AO425" s="25"/>
      <c r="AP425" s="20"/>
    </row>
    <row r="426" spans="1:42" x14ac:dyDescent="0.2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84</v>
      </c>
      <c r="K426" s="20" t="s">
        <v>84</v>
      </c>
      <c r="L426" s="20"/>
      <c r="M426" s="20"/>
      <c r="N426" s="20" t="s">
        <v>84</v>
      </c>
      <c r="O426" s="20" t="s">
        <v>84</v>
      </c>
      <c r="P426" s="20" t="s">
        <v>84</v>
      </c>
      <c r="Q426" s="20"/>
      <c r="R426" s="20"/>
      <c r="S426" s="19"/>
      <c r="T426" s="20"/>
      <c r="U426" s="19"/>
      <c r="V426" s="22"/>
      <c r="W426" s="22"/>
      <c r="X426" s="20"/>
      <c r="AO426" s="25"/>
      <c r="AP426" s="20"/>
    </row>
    <row r="427" spans="1:42" x14ac:dyDescent="0.2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84</v>
      </c>
      <c r="K427" s="20" t="s">
        <v>84</v>
      </c>
      <c r="L427" s="20"/>
      <c r="M427" s="20"/>
      <c r="N427" s="20" t="s">
        <v>84</v>
      </c>
      <c r="O427" s="20" t="s">
        <v>84</v>
      </c>
      <c r="P427" s="20" t="s">
        <v>84</v>
      </c>
      <c r="Q427" s="20"/>
      <c r="R427" s="20"/>
      <c r="S427" s="19"/>
      <c r="T427" s="20"/>
      <c r="U427" s="19"/>
      <c r="V427" s="22"/>
      <c r="W427" s="22"/>
      <c r="X427" s="20"/>
      <c r="AO427" s="25"/>
      <c r="AP427" s="20"/>
    </row>
    <row r="428" spans="1:42" x14ac:dyDescent="0.2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84</v>
      </c>
      <c r="K428" s="20" t="s">
        <v>84</v>
      </c>
      <c r="L428" s="20"/>
      <c r="M428" s="20"/>
      <c r="N428" s="20" t="s">
        <v>84</v>
      </c>
      <c r="O428" s="20" t="s">
        <v>84</v>
      </c>
      <c r="P428" s="20" t="s">
        <v>84</v>
      </c>
      <c r="Q428" s="20"/>
      <c r="R428" s="20"/>
      <c r="S428" s="19"/>
      <c r="T428" s="20"/>
      <c r="U428" s="19"/>
      <c r="V428" s="22"/>
      <c r="W428" s="22"/>
      <c r="X428" s="20"/>
      <c r="AO428" s="25"/>
      <c r="AP428" s="20"/>
    </row>
    <row r="429" spans="1:42" x14ac:dyDescent="0.2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84</v>
      </c>
      <c r="K429" s="20" t="s">
        <v>84</v>
      </c>
      <c r="L429" s="20"/>
      <c r="M429" s="20"/>
      <c r="N429" s="20" t="s">
        <v>84</v>
      </c>
      <c r="O429" s="20" t="s">
        <v>84</v>
      </c>
      <c r="P429" s="20" t="s">
        <v>84</v>
      </c>
      <c r="Q429" s="20"/>
      <c r="R429" s="20"/>
      <c r="S429" s="19"/>
      <c r="T429" s="20"/>
      <c r="U429" s="19"/>
      <c r="V429" s="22"/>
      <c r="W429" s="22"/>
      <c r="X429" s="20"/>
      <c r="AO429" s="25"/>
      <c r="AP429" s="20"/>
    </row>
    <row r="430" spans="1:42" x14ac:dyDescent="0.2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84</v>
      </c>
      <c r="K430" s="20" t="s">
        <v>84</v>
      </c>
      <c r="L430" s="20"/>
      <c r="M430" s="20"/>
      <c r="N430" s="20" t="s">
        <v>84</v>
      </c>
      <c r="O430" s="20" t="s">
        <v>84</v>
      </c>
      <c r="P430" s="20" t="s">
        <v>84</v>
      </c>
      <c r="Q430" s="20"/>
      <c r="R430" s="20"/>
      <c r="S430" s="19"/>
      <c r="T430" s="20"/>
      <c r="U430" s="19"/>
      <c r="V430" s="22"/>
      <c r="W430" s="22"/>
      <c r="X430" s="20"/>
      <c r="AO430" s="25"/>
      <c r="AP430" s="20"/>
    </row>
    <row r="431" spans="1:42" x14ac:dyDescent="0.2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84</v>
      </c>
      <c r="K431" s="20" t="s">
        <v>84</v>
      </c>
      <c r="L431" s="20"/>
      <c r="M431" s="20"/>
      <c r="N431" s="20" t="s">
        <v>84</v>
      </c>
      <c r="O431" s="20" t="s">
        <v>84</v>
      </c>
      <c r="P431" s="20" t="s">
        <v>84</v>
      </c>
      <c r="Q431" s="20"/>
      <c r="R431" s="20"/>
      <c r="S431" s="19"/>
      <c r="T431" s="20"/>
      <c r="U431" s="19"/>
      <c r="V431" s="22"/>
      <c r="W431" s="22"/>
      <c r="X431" s="20"/>
      <c r="AO431" s="25"/>
      <c r="AP431" s="20"/>
    </row>
    <row r="432" spans="1:42" x14ac:dyDescent="0.2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84</v>
      </c>
      <c r="K432" s="20" t="s">
        <v>84</v>
      </c>
      <c r="L432" s="20"/>
      <c r="M432" s="20"/>
      <c r="N432" s="20" t="s">
        <v>84</v>
      </c>
      <c r="O432" s="20" t="s">
        <v>84</v>
      </c>
      <c r="P432" s="20" t="s">
        <v>84</v>
      </c>
      <c r="Q432" s="20"/>
      <c r="R432" s="20"/>
      <c r="S432" s="19"/>
      <c r="T432" s="20"/>
      <c r="U432" s="19"/>
      <c r="V432" s="22"/>
      <c r="W432" s="22"/>
      <c r="X432" s="20"/>
      <c r="AO432" s="25"/>
      <c r="AP432" s="20"/>
    </row>
    <row r="433" spans="1:42" x14ac:dyDescent="0.2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84</v>
      </c>
      <c r="K433" s="20" t="s">
        <v>84</v>
      </c>
      <c r="L433" s="20"/>
      <c r="M433" s="20"/>
      <c r="N433" s="20" t="s">
        <v>84</v>
      </c>
      <c r="O433" s="20" t="s">
        <v>84</v>
      </c>
      <c r="P433" s="20" t="s">
        <v>84</v>
      </c>
      <c r="Q433" s="20"/>
      <c r="R433" s="20"/>
      <c r="S433" s="19"/>
      <c r="T433" s="20"/>
      <c r="U433" s="19"/>
      <c r="V433" s="22"/>
      <c r="W433" s="22"/>
      <c r="X433" s="20"/>
      <c r="AO433" s="25"/>
      <c r="AP433" s="20"/>
    </row>
    <row r="434" spans="1:42" x14ac:dyDescent="0.2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84</v>
      </c>
      <c r="K434" s="20" t="s">
        <v>84</v>
      </c>
      <c r="L434" s="20"/>
      <c r="M434" s="20"/>
      <c r="N434" s="20" t="s">
        <v>84</v>
      </c>
      <c r="O434" s="20" t="s">
        <v>84</v>
      </c>
      <c r="P434" s="20" t="s">
        <v>84</v>
      </c>
      <c r="Q434" s="20"/>
      <c r="R434" s="20"/>
      <c r="S434" s="19"/>
      <c r="T434" s="20"/>
      <c r="U434" s="19"/>
      <c r="V434" s="22"/>
      <c r="W434" s="22"/>
      <c r="X434" s="20"/>
      <c r="AO434" s="25"/>
      <c r="AP434" s="20"/>
    </row>
    <row r="435" spans="1:42" x14ac:dyDescent="0.2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84</v>
      </c>
      <c r="K435" s="20" t="s">
        <v>84</v>
      </c>
      <c r="L435" s="20"/>
      <c r="M435" s="20"/>
      <c r="N435" s="20" t="s">
        <v>84</v>
      </c>
      <c r="O435" s="20" t="s">
        <v>84</v>
      </c>
      <c r="P435" s="20" t="s">
        <v>84</v>
      </c>
      <c r="Q435" s="20"/>
      <c r="R435" s="20"/>
      <c r="S435" s="19"/>
      <c r="T435" s="20"/>
      <c r="U435" s="19"/>
      <c r="V435" s="22"/>
      <c r="W435" s="22"/>
      <c r="X435" s="20"/>
      <c r="AO435" s="25"/>
      <c r="AP435" s="20"/>
    </row>
    <row r="436" spans="1:42" x14ac:dyDescent="0.2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84</v>
      </c>
      <c r="K436" s="20" t="s">
        <v>84</v>
      </c>
      <c r="L436" s="20"/>
      <c r="M436" s="20"/>
      <c r="N436" s="20" t="s">
        <v>84</v>
      </c>
      <c r="O436" s="20" t="s">
        <v>84</v>
      </c>
      <c r="P436" s="20" t="s">
        <v>84</v>
      </c>
      <c r="Q436" s="20"/>
      <c r="R436" s="20"/>
      <c r="S436" s="19"/>
      <c r="T436" s="20"/>
      <c r="U436" s="19"/>
      <c r="V436" s="22"/>
      <c r="W436" s="22"/>
      <c r="X436" s="20"/>
      <c r="AO436" s="25"/>
      <c r="AP436" s="20"/>
    </row>
    <row r="437" spans="1:42" x14ac:dyDescent="0.2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84</v>
      </c>
      <c r="K437" s="20" t="s">
        <v>84</v>
      </c>
      <c r="L437" s="20"/>
      <c r="M437" s="20"/>
      <c r="N437" s="20" t="s">
        <v>84</v>
      </c>
      <c r="O437" s="20" t="s">
        <v>84</v>
      </c>
      <c r="P437" s="20" t="s">
        <v>84</v>
      </c>
      <c r="Q437" s="20"/>
      <c r="R437" s="20"/>
      <c r="S437" s="19"/>
      <c r="T437" s="20"/>
      <c r="U437" s="19"/>
      <c r="V437" s="22"/>
      <c r="W437" s="22"/>
      <c r="X437" s="20"/>
      <c r="AO437" s="25"/>
      <c r="AP437" s="20"/>
    </row>
    <row r="438" spans="1:42" x14ac:dyDescent="0.2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84</v>
      </c>
      <c r="K438" s="20" t="s">
        <v>84</v>
      </c>
      <c r="L438" s="20"/>
      <c r="M438" s="20"/>
      <c r="N438" s="20" t="s">
        <v>84</v>
      </c>
      <c r="O438" s="20" t="s">
        <v>84</v>
      </c>
      <c r="P438" s="20" t="s">
        <v>84</v>
      </c>
      <c r="Q438" s="20"/>
      <c r="R438" s="20"/>
      <c r="S438" s="19"/>
      <c r="T438" s="20"/>
      <c r="U438" s="19"/>
      <c r="V438" s="22"/>
      <c r="W438" s="22"/>
      <c r="X438" s="20"/>
      <c r="AO438" s="25"/>
      <c r="AP438" s="20"/>
    </row>
    <row r="439" spans="1:42" x14ac:dyDescent="0.2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84</v>
      </c>
      <c r="K439" s="20" t="s">
        <v>84</v>
      </c>
      <c r="L439" s="20"/>
      <c r="M439" s="20"/>
      <c r="N439" s="20" t="s">
        <v>84</v>
      </c>
      <c r="O439" s="20" t="s">
        <v>84</v>
      </c>
      <c r="P439" s="20" t="s">
        <v>84</v>
      </c>
      <c r="Q439" s="20"/>
      <c r="R439" s="20"/>
      <c r="S439" s="19"/>
      <c r="T439" s="20"/>
      <c r="U439" s="19"/>
      <c r="V439" s="22"/>
      <c r="W439" s="22"/>
      <c r="X439" s="20"/>
      <c r="AO439" s="25"/>
      <c r="AP439" s="20"/>
    </row>
    <row r="440" spans="1:42" x14ac:dyDescent="0.2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84</v>
      </c>
      <c r="K440" s="20" t="s">
        <v>84</v>
      </c>
      <c r="L440" s="20"/>
      <c r="M440" s="20"/>
      <c r="N440" s="20" t="s">
        <v>84</v>
      </c>
      <c r="O440" s="20" t="s">
        <v>84</v>
      </c>
      <c r="P440" s="20" t="s">
        <v>84</v>
      </c>
      <c r="Q440" s="20"/>
      <c r="R440" s="20"/>
      <c r="S440" s="19"/>
      <c r="T440" s="20"/>
      <c r="U440" s="19"/>
      <c r="V440" s="22"/>
      <c r="W440" s="22"/>
      <c r="X440" s="20"/>
      <c r="AO440" s="25"/>
      <c r="AP440" s="20"/>
    </row>
    <row r="441" spans="1:42" x14ac:dyDescent="0.2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84</v>
      </c>
      <c r="K441" s="20" t="s">
        <v>84</v>
      </c>
      <c r="L441" s="20"/>
      <c r="M441" s="20"/>
      <c r="N441" s="20" t="s">
        <v>84</v>
      </c>
      <c r="O441" s="20" t="s">
        <v>84</v>
      </c>
      <c r="P441" s="20" t="s">
        <v>84</v>
      </c>
      <c r="Q441" s="20"/>
      <c r="R441" s="20"/>
      <c r="S441" s="19"/>
      <c r="T441" s="20"/>
      <c r="U441" s="19"/>
      <c r="V441" s="22"/>
      <c r="W441" s="22"/>
      <c r="X441" s="20"/>
      <c r="AO441" s="25"/>
      <c r="AP441" s="20"/>
    </row>
    <row r="442" spans="1:42" x14ac:dyDescent="0.2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84</v>
      </c>
      <c r="K442" s="20" t="s">
        <v>84</v>
      </c>
      <c r="L442" s="20"/>
      <c r="M442" s="20"/>
      <c r="N442" s="20" t="s">
        <v>84</v>
      </c>
      <c r="O442" s="20" t="s">
        <v>84</v>
      </c>
      <c r="P442" s="20" t="s">
        <v>84</v>
      </c>
      <c r="Q442" s="20"/>
      <c r="R442" s="20"/>
      <c r="S442" s="19"/>
      <c r="T442" s="20"/>
      <c r="U442" s="19"/>
      <c r="V442" s="22"/>
      <c r="W442" s="22"/>
      <c r="X442" s="20"/>
      <c r="AO442" s="25"/>
      <c r="AP442" s="20"/>
    </row>
    <row r="443" spans="1:42" x14ac:dyDescent="0.2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84</v>
      </c>
      <c r="K443" s="20" t="s">
        <v>84</v>
      </c>
      <c r="L443" s="20"/>
      <c r="M443" s="20"/>
      <c r="N443" s="20" t="s">
        <v>84</v>
      </c>
      <c r="O443" s="20" t="s">
        <v>84</v>
      </c>
      <c r="P443" s="20" t="s">
        <v>84</v>
      </c>
      <c r="Q443" s="20"/>
      <c r="R443" s="20"/>
      <c r="S443" s="19"/>
      <c r="T443" s="20"/>
      <c r="U443" s="19"/>
      <c r="V443" s="22"/>
      <c r="W443" s="22"/>
      <c r="X443" s="20"/>
      <c r="AO443" s="25"/>
      <c r="AP443" s="20"/>
    </row>
    <row r="444" spans="1:42" x14ac:dyDescent="0.2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84</v>
      </c>
      <c r="K444" s="20" t="s">
        <v>84</v>
      </c>
      <c r="L444" s="20"/>
      <c r="M444" s="20"/>
      <c r="N444" s="20" t="s">
        <v>84</v>
      </c>
      <c r="O444" s="20" t="s">
        <v>84</v>
      </c>
      <c r="P444" s="20" t="s">
        <v>84</v>
      </c>
      <c r="Q444" s="20"/>
      <c r="R444" s="20"/>
      <c r="S444" s="19"/>
      <c r="T444" s="20"/>
      <c r="U444" s="19"/>
      <c r="V444" s="22"/>
      <c r="W444" s="22"/>
      <c r="X444" s="20"/>
      <c r="AO444" s="25"/>
      <c r="AP444" s="20"/>
    </row>
    <row r="445" spans="1:42" x14ac:dyDescent="0.2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84</v>
      </c>
      <c r="K445" s="20" t="s">
        <v>84</v>
      </c>
      <c r="L445" s="20"/>
      <c r="M445" s="20"/>
      <c r="N445" s="20" t="s">
        <v>84</v>
      </c>
      <c r="O445" s="20" t="s">
        <v>84</v>
      </c>
      <c r="P445" s="20" t="s">
        <v>84</v>
      </c>
      <c r="Q445" s="20"/>
      <c r="R445" s="20"/>
      <c r="S445" s="19"/>
      <c r="T445" s="20"/>
      <c r="U445" s="19"/>
      <c r="V445" s="22"/>
      <c r="W445" s="22"/>
      <c r="X445" s="20"/>
      <c r="AO445" s="25"/>
      <c r="AP445" s="20"/>
    </row>
    <row r="446" spans="1:42" x14ac:dyDescent="0.2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84</v>
      </c>
      <c r="K446" s="20" t="s">
        <v>84</v>
      </c>
      <c r="L446" s="20"/>
      <c r="M446" s="20"/>
      <c r="N446" s="20" t="s">
        <v>84</v>
      </c>
      <c r="O446" s="20" t="s">
        <v>84</v>
      </c>
      <c r="P446" s="20" t="s">
        <v>84</v>
      </c>
      <c r="Q446" s="20"/>
      <c r="R446" s="20"/>
      <c r="S446" s="19"/>
      <c r="T446" s="20"/>
      <c r="U446" s="19"/>
      <c r="V446" s="22"/>
      <c r="W446" s="22"/>
      <c r="X446" s="20"/>
      <c r="AO446" s="25"/>
      <c r="AP446" s="20"/>
    </row>
    <row r="447" spans="1:42" x14ac:dyDescent="0.2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84</v>
      </c>
      <c r="K447" s="20" t="s">
        <v>84</v>
      </c>
      <c r="L447" s="20"/>
      <c r="M447" s="20"/>
      <c r="N447" s="20" t="s">
        <v>84</v>
      </c>
      <c r="O447" s="20" t="s">
        <v>84</v>
      </c>
      <c r="P447" s="20" t="s">
        <v>84</v>
      </c>
      <c r="Q447" s="20"/>
      <c r="R447" s="20"/>
      <c r="S447" s="19"/>
      <c r="T447" s="20"/>
      <c r="U447" s="19"/>
      <c r="V447" s="22"/>
      <c r="W447" s="22"/>
      <c r="X447" s="20"/>
      <c r="AO447" s="25"/>
      <c r="AP447" s="20"/>
    </row>
    <row r="448" spans="1:42" x14ac:dyDescent="0.2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84</v>
      </c>
      <c r="K448" s="20" t="s">
        <v>84</v>
      </c>
      <c r="L448" s="20"/>
      <c r="M448" s="20"/>
      <c r="N448" s="20" t="s">
        <v>84</v>
      </c>
      <c r="O448" s="20" t="s">
        <v>84</v>
      </c>
      <c r="P448" s="20" t="s">
        <v>84</v>
      </c>
      <c r="Q448" s="20"/>
      <c r="R448" s="20"/>
      <c r="S448" s="19"/>
      <c r="T448" s="20"/>
      <c r="U448" s="19"/>
      <c r="V448" s="22"/>
      <c r="W448" s="22"/>
      <c r="X448" s="20"/>
      <c r="AO448" s="25"/>
      <c r="AP448" s="20"/>
    </row>
    <row r="449" spans="1:42" x14ac:dyDescent="0.2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84</v>
      </c>
      <c r="K449" s="20" t="s">
        <v>84</v>
      </c>
      <c r="L449" s="20"/>
      <c r="M449" s="20"/>
      <c r="N449" s="20" t="s">
        <v>84</v>
      </c>
      <c r="O449" s="20" t="s">
        <v>84</v>
      </c>
      <c r="P449" s="20" t="s">
        <v>84</v>
      </c>
      <c r="Q449" s="20"/>
      <c r="R449" s="20"/>
      <c r="S449" s="19"/>
      <c r="T449" s="20"/>
      <c r="U449" s="19"/>
      <c r="V449" s="22"/>
      <c r="W449" s="22"/>
      <c r="X449" s="20"/>
      <c r="AO449" s="25"/>
      <c r="AP449" s="20"/>
    </row>
    <row r="450" spans="1:42" x14ac:dyDescent="0.2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84</v>
      </c>
      <c r="K450" s="20" t="s">
        <v>84</v>
      </c>
      <c r="L450" s="20"/>
      <c r="M450" s="20"/>
      <c r="N450" s="20" t="s">
        <v>84</v>
      </c>
      <c r="O450" s="20" t="s">
        <v>84</v>
      </c>
      <c r="P450" s="20" t="s">
        <v>84</v>
      </c>
      <c r="Q450" s="20"/>
      <c r="R450" s="20"/>
      <c r="S450" s="19"/>
      <c r="T450" s="20"/>
      <c r="U450" s="19"/>
      <c r="V450" s="22"/>
      <c r="W450" s="22"/>
      <c r="X450" s="20"/>
      <c r="AO450" s="25"/>
      <c r="AP450" s="20"/>
    </row>
    <row r="451" spans="1:42" x14ac:dyDescent="0.2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84</v>
      </c>
      <c r="K451" s="20" t="s">
        <v>84</v>
      </c>
      <c r="L451" s="20"/>
      <c r="M451" s="20"/>
      <c r="N451" s="20" t="s">
        <v>84</v>
      </c>
      <c r="O451" s="20" t="s">
        <v>84</v>
      </c>
      <c r="P451" s="20" t="s">
        <v>84</v>
      </c>
      <c r="Q451" s="20"/>
      <c r="R451" s="20"/>
      <c r="S451" s="19"/>
      <c r="T451" s="20"/>
      <c r="U451" s="19"/>
      <c r="V451" s="22"/>
      <c r="W451" s="22"/>
      <c r="X451" s="20"/>
      <c r="AO451" s="25"/>
      <c r="AP451" s="20"/>
    </row>
    <row r="452" spans="1:42" x14ac:dyDescent="0.2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84</v>
      </c>
      <c r="K452" s="20" t="s">
        <v>84</v>
      </c>
      <c r="L452" s="20"/>
      <c r="M452" s="20"/>
      <c r="N452" s="20" t="s">
        <v>84</v>
      </c>
      <c r="O452" s="20" t="s">
        <v>84</v>
      </c>
      <c r="P452" s="20" t="s">
        <v>84</v>
      </c>
      <c r="Q452" s="20"/>
      <c r="R452" s="20"/>
      <c r="S452" s="19"/>
      <c r="T452" s="20"/>
      <c r="U452" s="19"/>
      <c r="V452" s="22"/>
      <c r="W452" s="22"/>
      <c r="X452" s="20"/>
      <c r="AO452" s="25"/>
      <c r="AP452" s="20"/>
    </row>
    <row r="453" spans="1:42" x14ac:dyDescent="0.2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84</v>
      </c>
      <c r="K453" s="20" t="s">
        <v>84</v>
      </c>
      <c r="L453" s="20"/>
      <c r="M453" s="20"/>
      <c r="N453" s="20" t="s">
        <v>84</v>
      </c>
      <c r="O453" s="20" t="s">
        <v>84</v>
      </c>
      <c r="P453" s="20" t="s">
        <v>84</v>
      </c>
      <c r="Q453" s="20"/>
      <c r="R453" s="20"/>
      <c r="S453" s="19"/>
      <c r="T453" s="20"/>
      <c r="U453" s="19"/>
      <c r="V453" s="22"/>
      <c r="W453" s="22"/>
      <c r="X453" s="20"/>
      <c r="AO453" s="25"/>
      <c r="AP453" s="20"/>
    </row>
    <row r="454" spans="1:42" x14ac:dyDescent="0.2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84</v>
      </c>
      <c r="K454" s="20" t="s">
        <v>84</v>
      </c>
      <c r="L454" s="20"/>
      <c r="M454" s="20"/>
      <c r="N454" s="20" t="s">
        <v>84</v>
      </c>
      <c r="O454" s="20" t="s">
        <v>84</v>
      </c>
      <c r="P454" s="20" t="s">
        <v>84</v>
      </c>
      <c r="Q454" s="20"/>
      <c r="R454" s="20"/>
      <c r="S454" s="19"/>
      <c r="T454" s="20"/>
      <c r="U454" s="19"/>
      <c r="V454" s="22"/>
      <c r="W454" s="22"/>
      <c r="X454" s="20"/>
      <c r="AO454" s="25"/>
      <c r="AP454" s="20"/>
    </row>
    <row r="455" spans="1:42" x14ac:dyDescent="0.2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84</v>
      </c>
      <c r="K455" s="20" t="s">
        <v>84</v>
      </c>
      <c r="L455" s="20"/>
      <c r="M455" s="20"/>
      <c r="N455" s="20" t="s">
        <v>84</v>
      </c>
      <c r="O455" s="20" t="s">
        <v>84</v>
      </c>
      <c r="P455" s="20" t="s">
        <v>84</v>
      </c>
      <c r="Q455" s="20"/>
      <c r="R455" s="20"/>
      <c r="S455" s="19"/>
      <c r="T455" s="20"/>
      <c r="U455" s="19"/>
      <c r="V455" s="22"/>
      <c r="W455" s="22"/>
      <c r="X455" s="20"/>
      <c r="AO455" s="25"/>
      <c r="AP455" s="20"/>
    </row>
    <row r="456" spans="1:42" x14ac:dyDescent="0.2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84</v>
      </c>
      <c r="K456" s="20" t="s">
        <v>84</v>
      </c>
      <c r="L456" s="20"/>
      <c r="M456" s="20"/>
      <c r="N456" s="20" t="s">
        <v>84</v>
      </c>
      <c r="O456" s="20" t="s">
        <v>84</v>
      </c>
      <c r="P456" s="20" t="s">
        <v>84</v>
      </c>
      <c r="Q456" s="20"/>
      <c r="R456" s="20"/>
      <c r="S456" s="19"/>
      <c r="T456" s="20"/>
      <c r="U456" s="19"/>
      <c r="V456" s="22"/>
      <c r="W456" s="22"/>
      <c r="X456" s="20"/>
      <c r="AO456" s="25"/>
      <c r="AP456" s="20"/>
    </row>
    <row r="457" spans="1:42" x14ac:dyDescent="0.2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84</v>
      </c>
      <c r="K457" s="20" t="s">
        <v>84</v>
      </c>
      <c r="L457" s="20"/>
      <c r="M457" s="20"/>
      <c r="N457" s="20" t="s">
        <v>84</v>
      </c>
      <c r="O457" s="20" t="s">
        <v>84</v>
      </c>
      <c r="P457" s="20" t="s">
        <v>84</v>
      </c>
      <c r="Q457" s="20"/>
      <c r="R457" s="20"/>
      <c r="S457" s="19"/>
      <c r="T457" s="20"/>
      <c r="U457" s="19"/>
      <c r="V457" s="22"/>
      <c r="W457" s="22"/>
      <c r="X457" s="20"/>
      <c r="AO457" s="25"/>
      <c r="AP457" s="20"/>
    </row>
    <row r="458" spans="1:42" x14ac:dyDescent="0.2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84</v>
      </c>
      <c r="K458" s="20" t="s">
        <v>84</v>
      </c>
      <c r="L458" s="20"/>
      <c r="M458" s="20"/>
      <c r="N458" s="20" t="s">
        <v>84</v>
      </c>
      <c r="O458" s="20" t="s">
        <v>84</v>
      </c>
      <c r="P458" s="20" t="s">
        <v>84</v>
      </c>
      <c r="Q458" s="20"/>
      <c r="R458" s="20"/>
      <c r="S458" s="19"/>
      <c r="T458" s="20"/>
      <c r="U458" s="19"/>
      <c r="V458" s="22"/>
      <c r="W458" s="22"/>
      <c r="X458" s="20"/>
      <c r="AO458" s="25"/>
      <c r="AP458" s="20"/>
    </row>
    <row r="459" spans="1:42" x14ac:dyDescent="0.2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84</v>
      </c>
      <c r="K459" s="20" t="s">
        <v>84</v>
      </c>
      <c r="L459" s="20"/>
      <c r="M459" s="20"/>
      <c r="N459" s="20" t="s">
        <v>84</v>
      </c>
      <c r="O459" s="20" t="s">
        <v>84</v>
      </c>
      <c r="P459" s="20" t="s">
        <v>84</v>
      </c>
      <c r="Q459" s="20"/>
      <c r="R459" s="20"/>
      <c r="S459" s="19"/>
      <c r="T459" s="20"/>
      <c r="U459" s="19"/>
      <c r="V459" s="22"/>
      <c r="W459" s="22"/>
      <c r="X459" s="20"/>
      <c r="AO459" s="25"/>
      <c r="AP459" s="20"/>
    </row>
    <row r="460" spans="1:42" x14ac:dyDescent="0.2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84</v>
      </c>
      <c r="K460" s="20" t="s">
        <v>84</v>
      </c>
      <c r="L460" s="20"/>
      <c r="M460" s="20"/>
      <c r="N460" s="20" t="s">
        <v>84</v>
      </c>
      <c r="O460" s="20" t="s">
        <v>84</v>
      </c>
      <c r="P460" s="20" t="s">
        <v>84</v>
      </c>
      <c r="Q460" s="20"/>
      <c r="R460" s="20"/>
      <c r="S460" s="19"/>
      <c r="T460" s="20"/>
      <c r="U460" s="19"/>
      <c r="V460" s="22"/>
      <c r="W460" s="22"/>
      <c r="X460" s="20"/>
      <c r="AO460" s="25"/>
      <c r="AP460" s="20"/>
    </row>
    <row r="461" spans="1:42" x14ac:dyDescent="0.2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84</v>
      </c>
      <c r="K461" s="20" t="s">
        <v>84</v>
      </c>
      <c r="L461" s="20"/>
      <c r="M461" s="20"/>
      <c r="N461" s="20" t="s">
        <v>84</v>
      </c>
      <c r="O461" s="20" t="s">
        <v>84</v>
      </c>
      <c r="P461" s="20" t="s">
        <v>84</v>
      </c>
      <c r="Q461" s="20"/>
      <c r="R461" s="20"/>
      <c r="S461" s="19"/>
      <c r="T461" s="20"/>
      <c r="U461" s="19"/>
      <c r="V461" s="22"/>
      <c r="W461" s="22"/>
      <c r="X461" s="20"/>
      <c r="AO461" s="25"/>
      <c r="AP461" s="20"/>
    </row>
    <row r="462" spans="1:42" x14ac:dyDescent="0.2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84</v>
      </c>
      <c r="K462" s="20" t="s">
        <v>84</v>
      </c>
      <c r="L462" s="20"/>
      <c r="M462" s="20"/>
      <c r="N462" s="20" t="s">
        <v>84</v>
      </c>
      <c r="O462" s="20" t="s">
        <v>84</v>
      </c>
      <c r="P462" s="20" t="s">
        <v>84</v>
      </c>
      <c r="Q462" s="20"/>
      <c r="R462" s="20"/>
      <c r="S462" s="19"/>
      <c r="T462" s="20"/>
      <c r="U462" s="19"/>
      <c r="V462" s="22"/>
      <c r="W462" s="22"/>
      <c r="X462" s="20"/>
      <c r="AO462" s="25"/>
      <c r="AP462" s="20"/>
    </row>
    <row r="463" spans="1:42" x14ac:dyDescent="0.2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84</v>
      </c>
      <c r="K463" s="20" t="s">
        <v>84</v>
      </c>
      <c r="L463" s="20"/>
      <c r="M463" s="20"/>
      <c r="N463" s="20" t="s">
        <v>84</v>
      </c>
      <c r="O463" s="20" t="s">
        <v>84</v>
      </c>
      <c r="P463" s="20" t="s">
        <v>84</v>
      </c>
      <c r="Q463" s="20"/>
      <c r="R463" s="20"/>
      <c r="S463" s="19"/>
      <c r="T463" s="20"/>
      <c r="U463" s="19"/>
      <c r="V463" s="22"/>
      <c r="W463" s="22"/>
      <c r="X463" s="20"/>
      <c r="AO463" s="25"/>
      <c r="AP463" s="20"/>
    </row>
    <row r="464" spans="1:42" x14ac:dyDescent="0.2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84</v>
      </c>
      <c r="K464" s="20" t="s">
        <v>84</v>
      </c>
      <c r="L464" s="20"/>
      <c r="M464" s="20"/>
      <c r="N464" s="20" t="s">
        <v>84</v>
      </c>
      <c r="O464" s="20" t="s">
        <v>84</v>
      </c>
      <c r="P464" s="20" t="s">
        <v>84</v>
      </c>
      <c r="Q464" s="20"/>
      <c r="R464" s="20"/>
      <c r="S464" s="19"/>
      <c r="T464" s="20"/>
      <c r="U464" s="19"/>
      <c r="V464" s="22"/>
      <c r="W464" s="22"/>
      <c r="X464" s="20"/>
      <c r="AO464" s="25"/>
      <c r="AP464" s="20"/>
    </row>
    <row r="465" spans="1:42" x14ac:dyDescent="0.2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84</v>
      </c>
      <c r="K465" s="20" t="s">
        <v>84</v>
      </c>
      <c r="L465" s="20"/>
      <c r="M465" s="20"/>
      <c r="N465" s="20" t="s">
        <v>84</v>
      </c>
      <c r="O465" s="20" t="s">
        <v>84</v>
      </c>
      <c r="P465" s="20" t="s">
        <v>84</v>
      </c>
      <c r="Q465" s="20"/>
      <c r="R465" s="20"/>
      <c r="S465" s="19"/>
      <c r="T465" s="20"/>
      <c r="U465" s="19"/>
      <c r="V465" s="22"/>
      <c r="W465" s="22"/>
      <c r="X465" s="20"/>
      <c r="AO465" s="25"/>
      <c r="AP465" s="20"/>
    </row>
    <row r="466" spans="1:42" x14ac:dyDescent="0.2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84</v>
      </c>
      <c r="K466" s="20" t="s">
        <v>84</v>
      </c>
      <c r="L466" s="20"/>
      <c r="M466" s="20"/>
      <c r="N466" s="20" t="s">
        <v>84</v>
      </c>
      <c r="O466" s="20" t="s">
        <v>84</v>
      </c>
      <c r="P466" s="20" t="s">
        <v>84</v>
      </c>
      <c r="Q466" s="20"/>
      <c r="R466" s="20"/>
      <c r="S466" s="19"/>
      <c r="T466" s="20"/>
      <c r="U466" s="19"/>
      <c r="V466" s="22"/>
      <c r="W466" s="22"/>
      <c r="X466" s="20"/>
      <c r="AO466" s="25"/>
      <c r="AP466" s="20"/>
    </row>
    <row r="467" spans="1:42" x14ac:dyDescent="0.2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84</v>
      </c>
      <c r="K467" s="20" t="s">
        <v>84</v>
      </c>
      <c r="L467" s="20"/>
      <c r="M467" s="20"/>
      <c r="N467" s="20" t="s">
        <v>84</v>
      </c>
      <c r="O467" s="20" t="s">
        <v>84</v>
      </c>
      <c r="P467" s="20" t="s">
        <v>84</v>
      </c>
      <c r="Q467" s="20"/>
      <c r="R467" s="20"/>
      <c r="S467" s="19"/>
      <c r="T467" s="20"/>
      <c r="U467" s="19"/>
      <c r="V467" s="22"/>
      <c r="W467" s="22"/>
      <c r="X467" s="20"/>
      <c r="AO467" s="25"/>
      <c r="AP467" s="20"/>
    </row>
    <row r="468" spans="1:42" x14ac:dyDescent="0.2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84</v>
      </c>
      <c r="K468" s="20" t="s">
        <v>84</v>
      </c>
      <c r="L468" s="20"/>
      <c r="M468" s="20"/>
      <c r="N468" s="20" t="s">
        <v>84</v>
      </c>
      <c r="O468" s="20" t="s">
        <v>84</v>
      </c>
      <c r="P468" s="20" t="s">
        <v>84</v>
      </c>
      <c r="Q468" s="20"/>
      <c r="R468" s="20"/>
      <c r="S468" s="19"/>
      <c r="T468" s="20"/>
      <c r="U468" s="19"/>
      <c r="V468" s="22"/>
      <c r="W468" s="22"/>
      <c r="X468" s="20"/>
      <c r="AO468" s="25"/>
      <c r="AP468" s="20"/>
    </row>
    <row r="469" spans="1:42" x14ac:dyDescent="0.2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84</v>
      </c>
      <c r="K469" s="20" t="s">
        <v>84</v>
      </c>
      <c r="L469" s="20"/>
      <c r="M469" s="20"/>
      <c r="N469" s="20" t="s">
        <v>84</v>
      </c>
      <c r="O469" s="20" t="s">
        <v>84</v>
      </c>
      <c r="P469" s="20" t="s">
        <v>84</v>
      </c>
      <c r="Q469" s="20"/>
      <c r="R469" s="20"/>
      <c r="S469" s="19"/>
      <c r="T469" s="20"/>
      <c r="U469" s="19"/>
      <c r="V469" s="22"/>
      <c r="W469" s="22"/>
      <c r="X469" s="20"/>
      <c r="AO469" s="25"/>
      <c r="AP469" s="20"/>
    </row>
    <row r="470" spans="1:42" x14ac:dyDescent="0.2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84</v>
      </c>
      <c r="K470" s="20" t="s">
        <v>84</v>
      </c>
      <c r="L470" s="20"/>
      <c r="M470" s="20"/>
      <c r="N470" s="20" t="s">
        <v>84</v>
      </c>
      <c r="O470" s="20" t="s">
        <v>84</v>
      </c>
      <c r="P470" s="20" t="s">
        <v>84</v>
      </c>
      <c r="Q470" s="20"/>
      <c r="R470" s="20"/>
      <c r="S470" s="19"/>
      <c r="T470" s="20"/>
      <c r="U470" s="19"/>
      <c r="V470" s="22"/>
      <c r="W470" s="22"/>
      <c r="X470" s="20"/>
      <c r="AO470" s="25"/>
      <c r="AP470" s="20"/>
    </row>
    <row r="471" spans="1:42" x14ac:dyDescent="0.2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84</v>
      </c>
      <c r="K471" s="20" t="s">
        <v>84</v>
      </c>
      <c r="L471" s="20"/>
      <c r="M471" s="20"/>
      <c r="N471" s="20" t="s">
        <v>84</v>
      </c>
      <c r="O471" s="20" t="s">
        <v>84</v>
      </c>
      <c r="P471" s="20" t="s">
        <v>84</v>
      </c>
      <c r="Q471" s="20"/>
      <c r="R471" s="20"/>
      <c r="S471" s="19"/>
      <c r="T471" s="20"/>
      <c r="U471" s="19"/>
      <c r="V471" s="22"/>
      <c r="W471" s="22"/>
      <c r="X471" s="20"/>
      <c r="AO471" s="25"/>
      <c r="AP471" s="20"/>
    </row>
  </sheetData>
  <autoFilter ref="A1:OJ1" xr:uid="{914E7157-03F6-471B-B85D-D885F1DF2E9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69C5-D066-47DC-ABF1-0CD58707548A}">
  <dimension ref="A1:AO15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321</v>
      </c>
      <c r="X1" s="10" t="s">
        <v>322</v>
      </c>
      <c r="Y1" s="10" t="s">
        <v>323</v>
      </c>
      <c r="Z1" s="10" t="s">
        <v>324</v>
      </c>
      <c r="AA1" s="10" t="s">
        <v>325</v>
      </c>
      <c r="AB1" s="10" t="s">
        <v>326</v>
      </c>
      <c r="AC1" s="10" t="s">
        <v>327</v>
      </c>
      <c r="AD1" s="10" t="s">
        <v>328</v>
      </c>
      <c r="AE1" s="10" t="s">
        <v>329</v>
      </c>
      <c r="AF1" s="10" t="s">
        <v>330</v>
      </c>
      <c r="AG1" s="10" t="s">
        <v>331</v>
      </c>
      <c r="AH1" s="10" t="s">
        <v>332</v>
      </c>
      <c r="AI1" s="10" t="s">
        <v>333</v>
      </c>
      <c r="AJ1" s="10" t="s">
        <v>334</v>
      </c>
      <c r="AK1" s="10" t="s">
        <v>335</v>
      </c>
      <c r="AL1" s="10" t="s">
        <v>336</v>
      </c>
      <c r="AM1" s="10" t="s">
        <v>337</v>
      </c>
      <c r="AN1" s="10" t="s">
        <v>69</v>
      </c>
      <c r="AO1" s="10" t="s">
        <v>70</v>
      </c>
    </row>
    <row r="2" spans="1:41" ht="75" x14ac:dyDescent="0.25">
      <c r="A2" s="14" t="s">
        <v>71</v>
      </c>
      <c r="B2" s="14" t="s">
        <v>72</v>
      </c>
      <c r="C2" s="15">
        <v>44711.679166666669</v>
      </c>
      <c r="D2" s="14" t="s">
        <v>73</v>
      </c>
      <c r="E2" s="16" t="s">
        <v>74</v>
      </c>
      <c r="F2" s="14" t="s">
        <v>75</v>
      </c>
      <c r="G2" s="16" t="s">
        <v>76</v>
      </c>
      <c r="H2" s="14" t="s">
        <v>77</v>
      </c>
      <c r="I2" s="16" t="s">
        <v>78</v>
      </c>
      <c r="J2" s="16" t="s">
        <v>79</v>
      </c>
      <c r="K2" s="16" t="s">
        <v>80</v>
      </c>
      <c r="L2" s="14" t="s">
        <v>81</v>
      </c>
      <c r="M2" s="16" t="s">
        <v>82</v>
      </c>
      <c r="N2" s="14" t="s">
        <v>83</v>
      </c>
      <c r="O2" s="16" t="s">
        <v>84</v>
      </c>
      <c r="P2" s="16" t="s">
        <v>84</v>
      </c>
      <c r="Q2" s="16" t="s">
        <v>85</v>
      </c>
      <c r="R2" s="14" t="s">
        <v>86</v>
      </c>
      <c r="S2" s="14" t="s">
        <v>88</v>
      </c>
      <c r="T2" s="14" t="s">
        <v>89</v>
      </c>
      <c r="U2" s="15">
        <v>40550</v>
      </c>
      <c r="V2" s="15">
        <v>43861</v>
      </c>
      <c r="W2" s="16"/>
      <c r="X2" s="16" t="s">
        <v>84</v>
      </c>
      <c r="Y2" s="14" t="s">
        <v>84</v>
      </c>
      <c r="Z2" s="16" t="s">
        <v>84</v>
      </c>
      <c r="AA2" s="16" t="s">
        <v>84</v>
      </c>
      <c r="AB2" s="16" t="s">
        <v>84</v>
      </c>
      <c r="AC2" s="14" t="s">
        <v>84</v>
      </c>
      <c r="AD2" s="16" t="s">
        <v>84</v>
      </c>
      <c r="AE2" s="16" t="s">
        <v>84</v>
      </c>
      <c r="AF2" s="16" t="s">
        <v>84</v>
      </c>
      <c r="AG2" s="14" t="s">
        <v>84</v>
      </c>
      <c r="AH2" s="16" t="s">
        <v>84</v>
      </c>
      <c r="AI2" s="16" t="s">
        <v>84</v>
      </c>
      <c r="AJ2" s="16" t="s">
        <v>84</v>
      </c>
      <c r="AK2" s="14" t="s">
        <v>84</v>
      </c>
      <c r="AL2" s="16" t="s">
        <v>84</v>
      </c>
      <c r="AM2" s="16" t="s">
        <v>84</v>
      </c>
      <c r="AN2" s="14" t="s">
        <v>84</v>
      </c>
      <c r="AO2" s="14" t="s">
        <v>84</v>
      </c>
    </row>
    <row r="3" spans="1:41" ht="75" x14ac:dyDescent="0.25">
      <c r="A3" s="14" t="s">
        <v>71</v>
      </c>
      <c r="B3" s="14" t="s">
        <v>129</v>
      </c>
      <c r="C3" s="15">
        <v>44711.421527777777</v>
      </c>
      <c r="D3" s="14" t="s">
        <v>73</v>
      </c>
      <c r="E3" s="16" t="s">
        <v>74</v>
      </c>
      <c r="F3" s="14" t="s">
        <v>75</v>
      </c>
      <c r="G3" s="16" t="s">
        <v>76</v>
      </c>
      <c r="H3" s="14" t="s">
        <v>77</v>
      </c>
      <c r="I3" s="16" t="s">
        <v>78</v>
      </c>
      <c r="J3" s="16" t="s">
        <v>79</v>
      </c>
      <c r="K3" s="16" t="s">
        <v>80</v>
      </c>
      <c r="L3" s="14" t="s">
        <v>81</v>
      </c>
      <c r="M3" s="16" t="s">
        <v>82</v>
      </c>
      <c r="N3" s="14" t="s">
        <v>83</v>
      </c>
      <c r="O3" s="16" t="s">
        <v>84</v>
      </c>
      <c r="P3" s="16" t="s">
        <v>84</v>
      </c>
      <c r="Q3" s="16" t="s">
        <v>85</v>
      </c>
      <c r="R3" s="14" t="s">
        <v>86</v>
      </c>
      <c r="S3" s="14" t="s">
        <v>88</v>
      </c>
      <c r="T3" s="14" t="s">
        <v>89</v>
      </c>
      <c r="U3" s="15">
        <v>43832</v>
      </c>
      <c r="V3" s="15">
        <v>43938</v>
      </c>
      <c r="W3" s="16"/>
      <c r="X3" s="16" t="s">
        <v>84</v>
      </c>
      <c r="Y3" s="14" t="s">
        <v>84</v>
      </c>
      <c r="Z3" s="16" t="s">
        <v>84</v>
      </c>
      <c r="AA3" s="16" t="s">
        <v>84</v>
      </c>
      <c r="AB3" s="16" t="s">
        <v>84</v>
      </c>
      <c r="AC3" s="14" t="s">
        <v>84</v>
      </c>
      <c r="AD3" s="16" t="s">
        <v>84</v>
      </c>
      <c r="AE3" s="16" t="s">
        <v>84</v>
      </c>
      <c r="AF3" s="16" t="s">
        <v>84</v>
      </c>
      <c r="AG3" s="14" t="s">
        <v>84</v>
      </c>
      <c r="AH3" s="16" t="s">
        <v>84</v>
      </c>
      <c r="AI3" s="16" t="s">
        <v>84</v>
      </c>
      <c r="AJ3" s="16" t="s">
        <v>84</v>
      </c>
      <c r="AK3" s="14" t="s">
        <v>84</v>
      </c>
      <c r="AL3" s="16" t="s">
        <v>84</v>
      </c>
      <c r="AM3" s="16" t="s">
        <v>84</v>
      </c>
      <c r="AN3" s="14" t="s">
        <v>84</v>
      </c>
      <c r="AO3" s="14" t="s">
        <v>84</v>
      </c>
    </row>
    <row r="4" spans="1:41" ht="75" x14ac:dyDescent="0.25">
      <c r="A4" s="14" t="s">
        <v>133</v>
      </c>
      <c r="B4" s="14" t="s">
        <v>72</v>
      </c>
      <c r="C4" s="15">
        <v>43999.45416666667</v>
      </c>
      <c r="D4" s="14" t="s">
        <v>73</v>
      </c>
      <c r="E4" s="16" t="s">
        <v>74</v>
      </c>
      <c r="F4" s="14" t="s">
        <v>75</v>
      </c>
      <c r="G4" s="16" t="s">
        <v>76</v>
      </c>
      <c r="H4" s="14" t="s">
        <v>77</v>
      </c>
      <c r="I4" s="16" t="s">
        <v>78</v>
      </c>
      <c r="J4" s="16" t="s">
        <v>79</v>
      </c>
      <c r="K4" s="16" t="s">
        <v>80</v>
      </c>
      <c r="L4" s="14" t="s">
        <v>134</v>
      </c>
      <c r="M4" s="16" t="s">
        <v>135</v>
      </c>
      <c r="N4" s="14" t="s">
        <v>136</v>
      </c>
      <c r="O4" s="16" t="s">
        <v>84</v>
      </c>
      <c r="P4" s="16" t="s">
        <v>84</v>
      </c>
      <c r="Q4" s="16" t="s">
        <v>85</v>
      </c>
      <c r="R4" s="14" t="s">
        <v>86</v>
      </c>
      <c r="S4" s="14" t="s">
        <v>88</v>
      </c>
      <c r="T4" s="14" t="s">
        <v>89</v>
      </c>
      <c r="U4" s="15">
        <v>40550</v>
      </c>
      <c r="V4" s="15">
        <v>43938</v>
      </c>
      <c r="W4" s="16"/>
      <c r="X4" s="16" t="s">
        <v>84</v>
      </c>
      <c r="Y4" s="14" t="s">
        <v>84</v>
      </c>
      <c r="Z4" s="16" t="s">
        <v>84</v>
      </c>
      <c r="AA4" s="16" t="s">
        <v>84</v>
      </c>
      <c r="AB4" s="16" t="s">
        <v>84</v>
      </c>
      <c r="AC4" s="14" t="s">
        <v>84</v>
      </c>
      <c r="AD4" s="16" t="s">
        <v>84</v>
      </c>
      <c r="AE4" s="16" t="s">
        <v>84</v>
      </c>
      <c r="AF4" s="16" t="s">
        <v>84</v>
      </c>
      <c r="AG4" s="14" t="s">
        <v>84</v>
      </c>
      <c r="AH4" s="16" t="s">
        <v>84</v>
      </c>
      <c r="AI4" s="16" t="s">
        <v>84</v>
      </c>
      <c r="AJ4" s="16" t="s">
        <v>84</v>
      </c>
      <c r="AK4" s="14" t="s">
        <v>84</v>
      </c>
      <c r="AL4" s="16" t="s">
        <v>84</v>
      </c>
      <c r="AM4" s="16" t="s">
        <v>84</v>
      </c>
      <c r="AN4" s="14" t="s">
        <v>84</v>
      </c>
      <c r="AO4" s="14" t="s">
        <v>84</v>
      </c>
    </row>
    <row r="5" spans="1:41" ht="75" x14ac:dyDescent="0.25">
      <c r="A5" s="14" t="s">
        <v>133</v>
      </c>
      <c r="B5" s="14" t="s">
        <v>72</v>
      </c>
      <c r="C5" s="15">
        <v>43999.64166666667</v>
      </c>
      <c r="D5" s="14" t="s">
        <v>73</v>
      </c>
      <c r="E5" s="16" t="s">
        <v>74</v>
      </c>
      <c r="F5" s="14" t="s">
        <v>75</v>
      </c>
      <c r="G5" s="16" t="s">
        <v>76</v>
      </c>
      <c r="H5" s="14" t="s">
        <v>77</v>
      </c>
      <c r="I5" s="16" t="s">
        <v>78</v>
      </c>
      <c r="J5" s="16" t="s">
        <v>79</v>
      </c>
      <c r="K5" s="16" t="s">
        <v>80</v>
      </c>
      <c r="L5" s="14" t="s">
        <v>81</v>
      </c>
      <c r="M5" s="16" t="s">
        <v>82</v>
      </c>
      <c r="N5" s="14" t="s">
        <v>83</v>
      </c>
      <c r="O5" s="16" t="s">
        <v>84</v>
      </c>
      <c r="P5" s="16" t="s">
        <v>84</v>
      </c>
      <c r="Q5" s="16" t="s">
        <v>138</v>
      </c>
      <c r="R5" s="14" t="s">
        <v>139</v>
      </c>
      <c r="S5" s="14" t="s">
        <v>88</v>
      </c>
      <c r="T5" s="14" t="s">
        <v>140</v>
      </c>
      <c r="U5" s="15">
        <v>40550</v>
      </c>
      <c r="V5" s="15">
        <v>43938</v>
      </c>
      <c r="W5" s="16"/>
      <c r="X5" s="16" t="s">
        <v>84</v>
      </c>
      <c r="Y5" s="14" t="s">
        <v>84</v>
      </c>
      <c r="Z5" s="16" t="s">
        <v>84</v>
      </c>
      <c r="AA5" s="16" t="s">
        <v>84</v>
      </c>
      <c r="AB5" s="16" t="s">
        <v>84</v>
      </c>
      <c r="AC5" s="14" t="s">
        <v>84</v>
      </c>
      <c r="AD5" s="16" t="s">
        <v>84</v>
      </c>
      <c r="AE5" s="16" t="s">
        <v>84</v>
      </c>
      <c r="AF5" s="16" t="s">
        <v>84</v>
      </c>
      <c r="AG5" s="14" t="s">
        <v>84</v>
      </c>
      <c r="AH5" s="16" t="s">
        <v>84</v>
      </c>
      <c r="AI5" s="16" t="s">
        <v>84</v>
      </c>
      <c r="AJ5" s="16" t="s">
        <v>84</v>
      </c>
      <c r="AK5" s="14" t="s">
        <v>84</v>
      </c>
      <c r="AL5" s="16" t="s">
        <v>84</v>
      </c>
      <c r="AM5" s="16" t="s">
        <v>84</v>
      </c>
      <c r="AN5" s="14" t="s">
        <v>84</v>
      </c>
      <c r="AO5" s="14" t="s">
        <v>84</v>
      </c>
    </row>
    <row r="6" spans="1:41" ht="75" x14ac:dyDescent="0.25">
      <c r="A6" s="14" t="s">
        <v>133</v>
      </c>
      <c r="B6" s="14" t="s">
        <v>72</v>
      </c>
      <c r="C6" s="15">
        <v>43999.640277777777</v>
      </c>
      <c r="D6" s="14" t="s">
        <v>73</v>
      </c>
      <c r="E6" s="16" t="s">
        <v>74</v>
      </c>
      <c r="F6" s="14" t="s">
        <v>75</v>
      </c>
      <c r="G6" s="16" t="s">
        <v>76</v>
      </c>
      <c r="H6" s="14" t="s">
        <v>77</v>
      </c>
      <c r="I6" s="16" t="s">
        <v>78</v>
      </c>
      <c r="J6" s="16" t="s">
        <v>79</v>
      </c>
      <c r="K6" s="16" t="s">
        <v>80</v>
      </c>
      <c r="L6" s="14" t="s">
        <v>134</v>
      </c>
      <c r="M6" s="16" t="s">
        <v>135</v>
      </c>
      <c r="N6" s="14" t="s">
        <v>136</v>
      </c>
      <c r="O6" s="16" t="s">
        <v>84</v>
      </c>
      <c r="P6" s="16" t="s">
        <v>84</v>
      </c>
      <c r="Q6" s="16" t="s">
        <v>138</v>
      </c>
      <c r="R6" s="14" t="s">
        <v>139</v>
      </c>
      <c r="S6" s="14" t="s">
        <v>88</v>
      </c>
      <c r="T6" s="14" t="s">
        <v>140</v>
      </c>
      <c r="U6" s="15">
        <v>40550</v>
      </c>
      <c r="V6" s="15">
        <v>43938</v>
      </c>
      <c r="W6" s="16"/>
      <c r="X6" s="16" t="s">
        <v>84</v>
      </c>
      <c r="Y6" s="14" t="s">
        <v>84</v>
      </c>
      <c r="Z6" s="16" t="s">
        <v>84</v>
      </c>
      <c r="AA6" s="16" t="s">
        <v>84</v>
      </c>
      <c r="AB6" s="16" t="s">
        <v>84</v>
      </c>
      <c r="AC6" s="14" t="s">
        <v>84</v>
      </c>
      <c r="AD6" s="16" t="s">
        <v>84</v>
      </c>
      <c r="AE6" s="16" t="s">
        <v>84</v>
      </c>
      <c r="AF6" s="16" t="s">
        <v>84</v>
      </c>
      <c r="AG6" s="14" t="s">
        <v>84</v>
      </c>
      <c r="AH6" s="16" t="s">
        <v>84</v>
      </c>
      <c r="AI6" s="16" t="s">
        <v>84</v>
      </c>
      <c r="AJ6" s="16" t="s">
        <v>84</v>
      </c>
      <c r="AK6" s="14" t="s">
        <v>84</v>
      </c>
      <c r="AL6" s="16" t="s">
        <v>84</v>
      </c>
      <c r="AM6" s="16" t="s">
        <v>84</v>
      </c>
      <c r="AN6" s="14" t="s">
        <v>84</v>
      </c>
      <c r="AO6" s="14" t="s">
        <v>84</v>
      </c>
    </row>
    <row r="7" spans="1:41" ht="75" x14ac:dyDescent="0.25">
      <c r="A7" s="14" t="s">
        <v>133</v>
      </c>
      <c r="B7" s="14" t="s">
        <v>72</v>
      </c>
      <c r="C7" s="15">
        <v>43999.642361111109</v>
      </c>
      <c r="D7" s="14" t="s">
        <v>73</v>
      </c>
      <c r="E7" s="16" t="s">
        <v>74</v>
      </c>
      <c r="F7" s="14" t="s">
        <v>75</v>
      </c>
      <c r="G7" s="16" t="s">
        <v>76</v>
      </c>
      <c r="H7" s="14" t="s">
        <v>77</v>
      </c>
      <c r="I7" s="16" t="s">
        <v>78</v>
      </c>
      <c r="J7" s="16" t="s">
        <v>79</v>
      </c>
      <c r="K7" s="16" t="s">
        <v>80</v>
      </c>
      <c r="L7" s="14" t="s">
        <v>81</v>
      </c>
      <c r="M7" s="16" t="s">
        <v>82</v>
      </c>
      <c r="N7" s="14" t="s">
        <v>83</v>
      </c>
      <c r="O7" s="16" t="s">
        <v>84</v>
      </c>
      <c r="P7" s="16" t="s">
        <v>84</v>
      </c>
      <c r="Q7" s="16" t="s">
        <v>141</v>
      </c>
      <c r="R7" s="14" t="s">
        <v>142</v>
      </c>
      <c r="S7" s="14" t="s">
        <v>88</v>
      </c>
      <c r="T7" s="14" t="s">
        <v>140</v>
      </c>
      <c r="U7" s="15">
        <v>40550</v>
      </c>
      <c r="V7" s="15">
        <v>43938</v>
      </c>
      <c r="W7" s="16"/>
      <c r="X7" s="16" t="s">
        <v>84</v>
      </c>
      <c r="Y7" s="14" t="s">
        <v>84</v>
      </c>
      <c r="Z7" s="16" t="s">
        <v>84</v>
      </c>
      <c r="AA7" s="16" t="s">
        <v>84</v>
      </c>
      <c r="AB7" s="16" t="s">
        <v>84</v>
      </c>
      <c r="AC7" s="14" t="s">
        <v>84</v>
      </c>
      <c r="AD7" s="16" t="s">
        <v>84</v>
      </c>
      <c r="AE7" s="16" t="s">
        <v>84</v>
      </c>
      <c r="AF7" s="16" t="s">
        <v>84</v>
      </c>
      <c r="AG7" s="14" t="s">
        <v>84</v>
      </c>
      <c r="AH7" s="16" t="s">
        <v>84</v>
      </c>
      <c r="AI7" s="16" t="s">
        <v>84</v>
      </c>
      <c r="AJ7" s="16" t="s">
        <v>84</v>
      </c>
      <c r="AK7" s="14" t="s">
        <v>84</v>
      </c>
      <c r="AL7" s="16" t="s">
        <v>84</v>
      </c>
      <c r="AM7" s="16" t="s">
        <v>84</v>
      </c>
      <c r="AN7" s="14" t="s">
        <v>84</v>
      </c>
      <c r="AO7" s="14" t="s">
        <v>84</v>
      </c>
    </row>
    <row r="8" spans="1:41" ht="75" x14ac:dyDescent="0.25">
      <c r="A8" s="14" t="s">
        <v>133</v>
      </c>
      <c r="B8" s="14" t="s">
        <v>72</v>
      </c>
      <c r="C8" s="15">
        <v>43999.640972222223</v>
      </c>
      <c r="D8" s="14" t="s">
        <v>73</v>
      </c>
      <c r="E8" s="16" t="s">
        <v>74</v>
      </c>
      <c r="F8" s="14" t="s">
        <v>75</v>
      </c>
      <c r="G8" s="16" t="s">
        <v>76</v>
      </c>
      <c r="H8" s="14" t="s">
        <v>77</v>
      </c>
      <c r="I8" s="16" t="s">
        <v>78</v>
      </c>
      <c r="J8" s="16" t="s">
        <v>79</v>
      </c>
      <c r="K8" s="16" t="s">
        <v>80</v>
      </c>
      <c r="L8" s="14" t="s">
        <v>134</v>
      </c>
      <c r="M8" s="16" t="s">
        <v>135</v>
      </c>
      <c r="N8" s="14" t="s">
        <v>136</v>
      </c>
      <c r="O8" s="16" t="s">
        <v>84</v>
      </c>
      <c r="P8" s="16" t="s">
        <v>84</v>
      </c>
      <c r="Q8" s="16" t="s">
        <v>141</v>
      </c>
      <c r="R8" s="14" t="s">
        <v>142</v>
      </c>
      <c r="S8" s="14" t="s">
        <v>88</v>
      </c>
      <c r="T8" s="14" t="s">
        <v>140</v>
      </c>
      <c r="U8" s="15">
        <v>40550</v>
      </c>
      <c r="V8" s="15">
        <v>43938</v>
      </c>
      <c r="W8" s="16"/>
      <c r="X8" s="16" t="s">
        <v>84</v>
      </c>
      <c r="Y8" s="14" t="s">
        <v>84</v>
      </c>
      <c r="Z8" s="16" t="s">
        <v>84</v>
      </c>
      <c r="AA8" s="16" t="s">
        <v>84</v>
      </c>
      <c r="AB8" s="16" t="s">
        <v>84</v>
      </c>
      <c r="AC8" s="14" t="s">
        <v>84</v>
      </c>
      <c r="AD8" s="16" t="s">
        <v>84</v>
      </c>
      <c r="AE8" s="16" t="s">
        <v>84</v>
      </c>
      <c r="AF8" s="16" t="s">
        <v>84</v>
      </c>
      <c r="AG8" s="14" t="s">
        <v>84</v>
      </c>
      <c r="AH8" s="16" t="s">
        <v>84</v>
      </c>
      <c r="AI8" s="16" t="s">
        <v>84</v>
      </c>
      <c r="AJ8" s="16" t="s">
        <v>84</v>
      </c>
      <c r="AK8" s="14" t="s">
        <v>84</v>
      </c>
      <c r="AL8" s="16" t="s">
        <v>84</v>
      </c>
      <c r="AM8" s="16" t="s">
        <v>84</v>
      </c>
      <c r="AN8" s="14" t="s">
        <v>84</v>
      </c>
      <c r="AO8" s="14" t="s">
        <v>84</v>
      </c>
    </row>
    <row r="9" spans="1:41" ht="75" x14ac:dyDescent="0.25">
      <c r="A9" s="14" t="s">
        <v>71</v>
      </c>
      <c r="B9" s="14" t="s">
        <v>72</v>
      </c>
      <c r="C9" s="15">
        <v>44711.426388888889</v>
      </c>
      <c r="D9" s="14" t="s">
        <v>73</v>
      </c>
      <c r="E9" s="16" t="s">
        <v>74</v>
      </c>
      <c r="F9" s="14" t="s">
        <v>75</v>
      </c>
      <c r="G9" s="16" t="s">
        <v>76</v>
      </c>
      <c r="H9" s="14" t="s">
        <v>77</v>
      </c>
      <c r="I9" s="16" t="s">
        <v>78</v>
      </c>
      <c r="J9" s="16" t="s">
        <v>79</v>
      </c>
      <c r="K9" s="16" t="s">
        <v>80</v>
      </c>
      <c r="L9" s="14" t="s">
        <v>81</v>
      </c>
      <c r="M9" s="16" t="s">
        <v>82</v>
      </c>
      <c r="N9" s="14" t="s">
        <v>83</v>
      </c>
      <c r="O9" s="16" t="s">
        <v>84</v>
      </c>
      <c r="P9" s="16" t="s">
        <v>84</v>
      </c>
      <c r="Q9" s="16" t="s">
        <v>144</v>
      </c>
      <c r="R9" s="14" t="s">
        <v>145</v>
      </c>
      <c r="S9" s="14" t="s">
        <v>88</v>
      </c>
      <c r="T9" s="14" t="s">
        <v>89</v>
      </c>
      <c r="U9" s="15">
        <v>40550</v>
      </c>
      <c r="V9" s="15">
        <v>43938</v>
      </c>
      <c r="W9" s="16"/>
      <c r="X9" s="16" t="s">
        <v>84</v>
      </c>
      <c r="Y9" s="14" t="s">
        <v>84</v>
      </c>
      <c r="Z9" s="16" t="s">
        <v>84</v>
      </c>
      <c r="AA9" s="16" t="s">
        <v>84</v>
      </c>
      <c r="AB9" s="16" t="s">
        <v>84</v>
      </c>
      <c r="AC9" s="14" t="s">
        <v>84</v>
      </c>
      <c r="AD9" s="16" t="s">
        <v>84</v>
      </c>
      <c r="AE9" s="16" t="s">
        <v>84</v>
      </c>
      <c r="AF9" s="16" t="s">
        <v>84</v>
      </c>
      <c r="AG9" s="14" t="s">
        <v>84</v>
      </c>
      <c r="AH9" s="16" t="s">
        <v>84</v>
      </c>
      <c r="AI9" s="16" t="s">
        <v>84</v>
      </c>
      <c r="AJ9" s="16" t="s">
        <v>84</v>
      </c>
      <c r="AK9" s="14" t="s">
        <v>84</v>
      </c>
      <c r="AL9" s="16" t="s">
        <v>84</v>
      </c>
      <c r="AM9" s="16" t="s">
        <v>84</v>
      </c>
      <c r="AN9" s="14" t="s">
        <v>84</v>
      </c>
      <c r="AO9" s="14" t="s">
        <v>84</v>
      </c>
    </row>
    <row r="10" spans="1:41" ht="75" x14ac:dyDescent="0.25">
      <c r="A10" s="14" t="s">
        <v>133</v>
      </c>
      <c r="B10" s="14" t="s">
        <v>72</v>
      </c>
      <c r="C10" s="15">
        <v>43999.453472222223</v>
      </c>
      <c r="D10" s="14" t="s">
        <v>73</v>
      </c>
      <c r="E10" s="16" t="s">
        <v>74</v>
      </c>
      <c r="F10" s="14" t="s">
        <v>75</v>
      </c>
      <c r="G10" s="16" t="s">
        <v>76</v>
      </c>
      <c r="H10" s="14" t="s">
        <v>77</v>
      </c>
      <c r="I10" s="16" t="s">
        <v>78</v>
      </c>
      <c r="J10" s="16" t="s">
        <v>79</v>
      </c>
      <c r="K10" s="16" t="s">
        <v>80</v>
      </c>
      <c r="L10" s="14" t="s">
        <v>134</v>
      </c>
      <c r="M10" s="16" t="s">
        <v>135</v>
      </c>
      <c r="N10" s="14" t="s">
        <v>136</v>
      </c>
      <c r="O10" s="16" t="s">
        <v>84</v>
      </c>
      <c r="P10" s="16" t="s">
        <v>84</v>
      </c>
      <c r="Q10" s="16" t="s">
        <v>144</v>
      </c>
      <c r="R10" s="14" t="s">
        <v>145</v>
      </c>
      <c r="S10" s="14" t="s">
        <v>88</v>
      </c>
      <c r="T10" s="14" t="s">
        <v>89</v>
      </c>
      <c r="U10" s="15">
        <v>40550</v>
      </c>
      <c r="V10" s="15">
        <v>43938</v>
      </c>
      <c r="W10" s="16"/>
      <c r="X10" s="16" t="s">
        <v>84</v>
      </c>
      <c r="Y10" s="14" t="s">
        <v>84</v>
      </c>
      <c r="Z10" s="16" t="s">
        <v>84</v>
      </c>
      <c r="AA10" s="16" t="s">
        <v>84</v>
      </c>
      <c r="AB10" s="16" t="s">
        <v>84</v>
      </c>
      <c r="AC10" s="14" t="s">
        <v>84</v>
      </c>
      <c r="AD10" s="16" t="s">
        <v>84</v>
      </c>
      <c r="AE10" s="16" t="s">
        <v>84</v>
      </c>
      <c r="AF10" s="16" t="s">
        <v>84</v>
      </c>
      <c r="AG10" s="14" t="s">
        <v>84</v>
      </c>
      <c r="AH10" s="16" t="s">
        <v>84</v>
      </c>
      <c r="AI10" s="16" t="s">
        <v>84</v>
      </c>
      <c r="AJ10" s="16" t="s">
        <v>84</v>
      </c>
      <c r="AK10" s="14" t="s">
        <v>84</v>
      </c>
      <c r="AL10" s="16" t="s">
        <v>84</v>
      </c>
      <c r="AM10" s="16" t="s">
        <v>84</v>
      </c>
      <c r="AN10" s="14" t="s">
        <v>84</v>
      </c>
      <c r="AO10" s="14" t="s">
        <v>84</v>
      </c>
    </row>
    <row r="11" spans="1:41" ht="75" x14ac:dyDescent="0.25">
      <c r="A11" s="14" t="s">
        <v>133</v>
      </c>
      <c r="B11" s="14" t="s">
        <v>72</v>
      </c>
      <c r="C11" s="15">
        <v>43999.642361111109</v>
      </c>
      <c r="D11" s="14" t="s">
        <v>73</v>
      </c>
      <c r="E11" s="16" t="s">
        <v>74</v>
      </c>
      <c r="F11" s="14" t="s">
        <v>75</v>
      </c>
      <c r="G11" s="16" t="s">
        <v>76</v>
      </c>
      <c r="H11" s="14" t="s">
        <v>77</v>
      </c>
      <c r="I11" s="16" t="s">
        <v>78</v>
      </c>
      <c r="J11" s="16" t="s">
        <v>79</v>
      </c>
      <c r="K11" s="16" t="s">
        <v>80</v>
      </c>
      <c r="L11" s="14" t="s">
        <v>81</v>
      </c>
      <c r="M11" s="16" t="s">
        <v>82</v>
      </c>
      <c r="N11" s="14" t="s">
        <v>83</v>
      </c>
      <c r="O11" s="16" t="s">
        <v>84</v>
      </c>
      <c r="P11" s="16" t="s">
        <v>84</v>
      </c>
      <c r="Q11" s="16" t="s">
        <v>148</v>
      </c>
      <c r="R11" s="14" t="s">
        <v>149</v>
      </c>
      <c r="S11" s="14" t="s">
        <v>88</v>
      </c>
      <c r="T11" s="14" t="s">
        <v>140</v>
      </c>
      <c r="U11" s="15">
        <v>40550</v>
      </c>
      <c r="V11" s="15">
        <v>43938</v>
      </c>
      <c r="W11" s="16"/>
      <c r="X11" s="16" t="s">
        <v>84</v>
      </c>
      <c r="Y11" s="14" t="s">
        <v>84</v>
      </c>
      <c r="Z11" s="16" t="s">
        <v>84</v>
      </c>
      <c r="AA11" s="16" t="s">
        <v>84</v>
      </c>
      <c r="AB11" s="16" t="s">
        <v>84</v>
      </c>
      <c r="AC11" s="14" t="s">
        <v>84</v>
      </c>
      <c r="AD11" s="16" t="s">
        <v>84</v>
      </c>
      <c r="AE11" s="16" t="s">
        <v>84</v>
      </c>
      <c r="AF11" s="16" t="s">
        <v>84</v>
      </c>
      <c r="AG11" s="14" t="s">
        <v>84</v>
      </c>
      <c r="AH11" s="16" t="s">
        <v>84</v>
      </c>
      <c r="AI11" s="16" t="s">
        <v>84</v>
      </c>
      <c r="AJ11" s="16" t="s">
        <v>84</v>
      </c>
      <c r="AK11" s="14" t="s">
        <v>84</v>
      </c>
      <c r="AL11" s="16" t="s">
        <v>84</v>
      </c>
      <c r="AM11" s="16" t="s">
        <v>84</v>
      </c>
      <c r="AN11" s="14" t="s">
        <v>84</v>
      </c>
      <c r="AO11" s="14" t="s">
        <v>84</v>
      </c>
    </row>
    <row r="12" spans="1:41" ht="75" x14ac:dyDescent="0.25">
      <c r="A12" s="14" t="s">
        <v>133</v>
      </c>
      <c r="B12" s="14" t="s">
        <v>72</v>
      </c>
      <c r="C12" s="15">
        <v>43999.64166666667</v>
      </c>
      <c r="D12" s="14" t="s">
        <v>73</v>
      </c>
      <c r="E12" s="16" t="s">
        <v>74</v>
      </c>
      <c r="F12" s="14" t="s">
        <v>75</v>
      </c>
      <c r="G12" s="16" t="s">
        <v>76</v>
      </c>
      <c r="H12" s="14" t="s">
        <v>77</v>
      </c>
      <c r="I12" s="16" t="s">
        <v>78</v>
      </c>
      <c r="J12" s="16" t="s">
        <v>79</v>
      </c>
      <c r="K12" s="16" t="s">
        <v>80</v>
      </c>
      <c r="L12" s="14" t="s">
        <v>134</v>
      </c>
      <c r="M12" s="16" t="s">
        <v>135</v>
      </c>
      <c r="N12" s="14" t="s">
        <v>136</v>
      </c>
      <c r="O12" s="16" t="s">
        <v>84</v>
      </c>
      <c r="P12" s="16" t="s">
        <v>84</v>
      </c>
      <c r="Q12" s="16" t="s">
        <v>148</v>
      </c>
      <c r="R12" s="14" t="s">
        <v>149</v>
      </c>
      <c r="S12" s="14" t="s">
        <v>88</v>
      </c>
      <c r="T12" s="14" t="s">
        <v>140</v>
      </c>
      <c r="U12" s="15">
        <v>40550</v>
      </c>
      <c r="V12" s="15">
        <v>43938</v>
      </c>
      <c r="W12" s="16"/>
      <c r="X12" s="16" t="s">
        <v>84</v>
      </c>
      <c r="Y12" s="14" t="s">
        <v>84</v>
      </c>
      <c r="Z12" s="16" t="s">
        <v>84</v>
      </c>
      <c r="AA12" s="16" t="s">
        <v>84</v>
      </c>
      <c r="AB12" s="16" t="s">
        <v>84</v>
      </c>
      <c r="AC12" s="14" t="s">
        <v>84</v>
      </c>
      <c r="AD12" s="16" t="s">
        <v>84</v>
      </c>
      <c r="AE12" s="16" t="s">
        <v>84</v>
      </c>
      <c r="AF12" s="16" t="s">
        <v>84</v>
      </c>
      <c r="AG12" s="14" t="s">
        <v>84</v>
      </c>
      <c r="AH12" s="16" t="s">
        <v>84</v>
      </c>
      <c r="AI12" s="16" t="s">
        <v>84</v>
      </c>
      <c r="AJ12" s="16" t="s">
        <v>84</v>
      </c>
      <c r="AK12" s="14" t="s">
        <v>84</v>
      </c>
      <c r="AL12" s="16" t="s">
        <v>84</v>
      </c>
      <c r="AM12" s="16" t="s">
        <v>84</v>
      </c>
      <c r="AN12" s="14" t="s">
        <v>84</v>
      </c>
      <c r="AO12" s="14" t="s">
        <v>84</v>
      </c>
    </row>
    <row r="13" spans="1:41" ht="75" x14ac:dyDescent="0.25">
      <c r="A13" s="14" t="s">
        <v>133</v>
      </c>
      <c r="B13" s="14" t="s">
        <v>72</v>
      </c>
      <c r="C13" s="15">
        <v>43999.643055555556</v>
      </c>
      <c r="D13" s="14" t="s">
        <v>73</v>
      </c>
      <c r="E13" s="16" t="s">
        <v>74</v>
      </c>
      <c r="F13" s="14" t="s">
        <v>75</v>
      </c>
      <c r="G13" s="16" t="s">
        <v>76</v>
      </c>
      <c r="H13" s="14" t="s">
        <v>77</v>
      </c>
      <c r="I13" s="16" t="s">
        <v>78</v>
      </c>
      <c r="J13" s="16" t="s">
        <v>79</v>
      </c>
      <c r="K13" s="16" t="s">
        <v>80</v>
      </c>
      <c r="L13" s="14" t="s">
        <v>81</v>
      </c>
      <c r="M13" s="16" t="s">
        <v>82</v>
      </c>
      <c r="N13" s="14" t="s">
        <v>83</v>
      </c>
      <c r="O13" s="16" t="s">
        <v>84</v>
      </c>
      <c r="P13" s="16" t="s">
        <v>84</v>
      </c>
      <c r="Q13" s="16" t="s">
        <v>151</v>
      </c>
      <c r="R13" s="14" t="s">
        <v>152</v>
      </c>
      <c r="S13" s="14" t="s">
        <v>153</v>
      </c>
      <c r="T13" s="14" t="s">
        <v>140</v>
      </c>
      <c r="U13" s="15">
        <v>40550</v>
      </c>
      <c r="V13" s="15">
        <v>43938</v>
      </c>
      <c r="W13" s="16"/>
      <c r="X13" s="16" t="s">
        <v>84</v>
      </c>
      <c r="Y13" s="14" t="s">
        <v>84</v>
      </c>
      <c r="Z13" s="16" t="s">
        <v>84</v>
      </c>
      <c r="AA13" s="16" t="s">
        <v>84</v>
      </c>
      <c r="AB13" s="16" t="s">
        <v>84</v>
      </c>
      <c r="AC13" s="14" t="s">
        <v>84</v>
      </c>
      <c r="AD13" s="16" t="s">
        <v>84</v>
      </c>
      <c r="AE13" s="16" t="s">
        <v>84</v>
      </c>
      <c r="AF13" s="16" t="s">
        <v>84</v>
      </c>
      <c r="AG13" s="14" t="s">
        <v>84</v>
      </c>
      <c r="AH13" s="16" t="s">
        <v>84</v>
      </c>
      <c r="AI13" s="16" t="s">
        <v>84</v>
      </c>
      <c r="AJ13" s="16" t="s">
        <v>84</v>
      </c>
      <c r="AK13" s="14" t="s">
        <v>84</v>
      </c>
      <c r="AL13" s="16" t="s">
        <v>84</v>
      </c>
      <c r="AM13" s="16" t="s">
        <v>84</v>
      </c>
      <c r="AN13" s="14" t="s">
        <v>84</v>
      </c>
      <c r="AO13" s="14" t="s">
        <v>84</v>
      </c>
    </row>
    <row r="14" spans="1:41" ht="75" x14ac:dyDescent="0.25">
      <c r="A14" s="14" t="s">
        <v>133</v>
      </c>
      <c r="B14" s="14" t="s">
        <v>72</v>
      </c>
      <c r="C14" s="15">
        <v>43999.643750000003</v>
      </c>
      <c r="D14" s="14" t="s">
        <v>73</v>
      </c>
      <c r="E14" s="16" t="s">
        <v>74</v>
      </c>
      <c r="F14" s="14" t="s">
        <v>75</v>
      </c>
      <c r="G14" s="16" t="s">
        <v>76</v>
      </c>
      <c r="H14" s="14" t="s">
        <v>77</v>
      </c>
      <c r="I14" s="16" t="s">
        <v>78</v>
      </c>
      <c r="J14" s="16" t="s">
        <v>79</v>
      </c>
      <c r="K14" s="16" t="s">
        <v>80</v>
      </c>
      <c r="L14" s="14" t="s">
        <v>134</v>
      </c>
      <c r="M14" s="16" t="s">
        <v>135</v>
      </c>
      <c r="N14" s="14" t="s">
        <v>136</v>
      </c>
      <c r="O14" s="16" t="s">
        <v>84</v>
      </c>
      <c r="P14" s="16" t="s">
        <v>84</v>
      </c>
      <c r="Q14" s="16" t="s">
        <v>151</v>
      </c>
      <c r="R14" s="14" t="s">
        <v>152</v>
      </c>
      <c r="S14" s="14" t="s">
        <v>153</v>
      </c>
      <c r="T14" s="14" t="s">
        <v>140</v>
      </c>
      <c r="U14" s="15">
        <v>40550</v>
      </c>
      <c r="V14" s="15">
        <v>43938</v>
      </c>
      <c r="W14" s="16"/>
      <c r="X14" s="16" t="s">
        <v>84</v>
      </c>
      <c r="Y14" s="14" t="s">
        <v>84</v>
      </c>
      <c r="Z14" s="16" t="s">
        <v>84</v>
      </c>
      <c r="AA14" s="16" t="s">
        <v>84</v>
      </c>
      <c r="AB14" s="16" t="s">
        <v>84</v>
      </c>
      <c r="AC14" s="14" t="s">
        <v>84</v>
      </c>
      <c r="AD14" s="16" t="s">
        <v>84</v>
      </c>
      <c r="AE14" s="16" t="s">
        <v>84</v>
      </c>
      <c r="AF14" s="16" t="s">
        <v>84</v>
      </c>
      <c r="AG14" s="14" t="s">
        <v>84</v>
      </c>
      <c r="AH14" s="16" t="s">
        <v>84</v>
      </c>
      <c r="AI14" s="16" t="s">
        <v>84</v>
      </c>
      <c r="AJ14" s="16" t="s">
        <v>84</v>
      </c>
      <c r="AK14" s="14" t="s">
        <v>84</v>
      </c>
      <c r="AL14" s="16" t="s">
        <v>84</v>
      </c>
      <c r="AM14" s="16" t="s">
        <v>84</v>
      </c>
      <c r="AN14" s="14" t="s">
        <v>84</v>
      </c>
      <c r="AO14" s="14" t="s">
        <v>84</v>
      </c>
    </row>
    <row r="15" spans="1:41" ht="75" x14ac:dyDescent="0.25">
      <c r="A15" s="14" t="s">
        <v>133</v>
      </c>
      <c r="B15" s="14" t="s">
        <v>72</v>
      </c>
      <c r="C15" s="15">
        <v>43999.643055555556</v>
      </c>
      <c r="D15" s="14" t="s">
        <v>73</v>
      </c>
      <c r="E15" s="16" t="s">
        <v>74</v>
      </c>
      <c r="F15" s="14" t="s">
        <v>75</v>
      </c>
      <c r="G15" s="16" t="s">
        <v>76</v>
      </c>
      <c r="H15" s="14" t="s">
        <v>77</v>
      </c>
      <c r="I15" s="16" t="s">
        <v>78</v>
      </c>
      <c r="J15" s="16" t="s">
        <v>79</v>
      </c>
      <c r="K15" s="16" t="s">
        <v>80</v>
      </c>
      <c r="L15" s="14" t="s">
        <v>81</v>
      </c>
      <c r="M15" s="16" t="s">
        <v>82</v>
      </c>
      <c r="N15" s="14" t="s">
        <v>83</v>
      </c>
      <c r="O15" s="16" t="s">
        <v>84</v>
      </c>
      <c r="P15" s="16" t="s">
        <v>84</v>
      </c>
      <c r="Q15" s="16" t="s">
        <v>154</v>
      </c>
      <c r="R15" s="14" t="s">
        <v>155</v>
      </c>
      <c r="S15" s="14" t="s">
        <v>153</v>
      </c>
      <c r="T15" s="14" t="s">
        <v>140</v>
      </c>
      <c r="U15" s="15">
        <v>40550</v>
      </c>
      <c r="V15" s="15">
        <v>43938</v>
      </c>
      <c r="W15" s="16"/>
      <c r="X15" s="16" t="s">
        <v>84</v>
      </c>
      <c r="Y15" s="14" t="s">
        <v>84</v>
      </c>
      <c r="Z15" s="16" t="s">
        <v>84</v>
      </c>
      <c r="AA15" s="16" t="s">
        <v>84</v>
      </c>
      <c r="AB15" s="16" t="s">
        <v>84</v>
      </c>
      <c r="AC15" s="14" t="s">
        <v>84</v>
      </c>
      <c r="AD15" s="16" t="s">
        <v>84</v>
      </c>
      <c r="AE15" s="16" t="s">
        <v>84</v>
      </c>
      <c r="AF15" s="16" t="s">
        <v>84</v>
      </c>
      <c r="AG15" s="14" t="s">
        <v>84</v>
      </c>
      <c r="AH15" s="16" t="s">
        <v>84</v>
      </c>
      <c r="AI15" s="16" t="s">
        <v>84</v>
      </c>
      <c r="AJ15" s="16" t="s">
        <v>84</v>
      </c>
      <c r="AK15" s="14" t="s">
        <v>84</v>
      </c>
      <c r="AL15" s="16" t="s">
        <v>84</v>
      </c>
      <c r="AM15" s="16" t="s">
        <v>84</v>
      </c>
      <c r="AN15" s="14" t="s">
        <v>84</v>
      </c>
      <c r="AO15" s="14" t="s">
        <v>84</v>
      </c>
    </row>
    <row r="16" spans="1:41" ht="75" x14ac:dyDescent="0.25">
      <c r="A16" s="14" t="s">
        <v>133</v>
      </c>
      <c r="B16" s="14" t="s">
        <v>72</v>
      </c>
      <c r="C16" s="15">
        <v>43999.643750000003</v>
      </c>
      <c r="D16" s="14" t="s">
        <v>73</v>
      </c>
      <c r="E16" s="16" t="s">
        <v>74</v>
      </c>
      <c r="F16" s="14" t="s">
        <v>75</v>
      </c>
      <c r="G16" s="16" t="s">
        <v>76</v>
      </c>
      <c r="H16" s="14" t="s">
        <v>77</v>
      </c>
      <c r="I16" s="16" t="s">
        <v>78</v>
      </c>
      <c r="J16" s="16" t="s">
        <v>79</v>
      </c>
      <c r="K16" s="16" t="s">
        <v>80</v>
      </c>
      <c r="L16" s="14" t="s">
        <v>134</v>
      </c>
      <c r="M16" s="16" t="s">
        <v>135</v>
      </c>
      <c r="N16" s="14" t="s">
        <v>136</v>
      </c>
      <c r="O16" s="16" t="s">
        <v>84</v>
      </c>
      <c r="P16" s="16" t="s">
        <v>84</v>
      </c>
      <c r="Q16" s="16" t="s">
        <v>154</v>
      </c>
      <c r="R16" s="14" t="s">
        <v>155</v>
      </c>
      <c r="S16" s="14" t="s">
        <v>153</v>
      </c>
      <c r="T16" s="14" t="s">
        <v>140</v>
      </c>
      <c r="U16" s="15">
        <v>40550</v>
      </c>
      <c r="V16" s="15">
        <v>43938</v>
      </c>
      <c r="W16" s="16"/>
      <c r="X16" s="16" t="s">
        <v>84</v>
      </c>
      <c r="Y16" s="14" t="s">
        <v>84</v>
      </c>
      <c r="Z16" s="16" t="s">
        <v>84</v>
      </c>
      <c r="AA16" s="16" t="s">
        <v>84</v>
      </c>
      <c r="AB16" s="16" t="s">
        <v>84</v>
      </c>
      <c r="AC16" s="14" t="s">
        <v>84</v>
      </c>
      <c r="AD16" s="16" t="s">
        <v>84</v>
      </c>
      <c r="AE16" s="16" t="s">
        <v>84</v>
      </c>
      <c r="AF16" s="16" t="s">
        <v>84</v>
      </c>
      <c r="AG16" s="14" t="s">
        <v>84</v>
      </c>
      <c r="AH16" s="16" t="s">
        <v>84</v>
      </c>
      <c r="AI16" s="16" t="s">
        <v>84</v>
      </c>
      <c r="AJ16" s="16" t="s">
        <v>84</v>
      </c>
      <c r="AK16" s="14" t="s">
        <v>84</v>
      </c>
      <c r="AL16" s="16" t="s">
        <v>84</v>
      </c>
      <c r="AM16" s="16" t="s">
        <v>84</v>
      </c>
      <c r="AN16" s="14" t="s">
        <v>84</v>
      </c>
      <c r="AO16" s="14" t="s">
        <v>84</v>
      </c>
    </row>
    <row r="17" spans="1:41" ht="75" x14ac:dyDescent="0.25">
      <c r="A17" s="14" t="s">
        <v>71</v>
      </c>
      <c r="B17" s="14" t="s">
        <v>72</v>
      </c>
      <c r="C17" s="15">
        <v>44711.679861111108</v>
      </c>
      <c r="D17" s="14" t="s">
        <v>73</v>
      </c>
      <c r="E17" s="16" t="s">
        <v>74</v>
      </c>
      <c r="F17" s="14" t="s">
        <v>75</v>
      </c>
      <c r="G17" s="16" t="s">
        <v>76</v>
      </c>
      <c r="H17" s="14" t="s">
        <v>156</v>
      </c>
      <c r="I17" s="16" t="s">
        <v>157</v>
      </c>
      <c r="J17" s="16" t="s">
        <v>158</v>
      </c>
      <c r="K17" s="16" t="s">
        <v>159</v>
      </c>
      <c r="L17" s="14" t="s">
        <v>160</v>
      </c>
      <c r="M17" s="16" t="s">
        <v>161</v>
      </c>
      <c r="N17" s="14" t="s">
        <v>83</v>
      </c>
      <c r="O17" s="16" t="s">
        <v>84</v>
      </c>
      <c r="P17" s="16" t="s">
        <v>84</v>
      </c>
      <c r="Q17" s="16" t="s">
        <v>85</v>
      </c>
      <c r="R17" s="14" t="s">
        <v>86</v>
      </c>
      <c r="S17" s="14" t="s">
        <v>88</v>
      </c>
      <c r="T17" s="14" t="s">
        <v>89</v>
      </c>
      <c r="U17" s="15">
        <v>40550</v>
      </c>
      <c r="V17" s="15">
        <v>43861</v>
      </c>
      <c r="W17" s="16"/>
      <c r="X17" s="16" t="s">
        <v>84</v>
      </c>
      <c r="Y17" s="14" t="s">
        <v>84</v>
      </c>
      <c r="Z17" s="16" t="s">
        <v>84</v>
      </c>
      <c r="AA17" s="16" t="s">
        <v>84</v>
      </c>
      <c r="AB17" s="16" t="s">
        <v>84</v>
      </c>
      <c r="AC17" s="14" t="s">
        <v>84</v>
      </c>
      <c r="AD17" s="16" t="s">
        <v>84</v>
      </c>
      <c r="AE17" s="16" t="s">
        <v>84</v>
      </c>
      <c r="AF17" s="16" t="s">
        <v>84</v>
      </c>
      <c r="AG17" s="14" t="s">
        <v>84</v>
      </c>
      <c r="AH17" s="16" t="s">
        <v>84</v>
      </c>
      <c r="AI17" s="16" t="s">
        <v>84</v>
      </c>
      <c r="AJ17" s="16" t="s">
        <v>84</v>
      </c>
      <c r="AK17" s="14" t="s">
        <v>84</v>
      </c>
      <c r="AL17" s="16" t="s">
        <v>84</v>
      </c>
      <c r="AM17" s="16" t="s">
        <v>84</v>
      </c>
      <c r="AN17" s="14" t="s">
        <v>84</v>
      </c>
      <c r="AO17" s="14" t="s">
        <v>84</v>
      </c>
    </row>
    <row r="18" spans="1:41" ht="75" x14ac:dyDescent="0.25">
      <c r="A18" s="14" t="s">
        <v>71</v>
      </c>
      <c r="B18" s="14" t="s">
        <v>129</v>
      </c>
      <c r="C18" s="15">
        <v>44711.428472222222</v>
      </c>
      <c r="D18" s="14" t="s">
        <v>73</v>
      </c>
      <c r="E18" s="16" t="s">
        <v>74</v>
      </c>
      <c r="F18" s="14" t="s">
        <v>75</v>
      </c>
      <c r="G18" s="16" t="s">
        <v>76</v>
      </c>
      <c r="H18" s="14" t="s">
        <v>156</v>
      </c>
      <c r="I18" s="16" t="s">
        <v>157</v>
      </c>
      <c r="J18" s="16" t="s">
        <v>158</v>
      </c>
      <c r="K18" s="16" t="s">
        <v>159</v>
      </c>
      <c r="L18" s="14" t="s">
        <v>160</v>
      </c>
      <c r="M18" s="16" t="s">
        <v>161</v>
      </c>
      <c r="N18" s="14" t="s">
        <v>83</v>
      </c>
      <c r="O18" s="16" t="s">
        <v>84</v>
      </c>
      <c r="P18" s="16" t="s">
        <v>84</v>
      </c>
      <c r="Q18" s="16" t="s">
        <v>85</v>
      </c>
      <c r="R18" s="14" t="s">
        <v>86</v>
      </c>
      <c r="S18" s="14" t="s">
        <v>88</v>
      </c>
      <c r="T18" s="14" t="s">
        <v>89</v>
      </c>
      <c r="U18" s="15">
        <v>43832</v>
      </c>
      <c r="V18" s="15">
        <v>43938</v>
      </c>
      <c r="W18" s="16"/>
      <c r="X18" s="16" t="s">
        <v>84</v>
      </c>
      <c r="Y18" s="14" t="s">
        <v>84</v>
      </c>
      <c r="Z18" s="16" t="s">
        <v>84</v>
      </c>
      <c r="AA18" s="16" t="s">
        <v>84</v>
      </c>
      <c r="AB18" s="16" t="s">
        <v>84</v>
      </c>
      <c r="AC18" s="14" t="s">
        <v>84</v>
      </c>
      <c r="AD18" s="16" t="s">
        <v>84</v>
      </c>
      <c r="AE18" s="16" t="s">
        <v>84</v>
      </c>
      <c r="AF18" s="16" t="s">
        <v>84</v>
      </c>
      <c r="AG18" s="14" t="s">
        <v>84</v>
      </c>
      <c r="AH18" s="16" t="s">
        <v>84</v>
      </c>
      <c r="AI18" s="16" t="s">
        <v>84</v>
      </c>
      <c r="AJ18" s="16" t="s">
        <v>84</v>
      </c>
      <c r="AK18" s="14" t="s">
        <v>84</v>
      </c>
      <c r="AL18" s="16" t="s">
        <v>84</v>
      </c>
      <c r="AM18" s="16" t="s">
        <v>84</v>
      </c>
      <c r="AN18" s="14" t="s">
        <v>84</v>
      </c>
      <c r="AO18" s="14" t="s">
        <v>84</v>
      </c>
    </row>
    <row r="19" spans="1:41" ht="75" x14ac:dyDescent="0.25">
      <c r="A19" s="14" t="s">
        <v>133</v>
      </c>
      <c r="B19" s="14" t="s">
        <v>72</v>
      </c>
      <c r="C19" s="15">
        <v>43999.455555555556</v>
      </c>
      <c r="D19" s="14" t="s">
        <v>73</v>
      </c>
      <c r="E19" s="16" t="s">
        <v>74</v>
      </c>
      <c r="F19" s="14" t="s">
        <v>75</v>
      </c>
      <c r="G19" s="16" t="s">
        <v>76</v>
      </c>
      <c r="H19" s="14" t="s">
        <v>156</v>
      </c>
      <c r="I19" s="16" t="s">
        <v>157</v>
      </c>
      <c r="J19" s="16" t="s">
        <v>158</v>
      </c>
      <c r="K19" s="16" t="s">
        <v>159</v>
      </c>
      <c r="L19" s="14" t="s">
        <v>162</v>
      </c>
      <c r="M19" s="16" t="s">
        <v>163</v>
      </c>
      <c r="N19" s="14" t="s">
        <v>136</v>
      </c>
      <c r="O19" s="16" t="s">
        <v>84</v>
      </c>
      <c r="P19" s="16" t="s">
        <v>84</v>
      </c>
      <c r="Q19" s="16" t="s">
        <v>85</v>
      </c>
      <c r="R19" s="14" t="s">
        <v>86</v>
      </c>
      <c r="S19" s="14" t="s">
        <v>88</v>
      </c>
      <c r="T19" s="14" t="s">
        <v>89</v>
      </c>
      <c r="U19" s="15">
        <v>40550</v>
      </c>
      <c r="V19" s="15">
        <v>43938</v>
      </c>
      <c r="W19" s="16"/>
      <c r="X19" s="16" t="s">
        <v>84</v>
      </c>
      <c r="Y19" s="14" t="s">
        <v>84</v>
      </c>
      <c r="Z19" s="16" t="s">
        <v>84</v>
      </c>
      <c r="AA19" s="16" t="s">
        <v>84</v>
      </c>
      <c r="AB19" s="16" t="s">
        <v>84</v>
      </c>
      <c r="AC19" s="14" t="s">
        <v>84</v>
      </c>
      <c r="AD19" s="16" t="s">
        <v>84</v>
      </c>
      <c r="AE19" s="16" t="s">
        <v>84</v>
      </c>
      <c r="AF19" s="16" t="s">
        <v>84</v>
      </c>
      <c r="AG19" s="14" t="s">
        <v>84</v>
      </c>
      <c r="AH19" s="16" t="s">
        <v>84</v>
      </c>
      <c r="AI19" s="16" t="s">
        <v>84</v>
      </c>
      <c r="AJ19" s="16" t="s">
        <v>84</v>
      </c>
      <c r="AK19" s="14" t="s">
        <v>84</v>
      </c>
      <c r="AL19" s="16" t="s">
        <v>84</v>
      </c>
      <c r="AM19" s="16" t="s">
        <v>84</v>
      </c>
      <c r="AN19" s="14" t="s">
        <v>84</v>
      </c>
      <c r="AO19" s="14" t="s">
        <v>84</v>
      </c>
    </row>
    <row r="20" spans="1:41" ht="75" x14ac:dyDescent="0.25">
      <c r="A20" s="14" t="s">
        <v>133</v>
      </c>
      <c r="B20" s="14" t="s">
        <v>72</v>
      </c>
      <c r="C20" s="15">
        <v>43999.645138888889</v>
      </c>
      <c r="D20" s="14" t="s">
        <v>73</v>
      </c>
      <c r="E20" s="16" t="s">
        <v>74</v>
      </c>
      <c r="F20" s="14" t="s">
        <v>75</v>
      </c>
      <c r="G20" s="16" t="s">
        <v>76</v>
      </c>
      <c r="H20" s="14" t="s">
        <v>156</v>
      </c>
      <c r="I20" s="16" t="s">
        <v>157</v>
      </c>
      <c r="J20" s="16" t="s">
        <v>158</v>
      </c>
      <c r="K20" s="16" t="s">
        <v>159</v>
      </c>
      <c r="L20" s="14" t="s">
        <v>160</v>
      </c>
      <c r="M20" s="16" t="s">
        <v>161</v>
      </c>
      <c r="N20" s="14" t="s">
        <v>83</v>
      </c>
      <c r="O20" s="16" t="s">
        <v>84</v>
      </c>
      <c r="P20" s="16" t="s">
        <v>84</v>
      </c>
      <c r="Q20" s="16" t="s">
        <v>138</v>
      </c>
      <c r="R20" s="14" t="s">
        <v>139</v>
      </c>
      <c r="S20" s="14" t="s">
        <v>88</v>
      </c>
      <c r="T20" s="14" t="s">
        <v>140</v>
      </c>
      <c r="U20" s="15">
        <v>40550</v>
      </c>
      <c r="V20" s="15">
        <v>43938</v>
      </c>
      <c r="W20" s="16"/>
      <c r="X20" s="16" t="s">
        <v>84</v>
      </c>
      <c r="Y20" s="14" t="s">
        <v>84</v>
      </c>
      <c r="Z20" s="16" t="s">
        <v>84</v>
      </c>
      <c r="AA20" s="16" t="s">
        <v>84</v>
      </c>
      <c r="AB20" s="16" t="s">
        <v>84</v>
      </c>
      <c r="AC20" s="14" t="s">
        <v>84</v>
      </c>
      <c r="AD20" s="16" t="s">
        <v>84</v>
      </c>
      <c r="AE20" s="16" t="s">
        <v>84</v>
      </c>
      <c r="AF20" s="16" t="s">
        <v>84</v>
      </c>
      <c r="AG20" s="14" t="s">
        <v>84</v>
      </c>
      <c r="AH20" s="16" t="s">
        <v>84</v>
      </c>
      <c r="AI20" s="16" t="s">
        <v>84</v>
      </c>
      <c r="AJ20" s="16" t="s">
        <v>84</v>
      </c>
      <c r="AK20" s="14" t="s">
        <v>84</v>
      </c>
      <c r="AL20" s="16" t="s">
        <v>84</v>
      </c>
      <c r="AM20" s="16" t="s">
        <v>84</v>
      </c>
      <c r="AN20" s="14" t="s">
        <v>84</v>
      </c>
      <c r="AO20" s="14" t="s">
        <v>84</v>
      </c>
    </row>
    <row r="21" spans="1:41" ht="75" x14ac:dyDescent="0.25">
      <c r="A21" s="14" t="s">
        <v>133</v>
      </c>
      <c r="B21" s="14" t="s">
        <v>72</v>
      </c>
      <c r="C21" s="15">
        <v>43999.646527777775</v>
      </c>
      <c r="D21" s="14" t="s">
        <v>73</v>
      </c>
      <c r="E21" s="16" t="s">
        <v>74</v>
      </c>
      <c r="F21" s="14" t="s">
        <v>75</v>
      </c>
      <c r="G21" s="16" t="s">
        <v>76</v>
      </c>
      <c r="H21" s="14" t="s">
        <v>156</v>
      </c>
      <c r="I21" s="16" t="s">
        <v>157</v>
      </c>
      <c r="J21" s="16" t="s">
        <v>158</v>
      </c>
      <c r="K21" s="16" t="s">
        <v>159</v>
      </c>
      <c r="L21" s="14" t="s">
        <v>162</v>
      </c>
      <c r="M21" s="16" t="s">
        <v>163</v>
      </c>
      <c r="N21" s="14" t="s">
        <v>136</v>
      </c>
      <c r="O21" s="16" t="s">
        <v>84</v>
      </c>
      <c r="P21" s="16" t="s">
        <v>84</v>
      </c>
      <c r="Q21" s="16" t="s">
        <v>138</v>
      </c>
      <c r="R21" s="14" t="s">
        <v>139</v>
      </c>
      <c r="S21" s="14" t="s">
        <v>88</v>
      </c>
      <c r="T21" s="14" t="s">
        <v>140</v>
      </c>
      <c r="U21" s="15">
        <v>40550</v>
      </c>
      <c r="V21" s="15">
        <v>43938</v>
      </c>
      <c r="W21" s="16"/>
      <c r="X21" s="16" t="s">
        <v>84</v>
      </c>
      <c r="Y21" s="14" t="s">
        <v>84</v>
      </c>
      <c r="Z21" s="16" t="s">
        <v>84</v>
      </c>
      <c r="AA21" s="16" t="s">
        <v>84</v>
      </c>
      <c r="AB21" s="16" t="s">
        <v>84</v>
      </c>
      <c r="AC21" s="14" t="s">
        <v>84</v>
      </c>
      <c r="AD21" s="16" t="s">
        <v>84</v>
      </c>
      <c r="AE21" s="16" t="s">
        <v>84</v>
      </c>
      <c r="AF21" s="16" t="s">
        <v>84</v>
      </c>
      <c r="AG21" s="14" t="s">
        <v>84</v>
      </c>
      <c r="AH21" s="16" t="s">
        <v>84</v>
      </c>
      <c r="AI21" s="16" t="s">
        <v>84</v>
      </c>
      <c r="AJ21" s="16" t="s">
        <v>84</v>
      </c>
      <c r="AK21" s="14" t="s">
        <v>84</v>
      </c>
      <c r="AL21" s="16" t="s">
        <v>84</v>
      </c>
      <c r="AM21" s="16" t="s">
        <v>84</v>
      </c>
      <c r="AN21" s="14" t="s">
        <v>84</v>
      </c>
      <c r="AO21" s="14" t="s">
        <v>84</v>
      </c>
    </row>
    <row r="22" spans="1:41" ht="75" x14ac:dyDescent="0.25">
      <c r="A22" s="14" t="s">
        <v>133</v>
      </c>
      <c r="B22" s="14" t="s">
        <v>72</v>
      </c>
      <c r="C22" s="15">
        <v>43999.645833333336</v>
      </c>
      <c r="D22" s="14" t="s">
        <v>73</v>
      </c>
      <c r="E22" s="16" t="s">
        <v>74</v>
      </c>
      <c r="F22" s="14" t="s">
        <v>75</v>
      </c>
      <c r="G22" s="16" t="s">
        <v>76</v>
      </c>
      <c r="H22" s="14" t="s">
        <v>156</v>
      </c>
      <c r="I22" s="16" t="s">
        <v>157</v>
      </c>
      <c r="J22" s="16" t="s">
        <v>158</v>
      </c>
      <c r="K22" s="16" t="s">
        <v>159</v>
      </c>
      <c r="L22" s="14" t="s">
        <v>160</v>
      </c>
      <c r="M22" s="16" t="s">
        <v>161</v>
      </c>
      <c r="N22" s="14" t="s">
        <v>83</v>
      </c>
      <c r="O22" s="16" t="s">
        <v>84</v>
      </c>
      <c r="P22" s="16" t="s">
        <v>84</v>
      </c>
      <c r="Q22" s="16" t="s">
        <v>141</v>
      </c>
      <c r="R22" s="14" t="s">
        <v>142</v>
      </c>
      <c r="S22" s="14" t="s">
        <v>88</v>
      </c>
      <c r="T22" s="14" t="s">
        <v>140</v>
      </c>
      <c r="U22" s="15">
        <v>40550</v>
      </c>
      <c r="V22" s="15">
        <v>43938</v>
      </c>
      <c r="W22" s="16"/>
      <c r="X22" s="16" t="s">
        <v>84</v>
      </c>
      <c r="Y22" s="14" t="s">
        <v>84</v>
      </c>
      <c r="Z22" s="16" t="s">
        <v>84</v>
      </c>
      <c r="AA22" s="16" t="s">
        <v>84</v>
      </c>
      <c r="AB22" s="16" t="s">
        <v>84</v>
      </c>
      <c r="AC22" s="14" t="s">
        <v>84</v>
      </c>
      <c r="AD22" s="16" t="s">
        <v>84</v>
      </c>
      <c r="AE22" s="16" t="s">
        <v>84</v>
      </c>
      <c r="AF22" s="16" t="s">
        <v>84</v>
      </c>
      <c r="AG22" s="14" t="s">
        <v>84</v>
      </c>
      <c r="AH22" s="16" t="s">
        <v>84</v>
      </c>
      <c r="AI22" s="16" t="s">
        <v>84</v>
      </c>
      <c r="AJ22" s="16" t="s">
        <v>84</v>
      </c>
      <c r="AK22" s="14" t="s">
        <v>84</v>
      </c>
      <c r="AL22" s="16" t="s">
        <v>84</v>
      </c>
      <c r="AM22" s="16" t="s">
        <v>84</v>
      </c>
      <c r="AN22" s="14" t="s">
        <v>84</v>
      </c>
      <c r="AO22" s="14" t="s">
        <v>84</v>
      </c>
    </row>
    <row r="23" spans="1:41" ht="75" x14ac:dyDescent="0.25">
      <c r="A23" s="14" t="s">
        <v>133</v>
      </c>
      <c r="B23" s="14" t="s">
        <v>72</v>
      </c>
      <c r="C23" s="15">
        <v>43999.647222222222</v>
      </c>
      <c r="D23" s="14" t="s">
        <v>73</v>
      </c>
      <c r="E23" s="16" t="s">
        <v>74</v>
      </c>
      <c r="F23" s="14" t="s">
        <v>75</v>
      </c>
      <c r="G23" s="16" t="s">
        <v>76</v>
      </c>
      <c r="H23" s="14" t="s">
        <v>156</v>
      </c>
      <c r="I23" s="16" t="s">
        <v>157</v>
      </c>
      <c r="J23" s="16" t="s">
        <v>158</v>
      </c>
      <c r="K23" s="16" t="s">
        <v>159</v>
      </c>
      <c r="L23" s="14" t="s">
        <v>162</v>
      </c>
      <c r="M23" s="16" t="s">
        <v>163</v>
      </c>
      <c r="N23" s="14" t="s">
        <v>136</v>
      </c>
      <c r="O23" s="16" t="s">
        <v>84</v>
      </c>
      <c r="P23" s="16" t="s">
        <v>84</v>
      </c>
      <c r="Q23" s="16" t="s">
        <v>141</v>
      </c>
      <c r="R23" s="14" t="s">
        <v>142</v>
      </c>
      <c r="S23" s="14" t="s">
        <v>88</v>
      </c>
      <c r="T23" s="14" t="s">
        <v>140</v>
      </c>
      <c r="U23" s="15">
        <v>40550</v>
      </c>
      <c r="V23" s="15">
        <v>43938</v>
      </c>
      <c r="W23" s="16"/>
      <c r="X23" s="16" t="s">
        <v>84</v>
      </c>
      <c r="Y23" s="14" t="s">
        <v>84</v>
      </c>
      <c r="Z23" s="16" t="s">
        <v>84</v>
      </c>
      <c r="AA23" s="16" t="s">
        <v>84</v>
      </c>
      <c r="AB23" s="16" t="s">
        <v>84</v>
      </c>
      <c r="AC23" s="14" t="s">
        <v>84</v>
      </c>
      <c r="AD23" s="16" t="s">
        <v>84</v>
      </c>
      <c r="AE23" s="16" t="s">
        <v>84</v>
      </c>
      <c r="AF23" s="16" t="s">
        <v>84</v>
      </c>
      <c r="AG23" s="14" t="s">
        <v>84</v>
      </c>
      <c r="AH23" s="16" t="s">
        <v>84</v>
      </c>
      <c r="AI23" s="16" t="s">
        <v>84</v>
      </c>
      <c r="AJ23" s="16" t="s">
        <v>84</v>
      </c>
      <c r="AK23" s="14" t="s">
        <v>84</v>
      </c>
      <c r="AL23" s="16" t="s">
        <v>84</v>
      </c>
      <c r="AM23" s="16" t="s">
        <v>84</v>
      </c>
      <c r="AN23" s="14" t="s">
        <v>84</v>
      </c>
      <c r="AO23" s="14" t="s">
        <v>84</v>
      </c>
    </row>
    <row r="24" spans="1:41" ht="75" x14ac:dyDescent="0.25">
      <c r="A24" s="14" t="s">
        <v>71</v>
      </c>
      <c r="B24" s="14" t="s">
        <v>72</v>
      </c>
      <c r="C24" s="15">
        <v>44711.43472222222</v>
      </c>
      <c r="D24" s="14" t="s">
        <v>73</v>
      </c>
      <c r="E24" s="16" t="s">
        <v>74</v>
      </c>
      <c r="F24" s="14" t="s">
        <v>75</v>
      </c>
      <c r="G24" s="16" t="s">
        <v>76</v>
      </c>
      <c r="H24" s="14" t="s">
        <v>156</v>
      </c>
      <c r="I24" s="16" t="s">
        <v>157</v>
      </c>
      <c r="J24" s="16" t="s">
        <v>158</v>
      </c>
      <c r="K24" s="16" t="s">
        <v>159</v>
      </c>
      <c r="L24" s="14" t="s">
        <v>160</v>
      </c>
      <c r="M24" s="16" t="s">
        <v>161</v>
      </c>
      <c r="N24" s="14" t="s">
        <v>83</v>
      </c>
      <c r="O24" s="16" t="s">
        <v>84</v>
      </c>
      <c r="P24" s="16" t="s">
        <v>84</v>
      </c>
      <c r="Q24" s="16" t="s">
        <v>144</v>
      </c>
      <c r="R24" s="14" t="s">
        <v>145</v>
      </c>
      <c r="S24" s="14" t="s">
        <v>88</v>
      </c>
      <c r="T24" s="14" t="s">
        <v>89</v>
      </c>
      <c r="U24" s="15">
        <v>40550</v>
      </c>
      <c r="V24" s="15">
        <v>43938</v>
      </c>
      <c r="W24" s="16"/>
      <c r="X24" s="16" t="s">
        <v>84</v>
      </c>
      <c r="Y24" s="14" t="s">
        <v>84</v>
      </c>
      <c r="Z24" s="16" t="s">
        <v>84</v>
      </c>
      <c r="AA24" s="16" t="s">
        <v>84</v>
      </c>
      <c r="AB24" s="16" t="s">
        <v>84</v>
      </c>
      <c r="AC24" s="14" t="s">
        <v>84</v>
      </c>
      <c r="AD24" s="16" t="s">
        <v>84</v>
      </c>
      <c r="AE24" s="16" t="s">
        <v>84</v>
      </c>
      <c r="AF24" s="16" t="s">
        <v>84</v>
      </c>
      <c r="AG24" s="14" t="s">
        <v>84</v>
      </c>
      <c r="AH24" s="16" t="s">
        <v>84</v>
      </c>
      <c r="AI24" s="16" t="s">
        <v>84</v>
      </c>
      <c r="AJ24" s="16" t="s">
        <v>84</v>
      </c>
      <c r="AK24" s="14" t="s">
        <v>84</v>
      </c>
      <c r="AL24" s="16" t="s">
        <v>84</v>
      </c>
      <c r="AM24" s="16" t="s">
        <v>84</v>
      </c>
      <c r="AN24" s="14" t="s">
        <v>84</v>
      </c>
      <c r="AO24" s="14" t="s">
        <v>84</v>
      </c>
    </row>
    <row r="25" spans="1:41" ht="75" x14ac:dyDescent="0.25">
      <c r="A25" s="14" t="s">
        <v>133</v>
      </c>
      <c r="B25" s="14" t="s">
        <v>72</v>
      </c>
      <c r="C25" s="15">
        <v>43999.455555555556</v>
      </c>
      <c r="D25" s="14" t="s">
        <v>73</v>
      </c>
      <c r="E25" s="16" t="s">
        <v>74</v>
      </c>
      <c r="F25" s="14" t="s">
        <v>75</v>
      </c>
      <c r="G25" s="16" t="s">
        <v>76</v>
      </c>
      <c r="H25" s="14" t="s">
        <v>156</v>
      </c>
      <c r="I25" s="16" t="s">
        <v>157</v>
      </c>
      <c r="J25" s="16" t="s">
        <v>158</v>
      </c>
      <c r="K25" s="16" t="s">
        <v>159</v>
      </c>
      <c r="L25" s="14" t="s">
        <v>162</v>
      </c>
      <c r="M25" s="16" t="s">
        <v>163</v>
      </c>
      <c r="N25" s="14" t="s">
        <v>136</v>
      </c>
      <c r="O25" s="16" t="s">
        <v>84</v>
      </c>
      <c r="P25" s="16" t="s">
        <v>84</v>
      </c>
      <c r="Q25" s="16" t="s">
        <v>144</v>
      </c>
      <c r="R25" s="14" t="s">
        <v>145</v>
      </c>
      <c r="S25" s="14" t="s">
        <v>88</v>
      </c>
      <c r="T25" s="14" t="s">
        <v>89</v>
      </c>
      <c r="U25" s="15">
        <v>40550</v>
      </c>
      <c r="V25" s="15">
        <v>43938</v>
      </c>
      <c r="W25" s="16"/>
      <c r="X25" s="16" t="s">
        <v>84</v>
      </c>
      <c r="Y25" s="14" t="s">
        <v>84</v>
      </c>
      <c r="Z25" s="16" t="s">
        <v>84</v>
      </c>
      <c r="AA25" s="16" t="s">
        <v>84</v>
      </c>
      <c r="AB25" s="16" t="s">
        <v>84</v>
      </c>
      <c r="AC25" s="14" t="s">
        <v>84</v>
      </c>
      <c r="AD25" s="16" t="s">
        <v>84</v>
      </c>
      <c r="AE25" s="16" t="s">
        <v>84</v>
      </c>
      <c r="AF25" s="16" t="s">
        <v>84</v>
      </c>
      <c r="AG25" s="14" t="s">
        <v>84</v>
      </c>
      <c r="AH25" s="16" t="s">
        <v>84</v>
      </c>
      <c r="AI25" s="16" t="s">
        <v>84</v>
      </c>
      <c r="AJ25" s="16" t="s">
        <v>84</v>
      </c>
      <c r="AK25" s="14" t="s">
        <v>84</v>
      </c>
      <c r="AL25" s="16" t="s">
        <v>84</v>
      </c>
      <c r="AM25" s="16" t="s">
        <v>84</v>
      </c>
      <c r="AN25" s="14" t="s">
        <v>84</v>
      </c>
      <c r="AO25" s="14" t="s">
        <v>84</v>
      </c>
    </row>
    <row r="26" spans="1:41" ht="75" x14ac:dyDescent="0.25">
      <c r="A26" s="14" t="s">
        <v>133</v>
      </c>
      <c r="B26" s="14" t="s">
        <v>72</v>
      </c>
      <c r="C26" s="15">
        <v>43999.645833333336</v>
      </c>
      <c r="D26" s="14" t="s">
        <v>73</v>
      </c>
      <c r="E26" s="16" t="s">
        <v>74</v>
      </c>
      <c r="F26" s="14" t="s">
        <v>75</v>
      </c>
      <c r="G26" s="16" t="s">
        <v>76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83</v>
      </c>
      <c r="O26" s="16" t="s">
        <v>84</v>
      </c>
      <c r="P26" s="16" t="s">
        <v>84</v>
      </c>
      <c r="Q26" s="16" t="s">
        <v>148</v>
      </c>
      <c r="R26" s="14" t="s">
        <v>149</v>
      </c>
      <c r="S26" s="14" t="s">
        <v>88</v>
      </c>
      <c r="T26" s="14" t="s">
        <v>140</v>
      </c>
      <c r="U26" s="15">
        <v>40550</v>
      </c>
      <c r="V26" s="15">
        <v>43938</v>
      </c>
      <c r="W26" s="16"/>
      <c r="X26" s="16" t="s">
        <v>84</v>
      </c>
      <c r="Y26" s="14" t="s">
        <v>84</v>
      </c>
      <c r="Z26" s="16" t="s">
        <v>84</v>
      </c>
      <c r="AA26" s="16" t="s">
        <v>84</v>
      </c>
      <c r="AB26" s="16" t="s">
        <v>84</v>
      </c>
      <c r="AC26" s="14" t="s">
        <v>84</v>
      </c>
      <c r="AD26" s="16" t="s">
        <v>84</v>
      </c>
      <c r="AE26" s="16" t="s">
        <v>84</v>
      </c>
      <c r="AF26" s="16" t="s">
        <v>84</v>
      </c>
      <c r="AG26" s="14" t="s">
        <v>84</v>
      </c>
      <c r="AH26" s="16" t="s">
        <v>84</v>
      </c>
      <c r="AI26" s="16" t="s">
        <v>84</v>
      </c>
      <c r="AJ26" s="16" t="s">
        <v>84</v>
      </c>
      <c r="AK26" s="14" t="s">
        <v>84</v>
      </c>
      <c r="AL26" s="16" t="s">
        <v>84</v>
      </c>
      <c r="AM26" s="16" t="s">
        <v>84</v>
      </c>
      <c r="AN26" s="14" t="s">
        <v>84</v>
      </c>
      <c r="AO26" s="14" t="s">
        <v>84</v>
      </c>
    </row>
    <row r="27" spans="1:41" ht="75" x14ac:dyDescent="0.25">
      <c r="A27" s="14" t="s">
        <v>133</v>
      </c>
      <c r="B27" s="14" t="s">
        <v>72</v>
      </c>
      <c r="C27" s="15">
        <v>43999.647222222222</v>
      </c>
      <c r="D27" s="14" t="s">
        <v>73</v>
      </c>
      <c r="E27" s="16" t="s">
        <v>74</v>
      </c>
      <c r="F27" s="14" t="s">
        <v>75</v>
      </c>
      <c r="G27" s="16" t="s">
        <v>76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136</v>
      </c>
      <c r="O27" s="16" t="s">
        <v>84</v>
      </c>
      <c r="P27" s="16" t="s">
        <v>84</v>
      </c>
      <c r="Q27" s="16" t="s">
        <v>148</v>
      </c>
      <c r="R27" s="14" t="s">
        <v>149</v>
      </c>
      <c r="S27" s="14" t="s">
        <v>88</v>
      </c>
      <c r="T27" s="14" t="s">
        <v>140</v>
      </c>
      <c r="U27" s="15">
        <v>40550</v>
      </c>
      <c r="V27" s="15">
        <v>43938</v>
      </c>
      <c r="W27" s="16"/>
      <c r="X27" s="16" t="s">
        <v>84</v>
      </c>
      <c r="Y27" s="14" t="s">
        <v>84</v>
      </c>
      <c r="Z27" s="16" t="s">
        <v>84</v>
      </c>
      <c r="AA27" s="16" t="s">
        <v>84</v>
      </c>
      <c r="AB27" s="16" t="s">
        <v>84</v>
      </c>
      <c r="AC27" s="14" t="s">
        <v>84</v>
      </c>
      <c r="AD27" s="16" t="s">
        <v>84</v>
      </c>
      <c r="AE27" s="16" t="s">
        <v>84</v>
      </c>
      <c r="AF27" s="16" t="s">
        <v>84</v>
      </c>
      <c r="AG27" s="14" t="s">
        <v>84</v>
      </c>
      <c r="AH27" s="16" t="s">
        <v>84</v>
      </c>
      <c r="AI27" s="16" t="s">
        <v>84</v>
      </c>
      <c r="AJ27" s="16" t="s">
        <v>84</v>
      </c>
      <c r="AK27" s="14" t="s">
        <v>84</v>
      </c>
      <c r="AL27" s="16" t="s">
        <v>84</v>
      </c>
      <c r="AM27" s="16" t="s">
        <v>84</v>
      </c>
      <c r="AN27" s="14" t="s">
        <v>84</v>
      </c>
      <c r="AO27" s="14" t="s">
        <v>84</v>
      </c>
    </row>
    <row r="28" spans="1:41" ht="75" x14ac:dyDescent="0.25">
      <c r="A28" s="14" t="s">
        <v>133</v>
      </c>
      <c r="B28" s="14" t="s">
        <v>72</v>
      </c>
      <c r="C28" s="15">
        <v>43999.645138888889</v>
      </c>
      <c r="D28" s="14" t="s">
        <v>73</v>
      </c>
      <c r="E28" s="16" t="s">
        <v>74</v>
      </c>
      <c r="F28" s="14" t="s">
        <v>75</v>
      </c>
      <c r="G28" s="16" t="s">
        <v>76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83</v>
      </c>
      <c r="O28" s="16" t="s">
        <v>84</v>
      </c>
      <c r="P28" s="16" t="s">
        <v>84</v>
      </c>
      <c r="Q28" s="16" t="s">
        <v>151</v>
      </c>
      <c r="R28" s="14" t="s">
        <v>152</v>
      </c>
      <c r="S28" s="14" t="s">
        <v>153</v>
      </c>
      <c r="T28" s="14" t="s">
        <v>140</v>
      </c>
      <c r="U28" s="15">
        <v>40550</v>
      </c>
      <c r="V28" s="15">
        <v>43938</v>
      </c>
      <c r="W28" s="16"/>
      <c r="X28" s="16" t="s">
        <v>84</v>
      </c>
      <c r="Y28" s="14" t="s">
        <v>84</v>
      </c>
      <c r="Z28" s="16" t="s">
        <v>84</v>
      </c>
      <c r="AA28" s="16" t="s">
        <v>84</v>
      </c>
      <c r="AB28" s="16" t="s">
        <v>84</v>
      </c>
      <c r="AC28" s="14" t="s">
        <v>84</v>
      </c>
      <c r="AD28" s="16" t="s">
        <v>84</v>
      </c>
      <c r="AE28" s="16" t="s">
        <v>84</v>
      </c>
      <c r="AF28" s="16" t="s">
        <v>84</v>
      </c>
      <c r="AG28" s="14" t="s">
        <v>84</v>
      </c>
      <c r="AH28" s="16" t="s">
        <v>84</v>
      </c>
      <c r="AI28" s="16" t="s">
        <v>84</v>
      </c>
      <c r="AJ28" s="16" t="s">
        <v>84</v>
      </c>
      <c r="AK28" s="14" t="s">
        <v>84</v>
      </c>
      <c r="AL28" s="16" t="s">
        <v>84</v>
      </c>
      <c r="AM28" s="16" t="s">
        <v>84</v>
      </c>
      <c r="AN28" s="14" t="s">
        <v>84</v>
      </c>
      <c r="AO28" s="14" t="s">
        <v>84</v>
      </c>
    </row>
    <row r="29" spans="1:41" ht="75" x14ac:dyDescent="0.25">
      <c r="A29" s="14" t="s">
        <v>133</v>
      </c>
      <c r="B29" s="14" t="s">
        <v>72</v>
      </c>
      <c r="C29" s="15">
        <v>43999.646527777775</v>
      </c>
      <c r="D29" s="14" t="s">
        <v>73</v>
      </c>
      <c r="E29" s="16" t="s">
        <v>74</v>
      </c>
      <c r="F29" s="14" t="s">
        <v>75</v>
      </c>
      <c r="G29" s="16" t="s">
        <v>76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136</v>
      </c>
      <c r="O29" s="16" t="s">
        <v>84</v>
      </c>
      <c r="P29" s="16" t="s">
        <v>84</v>
      </c>
      <c r="Q29" s="16" t="s">
        <v>151</v>
      </c>
      <c r="R29" s="14" t="s">
        <v>152</v>
      </c>
      <c r="S29" s="14" t="s">
        <v>153</v>
      </c>
      <c r="T29" s="14" t="s">
        <v>140</v>
      </c>
      <c r="U29" s="15">
        <v>40550</v>
      </c>
      <c r="V29" s="15">
        <v>43938</v>
      </c>
      <c r="W29" s="16"/>
      <c r="X29" s="16" t="s">
        <v>84</v>
      </c>
      <c r="Y29" s="14" t="s">
        <v>84</v>
      </c>
      <c r="Z29" s="16" t="s">
        <v>84</v>
      </c>
      <c r="AA29" s="16" t="s">
        <v>84</v>
      </c>
      <c r="AB29" s="16" t="s">
        <v>84</v>
      </c>
      <c r="AC29" s="14" t="s">
        <v>84</v>
      </c>
      <c r="AD29" s="16" t="s">
        <v>84</v>
      </c>
      <c r="AE29" s="16" t="s">
        <v>84</v>
      </c>
      <c r="AF29" s="16" t="s">
        <v>84</v>
      </c>
      <c r="AG29" s="14" t="s">
        <v>84</v>
      </c>
      <c r="AH29" s="16" t="s">
        <v>84</v>
      </c>
      <c r="AI29" s="16" t="s">
        <v>84</v>
      </c>
      <c r="AJ29" s="16" t="s">
        <v>84</v>
      </c>
      <c r="AK29" s="14" t="s">
        <v>84</v>
      </c>
      <c r="AL29" s="16" t="s">
        <v>84</v>
      </c>
      <c r="AM29" s="16" t="s">
        <v>84</v>
      </c>
      <c r="AN29" s="14" t="s">
        <v>84</v>
      </c>
      <c r="AO29" s="14" t="s">
        <v>84</v>
      </c>
    </row>
    <row r="30" spans="1:41" ht="75" x14ac:dyDescent="0.25">
      <c r="A30" s="14" t="s">
        <v>133</v>
      </c>
      <c r="B30" s="14" t="s">
        <v>72</v>
      </c>
      <c r="C30" s="15">
        <v>43999.644444444442</v>
      </c>
      <c r="D30" s="14" t="s">
        <v>73</v>
      </c>
      <c r="E30" s="16" t="s">
        <v>74</v>
      </c>
      <c r="F30" s="14" t="s">
        <v>75</v>
      </c>
      <c r="G30" s="16" t="s">
        <v>76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83</v>
      </c>
      <c r="O30" s="16" t="s">
        <v>84</v>
      </c>
      <c r="P30" s="16" t="s">
        <v>84</v>
      </c>
      <c r="Q30" s="16" t="s">
        <v>154</v>
      </c>
      <c r="R30" s="14" t="s">
        <v>155</v>
      </c>
      <c r="S30" s="14" t="s">
        <v>153</v>
      </c>
      <c r="T30" s="14" t="s">
        <v>140</v>
      </c>
      <c r="U30" s="15">
        <v>40550</v>
      </c>
      <c r="V30" s="15">
        <v>43938</v>
      </c>
      <c r="W30" s="16"/>
      <c r="X30" s="16" t="s">
        <v>84</v>
      </c>
      <c r="Y30" s="14" t="s">
        <v>84</v>
      </c>
      <c r="Z30" s="16" t="s">
        <v>84</v>
      </c>
      <c r="AA30" s="16" t="s">
        <v>84</v>
      </c>
      <c r="AB30" s="16" t="s">
        <v>84</v>
      </c>
      <c r="AC30" s="14" t="s">
        <v>84</v>
      </c>
      <c r="AD30" s="16" t="s">
        <v>84</v>
      </c>
      <c r="AE30" s="16" t="s">
        <v>84</v>
      </c>
      <c r="AF30" s="16" t="s">
        <v>84</v>
      </c>
      <c r="AG30" s="14" t="s">
        <v>84</v>
      </c>
      <c r="AH30" s="16" t="s">
        <v>84</v>
      </c>
      <c r="AI30" s="16" t="s">
        <v>84</v>
      </c>
      <c r="AJ30" s="16" t="s">
        <v>84</v>
      </c>
      <c r="AK30" s="14" t="s">
        <v>84</v>
      </c>
      <c r="AL30" s="16" t="s">
        <v>84</v>
      </c>
      <c r="AM30" s="16" t="s">
        <v>84</v>
      </c>
      <c r="AN30" s="14" t="s">
        <v>84</v>
      </c>
      <c r="AO30" s="14" t="s">
        <v>84</v>
      </c>
    </row>
    <row r="31" spans="1:41" ht="75" x14ac:dyDescent="0.25">
      <c r="A31" s="14" t="s">
        <v>133</v>
      </c>
      <c r="B31" s="14" t="s">
        <v>72</v>
      </c>
      <c r="C31" s="15">
        <v>43999.646527777775</v>
      </c>
      <c r="D31" s="14" t="s">
        <v>73</v>
      </c>
      <c r="E31" s="16" t="s">
        <v>74</v>
      </c>
      <c r="F31" s="14" t="s">
        <v>75</v>
      </c>
      <c r="G31" s="16" t="s">
        <v>76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136</v>
      </c>
      <c r="O31" s="16" t="s">
        <v>84</v>
      </c>
      <c r="P31" s="16" t="s">
        <v>84</v>
      </c>
      <c r="Q31" s="16" t="s">
        <v>154</v>
      </c>
      <c r="R31" s="14" t="s">
        <v>155</v>
      </c>
      <c r="S31" s="14" t="s">
        <v>153</v>
      </c>
      <c r="T31" s="14" t="s">
        <v>140</v>
      </c>
      <c r="U31" s="15">
        <v>40550</v>
      </c>
      <c r="V31" s="15">
        <v>43938</v>
      </c>
      <c r="W31" s="16"/>
      <c r="X31" s="16" t="s">
        <v>84</v>
      </c>
      <c r="Y31" s="14" t="s">
        <v>84</v>
      </c>
      <c r="Z31" s="16" t="s">
        <v>84</v>
      </c>
      <c r="AA31" s="16" t="s">
        <v>84</v>
      </c>
      <c r="AB31" s="16" t="s">
        <v>84</v>
      </c>
      <c r="AC31" s="14" t="s">
        <v>84</v>
      </c>
      <c r="AD31" s="16" t="s">
        <v>84</v>
      </c>
      <c r="AE31" s="16" t="s">
        <v>84</v>
      </c>
      <c r="AF31" s="16" t="s">
        <v>84</v>
      </c>
      <c r="AG31" s="14" t="s">
        <v>84</v>
      </c>
      <c r="AH31" s="16" t="s">
        <v>84</v>
      </c>
      <c r="AI31" s="16" t="s">
        <v>84</v>
      </c>
      <c r="AJ31" s="16" t="s">
        <v>84</v>
      </c>
      <c r="AK31" s="14" t="s">
        <v>84</v>
      </c>
      <c r="AL31" s="16" t="s">
        <v>84</v>
      </c>
      <c r="AM31" s="16" t="s">
        <v>84</v>
      </c>
      <c r="AN31" s="14" t="s">
        <v>84</v>
      </c>
      <c r="AO31" s="14" t="s">
        <v>84</v>
      </c>
    </row>
    <row r="32" spans="1:41" ht="90" x14ac:dyDescent="0.25">
      <c r="A32" s="14" t="s">
        <v>71</v>
      </c>
      <c r="B32" s="14" t="s">
        <v>72</v>
      </c>
      <c r="C32" s="15">
        <v>44711.680555555555</v>
      </c>
      <c r="D32" s="14" t="s">
        <v>73</v>
      </c>
      <c r="E32" s="16" t="s">
        <v>74</v>
      </c>
      <c r="F32" s="14" t="s">
        <v>75</v>
      </c>
      <c r="G32" s="16" t="s">
        <v>76</v>
      </c>
      <c r="H32" s="14" t="s">
        <v>164</v>
      </c>
      <c r="I32" s="16" t="s">
        <v>165</v>
      </c>
      <c r="J32" s="16" t="s">
        <v>166</v>
      </c>
      <c r="K32" s="16" t="s">
        <v>167</v>
      </c>
      <c r="L32" s="14" t="s">
        <v>168</v>
      </c>
      <c r="M32" s="16" t="s">
        <v>169</v>
      </c>
      <c r="N32" s="14" t="s">
        <v>83</v>
      </c>
      <c r="O32" s="16" t="s">
        <v>84</v>
      </c>
      <c r="P32" s="16" t="s">
        <v>84</v>
      </c>
      <c r="Q32" s="16" t="s">
        <v>85</v>
      </c>
      <c r="R32" s="14" t="s">
        <v>86</v>
      </c>
      <c r="S32" s="14" t="s">
        <v>88</v>
      </c>
      <c r="T32" s="14" t="s">
        <v>89</v>
      </c>
      <c r="U32" s="15">
        <v>40550</v>
      </c>
      <c r="V32" s="15">
        <v>43861</v>
      </c>
      <c r="W32" s="16"/>
      <c r="X32" s="16" t="s">
        <v>84</v>
      </c>
      <c r="Y32" s="14" t="s">
        <v>84</v>
      </c>
      <c r="Z32" s="16" t="s">
        <v>84</v>
      </c>
      <c r="AA32" s="16" t="s">
        <v>84</v>
      </c>
      <c r="AB32" s="16" t="s">
        <v>84</v>
      </c>
      <c r="AC32" s="14" t="s">
        <v>84</v>
      </c>
      <c r="AD32" s="16" t="s">
        <v>84</v>
      </c>
      <c r="AE32" s="16" t="s">
        <v>84</v>
      </c>
      <c r="AF32" s="16" t="s">
        <v>84</v>
      </c>
      <c r="AG32" s="14" t="s">
        <v>84</v>
      </c>
      <c r="AH32" s="16" t="s">
        <v>84</v>
      </c>
      <c r="AI32" s="16" t="s">
        <v>84</v>
      </c>
      <c r="AJ32" s="16" t="s">
        <v>84</v>
      </c>
      <c r="AK32" s="14" t="s">
        <v>84</v>
      </c>
      <c r="AL32" s="16" t="s">
        <v>84</v>
      </c>
      <c r="AM32" s="16" t="s">
        <v>84</v>
      </c>
      <c r="AN32" s="14" t="s">
        <v>84</v>
      </c>
      <c r="AO32" s="14" t="s">
        <v>84</v>
      </c>
    </row>
    <row r="33" spans="1:41" ht="90" x14ac:dyDescent="0.25">
      <c r="A33" s="14" t="s">
        <v>71</v>
      </c>
      <c r="B33" s="14" t="s">
        <v>129</v>
      </c>
      <c r="C33" s="15">
        <v>44711.443749999999</v>
      </c>
      <c r="D33" s="14" t="s">
        <v>73</v>
      </c>
      <c r="E33" s="16" t="s">
        <v>74</v>
      </c>
      <c r="F33" s="14" t="s">
        <v>75</v>
      </c>
      <c r="G33" s="16" t="s">
        <v>76</v>
      </c>
      <c r="H33" s="14" t="s">
        <v>164</v>
      </c>
      <c r="I33" s="16" t="s">
        <v>165</v>
      </c>
      <c r="J33" s="16" t="s">
        <v>166</v>
      </c>
      <c r="K33" s="16" t="s">
        <v>167</v>
      </c>
      <c r="L33" s="14" t="s">
        <v>168</v>
      </c>
      <c r="M33" s="16" t="s">
        <v>169</v>
      </c>
      <c r="N33" s="14" t="s">
        <v>83</v>
      </c>
      <c r="O33" s="16" t="s">
        <v>84</v>
      </c>
      <c r="P33" s="16" t="s">
        <v>84</v>
      </c>
      <c r="Q33" s="16" t="s">
        <v>85</v>
      </c>
      <c r="R33" s="14" t="s">
        <v>86</v>
      </c>
      <c r="S33" s="14" t="s">
        <v>88</v>
      </c>
      <c r="T33" s="14" t="s">
        <v>89</v>
      </c>
      <c r="U33" s="15">
        <v>43832</v>
      </c>
      <c r="V33" s="15">
        <v>43938</v>
      </c>
      <c r="W33" s="16"/>
      <c r="X33" s="16" t="s">
        <v>84</v>
      </c>
      <c r="Y33" s="14" t="s">
        <v>84</v>
      </c>
      <c r="Z33" s="16" t="s">
        <v>84</v>
      </c>
      <c r="AA33" s="16" t="s">
        <v>84</v>
      </c>
      <c r="AB33" s="16" t="s">
        <v>84</v>
      </c>
      <c r="AC33" s="14" t="s">
        <v>84</v>
      </c>
      <c r="AD33" s="16" t="s">
        <v>84</v>
      </c>
      <c r="AE33" s="16" t="s">
        <v>84</v>
      </c>
      <c r="AF33" s="16" t="s">
        <v>84</v>
      </c>
      <c r="AG33" s="14" t="s">
        <v>84</v>
      </c>
      <c r="AH33" s="16" t="s">
        <v>84</v>
      </c>
      <c r="AI33" s="16" t="s">
        <v>84</v>
      </c>
      <c r="AJ33" s="16" t="s">
        <v>84</v>
      </c>
      <c r="AK33" s="14" t="s">
        <v>84</v>
      </c>
      <c r="AL33" s="16" t="s">
        <v>84</v>
      </c>
      <c r="AM33" s="16" t="s">
        <v>84</v>
      </c>
      <c r="AN33" s="14" t="s">
        <v>84</v>
      </c>
      <c r="AO33" s="14" t="s">
        <v>84</v>
      </c>
    </row>
    <row r="34" spans="1:41" ht="90" x14ac:dyDescent="0.25">
      <c r="A34" s="14" t="s">
        <v>133</v>
      </c>
      <c r="B34" s="14" t="s">
        <v>72</v>
      </c>
      <c r="C34" s="15">
        <v>43999.456944444442</v>
      </c>
      <c r="D34" s="14" t="s">
        <v>73</v>
      </c>
      <c r="E34" s="16" t="s">
        <v>74</v>
      </c>
      <c r="F34" s="14" t="s">
        <v>75</v>
      </c>
      <c r="G34" s="16" t="s">
        <v>76</v>
      </c>
      <c r="H34" s="14" t="s">
        <v>164</v>
      </c>
      <c r="I34" s="16" t="s">
        <v>165</v>
      </c>
      <c r="J34" s="16" t="s">
        <v>166</v>
      </c>
      <c r="K34" s="16" t="s">
        <v>167</v>
      </c>
      <c r="L34" s="14" t="s">
        <v>170</v>
      </c>
      <c r="M34" s="16" t="s">
        <v>171</v>
      </c>
      <c r="N34" s="14" t="s">
        <v>136</v>
      </c>
      <c r="O34" s="16" t="s">
        <v>84</v>
      </c>
      <c r="P34" s="16" t="s">
        <v>84</v>
      </c>
      <c r="Q34" s="16" t="s">
        <v>85</v>
      </c>
      <c r="R34" s="14" t="s">
        <v>86</v>
      </c>
      <c r="S34" s="14" t="s">
        <v>88</v>
      </c>
      <c r="T34" s="14" t="s">
        <v>89</v>
      </c>
      <c r="U34" s="15">
        <v>40550</v>
      </c>
      <c r="V34" s="15">
        <v>43938</v>
      </c>
      <c r="W34" s="16"/>
      <c r="X34" s="16" t="s">
        <v>84</v>
      </c>
      <c r="Y34" s="14" t="s">
        <v>84</v>
      </c>
      <c r="Z34" s="16" t="s">
        <v>84</v>
      </c>
      <c r="AA34" s="16" t="s">
        <v>84</v>
      </c>
      <c r="AB34" s="16" t="s">
        <v>84</v>
      </c>
      <c r="AC34" s="14" t="s">
        <v>84</v>
      </c>
      <c r="AD34" s="16" t="s">
        <v>84</v>
      </c>
      <c r="AE34" s="16" t="s">
        <v>84</v>
      </c>
      <c r="AF34" s="16" t="s">
        <v>84</v>
      </c>
      <c r="AG34" s="14" t="s">
        <v>84</v>
      </c>
      <c r="AH34" s="16" t="s">
        <v>84</v>
      </c>
      <c r="AI34" s="16" t="s">
        <v>84</v>
      </c>
      <c r="AJ34" s="16" t="s">
        <v>84</v>
      </c>
      <c r="AK34" s="14" t="s">
        <v>84</v>
      </c>
      <c r="AL34" s="16" t="s">
        <v>84</v>
      </c>
      <c r="AM34" s="16" t="s">
        <v>84</v>
      </c>
      <c r="AN34" s="14" t="s">
        <v>84</v>
      </c>
      <c r="AO34" s="14" t="s">
        <v>84</v>
      </c>
    </row>
    <row r="35" spans="1:41" ht="90" x14ac:dyDescent="0.25">
      <c r="A35" s="14" t="s">
        <v>133</v>
      </c>
      <c r="B35" s="14" t="s">
        <v>72</v>
      </c>
      <c r="C35" s="15">
        <v>43999.652083333334</v>
      </c>
      <c r="D35" s="14" t="s">
        <v>73</v>
      </c>
      <c r="E35" s="16" t="s">
        <v>74</v>
      </c>
      <c r="F35" s="14" t="s">
        <v>75</v>
      </c>
      <c r="G35" s="16" t="s">
        <v>76</v>
      </c>
      <c r="H35" s="14" t="s">
        <v>164</v>
      </c>
      <c r="I35" s="16" t="s">
        <v>165</v>
      </c>
      <c r="J35" s="16" t="s">
        <v>166</v>
      </c>
      <c r="K35" s="16" t="s">
        <v>167</v>
      </c>
      <c r="L35" s="14" t="s">
        <v>168</v>
      </c>
      <c r="M35" s="16" t="s">
        <v>169</v>
      </c>
      <c r="N35" s="14" t="s">
        <v>83</v>
      </c>
      <c r="O35" s="16" t="s">
        <v>84</v>
      </c>
      <c r="P35" s="16" t="s">
        <v>84</v>
      </c>
      <c r="Q35" s="16" t="s">
        <v>138</v>
      </c>
      <c r="R35" s="14" t="s">
        <v>139</v>
      </c>
      <c r="S35" s="14" t="s">
        <v>88</v>
      </c>
      <c r="T35" s="14" t="s">
        <v>140</v>
      </c>
      <c r="U35" s="15">
        <v>40550</v>
      </c>
      <c r="V35" s="15">
        <v>43938</v>
      </c>
      <c r="W35" s="16"/>
      <c r="X35" s="16" t="s">
        <v>84</v>
      </c>
      <c r="Y35" s="14" t="s">
        <v>84</v>
      </c>
      <c r="Z35" s="16" t="s">
        <v>84</v>
      </c>
      <c r="AA35" s="16" t="s">
        <v>84</v>
      </c>
      <c r="AB35" s="16" t="s">
        <v>84</v>
      </c>
      <c r="AC35" s="14" t="s">
        <v>84</v>
      </c>
      <c r="AD35" s="16" t="s">
        <v>84</v>
      </c>
      <c r="AE35" s="16" t="s">
        <v>84</v>
      </c>
      <c r="AF35" s="16" t="s">
        <v>84</v>
      </c>
      <c r="AG35" s="14" t="s">
        <v>84</v>
      </c>
      <c r="AH35" s="16" t="s">
        <v>84</v>
      </c>
      <c r="AI35" s="16" t="s">
        <v>84</v>
      </c>
      <c r="AJ35" s="16" t="s">
        <v>84</v>
      </c>
      <c r="AK35" s="14" t="s">
        <v>84</v>
      </c>
      <c r="AL35" s="16" t="s">
        <v>84</v>
      </c>
      <c r="AM35" s="16" t="s">
        <v>84</v>
      </c>
      <c r="AN35" s="14" t="s">
        <v>84</v>
      </c>
      <c r="AO35" s="14" t="s">
        <v>84</v>
      </c>
    </row>
    <row r="36" spans="1:41" ht="90" x14ac:dyDescent="0.25">
      <c r="A36" s="14" t="s">
        <v>133</v>
      </c>
      <c r="B36" s="14" t="s">
        <v>72</v>
      </c>
      <c r="C36" s="15">
        <v>43999.649305555555</v>
      </c>
      <c r="D36" s="14" t="s">
        <v>73</v>
      </c>
      <c r="E36" s="16" t="s">
        <v>74</v>
      </c>
      <c r="F36" s="14" t="s">
        <v>75</v>
      </c>
      <c r="G36" s="16" t="s">
        <v>76</v>
      </c>
      <c r="H36" s="14" t="s">
        <v>164</v>
      </c>
      <c r="I36" s="16" t="s">
        <v>165</v>
      </c>
      <c r="J36" s="16" t="s">
        <v>166</v>
      </c>
      <c r="K36" s="16" t="s">
        <v>167</v>
      </c>
      <c r="L36" s="14" t="s">
        <v>170</v>
      </c>
      <c r="M36" s="16" t="s">
        <v>171</v>
      </c>
      <c r="N36" s="14" t="s">
        <v>136</v>
      </c>
      <c r="O36" s="16" t="s">
        <v>84</v>
      </c>
      <c r="P36" s="16" t="s">
        <v>84</v>
      </c>
      <c r="Q36" s="16" t="s">
        <v>138</v>
      </c>
      <c r="R36" s="14" t="s">
        <v>139</v>
      </c>
      <c r="S36" s="14" t="s">
        <v>88</v>
      </c>
      <c r="T36" s="14" t="s">
        <v>140</v>
      </c>
      <c r="U36" s="15">
        <v>40550</v>
      </c>
      <c r="V36" s="15">
        <v>43938</v>
      </c>
      <c r="W36" s="16"/>
      <c r="X36" s="16" t="s">
        <v>84</v>
      </c>
      <c r="Y36" s="14" t="s">
        <v>84</v>
      </c>
      <c r="Z36" s="16" t="s">
        <v>84</v>
      </c>
      <c r="AA36" s="16" t="s">
        <v>84</v>
      </c>
      <c r="AB36" s="16" t="s">
        <v>84</v>
      </c>
      <c r="AC36" s="14" t="s">
        <v>84</v>
      </c>
      <c r="AD36" s="16" t="s">
        <v>84</v>
      </c>
      <c r="AE36" s="16" t="s">
        <v>84</v>
      </c>
      <c r="AF36" s="16" t="s">
        <v>84</v>
      </c>
      <c r="AG36" s="14" t="s">
        <v>84</v>
      </c>
      <c r="AH36" s="16" t="s">
        <v>84</v>
      </c>
      <c r="AI36" s="16" t="s">
        <v>84</v>
      </c>
      <c r="AJ36" s="16" t="s">
        <v>84</v>
      </c>
      <c r="AK36" s="14" t="s">
        <v>84</v>
      </c>
      <c r="AL36" s="16" t="s">
        <v>84</v>
      </c>
      <c r="AM36" s="16" t="s">
        <v>84</v>
      </c>
      <c r="AN36" s="14" t="s">
        <v>84</v>
      </c>
      <c r="AO36" s="14" t="s">
        <v>84</v>
      </c>
    </row>
    <row r="37" spans="1:41" ht="90" x14ac:dyDescent="0.25">
      <c r="A37" s="14" t="s">
        <v>133</v>
      </c>
      <c r="B37" s="14" t="s">
        <v>72</v>
      </c>
      <c r="C37" s="15">
        <v>43999.652083333334</v>
      </c>
      <c r="D37" s="14" t="s">
        <v>73</v>
      </c>
      <c r="E37" s="16" t="s">
        <v>74</v>
      </c>
      <c r="F37" s="14" t="s">
        <v>75</v>
      </c>
      <c r="G37" s="16" t="s">
        <v>76</v>
      </c>
      <c r="H37" s="14" t="s">
        <v>164</v>
      </c>
      <c r="I37" s="16" t="s">
        <v>165</v>
      </c>
      <c r="J37" s="16" t="s">
        <v>166</v>
      </c>
      <c r="K37" s="16" t="s">
        <v>167</v>
      </c>
      <c r="L37" s="14" t="s">
        <v>168</v>
      </c>
      <c r="M37" s="16" t="s">
        <v>169</v>
      </c>
      <c r="N37" s="14" t="s">
        <v>83</v>
      </c>
      <c r="O37" s="16" t="s">
        <v>84</v>
      </c>
      <c r="P37" s="16" t="s">
        <v>84</v>
      </c>
      <c r="Q37" s="16" t="s">
        <v>141</v>
      </c>
      <c r="R37" s="14" t="s">
        <v>142</v>
      </c>
      <c r="S37" s="14" t="s">
        <v>88</v>
      </c>
      <c r="T37" s="14" t="s">
        <v>140</v>
      </c>
      <c r="U37" s="15">
        <v>40550</v>
      </c>
      <c r="V37" s="15">
        <v>43938</v>
      </c>
      <c r="W37" s="16"/>
      <c r="X37" s="16" t="s">
        <v>84</v>
      </c>
      <c r="Y37" s="14" t="s">
        <v>84</v>
      </c>
      <c r="Z37" s="16" t="s">
        <v>84</v>
      </c>
      <c r="AA37" s="16" t="s">
        <v>84</v>
      </c>
      <c r="AB37" s="16" t="s">
        <v>84</v>
      </c>
      <c r="AC37" s="14" t="s">
        <v>84</v>
      </c>
      <c r="AD37" s="16" t="s">
        <v>84</v>
      </c>
      <c r="AE37" s="16" t="s">
        <v>84</v>
      </c>
      <c r="AF37" s="16" t="s">
        <v>84</v>
      </c>
      <c r="AG37" s="14" t="s">
        <v>84</v>
      </c>
      <c r="AH37" s="16" t="s">
        <v>84</v>
      </c>
      <c r="AI37" s="16" t="s">
        <v>84</v>
      </c>
      <c r="AJ37" s="16" t="s">
        <v>84</v>
      </c>
      <c r="AK37" s="14" t="s">
        <v>84</v>
      </c>
      <c r="AL37" s="16" t="s">
        <v>84</v>
      </c>
      <c r="AM37" s="16" t="s">
        <v>84</v>
      </c>
      <c r="AN37" s="14" t="s">
        <v>84</v>
      </c>
      <c r="AO37" s="14" t="s">
        <v>84</v>
      </c>
    </row>
    <row r="38" spans="1:41" ht="90" x14ac:dyDescent="0.25">
      <c r="A38" s="14" t="s">
        <v>133</v>
      </c>
      <c r="B38" s="14" t="s">
        <v>72</v>
      </c>
      <c r="C38" s="15">
        <v>43999.649305555555</v>
      </c>
      <c r="D38" s="14" t="s">
        <v>73</v>
      </c>
      <c r="E38" s="16" t="s">
        <v>74</v>
      </c>
      <c r="F38" s="14" t="s">
        <v>75</v>
      </c>
      <c r="G38" s="16" t="s">
        <v>76</v>
      </c>
      <c r="H38" s="14" t="s">
        <v>164</v>
      </c>
      <c r="I38" s="16" t="s">
        <v>165</v>
      </c>
      <c r="J38" s="16" t="s">
        <v>166</v>
      </c>
      <c r="K38" s="16" t="s">
        <v>167</v>
      </c>
      <c r="L38" s="14" t="s">
        <v>170</v>
      </c>
      <c r="M38" s="16" t="s">
        <v>171</v>
      </c>
      <c r="N38" s="14" t="s">
        <v>136</v>
      </c>
      <c r="O38" s="16" t="s">
        <v>84</v>
      </c>
      <c r="P38" s="16" t="s">
        <v>84</v>
      </c>
      <c r="Q38" s="16" t="s">
        <v>141</v>
      </c>
      <c r="R38" s="14" t="s">
        <v>142</v>
      </c>
      <c r="S38" s="14" t="s">
        <v>88</v>
      </c>
      <c r="T38" s="14" t="s">
        <v>140</v>
      </c>
      <c r="U38" s="15">
        <v>40550</v>
      </c>
      <c r="V38" s="15">
        <v>43938</v>
      </c>
      <c r="W38" s="16"/>
      <c r="X38" s="16" t="s">
        <v>84</v>
      </c>
      <c r="Y38" s="14" t="s">
        <v>84</v>
      </c>
      <c r="Z38" s="16" t="s">
        <v>84</v>
      </c>
      <c r="AA38" s="16" t="s">
        <v>84</v>
      </c>
      <c r="AB38" s="16" t="s">
        <v>84</v>
      </c>
      <c r="AC38" s="14" t="s">
        <v>84</v>
      </c>
      <c r="AD38" s="16" t="s">
        <v>84</v>
      </c>
      <c r="AE38" s="16" t="s">
        <v>84</v>
      </c>
      <c r="AF38" s="16" t="s">
        <v>84</v>
      </c>
      <c r="AG38" s="14" t="s">
        <v>84</v>
      </c>
      <c r="AH38" s="16" t="s">
        <v>84</v>
      </c>
      <c r="AI38" s="16" t="s">
        <v>84</v>
      </c>
      <c r="AJ38" s="16" t="s">
        <v>84</v>
      </c>
      <c r="AK38" s="14" t="s">
        <v>84</v>
      </c>
      <c r="AL38" s="16" t="s">
        <v>84</v>
      </c>
      <c r="AM38" s="16" t="s">
        <v>84</v>
      </c>
      <c r="AN38" s="14" t="s">
        <v>84</v>
      </c>
      <c r="AO38" s="14" t="s">
        <v>84</v>
      </c>
    </row>
    <row r="39" spans="1:41" ht="90" x14ac:dyDescent="0.25">
      <c r="A39" s="14" t="s">
        <v>71</v>
      </c>
      <c r="B39" s="14" t="s">
        <v>72</v>
      </c>
      <c r="C39" s="15">
        <v>44711.445833333331</v>
      </c>
      <c r="D39" s="14" t="s">
        <v>73</v>
      </c>
      <c r="E39" s="16" t="s">
        <v>74</v>
      </c>
      <c r="F39" s="14" t="s">
        <v>75</v>
      </c>
      <c r="G39" s="16" t="s">
        <v>76</v>
      </c>
      <c r="H39" s="14" t="s">
        <v>164</v>
      </c>
      <c r="I39" s="16" t="s">
        <v>165</v>
      </c>
      <c r="J39" s="16" t="s">
        <v>166</v>
      </c>
      <c r="K39" s="16" t="s">
        <v>167</v>
      </c>
      <c r="L39" s="14" t="s">
        <v>168</v>
      </c>
      <c r="M39" s="16" t="s">
        <v>169</v>
      </c>
      <c r="N39" s="14" t="s">
        <v>83</v>
      </c>
      <c r="O39" s="16" t="s">
        <v>84</v>
      </c>
      <c r="P39" s="16" t="s">
        <v>84</v>
      </c>
      <c r="Q39" s="16" t="s">
        <v>144</v>
      </c>
      <c r="R39" s="14" t="s">
        <v>145</v>
      </c>
      <c r="S39" s="14" t="s">
        <v>88</v>
      </c>
      <c r="T39" s="14" t="s">
        <v>89</v>
      </c>
      <c r="U39" s="15">
        <v>40550</v>
      </c>
      <c r="V39" s="15">
        <v>43938</v>
      </c>
      <c r="W39" s="16"/>
      <c r="X39" s="16" t="s">
        <v>84</v>
      </c>
      <c r="Y39" s="14" t="s">
        <v>84</v>
      </c>
      <c r="Z39" s="16" t="s">
        <v>84</v>
      </c>
      <c r="AA39" s="16" t="s">
        <v>84</v>
      </c>
      <c r="AB39" s="16" t="s">
        <v>84</v>
      </c>
      <c r="AC39" s="14" t="s">
        <v>84</v>
      </c>
      <c r="AD39" s="16" t="s">
        <v>84</v>
      </c>
      <c r="AE39" s="16" t="s">
        <v>84</v>
      </c>
      <c r="AF39" s="16" t="s">
        <v>84</v>
      </c>
      <c r="AG39" s="14" t="s">
        <v>84</v>
      </c>
      <c r="AH39" s="16" t="s">
        <v>84</v>
      </c>
      <c r="AI39" s="16" t="s">
        <v>84</v>
      </c>
      <c r="AJ39" s="16" t="s">
        <v>84</v>
      </c>
      <c r="AK39" s="14" t="s">
        <v>84</v>
      </c>
      <c r="AL39" s="16" t="s">
        <v>84</v>
      </c>
      <c r="AM39" s="16" t="s">
        <v>84</v>
      </c>
      <c r="AN39" s="14" t="s">
        <v>84</v>
      </c>
      <c r="AO39" s="14" t="s">
        <v>84</v>
      </c>
    </row>
    <row r="40" spans="1:41" ht="90" x14ac:dyDescent="0.25">
      <c r="A40" s="14" t="s">
        <v>133</v>
      </c>
      <c r="B40" s="14" t="s">
        <v>72</v>
      </c>
      <c r="C40" s="15">
        <v>43999.456250000003</v>
      </c>
      <c r="D40" s="14" t="s">
        <v>73</v>
      </c>
      <c r="E40" s="16" t="s">
        <v>74</v>
      </c>
      <c r="F40" s="14" t="s">
        <v>75</v>
      </c>
      <c r="G40" s="16" t="s">
        <v>76</v>
      </c>
      <c r="H40" s="14" t="s">
        <v>164</v>
      </c>
      <c r="I40" s="16" t="s">
        <v>165</v>
      </c>
      <c r="J40" s="16" t="s">
        <v>166</v>
      </c>
      <c r="K40" s="16" t="s">
        <v>167</v>
      </c>
      <c r="L40" s="14" t="s">
        <v>170</v>
      </c>
      <c r="M40" s="16" t="s">
        <v>171</v>
      </c>
      <c r="N40" s="14" t="s">
        <v>136</v>
      </c>
      <c r="O40" s="16" t="s">
        <v>84</v>
      </c>
      <c r="P40" s="16" t="s">
        <v>84</v>
      </c>
      <c r="Q40" s="16" t="s">
        <v>144</v>
      </c>
      <c r="R40" s="14" t="s">
        <v>145</v>
      </c>
      <c r="S40" s="14" t="s">
        <v>88</v>
      </c>
      <c r="T40" s="14" t="s">
        <v>89</v>
      </c>
      <c r="U40" s="15">
        <v>40550</v>
      </c>
      <c r="V40" s="15">
        <v>43938</v>
      </c>
      <c r="W40" s="16"/>
      <c r="X40" s="16" t="s">
        <v>84</v>
      </c>
      <c r="Y40" s="14" t="s">
        <v>84</v>
      </c>
      <c r="Z40" s="16" t="s">
        <v>84</v>
      </c>
      <c r="AA40" s="16" t="s">
        <v>84</v>
      </c>
      <c r="AB40" s="16" t="s">
        <v>84</v>
      </c>
      <c r="AC40" s="14" t="s">
        <v>84</v>
      </c>
      <c r="AD40" s="16" t="s">
        <v>84</v>
      </c>
      <c r="AE40" s="16" t="s">
        <v>84</v>
      </c>
      <c r="AF40" s="16" t="s">
        <v>84</v>
      </c>
      <c r="AG40" s="14" t="s">
        <v>84</v>
      </c>
      <c r="AH40" s="16" t="s">
        <v>84</v>
      </c>
      <c r="AI40" s="16" t="s">
        <v>84</v>
      </c>
      <c r="AJ40" s="16" t="s">
        <v>84</v>
      </c>
      <c r="AK40" s="14" t="s">
        <v>84</v>
      </c>
      <c r="AL40" s="16" t="s">
        <v>84</v>
      </c>
      <c r="AM40" s="16" t="s">
        <v>84</v>
      </c>
      <c r="AN40" s="14" t="s">
        <v>84</v>
      </c>
      <c r="AO40" s="14" t="s">
        <v>84</v>
      </c>
    </row>
    <row r="41" spans="1:41" ht="90" x14ac:dyDescent="0.25">
      <c r="A41" s="14" t="s">
        <v>133</v>
      </c>
      <c r="B41" s="14" t="s">
        <v>72</v>
      </c>
      <c r="C41" s="15">
        <v>43999.652083333334</v>
      </c>
      <c r="D41" s="14" t="s">
        <v>73</v>
      </c>
      <c r="E41" s="16" t="s">
        <v>74</v>
      </c>
      <c r="F41" s="14" t="s">
        <v>75</v>
      </c>
      <c r="G41" s="16" t="s">
        <v>76</v>
      </c>
      <c r="H41" s="14" t="s">
        <v>164</v>
      </c>
      <c r="I41" s="16" t="s">
        <v>165</v>
      </c>
      <c r="J41" s="16" t="s">
        <v>166</v>
      </c>
      <c r="K41" s="16" t="s">
        <v>167</v>
      </c>
      <c r="L41" s="14" t="s">
        <v>168</v>
      </c>
      <c r="M41" s="16" t="s">
        <v>169</v>
      </c>
      <c r="N41" s="14" t="s">
        <v>83</v>
      </c>
      <c r="O41" s="16" t="s">
        <v>84</v>
      </c>
      <c r="P41" s="16" t="s">
        <v>84</v>
      </c>
      <c r="Q41" s="16" t="s">
        <v>148</v>
      </c>
      <c r="R41" s="14" t="s">
        <v>149</v>
      </c>
      <c r="S41" s="14" t="s">
        <v>88</v>
      </c>
      <c r="T41" s="14" t="s">
        <v>140</v>
      </c>
      <c r="U41" s="15">
        <v>40550</v>
      </c>
      <c r="V41" s="15">
        <v>43938</v>
      </c>
      <c r="W41" s="16"/>
      <c r="X41" s="16" t="s">
        <v>84</v>
      </c>
      <c r="Y41" s="14" t="s">
        <v>84</v>
      </c>
      <c r="Z41" s="16" t="s">
        <v>84</v>
      </c>
      <c r="AA41" s="16" t="s">
        <v>84</v>
      </c>
      <c r="AB41" s="16" t="s">
        <v>84</v>
      </c>
      <c r="AC41" s="14" t="s">
        <v>84</v>
      </c>
      <c r="AD41" s="16" t="s">
        <v>84</v>
      </c>
      <c r="AE41" s="16" t="s">
        <v>84</v>
      </c>
      <c r="AF41" s="16" t="s">
        <v>84</v>
      </c>
      <c r="AG41" s="14" t="s">
        <v>84</v>
      </c>
      <c r="AH41" s="16" t="s">
        <v>84</v>
      </c>
      <c r="AI41" s="16" t="s">
        <v>84</v>
      </c>
      <c r="AJ41" s="16" t="s">
        <v>84</v>
      </c>
      <c r="AK41" s="14" t="s">
        <v>84</v>
      </c>
      <c r="AL41" s="16" t="s">
        <v>84</v>
      </c>
      <c r="AM41" s="16" t="s">
        <v>84</v>
      </c>
      <c r="AN41" s="14" t="s">
        <v>84</v>
      </c>
      <c r="AO41" s="14" t="s">
        <v>84</v>
      </c>
    </row>
    <row r="42" spans="1:41" ht="90" x14ac:dyDescent="0.25">
      <c r="A42" s="14" t="s">
        <v>133</v>
      </c>
      <c r="B42" s="14" t="s">
        <v>72</v>
      </c>
      <c r="C42" s="15">
        <v>43999.65</v>
      </c>
      <c r="D42" s="14" t="s">
        <v>73</v>
      </c>
      <c r="E42" s="16" t="s">
        <v>74</v>
      </c>
      <c r="F42" s="14" t="s">
        <v>75</v>
      </c>
      <c r="G42" s="16" t="s">
        <v>76</v>
      </c>
      <c r="H42" s="14" t="s">
        <v>164</v>
      </c>
      <c r="I42" s="16" t="s">
        <v>165</v>
      </c>
      <c r="J42" s="16" t="s">
        <v>166</v>
      </c>
      <c r="K42" s="16" t="s">
        <v>167</v>
      </c>
      <c r="L42" s="14" t="s">
        <v>170</v>
      </c>
      <c r="M42" s="16" t="s">
        <v>171</v>
      </c>
      <c r="N42" s="14" t="s">
        <v>136</v>
      </c>
      <c r="O42" s="16" t="s">
        <v>84</v>
      </c>
      <c r="P42" s="16" t="s">
        <v>84</v>
      </c>
      <c r="Q42" s="16" t="s">
        <v>148</v>
      </c>
      <c r="R42" s="14" t="s">
        <v>149</v>
      </c>
      <c r="S42" s="14" t="s">
        <v>88</v>
      </c>
      <c r="T42" s="14" t="s">
        <v>140</v>
      </c>
      <c r="U42" s="15">
        <v>40550</v>
      </c>
      <c r="V42" s="15">
        <v>43938</v>
      </c>
      <c r="W42" s="16"/>
      <c r="X42" s="16" t="s">
        <v>84</v>
      </c>
      <c r="Y42" s="14" t="s">
        <v>84</v>
      </c>
      <c r="Z42" s="16" t="s">
        <v>84</v>
      </c>
      <c r="AA42" s="16" t="s">
        <v>84</v>
      </c>
      <c r="AB42" s="16" t="s">
        <v>84</v>
      </c>
      <c r="AC42" s="14" t="s">
        <v>84</v>
      </c>
      <c r="AD42" s="16" t="s">
        <v>84</v>
      </c>
      <c r="AE42" s="16" t="s">
        <v>84</v>
      </c>
      <c r="AF42" s="16" t="s">
        <v>84</v>
      </c>
      <c r="AG42" s="14" t="s">
        <v>84</v>
      </c>
      <c r="AH42" s="16" t="s">
        <v>84</v>
      </c>
      <c r="AI42" s="16" t="s">
        <v>84</v>
      </c>
      <c r="AJ42" s="16" t="s">
        <v>84</v>
      </c>
      <c r="AK42" s="14" t="s">
        <v>84</v>
      </c>
      <c r="AL42" s="16" t="s">
        <v>84</v>
      </c>
      <c r="AM42" s="16" t="s">
        <v>84</v>
      </c>
      <c r="AN42" s="14" t="s">
        <v>84</v>
      </c>
      <c r="AO42" s="14" t="s">
        <v>84</v>
      </c>
    </row>
    <row r="43" spans="1:41" ht="90" x14ac:dyDescent="0.25">
      <c r="A43" s="14" t="s">
        <v>133</v>
      </c>
      <c r="B43" s="14" t="s">
        <v>72</v>
      </c>
      <c r="C43" s="15">
        <v>43999.651388888888</v>
      </c>
      <c r="D43" s="14" t="s">
        <v>73</v>
      </c>
      <c r="E43" s="16" t="s">
        <v>74</v>
      </c>
      <c r="F43" s="14" t="s">
        <v>75</v>
      </c>
      <c r="G43" s="16" t="s">
        <v>76</v>
      </c>
      <c r="H43" s="14" t="s">
        <v>164</v>
      </c>
      <c r="I43" s="16" t="s">
        <v>165</v>
      </c>
      <c r="J43" s="16" t="s">
        <v>166</v>
      </c>
      <c r="K43" s="16" t="s">
        <v>167</v>
      </c>
      <c r="L43" s="14" t="s">
        <v>168</v>
      </c>
      <c r="M43" s="16" t="s">
        <v>169</v>
      </c>
      <c r="N43" s="14" t="s">
        <v>83</v>
      </c>
      <c r="O43" s="16" t="s">
        <v>84</v>
      </c>
      <c r="P43" s="16" t="s">
        <v>84</v>
      </c>
      <c r="Q43" s="16" t="s">
        <v>151</v>
      </c>
      <c r="R43" s="14" t="s">
        <v>152</v>
      </c>
      <c r="S43" s="14" t="s">
        <v>153</v>
      </c>
      <c r="T43" s="14" t="s">
        <v>140</v>
      </c>
      <c r="U43" s="15">
        <v>40550</v>
      </c>
      <c r="V43" s="15">
        <v>43938</v>
      </c>
      <c r="W43" s="16"/>
      <c r="X43" s="16" t="s">
        <v>84</v>
      </c>
      <c r="Y43" s="14" t="s">
        <v>84</v>
      </c>
      <c r="Z43" s="16" t="s">
        <v>84</v>
      </c>
      <c r="AA43" s="16" t="s">
        <v>84</v>
      </c>
      <c r="AB43" s="16" t="s">
        <v>84</v>
      </c>
      <c r="AC43" s="14" t="s">
        <v>84</v>
      </c>
      <c r="AD43" s="16" t="s">
        <v>84</v>
      </c>
      <c r="AE43" s="16" t="s">
        <v>84</v>
      </c>
      <c r="AF43" s="16" t="s">
        <v>84</v>
      </c>
      <c r="AG43" s="14" t="s">
        <v>84</v>
      </c>
      <c r="AH43" s="16" t="s">
        <v>84</v>
      </c>
      <c r="AI43" s="16" t="s">
        <v>84</v>
      </c>
      <c r="AJ43" s="16" t="s">
        <v>84</v>
      </c>
      <c r="AK43" s="14" t="s">
        <v>84</v>
      </c>
      <c r="AL43" s="16" t="s">
        <v>84</v>
      </c>
      <c r="AM43" s="16" t="s">
        <v>84</v>
      </c>
      <c r="AN43" s="14" t="s">
        <v>84</v>
      </c>
      <c r="AO43" s="14" t="s">
        <v>84</v>
      </c>
    </row>
    <row r="44" spans="1:41" ht="90" x14ac:dyDescent="0.25">
      <c r="A44" s="14" t="s">
        <v>133</v>
      </c>
      <c r="B44" s="14" t="s">
        <v>72</v>
      </c>
      <c r="C44" s="15">
        <v>43999.650694444441</v>
      </c>
      <c r="D44" s="14" t="s">
        <v>73</v>
      </c>
      <c r="E44" s="16" t="s">
        <v>74</v>
      </c>
      <c r="F44" s="14" t="s">
        <v>75</v>
      </c>
      <c r="G44" s="16" t="s">
        <v>76</v>
      </c>
      <c r="H44" s="14" t="s">
        <v>164</v>
      </c>
      <c r="I44" s="16" t="s">
        <v>165</v>
      </c>
      <c r="J44" s="16" t="s">
        <v>166</v>
      </c>
      <c r="K44" s="16" t="s">
        <v>167</v>
      </c>
      <c r="L44" s="14" t="s">
        <v>170</v>
      </c>
      <c r="M44" s="16" t="s">
        <v>171</v>
      </c>
      <c r="N44" s="14" t="s">
        <v>136</v>
      </c>
      <c r="O44" s="16" t="s">
        <v>84</v>
      </c>
      <c r="P44" s="16" t="s">
        <v>84</v>
      </c>
      <c r="Q44" s="16" t="s">
        <v>151</v>
      </c>
      <c r="R44" s="14" t="s">
        <v>152</v>
      </c>
      <c r="S44" s="14" t="s">
        <v>153</v>
      </c>
      <c r="T44" s="14" t="s">
        <v>140</v>
      </c>
      <c r="U44" s="15">
        <v>40550</v>
      </c>
      <c r="V44" s="15">
        <v>43938</v>
      </c>
      <c r="W44" s="16"/>
      <c r="X44" s="16" t="s">
        <v>84</v>
      </c>
      <c r="Y44" s="14" t="s">
        <v>84</v>
      </c>
      <c r="Z44" s="16" t="s">
        <v>84</v>
      </c>
      <c r="AA44" s="16" t="s">
        <v>84</v>
      </c>
      <c r="AB44" s="16" t="s">
        <v>84</v>
      </c>
      <c r="AC44" s="14" t="s">
        <v>84</v>
      </c>
      <c r="AD44" s="16" t="s">
        <v>84</v>
      </c>
      <c r="AE44" s="16" t="s">
        <v>84</v>
      </c>
      <c r="AF44" s="16" t="s">
        <v>84</v>
      </c>
      <c r="AG44" s="14" t="s">
        <v>84</v>
      </c>
      <c r="AH44" s="16" t="s">
        <v>84</v>
      </c>
      <c r="AI44" s="16" t="s">
        <v>84</v>
      </c>
      <c r="AJ44" s="16" t="s">
        <v>84</v>
      </c>
      <c r="AK44" s="14" t="s">
        <v>84</v>
      </c>
      <c r="AL44" s="16" t="s">
        <v>84</v>
      </c>
      <c r="AM44" s="16" t="s">
        <v>84</v>
      </c>
      <c r="AN44" s="14" t="s">
        <v>84</v>
      </c>
      <c r="AO44" s="14" t="s">
        <v>84</v>
      </c>
    </row>
    <row r="45" spans="1:41" ht="90" x14ac:dyDescent="0.25">
      <c r="A45" s="14" t="s">
        <v>133</v>
      </c>
      <c r="B45" s="14" t="s">
        <v>72</v>
      </c>
      <c r="C45" s="15">
        <v>43999.651388888888</v>
      </c>
      <c r="D45" s="14" t="s">
        <v>73</v>
      </c>
      <c r="E45" s="16" t="s">
        <v>74</v>
      </c>
      <c r="F45" s="14" t="s">
        <v>75</v>
      </c>
      <c r="G45" s="16" t="s">
        <v>76</v>
      </c>
      <c r="H45" s="14" t="s">
        <v>164</v>
      </c>
      <c r="I45" s="16" t="s">
        <v>165</v>
      </c>
      <c r="J45" s="16" t="s">
        <v>166</v>
      </c>
      <c r="K45" s="16" t="s">
        <v>167</v>
      </c>
      <c r="L45" s="14" t="s">
        <v>168</v>
      </c>
      <c r="M45" s="16" t="s">
        <v>169</v>
      </c>
      <c r="N45" s="14" t="s">
        <v>83</v>
      </c>
      <c r="O45" s="16" t="s">
        <v>84</v>
      </c>
      <c r="P45" s="16" t="s">
        <v>84</v>
      </c>
      <c r="Q45" s="16" t="s">
        <v>154</v>
      </c>
      <c r="R45" s="14" t="s">
        <v>155</v>
      </c>
      <c r="S45" s="14" t="s">
        <v>153</v>
      </c>
      <c r="T45" s="14" t="s">
        <v>140</v>
      </c>
      <c r="U45" s="15">
        <v>40550</v>
      </c>
      <c r="V45" s="15">
        <v>43938</v>
      </c>
      <c r="W45" s="16"/>
      <c r="X45" s="16" t="s">
        <v>84</v>
      </c>
      <c r="Y45" s="14" t="s">
        <v>84</v>
      </c>
      <c r="Z45" s="16" t="s">
        <v>84</v>
      </c>
      <c r="AA45" s="16" t="s">
        <v>84</v>
      </c>
      <c r="AB45" s="16" t="s">
        <v>84</v>
      </c>
      <c r="AC45" s="14" t="s">
        <v>84</v>
      </c>
      <c r="AD45" s="16" t="s">
        <v>84</v>
      </c>
      <c r="AE45" s="16" t="s">
        <v>84</v>
      </c>
      <c r="AF45" s="16" t="s">
        <v>84</v>
      </c>
      <c r="AG45" s="14" t="s">
        <v>84</v>
      </c>
      <c r="AH45" s="16" t="s">
        <v>84</v>
      </c>
      <c r="AI45" s="16" t="s">
        <v>84</v>
      </c>
      <c r="AJ45" s="16" t="s">
        <v>84</v>
      </c>
      <c r="AK45" s="14" t="s">
        <v>84</v>
      </c>
      <c r="AL45" s="16" t="s">
        <v>84</v>
      </c>
      <c r="AM45" s="16" t="s">
        <v>84</v>
      </c>
      <c r="AN45" s="14" t="s">
        <v>84</v>
      </c>
      <c r="AO45" s="14" t="s">
        <v>84</v>
      </c>
    </row>
    <row r="46" spans="1:41" ht="90" x14ac:dyDescent="0.25">
      <c r="A46" s="14" t="s">
        <v>133</v>
      </c>
      <c r="B46" s="14" t="s">
        <v>72</v>
      </c>
      <c r="C46" s="15">
        <v>43999.650694444441</v>
      </c>
      <c r="D46" s="14" t="s">
        <v>73</v>
      </c>
      <c r="E46" s="16" t="s">
        <v>74</v>
      </c>
      <c r="F46" s="14" t="s">
        <v>75</v>
      </c>
      <c r="G46" s="16" t="s">
        <v>76</v>
      </c>
      <c r="H46" s="14" t="s">
        <v>164</v>
      </c>
      <c r="I46" s="16" t="s">
        <v>165</v>
      </c>
      <c r="J46" s="16" t="s">
        <v>166</v>
      </c>
      <c r="K46" s="16" t="s">
        <v>167</v>
      </c>
      <c r="L46" s="14" t="s">
        <v>170</v>
      </c>
      <c r="M46" s="16" t="s">
        <v>171</v>
      </c>
      <c r="N46" s="14" t="s">
        <v>136</v>
      </c>
      <c r="O46" s="16" t="s">
        <v>84</v>
      </c>
      <c r="P46" s="16" t="s">
        <v>84</v>
      </c>
      <c r="Q46" s="16" t="s">
        <v>154</v>
      </c>
      <c r="R46" s="14" t="s">
        <v>155</v>
      </c>
      <c r="S46" s="14" t="s">
        <v>153</v>
      </c>
      <c r="T46" s="14" t="s">
        <v>140</v>
      </c>
      <c r="U46" s="15">
        <v>40550</v>
      </c>
      <c r="V46" s="15">
        <v>43938</v>
      </c>
      <c r="W46" s="16"/>
      <c r="X46" s="16" t="s">
        <v>84</v>
      </c>
      <c r="Y46" s="14" t="s">
        <v>84</v>
      </c>
      <c r="Z46" s="16" t="s">
        <v>84</v>
      </c>
      <c r="AA46" s="16" t="s">
        <v>84</v>
      </c>
      <c r="AB46" s="16" t="s">
        <v>84</v>
      </c>
      <c r="AC46" s="14" t="s">
        <v>84</v>
      </c>
      <c r="AD46" s="16" t="s">
        <v>84</v>
      </c>
      <c r="AE46" s="16" t="s">
        <v>84</v>
      </c>
      <c r="AF46" s="16" t="s">
        <v>84</v>
      </c>
      <c r="AG46" s="14" t="s">
        <v>84</v>
      </c>
      <c r="AH46" s="16" t="s">
        <v>84</v>
      </c>
      <c r="AI46" s="16" t="s">
        <v>84</v>
      </c>
      <c r="AJ46" s="16" t="s">
        <v>84</v>
      </c>
      <c r="AK46" s="14" t="s">
        <v>84</v>
      </c>
      <c r="AL46" s="16" t="s">
        <v>84</v>
      </c>
      <c r="AM46" s="16" t="s">
        <v>84</v>
      </c>
      <c r="AN46" s="14" t="s">
        <v>84</v>
      </c>
      <c r="AO46" s="14" t="s">
        <v>84</v>
      </c>
    </row>
    <row r="47" spans="1:41" ht="75" x14ac:dyDescent="0.25">
      <c r="A47" s="14" t="s">
        <v>133</v>
      </c>
      <c r="B47" s="14" t="s">
        <v>129</v>
      </c>
      <c r="C47" s="15">
        <v>44005.584722222222</v>
      </c>
      <c r="D47" s="14" t="s">
        <v>73</v>
      </c>
      <c r="E47" s="16" t="s">
        <v>74</v>
      </c>
      <c r="F47" s="14" t="s">
        <v>75</v>
      </c>
      <c r="G47" s="16" t="s">
        <v>76</v>
      </c>
      <c r="H47" s="14" t="s">
        <v>172</v>
      </c>
      <c r="I47" s="16" t="s">
        <v>173</v>
      </c>
      <c r="J47" s="16" t="s">
        <v>174</v>
      </c>
      <c r="K47" s="16" t="s">
        <v>175</v>
      </c>
      <c r="L47" s="14" t="s">
        <v>176</v>
      </c>
      <c r="M47" s="16" t="s">
        <v>177</v>
      </c>
      <c r="N47" s="14" t="s">
        <v>178</v>
      </c>
      <c r="O47" s="16" t="s">
        <v>179</v>
      </c>
      <c r="P47" s="16" t="s">
        <v>180</v>
      </c>
      <c r="Q47" s="16" t="s">
        <v>85</v>
      </c>
      <c r="R47" s="14" t="s">
        <v>86</v>
      </c>
      <c r="S47" s="14" t="s">
        <v>88</v>
      </c>
      <c r="T47" s="14" t="s">
        <v>89</v>
      </c>
      <c r="U47" s="15" t="s">
        <v>338</v>
      </c>
      <c r="V47" s="15"/>
      <c r="W47" s="16"/>
      <c r="X47" s="16" t="s">
        <v>84</v>
      </c>
      <c r="Y47" s="14" t="s">
        <v>84</v>
      </c>
      <c r="Z47" s="16" t="s">
        <v>84</v>
      </c>
      <c r="AA47" s="16" t="s">
        <v>84</v>
      </c>
      <c r="AB47" s="16" t="s">
        <v>84</v>
      </c>
      <c r="AC47" s="14" t="s">
        <v>84</v>
      </c>
      <c r="AD47" s="16" t="s">
        <v>84</v>
      </c>
      <c r="AE47" s="16" t="s">
        <v>84</v>
      </c>
      <c r="AF47" s="16" t="s">
        <v>84</v>
      </c>
      <c r="AG47" s="14" t="s">
        <v>84</v>
      </c>
      <c r="AH47" s="16" t="s">
        <v>84</v>
      </c>
      <c r="AI47" s="16" t="s">
        <v>84</v>
      </c>
      <c r="AJ47" s="16" t="s">
        <v>84</v>
      </c>
      <c r="AK47" s="14" t="s">
        <v>84</v>
      </c>
      <c r="AL47" s="16" t="s">
        <v>84</v>
      </c>
      <c r="AM47" s="16" t="s">
        <v>84</v>
      </c>
      <c r="AN47" s="14" t="s">
        <v>84</v>
      </c>
      <c r="AO47" s="14" t="s">
        <v>84</v>
      </c>
    </row>
    <row r="48" spans="1:41" ht="75" x14ac:dyDescent="0.25">
      <c r="A48" s="14" t="s">
        <v>71</v>
      </c>
      <c r="B48" s="14" t="s">
        <v>72</v>
      </c>
      <c r="C48" s="15">
        <v>44711.451388888891</v>
      </c>
      <c r="D48" s="14" t="s">
        <v>73</v>
      </c>
      <c r="E48" s="16" t="s">
        <v>74</v>
      </c>
      <c r="F48" s="14" t="s">
        <v>75</v>
      </c>
      <c r="G48" s="16" t="s">
        <v>76</v>
      </c>
      <c r="H48" s="14" t="s">
        <v>172</v>
      </c>
      <c r="I48" s="16" t="s">
        <v>173</v>
      </c>
      <c r="J48" s="16" t="s">
        <v>174</v>
      </c>
      <c r="K48" s="16" t="s">
        <v>175</v>
      </c>
      <c r="L48" s="14" t="s">
        <v>190</v>
      </c>
      <c r="M48" s="16" t="s">
        <v>191</v>
      </c>
      <c r="N48" s="14" t="s">
        <v>178</v>
      </c>
      <c r="O48" s="16" t="s">
        <v>192</v>
      </c>
      <c r="P48" s="16" t="s">
        <v>193</v>
      </c>
      <c r="Q48" s="16" t="s">
        <v>85</v>
      </c>
      <c r="R48" s="14" t="s">
        <v>86</v>
      </c>
      <c r="S48" s="14" t="s">
        <v>88</v>
      </c>
      <c r="T48" s="14" t="s">
        <v>89</v>
      </c>
      <c r="U48" s="15" t="s">
        <v>338</v>
      </c>
      <c r="V48" s="15"/>
      <c r="W48" s="16"/>
      <c r="X48" s="16" t="s">
        <v>84</v>
      </c>
      <c r="Y48" s="14" t="s">
        <v>84</v>
      </c>
      <c r="Z48" s="16" t="s">
        <v>84</v>
      </c>
      <c r="AA48" s="16" t="s">
        <v>84</v>
      </c>
      <c r="AB48" s="16" t="s">
        <v>84</v>
      </c>
      <c r="AC48" s="14" t="s">
        <v>84</v>
      </c>
      <c r="AD48" s="16" t="s">
        <v>84</v>
      </c>
      <c r="AE48" s="16" t="s">
        <v>84</v>
      </c>
      <c r="AF48" s="16" t="s">
        <v>84</v>
      </c>
      <c r="AG48" s="14" t="s">
        <v>84</v>
      </c>
      <c r="AH48" s="16" t="s">
        <v>84</v>
      </c>
      <c r="AI48" s="16" t="s">
        <v>84</v>
      </c>
      <c r="AJ48" s="16" t="s">
        <v>84</v>
      </c>
      <c r="AK48" s="14" t="s">
        <v>84</v>
      </c>
      <c r="AL48" s="16" t="s">
        <v>84</v>
      </c>
      <c r="AM48" s="16" t="s">
        <v>84</v>
      </c>
      <c r="AN48" s="14" t="s">
        <v>84</v>
      </c>
      <c r="AO48" s="14" t="s">
        <v>84</v>
      </c>
    </row>
    <row r="49" spans="1:41" ht="75" x14ac:dyDescent="0.25">
      <c r="A49" s="14" t="s">
        <v>133</v>
      </c>
      <c r="B49" s="14" t="s">
        <v>129</v>
      </c>
      <c r="C49" s="15">
        <v>44721.45416666667</v>
      </c>
      <c r="D49" s="14" t="s">
        <v>73</v>
      </c>
      <c r="E49" s="16" t="s">
        <v>74</v>
      </c>
      <c r="F49" s="14" t="s">
        <v>75</v>
      </c>
      <c r="G49" s="16" t="s">
        <v>76</v>
      </c>
      <c r="H49" s="14" t="s">
        <v>172</v>
      </c>
      <c r="I49" s="16" t="s">
        <v>173</v>
      </c>
      <c r="J49" s="16" t="s">
        <v>174</v>
      </c>
      <c r="K49" s="16" t="s">
        <v>175</v>
      </c>
      <c r="L49" s="14" t="s">
        <v>197</v>
      </c>
      <c r="M49" s="16" t="s">
        <v>198</v>
      </c>
      <c r="N49" s="14" t="s">
        <v>136</v>
      </c>
      <c r="O49" s="16" t="s">
        <v>199</v>
      </c>
      <c r="P49" s="16" t="s">
        <v>200</v>
      </c>
      <c r="Q49" s="16" t="s">
        <v>85</v>
      </c>
      <c r="R49" s="14" t="s">
        <v>86</v>
      </c>
      <c r="S49" s="14" t="s">
        <v>88</v>
      </c>
      <c r="T49" s="14" t="s">
        <v>89</v>
      </c>
      <c r="U49" s="15" t="s">
        <v>338</v>
      </c>
      <c r="V49" s="15"/>
      <c r="W49" s="16"/>
      <c r="X49" s="16" t="s">
        <v>84</v>
      </c>
      <c r="Y49" s="14" t="s">
        <v>84</v>
      </c>
      <c r="Z49" s="16" t="s">
        <v>84</v>
      </c>
      <c r="AA49" s="16" t="s">
        <v>84</v>
      </c>
      <c r="AB49" s="16" t="s">
        <v>84</v>
      </c>
      <c r="AC49" s="14" t="s">
        <v>84</v>
      </c>
      <c r="AD49" s="16" t="s">
        <v>84</v>
      </c>
      <c r="AE49" s="16" t="s">
        <v>84</v>
      </c>
      <c r="AF49" s="16" t="s">
        <v>84</v>
      </c>
      <c r="AG49" s="14" t="s">
        <v>84</v>
      </c>
      <c r="AH49" s="16" t="s">
        <v>84</v>
      </c>
      <c r="AI49" s="16" t="s">
        <v>84</v>
      </c>
      <c r="AJ49" s="16" t="s">
        <v>84</v>
      </c>
      <c r="AK49" s="14" t="s">
        <v>84</v>
      </c>
      <c r="AL49" s="16" t="s">
        <v>84</v>
      </c>
      <c r="AM49" s="16" t="s">
        <v>84</v>
      </c>
      <c r="AN49" s="14" t="s">
        <v>84</v>
      </c>
      <c r="AO49" s="14" t="s">
        <v>84</v>
      </c>
    </row>
    <row r="50" spans="1:41" ht="75" x14ac:dyDescent="0.25">
      <c r="A50" s="14" t="s">
        <v>133</v>
      </c>
      <c r="B50" s="14" t="s">
        <v>129</v>
      </c>
      <c r="C50" s="15">
        <v>43999.673611111109</v>
      </c>
      <c r="D50" s="14" t="s">
        <v>73</v>
      </c>
      <c r="E50" s="16" t="s">
        <v>74</v>
      </c>
      <c r="F50" s="14" t="s">
        <v>75</v>
      </c>
      <c r="G50" s="16" t="s">
        <v>76</v>
      </c>
      <c r="H50" s="14" t="s">
        <v>172</v>
      </c>
      <c r="I50" s="16" t="s">
        <v>173</v>
      </c>
      <c r="J50" s="16" t="s">
        <v>174</v>
      </c>
      <c r="K50" s="16" t="s">
        <v>175</v>
      </c>
      <c r="L50" s="14" t="s">
        <v>176</v>
      </c>
      <c r="M50" s="16" t="s">
        <v>177</v>
      </c>
      <c r="N50" s="14" t="s">
        <v>178</v>
      </c>
      <c r="O50" s="16" t="s">
        <v>179</v>
      </c>
      <c r="P50" s="16" t="s">
        <v>180</v>
      </c>
      <c r="Q50" s="16" t="s">
        <v>138</v>
      </c>
      <c r="R50" s="14" t="s">
        <v>139</v>
      </c>
      <c r="S50" s="14" t="s">
        <v>88</v>
      </c>
      <c r="T50" s="14" t="s">
        <v>140</v>
      </c>
      <c r="U50" s="15" t="s">
        <v>338</v>
      </c>
      <c r="V50" s="15"/>
      <c r="W50" s="16"/>
      <c r="X50" s="16" t="s">
        <v>84</v>
      </c>
      <c r="Y50" s="14" t="s">
        <v>84</v>
      </c>
      <c r="Z50" s="16" t="s">
        <v>84</v>
      </c>
      <c r="AA50" s="16" t="s">
        <v>84</v>
      </c>
      <c r="AB50" s="16" t="s">
        <v>84</v>
      </c>
      <c r="AC50" s="14" t="s">
        <v>84</v>
      </c>
      <c r="AD50" s="16" t="s">
        <v>84</v>
      </c>
      <c r="AE50" s="16" t="s">
        <v>84</v>
      </c>
      <c r="AF50" s="16" t="s">
        <v>84</v>
      </c>
      <c r="AG50" s="14" t="s">
        <v>84</v>
      </c>
      <c r="AH50" s="16" t="s">
        <v>84</v>
      </c>
      <c r="AI50" s="16" t="s">
        <v>84</v>
      </c>
      <c r="AJ50" s="16" t="s">
        <v>84</v>
      </c>
      <c r="AK50" s="14" t="s">
        <v>84</v>
      </c>
      <c r="AL50" s="16" t="s">
        <v>84</v>
      </c>
      <c r="AM50" s="16" t="s">
        <v>84</v>
      </c>
      <c r="AN50" s="14" t="s">
        <v>84</v>
      </c>
      <c r="AO50" s="14" t="s">
        <v>84</v>
      </c>
    </row>
    <row r="51" spans="1:41" ht="75" x14ac:dyDescent="0.25">
      <c r="A51" s="14" t="s">
        <v>133</v>
      </c>
      <c r="B51" s="14" t="s">
        <v>129</v>
      </c>
      <c r="C51" s="15">
        <v>43999.670138888891</v>
      </c>
      <c r="D51" s="14" t="s">
        <v>73</v>
      </c>
      <c r="E51" s="16" t="s">
        <v>74</v>
      </c>
      <c r="F51" s="14" t="s">
        <v>75</v>
      </c>
      <c r="G51" s="16" t="s">
        <v>76</v>
      </c>
      <c r="H51" s="14" t="s">
        <v>172</v>
      </c>
      <c r="I51" s="16" t="s">
        <v>173</v>
      </c>
      <c r="J51" s="16" t="s">
        <v>174</v>
      </c>
      <c r="K51" s="16" t="s">
        <v>175</v>
      </c>
      <c r="L51" s="14" t="s">
        <v>190</v>
      </c>
      <c r="M51" s="16" t="s">
        <v>191</v>
      </c>
      <c r="N51" s="14" t="s">
        <v>178</v>
      </c>
      <c r="O51" s="16" t="s">
        <v>192</v>
      </c>
      <c r="P51" s="16" t="s">
        <v>193</v>
      </c>
      <c r="Q51" s="16" t="s">
        <v>138</v>
      </c>
      <c r="R51" s="14" t="s">
        <v>139</v>
      </c>
      <c r="S51" s="14" t="s">
        <v>88</v>
      </c>
      <c r="T51" s="14" t="s">
        <v>140</v>
      </c>
      <c r="U51" s="15" t="s">
        <v>338</v>
      </c>
      <c r="V51" s="15"/>
      <c r="W51" s="16"/>
      <c r="X51" s="16" t="s">
        <v>84</v>
      </c>
      <c r="Y51" s="14" t="s">
        <v>84</v>
      </c>
      <c r="Z51" s="16" t="s">
        <v>84</v>
      </c>
      <c r="AA51" s="16" t="s">
        <v>84</v>
      </c>
      <c r="AB51" s="16" t="s">
        <v>84</v>
      </c>
      <c r="AC51" s="14" t="s">
        <v>84</v>
      </c>
      <c r="AD51" s="16" t="s">
        <v>84</v>
      </c>
      <c r="AE51" s="16" t="s">
        <v>84</v>
      </c>
      <c r="AF51" s="16" t="s">
        <v>84</v>
      </c>
      <c r="AG51" s="14" t="s">
        <v>84</v>
      </c>
      <c r="AH51" s="16" t="s">
        <v>84</v>
      </c>
      <c r="AI51" s="16" t="s">
        <v>84</v>
      </c>
      <c r="AJ51" s="16" t="s">
        <v>84</v>
      </c>
      <c r="AK51" s="14" t="s">
        <v>84</v>
      </c>
      <c r="AL51" s="16" t="s">
        <v>84</v>
      </c>
      <c r="AM51" s="16" t="s">
        <v>84</v>
      </c>
      <c r="AN51" s="14" t="s">
        <v>84</v>
      </c>
      <c r="AO51" s="14" t="s">
        <v>84</v>
      </c>
    </row>
    <row r="52" spans="1:41" ht="75" x14ac:dyDescent="0.25">
      <c r="A52" s="14" t="s">
        <v>133</v>
      </c>
      <c r="B52" s="14" t="s">
        <v>129</v>
      </c>
      <c r="C52" s="15">
        <v>43999.671527777777</v>
      </c>
      <c r="D52" s="14" t="s">
        <v>73</v>
      </c>
      <c r="E52" s="16" t="s">
        <v>74</v>
      </c>
      <c r="F52" s="14" t="s">
        <v>75</v>
      </c>
      <c r="G52" s="16" t="s">
        <v>76</v>
      </c>
      <c r="H52" s="14" t="s">
        <v>172</v>
      </c>
      <c r="I52" s="16" t="s">
        <v>173</v>
      </c>
      <c r="J52" s="16" t="s">
        <v>174</v>
      </c>
      <c r="K52" s="16" t="s">
        <v>175</v>
      </c>
      <c r="L52" s="14" t="s">
        <v>197</v>
      </c>
      <c r="M52" s="16" t="s">
        <v>198</v>
      </c>
      <c r="N52" s="14" t="s">
        <v>136</v>
      </c>
      <c r="O52" s="16" t="s">
        <v>199</v>
      </c>
      <c r="P52" s="16" t="s">
        <v>200</v>
      </c>
      <c r="Q52" s="16" t="s">
        <v>138</v>
      </c>
      <c r="R52" s="14" t="s">
        <v>139</v>
      </c>
      <c r="S52" s="14" t="s">
        <v>88</v>
      </c>
      <c r="T52" s="14" t="s">
        <v>140</v>
      </c>
      <c r="U52" s="15" t="s">
        <v>338</v>
      </c>
      <c r="V52" s="15"/>
      <c r="W52" s="16"/>
      <c r="X52" s="16" t="s">
        <v>84</v>
      </c>
      <c r="Y52" s="14" t="s">
        <v>84</v>
      </c>
      <c r="Z52" s="16" t="s">
        <v>84</v>
      </c>
      <c r="AA52" s="16" t="s">
        <v>84</v>
      </c>
      <c r="AB52" s="16" t="s">
        <v>84</v>
      </c>
      <c r="AC52" s="14" t="s">
        <v>84</v>
      </c>
      <c r="AD52" s="16" t="s">
        <v>84</v>
      </c>
      <c r="AE52" s="16" t="s">
        <v>84</v>
      </c>
      <c r="AF52" s="16" t="s">
        <v>84</v>
      </c>
      <c r="AG52" s="14" t="s">
        <v>84</v>
      </c>
      <c r="AH52" s="16" t="s">
        <v>84</v>
      </c>
      <c r="AI52" s="16" t="s">
        <v>84</v>
      </c>
      <c r="AJ52" s="16" t="s">
        <v>84</v>
      </c>
      <c r="AK52" s="14" t="s">
        <v>84</v>
      </c>
      <c r="AL52" s="16" t="s">
        <v>84</v>
      </c>
      <c r="AM52" s="16" t="s">
        <v>84</v>
      </c>
      <c r="AN52" s="14" t="s">
        <v>84</v>
      </c>
      <c r="AO52" s="14" t="s">
        <v>84</v>
      </c>
    </row>
    <row r="53" spans="1:41" ht="75" x14ac:dyDescent="0.25">
      <c r="A53" s="14" t="s">
        <v>133</v>
      </c>
      <c r="B53" s="14" t="s">
        <v>129</v>
      </c>
      <c r="C53" s="15">
        <v>43999.673611111109</v>
      </c>
      <c r="D53" s="14" t="s">
        <v>73</v>
      </c>
      <c r="E53" s="16" t="s">
        <v>74</v>
      </c>
      <c r="F53" s="14" t="s">
        <v>75</v>
      </c>
      <c r="G53" s="16" t="s">
        <v>76</v>
      </c>
      <c r="H53" s="14" t="s">
        <v>172</v>
      </c>
      <c r="I53" s="16" t="s">
        <v>173</v>
      </c>
      <c r="J53" s="16" t="s">
        <v>174</v>
      </c>
      <c r="K53" s="16" t="s">
        <v>175</v>
      </c>
      <c r="L53" s="14" t="s">
        <v>176</v>
      </c>
      <c r="M53" s="16" t="s">
        <v>177</v>
      </c>
      <c r="N53" s="14" t="s">
        <v>178</v>
      </c>
      <c r="O53" s="16" t="s">
        <v>179</v>
      </c>
      <c r="P53" s="16" t="s">
        <v>180</v>
      </c>
      <c r="Q53" s="16" t="s">
        <v>141</v>
      </c>
      <c r="R53" s="14" t="s">
        <v>142</v>
      </c>
      <c r="S53" s="14" t="s">
        <v>88</v>
      </c>
      <c r="T53" s="14" t="s">
        <v>140</v>
      </c>
      <c r="U53" s="15" t="s">
        <v>338</v>
      </c>
      <c r="V53" s="15"/>
      <c r="W53" s="16"/>
      <c r="X53" s="16" t="s">
        <v>84</v>
      </c>
      <c r="Y53" s="14" t="s">
        <v>84</v>
      </c>
      <c r="Z53" s="16" t="s">
        <v>84</v>
      </c>
      <c r="AA53" s="16" t="s">
        <v>84</v>
      </c>
      <c r="AB53" s="16" t="s">
        <v>84</v>
      </c>
      <c r="AC53" s="14" t="s">
        <v>84</v>
      </c>
      <c r="AD53" s="16" t="s">
        <v>84</v>
      </c>
      <c r="AE53" s="16" t="s">
        <v>84</v>
      </c>
      <c r="AF53" s="16" t="s">
        <v>84</v>
      </c>
      <c r="AG53" s="14" t="s">
        <v>84</v>
      </c>
      <c r="AH53" s="16" t="s">
        <v>84</v>
      </c>
      <c r="AI53" s="16" t="s">
        <v>84</v>
      </c>
      <c r="AJ53" s="16" t="s">
        <v>84</v>
      </c>
      <c r="AK53" s="14" t="s">
        <v>84</v>
      </c>
      <c r="AL53" s="16" t="s">
        <v>84</v>
      </c>
      <c r="AM53" s="16" t="s">
        <v>84</v>
      </c>
      <c r="AN53" s="14" t="s">
        <v>84</v>
      </c>
      <c r="AO53" s="14" t="s">
        <v>84</v>
      </c>
    </row>
    <row r="54" spans="1:41" ht="75" x14ac:dyDescent="0.25">
      <c r="A54" s="14" t="s">
        <v>133</v>
      </c>
      <c r="B54" s="14" t="s">
        <v>129</v>
      </c>
      <c r="C54" s="15">
        <v>43999.670138888891</v>
      </c>
      <c r="D54" s="14" t="s">
        <v>73</v>
      </c>
      <c r="E54" s="16" t="s">
        <v>74</v>
      </c>
      <c r="F54" s="14" t="s">
        <v>75</v>
      </c>
      <c r="G54" s="16" t="s">
        <v>76</v>
      </c>
      <c r="H54" s="14" t="s">
        <v>172</v>
      </c>
      <c r="I54" s="16" t="s">
        <v>173</v>
      </c>
      <c r="J54" s="16" t="s">
        <v>174</v>
      </c>
      <c r="K54" s="16" t="s">
        <v>175</v>
      </c>
      <c r="L54" s="14" t="s">
        <v>190</v>
      </c>
      <c r="M54" s="16" t="s">
        <v>191</v>
      </c>
      <c r="N54" s="14" t="s">
        <v>178</v>
      </c>
      <c r="O54" s="16" t="s">
        <v>192</v>
      </c>
      <c r="P54" s="16" t="s">
        <v>193</v>
      </c>
      <c r="Q54" s="16" t="s">
        <v>141</v>
      </c>
      <c r="R54" s="14" t="s">
        <v>142</v>
      </c>
      <c r="S54" s="14" t="s">
        <v>88</v>
      </c>
      <c r="T54" s="14" t="s">
        <v>140</v>
      </c>
      <c r="U54" s="15" t="s">
        <v>338</v>
      </c>
      <c r="V54" s="15"/>
      <c r="W54" s="16"/>
      <c r="X54" s="16" t="s">
        <v>84</v>
      </c>
      <c r="Y54" s="14" t="s">
        <v>84</v>
      </c>
      <c r="Z54" s="16" t="s">
        <v>84</v>
      </c>
      <c r="AA54" s="16" t="s">
        <v>84</v>
      </c>
      <c r="AB54" s="16" t="s">
        <v>84</v>
      </c>
      <c r="AC54" s="14" t="s">
        <v>84</v>
      </c>
      <c r="AD54" s="16" t="s">
        <v>84</v>
      </c>
      <c r="AE54" s="16" t="s">
        <v>84</v>
      </c>
      <c r="AF54" s="16" t="s">
        <v>84</v>
      </c>
      <c r="AG54" s="14" t="s">
        <v>84</v>
      </c>
      <c r="AH54" s="16" t="s">
        <v>84</v>
      </c>
      <c r="AI54" s="16" t="s">
        <v>84</v>
      </c>
      <c r="AJ54" s="16" t="s">
        <v>84</v>
      </c>
      <c r="AK54" s="14" t="s">
        <v>84</v>
      </c>
      <c r="AL54" s="16" t="s">
        <v>84</v>
      </c>
      <c r="AM54" s="16" t="s">
        <v>84</v>
      </c>
      <c r="AN54" s="14" t="s">
        <v>84</v>
      </c>
      <c r="AO54" s="14" t="s">
        <v>84</v>
      </c>
    </row>
    <row r="55" spans="1:41" ht="75" x14ac:dyDescent="0.25">
      <c r="A55" s="14" t="s">
        <v>133</v>
      </c>
      <c r="B55" s="14" t="s">
        <v>129</v>
      </c>
      <c r="C55" s="15">
        <v>43999.67291666667</v>
      </c>
      <c r="D55" s="14" t="s">
        <v>73</v>
      </c>
      <c r="E55" s="16" t="s">
        <v>74</v>
      </c>
      <c r="F55" s="14" t="s">
        <v>75</v>
      </c>
      <c r="G55" s="16" t="s">
        <v>76</v>
      </c>
      <c r="H55" s="14" t="s">
        <v>172</v>
      </c>
      <c r="I55" s="16" t="s">
        <v>173</v>
      </c>
      <c r="J55" s="16" t="s">
        <v>174</v>
      </c>
      <c r="K55" s="16" t="s">
        <v>175</v>
      </c>
      <c r="L55" s="14" t="s">
        <v>197</v>
      </c>
      <c r="M55" s="16" t="s">
        <v>198</v>
      </c>
      <c r="N55" s="14" t="s">
        <v>136</v>
      </c>
      <c r="O55" s="16" t="s">
        <v>199</v>
      </c>
      <c r="P55" s="16" t="s">
        <v>200</v>
      </c>
      <c r="Q55" s="16" t="s">
        <v>141</v>
      </c>
      <c r="R55" s="14" t="s">
        <v>142</v>
      </c>
      <c r="S55" s="14" t="s">
        <v>88</v>
      </c>
      <c r="T55" s="14" t="s">
        <v>140</v>
      </c>
      <c r="U55" s="15" t="s">
        <v>338</v>
      </c>
      <c r="V55" s="15"/>
      <c r="W55" s="16"/>
      <c r="X55" s="16" t="s">
        <v>84</v>
      </c>
      <c r="Y55" s="14" t="s">
        <v>84</v>
      </c>
      <c r="Z55" s="16" t="s">
        <v>84</v>
      </c>
      <c r="AA55" s="16" t="s">
        <v>84</v>
      </c>
      <c r="AB55" s="16" t="s">
        <v>84</v>
      </c>
      <c r="AC55" s="14" t="s">
        <v>84</v>
      </c>
      <c r="AD55" s="16" t="s">
        <v>84</v>
      </c>
      <c r="AE55" s="16" t="s">
        <v>84</v>
      </c>
      <c r="AF55" s="16" t="s">
        <v>84</v>
      </c>
      <c r="AG55" s="14" t="s">
        <v>84</v>
      </c>
      <c r="AH55" s="16" t="s">
        <v>84</v>
      </c>
      <c r="AI55" s="16" t="s">
        <v>84</v>
      </c>
      <c r="AJ55" s="16" t="s">
        <v>84</v>
      </c>
      <c r="AK55" s="14" t="s">
        <v>84</v>
      </c>
      <c r="AL55" s="16" t="s">
        <v>84</v>
      </c>
      <c r="AM55" s="16" t="s">
        <v>84</v>
      </c>
      <c r="AN55" s="14" t="s">
        <v>84</v>
      </c>
      <c r="AO55" s="14" t="s">
        <v>84</v>
      </c>
    </row>
    <row r="56" spans="1:41" ht="75" x14ac:dyDescent="0.25">
      <c r="A56" s="14" t="s">
        <v>133</v>
      </c>
      <c r="B56" s="14" t="s">
        <v>129</v>
      </c>
      <c r="C56" s="15">
        <v>44005.584722222222</v>
      </c>
      <c r="D56" s="14" t="s">
        <v>73</v>
      </c>
      <c r="E56" s="16" t="s">
        <v>74</v>
      </c>
      <c r="F56" s="14" t="s">
        <v>75</v>
      </c>
      <c r="G56" s="16" t="s">
        <v>76</v>
      </c>
      <c r="H56" s="14" t="s">
        <v>172</v>
      </c>
      <c r="I56" s="16" t="s">
        <v>173</v>
      </c>
      <c r="J56" s="16" t="s">
        <v>174</v>
      </c>
      <c r="K56" s="16" t="s">
        <v>175</v>
      </c>
      <c r="L56" s="14" t="s">
        <v>176</v>
      </c>
      <c r="M56" s="16" t="s">
        <v>177</v>
      </c>
      <c r="N56" s="14" t="s">
        <v>178</v>
      </c>
      <c r="O56" s="16" t="s">
        <v>179</v>
      </c>
      <c r="P56" s="16" t="s">
        <v>180</v>
      </c>
      <c r="Q56" s="16" t="s">
        <v>144</v>
      </c>
      <c r="R56" s="14" t="s">
        <v>145</v>
      </c>
      <c r="S56" s="14" t="s">
        <v>88</v>
      </c>
      <c r="T56" s="14" t="s">
        <v>89</v>
      </c>
      <c r="U56" s="15" t="s">
        <v>338</v>
      </c>
      <c r="V56" s="15"/>
      <c r="W56" s="16"/>
      <c r="X56" s="16" t="s">
        <v>84</v>
      </c>
      <c r="Y56" s="14" t="s">
        <v>84</v>
      </c>
      <c r="Z56" s="16" t="s">
        <v>84</v>
      </c>
      <c r="AA56" s="16" t="s">
        <v>84</v>
      </c>
      <c r="AB56" s="16" t="s">
        <v>84</v>
      </c>
      <c r="AC56" s="14" t="s">
        <v>84</v>
      </c>
      <c r="AD56" s="16" t="s">
        <v>84</v>
      </c>
      <c r="AE56" s="16" t="s">
        <v>84</v>
      </c>
      <c r="AF56" s="16" t="s">
        <v>84</v>
      </c>
      <c r="AG56" s="14" t="s">
        <v>84</v>
      </c>
      <c r="AH56" s="16" t="s">
        <v>84</v>
      </c>
      <c r="AI56" s="16" t="s">
        <v>84</v>
      </c>
      <c r="AJ56" s="16" t="s">
        <v>84</v>
      </c>
      <c r="AK56" s="14" t="s">
        <v>84</v>
      </c>
      <c r="AL56" s="16" t="s">
        <v>84</v>
      </c>
      <c r="AM56" s="16" t="s">
        <v>84</v>
      </c>
      <c r="AN56" s="14" t="s">
        <v>84</v>
      </c>
      <c r="AO56" s="14" t="s">
        <v>84</v>
      </c>
    </row>
    <row r="57" spans="1:41" ht="75" x14ac:dyDescent="0.25">
      <c r="A57" s="14" t="s">
        <v>71</v>
      </c>
      <c r="B57" s="14" t="s">
        <v>72</v>
      </c>
      <c r="C57" s="15">
        <v>44711.450694444444</v>
      </c>
      <c r="D57" s="14" t="s">
        <v>73</v>
      </c>
      <c r="E57" s="16" t="s">
        <v>74</v>
      </c>
      <c r="F57" s="14" t="s">
        <v>75</v>
      </c>
      <c r="G57" s="16" t="s">
        <v>76</v>
      </c>
      <c r="H57" s="14" t="s">
        <v>172</v>
      </c>
      <c r="I57" s="16" t="s">
        <v>173</v>
      </c>
      <c r="J57" s="16" t="s">
        <v>174</v>
      </c>
      <c r="K57" s="16" t="s">
        <v>175</v>
      </c>
      <c r="L57" s="14" t="s">
        <v>190</v>
      </c>
      <c r="M57" s="16" t="s">
        <v>191</v>
      </c>
      <c r="N57" s="14" t="s">
        <v>178</v>
      </c>
      <c r="O57" s="16" t="s">
        <v>192</v>
      </c>
      <c r="P57" s="16" t="s">
        <v>193</v>
      </c>
      <c r="Q57" s="16" t="s">
        <v>144</v>
      </c>
      <c r="R57" s="14" t="s">
        <v>145</v>
      </c>
      <c r="S57" s="14" t="s">
        <v>88</v>
      </c>
      <c r="T57" s="14" t="s">
        <v>89</v>
      </c>
      <c r="U57" s="15" t="s">
        <v>338</v>
      </c>
      <c r="V57" s="15"/>
      <c r="W57" s="16"/>
      <c r="X57" s="16" t="s">
        <v>84</v>
      </c>
      <c r="Y57" s="14" t="s">
        <v>84</v>
      </c>
      <c r="Z57" s="16" t="s">
        <v>84</v>
      </c>
      <c r="AA57" s="16" t="s">
        <v>84</v>
      </c>
      <c r="AB57" s="16" t="s">
        <v>84</v>
      </c>
      <c r="AC57" s="14" t="s">
        <v>84</v>
      </c>
      <c r="AD57" s="16" t="s">
        <v>84</v>
      </c>
      <c r="AE57" s="16" t="s">
        <v>84</v>
      </c>
      <c r="AF57" s="16" t="s">
        <v>84</v>
      </c>
      <c r="AG57" s="14" t="s">
        <v>84</v>
      </c>
      <c r="AH57" s="16" t="s">
        <v>84</v>
      </c>
      <c r="AI57" s="16" t="s">
        <v>84</v>
      </c>
      <c r="AJ57" s="16" t="s">
        <v>84</v>
      </c>
      <c r="AK57" s="14" t="s">
        <v>84</v>
      </c>
      <c r="AL57" s="16" t="s">
        <v>84</v>
      </c>
      <c r="AM57" s="16" t="s">
        <v>84</v>
      </c>
      <c r="AN57" s="14" t="s">
        <v>84</v>
      </c>
      <c r="AO57" s="14" t="s">
        <v>84</v>
      </c>
    </row>
    <row r="58" spans="1:41" ht="75" x14ac:dyDescent="0.25">
      <c r="A58" s="14" t="s">
        <v>133</v>
      </c>
      <c r="B58" s="14" t="s">
        <v>129</v>
      </c>
      <c r="C58" s="15">
        <v>44721.454861111109</v>
      </c>
      <c r="D58" s="14" t="s">
        <v>73</v>
      </c>
      <c r="E58" s="16" t="s">
        <v>74</v>
      </c>
      <c r="F58" s="14" t="s">
        <v>75</v>
      </c>
      <c r="G58" s="16" t="s">
        <v>76</v>
      </c>
      <c r="H58" s="14" t="s">
        <v>172</v>
      </c>
      <c r="I58" s="16" t="s">
        <v>173</v>
      </c>
      <c r="J58" s="16" t="s">
        <v>174</v>
      </c>
      <c r="K58" s="16" t="s">
        <v>175</v>
      </c>
      <c r="L58" s="14" t="s">
        <v>197</v>
      </c>
      <c r="M58" s="16" t="s">
        <v>198</v>
      </c>
      <c r="N58" s="14" t="s">
        <v>136</v>
      </c>
      <c r="O58" s="16" t="s">
        <v>199</v>
      </c>
      <c r="P58" s="16" t="s">
        <v>200</v>
      </c>
      <c r="Q58" s="16" t="s">
        <v>144</v>
      </c>
      <c r="R58" s="14" t="s">
        <v>145</v>
      </c>
      <c r="S58" s="14" t="s">
        <v>88</v>
      </c>
      <c r="T58" s="14" t="s">
        <v>89</v>
      </c>
      <c r="U58" s="15" t="s">
        <v>338</v>
      </c>
      <c r="V58" s="15"/>
      <c r="W58" s="16"/>
      <c r="X58" s="16" t="s">
        <v>84</v>
      </c>
      <c r="Y58" s="14" t="s">
        <v>84</v>
      </c>
      <c r="Z58" s="16" t="s">
        <v>84</v>
      </c>
      <c r="AA58" s="16" t="s">
        <v>84</v>
      </c>
      <c r="AB58" s="16" t="s">
        <v>84</v>
      </c>
      <c r="AC58" s="14" t="s">
        <v>84</v>
      </c>
      <c r="AD58" s="16" t="s">
        <v>84</v>
      </c>
      <c r="AE58" s="16" t="s">
        <v>84</v>
      </c>
      <c r="AF58" s="16" t="s">
        <v>84</v>
      </c>
      <c r="AG58" s="14" t="s">
        <v>84</v>
      </c>
      <c r="AH58" s="16" t="s">
        <v>84</v>
      </c>
      <c r="AI58" s="16" t="s">
        <v>84</v>
      </c>
      <c r="AJ58" s="16" t="s">
        <v>84</v>
      </c>
      <c r="AK58" s="14" t="s">
        <v>84</v>
      </c>
      <c r="AL58" s="16" t="s">
        <v>84</v>
      </c>
      <c r="AM58" s="16" t="s">
        <v>84</v>
      </c>
      <c r="AN58" s="14" t="s">
        <v>84</v>
      </c>
      <c r="AO58" s="14" t="s">
        <v>84</v>
      </c>
    </row>
    <row r="59" spans="1:41" ht="75" x14ac:dyDescent="0.25">
      <c r="A59" s="14" t="s">
        <v>133</v>
      </c>
      <c r="B59" s="14" t="s">
        <v>129</v>
      </c>
      <c r="C59" s="15">
        <v>43999.674305555556</v>
      </c>
      <c r="D59" s="14" t="s">
        <v>73</v>
      </c>
      <c r="E59" s="16" t="s">
        <v>74</v>
      </c>
      <c r="F59" s="14" t="s">
        <v>75</v>
      </c>
      <c r="G59" s="16" t="s">
        <v>76</v>
      </c>
      <c r="H59" s="14" t="s">
        <v>172</v>
      </c>
      <c r="I59" s="16" t="s">
        <v>173</v>
      </c>
      <c r="J59" s="16" t="s">
        <v>174</v>
      </c>
      <c r="K59" s="16" t="s">
        <v>175</v>
      </c>
      <c r="L59" s="14" t="s">
        <v>176</v>
      </c>
      <c r="M59" s="16" t="s">
        <v>177</v>
      </c>
      <c r="N59" s="14" t="s">
        <v>178</v>
      </c>
      <c r="O59" s="16" t="s">
        <v>179</v>
      </c>
      <c r="P59" s="16" t="s">
        <v>180</v>
      </c>
      <c r="Q59" s="16" t="s">
        <v>148</v>
      </c>
      <c r="R59" s="14" t="s">
        <v>149</v>
      </c>
      <c r="S59" s="14" t="s">
        <v>88</v>
      </c>
      <c r="T59" s="14" t="s">
        <v>140</v>
      </c>
      <c r="U59" s="15" t="s">
        <v>338</v>
      </c>
      <c r="V59" s="15"/>
      <c r="W59" s="16"/>
      <c r="X59" s="16" t="s">
        <v>84</v>
      </c>
      <c r="Y59" s="14" t="s">
        <v>84</v>
      </c>
      <c r="Z59" s="16" t="s">
        <v>84</v>
      </c>
      <c r="AA59" s="16" t="s">
        <v>84</v>
      </c>
      <c r="AB59" s="16" t="s">
        <v>84</v>
      </c>
      <c r="AC59" s="14" t="s">
        <v>84</v>
      </c>
      <c r="AD59" s="16" t="s">
        <v>84</v>
      </c>
      <c r="AE59" s="16" t="s">
        <v>84</v>
      </c>
      <c r="AF59" s="16" t="s">
        <v>84</v>
      </c>
      <c r="AG59" s="14" t="s">
        <v>84</v>
      </c>
      <c r="AH59" s="16" t="s">
        <v>84</v>
      </c>
      <c r="AI59" s="16" t="s">
        <v>84</v>
      </c>
      <c r="AJ59" s="16" t="s">
        <v>84</v>
      </c>
      <c r="AK59" s="14" t="s">
        <v>84</v>
      </c>
      <c r="AL59" s="16" t="s">
        <v>84</v>
      </c>
      <c r="AM59" s="16" t="s">
        <v>84</v>
      </c>
      <c r="AN59" s="14" t="s">
        <v>84</v>
      </c>
      <c r="AO59" s="14" t="s">
        <v>84</v>
      </c>
    </row>
    <row r="60" spans="1:41" ht="75" x14ac:dyDescent="0.25">
      <c r="A60" s="14" t="s">
        <v>133</v>
      </c>
      <c r="B60" s="14" t="s">
        <v>129</v>
      </c>
      <c r="C60" s="15">
        <v>43999.67083333333</v>
      </c>
      <c r="D60" s="14" t="s">
        <v>73</v>
      </c>
      <c r="E60" s="16" t="s">
        <v>74</v>
      </c>
      <c r="F60" s="14" t="s">
        <v>75</v>
      </c>
      <c r="G60" s="16" t="s">
        <v>76</v>
      </c>
      <c r="H60" s="14" t="s">
        <v>172</v>
      </c>
      <c r="I60" s="16" t="s">
        <v>173</v>
      </c>
      <c r="J60" s="16" t="s">
        <v>174</v>
      </c>
      <c r="K60" s="16" t="s">
        <v>175</v>
      </c>
      <c r="L60" s="14" t="s">
        <v>190</v>
      </c>
      <c r="M60" s="16" t="s">
        <v>191</v>
      </c>
      <c r="N60" s="14" t="s">
        <v>178</v>
      </c>
      <c r="O60" s="16" t="s">
        <v>192</v>
      </c>
      <c r="P60" s="16" t="s">
        <v>193</v>
      </c>
      <c r="Q60" s="16" t="s">
        <v>148</v>
      </c>
      <c r="R60" s="14" t="s">
        <v>149</v>
      </c>
      <c r="S60" s="14" t="s">
        <v>88</v>
      </c>
      <c r="T60" s="14" t="s">
        <v>140</v>
      </c>
      <c r="U60" s="15" t="s">
        <v>338</v>
      </c>
      <c r="V60" s="15"/>
      <c r="W60" s="16"/>
      <c r="X60" s="16" t="s">
        <v>84</v>
      </c>
      <c r="Y60" s="14" t="s">
        <v>84</v>
      </c>
      <c r="Z60" s="16" t="s">
        <v>84</v>
      </c>
      <c r="AA60" s="16" t="s">
        <v>84</v>
      </c>
      <c r="AB60" s="16" t="s">
        <v>84</v>
      </c>
      <c r="AC60" s="14" t="s">
        <v>84</v>
      </c>
      <c r="AD60" s="16" t="s">
        <v>84</v>
      </c>
      <c r="AE60" s="16" t="s">
        <v>84</v>
      </c>
      <c r="AF60" s="16" t="s">
        <v>84</v>
      </c>
      <c r="AG60" s="14" t="s">
        <v>84</v>
      </c>
      <c r="AH60" s="16" t="s">
        <v>84</v>
      </c>
      <c r="AI60" s="16" t="s">
        <v>84</v>
      </c>
      <c r="AJ60" s="16" t="s">
        <v>84</v>
      </c>
      <c r="AK60" s="14" t="s">
        <v>84</v>
      </c>
      <c r="AL60" s="16" t="s">
        <v>84</v>
      </c>
      <c r="AM60" s="16" t="s">
        <v>84</v>
      </c>
      <c r="AN60" s="14" t="s">
        <v>84</v>
      </c>
      <c r="AO60" s="14" t="s">
        <v>84</v>
      </c>
    </row>
    <row r="61" spans="1:41" ht="75" x14ac:dyDescent="0.25">
      <c r="A61" s="14" t="s">
        <v>133</v>
      </c>
      <c r="B61" s="14" t="s">
        <v>129</v>
      </c>
      <c r="C61" s="15">
        <v>43999.673611111109</v>
      </c>
      <c r="D61" s="14" t="s">
        <v>73</v>
      </c>
      <c r="E61" s="16" t="s">
        <v>74</v>
      </c>
      <c r="F61" s="14" t="s">
        <v>75</v>
      </c>
      <c r="G61" s="16" t="s">
        <v>76</v>
      </c>
      <c r="H61" s="14" t="s">
        <v>172</v>
      </c>
      <c r="I61" s="16" t="s">
        <v>173</v>
      </c>
      <c r="J61" s="16" t="s">
        <v>174</v>
      </c>
      <c r="K61" s="16" t="s">
        <v>175</v>
      </c>
      <c r="L61" s="14" t="s">
        <v>197</v>
      </c>
      <c r="M61" s="16" t="s">
        <v>198</v>
      </c>
      <c r="N61" s="14" t="s">
        <v>136</v>
      </c>
      <c r="O61" s="16" t="s">
        <v>199</v>
      </c>
      <c r="P61" s="16" t="s">
        <v>200</v>
      </c>
      <c r="Q61" s="16" t="s">
        <v>148</v>
      </c>
      <c r="R61" s="14" t="s">
        <v>149</v>
      </c>
      <c r="S61" s="14" t="s">
        <v>88</v>
      </c>
      <c r="T61" s="14" t="s">
        <v>140</v>
      </c>
      <c r="U61" s="15" t="s">
        <v>338</v>
      </c>
      <c r="V61" s="15"/>
      <c r="W61" s="16"/>
      <c r="X61" s="16" t="s">
        <v>84</v>
      </c>
      <c r="Y61" s="14" t="s">
        <v>84</v>
      </c>
      <c r="Z61" s="16" t="s">
        <v>84</v>
      </c>
      <c r="AA61" s="16" t="s">
        <v>84</v>
      </c>
      <c r="AB61" s="16" t="s">
        <v>84</v>
      </c>
      <c r="AC61" s="14" t="s">
        <v>84</v>
      </c>
      <c r="AD61" s="16" t="s">
        <v>84</v>
      </c>
      <c r="AE61" s="16" t="s">
        <v>84</v>
      </c>
      <c r="AF61" s="16" t="s">
        <v>84</v>
      </c>
      <c r="AG61" s="14" t="s">
        <v>84</v>
      </c>
      <c r="AH61" s="16" t="s">
        <v>84</v>
      </c>
      <c r="AI61" s="16" t="s">
        <v>84</v>
      </c>
      <c r="AJ61" s="16" t="s">
        <v>84</v>
      </c>
      <c r="AK61" s="14" t="s">
        <v>84</v>
      </c>
      <c r="AL61" s="16" t="s">
        <v>84</v>
      </c>
      <c r="AM61" s="16" t="s">
        <v>84</v>
      </c>
      <c r="AN61" s="14" t="s">
        <v>84</v>
      </c>
      <c r="AO61" s="14" t="s">
        <v>84</v>
      </c>
    </row>
    <row r="62" spans="1:41" ht="75" x14ac:dyDescent="0.25">
      <c r="A62" s="14" t="s">
        <v>133</v>
      </c>
      <c r="B62" s="14" t="s">
        <v>129</v>
      </c>
      <c r="C62" s="15">
        <v>43999.676388888889</v>
      </c>
      <c r="D62" s="14" t="s">
        <v>73</v>
      </c>
      <c r="E62" s="16" t="s">
        <v>74</v>
      </c>
      <c r="F62" s="14" t="s">
        <v>75</v>
      </c>
      <c r="G62" s="16" t="s">
        <v>76</v>
      </c>
      <c r="H62" s="14" t="s">
        <v>172</v>
      </c>
      <c r="I62" s="16" t="s">
        <v>173</v>
      </c>
      <c r="J62" s="16" t="s">
        <v>174</v>
      </c>
      <c r="K62" s="16" t="s">
        <v>175</v>
      </c>
      <c r="L62" s="14" t="s">
        <v>176</v>
      </c>
      <c r="M62" s="16" t="s">
        <v>177</v>
      </c>
      <c r="N62" s="14" t="s">
        <v>178</v>
      </c>
      <c r="O62" s="16" t="s">
        <v>179</v>
      </c>
      <c r="P62" s="16" t="s">
        <v>180</v>
      </c>
      <c r="Q62" s="16" t="s">
        <v>151</v>
      </c>
      <c r="R62" s="14" t="s">
        <v>152</v>
      </c>
      <c r="S62" s="14" t="s">
        <v>153</v>
      </c>
      <c r="T62" s="14" t="s">
        <v>140</v>
      </c>
      <c r="U62" s="15" t="s">
        <v>338</v>
      </c>
      <c r="V62" s="15"/>
      <c r="W62" s="16"/>
      <c r="X62" s="16" t="s">
        <v>84</v>
      </c>
      <c r="Y62" s="14" t="s">
        <v>84</v>
      </c>
      <c r="Z62" s="16" t="s">
        <v>84</v>
      </c>
      <c r="AA62" s="16" t="s">
        <v>84</v>
      </c>
      <c r="AB62" s="16" t="s">
        <v>84</v>
      </c>
      <c r="AC62" s="14" t="s">
        <v>84</v>
      </c>
      <c r="AD62" s="16" t="s">
        <v>84</v>
      </c>
      <c r="AE62" s="16" t="s">
        <v>84</v>
      </c>
      <c r="AF62" s="16" t="s">
        <v>84</v>
      </c>
      <c r="AG62" s="14" t="s">
        <v>84</v>
      </c>
      <c r="AH62" s="16" t="s">
        <v>84</v>
      </c>
      <c r="AI62" s="16" t="s">
        <v>84</v>
      </c>
      <c r="AJ62" s="16" t="s">
        <v>84</v>
      </c>
      <c r="AK62" s="14" t="s">
        <v>84</v>
      </c>
      <c r="AL62" s="16" t="s">
        <v>84</v>
      </c>
      <c r="AM62" s="16" t="s">
        <v>84</v>
      </c>
      <c r="AN62" s="14" t="s">
        <v>84</v>
      </c>
      <c r="AO62" s="14" t="s">
        <v>84</v>
      </c>
    </row>
    <row r="63" spans="1:41" ht="75" x14ac:dyDescent="0.25">
      <c r="A63" s="14" t="s">
        <v>133</v>
      </c>
      <c r="B63" s="14" t="s">
        <v>129</v>
      </c>
      <c r="C63" s="15">
        <v>43999.675000000003</v>
      </c>
      <c r="D63" s="14" t="s">
        <v>73</v>
      </c>
      <c r="E63" s="16" t="s">
        <v>74</v>
      </c>
      <c r="F63" s="14" t="s">
        <v>75</v>
      </c>
      <c r="G63" s="16" t="s">
        <v>76</v>
      </c>
      <c r="H63" s="14" t="s">
        <v>172</v>
      </c>
      <c r="I63" s="16" t="s">
        <v>173</v>
      </c>
      <c r="J63" s="16" t="s">
        <v>174</v>
      </c>
      <c r="K63" s="16" t="s">
        <v>175</v>
      </c>
      <c r="L63" s="14" t="s">
        <v>190</v>
      </c>
      <c r="M63" s="16" t="s">
        <v>191</v>
      </c>
      <c r="N63" s="14" t="s">
        <v>178</v>
      </c>
      <c r="O63" s="16" t="s">
        <v>192</v>
      </c>
      <c r="P63" s="16" t="s">
        <v>193</v>
      </c>
      <c r="Q63" s="16" t="s">
        <v>151</v>
      </c>
      <c r="R63" s="14" t="s">
        <v>152</v>
      </c>
      <c r="S63" s="14" t="s">
        <v>153</v>
      </c>
      <c r="T63" s="14" t="s">
        <v>140</v>
      </c>
      <c r="U63" s="15" t="s">
        <v>338</v>
      </c>
      <c r="V63" s="15"/>
      <c r="W63" s="16"/>
      <c r="X63" s="16" t="s">
        <v>84</v>
      </c>
      <c r="Y63" s="14" t="s">
        <v>84</v>
      </c>
      <c r="Z63" s="16" t="s">
        <v>84</v>
      </c>
      <c r="AA63" s="16" t="s">
        <v>84</v>
      </c>
      <c r="AB63" s="16" t="s">
        <v>84</v>
      </c>
      <c r="AC63" s="14" t="s">
        <v>84</v>
      </c>
      <c r="AD63" s="16" t="s">
        <v>84</v>
      </c>
      <c r="AE63" s="16" t="s">
        <v>84</v>
      </c>
      <c r="AF63" s="16" t="s">
        <v>84</v>
      </c>
      <c r="AG63" s="14" t="s">
        <v>84</v>
      </c>
      <c r="AH63" s="16" t="s">
        <v>84</v>
      </c>
      <c r="AI63" s="16" t="s">
        <v>84</v>
      </c>
      <c r="AJ63" s="16" t="s">
        <v>84</v>
      </c>
      <c r="AK63" s="14" t="s">
        <v>84</v>
      </c>
      <c r="AL63" s="16" t="s">
        <v>84</v>
      </c>
      <c r="AM63" s="16" t="s">
        <v>84</v>
      </c>
      <c r="AN63" s="14" t="s">
        <v>84</v>
      </c>
      <c r="AO63" s="14" t="s">
        <v>84</v>
      </c>
    </row>
    <row r="64" spans="1:41" ht="75" x14ac:dyDescent="0.25">
      <c r="A64" s="14" t="s">
        <v>133</v>
      </c>
      <c r="B64" s="14" t="s">
        <v>129</v>
      </c>
      <c r="C64" s="15">
        <v>43999.675694444442</v>
      </c>
      <c r="D64" s="14" t="s">
        <v>73</v>
      </c>
      <c r="E64" s="16" t="s">
        <v>74</v>
      </c>
      <c r="F64" s="14" t="s">
        <v>75</v>
      </c>
      <c r="G64" s="16" t="s">
        <v>76</v>
      </c>
      <c r="H64" s="14" t="s">
        <v>172</v>
      </c>
      <c r="I64" s="16" t="s">
        <v>173</v>
      </c>
      <c r="J64" s="16" t="s">
        <v>174</v>
      </c>
      <c r="K64" s="16" t="s">
        <v>175</v>
      </c>
      <c r="L64" s="14" t="s">
        <v>197</v>
      </c>
      <c r="M64" s="16" t="s">
        <v>198</v>
      </c>
      <c r="N64" s="14" t="s">
        <v>136</v>
      </c>
      <c r="O64" s="16" t="s">
        <v>199</v>
      </c>
      <c r="P64" s="16" t="s">
        <v>200</v>
      </c>
      <c r="Q64" s="16" t="s">
        <v>151</v>
      </c>
      <c r="R64" s="14" t="s">
        <v>152</v>
      </c>
      <c r="S64" s="14" t="s">
        <v>153</v>
      </c>
      <c r="T64" s="14" t="s">
        <v>140</v>
      </c>
      <c r="U64" s="15" t="s">
        <v>338</v>
      </c>
      <c r="V64" s="15"/>
      <c r="W64" s="16"/>
      <c r="X64" s="16" t="s">
        <v>84</v>
      </c>
      <c r="Y64" s="14" t="s">
        <v>84</v>
      </c>
      <c r="Z64" s="16" t="s">
        <v>84</v>
      </c>
      <c r="AA64" s="16" t="s">
        <v>84</v>
      </c>
      <c r="AB64" s="16" t="s">
        <v>84</v>
      </c>
      <c r="AC64" s="14" t="s">
        <v>84</v>
      </c>
      <c r="AD64" s="16" t="s">
        <v>84</v>
      </c>
      <c r="AE64" s="16" t="s">
        <v>84</v>
      </c>
      <c r="AF64" s="16" t="s">
        <v>84</v>
      </c>
      <c r="AG64" s="14" t="s">
        <v>84</v>
      </c>
      <c r="AH64" s="16" t="s">
        <v>84</v>
      </c>
      <c r="AI64" s="16" t="s">
        <v>84</v>
      </c>
      <c r="AJ64" s="16" t="s">
        <v>84</v>
      </c>
      <c r="AK64" s="14" t="s">
        <v>84</v>
      </c>
      <c r="AL64" s="16" t="s">
        <v>84</v>
      </c>
      <c r="AM64" s="16" t="s">
        <v>84</v>
      </c>
      <c r="AN64" s="14" t="s">
        <v>84</v>
      </c>
      <c r="AO64" s="14" t="s">
        <v>84</v>
      </c>
    </row>
    <row r="65" spans="1:41" ht="75" x14ac:dyDescent="0.25">
      <c r="A65" s="14" t="s">
        <v>133</v>
      </c>
      <c r="B65" s="14" t="s">
        <v>129</v>
      </c>
      <c r="C65" s="15">
        <v>43999.677083333336</v>
      </c>
      <c r="D65" s="14" t="s">
        <v>73</v>
      </c>
      <c r="E65" s="16" t="s">
        <v>74</v>
      </c>
      <c r="F65" s="14" t="s">
        <v>75</v>
      </c>
      <c r="G65" s="16" t="s">
        <v>76</v>
      </c>
      <c r="H65" s="14" t="s">
        <v>172</v>
      </c>
      <c r="I65" s="16" t="s">
        <v>173</v>
      </c>
      <c r="J65" s="16" t="s">
        <v>174</v>
      </c>
      <c r="K65" s="16" t="s">
        <v>175</v>
      </c>
      <c r="L65" s="14" t="s">
        <v>176</v>
      </c>
      <c r="M65" s="16" t="s">
        <v>177</v>
      </c>
      <c r="N65" s="14" t="s">
        <v>178</v>
      </c>
      <c r="O65" s="16" t="s">
        <v>179</v>
      </c>
      <c r="P65" s="16" t="s">
        <v>180</v>
      </c>
      <c r="Q65" s="16" t="s">
        <v>154</v>
      </c>
      <c r="R65" s="14" t="s">
        <v>155</v>
      </c>
      <c r="S65" s="14" t="s">
        <v>153</v>
      </c>
      <c r="T65" s="14" t="s">
        <v>140</v>
      </c>
      <c r="U65" s="15" t="s">
        <v>338</v>
      </c>
      <c r="V65" s="15"/>
      <c r="W65" s="16"/>
      <c r="X65" s="16" t="s">
        <v>84</v>
      </c>
      <c r="Y65" s="14" t="s">
        <v>84</v>
      </c>
      <c r="Z65" s="16" t="s">
        <v>84</v>
      </c>
      <c r="AA65" s="16" t="s">
        <v>84</v>
      </c>
      <c r="AB65" s="16" t="s">
        <v>84</v>
      </c>
      <c r="AC65" s="14" t="s">
        <v>84</v>
      </c>
      <c r="AD65" s="16" t="s">
        <v>84</v>
      </c>
      <c r="AE65" s="16" t="s">
        <v>84</v>
      </c>
      <c r="AF65" s="16" t="s">
        <v>84</v>
      </c>
      <c r="AG65" s="14" t="s">
        <v>84</v>
      </c>
      <c r="AH65" s="16" t="s">
        <v>84</v>
      </c>
      <c r="AI65" s="16" t="s">
        <v>84</v>
      </c>
      <c r="AJ65" s="16" t="s">
        <v>84</v>
      </c>
      <c r="AK65" s="14" t="s">
        <v>84</v>
      </c>
      <c r="AL65" s="16" t="s">
        <v>84</v>
      </c>
      <c r="AM65" s="16" t="s">
        <v>84</v>
      </c>
      <c r="AN65" s="14" t="s">
        <v>84</v>
      </c>
      <c r="AO65" s="14" t="s">
        <v>84</v>
      </c>
    </row>
    <row r="66" spans="1:41" ht="75" x14ac:dyDescent="0.25">
      <c r="A66" s="14" t="s">
        <v>133</v>
      </c>
      <c r="B66" s="14" t="s">
        <v>129</v>
      </c>
      <c r="C66" s="15">
        <v>43999.675694444442</v>
      </c>
      <c r="D66" s="14" t="s">
        <v>73</v>
      </c>
      <c r="E66" s="16" t="s">
        <v>74</v>
      </c>
      <c r="F66" s="14" t="s">
        <v>75</v>
      </c>
      <c r="G66" s="16" t="s">
        <v>76</v>
      </c>
      <c r="H66" s="14" t="s">
        <v>172</v>
      </c>
      <c r="I66" s="16" t="s">
        <v>173</v>
      </c>
      <c r="J66" s="16" t="s">
        <v>174</v>
      </c>
      <c r="K66" s="16" t="s">
        <v>175</v>
      </c>
      <c r="L66" s="14" t="s">
        <v>190</v>
      </c>
      <c r="M66" s="16" t="s">
        <v>191</v>
      </c>
      <c r="N66" s="14" t="s">
        <v>178</v>
      </c>
      <c r="O66" s="16" t="s">
        <v>192</v>
      </c>
      <c r="P66" s="16" t="s">
        <v>193</v>
      </c>
      <c r="Q66" s="16" t="s">
        <v>154</v>
      </c>
      <c r="R66" s="14" t="s">
        <v>155</v>
      </c>
      <c r="S66" s="14" t="s">
        <v>153</v>
      </c>
      <c r="T66" s="14" t="s">
        <v>140</v>
      </c>
      <c r="U66" s="15" t="s">
        <v>338</v>
      </c>
      <c r="V66" s="15"/>
      <c r="W66" s="16"/>
      <c r="X66" s="16" t="s">
        <v>84</v>
      </c>
      <c r="Y66" s="14" t="s">
        <v>84</v>
      </c>
      <c r="Z66" s="16" t="s">
        <v>84</v>
      </c>
      <c r="AA66" s="16" t="s">
        <v>84</v>
      </c>
      <c r="AB66" s="16" t="s">
        <v>84</v>
      </c>
      <c r="AC66" s="14" t="s">
        <v>84</v>
      </c>
      <c r="AD66" s="16" t="s">
        <v>84</v>
      </c>
      <c r="AE66" s="16" t="s">
        <v>84</v>
      </c>
      <c r="AF66" s="16" t="s">
        <v>84</v>
      </c>
      <c r="AG66" s="14" t="s">
        <v>84</v>
      </c>
      <c r="AH66" s="16" t="s">
        <v>84</v>
      </c>
      <c r="AI66" s="16" t="s">
        <v>84</v>
      </c>
      <c r="AJ66" s="16" t="s">
        <v>84</v>
      </c>
      <c r="AK66" s="14" t="s">
        <v>84</v>
      </c>
      <c r="AL66" s="16" t="s">
        <v>84</v>
      </c>
      <c r="AM66" s="16" t="s">
        <v>84</v>
      </c>
      <c r="AN66" s="14" t="s">
        <v>84</v>
      </c>
      <c r="AO66" s="14" t="s">
        <v>84</v>
      </c>
    </row>
    <row r="67" spans="1:41" ht="75" x14ac:dyDescent="0.25">
      <c r="A67" s="14" t="s">
        <v>133</v>
      </c>
      <c r="B67" s="14" t="s">
        <v>129</v>
      </c>
      <c r="C67" s="15">
        <v>43999.676388888889</v>
      </c>
      <c r="D67" s="14" t="s">
        <v>73</v>
      </c>
      <c r="E67" s="16" t="s">
        <v>74</v>
      </c>
      <c r="F67" s="14" t="s">
        <v>75</v>
      </c>
      <c r="G67" s="16" t="s">
        <v>76</v>
      </c>
      <c r="H67" s="14" t="s">
        <v>172</v>
      </c>
      <c r="I67" s="16" t="s">
        <v>173</v>
      </c>
      <c r="J67" s="16" t="s">
        <v>174</v>
      </c>
      <c r="K67" s="16" t="s">
        <v>175</v>
      </c>
      <c r="L67" s="14" t="s">
        <v>197</v>
      </c>
      <c r="M67" s="16" t="s">
        <v>198</v>
      </c>
      <c r="N67" s="14" t="s">
        <v>136</v>
      </c>
      <c r="O67" s="16" t="s">
        <v>199</v>
      </c>
      <c r="P67" s="16" t="s">
        <v>200</v>
      </c>
      <c r="Q67" s="16" t="s">
        <v>154</v>
      </c>
      <c r="R67" s="14" t="s">
        <v>155</v>
      </c>
      <c r="S67" s="14" t="s">
        <v>153</v>
      </c>
      <c r="T67" s="14" t="s">
        <v>140</v>
      </c>
      <c r="U67" s="15" t="s">
        <v>338</v>
      </c>
      <c r="V67" s="15"/>
      <c r="W67" s="16"/>
      <c r="X67" s="16" t="s">
        <v>84</v>
      </c>
      <c r="Y67" s="14" t="s">
        <v>84</v>
      </c>
      <c r="Z67" s="16" t="s">
        <v>84</v>
      </c>
      <c r="AA67" s="16" t="s">
        <v>84</v>
      </c>
      <c r="AB67" s="16" t="s">
        <v>84</v>
      </c>
      <c r="AC67" s="14" t="s">
        <v>84</v>
      </c>
      <c r="AD67" s="16" t="s">
        <v>84</v>
      </c>
      <c r="AE67" s="16" t="s">
        <v>84</v>
      </c>
      <c r="AF67" s="16" t="s">
        <v>84</v>
      </c>
      <c r="AG67" s="14" t="s">
        <v>84</v>
      </c>
      <c r="AH67" s="16" t="s">
        <v>84</v>
      </c>
      <c r="AI67" s="16" t="s">
        <v>84</v>
      </c>
      <c r="AJ67" s="16" t="s">
        <v>84</v>
      </c>
      <c r="AK67" s="14" t="s">
        <v>84</v>
      </c>
      <c r="AL67" s="16" t="s">
        <v>84</v>
      </c>
      <c r="AM67" s="16" t="s">
        <v>84</v>
      </c>
      <c r="AN67" s="14" t="s">
        <v>84</v>
      </c>
      <c r="AO67" s="14" t="s">
        <v>84</v>
      </c>
    </row>
    <row r="68" spans="1:41" ht="75" x14ac:dyDescent="0.25">
      <c r="A68" s="14" t="s">
        <v>133</v>
      </c>
      <c r="B68" s="14" t="s">
        <v>129</v>
      </c>
      <c r="C68" s="15">
        <v>44005.594444444447</v>
      </c>
      <c r="D68" s="14" t="s">
        <v>73</v>
      </c>
      <c r="E68" s="16" t="s">
        <v>74</v>
      </c>
      <c r="F68" s="14" t="s">
        <v>75</v>
      </c>
      <c r="G68" s="16" t="s">
        <v>76</v>
      </c>
      <c r="H68" s="14" t="s">
        <v>205</v>
      </c>
      <c r="I68" s="16" t="s">
        <v>206</v>
      </c>
      <c r="J68" s="16" t="s">
        <v>207</v>
      </c>
      <c r="K68" s="16" t="s">
        <v>208</v>
      </c>
      <c r="L68" s="14" t="s">
        <v>209</v>
      </c>
      <c r="M68" s="16" t="s">
        <v>210</v>
      </c>
      <c r="N68" s="14" t="s">
        <v>178</v>
      </c>
      <c r="O68" s="16" t="s">
        <v>179</v>
      </c>
      <c r="P68" s="16" t="s">
        <v>180</v>
      </c>
      <c r="Q68" s="16" t="s">
        <v>85</v>
      </c>
      <c r="R68" s="14" t="s">
        <v>86</v>
      </c>
      <c r="S68" s="14" t="s">
        <v>88</v>
      </c>
      <c r="T68" s="14" t="s">
        <v>89</v>
      </c>
      <c r="U68" s="15" t="s">
        <v>338</v>
      </c>
      <c r="V68" s="15"/>
      <c r="W68" s="16"/>
      <c r="X68" s="16" t="s">
        <v>84</v>
      </c>
      <c r="Y68" s="14" t="s">
        <v>84</v>
      </c>
      <c r="Z68" s="16" t="s">
        <v>84</v>
      </c>
      <c r="AA68" s="16" t="s">
        <v>84</v>
      </c>
      <c r="AB68" s="16" t="s">
        <v>84</v>
      </c>
      <c r="AC68" s="14" t="s">
        <v>84</v>
      </c>
      <c r="AD68" s="16" t="s">
        <v>84</v>
      </c>
      <c r="AE68" s="16" t="s">
        <v>84</v>
      </c>
      <c r="AF68" s="16" t="s">
        <v>84</v>
      </c>
      <c r="AG68" s="14" t="s">
        <v>84</v>
      </c>
      <c r="AH68" s="16" t="s">
        <v>84</v>
      </c>
      <c r="AI68" s="16" t="s">
        <v>84</v>
      </c>
      <c r="AJ68" s="16" t="s">
        <v>84</v>
      </c>
      <c r="AK68" s="14" t="s">
        <v>84</v>
      </c>
      <c r="AL68" s="16" t="s">
        <v>84</v>
      </c>
      <c r="AM68" s="16" t="s">
        <v>84</v>
      </c>
      <c r="AN68" s="14" t="s">
        <v>84</v>
      </c>
      <c r="AO68" s="14" t="s">
        <v>84</v>
      </c>
    </row>
    <row r="69" spans="1:41" ht="75" x14ac:dyDescent="0.25">
      <c r="A69" s="14" t="s">
        <v>71</v>
      </c>
      <c r="B69" s="14" t="s">
        <v>72</v>
      </c>
      <c r="C69" s="15">
        <v>44711.479861111111</v>
      </c>
      <c r="D69" s="14" t="s">
        <v>73</v>
      </c>
      <c r="E69" s="16" t="s">
        <v>74</v>
      </c>
      <c r="F69" s="14" t="s">
        <v>75</v>
      </c>
      <c r="G69" s="16" t="s">
        <v>76</v>
      </c>
      <c r="H69" s="14" t="s">
        <v>205</v>
      </c>
      <c r="I69" s="16" t="s">
        <v>206</v>
      </c>
      <c r="J69" s="16" t="s">
        <v>207</v>
      </c>
      <c r="K69" s="16" t="s">
        <v>208</v>
      </c>
      <c r="L69" s="14" t="s">
        <v>211</v>
      </c>
      <c r="M69" s="16" t="s">
        <v>212</v>
      </c>
      <c r="N69" s="14" t="s">
        <v>178</v>
      </c>
      <c r="O69" s="16" t="s">
        <v>192</v>
      </c>
      <c r="P69" s="16" t="s">
        <v>193</v>
      </c>
      <c r="Q69" s="16" t="s">
        <v>85</v>
      </c>
      <c r="R69" s="14" t="s">
        <v>86</v>
      </c>
      <c r="S69" s="14" t="s">
        <v>88</v>
      </c>
      <c r="T69" s="14" t="s">
        <v>89</v>
      </c>
      <c r="U69" s="15" t="s">
        <v>338</v>
      </c>
      <c r="V69" s="15"/>
      <c r="W69" s="16"/>
      <c r="X69" s="16" t="s">
        <v>84</v>
      </c>
      <c r="Y69" s="14" t="s">
        <v>84</v>
      </c>
      <c r="Z69" s="16" t="s">
        <v>84</v>
      </c>
      <c r="AA69" s="16" t="s">
        <v>84</v>
      </c>
      <c r="AB69" s="16" t="s">
        <v>84</v>
      </c>
      <c r="AC69" s="14" t="s">
        <v>84</v>
      </c>
      <c r="AD69" s="16" t="s">
        <v>84</v>
      </c>
      <c r="AE69" s="16" t="s">
        <v>84</v>
      </c>
      <c r="AF69" s="16" t="s">
        <v>84</v>
      </c>
      <c r="AG69" s="14" t="s">
        <v>84</v>
      </c>
      <c r="AH69" s="16" t="s">
        <v>84</v>
      </c>
      <c r="AI69" s="16" t="s">
        <v>84</v>
      </c>
      <c r="AJ69" s="16" t="s">
        <v>84</v>
      </c>
      <c r="AK69" s="14" t="s">
        <v>84</v>
      </c>
      <c r="AL69" s="16" t="s">
        <v>84</v>
      </c>
      <c r="AM69" s="16" t="s">
        <v>84</v>
      </c>
      <c r="AN69" s="14" t="s">
        <v>84</v>
      </c>
      <c r="AO69" s="14" t="s">
        <v>84</v>
      </c>
    </row>
    <row r="70" spans="1:41" ht="75" x14ac:dyDescent="0.25">
      <c r="A70" s="14" t="s">
        <v>133</v>
      </c>
      <c r="B70" s="14" t="s">
        <v>129</v>
      </c>
      <c r="C70" s="15">
        <v>44721.455555555556</v>
      </c>
      <c r="D70" s="14" t="s">
        <v>73</v>
      </c>
      <c r="E70" s="16" t="s">
        <v>74</v>
      </c>
      <c r="F70" s="14" t="s">
        <v>75</v>
      </c>
      <c r="G70" s="16" t="s">
        <v>76</v>
      </c>
      <c r="H70" s="14" t="s">
        <v>205</v>
      </c>
      <c r="I70" s="16" t="s">
        <v>206</v>
      </c>
      <c r="J70" s="16" t="s">
        <v>207</v>
      </c>
      <c r="K70" s="16" t="s">
        <v>208</v>
      </c>
      <c r="L70" s="14" t="s">
        <v>213</v>
      </c>
      <c r="M70" s="16" t="s">
        <v>214</v>
      </c>
      <c r="N70" s="14" t="s">
        <v>136</v>
      </c>
      <c r="O70" s="16" t="s">
        <v>199</v>
      </c>
      <c r="P70" s="16" t="s">
        <v>200</v>
      </c>
      <c r="Q70" s="16" t="s">
        <v>85</v>
      </c>
      <c r="R70" s="14" t="s">
        <v>86</v>
      </c>
      <c r="S70" s="14" t="s">
        <v>88</v>
      </c>
      <c r="T70" s="14" t="s">
        <v>89</v>
      </c>
      <c r="U70" s="15" t="s">
        <v>338</v>
      </c>
      <c r="V70" s="15"/>
      <c r="W70" s="16"/>
      <c r="X70" s="16" t="s">
        <v>84</v>
      </c>
      <c r="Y70" s="14" t="s">
        <v>84</v>
      </c>
      <c r="Z70" s="16" t="s">
        <v>84</v>
      </c>
      <c r="AA70" s="16" t="s">
        <v>84</v>
      </c>
      <c r="AB70" s="16" t="s">
        <v>84</v>
      </c>
      <c r="AC70" s="14" t="s">
        <v>84</v>
      </c>
      <c r="AD70" s="16" t="s">
        <v>84</v>
      </c>
      <c r="AE70" s="16" t="s">
        <v>84</v>
      </c>
      <c r="AF70" s="16" t="s">
        <v>84</v>
      </c>
      <c r="AG70" s="14" t="s">
        <v>84</v>
      </c>
      <c r="AH70" s="16" t="s">
        <v>84</v>
      </c>
      <c r="AI70" s="16" t="s">
        <v>84</v>
      </c>
      <c r="AJ70" s="16" t="s">
        <v>84</v>
      </c>
      <c r="AK70" s="14" t="s">
        <v>84</v>
      </c>
      <c r="AL70" s="16" t="s">
        <v>84</v>
      </c>
      <c r="AM70" s="16" t="s">
        <v>84</v>
      </c>
      <c r="AN70" s="14" t="s">
        <v>84</v>
      </c>
      <c r="AO70" s="14" t="s">
        <v>84</v>
      </c>
    </row>
    <row r="71" spans="1:41" ht="75" x14ac:dyDescent="0.25">
      <c r="A71" s="14" t="s">
        <v>133</v>
      </c>
      <c r="B71" s="14" t="s">
        <v>129</v>
      </c>
      <c r="C71" s="15">
        <v>43999.684027777781</v>
      </c>
      <c r="D71" s="14" t="s">
        <v>73</v>
      </c>
      <c r="E71" s="16" t="s">
        <v>74</v>
      </c>
      <c r="F71" s="14" t="s">
        <v>75</v>
      </c>
      <c r="G71" s="16" t="s">
        <v>76</v>
      </c>
      <c r="H71" s="14" t="s">
        <v>205</v>
      </c>
      <c r="I71" s="16" t="s">
        <v>206</v>
      </c>
      <c r="J71" s="16" t="s">
        <v>207</v>
      </c>
      <c r="K71" s="16" t="s">
        <v>208</v>
      </c>
      <c r="L71" s="14" t="s">
        <v>209</v>
      </c>
      <c r="M71" s="16" t="s">
        <v>210</v>
      </c>
      <c r="N71" s="14" t="s">
        <v>178</v>
      </c>
      <c r="O71" s="16" t="s">
        <v>179</v>
      </c>
      <c r="P71" s="16" t="s">
        <v>180</v>
      </c>
      <c r="Q71" s="16" t="s">
        <v>138</v>
      </c>
      <c r="R71" s="14" t="s">
        <v>139</v>
      </c>
      <c r="S71" s="14" t="s">
        <v>88</v>
      </c>
      <c r="T71" s="14" t="s">
        <v>140</v>
      </c>
      <c r="U71" s="15" t="s">
        <v>338</v>
      </c>
      <c r="V71" s="15"/>
      <c r="W71" s="16"/>
      <c r="X71" s="16" t="s">
        <v>84</v>
      </c>
      <c r="Y71" s="14" t="s">
        <v>84</v>
      </c>
      <c r="Z71" s="16" t="s">
        <v>84</v>
      </c>
      <c r="AA71" s="16" t="s">
        <v>84</v>
      </c>
      <c r="AB71" s="16" t="s">
        <v>84</v>
      </c>
      <c r="AC71" s="14" t="s">
        <v>84</v>
      </c>
      <c r="AD71" s="16" t="s">
        <v>84</v>
      </c>
      <c r="AE71" s="16" t="s">
        <v>84</v>
      </c>
      <c r="AF71" s="16" t="s">
        <v>84</v>
      </c>
      <c r="AG71" s="14" t="s">
        <v>84</v>
      </c>
      <c r="AH71" s="16" t="s">
        <v>84</v>
      </c>
      <c r="AI71" s="16" t="s">
        <v>84</v>
      </c>
      <c r="AJ71" s="16" t="s">
        <v>84</v>
      </c>
      <c r="AK71" s="14" t="s">
        <v>84</v>
      </c>
      <c r="AL71" s="16" t="s">
        <v>84</v>
      </c>
      <c r="AM71" s="16" t="s">
        <v>84</v>
      </c>
      <c r="AN71" s="14" t="s">
        <v>84</v>
      </c>
      <c r="AO71" s="14" t="s">
        <v>84</v>
      </c>
    </row>
    <row r="72" spans="1:41" ht="75" x14ac:dyDescent="0.25">
      <c r="A72" s="14" t="s">
        <v>133</v>
      </c>
      <c r="B72" s="14" t="s">
        <v>129</v>
      </c>
      <c r="C72" s="15">
        <v>43999.681944444441</v>
      </c>
      <c r="D72" s="14" t="s">
        <v>73</v>
      </c>
      <c r="E72" s="16" t="s">
        <v>74</v>
      </c>
      <c r="F72" s="14" t="s">
        <v>75</v>
      </c>
      <c r="G72" s="16" t="s">
        <v>76</v>
      </c>
      <c r="H72" s="14" t="s">
        <v>205</v>
      </c>
      <c r="I72" s="16" t="s">
        <v>206</v>
      </c>
      <c r="J72" s="16" t="s">
        <v>207</v>
      </c>
      <c r="K72" s="16" t="s">
        <v>208</v>
      </c>
      <c r="L72" s="14" t="s">
        <v>211</v>
      </c>
      <c r="M72" s="16" t="s">
        <v>212</v>
      </c>
      <c r="N72" s="14" t="s">
        <v>178</v>
      </c>
      <c r="O72" s="16" t="s">
        <v>192</v>
      </c>
      <c r="P72" s="16" t="s">
        <v>193</v>
      </c>
      <c r="Q72" s="16" t="s">
        <v>138</v>
      </c>
      <c r="R72" s="14" t="s">
        <v>139</v>
      </c>
      <c r="S72" s="14" t="s">
        <v>88</v>
      </c>
      <c r="T72" s="14" t="s">
        <v>140</v>
      </c>
      <c r="U72" s="15" t="s">
        <v>338</v>
      </c>
      <c r="V72" s="15"/>
      <c r="W72" s="16"/>
      <c r="X72" s="16" t="s">
        <v>84</v>
      </c>
      <c r="Y72" s="14" t="s">
        <v>84</v>
      </c>
      <c r="Z72" s="16" t="s">
        <v>84</v>
      </c>
      <c r="AA72" s="16" t="s">
        <v>84</v>
      </c>
      <c r="AB72" s="16" t="s">
        <v>84</v>
      </c>
      <c r="AC72" s="14" t="s">
        <v>84</v>
      </c>
      <c r="AD72" s="16" t="s">
        <v>84</v>
      </c>
      <c r="AE72" s="16" t="s">
        <v>84</v>
      </c>
      <c r="AF72" s="16" t="s">
        <v>84</v>
      </c>
      <c r="AG72" s="14" t="s">
        <v>84</v>
      </c>
      <c r="AH72" s="16" t="s">
        <v>84</v>
      </c>
      <c r="AI72" s="16" t="s">
        <v>84</v>
      </c>
      <c r="AJ72" s="16" t="s">
        <v>84</v>
      </c>
      <c r="AK72" s="14" t="s">
        <v>84</v>
      </c>
      <c r="AL72" s="16" t="s">
        <v>84</v>
      </c>
      <c r="AM72" s="16" t="s">
        <v>84</v>
      </c>
      <c r="AN72" s="14" t="s">
        <v>84</v>
      </c>
      <c r="AO72" s="14" t="s">
        <v>84</v>
      </c>
    </row>
    <row r="73" spans="1:41" ht="75" x14ac:dyDescent="0.25">
      <c r="A73" s="14" t="s">
        <v>133</v>
      </c>
      <c r="B73" s="14" t="s">
        <v>129</v>
      </c>
      <c r="C73" s="15">
        <v>43999.683333333334</v>
      </c>
      <c r="D73" s="14" t="s">
        <v>73</v>
      </c>
      <c r="E73" s="16" t="s">
        <v>74</v>
      </c>
      <c r="F73" s="14" t="s">
        <v>75</v>
      </c>
      <c r="G73" s="16" t="s">
        <v>76</v>
      </c>
      <c r="H73" s="14" t="s">
        <v>205</v>
      </c>
      <c r="I73" s="16" t="s">
        <v>206</v>
      </c>
      <c r="J73" s="16" t="s">
        <v>207</v>
      </c>
      <c r="K73" s="16" t="s">
        <v>208</v>
      </c>
      <c r="L73" s="14" t="s">
        <v>213</v>
      </c>
      <c r="M73" s="16" t="s">
        <v>214</v>
      </c>
      <c r="N73" s="14" t="s">
        <v>136</v>
      </c>
      <c r="O73" s="16" t="s">
        <v>199</v>
      </c>
      <c r="P73" s="16" t="s">
        <v>200</v>
      </c>
      <c r="Q73" s="16" t="s">
        <v>138</v>
      </c>
      <c r="R73" s="14" t="s">
        <v>139</v>
      </c>
      <c r="S73" s="14" t="s">
        <v>88</v>
      </c>
      <c r="T73" s="14" t="s">
        <v>140</v>
      </c>
      <c r="U73" s="15" t="s">
        <v>338</v>
      </c>
      <c r="V73" s="15"/>
      <c r="W73" s="16"/>
      <c r="X73" s="16" t="s">
        <v>84</v>
      </c>
      <c r="Y73" s="14" t="s">
        <v>84</v>
      </c>
      <c r="Z73" s="16" t="s">
        <v>84</v>
      </c>
      <c r="AA73" s="16" t="s">
        <v>84</v>
      </c>
      <c r="AB73" s="16" t="s">
        <v>84</v>
      </c>
      <c r="AC73" s="14" t="s">
        <v>84</v>
      </c>
      <c r="AD73" s="16" t="s">
        <v>84</v>
      </c>
      <c r="AE73" s="16" t="s">
        <v>84</v>
      </c>
      <c r="AF73" s="16" t="s">
        <v>84</v>
      </c>
      <c r="AG73" s="14" t="s">
        <v>84</v>
      </c>
      <c r="AH73" s="16" t="s">
        <v>84</v>
      </c>
      <c r="AI73" s="16" t="s">
        <v>84</v>
      </c>
      <c r="AJ73" s="16" t="s">
        <v>84</v>
      </c>
      <c r="AK73" s="14" t="s">
        <v>84</v>
      </c>
      <c r="AL73" s="16" t="s">
        <v>84</v>
      </c>
      <c r="AM73" s="16" t="s">
        <v>84</v>
      </c>
      <c r="AN73" s="14" t="s">
        <v>84</v>
      </c>
      <c r="AO73" s="14" t="s">
        <v>84</v>
      </c>
    </row>
    <row r="74" spans="1:41" ht="75" x14ac:dyDescent="0.25">
      <c r="A74" s="14" t="s">
        <v>133</v>
      </c>
      <c r="B74" s="14" t="s">
        <v>129</v>
      </c>
      <c r="C74" s="15">
        <v>43999.684027777781</v>
      </c>
      <c r="D74" s="14" t="s">
        <v>73</v>
      </c>
      <c r="E74" s="16" t="s">
        <v>74</v>
      </c>
      <c r="F74" s="14" t="s">
        <v>75</v>
      </c>
      <c r="G74" s="16" t="s">
        <v>76</v>
      </c>
      <c r="H74" s="14" t="s">
        <v>205</v>
      </c>
      <c r="I74" s="16" t="s">
        <v>206</v>
      </c>
      <c r="J74" s="16" t="s">
        <v>207</v>
      </c>
      <c r="K74" s="16" t="s">
        <v>208</v>
      </c>
      <c r="L74" s="14" t="s">
        <v>209</v>
      </c>
      <c r="M74" s="16" t="s">
        <v>210</v>
      </c>
      <c r="N74" s="14" t="s">
        <v>178</v>
      </c>
      <c r="O74" s="16" t="s">
        <v>179</v>
      </c>
      <c r="P74" s="16" t="s">
        <v>180</v>
      </c>
      <c r="Q74" s="16" t="s">
        <v>141</v>
      </c>
      <c r="R74" s="14" t="s">
        <v>142</v>
      </c>
      <c r="S74" s="14" t="s">
        <v>88</v>
      </c>
      <c r="T74" s="14" t="s">
        <v>140</v>
      </c>
      <c r="U74" s="15" t="s">
        <v>338</v>
      </c>
      <c r="V74" s="15"/>
      <c r="W74" s="16"/>
      <c r="X74" s="16" t="s">
        <v>84</v>
      </c>
      <c r="Y74" s="14" t="s">
        <v>84</v>
      </c>
      <c r="Z74" s="16" t="s">
        <v>84</v>
      </c>
      <c r="AA74" s="16" t="s">
        <v>84</v>
      </c>
      <c r="AB74" s="16" t="s">
        <v>84</v>
      </c>
      <c r="AC74" s="14" t="s">
        <v>84</v>
      </c>
      <c r="AD74" s="16" t="s">
        <v>84</v>
      </c>
      <c r="AE74" s="16" t="s">
        <v>84</v>
      </c>
      <c r="AF74" s="16" t="s">
        <v>84</v>
      </c>
      <c r="AG74" s="14" t="s">
        <v>84</v>
      </c>
      <c r="AH74" s="16" t="s">
        <v>84</v>
      </c>
      <c r="AI74" s="16" t="s">
        <v>84</v>
      </c>
      <c r="AJ74" s="16" t="s">
        <v>84</v>
      </c>
      <c r="AK74" s="14" t="s">
        <v>84</v>
      </c>
      <c r="AL74" s="16" t="s">
        <v>84</v>
      </c>
      <c r="AM74" s="16" t="s">
        <v>84</v>
      </c>
      <c r="AN74" s="14" t="s">
        <v>84</v>
      </c>
      <c r="AO74" s="14" t="s">
        <v>84</v>
      </c>
    </row>
    <row r="75" spans="1:41" ht="75" x14ac:dyDescent="0.25">
      <c r="A75" s="14" t="s">
        <v>133</v>
      </c>
      <c r="B75" s="14" t="s">
        <v>129</v>
      </c>
      <c r="C75" s="15">
        <v>43999.682638888888</v>
      </c>
      <c r="D75" s="14" t="s">
        <v>73</v>
      </c>
      <c r="E75" s="16" t="s">
        <v>74</v>
      </c>
      <c r="F75" s="14" t="s">
        <v>75</v>
      </c>
      <c r="G75" s="16" t="s">
        <v>76</v>
      </c>
      <c r="H75" s="14" t="s">
        <v>205</v>
      </c>
      <c r="I75" s="16" t="s">
        <v>206</v>
      </c>
      <c r="J75" s="16" t="s">
        <v>207</v>
      </c>
      <c r="K75" s="16" t="s">
        <v>208</v>
      </c>
      <c r="L75" s="14" t="s">
        <v>211</v>
      </c>
      <c r="M75" s="16" t="s">
        <v>212</v>
      </c>
      <c r="N75" s="14" t="s">
        <v>178</v>
      </c>
      <c r="O75" s="16" t="s">
        <v>192</v>
      </c>
      <c r="P75" s="16" t="s">
        <v>193</v>
      </c>
      <c r="Q75" s="16" t="s">
        <v>141</v>
      </c>
      <c r="R75" s="14" t="s">
        <v>142</v>
      </c>
      <c r="S75" s="14" t="s">
        <v>88</v>
      </c>
      <c r="T75" s="14" t="s">
        <v>140</v>
      </c>
      <c r="U75" s="15" t="s">
        <v>338</v>
      </c>
      <c r="V75" s="15"/>
      <c r="W75" s="16"/>
      <c r="X75" s="16" t="s">
        <v>84</v>
      </c>
      <c r="Y75" s="14" t="s">
        <v>84</v>
      </c>
      <c r="Z75" s="16" t="s">
        <v>84</v>
      </c>
      <c r="AA75" s="16" t="s">
        <v>84</v>
      </c>
      <c r="AB75" s="16" t="s">
        <v>84</v>
      </c>
      <c r="AC75" s="14" t="s">
        <v>84</v>
      </c>
      <c r="AD75" s="16" t="s">
        <v>84</v>
      </c>
      <c r="AE75" s="16" t="s">
        <v>84</v>
      </c>
      <c r="AF75" s="16" t="s">
        <v>84</v>
      </c>
      <c r="AG75" s="14" t="s">
        <v>84</v>
      </c>
      <c r="AH75" s="16" t="s">
        <v>84</v>
      </c>
      <c r="AI75" s="16" t="s">
        <v>84</v>
      </c>
      <c r="AJ75" s="16" t="s">
        <v>84</v>
      </c>
      <c r="AK75" s="14" t="s">
        <v>84</v>
      </c>
      <c r="AL75" s="16" t="s">
        <v>84</v>
      </c>
      <c r="AM75" s="16" t="s">
        <v>84</v>
      </c>
      <c r="AN75" s="14" t="s">
        <v>84</v>
      </c>
      <c r="AO75" s="14" t="s">
        <v>84</v>
      </c>
    </row>
    <row r="76" spans="1:41" ht="75" x14ac:dyDescent="0.25">
      <c r="A76" s="14" t="s">
        <v>133</v>
      </c>
      <c r="B76" s="14" t="s">
        <v>129</v>
      </c>
      <c r="C76" s="15">
        <v>43999.683333333334</v>
      </c>
      <c r="D76" s="14" t="s">
        <v>73</v>
      </c>
      <c r="E76" s="16" t="s">
        <v>74</v>
      </c>
      <c r="F76" s="14" t="s">
        <v>75</v>
      </c>
      <c r="G76" s="16" t="s">
        <v>76</v>
      </c>
      <c r="H76" s="14" t="s">
        <v>205</v>
      </c>
      <c r="I76" s="16" t="s">
        <v>206</v>
      </c>
      <c r="J76" s="16" t="s">
        <v>207</v>
      </c>
      <c r="K76" s="16" t="s">
        <v>208</v>
      </c>
      <c r="L76" s="14" t="s">
        <v>213</v>
      </c>
      <c r="M76" s="16" t="s">
        <v>214</v>
      </c>
      <c r="N76" s="14" t="s">
        <v>136</v>
      </c>
      <c r="O76" s="16" t="s">
        <v>199</v>
      </c>
      <c r="P76" s="16" t="s">
        <v>200</v>
      </c>
      <c r="Q76" s="16" t="s">
        <v>141</v>
      </c>
      <c r="R76" s="14" t="s">
        <v>142</v>
      </c>
      <c r="S76" s="14" t="s">
        <v>88</v>
      </c>
      <c r="T76" s="14" t="s">
        <v>140</v>
      </c>
      <c r="U76" s="15" t="s">
        <v>338</v>
      </c>
      <c r="V76" s="15"/>
      <c r="W76" s="16"/>
      <c r="X76" s="16" t="s">
        <v>84</v>
      </c>
      <c r="Y76" s="14" t="s">
        <v>84</v>
      </c>
      <c r="Z76" s="16" t="s">
        <v>84</v>
      </c>
      <c r="AA76" s="16" t="s">
        <v>84</v>
      </c>
      <c r="AB76" s="16" t="s">
        <v>84</v>
      </c>
      <c r="AC76" s="14" t="s">
        <v>84</v>
      </c>
      <c r="AD76" s="16" t="s">
        <v>84</v>
      </c>
      <c r="AE76" s="16" t="s">
        <v>84</v>
      </c>
      <c r="AF76" s="16" t="s">
        <v>84</v>
      </c>
      <c r="AG76" s="14" t="s">
        <v>84</v>
      </c>
      <c r="AH76" s="16" t="s">
        <v>84</v>
      </c>
      <c r="AI76" s="16" t="s">
        <v>84</v>
      </c>
      <c r="AJ76" s="16" t="s">
        <v>84</v>
      </c>
      <c r="AK76" s="14" t="s">
        <v>84</v>
      </c>
      <c r="AL76" s="16" t="s">
        <v>84</v>
      </c>
      <c r="AM76" s="16" t="s">
        <v>84</v>
      </c>
      <c r="AN76" s="14" t="s">
        <v>84</v>
      </c>
      <c r="AO76" s="14" t="s">
        <v>84</v>
      </c>
    </row>
    <row r="77" spans="1:41" ht="75" x14ac:dyDescent="0.25">
      <c r="A77" s="14" t="s">
        <v>133</v>
      </c>
      <c r="B77" s="14" t="s">
        <v>129</v>
      </c>
      <c r="C77" s="15">
        <v>44005.594444444447</v>
      </c>
      <c r="D77" s="14" t="s">
        <v>73</v>
      </c>
      <c r="E77" s="16" t="s">
        <v>74</v>
      </c>
      <c r="F77" s="14" t="s">
        <v>75</v>
      </c>
      <c r="G77" s="16" t="s">
        <v>76</v>
      </c>
      <c r="H77" s="14" t="s">
        <v>205</v>
      </c>
      <c r="I77" s="16" t="s">
        <v>206</v>
      </c>
      <c r="J77" s="16" t="s">
        <v>207</v>
      </c>
      <c r="K77" s="16" t="s">
        <v>208</v>
      </c>
      <c r="L77" s="14" t="s">
        <v>209</v>
      </c>
      <c r="M77" s="16" t="s">
        <v>210</v>
      </c>
      <c r="N77" s="14" t="s">
        <v>178</v>
      </c>
      <c r="O77" s="16" t="s">
        <v>179</v>
      </c>
      <c r="P77" s="16" t="s">
        <v>180</v>
      </c>
      <c r="Q77" s="16" t="s">
        <v>144</v>
      </c>
      <c r="R77" s="14" t="s">
        <v>145</v>
      </c>
      <c r="S77" s="14" t="s">
        <v>88</v>
      </c>
      <c r="T77" s="14" t="s">
        <v>89</v>
      </c>
      <c r="U77" s="15" t="s">
        <v>338</v>
      </c>
      <c r="V77" s="15"/>
      <c r="W77" s="16"/>
      <c r="X77" s="16" t="s">
        <v>84</v>
      </c>
      <c r="Y77" s="14" t="s">
        <v>84</v>
      </c>
      <c r="Z77" s="16" t="s">
        <v>84</v>
      </c>
      <c r="AA77" s="16" t="s">
        <v>84</v>
      </c>
      <c r="AB77" s="16" t="s">
        <v>84</v>
      </c>
      <c r="AC77" s="14" t="s">
        <v>84</v>
      </c>
      <c r="AD77" s="16" t="s">
        <v>84</v>
      </c>
      <c r="AE77" s="16" t="s">
        <v>84</v>
      </c>
      <c r="AF77" s="16" t="s">
        <v>84</v>
      </c>
      <c r="AG77" s="14" t="s">
        <v>84</v>
      </c>
      <c r="AH77" s="16" t="s">
        <v>84</v>
      </c>
      <c r="AI77" s="16" t="s">
        <v>84</v>
      </c>
      <c r="AJ77" s="16" t="s">
        <v>84</v>
      </c>
      <c r="AK77" s="14" t="s">
        <v>84</v>
      </c>
      <c r="AL77" s="16" t="s">
        <v>84</v>
      </c>
      <c r="AM77" s="16" t="s">
        <v>84</v>
      </c>
      <c r="AN77" s="14" t="s">
        <v>84</v>
      </c>
      <c r="AO77" s="14" t="s">
        <v>84</v>
      </c>
    </row>
    <row r="78" spans="1:41" ht="75" x14ac:dyDescent="0.25">
      <c r="A78" s="14" t="s">
        <v>71</v>
      </c>
      <c r="B78" s="14" t="s">
        <v>72</v>
      </c>
      <c r="C78" s="15">
        <v>44711.480555555558</v>
      </c>
      <c r="D78" s="14" t="s">
        <v>73</v>
      </c>
      <c r="E78" s="16" t="s">
        <v>74</v>
      </c>
      <c r="F78" s="14" t="s">
        <v>75</v>
      </c>
      <c r="G78" s="16" t="s">
        <v>76</v>
      </c>
      <c r="H78" s="14" t="s">
        <v>205</v>
      </c>
      <c r="I78" s="16" t="s">
        <v>206</v>
      </c>
      <c r="J78" s="16" t="s">
        <v>207</v>
      </c>
      <c r="K78" s="16" t="s">
        <v>208</v>
      </c>
      <c r="L78" s="14" t="s">
        <v>211</v>
      </c>
      <c r="M78" s="16" t="s">
        <v>212</v>
      </c>
      <c r="N78" s="14" t="s">
        <v>178</v>
      </c>
      <c r="O78" s="16" t="s">
        <v>192</v>
      </c>
      <c r="P78" s="16" t="s">
        <v>193</v>
      </c>
      <c r="Q78" s="16" t="s">
        <v>144</v>
      </c>
      <c r="R78" s="14" t="s">
        <v>145</v>
      </c>
      <c r="S78" s="14" t="s">
        <v>88</v>
      </c>
      <c r="T78" s="14" t="s">
        <v>89</v>
      </c>
      <c r="U78" s="15" t="s">
        <v>338</v>
      </c>
      <c r="V78" s="15"/>
      <c r="W78" s="16"/>
      <c r="X78" s="16" t="s">
        <v>84</v>
      </c>
      <c r="Y78" s="14" t="s">
        <v>84</v>
      </c>
      <c r="Z78" s="16" t="s">
        <v>84</v>
      </c>
      <c r="AA78" s="16" t="s">
        <v>84</v>
      </c>
      <c r="AB78" s="16" t="s">
        <v>84</v>
      </c>
      <c r="AC78" s="14" t="s">
        <v>84</v>
      </c>
      <c r="AD78" s="16" t="s">
        <v>84</v>
      </c>
      <c r="AE78" s="16" t="s">
        <v>84</v>
      </c>
      <c r="AF78" s="16" t="s">
        <v>84</v>
      </c>
      <c r="AG78" s="14" t="s">
        <v>84</v>
      </c>
      <c r="AH78" s="16" t="s">
        <v>84</v>
      </c>
      <c r="AI78" s="16" t="s">
        <v>84</v>
      </c>
      <c r="AJ78" s="16" t="s">
        <v>84</v>
      </c>
      <c r="AK78" s="14" t="s">
        <v>84</v>
      </c>
      <c r="AL78" s="16" t="s">
        <v>84</v>
      </c>
      <c r="AM78" s="16" t="s">
        <v>84</v>
      </c>
      <c r="AN78" s="14" t="s">
        <v>84</v>
      </c>
      <c r="AO78" s="14" t="s">
        <v>84</v>
      </c>
    </row>
    <row r="79" spans="1:41" ht="75" x14ac:dyDescent="0.25">
      <c r="A79" s="14" t="s">
        <v>133</v>
      </c>
      <c r="B79" s="14" t="s">
        <v>129</v>
      </c>
      <c r="C79" s="15">
        <v>44721.456250000003</v>
      </c>
      <c r="D79" s="14" t="s">
        <v>73</v>
      </c>
      <c r="E79" s="16" t="s">
        <v>74</v>
      </c>
      <c r="F79" s="14" t="s">
        <v>75</v>
      </c>
      <c r="G79" s="16" t="s">
        <v>76</v>
      </c>
      <c r="H79" s="14" t="s">
        <v>205</v>
      </c>
      <c r="I79" s="16" t="s">
        <v>206</v>
      </c>
      <c r="J79" s="16" t="s">
        <v>207</v>
      </c>
      <c r="K79" s="16" t="s">
        <v>208</v>
      </c>
      <c r="L79" s="14" t="s">
        <v>213</v>
      </c>
      <c r="M79" s="16" t="s">
        <v>214</v>
      </c>
      <c r="N79" s="14" t="s">
        <v>136</v>
      </c>
      <c r="O79" s="16" t="s">
        <v>199</v>
      </c>
      <c r="P79" s="16" t="s">
        <v>200</v>
      </c>
      <c r="Q79" s="16" t="s">
        <v>144</v>
      </c>
      <c r="R79" s="14" t="s">
        <v>145</v>
      </c>
      <c r="S79" s="14" t="s">
        <v>88</v>
      </c>
      <c r="T79" s="14" t="s">
        <v>89</v>
      </c>
      <c r="U79" s="15" t="s">
        <v>338</v>
      </c>
      <c r="V79" s="15"/>
      <c r="W79" s="16"/>
      <c r="X79" s="16" t="s">
        <v>84</v>
      </c>
      <c r="Y79" s="14" t="s">
        <v>84</v>
      </c>
      <c r="Z79" s="16" t="s">
        <v>84</v>
      </c>
      <c r="AA79" s="16" t="s">
        <v>84</v>
      </c>
      <c r="AB79" s="16" t="s">
        <v>84</v>
      </c>
      <c r="AC79" s="14" t="s">
        <v>84</v>
      </c>
      <c r="AD79" s="16" t="s">
        <v>84</v>
      </c>
      <c r="AE79" s="16" t="s">
        <v>84</v>
      </c>
      <c r="AF79" s="16" t="s">
        <v>84</v>
      </c>
      <c r="AG79" s="14" t="s">
        <v>84</v>
      </c>
      <c r="AH79" s="16" t="s">
        <v>84</v>
      </c>
      <c r="AI79" s="16" t="s">
        <v>84</v>
      </c>
      <c r="AJ79" s="16" t="s">
        <v>84</v>
      </c>
      <c r="AK79" s="14" t="s">
        <v>84</v>
      </c>
      <c r="AL79" s="16" t="s">
        <v>84</v>
      </c>
      <c r="AM79" s="16" t="s">
        <v>84</v>
      </c>
      <c r="AN79" s="14" t="s">
        <v>84</v>
      </c>
      <c r="AO79" s="14" t="s">
        <v>84</v>
      </c>
    </row>
    <row r="80" spans="1:41" ht="75" x14ac:dyDescent="0.25">
      <c r="A80" s="14" t="s">
        <v>133</v>
      </c>
      <c r="B80" s="14" t="s">
        <v>129</v>
      </c>
      <c r="C80" s="15">
        <v>43999.68472222222</v>
      </c>
      <c r="D80" s="14" t="s">
        <v>73</v>
      </c>
      <c r="E80" s="16" t="s">
        <v>74</v>
      </c>
      <c r="F80" s="14" t="s">
        <v>75</v>
      </c>
      <c r="G80" s="16" t="s">
        <v>76</v>
      </c>
      <c r="H80" s="14" t="s">
        <v>205</v>
      </c>
      <c r="I80" s="16" t="s">
        <v>206</v>
      </c>
      <c r="J80" s="16" t="s">
        <v>207</v>
      </c>
      <c r="K80" s="16" t="s">
        <v>208</v>
      </c>
      <c r="L80" s="14" t="s">
        <v>209</v>
      </c>
      <c r="M80" s="16" t="s">
        <v>210</v>
      </c>
      <c r="N80" s="14" t="s">
        <v>178</v>
      </c>
      <c r="O80" s="16" t="s">
        <v>179</v>
      </c>
      <c r="P80" s="16" t="s">
        <v>180</v>
      </c>
      <c r="Q80" s="16" t="s">
        <v>148</v>
      </c>
      <c r="R80" s="14" t="s">
        <v>149</v>
      </c>
      <c r="S80" s="14" t="s">
        <v>88</v>
      </c>
      <c r="T80" s="14" t="s">
        <v>140</v>
      </c>
      <c r="U80" s="15" t="s">
        <v>338</v>
      </c>
      <c r="V80" s="15"/>
      <c r="W80" s="16"/>
      <c r="X80" s="16" t="s">
        <v>84</v>
      </c>
      <c r="Y80" s="14" t="s">
        <v>84</v>
      </c>
      <c r="Z80" s="16" t="s">
        <v>84</v>
      </c>
      <c r="AA80" s="16" t="s">
        <v>84</v>
      </c>
      <c r="AB80" s="16" t="s">
        <v>84</v>
      </c>
      <c r="AC80" s="14" t="s">
        <v>84</v>
      </c>
      <c r="AD80" s="16" t="s">
        <v>84</v>
      </c>
      <c r="AE80" s="16" t="s">
        <v>84</v>
      </c>
      <c r="AF80" s="16" t="s">
        <v>84</v>
      </c>
      <c r="AG80" s="14" t="s">
        <v>84</v>
      </c>
      <c r="AH80" s="16" t="s">
        <v>84</v>
      </c>
      <c r="AI80" s="16" t="s">
        <v>84</v>
      </c>
      <c r="AJ80" s="16" t="s">
        <v>84</v>
      </c>
      <c r="AK80" s="14" t="s">
        <v>84</v>
      </c>
      <c r="AL80" s="16" t="s">
        <v>84</v>
      </c>
      <c r="AM80" s="16" t="s">
        <v>84</v>
      </c>
      <c r="AN80" s="14" t="s">
        <v>84</v>
      </c>
      <c r="AO80" s="14" t="s">
        <v>84</v>
      </c>
    </row>
    <row r="81" spans="1:41" ht="75" x14ac:dyDescent="0.25">
      <c r="A81" s="14" t="s">
        <v>133</v>
      </c>
      <c r="B81" s="14" t="s">
        <v>129</v>
      </c>
      <c r="C81" s="15">
        <v>43999.682638888888</v>
      </c>
      <c r="D81" s="14" t="s">
        <v>73</v>
      </c>
      <c r="E81" s="16" t="s">
        <v>74</v>
      </c>
      <c r="F81" s="14" t="s">
        <v>75</v>
      </c>
      <c r="G81" s="16" t="s">
        <v>76</v>
      </c>
      <c r="H81" s="14" t="s">
        <v>205</v>
      </c>
      <c r="I81" s="16" t="s">
        <v>206</v>
      </c>
      <c r="J81" s="16" t="s">
        <v>207</v>
      </c>
      <c r="K81" s="16" t="s">
        <v>208</v>
      </c>
      <c r="L81" s="14" t="s">
        <v>211</v>
      </c>
      <c r="M81" s="16" t="s">
        <v>212</v>
      </c>
      <c r="N81" s="14" t="s">
        <v>178</v>
      </c>
      <c r="O81" s="16" t="s">
        <v>192</v>
      </c>
      <c r="P81" s="16" t="s">
        <v>193</v>
      </c>
      <c r="Q81" s="16" t="s">
        <v>148</v>
      </c>
      <c r="R81" s="14" t="s">
        <v>149</v>
      </c>
      <c r="S81" s="14" t="s">
        <v>88</v>
      </c>
      <c r="T81" s="14" t="s">
        <v>140</v>
      </c>
      <c r="U81" s="15" t="s">
        <v>338</v>
      </c>
      <c r="V81" s="15"/>
      <c r="W81" s="16"/>
      <c r="X81" s="16" t="s">
        <v>84</v>
      </c>
      <c r="Y81" s="14" t="s">
        <v>84</v>
      </c>
      <c r="Z81" s="16" t="s">
        <v>84</v>
      </c>
      <c r="AA81" s="16" t="s">
        <v>84</v>
      </c>
      <c r="AB81" s="16" t="s">
        <v>84</v>
      </c>
      <c r="AC81" s="14" t="s">
        <v>84</v>
      </c>
      <c r="AD81" s="16" t="s">
        <v>84</v>
      </c>
      <c r="AE81" s="16" t="s">
        <v>84</v>
      </c>
      <c r="AF81" s="16" t="s">
        <v>84</v>
      </c>
      <c r="AG81" s="14" t="s">
        <v>84</v>
      </c>
      <c r="AH81" s="16" t="s">
        <v>84</v>
      </c>
      <c r="AI81" s="16" t="s">
        <v>84</v>
      </c>
      <c r="AJ81" s="16" t="s">
        <v>84</v>
      </c>
      <c r="AK81" s="14" t="s">
        <v>84</v>
      </c>
      <c r="AL81" s="16" t="s">
        <v>84</v>
      </c>
      <c r="AM81" s="16" t="s">
        <v>84</v>
      </c>
      <c r="AN81" s="14" t="s">
        <v>84</v>
      </c>
      <c r="AO81" s="14" t="s">
        <v>84</v>
      </c>
    </row>
    <row r="82" spans="1:41" ht="75" x14ac:dyDescent="0.25">
      <c r="A82" s="14" t="s">
        <v>133</v>
      </c>
      <c r="B82" s="14" t="s">
        <v>129</v>
      </c>
      <c r="C82" s="15">
        <v>43999.683333333334</v>
      </c>
      <c r="D82" s="14" t="s">
        <v>73</v>
      </c>
      <c r="E82" s="16" t="s">
        <v>74</v>
      </c>
      <c r="F82" s="14" t="s">
        <v>75</v>
      </c>
      <c r="G82" s="16" t="s">
        <v>76</v>
      </c>
      <c r="H82" s="14" t="s">
        <v>205</v>
      </c>
      <c r="I82" s="16" t="s">
        <v>206</v>
      </c>
      <c r="J82" s="16" t="s">
        <v>207</v>
      </c>
      <c r="K82" s="16" t="s">
        <v>208</v>
      </c>
      <c r="L82" s="14" t="s">
        <v>213</v>
      </c>
      <c r="M82" s="16" t="s">
        <v>214</v>
      </c>
      <c r="N82" s="14" t="s">
        <v>136</v>
      </c>
      <c r="O82" s="16" t="s">
        <v>199</v>
      </c>
      <c r="P82" s="16" t="s">
        <v>200</v>
      </c>
      <c r="Q82" s="16" t="s">
        <v>148</v>
      </c>
      <c r="R82" s="14" t="s">
        <v>149</v>
      </c>
      <c r="S82" s="14" t="s">
        <v>88</v>
      </c>
      <c r="T82" s="14" t="s">
        <v>140</v>
      </c>
      <c r="U82" s="15" t="s">
        <v>338</v>
      </c>
      <c r="V82" s="15"/>
      <c r="W82" s="16"/>
      <c r="X82" s="16" t="s">
        <v>84</v>
      </c>
      <c r="Y82" s="14" t="s">
        <v>84</v>
      </c>
      <c r="Z82" s="16" t="s">
        <v>84</v>
      </c>
      <c r="AA82" s="16" t="s">
        <v>84</v>
      </c>
      <c r="AB82" s="16" t="s">
        <v>84</v>
      </c>
      <c r="AC82" s="14" t="s">
        <v>84</v>
      </c>
      <c r="AD82" s="16" t="s">
        <v>84</v>
      </c>
      <c r="AE82" s="16" t="s">
        <v>84</v>
      </c>
      <c r="AF82" s="16" t="s">
        <v>84</v>
      </c>
      <c r="AG82" s="14" t="s">
        <v>84</v>
      </c>
      <c r="AH82" s="16" t="s">
        <v>84</v>
      </c>
      <c r="AI82" s="16" t="s">
        <v>84</v>
      </c>
      <c r="AJ82" s="16" t="s">
        <v>84</v>
      </c>
      <c r="AK82" s="14" t="s">
        <v>84</v>
      </c>
      <c r="AL82" s="16" t="s">
        <v>84</v>
      </c>
      <c r="AM82" s="16" t="s">
        <v>84</v>
      </c>
      <c r="AN82" s="14" t="s">
        <v>84</v>
      </c>
      <c r="AO82" s="14" t="s">
        <v>84</v>
      </c>
    </row>
    <row r="83" spans="1:41" ht="75" x14ac:dyDescent="0.25">
      <c r="A83" s="14" t="s">
        <v>133</v>
      </c>
      <c r="B83" s="14" t="s">
        <v>129</v>
      </c>
      <c r="C83" s="15">
        <v>44040.392361111109</v>
      </c>
      <c r="D83" s="14" t="s">
        <v>73</v>
      </c>
      <c r="E83" s="16" t="s">
        <v>74</v>
      </c>
      <c r="F83" s="14" t="s">
        <v>75</v>
      </c>
      <c r="G83" s="16" t="s">
        <v>76</v>
      </c>
      <c r="H83" s="14" t="s">
        <v>205</v>
      </c>
      <c r="I83" s="16" t="s">
        <v>206</v>
      </c>
      <c r="J83" s="16" t="s">
        <v>207</v>
      </c>
      <c r="K83" s="16" t="s">
        <v>208</v>
      </c>
      <c r="L83" s="14" t="s">
        <v>209</v>
      </c>
      <c r="M83" s="16" t="s">
        <v>210</v>
      </c>
      <c r="N83" s="14" t="s">
        <v>178</v>
      </c>
      <c r="O83" s="16" t="s">
        <v>179</v>
      </c>
      <c r="P83" s="16" t="s">
        <v>180</v>
      </c>
      <c r="Q83" s="16" t="s">
        <v>151</v>
      </c>
      <c r="R83" s="14" t="s">
        <v>152</v>
      </c>
      <c r="S83" s="14" t="s">
        <v>153</v>
      </c>
      <c r="T83" s="14" t="s">
        <v>140</v>
      </c>
      <c r="U83" s="15" t="s">
        <v>338</v>
      </c>
      <c r="V83" s="15"/>
      <c r="W83" s="16"/>
      <c r="X83" s="16" t="s">
        <v>84</v>
      </c>
      <c r="Y83" s="14" t="s">
        <v>84</v>
      </c>
      <c r="Z83" s="16" t="s">
        <v>84</v>
      </c>
      <c r="AA83" s="16" t="s">
        <v>84</v>
      </c>
      <c r="AB83" s="16" t="s">
        <v>84</v>
      </c>
      <c r="AC83" s="14" t="s">
        <v>84</v>
      </c>
      <c r="AD83" s="16" t="s">
        <v>84</v>
      </c>
      <c r="AE83" s="16" t="s">
        <v>84</v>
      </c>
      <c r="AF83" s="16" t="s">
        <v>84</v>
      </c>
      <c r="AG83" s="14" t="s">
        <v>84</v>
      </c>
      <c r="AH83" s="16" t="s">
        <v>84</v>
      </c>
      <c r="AI83" s="16" t="s">
        <v>84</v>
      </c>
      <c r="AJ83" s="16" t="s">
        <v>84</v>
      </c>
      <c r="AK83" s="14" t="s">
        <v>84</v>
      </c>
      <c r="AL83" s="16" t="s">
        <v>84</v>
      </c>
      <c r="AM83" s="16" t="s">
        <v>84</v>
      </c>
      <c r="AN83" s="14" t="s">
        <v>84</v>
      </c>
      <c r="AO83" s="14" t="s">
        <v>84</v>
      </c>
    </row>
    <row r="84" spans="1:41" ht="75" x14ac:dyDescent="0.25">
      <c r="A84" s="14" t="s">
        <v>133</v>
      </c>
      <c r="B84" s="14" t="s">
        <v>129</v>
      </c>
      <c r="C84" s="15">
        <v>43999.68472222222</v>
      </c>
      <c r="D84" s="14" t="s">
        <v>73</v>
      </c>
      <c r="E84" s="16" t="s">
        <v>74</v>
      </c>
      <c r="F84" s="14" t="s">
        <v>75</v>
      </c>
      <c r="G84" s="16" t="s">
        <v>76</v>
      </c>
      <c r="H84" s="14" t="s">
        <v>205</v>
      </c>
      <c r="I84" s="16" t="s">
        <v>206</v>
      </c>
      <c r="J84" s="16" t="s">
        <v>207</v>
      </c>
      <c r="K84" s="16" t="s">
        <v>208</v>
      </c>
      <c r="L84" s="14" t="s">
        <v>211</v>
      </c>
      <c r="M84" s="16" t="s">
        <v>212</v>
      </c>
      <c r="N84" s="14" t="s">
        <v>178</v>
      </c>
      <c r="O84" s="16" t="s">
        <v>192</v>
      </c>
      <c r="P84" s="16" t="s">
        <v>193</v>
      </c>
      <c r="Q84" s="16" t="s">
        <v>151</v>
      </c>
      <c r="R84" s="14" t="s">
        <v>152</v>
      </c>
      <c r="S84" s="14" t="s">
        <v>153</v>
      </c>
      <c r="T84" s="14" t="s">
        <v>140</v>
      </c>
      <c r="U84" s="15" t="s">
        <v>338</v>
      </c>
      <c r="V84" s="15"/>
      <c r="W84" s="16"/>
      <c r="X84" s="16" t="s">
        <v>84</v>
      </c>
      <c r="Y84" s="14" t="s">
        <v>84</v>
      </c>
      <c r="Z84" s="16" t="s">
        <v>84</v>
      </c>
      <c r="AA84" s="16" t="s">
        <v>84</v>
      </c>
      <c r="AB84" s="16" t="s">
        <v>84</v>
      </c>
      <c r="AC84" s="14" t="s">
        <v>84</v>
      </c>
      <c r="AD84" s="16" t="s">
        <v>84</v>
      </c>
      <c r="AE84" s="16" t="s">
        <v>84</v>
      </c>
      <c r="AF84" s="16" t="s">
        <v>84</v>
      </c>
      <c r="AG84" s="14" t="s">
        <v>84</v>
      </c>
      <c r="AH84" s="16" t="s">
        <v>84</v>
      </c>
      <c r="AI84" s="16" t="s">
        <v>84</v>
      </c>
      <c r="AJ84" s="16" t="s">
        <v>84</v>
      </c>
      <c r="AK84" s="14" t="s">
        <v>84</v>
      </c>
      <c r="AL84" s="16" t="s">
        <v>84</v>
      </c>
      <c r="AM84" s="16" t="s">
        <v>84</v>
      </c>
      <c r="AN84" s="14" t="s">
        <v>84</v>
      </c>
      <c r="AO84" s="14" t="s">
        <v>84</v>
      </c>
    </row>
    <row r="85" spans="1:41" ht="75" x14ac:dyDescent="0.25">
      <c r="A85" s="14" t="s">
        <v>133</v>
      </c>
      <c r="B85" s="14" t="s">
        <v>129</v>
      </c>
      <c r="C85" s="15">
        <v>43999.685416666667</v>
      </c>
      <c r="D85" s="14" t="s">
        <v>73</v>
      </c>
      <c r="E85" s="16" t="s">
        <v>74</v>
      </c>
      <c r="F85" s="14" t="s">
        <v>75</v>
      </c>
      <c r="G85" s="16" t="s">
        <v>76</v>
      </c>
      <c r="H85" s="14" t="s">
        <v>205</v>
      </c>
      <c r="I85" s="16" t="s">
        <v>206</v>
      </c>
      <c r="J85" s="16" t="s">
        <v>207</v>
      </c>
      <c r="K85" s="16" t="s">
        <v>208</v>
      </c>
      <c r="L85" s="14" t="s">
        <v>213</v>
      </c>
      <c r="M85" s="16" t="s">
        <v>214</v>
      </c>
      <c r="N85" s="14" t="s">
        <v>136</v>
      </c>
      <c r="O85" s="16" t="s">
        <v>199</v>
      </c>
      <c r="P85" s="16" t="s">
        <v>200</v>
      </c>
      <c r="Q85" s="16" t="s">
        <v>151</v>
      </c>
      <c r="R85" s="14" t="s">
        <v>152</v>
      </c>
      <c r="S85" s="14" t="s">
        <v>153</v>
      </c>
      <c r="T85" s="14" t="s">
        <v>140</v>
      </c>
      <c r="U85" s="15" t="s">
        <v>338</v>
      </c>
      <c r="V85" s="15"/>
      <c r="W85" s="16"/>
      <c r="X85" s="16" t="s">
        <v>84</v>
      </c>
      <c r="Y85" s="14" t="s">
        <v>84</v>
      </c>
      <c r="Z85" s="16" t="s">
        <v>84</v>
      </c>
      <c r="AA85" s="16" t="s">
        <v>84</v>
      </c>
      <c r="AB85" s="16" t="s">
        <v>84</v>
      </c>
      <c r="AC85" s="14" t="s">
        <v>84</v>
      </c>
      <c r="AD85" s="16" t="s">
        <v>84</v>
      </c>
      <c r="AE85" s="16" t="s">
        <v>84</v>
      </c>
      <c r="AF85" s="16" t="s">
        <v>84</v>
      </c>
      <c r="AG85" s="14" t="s">
        <v>84</v>
      </c>
      <c r="AH85" s="16" t="s">
        <v>84</v>
      </c>
      <c r="AI85" s="16" t="s">
        <v>84</v>
      </c>
      <c r="AJ85" s="16" t="s">
        <v>84</v>
      </c>
      <c r="AK85" s="14" t="s">
        <v>84</v>
      </c>
      <c r="AL85" s="16" t="s">
        <v>84</v>
      </c>
      <c r="AM85" s="16" t="s">
        <v>84</v>
      </c>
      <c r="AN85" s="14" t="s">
        <v>84</v>
      </c>
      <c r="AO85" s="14" t="s">
        <v>84</v>
      </c>
    </row>
    <row r="86" spans="1:41" ht="75" x14ac:dyDescent="0.25">
      <c r="A86" s="14" t="s">
        <v>133</v>
      </c>
      <c r="B86" s="14" t="s">
        <v>129</v>
      </c>
      <c r="C86" s="15">
        <v>44040.39166666667</v>
      </c>
      <c r="D86" s="14" t="s">
        <v>73</v>
      </c>
      <c r="E86" s="16" t="s">
        <v>74</v>
      </c>
      <c r="F86" s="14" t="s">
        <v>75</v>
      </c>
      <c r="G86" s="16" t="s">
        <v>76</v>
      </c>
      <c r="H86" s="14" t="s">
        <v>205</v>
      </c>
      <c r="I86" s="16" t="s">
        <v>206</v>
      </c>
      <c r="J86" s="16" t="s">
        <v>207</v>
      </c>
      <c r="K86" s="16" t="s">
        <v>208</v>
      </c>
      <c r="L86" s="14" t="s">
        <v>209</v>
      </c>
      <c r="M86" s="16" t="s">
        <v>210</v>
      </c>
      <c r="N86" s="14" t="s">
        <v>178</v>
      </c>
      <c r="O86" s="16" t="s">
        <v>179</v>
      </c>
      <c r="P86" s="16" t="s">
        <v>180</v>
      </c>
      <c r="Q86" s="16" t="s">
        <v>154</v>
      </c>
      <c r="R86" s="14" t="s">
        <v>155</v>
      </c>
      <c r="S86" s="14" t="s">
        <v>153</v>
      </c>
      <c r="T86" s="14" t="s">
        <v>140</v>
      </c>
      <c r="U86" s="15" t="s">
        <v>338</v>
      </c>
      <c r="V86" s="15"/>
      <c r="W86" s="16"/>
      <c r="X86" s="16" t="s">
        <v>84</v>
      </c>
      <c r="Y86" s="14" t="s">
        <v>84</v>
      </c>
      <c r="Z86" s="16" t="s">
        <v>84</v>
      </c>
      <c r="AA86" s="16" t="s">
        <v>84</v>
      </c>
      <c r="AB86" s="16" t="s">
        <v>84</v>
      </c>
      <c r="AC86" s="14" t="s">
        <v>84</v>
      </c>
      <c r="AD86" s="16" t="s">
        <v>84</v>
      </c>
      <c r="AE86" s="16" t="s">
        <v>84</v>
      </c>
      <c r="AF86" s="16" t="s">
        <v>84</v>
      </c>
      <c r="AG86" s="14" t="s">
        <v>84</v>
      </c>
      <c r="AH86" s="16" t="s">
        <v>84</v>
      </c>
      <c r="AI86" s="16" t="s">
        <v>84</v>
      </c>
      <c r="AJ86" s="16" t="s">
        <v>84</v>
      </c>
      <c r="AK86" s="14" t="s">
        <v>84</v>
      </c>
      <c r="AL86" s="16" t="s">
        <v>84</v>
      </c>
      <c r="AM86" s="16" t="s">
        <v>84</v>
      </c>
      <c r="AN86" s="14" t="s">
        <v>84</v>
      </c>
      <c r="AO86" s="14" t="s">
        <v>84</v>
      </c>
    </row>
    <row r="87" spans="1:41" ht="75" x14ac:dyDescent="0.25">
      <c r="A87" s="14" t="s">
        <v>133</v>
      </c>
      <c r="B87" s="14" t="s">
        <v>129</v>
      </c>
      <c r="C87" s="15">
        <v>43999.68472222222</v>
      </c>
      <c r="D87" s="14" t="s">
        <v>73</v>
      </c>
      <c r="E87" s="16" t="s">
        <v>74</v>
      </c>
      <c r="F87" s="14" t="s">
        <v>75</v>
      </c>
      <c r="G87" s="16" t="s">
        <v>76</v>
      </c>
      <c r="H87" s="14" t="s">
        <v>205</v>
      </c>
      <c r="I87" s="16" t="s">
        <v>206</v>
      </c>
      <c r="J87" s="16" t="s">
        <v>207</v>
      </c>
      <c r="K87" s="16" t="s">
        <v>208</v>
      </c>
      <c r="L87" s="14" t="s">
        <v>211</v>
      </c>
      <c r="M87" s="16" t="s">
        <v>212</v>
      </c>
      <c r="N87" s="14" t="s">
        <v>178</v>
      </c>
      <c r="O87" s="16" t="s">
        <v>192</v>
      </c>
      <c r="P87" s="16" t="s">
        <v>193</v>
      </c>
      <c r="Q87" s="16" t="s">
        <v>154</v>
      </c>
      <c r="R87" s="14" t="s">
        <v>155</v>
      </c>
      <c r="S87" s="14" t="s">
        <v>153</v>
      </c>
      <c r="T87" s="14" t="s">
        <v>140</v>
      </c>
      <c r="U87" s="15" t="s">
        <v>338</v>
      </c>
      <c r="V87" s="15"/>
      <c r="W87" s="16"/>
      <c r="X87" s="16" t="s">
        <v>84</v>
      </c>
      <c r="Y87" s="14" t="s">
        <v>84</v>
      </c>
      <c r="Z87" s="16" t="s">
        <v>84</v>
      </c>
      <c r="AA87" s="16" t="s">
        <v>84</v>
      </c>
      <c r="AB87" s="16" t="s">
        <v>84</v>
      </c>
      <c r="AC87" s="14" t="s">
        <v>84</v>
      </c>
      <c r="AD87" s="16" t="s">
        <v>84</v>
      </c>
      <c r="AE87" s="16" t="s">
        <v>84</v>
      </c>
      <c r="AF87" s="16" t="s">
        <v>84</v>
      </c>
      <c r="AG87" s="14" t="s">
        <v>84</v>
      </c>
      <c r="AH87" s="16" t="s">
        <v>84</v>
      </c>
      <c r="AI87" s="16" t="s">
        <v>84</v>
      </c>
      <c r="AJ87" s="16" t="s">
        <v>84</v>
      </c>
      <c r="AK87" s="14" t="s">
        <v>84</v>
      </c>
      <c r="AL87" s="16" t="s">
        <v>84</v>
      </c>
      <c r="AM87" s="16" t="s">
        <v>84</v>
      </c>
      <c r="AN87" s="14" t="s">
        <v>84</v>
      </c>
      <c r="AO87" s="14" t="s">
        <v>84</v>
      </c>
    </row>
    <row r="88" spans="1:41" ht="75" x14ac:dyDescent="0.25">
      <c r="A88" s="14" t="s">
        <v>133</v>
      </c>
      <c r="B88" s="14" t="s">
        <v>129</v>
      </c>
      <c r="C88" s="15">
        <v>43999.685416666667</v>
      </c>
      <c r="D88" s="14" t="s">
        <v>73</v>
      </c>
      <c r="E88" s="16" t="s">
        <v>74</v>
      </c>
      <c r="F88" s="14" t="s">
        <v>75</v>
      </c>
      <c r="G88" s="16" t="s">
        <v>76</v>
      </c>
      <c r="H88" s="14" t="s">
        <v>205</v>
      </c>
      <c r="I88" s="16" t="s">
        <v>206</v>
      </c>
      <c r="J88" s="16" t="s">
        <v>207</v>
      </c>
      <c r="K88" s="16" t="s">
        <v>208</v>
      </c>
      <c r="L88" s="14" t="s">
        <v>213</v>
      </c>
      <c r="M88" s="16" t="s">
        <v>214</v>
      </c>
      <c r="N88" s="14" t="s">
        <v>136</v>
      </c>
      <c r="O88" s="16" t="s">
        <v>199</v>
      </c>
      <c r="P88" s="16" t="s">
        <v>200</v>
      </c>
      <c r="Q88" s="16" t="s">
        <v>154</v>
      </c>
      <c r="R88" s="14" t="s">
        <v>155</v>
      </c>
      <c r="S88" s="14" t="s">
        <v>153</v>
      </c>
      <c r="T88" s="14" t="s">
        <v>140</v>
      </c>
      <c r="U88" s="15" t="s">
        <v>338</v>
      </c>
      <c r="V88" s="15"/>
      <c r="W88" s="16"/>
      <c r="X88" s="16" t="s">
        <v>84</v>
      </c>
      <c r="Y88" s="14" t="s">
        <v>84</v>
      </c>
      <c r="Z88" s="16" t="s">
        <v>84</v>
      </c>
      <c r="AA88" s="16" t="s">
        <v>84</v>
      </c>
      <c r="AB88" s="16" t="s">
        <v>84</v>
      </c>
      <c r="AC88" s="14" t="s">
        <v>84</v>
      </c>
      <c r="AD88" s="16" t="s">
        <v>84</v>
      </c>
      <c r="AE88" s="16" t="s">
        <v>84</v>
      </c>
      <c r="AF88" s="16" t="s">
        <v>84</v>
      </c>
      <c r="AG88" s="14" t="s">
        <v>84</v>
      </c>
      <c r="AH88" s="16" t="s">
        <v>84</v>
      </c>
      <c r="AI88" s="16" t="s">
        <v>84</v>
      </c>
      <c r="AJ88" s="16" t="s">
        <v>84</v>
      </c>
      <c r="AK88" s="14" t="s">
        <v>84</v>
      </c>
      <c r="AL88" s="16" t="s">
        <v>84</v>
      </c>
      <c r="AM88" s="16" t="s">
        <v>84</v>
      </c>
      <c r="AN88" s="14" t="s">
        <v>84</v>
      </c>
      <c r="AO88" s="14" t="s">
        <v>84</v>
      </c>
    </row>
    <row r="89" spans="1:41" ht="90" x14ac:dyDescent="0.25">
      <c r="A89" s="14" t="s">
        <v>133</v>
      </c>
      <c r="B89" s="14" t="s">
        <v>129</v>
      </c>
      <c r="C89" s="15">
        <v>44005.599999999999</v>
      </c>
      <c r="D89" s="14" t="s">
        <v>73</v>
      </c>
      <c r="E89" s="16" t="s">
        <v>74</v>
      </c>
      <c r="F89" s="14" t="s">
        <v>75</v>
      </c>
      <c r="G89" s="16" t="s">
        <v>76</v>
      </c>
      <c r="H89" s="14" t="s">
        <v>215</v>
      </c>
      <c r="I89" s="16" t="s">
        <v>216</v>
      </c>
      <c r="J89" s="16" t="s">
        <v>217</v>
      </c>
      <c r="K89" s="16" t="s">
        <v>218</v>
      </c>
      <c r="L89" s="14" t="s">
        <v>219</v>
      </c>
      <c r="M89" s="16" t="s">
        <v>220</v>
      </c>
      <c r="N89" s="14" t="s">
        <v>178</v>
      </c>
      <c r="O89" s="16" t="s">
        <v>179</v>
      </c>
      <c r="P89" s="16" t="s">
        <v>180</v>
      </c>
      <c r="Q89" s="16" t="s">
        <v>85</v>
      </c>
      <c r="R89" s="14" t="s">
        <v>86</v>
      </c>
      <c r="S89" s="14" t="s">
        <v>88</v>
      </c>
      <c r="T89" s="14" t="s">
        <v>89</v>
      </c>
      <c r="U89" s="15" t="s">
        <v>338</v>
      </c>
      <c r="V89" s="15"/>
      <c r="W89" s="16"/>
      <c r="X89" s="16" t="s">
        <v>84</v>
      </c>
      <c r="Y89" s="14" t="s">
        <v>84</v>
      </c>
      <c r="Z89" s="16" t="s">
        <v>84</v>
      </c>
      <c r="AA89" s="16" t="s">
        <v>84</v>
      </c>
      <c r="AB89" s="16" t="s">
        <v>84</v>
      </c>
      <c r="AC89" s="14" t="s">
        <v>84</v>
      </c>
      <c r="AD89" s="16" t="s">
        <v>84</v>
      </c>
      <c r="AE89" s="16" t="s">
        <v>84</v>
      </c>
      <c r="AF89" s="16" t="s">
        <v>84</v>
      </c>
      <c r="AG89" s="14" t="s">
        <v>84</v>
      </c>
      <c r="AH89" s="16" t="s">
        <v>84</v>
      </c>
      <c r="AI89" s="16" t="s">
        <v>84</v>
      </c>
      <c r="AJ89" s="16" t="s">
        <v>84</v>
      </c>
      <c r="AK89" s="14" t="s">
        <v>84</v>
      </c>
      <c r="AL89" s="16" t="s">
        <v>84</v>
      </c>
      <c r="AM89" s="16" t="s">
        <v>84</v>
      </c>
      <c r="AN89" s="14" t="s">
        <v>84</v>
      </c>
      <c r="AO89" s="14" t="s">
        <v>84</v>
      </c>
    </row>
    <row r="90" spans="1:41" ht="90" x14ac:dyDescent="0.25">
      <c r="A90" s="14" t="s">
        <v>71</v>
      </c>
      <c r="B90" s="14" t="s">
        <v>72</v>
      </c>
      <c r="C90" s="15">
        <v>44711.482638888891</v>
      </c>
      <c r="D90" s="14" t="s">
        <v>73</v>
      </c>
      <c r="E90" s="16" t="s">
        <v>74</v>
      </c>
      <c r="F90" s="14" t="s">
        <v>75</v>
      </c>
      <c r="G90" s="16" t="s">
        <v>76</v>
      </c>
      <c r="H90" s="14" t="s">
        <v>215</v>
      </c>
      <c r="I90" s="16" t="s">
        <v>216</v>
      </c>
      <c r="J90" s="16" t="s">
        <v>217</v>
      </c>
      <c r="K90" s="16" t="s">
        <v>218</v>
      </c>
      <c r="L90" s="14" t="s">
        <v>221</v>
      </c>
      <c r="M90" s="16" t="s">
        <v>222</v>
      </c>
      <c r="N90" s="14" t="s">
        <v>178</v>
      </c>
      <c r="O90" s="16" t="s">
        <v>192</v>
      </c>
      <c r="P90" s="16" t="s">
        <v>193</v>
      </c>
      <c r="Q90" s="16" t="s">
        <v>85</v>
      </c>
      <c r="R90" s="14" t="s">
        <v>86</v>
      </c>
      <c r="S90" s="14" t="s">
        <v>88</v>
      </c>
      <c r="T90" s="14" t="s">
        <v>89</v>
      </c>
      <c r="U90" s="15" t="s">
        <v>338</v>
      </c>
      <c r="V90" s="15"/>
      <c r="W90" s="16"/>
      <c r="X90" s="16" t="s">
        <v>84</v>
      </c>
      <c r="Y90" s="14" t="s">
        <v>84</v>
      </c>
      <c r="Z90" s="16" t="s">
        <v>84</v>
      </c>
      <c r="AA90" s="16" t="s">
        <v>84</v>
      </c>
      <c r="AB90" s="16" t="s">
        <v>84</v>
      </c>
      <c r="AC90" s="14" t="s">
        <v>84</v>
      </c>
      <c r="AD90" s="16" t="s">
        <v>84</v>
      </c>
      <c r="AE90" s="16" t="s">
        <v>84</v>
      </c>
      <c r="AF90" s="16" t="s">
        <v>84</v>
      </c>
      <c r="AG90" s="14" t="s">
        <v>84</v>
      </c>
      <c r="AH90" s="16" t="s">
        <v>84</v>
      </c>
      <c r="AI90" s="16" t="s">
        <v>84</v>
      </c>
      <c r="AJ90" s="16" t="s">
        <v>84</v>
      </c>
      <c r="AK90" s="14" t="s">
        <v>84</v>
      </c>
      <c r="AL90" s="16" t="s">
        <v>84</v>
      </c>
      <c r="AM90" s="16" t="s">
        <v>84</v>
      </c>
      <c r="AN90" s="14" t="s">
        <v>84</v>
      </c>
      <c r="AO90" s="14" t="s">
        <v>84</v>
      </c>
    </row>
    <row r="91" spans="1:41" ht="90" x14ac:dyDescent="0.25">
      <c r="A91" s="14" t="s">
        <v>133</v>
      </c>
      <c r="B91" s="14" t="s">
        <v>129</v>
      </c>
      <c r="C91" s="15">
        <v>44721.458333333336</v>
      </c>
      <c r="D91" s="14" t="s">
        <v>73</v>
      </c>
      <c r="E91" s="16" t="s">
        <v>74</v>
      </c>
      <c r="F91" s="14" t="s">
        <v>75</v>
      </c>
      <c r="G91" s="16" t="s">
        <v>76</v>
      </c>
      <c r="H91" s="14" t="s">
        <v>215</v>
      </c>
      <c r="I91" s="16" t="s">
        <v>216</v>
      </c>
      <c r="J91" s="16" t="s">
        <v>217</v>
      </c>
      <c r="K91" s="16" t="s">
        <v>218</v>
      </c>
      <c r="L91" s="14" t="s">
        <v>223</v>
      </c>
      <c r="M91" s="16" t="s">
        <v>224</v>
      </c>
      <c r="N91" s="14" t="s">
        <v>136</v>
      </c>
      <c r="O91" s="16" t="s">
        <v>199</v>
      </c>
      <c r="P91" s="16" t="s">
        <v>200</v>
      </c>
      <c r="Q91" s="16" t="s">
        <v>85</v>
      </c>
      <c r="R91" s="14" t="s">
        <v>86</v>
      </c>
      <c r="S91" s="14" t="s">
        <v>88</v>
      </c>
      <c r="T91" s="14" t="s">
        <v>89</v>
      </c>
      <c r="U91" s="15" t="s">
        <v>338</v>
      </c>
      <c r="V91" s="15"/>
      <c r="W91" s="16"/>
      <c r="X91" s="16" t="s">
        <v>84</v>
      </c>
      <c r="Y91" s="14" t="s">
        <v>84</v>
      </c>
      <c r="Z91" s="16" t="s">
        <v>84</v>
      </c>
      <c r="AA91" s="16" t="s">
        <v>84</v>
      </c>
      <c r="AB91" s="16" t="s">
        <v>84</v>
      </c>
      <c r="AC91" s="14" t="s">
        <v>84</v>
      </c>
      <c r="AD91" s="16" t="s">
        <v>84</v>
      </c>
      <c r="AE91" s="16" t="s">
        <v>84</v>
      </c>
      <c r="AF91" s="16" t="s">
        <v>84</v>
      </c>
      <c r="AG91" s="14" t="s">
        <v>84</v>
      </c>
      <c r="AH91" s="16" t="s">
        <v>84</v>
      </c>
      <c r="AI91" s="16" t="s">
        <v>84</v>
      </c>
      <c r="AJ91" s="16" t="s">
        <v>84</v>
      </c>
      <c r="AK91" s="14" t="s">
        <v>84</v>
      </c>
      <c r="AL91" s="16" t="s">
        <v>84</v>
      </c>
      <c r="AM91" s="16" t="s">
        <v>84</v>
      </c>
      <c r="AN91" s="14" t="s">
        <v>84</v>
      </c>
      <c r="AO91" s="14" t="s">
        <v>84</v>
      </c>
    </row>
    <row r="92" spans="1:41" ht="90" x14ac:dyDescent="0.25">
      <c r="A92" s="14" t="s">
        <v>133</v>
      </c>
      <c r="B92" s="14" t="s">
        <v>129</v>
      </c>
      <c r="C92" s="15">
        <v>43999.688888888886</v>
      </c>
      <c r="D92" s="14" t="s">
        <v>73</v>
      </c>
      <c r="E92" s="16" t="s">
        <v>74</v>
      </c>
      <c r="F92" s="14" t="s">
        <v>75</v>
      </c>
      <c r="G92" s="16" t="s">
        <v>76</v>
      </c>
      <c r="H92" s="14" t="s">
        <v>215</v>
      </c>
      <c r="I92" s="16" t="s">
        <v>216</v>
      </c>
      <c r="J92" s="16" t="s">
        <v>217</v>
      </c>
      <c r="K92" s="16" t="s">
        <v>218</v>
      </c>
      <c r="L92" s="14" t="s">
        <v>219</v>
      </c>
      <c r="M92" s="16" t="s">
        <v>220</v>
      </c>
      <c r="N92" s="14" t="s">
        <v>178</v>
      </c>
      <c r="O92" s="16" t="s">
        <v>179</v>
      </c>
      <c r="P92" s="16" t="s">
        <v>180</v>
      </c>
      <c r="Q92" s="16" t="s">
        <v>138</v>
      </c>
      <c r="R92" s="14" t="s">
        <v>139</v>
      </c>
      <c r="S92" s="14" t="s">
        <v>88</v>
      </c>
      <c r="T92" s="14" t="s">
        <v>140</v>
      </c>
      <c r="U92" s="15" t="s">
        <v>338</v>
      </c>
      <c r="V92" s="15"/>
      <c r="W92" s="16"/>
      <c r="X92" s="16" t="s">
        <v>84</v>
      </c>
      <c r="Y92" s="14" t="s">
        <v>84</v>
      </c>
      <c r="Z92" s="16" t="s">
        <v>84</v>
      </c>
      <c r="AA92" s="16" t="s">
        <v>84</v>
      </c>
      <c r="AB92" s="16" t="s">
        <v>84</v>
      </c>
      <c r="AC92" s="14" t="s">
        <v>84</v>
      </c>
      <c r="AD92" s="16" t="s">
        <v>84</v>
      </c>
      <c r="AE92" s="16" t="s">
        <v>84</v>
      </c>
      <c r="AF92" s="16" t="s">
        <v>84</v>
      </c>
      <c r="AG92" s="14" t="s">
        <v>84</v>
      </c>
      <c r="AH92" s="16" t="s">
        <v>84</v>
      </c>
      <c r="AI92" s="16" t="s">
        <v>84</v>
      </c>
      <c r="AJ92" s="16" t="s">
        <v>84</v>
      </c>
      <c r="AK92" s="14" t="s">
        <v>84</v>
      </c>
      <c r="AL92" s="16" t="s">
        <v>84</v>
      </c>
      <c r="AM92" s="16" t="s">
        <v>84</v>
      </c>
      <c r="AN92" s="14" t="s">
        <v>84</v>
      </c>
      <c r="AO92" s="14" t="s">
        <v>84</v>
      </c>
    </row>
    <row r="93" spans="1:41" ht="90" x14ac:dyDescent="0.25">
      <c r="A93" s="14" t="s">
        <v>133</v>
      </c>
      <c r="B93" s="14" t="s">
        <v>129</v>
      </c>
      <c r="C93" s="15">
        <v>43999.690972222219</v>
      </c>
      <c r="D93" s="14" t="s">
        <v>73</v>
      </c>
      <c r="E93" s="16" t="s">
        <v>74</v>
      </c>
      <c r="F93" s="14" t="s">
        <v>75</v>
      </c>
      <c r="G93" s="16" t="s">
        <v>76</v>
      </c>
      <c r="H93" s="14" t="s">
        <v>215</v>
      </c>
      <c r="I93" s="16" t="s">
        <v>216</v>
      </c>
      <c r="J93" s="16" t="s">
        <v>217</v>
      </c>
      <c r="K93" s="16" t="s">
        <v>218</v>
      </c>
      <c r="L93" s="14" t="s">
        <v>221</v>
      </c>
      <c r="M93" s="16" t="s">
        <v>222</v>
      </c>
      <c r="N93" s="14" t="s">
        <v>178</v>
      </c>
      <c r="O93" s="16" t="s">
        <v>192</v>
      </c>
      <c r="P93" s="16" t="s">
        <v>193</v>
      </c>
      <c r="Q93" s="16" t="s">
        <v>138</v>
      </c>
      <c r="R93" s="14" t="s">
        <v>139</v>
      </c>
      <c r="S93" s="14" t="s">
        <v>88</v>
      </c>
      <c r="T93" s="14" t="s">
        <v>140</v>
      </c>
      <c r="U93" s="15" t="s">
        <v>338</v>
      </c>
      <c r="V93" s="15"/>
      <c r="W93" s="16"/>
      <c r="X93" s="16" t="s">
        <v>84</v>
      </c>
      <c r="Y93" s="14" t="s">
        <v>84</v>
      </c>
      <c r="Z93" s="16" t="s">
        <v>84</v>
      </c>
      <c r="AA93" s="16" t="s">
        <v>84</v>
      </c>
      <c r="AB93" s="16" t="s">
        <v>84</v>
      </c>
      <c r="AC93" s="14" t="s">
        <v>84</v>
      </c>
      <c r="AD93" s="16" t="s">
        <v>84</v>
      </c>
      <c r="AE93" s="16" t="s">
        <v>84</v>
      </c>
      <c r="AF93" s="16" t="s">
        <v>84</v>
      </c>
      <c r="AG93" s="14" t="s">
        <v>84</v>
      </c>
      <c r="AH93" s="16" t="s">
        <v>84</v>
      </c>
      <c r="AI93" s="16" t="s">
        <v>84</v>
      </c>
      <c r="AJ93" s="16" t="s">
        <v>84</v>
      </c>
      <c r="AK93" s="14" t="s">
        <v>84</v>
      </c>
      <c r="AL93" s="16" t="s">
        <v>84</v>
      </c>
      <c r="AM93" s="16" t="s">
        <v>84</v>
      </c>
      <c r="AN93" s="14" t="s">
        <v>84</v>
      </c>
      <c r="AO93" s="14" t="s">
        <v>84</v>
      </c>
    </row>
    <row r="94" spans="1:41" ht="90" x14ac:dyDescent="0.25">
      <c r="A94" s="14" t="s">
        <v>133</v>
      </c>
      <c r="B94" s="14" t="s">
        <v>129</v>
      </c>
      <c r="C94" s="15">
        <v>43999.693055555559</v>
      </c>
      <c r="D94" s="14" t="s">
        <v>73</v>
      </c>
      <c r="E94" s="16" t="s">
        <v>74</v>
      </c>
      <c r="F94" s="14" t="s">
        <v>75</v>
      </c>
      <c r="G94" s="16" t="s">
        <v>76</v>
      </c>
      <c r="H94" s="14" t="s">
        <v>215</v>
      </c>
      <c r="I94" s="16" t="s">
        <v>216</v>
      </c>
      <c r="J94" s="16" t="s">
        <v>217</v>
      </c>
      <c r="K94" s="16" t="s">
        <v>218</v>
      </c>
      <c r="L94" s="14" t="s">
        <v>223</v>
      </c>
      <c r="M94" s="16" t="s">
        <v>224</v>
      </c>
      <c r="N94" s="14" t="s">
        <v>136</v>
      </c>
      <c r="O94" s="16" t="s">
        <v>199</v>
      </c>
      <c r="P94" s="16" t="s">
        <v>200</v>
      </c>
      <c r="Q94" s="16" t="s">
        <v>138</v>
      </c>
      <c r="R94" s="14" t="s">
        <v>139</v>
      </c>
      <c r="S94" s="14" t="s">
        <v>88</v>
      </c>
      <c r="T94" s="14" t="s">
        <v>140</v>
      </c>
      <c r="U94" s="15" t="s">
        <v>338</v>
      </c>
      <c r="V94" s="15"/>
      <c r="W94" s="16"/>
      <c r="X94" s="16" t="s">
        <v>84</v>
      </c>
      <c r="Y94" s="14" t="s">
        <v>84</v>
      </c>
      <c r="Z94" s="16" t="s">
        <v>84</v>
      </c>
      <c r="AA94" s="16" t="s">
        <v>84</v>
      </c>
      <c r="AB94" s="16" t="s">
        <v>84</v>
      </c>
      <c r="AC94" s="14" t="s">
        <v>84</v>
      </c>
      <c r="AD94" s="16" t="s">
        <v>84</v>
      </c>
      <c r="AE94" s="16" t="s">
        <v>84</v>
      </c>
      <c r="AF94" s="16" t="s">
        <v>84</v>
      </c>
      <c r="AG94" s="14" t="s">
        <v>84</v>
      </c>
      <c r="AH94" s="16" t="s">
        <v>84</v>
      </c>
      <c r="AI94" s="16" t="s">
        <v>84</v>
      </c>
      <c r="AJ94" s="16" t="s">
        <v>84</v>
      </c>
      <c r="AK94" s="14" t="s">
        <v>84</v>
      </c>
      <c r="AL94" s="16" t="s">
        <v>84</v>
      </c>
      <c r="AM94" s="16" t="s">
        <v>84</v>
      </c>
      <c r="AN94" s="14" t="s">
        <v>84</v>
      </c>
      <c r="AO94" s="14" t="s">
        <v>84</v>
      </c>
    </row>
    <row r="95" spans="1:41" ht="90" x14ac:dyDescent="0.25">
      <c r="A95" s="14" t="s">
        <v>133</v>
      </c>
      <c r="B95" s="14" t="s">
        <v>129</v>
      </c>
      <c r="C95" s="15">
        <v>43999.689583333333</v>
      </c>
      <c r="D95" s="14" t="s">
        <v>73</v>
      </c>
      <c r="E95" s="16" t="s">
        <v>74</v>
      </c>
      <c r="F95" s="14" t="s">
        <v>75</v>
      </c>
      <c r="G95" s="16" t="s">
        <v>76</v>
      </c>
      <c r="H95" s="14" t="s">
        <v>215</v>
      </c>
      <c r="I95" s="16" t="s">
        <v>216</v>
      </c>
      <c r="J95" s="16" t="s">
        <v>217</v>
      </c>
      <c r="K95" s="16" t="s">
        <v>218</v>
      </c>
      <c r="L95" s="14" t="s">
        <v>219</v>
      </c>
      <c r="M95" s="16" t="s">
        <v>220</v>
      </c>
      <c r="N95" s="14" t="s">
        <v>178</v>
      </c>
      <c r="O95" s="16" t="s">
        <v>179</v>
      </c>
      <c r="P95" s="16" t="s">
        <v>180</v>
      </c>
      <c r="Q95" s="16" t="s">
        <v>141</v>
      </c>
      <c r="R95" s="14" t="s">
        <v>142</v>
      </c>
      <c r="S95" s="14" t="s">
        <v>88</v>
      </c>
      <c r="T95" s="14" t="s">
        <v>140</v>
      </c>
      <c r="U95" s="15" t="s">
        <v>338</v>
      </c>
      <c r="V95" s="15"/>
      <c r="W95" s="16"/>
      <c r="X95" s="16" t="s">
        <v>84</v>
      </c>
      <c r="Y95" s="14" t="s">
        <v>84</v>
      </c>
      <c r="Z95" s="16" t="s">
        <v>84</v>
      </c>
      <c r="AA95" s="16" t="s">
        <v>84</v>
      </c>
      <c r="AB95" s="16" t="s">
        <v>84</v>
      </c>
      <c r="AC95" s="14" t="s">
        <v>84</v>
      </c>
      <c r="AD95" s="16" t="s">
        <v>84</v>
      </c>
      <c r="AE95" s="16" t="s">
        <v>84</v>
      </c>
      <c r="AF95" s="16" t="s">
        <v>84</v>
      </c>
      <c r="AG95" s="14" t="s">
        <v>84</v>
      </c>
      <c r="AH95" s="16" t="s">
        <v>84</v>
      </c>
      <c r="AI95" s="16" t="s">
        <v>84</v>
      </c>
      <c r="AJ95" s="16" t="s">
        <v>84</v>
      </c>
      <c r="AK95" s="14" t="s">
        <v>84</v>
      </c>
      <c r="AL95" s="16" t="s">
        <v>84</v>
      </c>
      <c r="AM95" s="16" t="s">
        <v>84</v>
      </c>
      <c r="AN95" s="14" t="s">
        <v>84</v>
      </c>
      <c r="AO95" s="14" t="s">
        <v>84</v>
      </c>
    </row>
    <row r="96" spans="1:41" ht="90" x14ac:dyDescent="0.25">
      <c r="A96" s="14" t="s">
        <v>133</v>
      </c>
      <c r="B96" s="14" t="s">
        <v>129</v>
      </c>
      <c r="C96" s="15">
        <v>43999.690972222219</v>
      </c>
      <c r="D96" s="14" t="s">
        <v>73</v>
      </c>
      <c r="E96" s="16" t="s">
        <v>74</v>
      </c>
      <c r="F96" s="14" t="s">
        <v>75</v>
      </c>
      <c r="G96" s="16" t="s">
        <v>76</v>
      </c>
      <c r="H96" s="14" t="s">
        <v>215</v>
      </c>
      <c r="I96" s="16" t="s">
        <v>216</v>
      </c>
      <c r="J96" s="16" t="s">
        <v>217</v>
      </c>
      <c r="K96" s="16" t="s">
        <v>218</v>
      </c>
      <c r="L96" s="14" t="s">
        <v>221</v>
      </c>
      <c r="M96" s="16" t="s">
        <v>222</v>
      </c>
      <c r="N96" s="14" t="s">
        <v>178</v>
      </c>
      <c r="O96" s="16" t="s">
        <v>192</v>
      </c>
      <c r="P96" s="16" t="s">
        <v>193</v>
      </c>
      <c r="Q96" s="16" t="s">
        <v>141</v>
      </c>
      <c r="R96" s="14" t="s">
        <v>142</v>
      </c>
      <c r="S96" s="14" t="s">
        <v>88</v>
      </c>
      <c r="T96" s="14" t="s">
        <v>140</v>
      </c>
      <c r="U96" s="15" t="s">
        <v>338</v>
      </c>
      <c r="V96" s="15"/>
      <c r="W96" s="16"/>
      <c r="X96" s="16" t="s">
        <v>84</v>
      </c>
      <c r="Y96" s="14" t="s">
        <v>84</v>
      </c>
      <c r="Z96" s="16" t="s">
        <v>84</v>
      </c>
      <c r="AA96" s="16" t="s">
        <v>84</v>
      </c>
      <c r="AB96" s="16" t="s">
        <v>84</v>
      </c>
      <c r="AC96" s="14" t="s">
        <v>84</v>
      </c>
      <c r="AD96" s="16" t="s">
        <v>84</v>
      </c>
      <c r="AE96" s="16" t="s">
        <v>84</v>
      </c>
      <c r="AF96" s="16" t="s">
        <v>84</v>
      </c>
      <c r="AG96" s="14" t="s">
        <v>84</v>
      </c>
      <c r="AH96" s="16" t="s">
        <v>84</v>
      </c>
      <c r="AI96" s="16" t="s">
        <v>84</v>
      </c>
      <c r="AJ96" s="16" t="s">
        <v>84</v>
      </c>
      <c r="AK96" s="14" t="s">
        <v>84</v>
      </c>
      <c r="AL96" s="16" t="s">
        <v>84</v>
      </c>
      <c r="AM96" s="16" t="s">
        <v>84</v>
      </c>
      <c r="AN96" s="14" t="s">
        <v>84</v>
      </c>
      <c r="AO96" s="14" t="s">
        <v>84</v>
      </c>
    </row>
    <row r="97" spans="1:41" ht="90" x14ac:dyDescent="0.25">
      <c r="A97" s="14" t="s">
        <v>133</v>
      </c>
      <c r="B97" s="14" t="s">
        <v>129</v>
      </c>
      <c r="C97" s="15">
        <v>43999.693055555559</v>
      </c>
      <c r="D97" s="14" t="s">
        <v>73</v>
      </c>
      <c r="E97" s="16" t="s">
        <v>74</v>
      </c>
      <c r="F97" s="14" t="s">
        <v>75</v>
      </c>
      <c r="G97" s="16" t="s">
        <v>76</v>
      </c>
      <c r="H97" s="14" t="s">
        <v>215</v>
      </c>
      <c r="I97" s="16" t="s">
        <v>216</v>
      </c>
      <c r="J97" s="16" t="s">
        <v>217</v>
      </c>
      <c r="K97" s="16" t="s">
        <v>218</v>
      </c>
      <c r="L97" s="14" t="s">
        <v>223</v>
      </c>
      <c r="M97" s="16" t="s">
        <v>224</v>
      </c>
      <c r="N97" s="14" t="s">
        <v>136</v>
      </c>
      <c r="O97" s="16" t="s">
        <v>199</v>
      </c>
      <c r="P97" s="16" t="s">
        <v>200</v>
      </c>
      <c r="Q97" s="16" t="s">
        <v>141</v>
      </c>
      <c r="R97" s="14" t="s">
        <v>142</v>
      </c>
      <c r="S97" s="14" t="s">
        <v>88</v>
      </c>
      <c r="T97" s="14" t="s">
        <v>140</v>
      </c>
      <c r="U97" s="15" t="s">
        <v>338</v>
      </c>
      <c r="V97" s="15"/>
      <c r="W97" s="16"/>
      <c r="X97" s="16" t="s">
        <v>84</v>
      </c>
      <c r="Y97" s="14" t="s">
        <v>84</v>
      </c>
      <c r="Z97" s="16" t="s">
        <v>84</v>
      </c>
      <c r="AA97" s="16" t="s">
        <v>84</v>
      </c>
      <c r="AB97" s="16" t="s">
        <v>84</v>
      </c>
      <c r="AC97" s="14" t="s">
        <v>84</v>
      </c>
      <c r="AD97" s="16" t="s">
        <v>84</v>
      </c>
      <c r="AE97" s="16" t="s">
        <v>84</v>
      </c>
      <c r="AF97" s="16" t="s">
        <v>84</v>
      </c>
      <c r="AG97" s="14" t="s">
        <v>84</v>
      </c>
      <c r="AH97" s="16" t="s">
        <v>84</v>
      </c>
      <c r="AI97" s="16" t="s">
        <v>84</v>
      </c>
      <c r="AJ97" s="16" t="s">
        <v>84</v>
      </c>
      <c r="AK97" s="14" t="s">
        <v>84</v>
      </c>
      <c r="AL97" s="16" t="s">
        <v>84</v>
      </c>
      <c r="AM97" s="16" t="s">
        <v>84</v>
      </c>
      <c r="AN97" s="14" t="s">
        <v>84</v>
      </c>
      <c r="AO97" s="14" t="s">
        <v>84</v>
      </c>
    </row>
    <row r="98" spans="1:41" ht="90" x14ac:dyDescent="0.25">
      <c r="A98" s="14" t="s">
        <v>133</v>
      </c>
      <c r="B98" s="14" t="s">
        <v>129</v>
      </c>
      <c r="C98" s="15">
        <v>44005.599999999999</v>
      </c>
      <c r="D98" s="14" t="s">
        <v>73</v>
      </c>
      <c r="E98" s="16" t="s">
        <v>74</v>
      </c>
      <c r="F98" s="14" t="s">
        <v>75</v>
      </c>
      <c r="G98" s="16" t="s">
        <v>76</v>
      </c>
      <c r="H98" s="14" t="s">
        <v>215</v>
      </c>
      <c r="I98" s="16" t="s">
        <v>216</v>
      </c>
      <c r="J98" s="16" t="s">
        <v>217</v>
      </c>
      <c r="K98" s="16" t="s">
        <v>218</v>
      </c>
      <c r="L98" s="14" t="s">
        <v>219</v>
      </c>
      <c r="M98" s="16" t="s">
        <v>220</v>
      </c>
      <c r="N98" s="14" t="s">
        <v>178</v>
      </c>
      <c r="O98" s="16" t="s">
        <v>179</v>
      </c>
      <c r="P98" s="16" t="s">
        <v>180</v>
      </c>
      <c r="Q98" s="16" t="s">
        <v>144</v>
      </c>
      <c r="R98" s="14" t="s">
        <v>145</v>
      </c>
      <c r="S98" s="14" t="s">
        <v>88</v>
      </c>
      <c r="T98" s="14" t="s">
        <v>89</v>
      </c>
      <c r="U98" s="15" t="s">
        <v>338</v>
      </c>
      <c r="V98" s="15"/>
      <c r="W98" s="16"/>
      <c r="X98" s="16" t="s">
        <v>84</v>
      </c>
      <c r="Y98" s="14" t="s">
        <v>84</v>
      </c>
      <c r="Z98" s="16" t="s">
        <v>84</v>
      </c>
      <c r="AA98" s="16" t="s">
        <v>84</v>
      </c>
      <c r="AB98" s="16" t="s">
        <v>84</v>
      </c>
      <c r="AC98" s="14" t="s">
        <v>84</v>
      </c>
      <c r="AD98" s="16" t="s">
        <v>84</v>
      </c>
      <c r="AE98" s="16" t="s">
        <v>84</v>
      </c>
      <c r="AF98" s="16" t="s">
        <v>84</v>
      </c>
      <c r="AG98" s="14" t="s">
        <v>84</v>
      </c>
      <c r="AH98" s="16" t="s">
        <v>84</v>
      </c>
      <c r="AI98" s="16" t="s">
        <v>84</v>
      </c>
      <c r="AJ98" s="16" t="s">
        <v>84</v>
      </c>
      <c r="AK98" s="14" t="s">
        <v>84</v>
      </c>
      <c r="AL98" s="16" t="s">
        <v>84</v>
      </c>
      <c r="AM98" s="16" t="s">
        <v>84</v>
      </c>
      <c r="AN98" s="14" t="s">
        <v>84</v>
      </c>
      <c r="AO98" s="14" t="s">
        <v>84</v>
      </c>
    </row>
    <row r="99" spans="1:41" ht="90" x14ac:dyDescent="0.25">
      <c r="A99" s="14" t="s">
        <v>71</v>
      </c>
      <c r="B99" s="14" t="s">
        <v>72</v>
      </c>
      <c r="C99" s="15">
        <v>44711.484027777777</v>
      </c>
      <c r="D99" s="14" t="s">
        <v>73</v>
      </c>
      <c r="E99" s="16" t="s">
        <v>74</v>
      </c>
      <c r="F99" s="14" t="s">
        <v>75</v>
      </c>
      <c r="G99" s="16" t="s">
        <v>76</v>
      </c>
      <c r="H99" s="14" t="s">
        <v>215</v>
      </c>
      <c r="I99" s="16" t="s">
        <v>216</v>
      </c>
      <c r="J99" s="16" t="s">
        <v>217</v>
      </c>
      <c r="K99" s="16" t="s">
        <v>218</v>
      </c>
      <c r="L99" s="14" t="s">
        <v>221</v>
      </c>
      <c r="M99" s="16" t="s">
        <v>222</v>
      </c>
      <c r="N99" s="14" t="s">
        <v>178</v>
      </c>
      <c r="O99" s="16" t="s">
        <v>192</v>
      </c>
      <c r="P99" s="16" t="s">
        <v>193</v>
      </c>
      <c r="Q99" s="16" t="s">
        <v>144</v>
      </c>
      <c r="R99" s="14" t="s">
        <v>145</v>
      </c>
      <c r="S99" s="14" t="s">
        <v>88</v>
      </c>
      <c r="T99" s="14" t="s">
        <v>89</v>
      </c>
      <c r="U99" s="15" t="s">
        <v>338</v>
      </c>
      <c r="V99" s="15"/>
      <c r="W99" s="16"/>
      <c r="X99" s="16" t="s">
        <v>84</v>
      </c>
      <c r="Y99" s="14" t="s">
        <v>84</v>
      </c>
      <c r="Z99" s="16" t="s">
        <v>84</v>
      </c>
      <c r="AA99" s="16" t="s">
        <v>84</v>
      </c>
      <c r="AB99" s="16" t="s">
        <v>84</v>
      </c>
      <c r="AC99" s="14" t="s">
        <v>84</v>
      </c>
      <c r="AD99" s="16" t="s">
        <v>84</v>
      </c>
      <c r="AE99" s="16" t="s">
        <v>84</v>
      </c>
      <c r="AF99" s="16" t="s">
        <v>84</v>
      </c>
      <c r="AG99" s="14" t="s">
        <v>84</v>
      </c>
      <c r="AH99" s="16" t="s">
        <v>84</v>
      </c>
      <c r="AI99" s="16" t="s">
        <v>84</v>
      </c>
      <c r="AJ99" s="16" t="s">
        <v>84</v>
      </c>
      <c r="AK99" s="14" t="s">
        <v>84</v>
      </c>
      <c r="AL99" s="16" t="s">
        <v>84</v>
      </c>
      <c r="AM99" s="16" t="s">
        <v>84</v>
      </c>
      <c r="AN99" s="14" t="s">
        <v>84</v>
      </c>
      <c r="AO99" s="14" t="s">
        <v>84</v>
      </c>
    </row>
    <row r="100" spans="1:41" ht="90" x14ac:dyDescent="0.25">
      <c r="A100" s="14" t="s">
        <v>133</v>
      </c>
      <c r="B100" s="14" t="s">
        <v>129</v>
      </c>
      <c r="C100" s="15">
        <v>44721.459027777775</v>
      </c>
      <c r="D100" s="14" t="s">
        <v>73</v>
      </c>
      <c r="E100" s="16" t="s">
        <v>74</v>
      </c>
      <c r="F100" s="14" t="s">
        <v>75</v>
      </c>
      <c r="G100" s="16" t="s">
        <v>76</v>
      </c>
      <c r="H100" s="14" t="s">
        <v>215</v>
      </c>
      <c r="I100" s="16" t="s">
        <v>216</v>
      </c>
      <c r="J100" s="16" t="s">
        <v>217</v>
      </c>
      <c r="K100" s="16" t="s">
        <v>218</v>
      </c>
      <c r="L100" s="14" t="s">
        <v>223</v>
      </c>
      <c r="M100" s="16" t="s">
        <v>224</v>
      </c>
      <c r="N100" s="14" t="s">
        <v>136</v>
      </c>
      <c r="O100" s="16" t="s">
        <v>199</v>
      </c>
      <c r="P100" s="16" t="s">
        <v>200</v>
      </c>
      <c r="Q100" s="16" t="s">
        <v>144</v>
      </c>
      <c r="R100" s="14" t="s">
        <v>145</v>
      </c>
      <c r="S100" s="14" t="s">
        <v>88</v>
      </c>
      <c r="T100" s="14" t="s">
        <v>89</v>
      </c>
      <c r="U100" s="15" t="s">
        <v>338</v>
      </c>
      <c r="V100" s="15"/>
      <c r="W100" s="16"/>
      <c r="X100" s="16" t="s">
        <v>84</v>
      </c>
      <c r="Y100" s="14" t="s">
        <v>84</v>
      </c>
      <c r="Z100" s="16" t="s">
        <v>84</v>
      </c>
      <c r="AA100" s="16" t="s">
        <v>84</v>
      </c>
      <c r="AB100" s="16" t="s">
        <v>84</v>
      </c>
      <c r="AC100" s="14" t="s">
        <v>84</v>
      </c>
      <c r="AD100" s="16" t="s">
        <v>84</v>
      </c>
      <c r="AE100" s="16" t="s">
        <v>84</v>
      </c>
      <c r="AF100" s="16" t="s">
        <v>84</v>
      </c>
      <c r="AG100" s="14" t="s">
        <v>84</v>
      </c>
      <c r="AH100" s="16" t="s">
        <v>84</v>
      </c>
      <c r="AI100" s="16" t="s">
        <v>84</v>
      </c>
      <c r="AJ100" s="16" t="s">
        <v>84</v>
      </c>
      <c r="AK100" s="14" t="s">
        <v>84</v>
      </c>
      <c r="AL100" s="16" t="s">
        <v>84</v>
      </c>
      <c r="AM100" s="16" t="s">
        <v>84</v>
      </c>
      <c r="AN100" s="14" t="s">
        <v>84</v>
      </c>
      <c r="AO100" s="14" t="s">
        <v>84</v>
      </c>
    </row>
    <row r="101" spans="1:41" ht="90" x14ac:dyDescent="0.25">
      <c r="A101" s="14" t="s">
        <v>133</v>
      </c>
      <c r="B101" s="14" t="s">
        <v>129</v>
      </c>
      <c r="C101" s="15">
        <v>43999.69027777778</v>
      </c>
      <c r="D101" s="14" t="s">
        <v>73</v>
      </c>
      <c r="E101" s="16" t="s">
        <v>74</v>
      </c>
      <c r="F101" s="14" t="s">
        <v>75</v>
      </c>
      <c r="G101" s="16" t="s">
        <v>76</v>
      </c>
      <c r="H101" s="14" t="s">
        <v>215</v>
      </c>
      <c r="I101" s="16" t="s">
        <v>216</v>
      </c>
      <c r="J101" s="16" t="s">
        <v>217</v>
      </c>
      <c r="K101" s="16" t="s">
        <v>218</v>
      </c>
      <c r="L101" s="14" t="s">
        <v>219</v>
      </c>
      <c r="M101" s="16" t="s">
        <v>220</v>
      </c>
      <c r="N101" s="14" t="s">
        <v>178</v>
      </c>
      <c r="O101" s="16" t="s">
        <v>179</v>
      </c>
      <c r="P101" s="16" t="s">
        <v>180</v>
      </c>
      <c r="Q101" s="16" t="s">
        <v>148</v>
      </c>
      <c r="R101" s="14" t="s">
        <v>149</v>
      </c>
      <c r="S101" s="14" t="s">
        <v>88</v>
      </c>
      <c r="T101" s="14" t="s">
        <v>140</v>
      </c>
      <c r="U101" s="15" t="s">
        <v>338</v>
      </c>
      <c r="V101" s="15"/>
      <c r="W101" s="16"/>
      <c r="X101" s="16" t="s">
        <v>84</v>
      </c>
      <c r="Y101" s="14" t="s">
        <v>84</v>
      </c>
      <c r="Z101" s="16" t="s">
        <v>84</v>
      </c>
      <c r="AA101" s="16" t="s">
        <v>84</v>
      </c>
      <c r="AB101" s="16" t="s">
        <v>84</v>
      </c>
      <c r="AC101" s="14" t="s">
        <v>84</v>
      </c>
      <c r="AD101" s="16" t="s">
        <v>84</v>
      </c>
      <c r="AE101" s="16" t="s">
        <v>84</v>
      </c>
      <c r="AF101" s="16" t="s">
        <v>84</v>
      </c>
      <c r="AG101" s="14" t="s">
        <v>84</v>
      </c>
      <c r="AH101" s="16" t="s">
        <v>84</v>
      </c>
      <c r="AI101" s="16" t="s">
        <v>84</v>
      </c>
      <c r="AJ101" s="16" t="s">
        <v>84</v>
      </c>
      <c r="AK101" s="14" t="s">
        <v>84</v>
      </c>
      <c r="AL101" s="16" t="s">
        <v>84</v>
      </c>
      <c r="AM101" s="16" t="s">
        <v>84</v>
      </c>
      <c r="AN101" s="14" t="s">
        <v>84</v>
      </c>
      <c r="AO101" s="14" t="s">
        <v>84</v>
      </c>
    </row>
    <row r="102" spans="1:41" ht="90" x14ac:dyDescent="0.25">
      <c r="A102" s="14" t="s">
        <v>133</v>
      </c>
      <c r="B102" s="14" t="s">
        <v>129</v>
      </c>
      <c r="C102" s="15">
        <v>43999.690972222219</v>
      </c>
      <c r="D102" s="14" t="s">
        <v>73</v>
      </c>
      <c r="E102" s="16" t="s">
        <v>74</v>
      </c>
      <c r="F102" s="14" t="s">
        <v>75</v>
      </c>
      <c r="G102" s="16" t="s">
        <v>76</v>
      </c>
      <c r="H102" s="14" t="s">
        <v>215</v>
      </c>
      <c r="I102" s="16" t="s">
        <v>216</v>
      </c>
      <c r="J102" s="16" t="s">
        <v>217</v>
      </c>
      <c r="K102" s="16" t="s">
        <v>218</v>
      </c>
      <c r="L102" s="14" t="s">
        <v>221</v>
      </c>
      <c r="M102" s="16" t="s">
        <v>222</v>
      </c>
      <c r="N102" s="14" t="s">
        <v>178</v>
      </c>
      <c r="O102" s="16" t="s">
        <v>192</v>
      </c>
      <c r="P102" s="16" t="s">
        <v>193</v>
      </c>
      <c r="Q102" s="16" t="s">
        <v>148</v>
      </c>
      <c r="R102" s="14" t="s">
        <v>149</v>
      </c>
      <c r="S102" s="14" t="s">
        <v>88</v>
      </c>
      <c r="T102" s="14" t="s">
        <v>140</v>
      </c>
      <c r="U102" s="15" t="s">
        <v>338</v>
      </c>
      <c r="V102" s="15"/>
      <c r="W102" s="16"/>
      <c r="X102" s="16" t="s">
        <v>84</v>
      </c>
      <c r="Y102" s="14" t="s">
        <v>84</v>
      </c>
      <c r="Z102" s="16" t="s">
        <v>84</v>
      </c>
      <c r="AA102" s="16" t="s">
        <v>84</v>
      </c>
      <c r="AB102" s="16" t="s">
        <v>84</v>
      </c>
      <c r="AC102" s="14" t="s">
        <v>84</v>
      </c>
      <c r="AD102" s="16" t="s">
        <v>84</v>
      </c>
      <c r="AE102" s="16" t="s">
        <v>84</v>
      </c>
      <c r="AF102" s="16" t="s">
        <v>84</v>
      </c>
      <c r="AG102" s="14" t="s">
        <v>84</v>
      </c>
      <c r="AH102" s="16" t="s">
        <v>84</v>
      </c>
      <c r="AI102" s="16" t="s">
        <v>84</v>
      </c>
      <c r="AJ102" s="16" t="s">
        <v>84</v>
      </c>
      <c r="AK102" s="14" t="s">
        <v>84</v>
      </c>
      <c r="AL102" s="16" t="s">
        <v>84</v>
      </c>
      <c r="AM102" s="16" t="s">
        <v>84</v>
      </c>
      <c r="AN102" s="14" t="s">
        <v>84</v>
      </c>
      <c r="AO102" s="14" t="s">
        <v>84</v>
      </c>
    </row>
    <row r="103" spans="1:41" ht="90" x14ac:dyDescent="0.25">
      <c r="A103" s="14" t="s">
        <v>133</v>
      </c>
      <c r="B103" s="14" t="s">
        <v>129</v>
      </c>
      <c r="C103" s="15">
        <v>43999.693055555559</v>
      </c>
      <c r="D103" s="14" t="s">
        <v>73</v>
      </c>
      <c r="E103" s="16" t="s">
        <v>74</v>
      </c>
      <c r="F103" s="14" t="s">
        <v>75</v>
      </c>
      <c r="G103" s="16" t="s">
        <v>76</v>
      </c>
      <c r="H103" s="14" t="s">
        <v>215</v>
      </c>
      <c r="I103" s="16" t="s">
        <v>216</v>
      </c>
      <c r="J103" s="16" t="s">
        <v>217</v>
      </c>
      <c r="K103" s="16" t="s">
        <v>218</v>
      </c>
      <c r="L103" s="14" t="s">
        <v>223</v>
      </c>
      <c r="M103" s="16" t="s">
        <v>224</v>
      </c>
      <c r="N103" s="14" t="s">
        <v>136</v>
      </c>
      <c r="O103" s="16" t="s">
        <v>199</v>
      </c>
      <c r="P103" s="16" t="s">
        <v>200</v>
      </c>
      <c r="Q103" s="16" t="s">
        <v>148</v>
      </c>
      <c r="R103" s="14" t="s">
        <v>149</v>
      </c>
      <c r="S103" s="14" t="s">
        <v>88</v>
      </c>
      <c r="T103" s="14" t="s">
        <v>140</v>
      </c>
      <c r="U103" s="15" t="s">
        <v>338</v>
      </c>
      <c r="V103" s="15"/>
      <c r="W103" s="16"/>
      <c r="X103" s="16" t="s">
        <v>84</v>
      </c>
      <c r="Y103" s="14" t="s">
        <v>84</v>
      </c>
      <c r="Z103" s="16" t="s">
        <v>84</v>
      </c>
      <c r="AA103" s="16" t="s">
        <v>84</v>
      </c>
      <c r="AB103" s="16" t="s">
        <v>84</v>
      </c>
      <c r="AC103" s="14" t="s">
        <v>84</v>
      </c>
      <c r="AD103" s="16" t="s">
        <v>84</v>
      </c>
      <c r="AE103" s="16" t="s">
        <v>84</v>
      </c>
      <c r="AF103" s="16" t="s">
        <v>84</v>
      </c>
      <c r="AG103" s="14" t="s">
        <v>84</v>
      </c>
      <c r="AH103" s="16" t="s">
        <v>84</v>
      </c>
      <c r="AI103" s="16" t="s">
        <v>84</v>
      </c>
      <c r="AJ103" s="16" t="s">
        <v>84</v>
      </c>
      <c r="AK103" s="14" t="s">
        <v>84</v>
      </c>
      <c r="AL103" s="16" t="s">
        <v>84</v>
      </c>
      <c r="AM103" s="16" t="s">
        <v>84</v>
      </c>
      <c r="AN103" s="14" t="s">
        <v>84</v>
      </c>
      <c r="AO103" s="14" t="s">
        <v>84</v>
      </c>
    </row>
    <row r="104" spans="1:41" ht="90" x14ac:dyDescent="0.25">
      <c r="A104" s="14" t="s">
        <v>133</v>
      </c>
      <c r="B104" s="14" t="s">
        <v>129</v>
      </c>
      <c r="C104" s="15">
        <v>44005.65902777778</v>
      </c>
      <c r="D104" s="14" t="s">
        <v>73</v>
      </c>
      <c r="E104" s="16" t="s">
        <v>74</v>
      </c>
      <c r="F104" s="14" t="s">
        <v>75</v>
      </c>
      <c r="G104" s="16" t="s">
        <v>76</v>
      </c>
      <c r="H104" s="14" t="s">
        <v>215</v>
      </c>
      <c r="I104" s="16" t="s">
        <v>216</v>
      </c>
      <c r="J104" s="16" t="s">
        <v>217</v>
      </c>
      <c r="K104" s="16" t="s">
        <v>218</v>
      </c>
      <c r="L104" s="14" t="s">
        <v>219</v>
      </c>
      <c r="M104" s="16" t="s">
        <v>220</v>
      </c>
      <c r="N104" s="14" t="s">
        <v>178</v>
      </c>
      <c r="O104" s="16" t="s">
        <v>179</v>
      </c>
      <c r="P104" s="16" t="s">
        <v>180</v>
      </c>
      <c r="Q104" s="16" t="s">
        <v>151</v>
      </c>
      <c r="R104" s="14" t="s">
        <v>152</v>
      </c>
      <c r="S104" s="14" t="s">
        <v>153</v>
      </c>
      <c r="T104" s="14" t="s">
        <v>140</v>
      </c>
      <c r="U104" s="15" t="s">
        <v>338</v>
      </c>
      <c r="V104" s="15"/>
      <c r="W104" s="16"/>
      <c r="X104" s="16" t="s">
        <v>84</v>
      </c>
      <c r="Y104" s="14" t="s">
        <v>84</v>
      </c>
      <c r="Z104" s="16" t="s">
        <v>84</v>
      </c>
      <c r="AA104" s="16" t="s">
        <v>84</v>
      </c>
      <c r="AB104" s="16" t="s">
        <v>84</v>
      </c>
      <c r="AC104" s="14" t="s">
        <v>84</v>
      </c>
      <c r="AD104" s="16" t="s">
        <v>84</v>
      </c>
      <c r="AE104" s="16" t="s">
        <v>84</v>
      </c>
      <c r="AF104" s="16" t="s">
        <v>84</v>
      </c>
      <c r="AG104" s="14" t="s">
        <v>84</v>
      </c>
      <c r="AH104" s="16" t="s">
        <v>84</v>
      </c>
      <c r="AI104" s="16" t="s">
        <v>84</v>
      </c>
      <c r="AJ104" s="16" t="s">
        <v>84</v>
      </c>
      <c r="AK104" s="14" t="s">
        <v>84</v>
      </c>
      <c r="AL104" s="16" t="s">
        <v>84</v>
      </c>
      <c r="AM104" s="16" t="s">
        <v>84</v>
      </c>
      <c r="AN104" s="14" t="s">
        <v>84</v>
      </c>
      <c r="AO104" s="14" t="s">
        <v>84</v>
      </c>
    </row>
    <row r="105" spans="1:41" ht="90" x14ac:dyDescent="0.25">
      <c r="A105" s="14" t="s">
        <v>133</v>
      </c>
      <c r="B105" s="14" t="s">
        <v>129</v>
      </c>
      <c r="C105" s="15">
        <v>43999.691666666666</v>
      </c>
      <c r="D105" s="14" t="s">
        <v>73</v>
      </c>
      <c r="E105" s="16" t="s">
        <v>74</v>
      </c>
      <c r="F105" s="14" t="s">
        <v>75</v>
      </c>
      <c r="G105" s="16" t="s">
        <v>76</v>
      </c>
      <c r="H105" s="14" t="s">
        <v>215</v>
      </c>
      <c r="I105" s="16" t="s">
        <v>216</v>
      </c>
      <c r="J105" s="16" t="s">
        <v>217</v>
      </c>
      <c r="K105" s="16" t="s">
        <v>218</v>
      </c>
      <c r="L105" s="14" t="s">
        <v>221</v>
      </c>
      <c r="M105" s="16" t="s">
        <v>222</v>
      </c>
      <c r="N105" s="14" t="s">
        <v>178</v>
      </c>
      <c r="O105" s="16" t="s">
        <v>192</v>
      </c>
      <c r="P105" s="16" t="s">
        <v>193</v>
      </c>
      <c r="Q105" s="16" t="s">
        <v>151</v>
      </c>
      <c r="R105" s="14" t="s">
        <v>152</v>
      </c>
      <c r="S105" s="14" t="s">
        <v>153</v>
      </c>
      <c r="T105" s="14" t="s">
        <v>140</v>
      </c>
      <c r="U105" s="15" t="s">
        <v>338</v>
      </c>
      <c r="V105" s="15"/>
      <c r="W105" s="16"/>
      <c r="X105" s="16" t="s">
        <v>84</v>
      </c>
      <c r="Y105" s="14" t="s">
        <v>84</v>
      </c>
      <c r="Z105" s="16" t="s">
        <v>84</v>
      </c>
      <c r="AA105" s="16" t="s">
        <v>84</v>
      </c>
      <c r="AB105" s="16" t="s">
        <v>84</v>
      </c>
      <c r="AC105" s="14" t="s">
        <v>84</v>
      </c>
      <c r="AD105" s="16" t="s">
        <v>84</v>
      </c>
      <c r="AE105" s="16" t="s">
        <v>84</v>
      </c>
      <c r="AF105" s="16" t="s">
        <v>84</v>
      </c>
      <c r="AG105" s="14" t="s">
        <v>84</v>
      </c>
      <c r="AH105" s="16" t="s">
        <v>84</v>
      </c>
      <c r="AI105" s="16" t="s">
        <v>84</v>
      </c>
      <c r="AJ105" s="16" t="s">
        <v>84</v>
      </c>
      <c r="AK105" s="14" t="s">
        <v>84</v>
      </c>
      <c r="AL105" s="16" t="s">
        <v>84</v>
      </c>
      <c r="AM105" s="16" t="s">
        <v>84</v>
      </c>
      <c r="AN105" s="14" t="s">
        <v>84</v>
      </c>
      <c r="AO105" s="14" t="s">
        <v>84</v>
      </c>
    </row>
    <row r="106" spans="1:41" ht="90" x14ac:dyDescent="0.25">
      <c r="A106" s="14" t="s">
        <v>133</v>
      </c>
      <c r="B106" s="14" t="s">
        <v>129</v>
      </c>
      <c r="C106" s="15">
        <v>43999.692361111112</v>
      </c>
      <c r="D106" s="14" t="s">
        <v>73</v>
      </c>
      <c r="E106" s="16" t="s">
        <v>74</v>
      </c>
      <c r="F106" s="14" t="s">
        <v>75</v>
      </c>
      <c r="G106" s="16" t="s">
        <v>76</v>
      </c>
      <c r="H106" s="14" t="s">
        <v>215</v>
      </c>
      <c r="I106" s="16" t="s">
        <v>216</v>
      </c>
      <c r="J106" s="16" t="s">
        <v>217</v>
      </c>
      <c r="K106" s="16" t="s">
        <v>218</v>
      </c>
      <c r="L106" s="14" t="s">
        <v>223</v>
      </c>
      <c r="M106" s="16" t="s">
        <v>224</v>
      </c>
      <c r="N106" s="14" t="s">
        <v>136</v>
      </c>
      <c r="O106" s="16" t="s">
        <v>199</v>
      </c>
      <c r="P106" s="16" t="s">
        <v>200</v>
      </c>
      <c r="Q106" s="16" t="s">
        <v>151</v>
      </c>
      <c r="R106" s="14" t="s">
        <v>152</v>
      </c>
      <c r="S106" s="14" t="s">
        <v>153</v>
      </c>
      <c r="T106" s="14" t="s">
        <v>140</v>
      </c>
      <c r="U106" s="15" t="s">
        <v>338</v>
      </c>
      <c r="V106" s="15"/>
      <c r="W106" s="16"/>
      <c r="X106" s="16" t="s">
        <v>84</v>
      </c>
      <c r="Y106" s="14" t="s">
        <v>84</v>
      </c>
      <c r="Z106" s="16" t="s">
        <v>84</v>
      </c>
      <c r="AA106" s="16" t="s">
        <v>84</v>
      </c>
      <c r="AB106" s="16" t="s">
        <v>84</v>
      </c>
      <c r="AC106" s="14" t="s">
        <v>84</v>
      </c>
      <c r="AD106" s="16" t="s">
        <v>84</v>
      </c>
      <c r="AE106" s="16" t="s">
        <v>84</v>
      </c>
      <c r="AF106" s="16" t="s">
        <v>84</v>
      </c>
      <c r="AG106" s="14" t="s">
        <v>84</v>
      </c>
      <c r="AH106" s="16" t="s">
        <v>84</v>
      </c>
      <c r="AI106" s="16" t="s">
        <v>84</v>
      </c>
      <c r="AJ106" s="16" t="s">
        <v>84</v>
      </c>
      <c r="AK106" s="14" t="s">
        <v>84</v>
      </c>
      <c r="AL106" s="16" t="s">
        <v>84</v>
      </c>
      <c r="AM106" s="16" t="s">
        <v>84</v>
      </c>
      <c r="AN106" s="14" t="s">
        <v>84</v>
      </c>
      <c r="AO106" s="14" t="s">
        <v>84</v>
      </c>
    </row>
    <row r="107" spans="1:41" ht="90" x14ac:dyDescent="0.25">
      <c r="A107" s="14" t="s">
        <v>133</v>
      </c>
      <c r="B107" s="14" t="s">
        <v>129</v>
      </c>
      <c r="C107" s="15">
        <v>43999.689583333333</v>
      </c>
      <c r="D107" s="14" t="s">
        <v>73</v>
      </c>
      <c r="E107" s="16" t="s">
        <v>74</v>
      </c>
      <c r="F107" s="14" t="s">
        <v>75</v>
      </c>
      <c r="G107" s="16" t="s">
        <v>76</v>
      </c>
      <c r="H107" s="14" t="s">
        <v>215</v>
      </c>
      <c r="I107" s="16" t="s">
        <v>216</v>
      </c>
      <c r="J107" s="16" t="s">
        <v>217</v>
      </c>
      <c r="K107" s="16" t="s">
        <v>218</v>
      </c>
      <c r="L107" s="14" t="s">
        <v>219</v>
      </c>
      <c r="M107" s="16" t="s">
        <v>220</v>
      </c>
      <c r="N107" s="14" t="s">
        <v>178</v>
      </c>
      <c r="O107" s="16" t="s">
        <v>179</v>
      </c>
      <c r="P107" s="16" t="s">
        <v>180</v>
      </c>
      <c r="Q107" s="16" t="s">
        <v>154</v>
      </c>
      <c r="R107" s="14" t="s">
        <v>155</v>
      </c>
      <c r="S107" s="14" t="s">
        <v>153</v>
      </c>
      <c r="T107" s="14" t="s">
        <v>140</v>
      </c>
      <c r="U107" s="15" t="s">
        <v>338</v>
      </c>
      <c r="V107" s="15"/>
      <c r="W107" s="16"/>
      <c r="X107" s="16" t="s">
        <v>84</v>
      </c>
      <c r="Y107" s="14" t="s">
        <v>84</v>
      </c>
      <c r="Z107" s="16" t="s">
        <v>84</v>
      </c>
      <c r="AA107" s="16" t="s">
        <v>84</v>
      </c>
      <c r="AB107" s="16" t="s">
        <v>84</v>
      </c>
      <c r="AC107" s="14" t="s">
        <v>84</v>
      </c>
      <c r="AD107" s="16" t="s">
        <v>84</v>
      </c>
      <c r="AE107" s="16" t="s">
        <v>84</v>
      </c>
      <c r="AF107" s="16" t="s">
        <v>84</v>
      </c>
      <c r="AG107" s="14" t="s">
        <v>84</v>
      </c>
      <c r="AH107" s="16" t="s">
        <v>84</v>
      </c>
      <c r="AI107" s="16" t="s">
        <v>84</v>
      </c>
      <c r="AJ107" s="16" t="s">
        <v>84</v>
      </c>
      <c r="AK107" s="14" t="s">
        <v>84</v>
      </c>
      <c r="AL107" s="16" t="s">
        <v>84</v>
      </c>
      <c r="AM107" s="16" t="s">
        <v>84</v>
      </c>
      <c r="AN107" s="14" t="s">
        <v>84</v>
      </c>
      <c r="AO107" s="14" t="s">
        <v>84</v>
      </c>
    </row>
    <row r="108" spans="1:41" ht="90" x14ac:dyDescent="0.25">
      <c r="A108" s="14" t="s">
        <v>133</v>
      </c>
      <c r="B108" s="14" t="s">
        <v>129</v>
      </c>
      <c r="C108" s="15">
        <v>43999.691666666666</v>
      </c>
      <c r="D108" s="14" t="s">
        <v>73</v>
      </c>
      <c r="E108" s="16" t="s">
        <v>74</v>
      </c>
      <c r="F108" s="14" t="s">
        <v>75</v>
      </c>
      <c r="G108" s="16" t="s">
        <v>76</v>
      </c>
      <c r="H108" s="14" t="s">
        <v>215</v>
      </c>
      <c r="I108" s="16" t="s">
        <v>216</v>
      </c>
      <c r="J108" s="16" t="s">
        <v>217</v>
      </c>
      <c r="K108" s="16" t="s">
        <v>218</v>
      </c>
      <c r="L108" s="14" t="s">
        <v>221</v>
      </c>
      <c r="M108" s="16" t="s">
        <v>222</v>
      </c>
      <c r="N108" s="14" t="s">
        <v>178</v>
      </c>
      <c r="O108" s="16" t="s">
        <v>192</v>
      </c>
      <c r="P108" s="16" t="s">
        <v>193</v>
      </c>
      <c r="Q108" s="16" t="s">
        <v>154</v>
      </c>
      <c r="R108" s="14" t="s">
        <v>155</v>
      </c>
      <c r="S108" s="14" t="s">
        <v>153</v>
      </c>
      <c r="T108" s="14" t="s">
        <v>140</v>
      </c>
      <c r="U108" s="15" t="s">
        <v>338</v>
      </c>
      <c r="V108" s="15"/>
      <c r="W108" s="16"/>
      <c r="X108" s="16" t="s">
        <v>84</v>
      </c>
      <c r="Y108" s="14" t="s">
        <v>84</v>
      </c>
      <c r="Z108" s="16" t="s">
        <v>84</v>
      </c>
      <c r="AA108" s="16" t="s">
        <v>84</v>
      </c>
      <c r="AB108" s="16" t="s">
        <v>84</v>
      </c>
      <c r="AC108" s="14" t="s">
        <v>84</v>
      </c>
      <c r="AD108" s="16" t="s">
        <v>84</v>
      </c>
      <c r="AE108" s="16" t="s">
        <v>84</v>
      </c>
      <c r="AF108" s="16" t="s">
        <v>84</v>
      </c>
      <c r="AG108" s="14" t="s">
        <v>84</v>
      </c>
      <c r="AH108" s="16" t="s">
        <v>84</v>
      </c>
      <c r="AI108" s="16" t="s">
        <v>84</v>
      </c>
      <c r="AJ108" s="16" t="s">
        <v>84</v>
      </c>
      <c r="AK108" s="14" t="s">
        <v>84</v>
      </c>
      <c r="AL108" s="16" t="s">
        <v>84</v>
      </c>
      <c r="AM108" s="16" t="s">
        <v>84</v>
      </c>
      <c r="AN108" s="14" t="s">
        <v>84</v>
      </c>
      <c r="AO108" s="14" t="s">
        <v>84</v>
      </c>
    </row>
    <row r="109" spans="1:41" ht="90" x14ac:dyDescent="0.25">
      <c r="A109" s="14" t="s">
        <v>133</v>
      </c>
      <c r="B109" s="14" t="s">
        <v>129</v>
      </c>
      <c r="C109" s="15">
        <v>43999.692361111112</v>
      </c>
      <c r="D109" s="14" t="s">
        <v>73</v>
      </c>
      <c r="E109" s="16" t="s">
        <v>74</v>
      </c>
      <c r="F109" s="14" t="s">
        <v>75</v>
      </c>
      <c r="G109" s="16" t="s">
        <v>76</v>
      </c>
      <c r="H109" s="14" t="s">
        <v>215</v>
      </c>
      <c r="I109" s="16" t="s">
        <v>216</v>
      </c>
      <c r="J109" s="16" t="s">
        <v>217</v>
      </c>
      <c r="K109" s="16" t="s">
        <v>218</v>
      </c>
      <c r="L109" s="14" t="s">
        <v>223</v>
      </c>
      <c r="M109" s="16" t="s">
        <v>224</v>
      </c>
      <c r="N109" s="14" t="s">
        <v>136</v>
      </c>
      <c r="O109" s="16" t="s">
        <v>199</v>
      </c>
      <c r="P109" s="16" t="s">
        <v>200</v>
      </c>
      <c r="Q109" s="16" t="s">
        <v>154</v>
      </c>
      <c r="R109" s="14" t="s">
        <v>155</v>
      </c>
      <c r="S109" s="14" t="s">
        <v>153</v>
      </c>
      <c r="T109" s="14" t="s">
        <v>140</v>
      </c>
      <c r="U109" s="15" t="s">
        <v>338</v>
      </c>
      <c r="V109" s="15"/>
      <c r="W109" s="16"/>
      <c r="X109" s="16" t="s">
        <v>84</v>
      </c>
      <c r="Y109" s="14" t="s">
        <v>84</v>
      </c>
      <c r="Z109" s="16" t="s">
        <v>84</v>
      </c>
      <c r="AA109" s="16" t="s">
        <v>84</v>
      </c>
      <c r="AB109" s="16" t="s">
        <v>84</v>
      </c>
      <c r="AC109" s="14" t="s">
        <v>84</v>
      </c>
      <c r="AD109" s="16" t="s">
        <v>84</v>
      </c>
      <c r="AE109" s="16" t="s">
        <v>84</v>
      </c>
      <c r="AF109" s="16" t="s">
        <v>84</v>
      </c>
      <c r="AG109" s="14" t="s">
        <v>84</v>
      </c>
      <c r="AH109" s="16" t="s">
        <v>84</v>
      </c>
      <c r="AI109" s="16" t="s">
        <v>84</v>
      </c>
      <c r="AJ109" s="16" t="s">
        <v>84</v>
      </c>
      <c r="AK109" s="14" t="s">
        <v>84</v>
      </c>
      <c r="AL109" s="16" t="s">
        <v>84</v>
      </c>
      <c r="AM109" s="16" t="s">
        <v>84</v>
      </c>
      <c r="AN109" s="14" t="s">
        <v>84</v>
      </c>
      <c r="AO109" s="14" t="s">
        <v>84</v>
      </c>
    </row>
    <row r="110" spans="1:41" ht="60" x14ac:dyDescent="0.25">
      <c r="A110" s="14" t="s">
        <v>225</v>
      </c>
      <c r="B110" s="14" t="s">
        <v>129</v>
      </c>
      <c r="C110" s="15">
        <v>45083.474999999999</v>
      </c>
      <c r="D110" s="14" t="s">
        <v>73</v>
      </c>
      <c r="E110" s="16" t="s">
        <v>74</v>
      </c>
      <c r="F110" s="14" t="s">
        <v>75</v>
      </c>
      <c r="G110" s="16" t="s">
        <v>76</v>
      </c>
      <c r="H110" s="14" t="s">
        <v>226</v>
      </c>
      <c r="I110" s="16" t="s">
        <v>227</v>
      </c>
      <c r="J110" s="16" t="s">
        <v>228</v>
      </c>
      <c r="K110" s="16" t="s">
        <v>229</v>
      </c>
      <c r="L110" s="14" t="s">
        <v>230</v>
      </c>
      <c r="M110" s="16" t="s">
        <v>231</v>
      </c>
      <c r="N110" s="14" t="s">
        <v>83</v>
      </c>
      <c r="O110" s="16" t="s">
        <v>84</v>
      </c>
      <c r="P110" s="16" t="s">
        <v>84</v>
      </c>
      <c r="Q110" s="16" t="s">
        <v>85</v>
      </c>
      <c r="R110" s="14" t="s">
        <v>86</v>
      </c>
      <c r="S110" s="14" t="s">
        <v>88</v>
      </c>
      <c r="T110" s="14" t="s">
        <v>89</v>
      </c>
      <c r="U110" s="15" t="s">
        <v>338</v>
      </c>
      <c r="V110" s="15"/>
      <c r="W110" s="16"/>
      <c r="X110" s="16" t="s">
        <v>84</v>
      </c>
      <c r="Y110" s="14" t="s">
        <v>84</v>
      </c>
      <c r="Z110" s="16" t="s">
        <v>84</v>
      </c>
      <c r="AA110" s="16" t="s">
        <v>84</v>
      </c>
      <c r="AB110" s="16" t="s">
        <v>84</v>
      </c>
      <c r="AC110" s="14" t="s">
        <v>84</v>
      </c>
      <c r="AD110" s="16" t="s">
        <v>84</v>
      </c>
      <c r="AE110" s="16" t="s">
        <v>84</v>
      </c>
      <c r="AF110" s="16" t="s">
        <v>84</v>
      </c>
      <c r="AG110" s="14" t="s">
        <v>84</v>
      </c>
      <c r="AH110" s="16" t="s">
        <v>84</v>
      </c>
      <c r="AI110" s="16" t="s">
        <v>84</v>
      </c>
      <c r="AJ110" s="16" t="s">
        <v>84</v>
      </c>
      <c r="AK110" s="14" t="s">
        <v>84</v>
      </c>
      <c r="AL110" s="16" t="s">
        <v>84</v>
      </c>
      <c r="AM110" s="16" t="s">
        <v>84</v>
      </c>
      <c r="AN110" s="14" t="s">
        <v>84</v>
      </c>
      <c r="AO110" s="14" t="s">
        <v>84</v>
      </c>
    </row>
    <row r="111" spans="1:41" ht="60" x14ac:dyDescent="0.25">
      <c r="A111" s="14" t="s">
        <v>225</v>
      </c>
      <c r="B111" s="14" t="s">
        <v>129</v>
      </c>
      <c r="C111" s="15">
        <v>45083.484722222223</v>
      </c>
      <c r="D111" s="14" t="s">
        <v>73</v>
      </c>
      <c r="E111" s="16" t="s">
        <v>74</v>
      </c>
      <c r="F111" s="14" t="s">
        <v>75</v>
      </c>
      <c r="G111" s="16" t="s">
        <v>76</v>
      </c>
      <c r="H111" s="14" t="s">
        <v>226</v>
      </c>
      <c r="I111" s="16" t="s">
        <v>227</v>
      </c>
      <c r="J111" s="16" t="s">
        <v>228</v>
      </c>
      <c r="K111" s="16" t="s">
        <v>229</v>
      </c>
      <c r="L111" s="14" t="s">
        <v>235</v>
      </c>
      <c r="M111" s="16" t="s">
        <v>236</v>
      </c>
      <c r="N111" s="14" t="s">
        <v>136</v>
      </c>
      <c r="O111" s="16" t="s">
        <v>84</v>
      </c>
      <c r="P111" s="16" t="s">
        <v>84</v>
      </c>
      <c r="Q111" s="16" t="s">
        <v>85</v>
      </c>
      <c r="R111" s="14" t="s">
        <v>86</v>
      </c>
      <c r="S111" s="14" t="s">
        <v>88</v>
      </c>
      <c r="T111" s="14" t="s">
        <v>89</v>
      </c>
      <c r="U111" s="15" t="s">
        <v>338</v>
      </c>
      <c r="V111" s="15"/>
      <c r="W111" s="16"/>
      <c r="X111" s="16" t="s">
        <v>84</v>
      </c>
      <c r="Y111" s="14" t="s">
        <v>84</v>
      </c>
      <c r="Z111" s="16" t="s">
        <v>84</v>
      </c>
      <c r="AA111" s="16" t="s">
        <v>84</v>
      </c>
      <c r="AB111" s="16" t="s">
        <v>84</v>
      </c>
      <c r="AC111" s="14" t="s">
        <v>84</v>
      </c>
      <c r="AD111" s="16" t="s">
        <v>84</v>
      </c>
      <c r="AE111" s="16" t="s">
        <v>84</v>
      </c>
      <c r="AF111" s="16" t="s">
        <v>84</v>
      </c>
      <c r="AG111" s="14" t="s">
        <v>84</v>
      </c>
      <c r="AH111" s="16" t="s">
        <v>84</v>
      </c>
      <c r="AI111" s="16" t="s">
        <v>84</v>
      </c>
      <c r="AJ111" s="16" t="s">
        <v>84</v>
      </c>
      <c r="AK111" s="14" t="s">
        <v>84</v>
      </c>
      <c r="AL111" s="16" t="s">
        <v>84</v>
      </c>
      <c r="AM111" s="16" t="s">
        <v>84</v>
      </c>
      <c r="AN111" s="14" t="s">
        <v>84</v>
      </c>
      <c r="AO111" s="14" t="s">
        <v>84</v>
      </c>
    </row>
    <row r="112" spans="1:41" ht="60" x14ac:dyDescent="0.25">
      <c r="A112" s="14" t="s">
        <v>225</v>
      </c>
      <c r="B112" s="14" t="s">
        <v>129</v>
      </c>
      <c r="C112" s="15">
        <v>45083.462500000001</v>
      </c>
      <c r="D112" s="14" t="s">
        <v>73</v>
      </c>
      <c r="E112" s="16" t="s">
        <v>74</v>
      </c>
      <c r="F112" s="14" t="s">
        <v>75</v>
      </c>
      <c r="G112" s="16" t="s">
        <v>76</v>
      </c>
      <c r="H112" s="14" t="s">
        <v>226</v>
      </c>
      <c r="I112" s="16" t="s">
        <v>227</v>
      </c>
      <c r="J112" s="16" t="s">
        <v>228</v>
      </c>
      <c r="K112" s="16" t="s">
        <v>229</v>
      </c>
      <c r="L112" s="14" t="s">
        <v>230</v>
      </c>
      <c r="M112" s="16" t="s">
        <v>231</v>
      </c>
      <c r="N112" s="14" t="s">
        <v>83</v>
      </c>
      <c r="O112" s="16" t="s">
        <v>84</v>
      </c>
      <c r="P112" s="16" t="s">
        <v>84</v>
      </c>
      <c r="Q112" s="16" t="s">
        <v>138</v>
      </c>
      <c r="R112" s="14" t="s">
        <v>139</v>
      </c>
      <c r="S112" s="14" t="s">
        <v>88</v>
      </c>
      <c r="T112" s="14" t="s">
        <v>140</v>
      </c>
      <c r="U112" s="15" t="s">
        <v>338</v>
      </c>
      <c r="V112" s="15"/>
      <c r="W112" s="16"/>
      <c r="X112" s="16" t="s">
        <v>84</v>
      </c>
      <c r="Y112" s="14" t="s">
        <v>84</v>
      </c>
      <c r="Z112" s="16" t="s">
        <v>84</v>
      </c>
      <c r="AA112" s="16" t="s">
        <v>84</v>
      </c>
      <c r="AB112" s="16" t="s">
        <v>84</v>
      </c>
      <c r="AC112" s="14" t="s">
        <v>84</v>
      </c>
      <c r="AD112" s="16" t="s">
        <v>84</v>
      </c>
      <c r="AE112" s="16" t="s">
        <v>84</v>
      </c>
      <c r="AF112" s="16" t="s">
        <v>84</v>
      </c>
      <c r="AG112" s="14" t="s">
        <v>84</v>
      </c>
      <c r="AH112" s="16" t="s">
        <v>84</v>
      </c>
      <c r="AI112" s="16" t="s">
        <v>84</v>
      </c>
      <c r="AJ112" s="16" t="s">
        <v>84</v>
      </c>
      <c r="AK112" s="14" t="s">
        <v>84</v>
      </c>
      <c r="AL112" s="16" t="s">
        <v>84</v>
      </c>
      <c r="AM112" s="16" t="s">
        <v>84</v>
      </c>
      <c r="AN112" s="14" t="s">
        <v>84</v>
      </c>
      <c r="AO112" s="14" t="s">
        <v>84</v>
      </c>
    </row>
    <row r="113" spans="1:41" ht="60" x14ac:dyDescent="0.25">
      <c r="A113" s="14" t="s">
        <v>225</v>
      </c>
      <c r="B113" s="14" t="s">
        <v>129</v>
      </c>
      <c r="C113" s="15">
        <v>45083.479166666664</v>
      </c>
      <c r="D113" s="14" t="s">
        <v>73</v>
      </c>
      <c r="E113" s="16" t="s">
        <v>74</v>
      </c>
      <c r="F113" s="14" t="s">
        <v>75</v>
      </c>
      <c r="G113" s="16" t="s">
        <v>76</v>
      </c>
      <c r="H113" s="14" t="s">
        <v>226</v>
      </c>
      <c r="I113" s="16" t="s">
        <v>227</v>
      </c>
      <c r="J113" s="16" t="s">
        <v>228</v>
      </c>
      <c r="K113" s="16" t="s">
        <v>229</v>
      </c>
      <c r="L113" s="14" t="s">
        <v>235</v>
      </c>
      <c r="M113" s="16" t="s">
        <v>236</v>
      </c>
      <c r="N113" s="14" t="s">
        <v>136</v>
      </c>
      <c r="O113" s="16" t="s">
        <v>84</v>
      </c>
      <c r="P113" s="16" t="s">
        <v>84</v>
      </c>
      <c r="Q113" s="16" t="s">
        <v>138</v>
      </c>
      <c r="R113" s="14" t="s">
        <v>139</v>
      </c>
      <c r="S113" s="14" t="s">
        <v>88</v>
      </c>
      <c r="T113" s="14" t="s">
        <v>140</v>
      </c>
      <c r="U113" s="15" t="s">
        <v>338</v>
      </c>
      <c r="V113" s="15"/>
      <c r="W113" s="16"/>
      <c r="X113" s="16" t="s">
        <v>84</v>
      </c>
      <c r="Y113" s="14" t="s">
        <v>84</v>
      </c>
      <c r="Z113" s="16" t="s">
        <v>84</v>
      </c>
      <c r="AA113" s="16" t="s">
        <v>84</v>
      </c>
      <c r="AB113" s="16" t="s">
        <v>84</v>
      </c>
      <c r="AC113" s="14" t="s">
        <v>84</v>
      </c>
      <c r="AD113" s="16" t="s">
        <v>84</v>
      </c>
      <c r="AE113" s="16" t="s">
        <v>84</v>
      </c>
      <c r="AF113" s="16" t="s">
        <v>84</v>
      </c>
      <c r="AG113" s="14" t="s">
        <v>84</v>
      </c>
      <c r="AH113" s="16" t="s">
        <v>84</v>
      </c>
      <c r="AI113" s="16" t="s">
        <v>84</v>
      </c>
      <c r="AJ113" s="16" t="s">
        <v>84</v>
      </c>
      <c r="AK113" s="14" t="s">
        <v>84</v>
      </c>
      <c r="AL113" s="16" t="s">
        <v>84</v>
      </c>
      <c r="AM113" s="16" t="s">
        <v>84</v>
      </c>
      <c r="AN113" s="14" t="s">
        <v>84</v>
      </c>
      <c r="AO113" s="14" t="s">
        <v>84</v>
      </c>
    </row>
    <row r="114" spans="1:41" ht="60" x14ac:dyDescent="0.25">
      <c r="A114" s="14" t="s">
        <v>225</v>
      </c>
      <c r="B114" s="14" t="s">
        <v>129</v>
      </c>
      <c r="C114" s="15">
        <v>45083.461805555555</v>
      </c>
      <c r="D114" s="14" t="s">
        <v>73</v>
      </c>
      <c r="E114" s="16" t="s">
        <v>74</v>
      </c>
      <c r="F114" s="14" t="s">
        <v>75</v>
      </c>
      <c r="G114" s="16" t="s">
        <v>76</v>
      </c>
      <c r="H114" s="14" t="s">
        <v>226</v>
      </c>
      <c r="I114" s="16" t="s">
        <v>227</v>
      </c>
      <c r="J114" s="16" t="s">
        <v>228</v>
      </c>
      <c r="K114" s="16" t="s">
        <v>229</v>
      </c>
      <c r="L114" s="14" t="s">
        <v>230</v>
      </c>
      <c r="M114" s="16" t="s">
        <v>231</v>
      </c>
      <c r="N114" s="14" t="s">
        <v>83</v>
      </c>
      <c r="O114" s="16" t="s">
        <v>84</v>
      </c>
      <c r="P114" s="16" t="s">
        <v>84</v>
      </c>
      <c r="Q114" s="16" t="s">
        <v>141</v>
      </c>
      <c r="R114" s="14" t="s">
        <v>142</v>
      </c>
      <c r="S114" s="14" t="s">
        <v>88</v>
      </c>
      <c r="T114" s="14" t="s">
        <v>140</v>
      </c>
      <c r="U114" s="15" t="s">
        <v>338</v>
      </c>
      <c r="V114" s="15"/>
      <c r="W114" s="16"/>
      <c r="X114" s="16" t="s">
        <v>84</v>
      </c>
      <c r="Y114" s="14" t="s">
        <v>84</v>
      </c>
      <c r="Z114" s="16" t="s">
        <v>84</v>
      </c>
      <c r="AA114" s="16" t="s">
        <v>84</v>
      </c>
      <c r="AB114" s="16" t="s">
        <v>84</v>
      </c>
      <c r="AC114" s="14" t="s">
        <v>84</v>
      </c>
      <c r="AD114" s="16" t="s">
        <v>84</v>
      </c>
      <c r="AE114" s="16" t="s">
        <v>84</v>
      </c>
      <c r="AF114" s="16" t="s">
        <v>84</v>
      </c>
      <c r="AG114" s="14" t="s">
        <v>84</v>
      </c>
      <c r="AH114" s="16" t="s">
        <v>84</v>
      </c>
      <c r="AI114" s="16" t="s">
        <v>84</v>
      </c>
      <c r="AJ114" s="16" t="s">
        <v>84</v>
      </c>
      <c r="AK114" s="14" t="s">
        <v>84</v>
      </c>
      <c r="AL114" s="16" t="s">
        <v>84</v>
      </c>
      <c r="AM114" s="16" t="s">
        <v>84</v>
      </c>
      <c r="AN114" s="14" t="s">
        <v>84</v>
      </c>
      <c r="AO114" s="14" t="s">
        <v>84</v>
      </c>
    </row>
    <row r="115" spans="1:41" ht="60" x14ac:dyDescent="0.25">
      <c r="A115" s="14" t="s">
        <v>225</v>
      </c>
      <c r="B115" s="14" t="s">
        <v>129</v>
      </c>
      <c r="C115" s="15">
        <v>45083.479166666664</v>
      </c>
      <c r="D115" s="14" t="s">
        <v>73</v>
      </c>
      <c r="E115" s="16" t="s">
        <v>74</v>
      </c>
      <c r="F115" s="14" t="s">
        <v>75</v>
      </c>
      <c r="G115" s="16" t="s">
        <v>76</v>
      </c>
      <c r="H115" s="14" t="s">
        <v>226</v>
      </c>
      <c r="I115" s="16" t="s">
        <v>227</v>
      </c>
      <c r="J115" s="16" t="s">
        <v>228</v>
      </c>
      <c r="K115" s="16" t="s">
        <v>229</v>
      </c>
      <c r="L115" s="14" t="s">
        <v>235</v>
      </c>
      <c r="M115" s="16" t="s">
        <v>236</v>
      </c>
      <c r="N115" s="14" t="s">
        <v>136</v>
      </c>
      <c r="O115" s="16" t="s">
        <v>84</v>
      </c>
      <c r="P115" s="16" t="s">
        <v>84</v>
      </c>
      <c r="Q115" s="16" t="s">
        <v>141</v>
      </c>
      <c r="R115" s="14" t="s">
        <v>142</v>
      </c>
      <c r="S115" s="14" t="s">
        <v>88</v>
      </c>
      <c r="T115" s="14" t="s">
        <v>140</v>
      </c>
      <c r="U115" s="15" t="s">
        <v>338</v>
      </c>
      <c r="V115" s="15"/>
      <c r="W115" s="16"/>
      <c r="X115" s="16" t="s">
        <v>84</v>
      </c>
      <c r="Y115" s="14" t="s">
        <v>84</v>
      </c>
      <c r="Z115" s="16" t="s">
        <v>84</v>
      </c>
      <c r="AA115" s="16" t="s">
        <v>84</v>
      </c>
      <c r="AB115" s="16" t="s">
        <v>84</v>
      </c>
      <c r="AC115" s="14" t="s">
        <v>84</v>
      </c>
      <c r="AD115" s="16" t="s">
        <v>84</v>
      </c>
      <c r="AE115" s="16" t="s">
        <v>84</v>
      </c>
      <c r="AF115" s="16" t="s">
        <v>84</v>
      </c>
      <c r="AG115" s="14" t="s">
        <v>84</v>
      </c>
      <c r="AH115" s="16" t="s">
        <v>84</v>
      </c>
      <c r="AI115" s="16" t="s">
        <v>84</v>
      </c>
      <c r="AJ115" s="16" t="s">
        <v>84</v>
      </c>
      <c r="AK115" s="14" t="s">
        <v>84</v>
      </c>
      <c r="AL115" s="16" t="s">
        <v>84</v>
      </c>
      <c r="AM115" s="16" t="s">
        <v>84</v>
      </c>
      <c r="AN115" s="14" t="s">
        <v>84</v>
      </c>
      <c r="AO115" s="14" t="s">
        <v>84</v>
      </c>
    </row>
    <row r="116" spans="1:41" ht="60" x14ac:dyDescent="0.25">
      <c r="A116" s="14" t="s">
        <v>225</v>
      </c>
      <c r="B116" s="14" t="s">
        <v>129</v>
      </c>
      <c r="C116" s="15">
        <v>45083.476388888892</v>
      </c>
      <c r="D116" s="14" t="s">
        <v>73</v>
      </c>
      <c r="E116" s="16" t="s">
        <v>74</v>
      </c>
      <c r="F116" s="14" t="s">
        <v>75</v>
      </c>
      <c r="G116" s="16" t="s">
        <v>76</v>
      </c>
      <c r="H116" s="14" t="s">
        <v>226</v>
      </c>
      <c r="I116" s="16" t="s">
        <v>227</v>
      </c>
      <c r="J116" s="16" t="s">
        <v>228</v>
      </c>
      <c r="K116" s="16" t="s">
        <v>229</v>
      </c>
      <c r="L116" s="14" t="s">
        <v>230</v>
      </c>
      <c r="M116" s="16" t="s">
        <v>231</v>
      </c>
      <c r="N116" s="14" t="s">
        <v>83</v>
      </c>
      <c r="O116" s="16" t="s">
        <v>84</v>
      </c>
      <c r="P116" s="16" t="s">
        <v>84</v>
      </c>
      <c r="Q116" s="16" t="s">
        <v>144</v>
      </c>
      <c r="R116" s="14" t="s">
        <v>145</v>
      </c>
      <c r="S116" s="14" t="s">
        <v>88</v>
      </c>
      <c r="T116" s="14" t="s">
        <v>89</v>
      </c>
      <c r="U116" s="15" t="s">
        <v>338</v>
      </c>
      <c r="V116" s="15"/>
      <c r="W116" s="16"/>
      <c r="X116" s="16" t="s">
        <v>84</v>
      </c>
      <c r="Y116" s="14" t="s">
        <v>84</v>
      </c>
      <c r="Z116" s="16" t="s">
        <v>84</v>
      </c>
      <c r="AA116" s="16" t="s">
        <v>84</v>
      </c>
      <c r="AB116" s="16" t="s">
        <v>84</v>
      </c>
      <c r="AC116" s="14" t="s">
        <v>84</v>
      </c>
      <c r="AD116" s="16" t="s">
        <v>84</v>
      </c>
      <c r="AE116" s="16" t="s">
        <v>84</v>
      </c>
      <c r="AF116" s="16" t="s">
        <v>84</v>
      </c>
      <c r="AG116" s="14" t="s">
        <v>84</v>
      </c>
      <c r="AH116" s="16" t="s">
        <v>84</v>
      </c>
      <c r="AI116" s="16" t="s">
        <v>84</v>
      </c>
      <c r="AJ116" s="16" t="s">
        <v>84</v>
      </c>
      <c r="AK116" s="14" t="s">
        <v>84</v>
      </c>
      <c r="AL116" s="16" t="s">
        <v>84</v>
      </c>
      <c r="AM116" s="16" t="s">
        <v>84</v>
      </c>
      <c r="AN116" s="14" t="s">
        <v>84</v>
      </c>
      <c r="AO116" s="14" t="s">
        <v>84</v>
      </c>
    </row>
    <row r="117" spans="1:41" ht="60" x14ac:dyDescent="0.25">
      <c r="A117" s="14" t="s">
        <v>225</v>
      </c>
      <c r="B117" s="14" t="s">
        <v>129</v>
      </c>
      <c r="C117" s="15">
        <v>45083.48541666667</v>
      </c>
      <c r="D117" s="14" t="s">
        <v>73</v>
      </c>
      <c r="E117" s="16" t="s">
        <v>74</v>
      </c>
      <c r="F117" s="14" t="s">
        <v>75</v>
      </c>
      <c r="G117" s="16" t="s">
        <v>76</v>
      </c>
      <c r="H117" s="14" t="s">
        <v>226</v>
      </c>
      <c r="I117" s="16" t="s">
        <v>227</v>
      </c>
      <c r="J117" s="16" t="s">
        <v>228</v>
      </c>
      <c r="K117" s="16" t="s">
        <v>229</v>
      </c>
      <c r="L117" s="14" t="s">
        <v>235</v>
      </c>
      <c r="M117" s="16" t="s">
        <v>236</v>
      </c>
      <c r="N117" s="14" t="s">
        <v>136</v>
      </c>
      <c r="O117" s="16" t="s">
        <v>84</v>
      </c>
      <c r="P117" s="16" t="s">
        <v>84</v>
      </c>
      <c r="Q117" s="16" t="s">
        <v>144</v>
      </c>
      <c r="R117" s="14" t="s">
        <v>145</v>
      </c>
      <c r="S117" s="14" t="s">
        <v>88</v>
      </c>
      <c r="T117" s="14" t="s">
        <v>89</v>
      </c>
      <c r="U117" s="15" t="s">
        <v>338</v>
      </c>
      <c r="V117" s="15"/>
      <c r="W117" s="16"/>
      <c r="X117" s="16" t="s">
        <v>84</v>
      </c>
      <c r="Y117" s="14" t="s">
        <v>84</v>
      </c>
      <c r="Z117" s="16" t="s">
        <v>84</v>
      </c>
      <c r="AA117" s="16" t="s">
        <v>84</v>
      </c>
      <c r="AB117" s="16" t="s">
        <v>84</v>
      </c>
      <c r="AC117" s="14" t="s">
        <v>84</v>
      </c>
      <c r="AD117" s="16" t="s">
        <v>84</v>
      </c>
      <c r="AE117" s="16" t="s">
        <v>84</v>
      </c>
      <c r="AF117" s="16" t="s">
        <v>84</v>
      </c>
      <c r="AG117" s="14" t="s">
        <v>84</v>
      </c>
      <c r="AH117" s="16" t="s">
        <v>84</v>
      </c>
      <c r="AI117" s="16" t="s">
        <v>84</v>
      </c>
      <c r="AJ117" s="16" t="s">
        <v>84</v>
      </c>
      <c r="AK117" s="14" t="s">
        <v>84</v>
      </c>
      <c r="AL117" s="16" t="s">
        <v>84</v>
      </c>
      <c r="AM117" s="16" t="s">
        <v>84</v>
      </c>
      <c r="AN117" s="14" t="s">
        <v>84</v>
      </c>
      <c r="AO117" s="14" t="s">
        <v>84</v>
      </c>
    </row>
    <row r="118" spans="1:41" ht="60" x14ac:dyDescent="0.25">
      <c r="A118" s="14" t="s">
        <v>225</v>
      </c>
      <c r="B118" s="14" t="s">
        <v>129</v>
      </c>
      <c r="C118" s="15">
        <v>45083.461805555555</v>
      </c>
      <c r="D118" s="14" t="s">
        <v>73</v>
      </c>
      <c r="E118" s="16" t="s">
        <v>74</v>
      </c>
      <c r="F118" s="14" t="s">
        <v>75</v>
      </c>
      <c r="G118" s="16" t="s">
        <v>76</v>
      </c>
      <c r="H118" s="14" t="s">
        <v>226</v>
      </c>
      <c r="I118" s="16" t="s">
        <v>227</v>
      </c>
      <c r="J118" s="16" t="s">
        <v>228</v>
      </c>
      <c r="K118" s="16" t="s">
        <v>229</v>
      </c>
      <c r="L118" s="14" t="s">
        <v>230</v>
      </c>
      <c r="M118" s="16" t="s">
        <v>231</v>
      </c>
      <c r="N118" s="14" t="s">
        <v>83</v>
      </c>
      <c r="O118" s="16" t="s">
        <v>84</v>
      </c>
      <c r="P118" s="16" t="s">
        <v>84</v>
      </c>
      <c r="Q118" s="16" t="s">
        <v>148</v>
      </c>
      <c r="R118" s="14" t="s">
        <v>149</v>
      </c>
      <c r="S118" s="14" t="s">
        <v>88</v>
      </c>
      <c r="T118" s="14" t="s">
        <v>140</v>
      </c>
      <c r="U118" s="15" t="s">
        <v>338</v>
      </c>
      <c r="V118" s="15"/>
      <c r="W118" s="16"/>
      <c r="X118" s="16" t="s">
        <v>84</v>
      </c>
      <c r="Y118" s="14" t="s">
        <v>84</v>
      </c>
      <c r="Z118" s="16" t="s">
        <v>84</v>
      </c>
      <c r="AA118" s="16" t="s">
        <v>84</v>
      </c>
      <c r="AB118" s="16" t="s">
        <v>84</v>
      </c>
      <c r="AC118" s="14" t="s">
        <v>84</v>
      </c>
      <c r="AD118" s="16" t="s">
        <v>84</v>
      </c>
      <c r="AE118" s="16" t="s">
        <v>84</v>
      </c>
      <c r="AF118" s="16" t="s">
        <v>84</v>
      </c>
      <c r="AG118" s="14" t="s">
        <v>84</v>
      </c>
      <c r="AH118" s="16" t="s">
        <v>84</v>
      </c>
      <c r="AI118" s="16" t="s">
        <v>84</v>
      </c>
      <c r="AJ118" s="16" t="s">
        <v>84</v>
      </c>
      <c r="AK118" s="14" t="s">
        <v>84</v>
      </c>
      <c r="AL118" s="16" t="s">
        <v>84</v>
      </c>
      <c r="AM118" s="16" t="s">
        <v>84</v>
      </c>
      <c r="AN118" s="14" t="s">
        <v>84</v>
      </c>
      <c r="AO118" s="14" t="s">
        <v>84</v>
      </c>
    </row>
    <row r="119" spans="1:41" ht="60" x14ac:dyDescent="0.25">
      <c r="A119" s="14" t="s">
        <v>225</v>
      </c>
      <c r="B119" s="14" t="s">
        <v>129</v>
      </c>
      <c r="C119" s="15">
        <v>45083.478472222225</v>
      </c>
      <c r="D119" s="14" t="s">
        <v>73</v>
      </c>
      <c r="E119" s="16" t="s">
        <v>74</v>
      </c>
      <c r="F119" s="14" t="s">
        <v>75</v>
      </c>
      <c r="G119" s="16" t="s">
        <v>76</v>
      </c>
      <c r="H119" s="14" t="s">
        <v>226</v>
      </c>
      <c r="I119" s="16" t="s">
        <v>227</v>
      </c>
      <c r="J119" s="16" t="s">
        <v>228</v>
      </c>
      <c r="K119" s="16" t="s">
        <v>229</v>
      </c>
      <c r="L119" s="14" t="s">
        <v>235</v>
      </c>
      <c r="M119" s="16" t="s">
        <v>236</v>
      </c>
      <c r="N119" s="14" t="s">
        <v>136</v>
      </c>
      <c r="O119" s="16" t="s">
        <v>84</v>
      </c>
      <c r="P119" s="16" t="s">
        <v>84</v>
      </c>
      <c r="Q119" s="16" t="s">
        <v>148</v>
      </c>
      <c r="R119" s="14" t="s">
        <v>149</v>
      </c>
      <c r="S119" s="14" t="s">
        <v>88</v>
      </c>
      <c r="T119" s="14" t="s">
        <v>140</v>
      </c>
      <c r="U119" s="15" t="s">
        <v>338</v>
      </c>
      <c r="V119" s="15"/>
      <c r="W119" s="16"/>
      <c r="X119" s="16" t="s">
        <v>84</v>
      </c>
      <c r="Y119" s="14" t="s">
        <v>84</v>
      </c>
      <c r="Z119" s="16" t="s">
        <v>84</v>
      </c>
      <c r="AA119" s="16" t="s">
        <v>84</v>
      </c>
      <c r="AB119" s="16" t="s">
        <v>84</v>
      </c>
      <c r="AC119" s="14" t="s">
        <v>84</v>
      </c>
      <c r="AD119" s="16" t="s">
        <v>84</v>
      </c>
      <c r="AE119" s="16" t="s">
        <v>84</v>
      </c>
      <c r="AF119" s="16" t="s">
        <v>84</v>
      </c>
      <c r="AG119" s="14" t="s">
        <v>84</v>
      </c>
      <c r="AH119" s="16" t="s">
        <v>84</v>
      </c>
      <c r="AI119" s="16" t="s">
        <v>84</v>
      </c>
      <c r="AJ119" s="16" t="s">
        <v>84</v>
      </c>
      <c r="AK119" s="14" t="s">
        <v>84</v>
      </c>
      <c r="AL119" s="16" t="s">
        <v>84</v>
      </c>
      <c r="AM119" s="16" t="s">
        <v>84</v>
      </c>
      <c r="AN119" s="14" t="s">
        <v>84</v>
      </c>
      <c r="AO119" s="14" t="s">
        <v>84</v>
      </c>
    </row>
    <row r="120" spans="1:41" ht="75" x14ac:dyDescent="0.25">
      <c r="A120" s="14" t="s">
        <v>225</v>
      </c>
      <c r="B120" s="14" t="s">
        <v>129</v>
      </c>
      <c r="C120" s="15">
        <v>45083.490277777775</v>
      </c>
      <c r="D120" s="14" t="s">
        <v>73</v>
      </c>
      <c r="E120" s="16" t="s">
        <v>74</v>
      </c>
      <c r="F120" s="14" t="s">
        <v>75</v>
      </c>
      <c r="G120" s="16" t="s">
        <v>76</v>
      </c>
      <c r="H120" s="14" t="s">
        <v>238</v>
      </c>
      <c r="I120" s="16" t="s">
        <v>239</v>
      </c>
      <c r="J120" s="16" t="s">
        <v>240</v>
      </c>
      <c r="K120" s="16" t="s">
        <v>241</v>
      </c>
      <c r="L120" s="14" t="s">
        <v>242</v>
      </c>
      <c r="M120" s="16" t="s">
        <v>243</v>
      </c>
      <c r="N120" s="14" t="s">
        <v>83</v>
      </c>
      <c r="O120" s="16" t="s">
        <v>84</v>
      </c>
      <c r="P120" s="16" t="s">
        <v>84</v>
      </c>
      <c r="Q120" s="16" t="s">
        <v>85</v>
      </c>
      <c r="R120" s="14" t="s">
        <v>86</v>
      </c>
      <c r="S120" s="14" t="s">
        <v>88</v>
      </c>
      <c r="T120" s="14" t="s">
        <v>89</v>
      </c>
      <c r="U120" s="15" t="s">
        <v>338</v>
      </c>
      <c r="V120" s="15"/>
      <c r="W120" s="16"/>
      <c r="X120" s="16" t="s">
        <v>84</v>
      </c>
      <c r="Y120" s="14" t="s">
        <v>84</v>
      </c>
      <c r="Z120" s="16" t="s">
        <v>84</v>
      </c>
      <c r="AA120" s="16" t="s">
        <v>84</v>
      </c>
      <c r="AB120" s="16" t="s">
        <v>84</v>
      </c>
      <c r="AC120" s="14" t="s">
        <v>84</v>
      </c>
      <c r="AD120" s="16" t="s">
        <v>84</v>
      </c>
      <c r="AE120" s="16" t="s">
        <v>84</v>
      </c>
      <c r="AF120" s="16" t="s">
        <v>84</v>
      </c>
      <c r="AG120" s="14" t="s">
        <v>84</v>
      </c>
      <c r="AH120" s="16" t="s">
        <v>84</v>
      </c>
      <c r="AI120" s="16" t="s">
        <v>84</v>
      </c>
      <c r="AJ120" s="16" t="s">
        <v>84</v>
      </c>
      <c r="AK120" s="14" t="s">
        <v>84</v>
      </c>
      <c r="AL120" s="16" t="s">
        <v>84</v>
      </c>
      <c r="AM120" s="16" t="s">
        <v>84</v>
      </c>
      <c r="AN120" s="14" t="s">
        <v>84</v>
      </c>
      <c r="AO120" s="14" t="s">
        <v>84</v>
      </c>
    </row>
    <row r="121" spans="1:41" ht="75" x14ac:dyDescent="0.25">
      <c r="A121" s="14" t="s">
        <v>225</v>
      </c>
      <c r="B121" s="14" t="s">
        <v>129</v>
      </c>
      <c r="C121" s="15">
        <v>45091.428472222222</v>
      </c>
      <c r="D121" s="14" t="s">
        <v>73</v>
      </c>
      <c r="E121" s="16" t="s">
        <v>74</v>
      </c>
      <c r="F121" s="14" t="s">
        <v>75</v>
      </c>
      <c r="G121" s="16" t="s">
        <v>76</v>
      </c>
      <c r="H121" s="14" t="s">
        <v>238</v>
      </c>
      <c r="I121" s="16" t="s">
        <v>239</v>
      </c>
      <c r="J121" s="16" t="s">
        <v>240</v>
      </c>
      <c r="K121" s="16" t="s">
        <v>241</v>
      </c>
      <c r="L121" s="14" t="s">
        <v>244</v>
      </c>
      <c r="M121" s="16" t="s">
        <v>245</v>
      </c>
      <c r="N121" s="14" t="s">
        <v>136</v>
      </c>
      <c r="O121" s="16" t="s">
        <v>84</v>
      </c>
      <c r="P121" s="16" t="s">
        <v>84</v>
      </c>
      <c r="Q121" s="16" t="s">
        <v>85</v>
      </c>
      <c r="R121" s="14" t="s">
        <v>86</v>
      </c>
      <c r="S121" s="14" t="s">
        <v>88</v>
      </c>
      <c r="T121" s="14" t="s">
        <v>89</v>
      </c>
      <c r="U121" s="15" t="s">
        <v>338</v>
      </c>
      <c r="V121" s="15"/>
      <c r="W121" s="16"/>
      <c r="X121" s="16" t="s">
        <v>84</v>
      </c>
      <c r="Y121" s="14" t="s">
        <v>84</v>
      </c>
      <c r="Z121" s="16" t="s">
        <v>84</v>
      </c>
      <c r="AA121" s="16" t="s">
        <v>84</v>
      </c>
      <c r="AB121" s="16" t="s">
        <v>84</v>
      </c>
      <c r="AC121" s="14" t="s">
        <v>84</v>
      </c>
      <c r="AD121" s="16" t="s">
        <v>84</v>
      </c>
      <c r="AE121" s="16" t="s">
        <v>84</v>
      </c>
      <c r="AF121" s="16" t="s">
        <v>84</v>
      </c>
      <c r="AG121" s="14" t="s">
        <v>84</v>
      </c>
      <c r="AH121" s="16" t="s">
        <v>84</v>
      </c>
      <c r="AI121" s="16" t="s">
        <v>84</v>
      </c>
      <c r="AJ121" s="16" t="s">
        <v>84</v>
      </c>
      <c r="AK121" s="14" t="s">
        <v>84</v>
      </c>
      <c r="AL121" s="16" t="s">
        <v>84</v>
      </c>
      <c r="AM121" s="16" t="s">
        <v>84</v>
      </c>
      <c r="AN121" s="14" t="s">
        <v>84</v>
      </c>
      <c r="AO121" s="14" t="s">
        <v>84</v>
      </c>
    </row>
    <row r="122" spans="1:41" ht="75" x14ac:dyDescent="0.25">
      <c r="A122" s="14" t="s">
        <v>225</v>
      </c>
      <c r="B122" s="14" t="s">
        <v>129</v>
      </c>
      <c r="C122" s="15">
        <v>45083.491666666669</v>
      </c>
      <c r="D122" s="14" t="s">
        <v>73</v>
      </c>
      <c r="E122" s="16" t="s">
        <v>74</v>
      </c>
      <c r="F122" s="14" t="s">
        <v>75</v>
      </c>
      <c r="G122" s="16" t="s">
        <v>76</v>
      </c>
      <c r="H122" s="14" t="s">
        <v>238</v>
      </c>
      <c r="I122" s="16" t="s">
        <v>239</v>
      </c>
      <c r="J122" s="16" t="s">
        <v>240</v>
      </c>
      <c r="K122" s="16" t="s">
        <v>241</v>
      </c>
      <c r="L122" s="14" t="s">
        <v>242</v>
      </c>
      <c r="M122" s="16" t="s">
        <v>243</v>
      </c>
      <c r="N122" s="14" t="s">
        <v>83</v>
      </c>
      <c r="O122" s="16" t="s">
        <v>84</v>
      </c>
      <c r="P122" s="16" t="s">
        <v>84</v>
      </c>
      <c r="Q122" s="16" t="s">
        <v>138</v>
      </c>
      <c r="R122" s="14" t="s">
        <v>139</v>
      </c>
      <c r="S122" s="14" t="s">
        <v>88</v>
      </c>
      <c r="T122" s="14" t="s">
        <v>140</v>
      </c>
      <c r="U122" s="15" t="s">
        <v>338</v>
      </c>
      <c r="V122" s="15"/>
      <c r="W122" s="16"/>
      <c r="X122" s="16" t="s">
        <v>84</v>
      </c>
      <c r="Y122" s="14" t="s">
        <v>84</v>
      </c>
      <c r="Z122" s="16" t="s">
        <v>84</v>
      </c>
      <c r="AA122" s="16" t="s">
        <v>84</v>
      </c>
      <c r="AB122" s="16" t="s">
        <v>84</v>
      </c>
      <c r="AC122" s="14" t="s">
        <v>84</v>
      </c>
      <c r="AD122" s="16" t="s">
        <v>84</v>
      </c>
      <c r="AE122" s="16" t="s">
        <v>84</v>
      </c>
      <c r="AF122" s="16" t="s">
        <v>84</v>
      </c>
      <c r="AG122" s="14" t="s">
        <v>84</v>
      </c>
      <c r="AH122" s="16" t="s">
        <v>84</v>
      </c>
      <c r="AI122" s="16" t="s">
        <v>84</v>
      </c>
      <c r="AJ122" s="16" t="s">
        <v>84</v>
      </c>
      <c r="AK122" s="14" t="s">
        <v>84</v>
      </c>
      <c r="AL122" s="16" t="s">
        <v>84</v>
      </c>
      <c r="AM122" s="16" t="s">
        <v>84</v>
      </c>
      <c r="AN122" s="14" t="s">
        <v>84</v>
      </c>
      <c r="AO122" s="14" t="s">
        <v>84</v>
      </c>
    </row>
    <row r="123" spans="1:41" ht="75" x14ac:dyDescent="0.25">
      <c r="A123" s="14" t="s">
        <v>225</v>
      </c>
      <c r="B123" s="14" t="s">
        <v>129</v>
      </c>
      <c r="C123" s="15">
        <v>45091.427083333336</v>
      </c>
      <c r="D123" s="14" t="s">
        <v>73</v>
      </c>
      <c r="E123" s="16" t="s">
        <v>74</v>
      </c>
      <c r="F123" s="14" t="s">
        <v>75</v>
      </c>
      <c r="G123" s="16" t="s">
        <v>76</v>
      </c>
      <c r="H123" s="14" t="s">
        <v>238</v>
      </c>
      <c r="I123" s="16" t="s">
        <v>239</v>
      </c>
      <c r="J123" s="16" t="s">
        <v>240</v>
      </c>
      <c r="K123" s="16" t="s">
        <v>241</v>
      </c>
      <c r="L123" s="14" t="s">
        <v>244</v>
      </c>
      <c r="M123" s="16" t="s">
        <v>245</v>
      </c>
      <c r="N123" s="14" t="s">
        <v>136</v>
      </c>
      <c r="O123" s="16" t="s">
        <v>84</v>
      </c>
      <c r="P123" s="16" t="s">
        <v>84</v>
      </c>
      <c r="Q123" s="16" t="s">
        <v>138</v>
      </c>
      <c r="R123" s="14" t="s">
        <v>139</v>
      </c>
      <c r="S123" s="14" t="s">
        <v>88</v>
      </c>
      <c r="T123" s="14" t="s">
        <v>140</v>
      </c>
      <c r="U123" s="15" t="s">
        <v>338</v>
      </c>
      <c r="V123" s="15"/>
      <c r="W123" s="16"/>
      <c r="X123" s="16" t="s">
        <v>84</v>
      </c>
      <c r="Y123" s="14" t="s">
        <v>84</v>
      </c>
      <c r="Z123" s="16" t="s">
        <v>84</v>
      </c>
      <c r="AA123" s="16" t="s">
        <v>84</v>
      </c>
      <c r="AB123" s="16" t="s">
        <v>84</v>
      </c>
      <c r="AC123" s="14" t="s">
        <v>84</v>
      </c>
      <c r="AD123" s="16" t="s">
        <v>84</v>
      </c>
      <c r="AE123" s="16" t="s">
        <v>84</v>
      </c>
      <c r="AF123" s="16" t="s">
        <v>84</v>
      </c>
      <c r="AG123" s="14" t="s">
        <v>84</v>
      </c>
      <c r="AH123" s="16" t="s">
        <v>84</v>
      </c>
      <c r="AI123" s="16" t="s">
        <v>84</v>
      </c>
      <c r="AJ123" s="16" t="s">
        <v>84</v>
      </c>
      <c r="AK123" s="14" t="s">
        <v>84</v>
      </c>
      <c r="AL123" s="16" t="s">
        <v>84</v>
      </c>
      <c r="AM123" s="16" t="s">
        <v>84</v>
      </c>
      <c r="AN123" s="14" t="s">
        <v>84</v>
      </c>
      <c r="AO123" s="14" t="s">
        <v>84</v>
      </c>
    </row>
    <row r="124" spans="1:41" ht="75" x14ac:dyDescent="0.25">
      <c r="A124" s="14" t="s">
        <v>225</v>
      </c>
      <c r="B124" s="14" t="s">
        <v>129</v>
      </c>
      <c r="C124" s="15">
        <v>45083.490972222222</v>
      </c>
      <c r="D124" s="14" t="s">
        <v>73</v>
      </c>
      <c r="E124" s="16" t="s">
        <v>74</v>
      </c>
      <c r="F124" s="14" t="s">
        <v>75</v>
      </c>
      <c r="G124" s="16" t="s">
        <v>76</v>
      </c>
      <c r="H124" s="14" t="s">
        <v>238</v>
      </c>
      <c r="I124" s="16" t="s">
        <v>239</v>
      </c>
      <c r="J124" s="16" t="s">
        <v>240</v>
      </c>
      <c r="K124" s="16" t="s">
        <v>241</v>
      </c>
      <c r="L124" s="14" t="s">
        <v>242</v>
      </c>
      <c r="M124" s="16" t="s">
        <v>243</v>
      </c>
      <c r="N124" s="14" t="s">
        <v>83</v>
      </c>
      <c r="O124" s="16" t="s">
        <v>84</v>
      </c>
      <c r="P124" s="16" t="s">
        <v>84</v>
      </c>
      <c r="Q124" s="16" t="s">
        <v>141</v>
      </c>
      <c r="R124" s="14" t="s">
        <v>142</v>
      </c>
      <c r="S124" s="14" t="s">
        <v>88</v>
      </c>
      <c r="T124" s="14" t="s">
        <v>140</v>
      </c>
      <c r="U124" s="15" t="s">
        <v>338</v>
      </c>
      <c r="V124" s="15"/>
      <c r="W124" s="16"/>
      <c r="X124" s="16" t="s">
        <v>84</v>
      </c>
      <c r="Y124" s="14" t="s">
        <v>84</v>
      </c>
      <c r="Z124" s="16" t="s">
        <v>84</v>
      </c>
      <c r="AA124" s="16" t="s">
        <v>84</v>
      </c>
      <c r="AB124" s="16" t="s">
        <v>84</v>
      </c>
      <c r="AC124" s="14" t="s">
        <v>84</v>
      </c>
      <c r="AD124" s="16" t="s">
        <v>84</v>
      </c>
      <c r="AE124" s="16" t="s">
        <v>84</v>
      </c>
      <c r="AF124" s="16" t="s">
        <v>84</v>
      </c>
      <c r="AG124" s="14" t="s">
        <v>84</v>
      </c>
      <c r="AH124" s="16" t="s">
        <v>84</v>
      </c>
      <c r="AI124" s="16" t="s">
        <v>84</v>
      </c>
      <c r="AJ124" s="16" t="s">
        <v>84</v>
      </c>
      <c r="AK124" s="14" t="s">
        <v>84</v>
      </c>
      <c r="AL124" s="16" t="s">
        <v>84</v>
      </c>
      <c r="AM124" s="16" t="s">
        <v>84</v>
      </c>
      <c r="AN124" s="14" t="s">
        <v>84</v>
      </c>
      <c r="AO124" s="14" t="s">
        <v>84</v>
      </c>
    </row>
    <row r="125" spans="1:41" ht="75" x14ac:dyDescent="0.25">
      <c r="A125" s="14" t="s">
        <v>225</v>
      </c>
      <c r="B125" s="14" t="s">
        <v>129</v>
      </c>
      <c r="C125" s="15">
        <v>45091.427777777775</v>
      </c>
      <c r="D125" s="14" t="s">
        <v>73</v>
      </c>
      <c r="E125" s="16" t="s">
        <v>74</v>
      </c>
      <c r="F125" s="14" t="s">
        <v>75</v>
      </c>
      <c r="G125" s="16" t="s">
        <v>76</v>
      </c>
      <c r="H125" s="14" t="s">
        <v>238</v>
      </c>
      <c r="I125" s="16" t="s">
        <v>239</v>
      </c>
      <c r="J125" s="16" t="s">
        <v>240</v>
      </c>
      <c r="K125" s="16" t="s">
        <v>241</v>
      </c>
      <c r="L125" s="14" t="s">
        <v>244</v>
      </c>
      <c r="M125" s="16" t="s">
        <v>245</v>
      </c>
      <c r="N125" s="14" t="s">
        <v>136</v>
      </c>
      <c r="O125" s="16" t="s">
        <v>84</v>
      </c>
      <c r="P125" s="16" t="s">
        <v>84</v>
      </c>
      <c r="Q125" s="16" t="s">
        <v>141</v>
      </c>
      <c r="R125" s="14" t="s">
        <v>142</v>
      </c>
      <c r="S125" s="14" t="s">
        <v>88</v>
      </c>
      <c r="T125" s="14" t="s">
        <v>140</v>
      </c>
      <c r="U125" s="15" t="s">
        <v>338</v>
      </c>
      <c r="V125" s="15"/>
      <c r="W125" s="16"/>
      <c r="X125" s="16" t="s">
        <v>84</v>
      </c>
      <c r="Y125" s="14" t="s">
        <v>84</v>
      </c>
      <c r="Z125" s="16" t="s">
        <v>84</v>
      </c>
      <c r="AA125" s="16" t="s">
        <v>84</v>
      </c>
      <c r="AB125" s="16" t="s">
        <v>84</v>
      </c>
      <c r="AC125" s="14" t="s">
        <v>84</v>
      </c>
      <c r="AD125" s="16" t="s">
        <v>84</v>
      </c>
      <c r="AE125" s="16" t="s">
        <v>84</v>
      </c>
      <c r="AF125" s="16" t="s">
        <v>84</v>
      </c>
      <c r="AG125" s="14" t="s">
        <v>84</v>
      </c>
      <c r="AH125" s="16" t="s">
        <v>84</v>
      </c>
      <c r="AI125" s="16" t="s">
        <v>84</v>
      </c>
      <c r="AJ125" s="16" t="s">
        <v>84</v>
      </c>
      <c r="AK125" s="14" t="s">
        <v>84</v>
      </c>
      <c r="AL125" s="16" t="s">
        <v>84</v>
      </c>
      <c r="AM125" s="16" t="s">
        <v>84</v>
      </c>
      <c r="AN125" s="14" t="s">
        <v>84</v>
      </c>
      <c r="AO125" s="14" t="s">
        <v>84</v>
      </c>
    </row>
    <row r="126" spans="1:41" ht="75" x14ac:dyDescent="0.25">
      <c r="A126" s="14" t="s">
        <v>225</v>
      </c>
      <c r="B126" s="14" t="s">
        <v>129</v>
      </c>
      <c r="C126" s="15">
        <v>45083.490972222222</v>
      </c>
      <c r="D126" s="14" t="s">
        <v>73</v>
      </c>
      <c r="E126" s="16" t="s">
        <v>74</v>
      </c>
      <c r="F126" s="14" t="s">
        <v>75</v>
      </c>
      <c r="G126" s="16" t="s">
        <v>76</v>
      </c>
      <c r="H126" s="14" t="s">
        <v>238</v>
      </c>
      <c r="I126" s="16" t="s">
        <v>239</v>
      </c>
      <c r="J126" s="16" t="s">
        <v>240</v>
      </c>
      <c r="K126" s="16" t="s">
        <v>241</v>
      </c>
      <c r="L126" s="14" t="s">
        <v>242</v>
      </c>
      <c r="M126" s="16" t="s">
        <v>243</v>
      </c>
      <c r="N126" s="14" t="s">
        <v>83</v>
      </c>
      <c r="O126" s="16" t="s">
        <v>84</v>
      </c>
      <c r="P126" s="16" t="s">
        <v>84</v>
      </c>
      <c r="Q126" s="16" t="s">
        <v>144</v>
      </c>
      <c r="R126" s="14" t="s">
        <v>145</v>
      </c>
      <c r="S126" s="14" t="s">
        <v>88</v>
      </c>
      <c r="T126" s="14" t="s">
        <v>89</v>
      </c>
      <c r="U126" s="15" t="s">
        <v>338</v>
      </c>
      <c r="V126" s="15"/>
      <c r="W126" s="16"/>
      <c r="X126" s="16" t="s">
        <v>84</v>
      </c>
      <c r="Y126" s="14" t="s">
        <v>84</v>
      </c>
      <c r="Z126" s="16" t="s">
        <v>84</v>
      </c>
      <c r="AA126" s="16" t="s">
        <v>84</v>
      </c>
      <c r="AB126" s="16" t="s">
        <v>84</v>
      </c>
      <c r="AC126" s="14" t="s">
        <v>84</v>
      </c>
      <c r="AD126" s="16" t="s">
        <v>84</v>
      </c>
      <c r="AE126" s="16" t="s">
        <v>84</v>
      </c>
      <c r="AF126" s="16" t="s">
        <v>84</v>
      </c>
      <c r="AG126" s="14" t="s">
        <v>84</v>
      </c>
      <c r="AH126" s="16" t="s">
        <v>84</v>
      </c>
      <c r="AI126" s="16" t="s">
        <v>84</v>
      </c>
      <c r="AJ126" s="16" t="s">
        <v>84</v>
      </c>
      <c r="AK126" s="14" t="s">
        <v>84</v>
      </c>
      <c r="AL126" s="16" t="s">
        <v>84</v>
      </c>
      <c r="AM126" s="16" t="s">
        <v>84</v>
      </c>
      <c r="AN126" s="14" t="s">
        <v>84</v>
      </c>
      <c r="AO126" s="14" t="s">
        <v>84</v>
      </c>
    </row>
    <row r="127" spans="1:41" ht="75" x14ac:dyDescent="0.25">
      <c r="A127" s="14" t="s">
        <v>225</v>
      </c>
      <c r="B127" s="14" t="s">
        <v>129</v>
      </c>
      <c r="C127" s="15">
        <v>45091.428472222222</v>
      </c>
      <c r="D127" s="14" t="s">
        <v>73</v>
      </c>
      <c r="E127" s="16" t="s">
        <v>74</v>
      </c>
      <c r="F127" s="14" t="s">
        <v>75</v>
      </c>
      <c r="G127" s="16" t="s">
        <v>76</v>
      </c>
      <c r="H127" s="14" t="s">
        <v>238</v>
      </c>
      <c r="I127" s="16" t="s">
        <v>239</v>
      </c>
      <c r="J127" s="16" t="s">
        <v>240</v>
      </c>
      <c r="K127" s="16" t="s">
        <v>241</v>
      </c>
      <c r="L127" s="14" t="s">
        <v>244</v>
      </c>
      <c r="M127" s="16" t="s">
        <v>245</v>
      </c>
      <c r="N127" s="14" t="s">
        <v>136</v>
      </c>
      <c r="O127" s="16" t="s">
        <v>84</v>
      </c>
      <c r="P127" s="16" t="s">
        <v>84</v>
      </c>
      <c r="Q127" s="16" t="s">
        <v>144</v>
      </c>
      <c r="R127" s="14" t="s">
        <v>145</v>
      </c>
      <c r="S127" s="14" t="s">
        <v>88</v>
      </c>
      <c r="T127" s="14" t="s">
        <v>89</v>
      </c>
      <c r="U127" s="15" t="s">
        <v>338</v>
      </c>
      <c r="V127" s="15"/>
      <c r="W127" s="16"/>
      <c r="X127" s="16" t="s">
        <v>84</v>
      </c>
      <c r="Y127" s="14" t="s">
        <v>84</v>
      </c>
      <c r="Z127" s="16" t="s">
        <v>84</v>
      </c>
      <c r="AA127" s="16" t="s">
        <v>84</v>
      </c>
      <c r="AB127" s="16" t="s">
        <v>84</v>
      </c>
      <c r="AC127" s="14" t="s">
        <v>84</v>
      </c>
      <c r="AD127" s="16" t="s">
        <v>84</v>
      </c>
      <c r="AE127" s="16" t="s">
        <v>84</v>
      </c>
      <c r="AF127" s="16" t="s">
        <v>84</v>
      </c>
      <c r="AG127" s="14" t="s">
        <v>84</v>
      </c>
      <c r="AH127" s="16" t="s">
        <v>84</v>
      </c>
      <c r="AI127" s="16" t="s">
        <v>84</v>
      </c>
      <c r="AJ127" s="16" t="s">
        <v>84</v>
      </c>
      <c r="AK127" s="14" t="s">
        <v>84</v>
      </c>
      <c r="AL127" s="16" t="s">
        <v>84</v>
      </c>
      <c r="AM127" s="16" t="s">
        <v>84</v>
      </c>
      <c r="AN127" s="14" t="s">
        <v>84</v>
      </c>
      <c r="AO127" s="14" t="s">
        <v>84</v>
      </c>
    </row>
    <row r="128" spans="1:41" ht="75" x14ac:dyDescent="0.25">
      <c r="A128" s="14" t="s">
        <v>225</v>
      </c>
      <c r="B128" s="14" t="s">
        <v>129</v>
      </c>
      <c r="C128" s="15">
        <v>45083.491666666669</v>
      </c>
      <c r="D128" s="14" t="s">
        <v>73</v>
      </c>
      <c r="E128" s="16" t="s">
        <v>74</v>
      </c>
      <c r="F128" s="14" t="s">
        <v>75</v>
      </c>
      <c r="G128" s="16" t="s">
        <v>76</v>
      </c>
      <c r="H128" s="14" t="s">
        <v>238</v>
      </c>
      <c r="I128" s="16" t="s">
        <v>239</v>
      </c>
      <c r="J128" s="16" t="s">
        <v>240</v>
      </c>
      <c r="K128" s="16" t="s">
        <v>241</v>
      </c>
      <c r="L128" s="14" t="s">
        <v>242</v>
      </c>
      <c r="M128" s="16" t="s">
        <v>243</v>
      </c>
      <c r="N128" s="14" t="s">
        <v>83</v>
      </c>
      <c r="O128" s="16" t="s">
        <v>84</v>
      </c>
      <c r="P128" s="16" t="s">
        <v>84</v>
      </c>
      <c r="Q128" s="16" t="s">
        <v>148</v>
      </c>
      <c r="R128" s="14" t="s">
        <v>149</v>
      </c>
      <c r="S128" s="14" t="s">
        <v>88</v>
      </c>
      <c r="T128" s="14" t="s">
        <v>140</v>
      </c>
      <c r="U128" s="15" t="s">
        <v>338</v>
      </c>
      <c r="V128" s="15"/>
      <c r="W128" s="16"/>
      <c r="X128" s="16" t="s">
        <v>84</v>
      </c>
      <c r="Y128" s="14" t="s">
        <v>84</v>
      </c>
      <c r="Z128" s="16" t="s">
        <v>84</v>
      </c>
      <c r="AA128" s="16" t="s">
        <v>84</v>
      </c>
      <c r="AB128" s="16" t="s">
        <v>84</v>
      </c>
      <c r="AC128" s="14" t="s">
        <v>84</v>
      </c>
      <c r="AD128" s="16" t="s">
        <v>84</v>
      </c>
      <c r="AE128" s="16" t="s">
        <v>84</v>
      </c>
      <c r="AF128" s="16" t="s">
        <v>84</v>
      </c>
      <c r="AG128" s="14" t="s">
        <v>84</v>
      </c>
      <c r="AH128" s="16" t="s">
        <v>84</v>
      </c>
      <c r="AI128" s="16" t="s">
        <v>84</v>
      </c>
      <c r="AJ128" s="16" t="s">
        <v>84</v>
      </c>
      <c r="AK128" s="14" t="s">
        <v>84</v>
      </c>
      <c r="AL128" s="16" t="s">
        <v>84</v>
      </c>
      <c r="AM128" s="16" t="s">
        <v>84</v>
      </c>
      <c r="AN128" s="14" t="s">
        <v>84</v>
      </c>
      <c r="AO128" s="14" t="s">
        <v>84</v>
      </c>
    </row>
    <row r="129" spans="1:41" ht="75" x14ac:dyDescent="0.25">
      <c r="A129" s="14" t="s">
        <v>225</v>
      </c>
      <c r="B129" s="14" t="s">
        <v>129</v>
      </c>
      <c r="C129" s="15">
        <v>45091.427083333336</v>
      </c>
      <c r="D129" s="14" t="s">
        <v>73</v>
      </c>
      <c r="E129" s="16" t="s">
        <v>74</v>
      </c>
      <c r="F129" s="14" t="s">
        <v>75</v>
      </c>
      <c r="G129" s="16" t="s">
        <v>76</v>
      </c>
      <c r="H129" s="14" t="s">
        <v>238</v>
      </c>
      <c r="I129" s="16" t="s">
        <v>239</v>
      </c>
      <c r="J129" s="16" t="s">
        <v>240</v>
      </c>
      <c r="K129" s="16" t="s">
        <v>241</v>
      </c>
      <c r="L129" s="14" t="s">
        <v>244</v>
      </c>
      <c r="M129" s="16" t="s">
        <v>245</v>
      </c>
      <c r="N129" s="14" t="s">
        <v>136</v>
      </c>
      <c r="O129" s="16" t="s">
        <v>84</v>
      </c>
      <c r="P129" s="16" t="s">
        <v>84</v>
      </c>
      <c r="Q129" s="16" t="s">
        <v>148</v>
      </c>
      <c r="R129" s="14" t="s">
        <v>149</v>
      </c>
      <c r="S129" s="14" t="s">
        <v>88</v>
      </c>
      <c r="T129" s="14" t="s">
        <v>140</v>
      </c>
      <c r="U129" s="15" t="s">
        <v>338</v>
      </c>
      <c r="V129" s="15"/>
      <c r="W129" s="16"/>
      <c r="X129" s="16" t="s">
        <v>84</v>
      </c>
      <c r="Y129" s="14" t="s">
        <v>84</v>
      </c>
      <c r="Z129" s="16" t="s">
        <v>84</v>
      </c>
      <c r="AA129" s="16" t="s">
        <v>84</v>
      </c>
      <c r="AB129" s="16" t="s">
        <v>84</v>
      </c>
      <c r="AC129" s="14" t="s">
        <v>84</v>
      </c>
      <c r="AD129" s="16" t="s">
        <v>84</v>
      </c>
      <c r="AE129" s="16" t="s">
        <v>84</v>
      </c>
      <c r="AF129" s="16" t="s">
        <v>84</v>
      </c>
      <c r="AG129" s="14" t="s">
        <v>84</v>
      </c>
      <c r="AH129" s="16" t="s">
        <v>84</v>
      </c>
      <c r="AI129" s="16" t="s">
        <v>84</v>
      </c>
      <c r="AJ129" s="16" t="s">
        <v>84</v>
      </c>
      <c r="AK129" s="14" t="s">
        <v>84</v>
      </c>
      <c r="AL129" s="16" t="s">
        <v>84</v>
      </c>
      <c r="AM129" s="16" t="s">
        <v>84</v>
      </c>
      <c r="AN129" s="14" t="s">
        <v>84</v>
      </c>
      <c r="AO129" s="14" t="s">
        <v>84</v>
      </c>
    </row>
    <row r="130" spans="1:41" ht="75" x14ac:dyDescent="0.25">
      <c r="A130" s="14" t="s">
        <v>225</v>
      </c>
      <c r="B130" s="14" t="s">
        <v>129</v>
      </c>
      <c r="C130" s="15">
        <v>45084.614583333336</v>
      </c>
      <c r="D130" s="14" t="s">
        <v>73</v>
      </c>
      <c r="E130" s="16" t="s">
        <v>74</v>
      </c>
      <c r="F130" s="14" t="s">
        <v>75</v>
      </c>
      <c r="G130" s="16" t="s">
        <v>76</v>
      </c>
      <c r="H130" s="14" t="s">
        <v>246</v>
      </c>
      <c r="I130" s="16" t="s">
        <v>247</v>
      </c>
      <c r="J130" s="16" t="s">
        <v>248</v>
      </c>
      <c r="K130" s="16" t="s">
        <v>249</v>
      </c>
      <c r="L130" s="14" t="s">
        <v>250</v>
      </c>
      <c r="M130" s="16" t="s">
        <v>251</v>
      </c>
      <c r="N130" s="14" t="s">
        <v>83</v>
      </c>
      <c r="O130" s="16" t="s">
        <v>84</v>
      </c>
      <c r="P130" s="16" t="s">
        <v>84</v>
      </c>
      <c r="Q130" s="16" t="s">
        <v>85</v>
      </c>
      <c r="R130" s="14" t="s">
        <v>86</v>
      </c>
      <c r="S130" s="14" t="s">
        <v>88</v>
      </c>
      <c r="T130" s="14" t="s">
        <v>89</v>
      </c>
      <c r="U130" s="15" t="s">
        <v>338</v>
      </c>
      <c r="V130" s="15"/>
      <c r="W130" s="16"/>
      <c r="X130" s="16" t="s">
        <v>84</v>
      </c>
      <c r="Y130" s="14" t="s">
        <v>84</v>
      </c>
      <c r="Z130" s="16" t="s">
        <v>84</v>
      </c>
      <c r="AA130" s="16" t="s">
        <v>84</v>
      </c>
      <c r="AB130" s="16" t="s">
        <v>84</v>
      </c>
      <c r="AC130" s="14" t="s">
        <v>84</v>
      </c>
      <c r="AD130" s="16" t="s">
        <v>84</v>
      </c>
      <c r="AE130" s="16" t="s">
        <v>84</v>
      </c>
      <c r="AF130" s="16" t="s">
        <v>84</v>
      </c>
      <c r="AG130" s="14" t="s">
        <v>84</v>
      </c>
      <c r="AH130" s="16" t="s">
        <v>84</v>
      </c>
      <c r="AI130" s="16" t="s">
        <v>84</v>
      </c>
      <c r="AJ130" s="16" t="s">
        <v>84</v>
      </c>
      <c r="AK130" s="14" t="s">
        <v>84</v>
      </c>
      <c r="AL130" s="16" t="s">
        <v>84</v>
      </c>
      <c r="AM130" s="16" t="s">
        <v>84</v>
      </c>
      <c r="AN130" s="14" t="s">
        <v>84</v>
      </c>
      <c r="AO130" s="14" t="s">
        <v>84</v>
      </c>
    </row>
    <row r="131" spans="1:41" ht="75" x14ac:dyDescent="0.25">
      <c r="A131" s="14" t="s">
        <v>225</v>
      </c>
      <c r="B131" s="14" t="s">
        <v>129</v>
      </c>
      <c r="C131" s="15">
        <v>45084.612500000003</v>
      </c>
      <c r="D131" s="14" t="s">
        <v>73</v>
      </c>
      <c r="E131" s="16" t="s">
        <v>74</v>
      </c>
      <c r="F131" s="14" t="s">
        <v>75</v>
      </c>
      <c r="G131" s="16" t="s">
        <v>76</v>
      </c>
      <c r="H131" s="14" t="s">
        <v>246</v>
      </c>
      <c r="I131" s="16" t="s">
        <v>247</v>
      </c>
      <c r="J131" s="16" t="s">
        <v>248</v>
      </c>
      <c r="K131" s="16" t="s">
        <v>249</v>
      </c>
      <c r="L131" s="14" t="s">
        <v>252</v>
      </c>
      <c r="M131" s="16" t="s">
        <v>253</v>
      </c>
      <c r="N131" s="14" t="s">
        <v>136</v>
      </c>
      <c r="O131" s="16" t="s">
        <v>84</v>
      </c>
      <c r="P131" s="16" t="s">
        <v>84</v>
      </c>
      <c r="Q131" s="16" t="s">
        <v>85</v>
      </c>
      <c r="R131" s="14" t="s">
        <v>86</v>
      </c>
      <c r="S131" s="14" t="s">
        <v>88</v>
      </c>
      <c r="T131" s="14" t="s">
        <v>89</v>
      </c>
      <c r="U131" s="15" t="s">
        <v>338</v>
      </c>
      <c r="V131" s="15"/>
      <c r="W131" s="16"/>
      <c r="X131" s="16" t="s">
        <v>84</v>
      </c>
      <c r="Y131" s="14" t="s">
        <v>84</v>
      </c>
      <c r="Z131" s="16" t="s">
        <v>84</v>
      </c>
      <c r="AA131" s="16" t="s">
        <v>84</v>
      </c>
      <c r="AB131" s="16" t="s">
        <v>84</v>
      </c>
      <c r="AC131" s="14" t="s">
        <v>84</v>
      </c>
      <c r="AD131" s="16" t="s">
        <v>84</v>
      </c>
      <c r="AE131" s="16" t="s">
        <v>84</v>
      </c>
      <c r="AF131" s="16" t="s">
        <v>84</v>
      </c>
      <c r="AG131" s="14" t="s">
        <v>84</v>
      </c>
      <c r="AH131" s="16" t="s">
        <v>84</v>
      </c>
      <c r="AI131" s="16" t="s">
        <v>84</v>
      </c>
      <c r="AJ131" s="16" t="s">
        <v>84</v>
      </c>
      <c r="AK131" s="14" t="s">
        <v>84</v>
      </c>
      <c r="AL131" s="16" t="s">
        <v>84</v>
      </c>
      <c r="AM131" s="16" t="s">
        <v>84</v>
      </c>
      <c r="AN131" s="14" t="s">
        <v>84</v>
      </c>
      <c r="AO131" s="14" t="s">
        <v>84</v>
      </c>
    </row>
    <row r="132" spans="1:41" ht="75" x14ac:dyDescent="0.25">
      <c r="A132" s="14" t="s">
        <v>225</v>
      </c>
      <c r="B132" s="14" t="s">
        <v>129</v>
      </c>
      <c r="C132" s="15">
        <v>45084.615972222222</v>
      </c>
      <c r="D132" s="14" t="s">
        <v>73</v>
      </c>
      <c r="E132" s="16" t="s">
        <v>74</v>
      </c>
      <c r="F132" s="14" t="s">
        <v>75</v>
      </c>
      <c r="G132" s="16" t="s">
        <v>76</v>
      </c>
      <c r="H132" s="14" t="s">
        <v>246</v>
      </c>
      <c r="I132" s="16" t="s">
        <v>247</v>
      </c>
      <c r="J132" s="16" t="s">
        <v>248</v>
      </c>
      <c r="K132" s="16" t="s">
        <v>249</v>
      </c>
      <c r="L132" s="14" t="s">
        <v>250</v>
      </c>
      <c r="M132" s="16" t="s">
        <v>251</v>
      </c>
      <c r="N132" s="14" t="s">
        <v>83</v>
      </c>
      <c r="O132" s="16" t="s">
        <v>84</v>
      </c>
      <c r="P132" s="16" t="s">
        <v>84</v>
      </c>
      <c r="Q132" s="16" t="s">
        <v>138</v>
      </c>
      <c r="R132" s="14" t="s">
        <v>139</v>
      </c>
      <c r="S132" s="14" t="s">
        <v>88</v>
      </c>
      <c r="T132" s="14" t="s">
        <v>140</v>
      </c>
      <c r="U132" s="15" t="s">
        <v>338</v>
      </c>
      <c r="V132" s="15"/>
      <c r="W132" s="16"/>
      <c r="X132" s="16" t="s">
        <v>84</v>
      </c>
      <c r="Y132" s="14" t="s">
        <v>84</v>
      </c>
      <c r="Z132" s="16" t="s">
        <v>84</v>
      </c>
      <c r="AA132" s="16" t="s">
        <v>84</v>
      </c>
      <c r="AB132" s="16" t="s">
        <v>84</v>
      </c>
      <c r="AC132" s="14" t="s">
        <v>84</v>
      </c>
      <c r="AD132" s="16" t="s">
        <v>84</v>
      </c>
      <c r="AE132" s="16" t="s">
        <v>84</v>
      </c>
      <c r="AF132" s="16" t="s">
        <v>84</v>
      </c>
      <c r="AG132" s="14" t="s">
        <v>84</v>
      </c>
      <c r="AH132" s="16" t="s">
        <v>84</v>
      </c>
      <c r="AI132" s="16" t="s">
        <v>84</v>
      </c>
      <c r="AJ132" s="16" t="s">
        <v>84</v>
      </c>
      <c r="AK132" s="14" t="s">
        <v>84</v>
      </c>
      <c r="AL132" s="16" t="s">
        <v>84</v>
      </c>
      <c r="AM132" s="16" t="s">
        <v>84</v>
      </c>
      <c r="AN132" s="14" t="s">
        <v>84</v>
      </c>
      <c r="AO132" s="14" t="s">
        <v>84</v>
      </c>
    </row>
    <row r="133" spans="1:41" ht="75" x14ac:dyDescent="0.25">
      <c r="A133" s="14" t="s">
        <v>225</v>
      </c>
      <c r="B133" s="14" t="s">
        <v>129</v>
      </c>
      <c r="C133" s="15">
        <v>45084.613194444442</v>
      </c>
      <c r="D133" s="14" t="s">
        <v>73</v>
      </c>
      <c r="E133" s="16" t="s">
        <v>74</v>
      </c>
      <c r="F133" s="14" t="s">
        <v>75</v>
      </c>
      <c r="G133" s="16" t="s">
        <v>76</v>
      </c>
      <c r="H133" s="14" t="s">
        <v>246</v>
      </c>
      <c r="I133" s="16" t="s">
        <v>247</v>
      </c>
      <c r="J133" s="16" t="s">
        <v>248</v>
      </c>
      <c r="K133" s="16" t="s">
        <v>249</v>
      </c>
      <c r="L133" s="14" t="s">
        <v>252</v>
      </c>
      <c r="M133" s="16" t="s">
        <v>253</v>
      </c>
      <c r="N133" s="14" t="s">
        <v>136</v>
      </c>
      <c r="O133" s="16" t="s">
        <v>84</v>
      </c>
      <c r="P133" s="16" t="s">
        <v>84</v>
      </c>
      <c r="Q133" s="16" t="s">
        <v>138</v>
      </c>
      <c r="R133" s="14" t="s">
        <v>139</v>
      </c>
      <c r="S133" s="14" t="s">
        <v>88</v>
      </c>
      <c r="T133" s="14" t="s">
        <v>140</v>
      </c>
      <c r="U133" s="15" t="s">
        <v>338</v>
      </c>
      <c r="V133" s="15"/>
      <c r="W133" s="16"/>
      <c r="X133" s="16" t="s">
        <v>84</v>
      </c>
      <c r="Y133" s="14" t="s">
        <v>84</v>
      </c>
      <c r="Z133" s="16" t="s">
        <v>84</v>
      </c>
      <c r="AA133" s="16" t="s">
        <v>84</v>
      </c>
      <c r="AB133" s="16" t="s">
        <v>84</v>
      </c>
      <c r="AC133" s="14" t="s">
        <v>84</v>
      </c>
      <c r="AD133" s="16" t="s">
        <v>84</v>
      </c>
      <c r="AE133" s="16" t="s">
        <v>84</v>
      </c>
      <c r="AF133" s="16" t="s">
        <v>84</v>
      </c>
      <c r="AG133" s="14" t="s">
        <v>84</v>
      </c>
      <c r="AH133" s="16" t="s">
        <v>84</v>
      </c>
      <c r="AI133" s="16" t="s">
        <v>84</v>
      </c>
      <c r="AJ133" s="16" t="s">
        <v>84</v>
      </c>
      <c r="AK133" s="14" t="s">
        <v>84</v>
      </c>
      <c r="AL133" s="16" t="s">
        <v>84</v>
      </c>
      <c r="AM133" s="16" t="s">
        <v>84</v>
      </c>
      <c r="AN133" s="14" t="s">
        <v>84</v>
      </c>
      <c r="AO133" s="14" t="s">
        <v>84</v>
      </c>
    </row>
    <row r="134" spans="1:41" ht="75" x14ac:dyDescent="0.25">
      <c r="A134" s="14" t="s">
        <v>225</v>
      </c>
      <c r="B134" s="14" t="s">
        <v>129</v>
      </c>
      <c r="C134" s="15">
        <v>45084.615277777775</v>
      </c>
      <c r="D134" s="14" t="s">
        <v>73</v>
      </c>
      <c r="E134" s="16" t="s">
        <v>74</v>
      </c>
      <c r="F134" s="14" t="s">
        <v>75</v>
      </c>
      <c r="G134" s="16" t="s">
        <v>76</v>
      </c>
      <c r="H134" s="14" t="s">
        <v>246</v>
      </c>
      <c r="I134" s="16" t="s">
        <v>247</v>
      </c>
      <c r="J134" s="16" t="s">
        <v>248</v>
      </c>
      <c r="K134" s="16" t="s">
        <v>249</v>
      </c>
      <c r="L134" s="14" t="s">
        <v>250</v>
      </c>
      <c r="M134" s="16" t="s">
        <v>251</v>
      </c>
      <c r="N134" s="14" t="s">
        <v>83</v>
      </c>
      <c r="O134" s="16" t="s">
        <v>84</v>
      </c>
      <c r="P134" s="16" t="s">
        <v>84</v>
      </c>
      <c r="Q134" s="16" t="s">
        <v>141</v>
      </c>
      <c r="R134" s="14" t="s">
        <v>142</v>
      </c>
      <c r="S134" s="14" t="s">
        <v>88</v>
      </c>
      <c r="T134" s="14" t="s">
        <v>140</v>
      </c>
      <c r="U134" s="15" t="s">
        <v>338</v>
      </c>
      <c r="V134" s="15"/>
      <c r="W134" s="16"/>
      <c r="X134" s="16" t="s">
        <v>84</v>
      </c>
      <c r="Y134" s="14" t="s">
        <v>84</v>
      </c>
      <c r="Z134" s="16" t="s">
        <v>84</v>
      </c>
      <c r="AA134" s="16" t="s">
        <v>84</v>
      </c>
      <c r="AB134" s="16" t="s">
        <v>84</v>
      </c>
      <c r="AC134" s="14" t="s">
        <v>84</v>
      </c>
      <c r="AD134" s="16" t="s">
        <v>84</v>
      </c>
      <c r="AE134" s="16" t="s">
        <v>84</v>
      </c>
      <c r="AF134" s="16" t="s">
        <v>84</v>
      </c>
      <c r="AG134" s="14" t="s">
        <v>84</v>
      </c>
      <c r="AH134" s="16" t="s">
        <v>84</v>
      </c>
      <c r="AI134" s="16" t="s">
        <v>84</v>
      </c>
      <c r="AJ134" s="16" t="s">
        <v>84</v>
      </c>
      <c r="AK134" s="14" t="s">
        <v>84</v>
      </c>
      <c r="AL134" s="16" t="s">
        <v>84</v>
      </c>
      <c r="AM134" s="16" t="s">
        <v>84</v>
      </c>
      <c r="AN134" s="14" t="s">
        <v>84</v>
      </c>
      <c r="AO134" s="14" t="s">
        <v>84</v>
      </c>
    </row>
    <row r="135" spans="1:41" ht="75" x14ac:dyDescent="0.25">
      <c r="A135" s="14" t="s">
        <v>225</v>
      </c>
      <c r="B135" s="14" t="s">
        <v>129</v>
      </c>
      <c r="C135" s="15">
        <v>45084.613194444442</v>
      </c>
      <c r="D135" s="14" t="s">
        <v>73</v>
      </c>
      <c r="E135" s="16" t="s">
        <v>74</v>
      </c>
      <c r="F135" s="14" t="s">
        <v>75</v>
      </c>
      <c r="G135" s="16" t="s">
        <v>76</v>
      </c>
      <c r="H135" s="14" t="s">
        <v>246</v>
      </c>
      <c r="I135" s="16" t="s">
        <v>247</v>
      </c>
      <c r="J135" s="16" t="s">
        <v>248</v>
      </c>
      <c r="K135" s="16" t="s">
        <v>249</v>
      </c>
      <c r="L135" s="14" t="s">
        <v>252</v>
      </c>
      <c r="M135" s="16" t="s">
        <v>253</v>
      </c>
      <c r="N135" s="14" t="s">
        <v>136</v>
      </c>
      <c r="O135" s="16" t="s">
        <v>84</v>
      </c>
      <c r="P135" s="16" t="s">
        <v>84</v>
      </c>
      <c r="Q135" s="16" t="s">
        <v>141</v>
      </c>
      <c r="R135" s="14" t="s">
        <v>142</v>
      </c>
      <c r="S135" s="14" t="s">
        <v>88</v>
      </c>
      <c r="T135" s="14" t="s">
        <v>140</v>
      </c>
      <c r="U135" s="15" t="s">
        <v>338</v>
      </c>
      <c r="V135" s="15"/>
      <c r="W135" s="16"/>
      <c r="X135" s="16" t="s">
        <v>84</v>
      </c>
      <c r="Y135" s="14" t="s">
        <v>84</v>
      </c>
      <c r="Z135" s="16" t="s">
        <v>84</v>
      </c>
      <c r="AA135" s="16" t="s">
        <v>84</v>
      </c>
      <c r="AB135" s="16" t="s">
        <v>84</v>
      </c>
      <c r="AC135" s="14" t="s">
        <v>84</v>
      </c>
      <c r="AD135" s="16" t="s">
        <v>84</v>
      </c>
      <c r="AE135" s="16" t="s">
        <v>84</v>
      </c>
      <c r="AF135" s="16" t="s">
        <v>84</v>
      </c>
      <c r="AG135" s="14" t="s">
        <v>84</v>
      </c>
      <c r="AH135" s="16" t="s">
        <v>84</v>
      </c>
      <c r="AI135" s="16" t="s">
        <v>84</v>
      </c>
      <c r="AJ135" s="16" t="s">
        <v>84</v>
      </c>
      <c r="AK135" s="14" t="s">
        <v>84</v>
      </c>
      <c r="AL135" s="16" t="s">
        <v>84</v>
      </c>
      <c r="AM135" s="16" t="s">
        <v>84</v>
      </c>
      <c r="AN135" s="14" t="s">
        <v>84</v>
      </c>
      <c r="AO135" s="14" t="s">
        <v>84</v>
      </c>
    </row>
    <row r="136" spans="1:41" ht="75" x14ac:dyDescent="0.25">
      <c r="A136" s="14" t="s">
        <v>225</v>
      </c>
      <c r="B136" s="14" t="s">
        <v>129</v>
      </c>
      <c r="C136" s="15">
        <v>45084.615277777775</v>
      </c>
      <c r="D136" s="14" t="s">
        <v>73</v>
      </c>
      <c r="E136" s="16" t="s">
        <v>74</v>
      </c>
      <c r="F136" s="14" t="s">
        <v>75</v>
      </c>
      <c r="G136" s="16" t="s">
        <v>76</v>
      </c>
      <c r="H136" s="14" t="s">
        <v>246</v>
      </c>
      <c r="I136" s="16" t="s">
        <v>247</v>
      </c>
      <c r="J136" s="16" t="s">
        <v>248</v>
      </c>
      <c r="K136" s="16" t="s">
        <v>249</v>
      </c>
      <c r="L136" s="14" t="s">
        <v>250</v>
      </c>
      <c r="M136" s="16" t="s">
        <v>251</v>
      </c>
      <c r="N136" s="14" t="s">
        <v>83</v>
      </c>
      <c r="O136" s="16" t="s">
        <v>84</v>
      </c>
      <c r="P136" s="16" t="s">
        <v>84</v>
      </c>
      <c r="Q136" s="16" t="s">
        <v>144</v>
      </c>
      <c r="R136" s="14" t="s">
        <v>145</v>
      </c>
      <c r="S136" s="14" t="s">
        <v>88</v>
      </c>
      <c r="T136" s="14" t="s">
        <v>89</v>
      </c>
      <c r="U136" s="15" t="s">
        <v>338</v>
      </c>
      <c r="V136" s="15"/>
      <c r="W136" s="16"/>
      <c r="X136" s="16" t="s">
        <v>84</v>
      </c>
      <c r="Y136" s="14" t="s">
        <v>84</v>
      </c>
      <c r="Z136" s="16" t="s">
        <v>84</v>
      </c>
      <c r="AA136" s="16" t="s">
        <v>84</v>
      </c>
      <c r="AB136" s="16" t="s">
        <v>84</v>
      </c>
      <c r="AC136" s="14" t="s">
        <v>84</v>
      </c>
      <c r="AD136" s="16" t="s">
        <v>84</v>
      </c>
      <c r="AE136" s="16" t="s">
        <v>84</v>
      </c>
      <c r="AF136" s="16" t="s">
        <v>84</v>
      </c>
      <c r="AG136" s="14" t="s">
        <v>84</v>
      </c>
      <c r="AH136" s="16" t="s">
        <v>84</v>
      </c>
      <c r="AI136" s="16" t="s">
        <v>84</v>
      </c>
      <c r="AJ136" s="16" t="s">
        <v>84</v>
      </c>
      <c r="AK136" s="14" t="s">
        <v>84</v>
      </c>
      <c r="AL136" s="16" t="s">
        <v>84</v>
      </c>
      <c r="AM136" s="16" t="s">
        <v>84</v>
      </c>
      <c r="AN136" s="14" t="s">
        <v>84</v>
      </c>
      <c r="AO136" s="14" t="s">
        <v>84</v>
      </c>
    </row>
    <row r="137" spans="1:41" ht="75" x14ac:dyDescent="0.25">
      <c r="A137" s="14" t="s">
        <v>225</v>
      </c>
      <c r="B137" s="14" t="s">
        <v>129</v>
      </c>
      <c r="C137" s="15">
        <v>45084.612500000003</v>
      </c>
      <c r="D137" s="14" t="s">
        <v>73</v>
      </c>
      <c r="E137" s="16" t="s">
        <v>74</v>
      </c>
      <c r="F137" s="14" t="s">
        <v>75</v>
      </c>
      <c r="G137" s="16" t="s">
        <v>76</v>
      </c>
      <c r="H137" s="14" t="s">
        <v>246</v>
      </c>
      <c r="I137" s="16" t="s">
        <v>247</v>
      </c>
      <c r="J137" s="16" t="s">
        <v>248</v>
      </c>
      <c r="K137" s="16" t="s">
        <v>249</v>
      </c>
      <c r="L137" s="14" t="s">
        <v>252</v>
      </c>
      <c r="M137" s="16" t="s">
        <v>253</v>
      </c>
      <c r="N137" s="14" t="s">
        <v>136</v>
      </c>
      <c r="O137" s="16" t="s">
        <v>84</v>
      </c>
      <c r="P137" s="16" t="s">
        <v>84</v>
      </c>
      <c r="Q137" s="16" t="s">
        <v>144</v>
      </c>
      <c r="R137" s="14" t="s">
        <v>145</v>
      </c>
      <c r="S137" s="14" t="s">
        <v>88</v>
      </c>
      <c r="T137" s="14" t="s">
        <v>89</v>
      </c>
      <c r="U137" s="15" t="s">
        <v>338</v>
      </c>
      <c r="V137" s="15"/>
      <c r="W137" s="16"/>
      <c r="X137" s="16" t="s">
        <v>84</v>
      </c>
      <c r="Y137" s="14" t="s">
        <v>84</v>
      </c>
      <c r="Z137" s="16" t="s">
        <v>84</v>
      </c>
      <c r="AA137" s="16" t="s">
        <v>84</v>
      </c>
      <c r="AB137" s="16" t="s">
        <v>84</v>
      </c>
      <c r="AC137" s="14" t="s">
        <v>84</v>
      </c>
      <c r="AD137" s="16" t="s">
        <v>84</v>
      </c>
      <c r="AE137" s="16" t="s">
        <v>84</v>
      </c>
      <c r="AF137" s="16" t="s">
        <v>84</v>
      </c>
      <c r="AG137" s="14" t="s">
        <v>84</v>
      </c>
      <c r="AH137" s="16" t="s">
        <v>84</v>
      </c>
      <c r="AI137" s="16" t="s">
        <v>84</v>
      </c>
      <c r="AJ137" s="16" t="s">
        <v>84</v>
      </c>
      <c r="AK137" s="14" t="s">
        <v>84</v>
      </c>
      <c r="AL137" s="16" t="s">
        <v>84</v>
      </c>
      <c r="AM137" s="16" t="s">
        <v>84</v>
      </c>
      <c r="AN137" s="14" t="s">
        <v>84</v>
      </c>
      <c r="AO137" s="14" t="s">
        <v>84</v>
      </c>
    </row>
    <row r="138" spans="1:41" ht="75" x14ac:dyDescent="0.25">
      <c r="A138" s="14" t="s">
        <v>225</v>
      </c>
      <c r="B138" s="14" t="s">
        <v>129</v>
      </c>
      <c r="C138" s="15">
        <v>45084.615972222222</v>
      </c>
      <c r="D138" s="14" t="s">
        <v>73</v>
      </c>
      <c r="E138" s="16" t="s">
        <v>74</v>
      </c>
      <c r="F138" s="14" t="s">
        <v>75</v>
      </c>
      <c r="G138" s="16" t="s">
        <v>76</v>
      </c>
      <c r="H138" s="14" t="s">
        <v>246</v>
      </c>
      <c r="I138" s="16" t="s">
        <v>247</v>
      </c>
      <c r="J138" s="16" t="s">
        <v>248</v>
      </c>
      <c r="K138" s="16" t="s">
        <v>249</v>
      </c>
      <c r="L138" s="14" t="s">
        <v>250</v>
      </c>
      <c r="M138" s="16" t="s">
        <v>251</v>
      </c>
      <c r="N138" s="14" t="s">
        <v>83</v>
      </c>
      <c r="O138" s="16" t="s">
        <v>84</v>
      </c>
      <c r="P138" s="16" t="s">
        <v>84</v>
      </c>
      <c r="Q138" s="16" t="s">
        <v>148</v>
      </c>
      <c r="R138" s="14" t="s">
        <v>149</v>
      </c>
      <c r="S138" s="14" t="s">
        <v>88</v>
      </c>
      <c r="T138" s="14" t="s">
        <v>140</v>
      </c>
      <c r="U138" s="15" t="s">
        <v>338</v>
      </c>
      <c r="V138" s="15"/>
      <c r="W138" s="16"/>
      <c r="X138" s="16" t="s">
        <v>84</v>
      </c>
      <c r="Y138" s="14" t="s">
        <v>84</v>
      </c>
      <c r="Z138" s="16" t="s">
        <v>84</v>
      </c>
      <c r="AA138" s="16" t="s">
        <v>84</v>
      </c>
      <c r="AB138" s="16" t="s">
        <v>84</v>
      </c>
      <c r="AC138" s="14" t="s">
        <v>84</v>
      </c>
      <c r="AD138" s="16" t="s">
        <v>84</v>
      </c>
      <c r="AE138" s="16" t="s">
        <v>84</v>
      </c>
      <c r="AF138" s="16" t="s">
        <v>84</v>
      </c>
      <c r="AG138" s="14" t="s">
        <v>84</v>
      </c>
      <c r="AH138" s="16" t="s">
        <v>84</v>
      </c>
      <c r="AI138" s="16" t="s">
        <v>84</v>
      </c>
      <c r="AJ138" s="16" t="s">
        <v>84</v>
      </c>
      <c r="AK138" s="14" t="s">
        <v>84</v>
      </c>
      <c r="AL138" s="16" t="s">
        <v>84</v>
      </c>
      <c r="AM138" s="16" t="s">
        <v>84</v>
      </c>
      <c r="AN138" s="14" t="s">
        <v>84</v>
      </c>
      <c r="AO138" s="14" t="s">
        <v>84</v>
      </c>
    </row>
    <row r="139" spans="1:41" ht="75" x14ac:dyDescent="0.25">
      <c r="A139" s="14" t="s">
        <v>225</v>
      </c>
      <c r="B139" s="14" t="s">
        <v>129</v>
      </c>
      <c r="C139" s="15">
        <v>45084.613194444442</v>
      </c>
      <c r="D139" s="14" t="s">
        <v>73</v>
      </c>
      <c r="E139" s="16" t="s">
        <v>74</v>
      </c>
      <c r="F139" s="14" t="s">
        <v>75</v>
      </c>
      <c r="G139" s="16" t="s">
        <v>76</v>
      </c>
      <c r="H139" s="14" t="s">
        <v>246</v>
      </c>
      <c r="I139" s="16" t="s">
        <v>247</v>
      </c>
      <c r="J139" s="16" t="s">
        <v>248</v>
      </c>
      <c r="K139" s="16" t="s">
        <v>249</v>
      </c>
      <c r="L139" s="14" t="s">
        <v>252</v>
      </c>
      <c r="M139" s="16" t="s">
        <v>253</v>
      </c>
      <c r="N139" s="14" t="s">
        <v>136</v>
      </c>
      <c r="O139" s="16" t="s">
        <v>84</v>
      </c>
      <c r="P139" s="16" t="s">
        <v>84</v>
      </c>
      <c r="Q139" s="16" t="s">
        <v>148</v>
      </c>
      <c r="R139" s="14" t="s">
        <v>149</v>
      </c>
      <c r="S139" s="14" t="s">
        <v>88</v>
      </c>
      <c r="T139" s="14" t="s">
        <v>140</v>
      </c>
      <c r="U139" s="15" t="s">
        <v>338</v>
      </c>
      <c r="V139" s="15"/>
      <c r="W139" s="16"/>
      <c r="X139" s="16" t="s">
        <v>84</v>
      </c>
      <c r="Y139" s="14" t="s">
        <v>84</v>
      </c>
      <c r="Z139" s="16" t="s">
        <v>84</v>
      </c>
      <c r="AA139" s="16" t="s">
        <v>84</v>
      </c>
      <c r="AB139" s="16" t="s">
        <v>84</v>
      </c>
      <c r="AC139" s="14" t="s">
        <v>84</v>
      </c>
      <c r="AD139" s="16" t="s">
        <v>84</v>
      </c>
      <c r="AE139" s="16" t="s">
        <v>84</v>
      </c>
      <c r="AF139" s="16" t="s">
        <v>84</v>
      </c>
      <c r="AG139" s="14" t="s">
        <v>84</v>
      </c>
      <c r="AH139" s="16" t="s">
        <v>84</v>
      </c>
      <c r="AI139" s="16" t="s">
        <v>84</v>
      </c>
      <c r="AJ139" s="16" t="s">
        <v>84</v>
      </c>
      <c r="AK139" s="14" t="s">
        <v>84</v>
      </c>
      <c r="AL139" s="16" t="s">
        <v>84</v>
      </c>
      <c r="AM139" s="16" t="s">
        <v>84</v>
      </c>
      <c r="AN139" s="14" t="s">
        <v>84</v>
      </c>
      <c r="AO139" s="14" t="s">
        <v>84</v>
      </c>
    </row>
    <row r="140" spans="1:41" ht="135" x14ac:dyDescent="0.25">
      <c r="A140" s="14" t="s">
        <v>254</v>
      </c>
      <c r="B140" s="14" t="s">
        <v>129</v>
      </c>
      <c r="C140" s="15">
        <v>46101.674305555556</v>
      </c>
      <c r="D140" s="14" t="s">
        <v>73</v>
      </c>
      <c r="E140" s="16" t="s">
        <v>74</v>
      </c>
      <c r="F140" s="14" t="s">
        <v>75</v>
      </c>
      <c r="G140" s="16" t="s">
        <v>76</v>
      </c>
      <c r="H140" s="14" t="s">
        <v>255</v>
      </c>
      <c r="I140" s="16" t="s">
        <v>256</v>
      </c>
      <c r="J140" s="16" t="s">
        <v>257</v>
      </c>
      <c r="K140" s="16" t="s">
        <v>258</v>
      </c>
      <c r="L140" s="14" t="s">
        <v>259</v>
      </c>
      <c r="M140" s="16" t="s">
        <v>260</v>
      </c>
      <c r="N140" s="14" t="s">
        <v>178</v>
      </c>
      <c r="O140" s="16" t="s">
        <v>261</v>
      </c>
      <c r="P140" s="16" t="s">
        <v>262</v>
      </c>
      <c r="Q140" s="16" t="s">
        <v>85</v>
      </c>
      <c r="R140" s="14" t="s">
        <v>86</v>
      </c>
      <c r="S140" s="14" t="s">
        <v>88</v>
      </c>
      <c r="T140" s="14" t="s">
        <v>89</v>
      </c>
      <c r="U140" s="15">
        <v>45658</v>
      </c>
      <c r="V140" s="15"/>
      <c r="W140" s="16"/>
      <c r="X140" s="16" t="s">
        <v>84</v>
      </c>
      <c r="Y140" s="14" t="s">
        <v>84</v>
      </c>
      <c r="Z140" s="16" t="s">
        <v>84</v>
      </c>
      <c r="AA140" s="16" t="s">
        <v>84</v>
      </c>
      <c r="AB140" s="16" t="s">
        <v>84</v>
      </c>
      <c r="AC140" s="14" t="s">
        <v>84</v>
      </c>
      <c r="AD140" s="16" t="s">
        <v>84</v>
      </c>
      <c r="AE140" s="16" t="s">
        <v>84</v>
      </c>
      <c r="AF140" s="16" t="s">
        <v>84</v>
      </c>
      <c r="AG140" s="14" t="s">
        <v>84</v>
      </c>
      <c r="AH140" s="16" t="s">
        <v>84</v>
      </c>
      <c r="AI140" s="16" t="s">
        <v>84</v>
      </c>
      <c r="AJ140" s="16" t="s">
        <v>84</v>
      </c>
      <c r="AK140" s="14" t="s">
        <v>84</v>
      </c>
      <c r="AL140" s="16" t="s">
        <v>84</v>
      </c>
      <c r="AM140" s="16" t="s">
        <v>84</v>
      </c>
      <c r="AN140" s="14" t="s">
        <v>84</v>
      </c>
      <c r="AO140" s="14" t="s">
        <v>84</v>
      </c>
    </row>
    <row r="141" spans="1:41" ht="135" x14ac:dyDescent="0.25">
      <c r="A141" s="14" t="s">
        <v>254</v>
      </c>
      <c r="B141" s="14" t="s">
        <v>129</v>
      </c>
      <c r="C141" s="15">
        <v>46101.676388888889</v>
      </c>
      <c r="D141" s="14" t="s">
        <v>73</v>
      </c>
      <c r="E141" s="16" t="s">
        <v>74</v>
      </c>
      <c r="F141" s="14" t="s">
        <v>75</v>
      </c>
      <c r="G141" s="16" t="s">
        <v>76</v>
      </c>
      <c r="H141" s="14" t="s">
        <v>255</v>
      </c>
      <c r="I141" s="16" t="s">
        <v>256</v>
      </c>
      <c r="J141" s="16" t="s">
        <v>257</v>
      </c>
      <c r="K141" s="16" t="s">
        <v>258</v>
      </c>
      <c r="L141" s="14" t="s">
        <v>267</v>
      </c>
      <c r="M141" s="16" t="s">
        <v>268</v>
      </c>
      <c r="N141" s="14" t="s">
        <v>178</v>
      </c>
      <c r="O141" s="16" t="s">
        <v>269</v>
      </c>
      <c r="P141" s="16" t="s">
        <v>270</v>
      </c>
      <c r="Q141" s="16" t="s">
        <v>85</v>
      </c>
      <c r="R141" s="14" t="s">
        <v>86</v>
      </c>
      <c r="S141" s="14" t="s">
        <v>88</v>
      </c>
      <c r="T141" s="14" t="s">
        <v>89</v>
      </c>
      <c r="U141" s="15">
        <v>45658</v>
      </c>
      <c r="V141" s="15"/>
      <c r="W141" s="16"/>
      <c r="X141" s="16" t="s">
        <v>84</v>
      </c>
      <c r="Y141" s="14" t="s">
        <v>84</v>
      </c>
      <c r="Z141" s="16" t="s">
        <v>84</v>
      </c>
      <c r="AA141" s="16" t="s">
        <v>84</v>
      </c>
      <c r="AB141" s="16" t="s">
        <v>84</v>
      </c>
      <c r="AC141" s="14" t="s">
        <v>84</v>
      </c>
      <c r="AD141" s="16" t="s">
        <v>84</v>
      </c>
      <c r="AE141" s="16" t="s">
        <v>84</v>
      </c>
      <c r="AF141" s="16" t="s">
        <v>84</v>
      </c>
      <c r="AG141" s="14" t="s">
        <v>84</v>
      </c>
      <c r="AH141" s="16" t="s">
        <v>84</v>
      </c>
      <c r="AI141" s="16" t="s">
        <v>84</v>
      </c>
      <c r="AJ141" s="16" t="s">
        <v>84</v>
      </c>
      <c r="AK141" s="14" t="s">
        <v>84</v>
      </c>
      <c r="AL141" s="16" t="s">
        <v>84</v>
      </c>
      <c r="AM141" s="16" t="s">
        <v>84</v>
      </c>
      <c r="AN141" s="14" t="s">
        <v>84</v>
      </c>
      <c r="AO141" s="14" t="s">
        <v>84</v>
      </c>
    </row>
    <row r="142" spans="1:41" ht="135" x14ac:dyDescent="0.25">
      <c r="A142" s="14" t="s">
        <v>254</v>
      </c>
      <c r="B142" s="14" t="s">
        <v>129</v>
      </c>
      <c r="C142" s="15">
        <v>46101.679166666669</v>
      </c>
      <c r="D142" s="14" t="s">
        <v>73</v>
      </c>
      <c r="E142" s="16" t="s">
        <v>74</v>
      </c>
      <c r="F142" s="14" t="s">
        <v>75</v>
      </c>
      <c r="G142" s="16" t="s">
        <v>76</v>
      </c>
      <c r="H142" s="14" t="s">
        <v>255</v>
      </c>
      <c r="I142" s="16" t="s">
        <v>256</v>
      </c>
      <c r="J142" s="16" t="s">
        <v>257</v>
      </c>
      <c r="K142" s="16" t="s">
        <v>258</v>
      </c>
      <c r="L142" s="14" t="s">
        <v>271</v>
      </c>
      <c r="M142" s="16" t="s">
        <v>272</v>
      </c>
      <c r="N142" s="14" t="s">
        <v>136</v>
      </c>
      <c r="O142" s="16" t="s">
        <v>273</v>
      </c>
      <c r="P142" s="16" t="s">
        <v>274</v>
      </c>
      <c r="Q142" s="16" t="s">
        <v>85</v>
      </c>
      <c r="R142" s="14" t="s">
        <v>86</v>
      </c>
      <c r="S142" s="14" t="s">
        <v>88</v>
      </c>
      <c r="T142" s="14" t="s">
        <v>89</v>
      </c>
      <c r="U142" s="15">
        <v>45658</v>
      </c>
      <c r="V142" s="15"/>
      <c r="W142" s="16"/>
      <c r="X142" s="16" t="s">
        <v>84</v>
      </c>
      <c r="Y142" s="14" t="s">
        <v>84</v>
      </c>
      <c r="Z142" s="16" t="s">
        <v>84</v>
      </c>
      <c r="AA142" s="16" t="s">
        <v>84</v>
      </c>
      <c r="AB142" s="16" t="s">
        <v>84</v>
      </c>
      <c r="AC142" s="14" t="s">
        <v>84</v>
      </c>
      <c r="AD142" s="16" t="s">
        <v>84</v>
      </c>
      <c r="AE142" s="16" t="s">
        <v>84</v>
      </c>
      <c r="AF142" s="16" t="s">
        <v>84</v>
      </c>
      <c r="AG142" s="14" t="s">
        <v>84</v>
      </c>
      <c r="AH142" s="16" t="s">
        <v>84</v>
      </c>
      <c r="AI142" s="16" t="s">
        <v>84</v>
      </c>
      <c r="AJ142" s="16" t="s">
        <v>84</v>
      </c>
      <c r="AK142" s="14" t="s">
        <v>84</v>
      </c>
      <c r="AL142" s="16" t="s">
        <v>84</v>
      </c>
      <c r="AM142" s="16" t="s">
        <v>84</v>
      </c>
      <c r="AN142" s="14" t="s">
        <v>84</v>
      </c>
      <c r="AO142" s="14" t="s">
        <v>84</v>
      </c>
    </row>
    <row r="143" spans="1:41" ht="135" x14ac:dyDescent="0.25">
      <c r="A143" s="14" t="s">
        <v>254</v>
      </c>
      <c r="B143" s="14" t="s">
        <v>129</v>
      </c>
      <c r="C143" s="15">
        <v>46101.675000000003</v>
      </c>
      <c r="D143" s="14" t="s">
        <v>73</v>
      </c>
      <c r="E143" s="16" t="s">
        <v>74</v>
      </c>
      <c r="F143" s="14" t="s">
        <v>75</v>
      </c>
      <c r="G143" s="16" t="s">
        <v>76</v>
      </c>
      <c r="H143" s="14" t="s">
        <v>255</v>
      </c>
      <c r="I143" s="16" t="s">
        <v>256</v>
      </c>
      <c r="J143" s="16" t="s">
        <v>257</v>
      </c>
      <c r="K143" s="16" t="s">
        <v>258</v>
      </c>
      <c r="L143" s="14" t="s">
        <v>259</v>
      </c>
      <c r="M143" s="16" t="s">
        <v>260</v>
      </c>
      <c r="N143" s="14" t="s">
        <v>178</v>
      </c>
      <c r="O143" s="16" t="s">
        <v>261</v>
      </c>
      <c r="P143" s="16" t="s">
        <v>262</v>
      </c>
      <c r="Q143" s="16" t="s">
        <v>138</v>
      </c>
      <c r="R143" s="14" t="s">
        <v>139</v>
      </c>
      <c r="S143" s="14" t="s">
        <v>88</v>
      </c>
      <c r="T143" s="14" t="s">
        <v>140</v>
      </c>
      <c r="U143" s="15">
        <v>45658</v>
      </c>
      <c r="V143" s="15"/>
      <c r="W143" s="16"/>
      <c r="X143" s="16" t="s">
        <v>84</v>
      </c>
      <c r="Y143" s="14" t="s">
        <v>84</v>
      </c>
      <c r="Z143" s="16" t="s">
        <v>84</v>
      </c>
      <c r="AA143" s="16" t="s">
        <v>84</v>
      </c>
      <c r="AB143" s="16" t="s">
        <v>84</v>
      </c>
      <c r="AC143" s="14" t="s">
        <v>84</v>
      </c>
      <c r="AD143" s="16" t="s">
        <v>84</v>
      </c>
      <c r="AE143" s="16" t="s">
        <v>84</v>
      </c>
      <c r="AF143" s="16" t="s">
        <v>84</v>
      </c>
      <c r="AG143" s="14" t="s">
        <v>84</v>
      </c>
      <c r="AH143" s="16" t="s">
        <v>84</v>
      </c>
      <c r="AI143" s="16" t="s">
        <v>84</v>
      </c>
      <c r="AJ143" s="16" t="s">
        <v>84</v>
      </c>
      <c r="AK143" s="14" t="s">
        <v>84</v>
      </c>
      <c r="AL143" s="16" t="s">
        <v>84</v>
      </c>
      <c r="AM143" s="16" t="s">
        <v>84</v>
      </c>
      <c r="AN143" s="14" t="s">
        <v>84</v>
      </c>
      <c r="AO143" s="14" t="s">
        <v>84</v>
      </c>
    </row>
    <row r="144" spans="1:41" ht="135" x14ac:dyDescent="0.25">
      <c r="A144" s="14" t="s">
        <v>254</v>
      </c>
      <c r="B144" s="14" t="s">
        <v>129</v>
      </c>
      <c r="C144" s="15">
        <v>46101.676388888889</v>
      </c>
      <c r="D144" s="14" t="s">
        <v>73</v>
      </c>
      <c r="E144" s="16" t="s">
        <v>74</v>
      </c>
      <c r="F144" s="14" t="s">
        <v>75</v>
      </c>
      <c r="G144" s="16" t="s">
        <v>76</v>
      </c>
      <c r="H144" s="14" t="s">
        <v>255</v>
      </c>
      <c r="I144" s="16" t="s">
        <v>256</v>
      </c>
      <c r="J144" s="16" t="s">
        <v>257</v>
      </c>
      <c r="K144" s="16" t="s">
        <v>258</v>
      </c>
      <c r="L144" s="14" t="s">
        <v>267</v>
      </c>
      <c r="M144" s="16" t="s">
        <v>268</v>
      </c>
      <c r="N144" s="14" t="s">
        <v>178</v>
      </c>
      <c r="O144" s="16" t="s">
        <v>269</v>
      </c>
      <c r="P144" s="16" t="s">
        <v>270</v>
      </c>
      <c r="Q144" s="16" t="s">
        <v>138</v>
      </c>
      <c r="R144" s="14" t="s">
        <v>139</v>
      </c>
      <c r="S144" s="14" t="s">
        <v>88</v>
      </c>
      <c r="T144" s="14" t="s">
        <v>140</v>
      </c>
      <c r="U144" s="15">
        <v>45658</v>
      </c>
      <c r="V144" s="15"/>
      <c r="W144" s="16"/>
      <c r="X144" s="16" t="s">
        <v>84</v>
      </c>
      <c r="Y144" s="14" t="s">
        <v>84</v>
      </c>
      <c r="Z144" s="16" t="s">
        <v>84</v>
      </c>
      <c r="AA144" s="16" t="s">
        <v>84</v>
      </c>
      <c r="AB144" s="16" t="s">
        <v>84</v>
      </c>
      <c r="AC144" s="14" t="s">
        <v>84</v>
      </c>
      <c r="AD144" s="16" t="s">
        <v>84</v>
      </c>
      <c r="AE144" s="16" t="s">
        <v>84</v>
      </c>
      <c r="AF144" s="16" t="s">
        <v>84</v>
      </c>
      <c r="AG144" s="14" t="s">
        <v>84</v>
      </c>
      <c r="AH144" s="16" t="s">
        <v>84</v>
      </c>
      <c r="AI144" s="16" t="s">
        <v>84</v>
      </c>
      <c r="AJ144" s="16" t="s">
        <v>84</v>
      </c>
      <c r="AK144" s="14" t="s">
        <v>84</v>
      </c>
      <c r="AL144" s="16" t="s">
        <v>84</v>
      </c>
      <c r="AM144" s="16" t="s">
        <v>84</v>
      </c>
      <c r="AN144" s="14" t="s">
        <v>84</v>
      </c>
      <c r="AO144" s="14" t="s">
        <v>84</v>
      </c>
    </row>
    <row r="145" spans="1:41" ht="135" x14ac:dyDescent="0.25">
      <c r="A145" s="14" t="s">
        <v>254</v>
      </c>
      <c r="B145" s="14" t="s">
        <v>129</v>
      </c>
      <c r="C145" s="15">
        <v>46101.679166666669</v>
      </c>
      <c r="D145" s="14" t="s">
        <v>73</v>
      </c>
      <c r="E145" s="16" t="s">
        <v>74</v>
      </c>
      <c r="F145" s="14" t="s">
        <v>75</v>
      </c>
      <c r="G145" s="16" t="s">
        <v>76</v>
      </c>
      <c r="H145" s="14" t="s">
        <v>255</v>
      </c>
      <c r="I145" s="16" t="s">
        <v>256</v>
      </c>
      <c r="J145" s="16" t="s">
        <v>257</v>
      </c>
      <c r="K145" s="16" t="s">
        <v>258</v>
      </c>
      <c r="L145" s="14" t="s">
        <v>271</v>
      </c>
      <c r="M145" s="16" t="s">
        <v>272</v>
      </c>
      <c r="N145" s="14" t="s">
        <v>136</v>
      </c>
      <c r="O145" s="16" t="s">
        <v>273</v>
      </c>
      <c r="P145" s="16" t="s">
        <v>274</v>
      </c>
      <c r="Q145" s="16" t="s">
        <v>138</v>
      </c>
      <c r="R145" s="14" t="s">
        <v>139</v>
      </c>
      <c r="S145" s="14" t="s">
        <v>88</v>
      </c>
      <c r="T145" s="14" t="s">
        <v>140</v>
      </c>
      <c r="U145" s="15">
        <v>45658</v>
      </c>
      <c r="V145" s="15"/>
      <c r="W145" s="16"/>
      <c r="X145" s="16" t="s">
        <v>84</v>
      </c>
      <c r="Y145" s="14" t="s">
        <v>84</v>
      </c>
      <c r="Z145" s="16" t="s">
        <v>84</v>
      </c>
      <c r="AA145" s="16" t="s">
        <v>84</v>
      </c>
      <c r="AB145" s="16" t="s">
        <v>84</v>
      </c>
      <c r="AC145" s="14" t="s">
        <v>84</v>
      </c>
      <c r="AD145" s="16" t="s">
        <v>84</v>
      </c>
      <c r="AE145" s="16" t="s">
        <v>84</v>
      </c>
      <c r="AF145" s="16" t="s">
        <v>84</v>
      </c>
      <c r="AG145" s="14" t="s">
        <v>84</v>
      </c>
      <c r="AH145" s="16" t="s">
        <v>84</v>
      </c>
      <c r="AI145" s="16" t="s">
        <v>84</v>
      </c>
      <c r="AJ145" s="16" t="s">
        <v>84</v>
      </c>
      <c r="AK145" s="14" t="s">
        <v>84</v>
      </c>
      <c r="AL145" s="16" t="s">
        <v>84</v>
      </c>
      <c r="AM145" s="16" t="s">
        <v>84</v>
      </c>
      <c r="AN145" s="14" t="s">
        <v>84</v>
      </c>
      <c r="AO145" s="14" t="s">
        <v>84</v>
      </c>
    </row>
    <row r="146" spans="1:41" ht="135" x14ac:dyDescent="0.25">
      <c r="A146" s="14" t="s">
        <v>254</v>
      </c>
      <c r="B146" s="14" t="s">
        <v>129</v>
      </c>
      <c r="C146" s="15">
        <v>46101.675000000003</v>
      </c>
      <c r="D146" s="14" t="s">
        <v>73</v>
      </c>
      <c r="E146" s="16" t="s">
        <v>74</v>
      </c>
      <c r="F146" s="14" t="s">
        <v>75</v>
      </c>
      <c r="G146" s="16" t="s">
        <v>76</v>
      </c>
      <c r="H146" s="14" t="s">
        <v>255</v>
      </c>
      <c r="I146" s="16" t="s">
        <v>256</v>
      </c>
      <c r="J146" s="16" t="s">
        <v>257</v>
      </c>
      <c r="K146" s="16" t="s">
        <v>258</v>
      </c>
      <c r="L146" s="14" t="s">
        <v>259</v>
      </c>
      <c r="M146" s="16" t="s">
        <v>260</v>
      </c>
      <c r="N146" s="14" t="s">
        <v>178</v>
      </c>
      <c r="O146" s="16" t="s">
        <v>261</v>
      </c>
      <c r="P146" s="16" t="s">
        <v>262</v>
      </c>
      <c r="Q146" s="16" t="s">
        <v>141</v>
      </c>
      <c r="R146" s="14" t="s">
        <v>142</v>
      </c>
      <c r="S146" s="14" t="s">
        <v>88</v>
      </c>
      <c r="T146" s="14" t="s">
        <v>140</v>
      </c>
      <c r="U146" s="15">
        <v>45658</v>
      </c>
      <c r="V146" s="15"/>
      <c r="W146" s="16"/>
      <c r="X146" s="16" t="s">
        <v>84</v>
      </c>
      <c r="Y146" s="14" t="s">
        <v>84</v>
      </c>
      <c r="Z146" s="16" t="s">
        <v>84</v>
      </c>
      <c r="AA146" s="16" t="s">
        <v>84</v>
      </c>
      <c r="AB146" s="16" t="s">
        <v>84</v>
      </c>
      <c r="AC146" s="14" t="s">
        <v>84</v>
      </c>
      <c r="AD146" s="16" t="s">
        <v>84</v>
      </c>
      <c r="AE146" s="16" t="s">
        <v>84</v>
      </c>
      <c r="AF146" s="16" t="s">
        <v>84</v>
      </c>
      <c r="AG146" s="14" t="s">
        <v>84</v>
      </c>
      <c r="AH146" s="16" t="s">
        <v>84</v>
      </c>
      <c r="AI146" s="16" t="s">
        <v>84</v>
      </c>
      <c r="AJ146" s="16" t="s">
        <v>84</v>
      </c>
      <c r="AK146" s="14" t="s">
        <v>84</v>
      </c>
      <c r="AL146" s="16" t="s">
        <v>84</v>
      </c>
      <c r="AM146" s="16" t="s">
        <v>84</v>
      </c>
      <c r="AN146" s="14" t="s">
        <v>84</v>
      </c>
      <c r="AO146" s="14" t="s">
        <v>84</v>
      </c>
    </row>
    <row r="147" spans="1:41" ht="135" x14ac:dyDescent="0.25">
      <c r="A147" s="14" t="s">
        <v>254</v>
      </c>
      <c r="B147" s="14" t="s">
        <v>129</v>
      </c>
      <c r="C147" s="15">
        <v>46101.677083333336</v>
      </c>
      <c r="D147" s="14" t="s">
        <v>73</v>
      </c>
      <c r="E147" s="16" t="s">
        <v>74</v>
      </c>
      <c r="F147" s="14" t="s">
        <v>75</v>
      </c>
      <c r="G147" s="16" t="s">
        <v>76</v>
      </c>
      <c r="H147" s="14" t="s">
        <v>255</v>
      </c>
      <c r="I147" s="16" t="s">
        <v>256</v>
      </c>
      <c r="J147" s="16" t="s">
        <v>257</v>
      </c>
      <c r="K147" s="16" t="s">
        <v>258</v>
      </c>
      <c r="L147" s="14" t="s">
        <v>267</v>
      </c>
      <c r="M147" s="16" t="s">
        <v>268</v>
      </c>
      <c r="N147" s="14" t="s">
        <v>178</v>
      </c>
      <c r="O147" s="16" t="s">
        <v>269</v>
      </c>
      <c r="P147" s="16" t="s">
        <v>270</v>
      </c>
      <c r="Q147" s="16" t="s">
        <v>141</v>
      </c>
      <c r="R147" s="14" t="s">
        <v>142</v>
      </c>
      <c r="S147" s="14" t="s">
        <v>88</v>
      </c>
      <c r="T147" s="14" t="s">
        <v>140</v>
      </c>
      <c r="U147" s="15">
        <v>45658</v>
      </c>
      <c r="V147" s="15"/>
      <c r="W147" s="16"/>
      <c r="X147" s="16" t="s">
        <v>84</v>
      </c>
      <c r="Y147" s="14" t="s">
        <v>84</v>
      </c>
      <c r="Z147" s="16" t="s">
        <v>84</v>
      </c>
      <c r="AA147" s="16" t="s">
        <v>84</v>
      </c>
      <c r="AB147" s="16" t="s">
        <v>84</v>
      </c>
      <c r="AC147" s="14" t="s">
        <v>84</v>
      </c>
      <c r="AD147" s="16" t="s">
        <v>84</v>
      </c>
      <c r="AE147" s="16" t="s">
        <v>84</v>
      </c>
      <c r="AF147" s="16" t="s">
        <v>84</v>
      </c>
      <c r="AG147" s="14" t="s">
        <v>84</v>
      </c>
      <c r="AH147" s="16" t="s">
        <v>84</v>
      </c>
      <c r="AI147" s="16" t="s">
        <v>84</v>
      </c>
      <c r="AJ147" s="16" t="s">
        <v>84</v>
      </c>
      <c r="AK147" s="14" t="s">
        <v>84</v>
      </c>
      <c r="AL147" s="16" t="s">
        <v>84</v>
      </c>
      <c r="AM147" s="16" t="s">
        <v>84</v>
      </c>
      <c r="AN147" s="14" t="s">
        <v>84</v>
      </c>
      <c r="AO147" s="14" t="s">
        <v>84</v>
      </c>
    </row>
    <row r="148" spans="1:41" ht="135" x14ac:dyDescent="0.25">
      <c r="A148" s="14" t="s">
        <v>254</v>
      </c>
      <c r="B148" s="14" t="s">
        <v>129</v>
      </c>
      <c r="C148" s="15">
        <v>46101.679861111108</v>
      </c>
      <c r="D148" s="14" t="s">
        <v>73</v>
      </c>
      <c r="E148" s="16" t="s">
        <v>74</v>
      </c>
      <c r="F148" s="14" t="s">
        <v>75</v>
      </c>
      <c r="G148" s="16" t="s">
        <v>76</v>
      </c>
      <c r="H148" s="14" t="s">
        <v>255</v>
      </c>
      <c r="I148" s="16" t="s">
        <v>256</v>
      </c>
      <c r="J148" s="16" t="s">
        <v>257</v>
      </c>
      <c r="K148" s="16" t="s">
        <v>258</v>
      </c>
      <c r="L148" s="14" t="s">
        <v>271</v>
      </c>
      <c r="M148" s="16" t="s">
        <v>272</v>
      </c>
      <c r="N148" s="14" t="s">
        <v>136</v>
      </c>
      <c r="O148" s="16" t="s">
        <v>273</v>
      </c>
      <c r="P148" s="16" t="s">
        <v>274</v>
      </c>
      <c r="Q148" s="16" t="s">
        <v>141</v>
      </c>
      <c r="R148" s="14" t="s">
        <v>142</v>
      </c>
      <c r="S148" s="14" t="s">
        <v>88</v>
      </c>
      <c r="T148" s="14" t="s">
        <v>140</v>
      </c>
      <c r="U148" s="15">
        <v>45658</v>
      </c>
      <c r="V148" s="15"/>
      <c r="W148" s="16"/>
      <c r="X148" s="16" t="s">
        <v>84</v>
      </c>
      <c r="Y148" s="14" t="s">
        <v>84</v>
      </c>
      <c r="Z148" s="16" t="s">
        <v>84</v>
      </c>
      <c r="AA148" s="16" t="s">
        <v>84</v>
      </c>
      <c r="AB148" s="16" t="s">
        <v>84</v>
      </c>
      <c r="AC148" s="14" t="s">
        <v>84</v>
      </c>
      <c r="AD148" s="16" t="s">
        <v>84</v>
      </c>
      <c r="AE148" s="16" t="s">
        <v>84</v>
      </c>
      <c r="AF148" s="16" t="s">
        <v>84</v>
      </c>
      <c r="AG148" s="14" t="s">
        <v>84</v>
      </c>
      <c r="AH148" s="16" t="s">
        <v>84</v>
      </c>
      <c r="AI148" s="16" t="s">
        <v>84</v>
      </c>
      <c r="AJ148" s="16" t="s">
        <v>84</v>
      </c>
      <c r="AK148" s="14" t="s">
        <v>84</v>
      </c>
      <c r="AL148" s="16" t="s">
        <v>84</v>
      </c>
      <c r="AM148" s="16" t="s">
        <v>84</v>
      </c>
      <c r="AN148" s="14" t="s">
        <v>84</v>
      </c>
      <c r="AO148" s="14" t="s">
        <v>84</v>
      </c>
    </row>
    <row r="149" spans="1:41" ht="135" x14ac:dyDescent="0.25">
      <c r="A149" s="14" t="s">
        <v>254</v>
      </c>
      <c r="B149" s="14" t="s">
        <v>129</v>
      </c>
      <c r="C149" s="15">
        <v>46104.402777777781</v>
      </c>
      <c r="D149" s="14" t="s">
        <v>73</v>
      </c>
      <c r="E149" s="16" t="s">
        <v>74</v>
      </c>
      <c r="F149" s="14" t="s">
        <v>75</v>
      </c>
      <c r="G149" s="16" t="s">
        <v>76</v>
      </c>
      <c r="H149" s="14" t="s">
        <v>255</v>
      </c>
      <c r="I149" s="16" t="s">
        <v>256</v>
      </c>
      <c r="J149" s="16" t="s">
        <v>257</v>
      </c>
      <c r="K149" s="16" t="s">
        <v>258</v>
      </c>
      <c r="L149" s="14" t="s">
        <v>259</v>
      </c>
      <c r="M149" s="16" t="s">
        <v>260</v>
      </c>
      <c r="N149" s="14" t="s">
        <v>178</v>
      </c>
      <c r="O149" s="16" t="s">
        <v>261</v>
      </c>
      <c r="P149" s="16" t="s">
        <v>262</v>
      </c>
      <c r="Q149" s="16" t="s">
        <v>144</v>
      </c>
      <c r="R149" s="14" t="s">
        <v>145</v>
      </c>
      <c r="S149" s="14" t="s">
        <v>88</v>
      </c>
      <c r="T149" s="14" t="s">
        <v>89</v>
      </c>
      <c r="U149" s="15">
        <v>45658</v>
      </c>
      <c r="V149" s="15"/>
      <c r="W149" s="16"/>
      <c r="X149" s="16" t="s">
        <v>84</v>
      </c>
      <c r="Y149" s="14" t="s">
        <v>84</v>
      </c>
      <c r="Z149" s="16" t="s">
        <v>84</v>
      </c>
      <c r="AA149" s="16" t="s">
        <v>84</v>
      </c>
      <c r="AB149" s="16" t="s">
        <v>84</v>
      </c>
      <c r="AC149" s="14" t="s">
        <v>84</v>
      </c>
      <c r="AD149" s="16" t="s">
        <v>84</v>
      </c>
      <c r="AE149" s="16" t="s">
        <v>84</v>
      </c>
      <c r="AF149" s="16" t="s">
        <v>84</v>
      </c>
      <c r="AG149" s="14" t="s">
        <v>84</v>
      </c>
      <c r="AH149" s="16" t="s">
        <v>84</v>
      </c>
      <c r="AI149" s="16" t="s">
        <v>84</v>
      </c>
      <c r="AJ149" s="16" t="s">
        <v>84</v>
      </c>
      <c r="AK149" s="14" t="s">
        <v>84</v>
      </c>
      <c r="AL149" s="16" t="s">
        <v>84</v>
      </c>
      <c r="AM149" s="16" t="s">
        <v>84</v>
      </c>
      <c r="AN149" s="14" t="s">
        <v>84</v>
      </c>
      <c r="AO149" s="14" t="s">
        <v>84</v>
      </c>
    </row>
    <row r="150" spans="1:41" ht="135" x14ac:dyDescent="0.25">
      <c r="A150" s="14" t="s">
        <v>254</v>
      </c>
      <c r="B150" s="14" t="s">
        <v>129</v>
      </c>
      <c r="C150" s="15">
        <v>46101.678472222222</v>
      </c>
      <c r="D150" s="14" t="s">
        <v>73</v>
      </c>
      <c r="E150" s="16" t="s">
        <v>74</v>
      </c>
      <c r="F150" s="14" t="s">
        <v>75</v>
      </c>
      <c r="G150" s="16" t="s">
        <v>76</v>
      </c>
      <c r="H150" s="14" t="s">
        <v>255</v>
      </c>
      <c r="I150" s="16" t="s">
        <v>256</v>
      </c>
      <c r="J150" s="16" t="s">
        <v>257</v>
      </c>
      <c r="K150" s="16" t="s">
        <v>258</v>
      </c>
      <c r="L150" s="14" t="s">
        <v>267</v>
      </c>
      <c r="M150" s="16" t="s">
        <v>268</v>
      </c>
      <c r="N150" s="14" t="s">
        <v>178</v>
      </c>
      <c r="O150" s="16" t="s">
        <v>269</v>
      </c>
      <c r="P150" s="16" t="s">
        <v>270</v>
      </c>
      <c r="Q150" s="16" t="s">
        <v>144</v>
      </c>
      <c r="R150" s="14" t="s">
        <v>145</v>
      </c>
      <c r="S150" s="14" t="s">
        <v>88</v>
      </c>
      <c r="T150" s="14" t="s">
        <v>89</v>
      </c>
      <c r="U150" s="15">
        <v>45658</v>
      </c>
      <c r="V150" s="15"/>
      <c r="W150" s="16"/>
      <c r="X150" s="16" t="s">
        <v>84</v>
      </c>
      <c r="Y150" s="14" t="s">
        <v>84</v>
      </c>
      <c r="Z150" s="16" t="s">
        <v>84</v>
      </c>
      <c r="AA150" s="16" t="s">
        <v>84</v>
      </c>
      <c r="AB150" s="16" t="s">
        <v>84</v>
      </c>
      <c r="AC150" s="14" t="s">
        <v>84</v>
      </c>
      <c r="AD150" s="16" t="s">
        <v>84</v>
      </c>
      <c r="AE150" s="16" t="s">
        <v>84</v>
      </c>
      <c r="AF150" s="16" t="s">
        <v>84</v>
      </c>
      <c r="AG150" s="14" t="s">
        <v>84</v>
      </c>
      <c r="AH150" s="16" t="s">
        <v>84</v>
      </c>
      <c r="AI150" s="16" t="s">
        <v>84</v>
      </c>
      <c r="AJ150" s="16" t="s">
        <v>84</v>
      </c>
      <c r="AK150" s="14" t="s">
        <v>84</v>
      </c>
      <c r="AL150" s="16" t="s">
        <v>84</v>
      </c>
      <c r="AM150" s="16" t="s">
        <v>84</v>
      </c>
      <c r="AN150" s="14" t="s">
        <v>84</v>
      </c>
      <c r="AO150" s="14" t="s">
        <v>84</v>
      </c>
    </row>
    <row r="151" spans="1:41" ht="135" x14ac:dyDescent="0.25">
      <c r="A151" s="14" t="s">
        <v>254</v>
      </c>
      <c r="B151" s="14" t="s">
        <v>129</v>
      </c>
      <c r="C151" s="15">
        <v>46101.680555555555</v>
      </c>
      <c r="D151" s="14" t="s">
        <v>73</v>
      </c>
      <c r="E151" s="16" t="s">
        <v>74</v>
      </c>
      <c r="F151" s="14" t="s">
        <v>75</v>
      </c>
      <c r="G151" s="16" t="s">
        <v>76</v>
      </c>
      <c r="H151" s="14" t="s">
        <v>255</v>
      </c>
      <c r="I151" s="16" t="s">
        <v>256</v>
      </c>
      <c r="J151" s="16" t="s">
        <v>257</v>
      </c>
      <c r="K151" s="16" t="s">
        <v>258</v>
      </c>
      <c r="L151" s="14" t="s">
        <v>271</v>
      </c>
      <c r="M151" s="16" t="s">
        <v>272</v>
      </c>
      <c r="N151" s="14" t="s">
        <v>136</v>
      </c>
      <c r="O151" s="16" t="s">
        <v>273</v>
      </c>
      <c r="P151" s="16" t="s">
        <v>274</v>
      </c>
      <c r="Q151" s="16" t="s">
        <v>144</v>
      </c>
      <c r="R151" s="14" t="s">
        <v>145</v>
      </c>
      <c r="S151" s="14" t="s">
        <v>88</v>
      </c>
      <c r="T151" s="14" t="s">
        <v>89</v>
      </c>
      <c r="U151" s="15">
        <v>45658</v>
      </c>
      <c r="V151" s="15"/>
      <c r="W151" s="16"/>
      <c r="X151" s="16" t="s">
        <v>84</v>
      </c>
      <c r="Y151" s="14" t="s">
        <v>84</v>
      </c>
      <c r="Z151" s="16" t="s">
        <v>84</v>
      </c>
      <c r="AA151" s="16" t="s">
        <v>84</v>
      </c>
      <c r="AB151" s="16" t="s">
        <v>84</v>
      </c>
      <c r="AC151" s="14" t="s">
        <v>84</v>
      </c>
      <c r="AD151" s="16" t="s">
        <v>84</v>
      </c>
      <c r="AE151" s="16" t="s">
        <v>84</v>
      </c>
      <c r="AF151" s="16" t="s">
        <v>84</v>
      </c>
      <c r="AG151" s="14" t="s">
        <v>84</v>
      </c>
      <c r="AH151" s="16" t="s">
        <v>84</v>
      </c>
      <c r="AI151" s="16" t="s">
        <v>84</v>
      </c>
      <c r="AJ151" s="16" t="s">
        <v>84</v>
      </c>
      <c r="AK151" s="14" t="s">
        <v>84</v>
      </c>
      <c r="AL151" s="16" t="s">
        <v>84</v>
      </c>
      <c r="AM151" s="16" t="s">
        <v>84</v>
      </c>
      <c r="AN151" s="14" t="s">
        <v>84</v>
      </c>
      <c r="AO151" s="14" t="s">
        <v>84</v>
      </c>
    </row>
    <row r="152" spans="1:41" ht="135" x14ac:dyDescent="0.25">
      <c r="A152" s="14" t="s">
        <v>254</v>
      </c>
      <c r="B152" s="14" t="s">
        <v>129</v>
      </c>
      <c r="C152" s="15">
        <v>46101.675694444442</v>
      </c>
      <c r="D152" s="14" t="s">
        <v>73</v>
      </c>
      <c r="E152" s="16" t="s">
        <v>74</v>
      </c>
      <c r="F152" s="14" t="s">
        <v>75</v>
      </c>
      <c r="G152" s="16" t="s">
        <v>76</v>
      </c>
      <c r="H152" s="14" t="s">
        <v>255</v>
      </c>
      <c r="I152" s="16" t="s">
        <v>256</v>
      </c>
      <c r="J152" s="16" t="s">
        <v>257</v>
      </c>
      <c r="K152" s="16" t="s">
        <v>258</v>
      </c>
      <c r="L152" s="14" t="s">
        <v>259</v>
      </c>
      <c r="M152" s="16" t="s">
        <v>260</v>
      </c>
      <c r="N152" s="14" t="s">
        <v>178</v>
      </c>
      <c r="O152" s="16" t="s">
        <v>261</v>
      </c>
      <c r="P152" s="16" t="s">
        <v>262</v>
      </c>
      <c r="Q152" s="16" t="s">
        <v>148</v>
      </c>
      <c r="R152" s="14" t="s">
        <v>149</v>
      </c>
      <c r="S152" s="14" t="s">
        <v>88</v>
      </c>
      <c r="T152" s="14" t="s">
        <v>140</v>
      </c>
      <c r="U152" s="15">
        <v>45658</v>
      </c>
      <c r="V152" s="15"/>
      <c r="W152" s="16"/>
      <c r="X152" s="16" t="s">
        <v>84</v>
      </c>
      <c r="Y152" s="14" t="s">
        <v>84</v>
      </c>
      <c r="Z152" s="16" t="s">
        <v>84</v>
      </c>
      <c r="AA152" s="16" t="s">
        <v>84</v>
      </c>
      <c r="AB152" s="16" t="s">
        <v>84</v>
      </c>
      <c r="AC152" s="14" t="s">
        <v>84</v>
      </c>
      <c r="AD152" s="16" t="s">
        <v>84</v>
      </c>
      <c r="AE152" s="16" t="s">
        <v>84</v>
      </c>
      <c r="AF152" s="16" t="s">
        <v>84</v>
      </c>
      <c r="AG152" s="14" t="s">
        <v>84</v>
      </c>
      <c r="AH152" s="16" t="s">
        <v>84</v>
      </c>
      <c r="AI152" s="16" t="s">
        <v>84</v>
      </c>
      <c r="AJ152" s="16" t="s">
        <v>84</v>
      </c>
      <c r="AK152" s="14" t="s">
        <v>84</v>
      </c>
      <c r="AL152" s="16" t="s">
        <v>84</v>
      </c>
      <c r="AM152" s="16" t="s">
        <v>84</v>
      </c>
      <c r="AN152" s="14" t="s">
        <v>84</v>
      </c>
      <c r="AO152" s="14" t="s">
        <v>84</v>
      </c>
    </row>
    <row r="153" spans="1:41" ht="135" x14ac:dyDescent="0.25">
      <c r="A153" s="14" t="s">
        <v>254</v>
      </c>
      <c r="B153" s="14" t="s">
        <v>129</v>
      </c>
      <c r="C153" s="15">
        <v>46101.678472222222</v>
      </c>
      <c r="D153" s="14" t="s">
        <v>73</v>
      </c>
      <c r="E153" s="16" t="s">
        <v>74</v>
      </c>
      <c r="F153" s="14" t="s">
        <v>75</v>
      </c>
      <c r="G153" s="16" t="s">
        <v>76</v>
      </c>
      <c r="H153" s="14" t="s">
        <v>255</v>
      </c>
      <c r="I153" s="16" t="s">
        <v>256</v>
      </c>
      <c r="J153" s="16" t="s">
        <v>257</v>
      </c>
      <c r="K153" s="16" t="s">
        <v>258</v>
      </c>
      <c r="L153" s="14" t="s">
        <v>267</v>
      </c>
      <c r="M153" s="16" t="s">
        <v>268</v>
      </c>
      <c r="N153" s="14" t="s">
        <v>178</v>
      </c>
      <c r="O153" s="16" t="s">
        <v>269</v>
      </c>
      <c r="P153" s="16" t="s">
        <v>270</v>
      </c>
      <c r="Q153" s="16" t="s">
        <v>148</v>
      </c>
      <c r="R153" s="14" t="s">
        <v>149</v>
      </c>
      <c r="S153" s="14" t="s">
        <v>88</v>
      </c>
      <c r="T153" s="14" t="s">
        <v>140</v>
      </c>
      <c r="U153" s="15">
        <v>45658</v>
      </c>
      <c r="V153" s="15"/>
      <c r="W153" s="16"/>
      <c r="X153" s="16" t="s">
        <v>84</v>
      </c>
      <c r="Y153" s="14" t="s">
        <v>84</v>
      </c>
      <c r="Z153" s="16" t="s">
        <v>84</v>
      </c>
      <c r="AA153" s="16" t="s">
        <v>84</v>
      </c>
      <c r="AB153" s="16" t="s">
        <v>84</v>
      </c>
      <c r="AC153" s="14" t="s">
        <v>84</v>
      </c>
      <c r="AD153" s="16" t="s">
        <v>84</v>
      </c>
      <c r="AE153" s="16" t="s">
        <v>84</v>
      </c>
      <c r="AF153" s="16" t="s">
        <v>84</v>
      </c>
      <c r="AG153" s="14" t="s">
        <v>84</v>
      </c>
      <c r="AH153" s="16" t="s">
        <v>84</v>
      </c>
      <c r="AI153" s="16" t="s">
        <v>84</v>
      </c>
      <c r="AJ153" s="16" t="s">
        <v>84</v>
      </c>
      <c r="AK153" s="14" t="s">
        <v>84</v>
      </c>
      <c r="AL153" s="16" t="s">
        <v>84</v>
      </c>
      <c r="AM153" s="16" t="s">
        <v>84</v>
      </c>
      <c r="AN153" s="14" t="s">
        <v>84</v>
      </c>
      <c r="AO153" s="14" t="s">
        <v>84</v>
      </c>
    </row>
    <row r="154" spans="1:41" ht="135" x14ac:dyDescent="0.25">
      <c r="A154" s="14" t="s">
        <v>254</v>
      </c>
      <c r="B154" s="14" t="s">
        <v>129</v>
      </c>
      <c r="C154" s="15">
        <v>46101.680555555555</v>
      </c>
      <c r="D154" s="14" t="s">
        <v>73</v>
      </c>
      <c r="E154" s="16" t="s">
        <v>74</v>
      </c>
      <c r="F154" s="14" t="s">
        <v>75</v>
      </c>
      <c r="G154" s="16" t="s">
        <v>76</v>
      </c>
      <c r="H154" s="14" t="s">
        <v>255</v>
      </c>
      <c r="I154" s="16" t="s">
        <v>256</v>
      </c>
      <c r="J154" s="16" t="s">
        <v>257</v>
      </c>
      <c r="K154" s="16" t="s">
        <v>258</v>
      </c>
      <c r="L154" s="14" t="s">
        <v>271</v>
      </c>
      <c r="M154" s="16" t="s">
        <v>272</v>
      </c>
      <c r="N154" s="14" t="s">
        <v>136</v>
      </c>
      <c r="O154" s="16" t="s">
        <v>273</v>
      </c>
      <c r="P154" s="16" t="s">
        <v>274</v>
      </c>
      <c r="Q154" s="16" t="s">
        <v>148</v>
      </c>
      <c r="R154" s="14" t="s">
        <v>149</v>
      </c>
      <c r="S154" s="14" t="s">
        <v>88</v>
      </c>
      <c r="T154" s="14" t="s">
        <v>140</v>
      </c>
      <c r="U154" s="15">
        <v>45658</v>
      </c>
      <c r="V154" s="15"/>
      <c r="W154" s="16"/>
      <c r="X154" s="16" t="s">
        <v>84</v>
      </c>
      <c r="Y154" s="14" t="s">
        <v>84</v>
      </c>
      <c r="Z154" s="16" t="s">
        <v>84</v>
      </c>
      <c r="AA154" s="16" t="s">
        <v>84</v>
      </c>
      <c r="AB154" s="16" t="s">
        <v>84</v>
      </c>
      <c r="AC154" s="14" t="s">
        <v>84</v>
      </c>
      <c r="AD154" s="16" t="s">
        <v>84</v>
      </c>
      <c r="AE154" s="16" t="s">
        <v>84</v>
      </c>
      <c r="AF154" s="16" t="s">
        <v>84</v>
      </c>
      <c r="AG154" s="14" t="s">
        <v>84</v>
      </c>
      <c r="AH154" s="16" t="s">
        <v>84</v>
      </c>
      <c r="AI154" s="16" t="s">
        <v>84</v>
      </c>
      <c r="AJ154" s="16" t="s">
        <v>84</v>
      </c>
      <c r="AK154" s="14" t="s">
        <v>84</v>
      </c>
      <c r="AL154" s="16" t="s">
        <v>84</v>
      </c>
      <c r="AM154" s="16" t="s">
        <v>84</v>
      </c>
      <c r="AN154" s="14" t="s">
        <v>84</v>
      </c>
      <c r="AO154" s="14" t="s">
        <v>84</v>
      </c>
    </row>
  </sheetData>
  <autoFilter ref="A1:AS1" xr:uid="{5FD069C5-D066-47DC-ABF1-0CD58707548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C644-509E-434E-91BF-1C2C6A894E9C}">
  <dimension ref="A1:V4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339</v>
      </c>
      <c r="E1" s="10" t="s">
        <v>340</v>
      </c>
      <c r="F1" s="10" t="s">
        <v>341</v>
      </c>
      <c r="G1" s="10" t="s">
        <v>342</v>
      </c>
      <c r="H1" s="11" t="s">
        <v>22</v>
      </c>
      <c r="I1" s="11" t="s">
        <v>23</v>
      </c>
      <c r="J1" s="10" t="s">
        <v>343</v>
      </c>
      <c r="K1" s="10" t="s">
        <v>344</v>
      </c>
      <c r="L1" s="10" t="s">
        <v>345</v>
      </c>
      <c r="M1" s="10" t="s">
        <v>337</v>
      </c>
      <c r="N1" s="10" t="s">
        <v>346</v>
      </c>
      <c r="O1" s="12" t="s">
        <v>347</v>
      </c>
      <c r="P1" s="12" t="s">
        <v>348</v>
      </c>
      <c r="Q1" s="12" t="s">
        <v>349</v>
      </c>
      <c r="R1" s="12" t="s">
        <v>350</v>
      </c>
      <c r="S1" s="10" t="s">
        <v>69</v>
      </c>
      <c r="T1" s="10" t="s">
        <v>70</v>
      </c>
      <c r="U1" s="10" t="s">
        <v>351</v>
      </c>
      <c r="V1" s="10" t="s">
        <v>352</v>
      </c>
    </row>
    <row r="2" spans="1:22" ht="45" x14ac:dyDescent="0.25">
      <c r="A2" s="14" t="s">
        <v>353</v>
      </c>
      <c r="B2" s="14" t="s">
        <v>72</v>
      </c>
      <c r="C2" s="15">
        <v>45439.734722222223</v>
      </c>
      <c r="D2" s="14" t="s">
        <v>186</v>
      </c>
      <c r="E2" s="14" t="s">
        <v>343</v>
      </c>
      <c r="F2" s="16" t="s">
        <v>187</v>
      </c>
      <c r="G2" s="14" t="s">
        <v>354</v>
      </c>
      <c r="H2" s="15">
        <v>43939</v>
      </c>
      <c r="I2" s="15"/>
      <c r="J2" s="16" t="s">
        <v>355</v>
      </c>
      <c r="K2" s="16" t="s">
        <v>356</v>
      </c>
      <c r="L2" s="14" t="s">
        <v>357</v>
      </c>
      <c r="M2" s="16" t="s">
        <v>84</v>
      </c>
      <c r="N2" s="14" t="s">
        <v>84</v>
      </c>
      <c r="O2" s="17" t="s">
        <v>358</v>
      </c>
      <c r="P2" s="17"/>
      <c r="Q2" s="17"/>
      <c r="R2" s="17"/>
      <c r="S2" s="14" t="s">
        <v>84</v>
      </c>
      <c r="T2" s="14" t="s">
        <v>84</v>
      </c>
      <c r="U2" s="14" t="s">
        <v>359</v>
      </c>
      <c r="V2" s="16" t="s">
        <v>360</v>
      </c>
    </row>
    <row r="3" spans="1:22" ht="45" x14ac:dyDescent="0.25">
      <c r="A3" s="14" t="s">
        <v>353</v>
      </c>
      <c r="B3" s="14" t="s">
        <v>72</v>
      </c>
      <c r="C3" s="15">
        <v>45439.73541666667</v>
      </c>
      <c r="D3" s="14" t="s">
        <v>188</v>
      </c>
      <c r="E3" s="14" t="s">
        <v>343</v>
      </c>
      <c r="F3" s="16" t="s">
        <v>189</v>
      </c>
      <c r="G3" s="14" t="s">
        <v>354</v>
      </c>
      <c r="H3" s="15">
        <v>43939</v>
      </c>
      <c r="I3" s="15"/>
      <c r="J3" s="16" t="s">
        <v>361</v>
      </c>
      <c r="K3" s="16" t="s">
        <v>362</v>
      </c>
      <c r="L3" s="14" t="s">
        <v>357</v>
      </c>
      <c r="M3" s="16" t="s">
        <v>84</v>
      </c>
      <c r="N3" s="14" t="s">
        <v>84</v>
      </c>
      <c r="O3" s="17" t="s">
        <v>363</v>
      </c>
      <c r="P3" s="17"/>
      <c r="Q3" s="17"/>
      <c r="R3" s="17"/>
      <c r="S3" s="14" t="s">
        <v>84</v>
      </c>
      <c r="T3" s="14" t="s">
        <v>84</v>
      </c>
      <c r="U3" s="14" t="s">
        <v>84</v>
      </c>
      <c r="V3" s="16" t="s">
        <v>84</v>
      </c>
    </row>
    <row r="4" spans="1:22" ht="120" x14ac:dyDescent="0.25">
      <c r="A4" s="14" t="s">
        <v>364</v>
      </c>
      <c r="B4" s="14" t="s">
        <v>129</v>
      </c>
      <c r="C4" s="15">
        <v>43662.665277777778</v>
      </c>
      <c r="D4" s="14" t="s">
        <v>113</v>
      </c>
      <c r="E4" s="14" t="s">
        <v>365</v>
      </c>
      <c r="F4" s="16" t="s">
        <v>114</v>
      </c>
      <c r="G4" s="14" t="s">
        <v>84</v>
      </c>
      <c r="H4" s="15">
        <v>40725</v>
      </c>
      <c r="I4" s="15"/>
      <c r="J4" s="16" t="s">
        <v>366</v>
      </c>
      <c r="K4" s="16" t="s">
        <v>367</v>
      </c>
      <c r="L4" s="14" t="s">
        <v>357</v>
      </c>
      <c r="M4" s="16" t="s">
        <v>84</v>
      </c>
      <c r="N4" s="14" t="s">
        <v>84</v>
      </c>
      <c r="O4" s="17"/>
      <c r="P4" s="17" t="s">
        <v>368</v>
      </c>
      <c r="Q4" s="17"/>
      <c r="R4" s="17"/>
      <c r="S4" s="14" t="s">
        <v>84</v>
      </c>
      <c r="T4" s="14" t="s">
        <v>84</v>
      </c>
      <c r="U4" s="14" t="s">
        <v>84</v>
      </c>
      <c r="V4" s="16" t="s">
        <v>84</v>
      </c>
    </row>
    <row r="5" spans="1:22" ht="120" x14ac:dyDescent="0.25">
      <c r="A5" s="14" t="s">
        <v>364</v>
      </c>
      <c r="B5" s="14" t="s">
        <v>129</v>
      </c>
      <c r="C5" s="15">
        <v>43662.665972222225</v>
      </c>
      <c r="D5" s="14" t="s">
        <v>107</v>
      </c>
      <c r="E5" s="14" t="s">
        <v>365</v>
      </c>
      <c r="F5" s="16" t="s">
        <v>108</v>
      </c>
      <c r="G5" s="14" t="s">
        <v>84</v>
      </c>
      <c r="H5" s="15">
        <v>40725</v>
      </c>
      <c r="I5" s="15"/>
      <c r="J5" s="16" t="s">
        <v>84</v>
      </c>
      <c r="K5" s="16" t="s">
        <v>369</v>
      </c>
      <c r="L5" s="14" t="s">
        <v>357</v>
      </c>
      <c r="M5" s="16" t="s">
        <v>84</v>
      </c>
      <c r="N5" s="14" t="s">
        <v>84</v>
      </c>
      <c r="O5" s="17"/>
      <c r="P5" s="17" t="s">
        <v>370</v>
      </c>
      <c r="Q5" s="17"/>
      <c r="R5" s="17"/>
      <c r="S5" s="14" t="s">
        <v>84</v>
      </c>
      <c r="T5" s="14" t="s">
        <v>84</v>
      </c>
      <c r="U5" s="14" t="s">
        <v>84</v>
      </c>
      <c r="V5" s="16" t="s">
        <v>84</v>
      </c>
    </row>
    <row r="6" spans="1:22" ht="120" x14ac:dyDescent="0.25">
      <c r="A6" s="14" t="s">
        <v>364</v>
      </c>
      <c r="B6" s="14" t="s">
        <v>129</v>
      </c>
      <c r="C6" s="15">
        <v>44895.470833333333</v>
      </c>
      <c r="D6" s="14" t="s">
        <v>115</v>
      </c>
      <c r="E6" s="14" t="s">
        <v>365</v>
      </c>
      <c r="F6" s="16" t="s">
        <v>116</v>
      </c>
      <c r="G6" s="14" t="s">
        <v>84</v>
      </c>
      <c r="H6" s="15">
        <v>40725</v>
      </c>
      <c r="I6" s="15"/>
      <c r="J6" s="16" t="s">
        <v>371</v>
      </c>
      <c r="K6" s="16" t="s">
        <v>372</v>
      </c>
      <c r="L6" s="14" t="s">
        <v>373</v>
      </c>
      <c r="M6" s="16" t="s">
        <v>374</v>
      </c>
      <c r="N6" s="14" t="s">
        <v>84</v>
      </c>
      <c r="O6" s="17"/>
      <c r="P6" s="17" t="s">
        <v>370</v>
      </c>
      <c r="Q6" s="17"/>
      <c r="R6" s="17"/>
      <c r="S6" s="14" t="s">
        <v>84</v>
      </c>
      <c r="T6" s="14" t="s">
        <v>84</v>
      </c>
      <c r="U6" s="14" t="s">
        <v>84</v>
      </c>
      <c r="V6" s="16" t="s">
        <v>84</v>
      </c>
    </row>
    <row r="7" spans="1:22" ht="120" x14ac:dyDescent="0.25">
      <c r="A7" s="14" t="s">
        <v>364</v>
      </c>
      <c r="B7" s="14" t="s">
        <v>129</v>
      </c>
      <c r="C7" s="15">
        <v>43662.667361111111</v>
      </c>
      <c r="D7" s="14" t="s">
        <v>111</v>
      </c>
      <c r="E7" s="14" t="s">
        <v>365</v>
      </c>
      <c r="F7" s="16" t="s">
        <v>112</v>
      </c>
      <c r="G7" s="14" t="s">
        <v>84</v>
      </c>
      <c r="H7" s="15">
        <v>40725</v>
      </c>
      <c r="I7" s="15"/>
      <c r="J7" s="16" t="s">
        <v>371</v>
      </c>
      <c r="K7" s="16" t="s">
        <v>375</v>
      </c>
      <c r="L7" s="14" t="s">
        <v>357</v>
      </c>
      <c r="M7" s="16" t="s">
        <v>84</v>
      </c>
      <c r="N7" s="14" t="s">
        <v>84</v>
      </c>
      <c r="O7" s="17"/>
      <c r="P7" s="17" t="s">
        <v>370</v>
      </c>
      <c r="Q7" s="17"/>
      <c r="R7" s="17"/>
      <c r="S7" s="14" t="s">
        <v>84</v>
      </c>
      <c r="T7" s="14" t="s">
        <v>84</v>
      </c>
      <c r="U7" s="14" t="s">
        <v>84</v>
      </c>
      <c r="V7" s="16" t="s">
        <v>84</v>
      </c>
    </row>
    <row r="8" spans="1:22" ht="120" x14ac:dyDescent="0.25">
      <c r="A8" s="14" t="s">
        <v>364</v>
      </c>
      <c r="B8" s="14" t="s">
        <v>129</v>
      </c>
      <c r="C8" s="15">
        <v>43662.674305555556</v>
      </c>
      <c r="D8" s="14" t="s">
        <v>117</v>
      </c>
      <c r="E8" s="14" t="s">
        <v>365</v>
      </c>
      <c r="F8" s="16" t="s">
        <v>118</v>
      </c>
      <c r="G8" s="14" t="s">
        <v>84</v>
      </c>
      <c r="H8" s="15">
        <v>40725</v>
      </c>
      <c r="I8" s="15"/>
      <c r="J8" s="16" t="s">
        <v>366</v>
      </c>
      <c r="K8" s="16" t="s">
        <v>376</v>
      </c>
      <c r="L8" s="14" t="s">
        <v>373</v>
      </c>
      <c r="M8" s="16" t="s">
        <v>374</v>
      </c>
      <c r="N8" s="14" t="s">
        <v>84</v>
      </c>
      <c r="O8" s="17"/>
      <c r="P8" s="17" t="s">
        <v>370</v>
      </c>
      <c r="Q8" s="17"/>
      <c r="R8" s="17"/>
      <c r="S8" s="14" t="s">
        <v>84</v>
      </c>
      <c r="T8" s="14" t="s">
        <v>84</v>
      </c>
      <c r="U8" s="14" t="s">
        <v>84</v>
      </c>
      <c r="V8" s="16" t="s">
        <v>84</v>
      </c>
    </row>
    <row r="9" spans="1:22" ht="120" x14ac:dyDescent="0.25">
      <c r="A9" s="14" t="s">
        <v>364</v>
      </c>
      <c r="B9" s="14" t="s">
        <v>129</v>
      </c>
      <c r="C9" s="15">
        <v>43152.5</v>
      </c>
      <c r="D9" s="14" t="s">
        <v>109</v>
      </c>
      <c r="E9" s="14" t="s">
        <v>365</v>
      </c>
      <c r="F9" s="16" t="s">
        <v>110</v>
      </c>
      <c r="G9" s="14" t="s">
        <v>84</v>
      </c>
      <c r="H9" s="15">
        <v>40725</v>
      </c>
      <c r="I9" s="15"/>
      <c r="J9" s="16" t="s">
        <v>377</v>
      </c>
      <c r="K9" s="16" t="s">
        <v>378</v>
      </c>
      <c r="L9" s="14" t="s">
        <v>357</v>
      </c>
      <c r="M9" s="16" t="s">
        <v>379</v>
      </c>
      <c r="N9" s="14" t="s">
        <v>84</v>
      </c>
      <c r="O9" s="17"/>
      <c r="P9" s="17" t="s">
        <v>370</v>
      </c>
      <c r="Q9" s="17"/>
      <c r="R9" s="17"/>
      <c r="S9" s="14" t="s">
        <v>84</v>
      </c>
      <c r="T9" s="14" t="s">
        <v>84</v>
      </c>
      <c r="U9" s="14" t="s">
        <v>84</v>
      </c>
      <c r="V9" s="16" t="s">
        <v>84</v>
      </c>
    </row>
    <row r="10" spans="1:22" ht="60" x14ac:dyDescent="0.25">
      <c r="A10" s="14" t="s">
        <v>364</v>
      </c>
      <c r="B10" s="14" t="s">
        <v>129</v>
      </c>
      <c r="C10" s="15">
        <v>43152.5</v>
      </c>
      <c r="D10" s="14" t="s">
        <v>119</v>
      </c>
      <c r="E10" s="14" t="s">
        <v>365</v>
      </c>
      <c r="F10" s="16" t="s">
        <v>120</v>
      </c>
      <c r="G10" s="14" t="s">
        <v>84</v>
      </c>
      <c r="H10" s="15">
        <v>40725</v>
      </c>
      <c r="I10" s="15"/>
      <c r="J10" s="16" t="s">
        <v>84</v>
      </c>
      <c r="K10" s="16" t="s">
        <v>380</v>
      </c>
      <c r="L10" s="14" t="s">
        <v>357</v>
      </c>
      <c r="M10" s="16" t="s">
        <v>84</v>
      </c>
      <c r="N10" s="14" t="s">
        <v>84</v>
      </c>
      <c r="O10" s="17"/>
      <c r="P10" s="17"/>
      <c r="Q10" s="17"/>
      <c r="R10" s="17"/>
      <c r="S10" s="14" t="s">
        <v>84</v>
      </c>
      <c r="T10" s="14" t="s">
        <v>84</v>
      </c>
      <c r="U10" s="14" t="s">
        <v>84</v>
      </c>
      <c r="V10" s="16" t="s">
        <v>84</v>
      </c>
    </row>
    <row r="11" spans="1:22" ht="75" x14ac:dyDescent="0.25">
      <c r="A11" s="14" t="s">
        <v>364</v>
      </c>
      <c r="B11" s="14" t="s">
        <v>129</v>
      </c>
      <c r="C11" s="15">
        <v>43152.5</v>
      </c>
      <c r="D11" s="14" t="s">
        <v>121</v>
      </c>
      <c r="E11" s="14" t="s">
        <v>365</v>
      </c>
      <c r="F11" s="16" t="s">
        <v>122</v>
      </c>
      <c r="G11" s="14" t="s">
        <v>84</v>
      </c>
      <c r="H11" s="15">
        <v>40725</v>
      </c>
      <c r="I11" s="15"/>
      <c r="J11" s="16" t="s">
        <v>381</v>
      </c>
      <c r="K11" s="16" t="s">
        <v>382</v>
      </c>
      <c r="L11" s="14" t="s">
        <v>357</v>
      </c>
      <c r="M11" s="16" t="s">
        <v>84</v>
      </c>
      <c r="N11" s="14" t="s">
        <v>84</v>
      </c>
      <c r="O11" s="17"/>
      <c r="P11" s="17"/>
      <c r="Q11" s="17"/>
      <c r="R11" s="17"/>
      <c r="S11" s="14" t="s">
        <v>84</v>
      </c>
      <c r="T11" s="14" t="s">
        <v>84</v>
      </c>
      <c r="U11" s="14" t="s">
        <v>84</v>
      </c>
      <c r="V11" s="16" t="s">
        <v>84</v>
      </c>
    </row>
    <row r="12" spans="1:22" ht="75" x14ac:dyDescent="0.25">
      <c r="A12" s="14" t="s">
        <v>364</v>
      </c>
      <c r="B12" s="14" t="s">
        <v>129</v>
      </c>
      <c r="C12" s="15">
        <v>43152.5</v>
      </c>
      <c r="D12" s="14" t="s">
        <v>123</v>
      </c>
      <c r="E12" s="14" t="s">
        <v>365</v>
      </c>
      <c r="F12" s="16" t="s">
        <v>124</v>
      </c>
      <c r="G12" s="14" t="s">
        <v>84</v>
      </c>
      <c r="H12" s="15">
        <v>40725</v>
      </c>
      <c r="I12" s="15"/>
      <c r="J12" s="16" t="s">
        <v>383</v>
      </c>
      <c r="K12" s="16" t="s">
        <v>384</v>
      </c>
      <c r="L12" s="14" t="s">
        <v>357</v>
      </c>
      <c r="M12" s="16" t="s">
        <v>84</v>
      </c>
      <c r="N12" s="14" t="s">
        <v>84</v>
      </c>
      <c r="O12" s="17"/>
      <c r="P12" s="17"/>
      <c r="Q12" s="17"/>
      <c r="R12" s="17"/>
      <c r="S12" s="14" t="s">
        <v>84</v>
      </c>
      <c r="T12" s="14" t="s">
        <v>84</v>
      </c>
      <c r="U12" s="14" t="s">
        <v>84</v>
      </c>
      <c r="V12" s="16" t="s">
        <v>84</v>
      </c>
    </row>
    <row r="13" spans="1:22" ht="45" x14ac:dyDescent="0.25">
      <c r="A13" s="14" t="s">
        <v>364</v>
      </c>
      <c r="B13" s="14" t="s">
        <v>129</v>
      </c>
      <c r="C13" s="15">
        <v>43152.5</v>
      </c>
      <c r="D13" s="14" t="s">
        <v>125</v>
      </c>
      <c r="E13" s="14" t="s">
        <v>365</v>
      </c>
      <c r="F13" s="16" t="s">
        <v>126</v>
      </c>
      <c r="G13" s="14" t="s">
        <v>84</v>
      </c>
      <c r="H13" s="15">
        <v>40725</v>
      </c>
      <c r="I13" s="15"/>
      <c r="J13" s="16" t="s">
        <v>385</v>
      </c>
      <c r="K13" s="16" t="s">
        <v>386</v>
      </c>
      <c r="L13" s="14" t="s">
        <v>357</v>
      </c>
      <c r="M13" s="16" t="s">
        <v>84</v>
      </c>
      <c r="N13" s="14" t="s">
        <v>84</v>
      </c>
      <c r="O13" s="17"/>
      <c r="P13" s="17"/>
      <c r="Q13" s="17"/>
      <c r="R13" s="17"/>
      <c r="S13" s="14" t="s">
        <v>84</v>
      </c>
      <c r="T13" s="14" t="s">
        <v>84</v>
      </c>
      <c r="U13" s="14" t="s">
        <v>84</v>
      </c>
      <c r="V13" s="16" t="s">
        <v>84</v>
      </c>
    </row>
    <row r="14" spans="1:22" ht="45" x14ac:dyDescent="0.25">
      <c r="A14" s="14" t="s">
        <v>364</v>
      </c>
      <c r="B14" s="14" t="s">
        <v>129</v>
      </c>
      <c r="C14" s="15">
        <v>43152.5</v>
      </c>
      <c r="D14" s="14" t="s">
        <v>127</v>
      </c>
      <c r="E14" s="14" t="s">
        <v>365</v>
      </c>
      <c r="F14" s="16" t="s">
        <v>128</v>
      </c>
      <c r="G14" s="14" t="s">
        <v>84</v>
      </c>
      <c r="H14" s="15">
        <v>40725</v>
      </c>
      <c r="I14" s="15"/>
      <c r="J14" s="16" t="s">
        <v>387</v>
      </c>
      <c r="K14" s="16" t="s">
        <v>388</v>
      </c>
      <c r="L14" s="14" t="s">
        <v>357</v>
      </c>
      <c r="M14" s="16" t="s">
        <v>84</v>
      </c>
      <c r="N14" s="14" t="s">
        <v>84</v>
      </c>
      <c r="O14" s="17"/>
      <c r="P14" s="17"/>
      <c r="Q14" s="17"/>
      <c r="R14" s="17"/>
      <c r="S14" s="14" t="s">
        <v>84</v>
      </c>
      <c r="T14" s="14" t="s">
        <v>84</v>
      </c>
      <c r="U14" s="14" t="s">
        <v>84</v>
      </c>
      <c r="V14" s="16" t="s">
        <v>84</v>
      </c>
    </row>
    <row r="15" spans="1:22" ht="30" x14ac:dyDescent="0.25">
      <c r="A15" s="14" t="s">
        <v>364</v>
      </c>
      <c r="B15" s="14" t="s">
        <v>129</v>
      </c>
      <c r="C15" s="15">
        <v>43168.59097222222</v>
      </c>
      <c r="D15" s="14" t="s">
        <v>93</v>
      </c>
      <c r="E15" s="14" t="s">
        <v>389</v>
      </c>
      <c r="F15" s="16" t="s">
        <v>94</v>
      </c>
      <c r="G15" s="14" t="s">
        <v>390</v>
      </c>
      <c r="H15" s="15">
        <v>40725</v>
      </c>
      <c r="I15" s="15"/>
      <c r="J15" s="16" t="s">
        <v>84</v>
      </c>
      <c r="K15" s="16" t="s">
        <v>84</v>
      </c>
      <c r="L15" s="14" t="s">
        <v>373</v>
      </c>
      <c r="M15" s="16" t="s">
        <v>84</v>
      </c>
      <c r="N15" s="14" t="s">
        <v>84</v>
      </c>
      <c r="O15" s="17"/>
      <c r="P15" s="17"/>
      <c r="Q15" s="17"/>
      <c r="R15" s="17"/>
      <c r="S15" s="14" t="s">
        <v>84</v>
      </c>
      <c r="T15" s="14" t="s">
        <v>84</v>
      </c>
      <c r="U15" s="14" t="s">
        <v>359</v>
      </c>
      <c r="V15" s="16" t="s">
        <v>94</v>
      </c>
    </row>
    <row r="16" spans="1:22" x14ac:dyDescent="0.25">
      <c r="A16" s="14" t="s">
        <v>364</v>
      </c>
      <c r="B16" s="14" t="s">
        <v>129</v>
      </c>
      <c r="C16" s="15">
        <v>43168.59097222222</v>
      </c>
      <c r="D16" s="14" t="s">
        <v>91</v>
      </c>
      <c r="E16" s="14" t="s">
        <v>389</v>
      </c>
      <c r="F16" s="16" t="s">
        <v>92</v>
      </c>
      <c r="G16" s="14" t="s">
        <v>390</v>
      </c>
      <c r="H16" s="15">
        <v>40725</v>
      </c>
      <c r="I16" s="15"/>
      <c r="J16" s="16" t="s">
        <v>84</v>
      </c>
      <c r="K16" s="16" t="s">
        <v>84</v>
      </c>
      <c r="L16" s="14" t="s">
        <v>373</v>
      </c>
      <c r="M16" s="16" t="s">
        <v>84</v>
      </c>
      <c r="N16" s="14" t="s">
        <v>84</v>
      </c>
      <c r="O16" s="17"/>
      <c r="P16" s="17"/>
      <c r="Q16" s="17"/>
      <c r="R16" s="17"/>
      <c r="S16" s="14" t="s">
        <v>84</v>
      </c>
      <c r="T16" s="14" t="s">
        <v>84</v>
      </c>
      <c r="U16" s="14" t="s">
        <v>359</v>
      </c>
      <c r="V16" s="16" t="s">
        <v>92</v>
      </c>
    </row>
    <row r="17" spans="1:22" ht="45" x14ac:dyDescent="0.25">
      <c r="A17" s="14" t="s">
        <v>364</v>
      </c>
      <c r="B17" s="14" t="s">
        <v>129</v>
      </c>
      <c r="C17" s="15">
        <v>43168.59097222222</v>
      </c>
      <c r="D17" s="14" t="s">
        <v>101</v>
      </c>
      <c r="E17" s="14" t="s">
        <v>389</v>
      </c>
      <c r="F17" s="16" t="s">
        <v>102</v>
      </c>
      <c r="G17" s="14" t="s">
        <v>390</v>
      </c>
      <c r="H17" s="15">
        <v>40725</v>
      </c>
      <c r="I17" s="15"/>
      <c r="J17" s="16" t="s">
        <v>84</v>
      </c>
      <c r="K17" s="16" t="s">
        <v>84</v>
      </c>
      <c r="L17" s="14" t="s">
        <v>373</v>
      </c>
      <c r="M17" s="16" t="s">
        <v>84</v>
      </c>
      <c r="N17" s="14" t="s">
        <v>84</v>
      </c>
      <c r="O17" s="17"/>
      <c r="P17" s="17"/>
      <c r="Q17" s="17"/>
      <c r="R17" s="17"/>
      <c r="S17" s="14" t="s">
        <v>84</v>
      </c>
      <c r="T17" s="14" t="s">
        <v>84</v>
      </c>
      <c r="U17" s="14" t="s">
        <v>359</v>
      </c>
      <c r="V17" s="16" t="s">
        <v>102</v>
      </c>
    </row>
    <row r="18" spans="1:22" ht="60" x14ac:dyDescent="0.25">
      <c r="A18" s="14" t="s">
        <v>364</v>
      </c>
      <c r="B18" s="14" t="s">
        <v>129</v>
      </c>
      <c r="C18" s="15">
        <v>43649.613888888889</v>
      </c>
      <c r="D18" s="14" t="s">
        <v>97</v>
      </c>
      <c r="E18" s="14" t="s">
        <v>389</v>
      </c>
      <c r="F18" s="16" t="s">
        <v>98</v>
      </c>
      <c r="G18" s="14" t="s">
        <v>391</v>
      </c>
      <c r="H18" s="15">
        <v>40725</v>
      </c>
      <c r="I18" s="15"/>
      <c r="J18" s="16" t="s">
        <v>84</v>
      </c>
      <c r="K18" s="16" t="s">
        <v>84</v>
      </c>
      <c r="L18" s="14" t="s">
        <v>373</v>
      </c>
      <c r="M18" s="16" t="s">
        <v>84</v>
      </c>
      <c r="N18" s="14" t="s">
        <v>84</v>
      </c>
      <c r="O18" s="17"/>
      <c r="P18" s="17"/>
      <c r="Q18" s="17"/>
      <c r="R18" s="17"/>
      <c r="S18" s="14" t="s">
        <v>84</v>
      </c>
      <c r="T18" s="14" t="s">
        <v>84</v>
      </c>
      <c r="U18" s="14" t="s">
        <v>359</v>
      </c>
      <c r="V18" s="16" t="s">
        <v>98</v>
      </c>
    </row>
    <row r="19" spans="1:22" ht="60" x14ac:dyDescent="0.25">
      <c r="A19" s="14" t="s">
        <v>364</v>
      </c>
      <c r="B19" s="14" t="s">
        <v>129</v>
      </c>
      <c r="C19" s="15">
        <v>43168.59097222222</v>
      </c>
      <c r="D19" s="14" t="s">
        <v>99</v>
      </c>
      <c r="E19" s="14" t="s">
        <v>389</v>
      </c>
      <c r="F19" s="16" t="s">
        <v>100</v>
      </c>
      <c r="G19" s="14" t="s">
        <v>391</v>
      </c>
      <c r="H19" s="15">
        <v>40725</v>
      </c>
      <c r="I19" s="15"/>
      <c r="J19" s="16" t="s">
        <v>84</v>
      </c>
      <c r="K19" s="16" t="s">
        <v>84</v>
      </c>
      <c r="L19" s="14" t="s">
        <v>373</v>
      </c>
      <c r="M19" s="16" t="s">
        <v>84</v>
      </c>
      <c r="N19" s="14" t="s">
        <v>84</v>
      </c>
      <c r="O19" s="17"/>
      <c r="P19" s="17"/>
      <c r="Q19" s="17"/>
      <c r="R19" s="17"/>
      <c r="S19" s="14" t="s">
        <v>84</v>
      </c>
      <c r="T19" s="14" t="s">
        <v>84</v>
      </c>
      <c r="U19" s="14" t="s">
        <v>359</v>
      </c>
      <c r="V19" s="16" t="s">
        <v>100</v>
      </c>
    </row>
    <row r="20" spans="1:22" ht="90" x14ac:dyDescent="0.25">
      <c r="A20" s="14" t="s">
        <v>71</v>
      </c>
      <c r="B20" s="14" t="s">
        <v>72</v>
      </c>
      <c r="C20" s="15">
        <v>44711.628472222219</v>
      </c>
      <c r="D20" s="14" t="s">
        <v>95</v>
      </c>
      <c r="E20" s="14" t="s">
        <v>389</v>
      </c>
      <c r="F20" s="16" t="s">
        <v>96</v>
      </c>
      <c r="G20" s="14" t="s">
        <v>392</v>
      </c>
      <c r="H20" s="15">
        <v>40725</v>
      </c>
      <c r="I20" s="15">
        <v>43861</v>
      </c>
      <c r="J20" s="16" t="s">
        <v>84</v>
      </c>
      <c r="K20" s="16" t="s">
        <v>84</v>
      </c>
      <c r="L20" s="14" t="s">
        <v>373</v>
      </c>
      <c r="M20" s="16" t="s">
        <v>84</v>
      </c>
      <c r="N20" s="14" t="s">
        <v>84</v>
      </c>
      <c r="O20" s="17"/>
      <c r="P20" s="17"/>
      <c r="Q20" s="17"/>
      <c r="R20" s="17"/>
      <c r="S20" s="14" t="s">
        <v>84</v>
      </c>
      <c r="T20" s="14" t="s">
        <v>84</v>
      </c>
      <c r="U20" s="14" t="s">
        <v>359</v>
      </c>
      <c r="V20" s="16" t="s">
        <v>393</v>
      </c>
    </row>
    <row r="21" spans="1:22" ht="75" x14ac:dyDescent="0.25">
      <c r="A21" s="14" t="s">
        <v>71</v>
      </c>
      <c r="B21" s="14" t="s">
        <v>72</v>
      </c>
      <c r="C21" s="15">
        <v>44706.580555555556</v>
      </c>
      <c r="D21" s="14" t="s">
        <v>103</v>
      </c>
      <c r="E21" s="14" t="s">
        <v>389</v>
      </c>
      <c r="F21" s="16" t="s">
        <v>104</v>
      </c>
      <c r="G21" s="14" t="s">
        <v>394</v>
      </c>
      <c r="H21" s="15">
        <v>40725</v>
      </c>
      <c r="I21" s="15"/>
      <c r="J21" s="16" t="s">
        <v>84</v>
      </c>
      <c r="K21" s="16" t="s">
        <v>84</v>
      </c>
      <c r="L21" s="14" t="s">
        <v>373</v>
      </c>
      <c r="M21" s="16" t="s">
        <v>84</v>
      </c>
      <c r="N21" s="14" t="s">
        <v>84</v>
      </c>
      <c r="O21" s="17"/>
      <c r="P21" s="17"/>
      <c r="Q21" s="17"/>
      <c r="R21" s="17"/>
      <c r="S21" s="14" t="s">
        <v>84</v>
      </c>
      <c r="T21" s="14" t="s">
        <v>84</v>
      </c>
      <c r="U21" s="14" t="s">
        <v>359</v>
      </c>
      <c r="V21" s="16" t="s">
        <v>395</v>
      </c>
    </row>
    <row r="22" spans="1:22" ht="75" x14ac:dyDescent="0.25">
      <c r="A22" s="14" t="s">
        <v>133</v>
      </c>
      <c r="B22" s="14" t="s">
        <v>129</v>
      </c>
      <c r="C22" s="15">
        <v>43998.426388888889</v>
      </c>
      <c r="D22" s="14" t="s">
        <v>182</v>
      </c>
      <c r="E22" s="14" t="s">
        <v>389</v>
      </c>
      <c r="F22" s="16" t="s">
        <v>183</v>
      </c>
      <c r="G22" s="14" t="s">
        <v>354</v>
      </c>
      <c r="H22" s="15">
        <v>43939</v>
      </c>
      <c r="I22" s="15"/>
      <c r="J22" s="16" t="s">
        <v>84</v>
      </c>
      <c r="K22" s="16" t="s">
        <v>84</v>
      </c>
      <c r="L22" s="14" t="s">
        <v>373</v>
      </c>
      <c r="M22" s="16" t="s">
        <v>84</v>
      </c>
      <c r="N22" s="14" t="s">
        <v>84</v>
      </c>
      <c r="O22" s="17"/>
      <c r="P22" s="17"/>
      <c r="Q22" s="17" t="s">
        <v>396</v>
      </c>
      <c r="R22" s="17"/>
      <c r="S22" s="14" t="s">
        <v>84</v>
      </c>
      <c r="T22" s="14" t="s">
        <v>84</v>
      </c>
      <c r="U22" s="14" t="s">
        <v>359</v>
      </c>
      <c r="V22" s="16" t="s">
        <v>183</v>
      </c>
    </row>
    <row r="23" spans="1:22" ht="60" x14ac:dyDescent="0.25">
      <c r="A23" s="14" t="s">
        <v>133</v>
      </c>
      <c r="B23" s="14" t="s">
        <v>129</v>
      </c>
      <c r="C23" s="15">
        <v>43998.428472222222</v>
      </c>
      <c r="D23" s="14" t="s">
        <v>202</v>
      </c>
      <c r="E23" s="14" t="s">
        <v>389</v>
      </c>
      <c r="F23" s="16" t="s">
        <v>203</v>
      </c>
      <c r="G23" s="14" t="s">
        <v>354</v>
      </c>
      <c r="H23" s="15">
        <v>43939</v>
      </c>
      <c r="I23" s="15"/>
      <c r="J23" s="16" t="s">
        <v>84</v>
      </c>
      <c r="K23" s="16" t="s">
        <v>84</v>
      </c>
      <c r="L23" s="14" t="s">
        <v>373</v>
      </c>
      <c r="M23" s="16" t="s">
        <v>84</v>
      </c>
      <c r="N23" s="14" t="s">
        <v>84</v>
      </c>
      <c r="O23" s="17"/>
      <c r="P23" s="17"/>
      <c r="Q23" s="17" t="s">
        <v>397</v>
      </c>
      <c r="R23" s="17"/>
      <c r="S23" s="14" t="s">
        <v>84</v>
      </c>
      <c r="T23" s="14" t="s">
        <v>84</v>
      </c>
      <c r="U23" s="14" t="s">
        <v>359</v>
      </c>
      <c r="V23" s="16" t="s">
        <v>203</v>
      </c>
    </row>
    <row r="24" spans="1:22" ht="45" x14ac:dyDescent="0.25">
      <c r="A24" s="14" t="s">
        <v>133</v>
      </c>
      <c r="B24" s="14" t="s">
        <v>129</v>
      </c>
      <c r="C24" s="15">
        <v>43998.434027777781</v>
      </c>
      <c r="D24" s="14" t="s">
        <v>195</v>
      </c>
      <c r="E24" s="14" t="s">
        <v>389</v>
      </c>
      <c r="F24" s="16" t="s">
        <v>196</v>
      </c>
      <c r="G24" s="14" t="s">
        <v>354</v>
      </c>
      <c r="H24" s="15">
        <v>43939</v>
      </c>
      <c r="I24" s="15"/>
      <c r="J24" s="16" t="s">
        <v>84</v>
      </c>
      <c r="K24" s="16" t="s">
        <v>84</v>
      </c>
      <c r="L24" s="14" t="s">
        <v>373</v>
      </c>
      <c r="M24" s="16" t="s">
        <v>84</v>
      </c>
      <c r="N24" s="14" t="s">
        <v>84</v>
      </c>
      <c r="O24" s="17"/>
      <c r="P24" s="17"/>
      <c r="Q24" s="17" t="s">
        <v>363</v>
      </c>
      <c r="R24" s="17"/>
      <c r="S24" s="14" t="s">
        <v>84</v>
      </c>
      <c r="T24" s="14" t="s">
        <v>84</v>
      </c>
      <c r="U24" s="14" t="s">
        <v>359</v>
      </c>
      <c r="V24" s="16" t="s">
        <v>196</v>
      </c>
    </row>
    <row r="25" spans="1:22" ht="45" x14ac:dyDescent="0.25">
      <c r="A25" s="14" t="s">
        <v>133</v>
      </c>
      <c r="B25" s="14" t="s">
        <v>129</v>
      </c>
      <c r="C25" s="15">
        <v>43998.434027777781</v>
      </c>
      <c r="D25" s="14" t="s">
        <v>184</v>
      </c>
      <c r="E25" s="14" t="s">
        <v>389</v>
      </c>
      <c r="F25" s="16" t="s">
        <v>185</v>
      </c>
      <c r="G25" s="14" t="s">
        <v>354</v>
      </c>
      <c r="H25" s="15">
        <v>43939</v>
      </c>
      <c r="I25" s="15"/>
      <c r="J25" s="16" t="s">
        <v>84</v>
      </c>
      <c r="K25" s="16" t="s">
        <v>84</v>
      </c>
      <c r="L25" s="14" t="s">
        <v>373</v>
      </c>
      <c r="M25" s="16" t="s">
        <v>84</v>
      </c>
      <c r="N25" s="14" t="s">
        <v>84</v>
      </c>
      <c r="O25" s="17"/>
      <c r="P25" s="17"/>
      <c r="Q25" s="17" t="s">
        <v>397</v>
      </c>
      <c r="R25" s="17"/>
      <c r="S25" s="14" t="s">
        <v>84</v>
      </c>
      <c r="T25" s="14" t="s">
        <v>84</v>
      </c>
      <c r="U25" s="14" t="s">
        <v>359</v>
      </c>
      <c r="V25" s="16" t="s">
        <v>185</v>
      </c>
    </row>
    <row r="26" spans="1:22" ht="105" x14ac:dyDescent="0.25">
      <c r="A26" s="14" t="s">
        <v>71</v>
      </c>
      <c r="B26" s="14" t="s">
        <v>129</v>
      </c>
      <c r="C26" s="15">
        <v>44727.49722222222</v>
      </c>
      <c r="D26" s="14" t="s">
        <v>131</v>
      </c>
      <c r="E26" s="14" t="s">
        <v>389</v>
      </c>
      <c r="F26" s="16" t="s">
        <v>132</v>
      </c>
      <c r="G26" s="14" t="s">
        <v>394</v>
      </c>
      <c r="H26" s="15">
        <v>43862</v>
      </c>
      <c r="I26" s="15"/>
      <c r="J26" s="16" t="s">
        <v>84</v>
      </c>
      <c r="K26" s="16" t="s">
        <v>84</v>
      </c>
      <c r="L26" s="14" t="s">
        <v>373</v>
      </c>
      <c r="M26" s="16" t="s">
        <v>84</v>
      </c>
      <c r="N26" s="14" t="s">
        <v>84</v>
      </c>
      <c r="O26" s="17"/>
      <c r="P26" s="17"/>
      <c r="Q26" s="17" t="s">
        <v>398</v>
      </c>
      <c r="R26" s="17"/>
      <c r="S26" s="14" t="s">
        <v>84</v>
      </c>
      <c r="T26" s="14" t="s">
        <v>84</v>
      </c>
      <c r="U26" s="14" t="s">
        <v>359</v>
      </c>
      <c r="V26" s="16" t="s">
        <v>132</v>
      </c>
    </row>
    <row r="27" spans="1:22" ht="75" x14ac:dyDescent="0.25">
      <c r="A27" s="14" t="s">
        <v>71</v>
      </c>
      <c r="B27" s="14" t="s">
        <v>129</v>
      </c>
      <c r="C27" s="15">
        <v>44727.595833333333</v>
      </c>
      <c r="D27" s="14" t="s">
        <v>105</v>
      </c>
      <c r="E27" s="14" t="s">
        <v>389</v>
      </c>
      <c r="F27" s="16" t="s">
        <v>106</v>
      </c>
      <c r="G27" s="14" t="s">
        <v>394</v>
      </c>
      <c r="H27" s="15">
        <v>40725</v>
      </c>
      <c r="I27" s="15"/>
      <c r="J27" s="16" t="s">
        <v>84</v>
      </c>
      <c r="K27" s="16" t="s">
        <v>84</v>
      </c>
      <c r="L27" s="14" t="s">
        <v>373</v>
      </c>
      <c r="M27" s="16" t="s">
        <v>84</v>
      </c>
      <c r="N27" s="14" t="s">
        <v>84</v>
      </c>
      <c r="O27" s="17"/>
      <c r="P27" s="17"/>
      <c r="Q27" s="17" t="s">
        <v>399</v>
      </c>
      <c r="R27" s="17"/>
      <c r="S27" s="14" t="s">
        <v>84</v>
      </c>
      <c r="T27" s="14" t="s">
        <v>84</v>
      </c>
      <c r="U27" s="14" t="s">
        <v>359</v>
      </c>
      <c r="V27" s="16" t="s">
        <v>106</v>
      </c>
    </row>
    <row r="28" spans="1:22" ht="30" x14ac:dyDescent="0.25">
      <c r="A28" s="14" t="s">
        <v>225</v>
      </c>
      <c r="B28" s="14" t="s">
        <v>129</v>
      </c>
      <c r="C28" s="15">
        <v>45083.470138888886</v>
      </c>
      <c r="D28" s="14" t="s">
        <v>233</v>
      </c>
      <c r="E28" s="14" t="s">
        <v>389</v>
      </c>
      <c r="F28" s="16" t="s">
        <v>234</v>
      </c>
      <c r="G28" s="14" t="s">
        <v>400</v>
      </c>
      <c r="H28" s="15">
        <v>43939</v>
      </c>
      <c r="I28" s="15"/>
      <c r="J28" s="16" t="s">
        <v>84</v>
      </c>
      <c r="K28" s="16" t="s">
        <v>84</v>
      </c>
      <c r="L28" s="14" t="s">
        <v>373</v>
      </c>
      <c r="M28" s="16" t="s">
        <v>84</v>
      </c>
      <c r="N28" s="14" t="s">
        <v>84</v>
      </c>
      <c r="O28" s="17"/>
      <c r="P28" s="17"/>
      <c r="Q28" s="17" t="s">
        <v>401</v>
      </c>
      <c r="R28" s="17"/>
      <c r="S28" s="14" t="s">
        <v>84</v>
      </c>
      <c r="T28" s="14" t="s">
        <v>84</v>
      </c>
      <c r="U28" s="14" t="s">
        <v>359</v>
      </c>
      <c r="V28" s="16" t="s">
        <v>234</v>
      </c>
    </row>
    <row r="29" spans="1:22" s="31" customFormat="1" ht="75" x14ac:dyDescent="0.25">
      <c r="A29" s="26" t="s">
        <v>254</v>
      </c>
      <c r="B29" s="26" t="s">
        <v>129</v>
      </c>
      <c r="C29" s="27">
        <v>46104.44027777778</v>
      </c>
      <c r="D29" s="26" t="s">
        <v>264</v>
      </c>
      <c r="E29" s="26" t="s">
        <v>389</v>
      </c>
      <c r="F29" s="28" t="s">
        <v>265</v>
      </c>
      <c r="G29" s="26" t="s">
        <v>402</v>
      </c>
      <c r="H29" s="27">
        <v>45658</v>
      </c>
      <c r="I29" s="27"/>
      <c r="J29" s="28" t="s">
        <v>84</v>
      </c>
      <c r="K29" s="28" t="s">
        <v>84</v>
      </c>
      <c r="L29" s="26" t="s">
        <v>373</v>
      </c>
      <c r="M29" s="28" t="s">
        <v>84</v>
      </c>
      <c r="N29" s="26" t="s">
        <v>84</v>
      </c>
      <c r="O29" s="29"/>
      <c r="P29" s="29"/>
      <c r="Q29" s="29" t="s">
        <v>403</v>
      </c>
      <c r="R29" s="29"/>
      <c r="S29" s="26" t="s">
        <v>266</v>
      </c>
      <c r="T29" s="26" t="s">
        <v>84</v>
      </c>
      <c r="U29" s="26" t="s">
        <v>359</v>
      </c>
      <c r="V29" s="28" t="s">
        <v>265</v>
      </c>
    </row>
    <row r="30" spans="1:22" ht="90" x14ac:dyDescent="0.25">
      <c r="A30" s="14" t="s">
        <v>364</v>
      </c>
      <c r="B30" s="14" t="s">
        <v>129</v>
      </c>
      <c r="C30" s="15">
        <v>44005.49722222222</v>
      </c>
      <c r="D30" s="14" t="s">
        <v>294</v>
      </c>
      <c r="E30" s="14" t="s">
        <v>404</v>
      </c>
      <c r="F30" s="16" t="s">
        <v>295</v>
      </c>
      <c r="G30" s="14" t="s">
        <v>84</v>
      </c>
      <c r="H30" s="15">
        <v>40725</v>
      </c>
      <c r="I30" s="15"/>
      <c r="J30" s="16" t="s">
        <v>84</v>
      </c>
      <c r="K30" s="16" t="s">
        <v>84</v>
      </c>
      <c r="L30" s="14" t="s">
        <v>373</v>
      </c>
      <c r="M30" s="16" t="s">
        <v>84</v>
      </c>
      <c r="N30" s="14" t="s">
        <v>84</v>
      </c>
      <c r="O30" s="17"/>
      <c r="P30" s="17"/>
      <c r="Q30" s="17"/>
      <c r="R30" s="17" t="s">
        <v>405</v>
      </c>
      <c r="S30" s="14" t="s">
        <v>84</v>
      </c>
      <c r="T30" s="14" t="s">
        <v>84</v>
      </c>
      <c r="U30" s="14" t="s">
        <v>359</v>
      </c>
      <c r="V30" s="16" t="s">
        <v>406</v>
      </c>
    </row>
    <row r="31" spans="1:22" ht="45" x14ac:dyDescent="0.25">
      <c r="A31" s="14" t="s">
        <v>364</v>
      </c>
      <c r="B31" s="14" t="s">
        <v>129</v>
      </c>
      <c r="C31" s="15">
        <v>44005.588888888888</v>
      </c>
      <c r="D31" s="14" t="s">
        <v>318</v>
      </c>
      <c r="E31" s="14" t="s">
        <v>404</v>
      </c>
      <c r="F31" s="16" t="s">
        <v>319</v>
      </c>
      <c r="G31" s="14" t="s">
        <v>84</v>
      </c>
      <c r="H31" s="15">
        <v>40725</v>
      </c>
      <c r="I31" s="15"/>
      <c r="J31" s="16" t="s">
        <v>84</v>
      </c>
      <c r="K31" s="16" t="s">
        <v>84</v>
      </c>
      <c r="L31" s="14" t="s">
        <v>373</v>
      </c>
      <c r="M31" s="16" t="s">
        <v>84</v>
      </c>
      <c r="N31" s="14" t="s">
        <v>84</v>
      </c>
      <c r="O31" s="17"/>
      <c r="P31" s="17"/>
      <c r="Q31" s="17"/>
      <c r="R31" s="17" t="s">
        <v>407</v>
      </c>
      <c r="S31" s="14" t="s">
        <v>84</v>
      </c>
      <c r="T31" s="14" t="s">
        <v>84</v>
      </c>
      <c r="U31" s="14" t="s">
        <v>359</v>
      </c>
      <c r="V31" s="16" t="s">
        <v>319</v>
      </c>
    </row>
    <row r="32" spans="1:22" ht="45" x14ac:dyDescent="0.25">
      <c r="A32" s="14" t="s">
        <v>364</v>
      </c>
      <c r="B32" s="14" t="s">
        <v>129</v>
      </c>
      <c r="C32" s="15">
        <v>44005.588888888888</v>
      </c>
      <c r="D32" s="14" t="s">
        <v>296</v>
      </c>
      <c r="E32" s="14" t="s">
        <v>404</v>
      </c>
      <c r="F32" s="16" t="s">
        <v>297</v>
      </c>
      <c r="G32" s="14" t="s">
        <v>84</v>
      </c>
      <c r="H32" s="15">
        <v>40725</v>
      </c>
      <c r="I32" s="15"/>
      <c r="J32" s="16" t="s">
        <v>84</v>
      </c>
      <c r="K32" s="16" t="s">
        <v>84</v>
      </c>
      <c r="L32" s="14" t="s">
        <v>373</v>
      </c>
      <c r="M32" s="16" t="s">
        <v>84</v>
      </c>
      <c r="N32" s="14" t="s">
        <v>84</v>
      </c>
      <c r="O32" s="17"/>
      <c r="P32" s="17"/>
      <c r="Q32" s="17"/>
      <c r="R32" s="17" t="s">
        <v>408</v>
      </c>
      <c r="S32" s="14" t="s">
        <v>84</v>
      </c>
      <c r="T32" s="14" t="s">
        <v>84</v>
      </c>
      <c r="U32" s="14" t="s">
        <v>359</v>
      </c>
      <c r="V32" s="16" t="s">
        <v>297</v>
      </c>
    </row>
    <row r="33" spans="1:22" ht="75" x14ac:dyDescent="0.25">
      <c r="A33" s="14" t="s">
        <v>364</v>
      </c>
      <c r="B33" s="14" t="s">
        <v>129</v>
      </c>
      <c r="C33" s="15">
        <v>44005.588888888888</v>
      </c>
      <c r="D33" s="14" t="s">
        <v>298</v>
      </c>
      <c r="E33" s="14" t="s">
        <v>404</v>
      </c>
      <c r="F33" s="16" t="s">
        <v>299</v>
      </c>
      <c r="G33" s="14" t="s">
        <v>84</v>
      </c>
      <c r="H33" s="15">
        <v>40725</v>
      </c>
      <c r="I33" s="15"/>
      <c r="J33" s="16" t="s">
        <v>84</v>
      </c>
      <c r="K33" s="16" t="s">
        <v>84</v>
      </c>
      <c r="L33" s="14" t="s">
        <v>373</v>
      </c>
      <c r="M33" s="16" t="s">
        <v>84</v>
      </c>
      <c r="N33" s="14" t="s">
        <v>84</v>
      </c>
      <c r="O33" s="17"/>
      <c r="P33" s="17"/>
      <c r="Q33" s="17"/>
      <c r="R33" s="17" t="s">
        <v>409</v>
      </c>
      <c r="S33" s="14" t="s">
        <v>84</v>
      </c>
      <c r="T33" s="14" t="s">
        <v>84</v>
      </c>
      <c r="U33" s="14" t="s">
        <v>359</v>
      </c>
      <c r="V33" s="16" t="s">
        <v>410</v>
      </c>
    </row>
    <row r="34" spans="1:22" ht="75" x14ac:dyDescent="0.25">
      <c r="A34" s="14" t="s">
        <v>364</v>
      </c>
      <c r="B34" s="14" t="s">
        <v>129</v>
      </c>
      <c r="C34" s="15">
        <v>44005.590277777781</v>
      </c>
      <c r="D34" s="14" t="s">
        <v>311</v>
      </c>
      <c r="E34" s="14" t="s">
        <v>404</v>
      </c>
      <c r="F34" s="16" t="s">
        <v>312</v>
      </c>
      <c r="G34" s="14" t="s">
        <v>84</v>
      </c>
      <c r="H34" s="15">
        <v>40725</v>
      </c>
      <c r="I34" s="15"/>
      <c r="J34" s="16" t="s">
        <v>84</v>
      </c>
      <c r="K34" s="16" t="s">
        <v>84</v>
      </c>
      <c r="L34" s="14" t="s">
        <v>373</v>
      </c>
      <c r="M34" s="16" t="s">
        <v>84</v>
      </c>
      <c r="N34" s="14" t="s">
        <v>84</v>
      </c>
      <c r="O34" s="17"/>
      <c r="P34" s="17"/>
      <c r="Q34" s="17"/>
      <c r="R34" s="17" t="s">
        <v>409</v>
      </c>
      <c r="S34" s="14" t="s">
        <v>84</v>
      </c>
      <c r="T34" s="14" t="s">
        <v>84</v>
      </c>
      <c r="U34" s="14" t="s">
        <v>359</v>
      </c>
      <c r="V34" s="16" t="s">
        <v>411</v>
      </c>
    </row>
    <row r="35" spans="1:22" ht="45" x14ac:dyDescent="0.25">
      <c r="A35" s="14" t="s">
        <v>364</v>
      </c>
      <c r="B35" s="14" t="s">
        <v>129</v>
      </c>
      <c r="C35" s="15">
        <v>44005.588888888888</v>
      </c>
      <c r="D35" s="14" t="s">
        <v>300</v>
      </c>
      <c r="E35" s="14" t="s">
        <v>404</v>
      </c>
      <c r="F35" s="16" t="s">
        <v>301</v>
      </c>
      <c r="G35" s="14" t="s">
        <v>84</v>
      </c>
      <c r="H35" s="15">
        <v>40725</v>
      </c>
      <c r="I35" s="15"/>
      <c r="J35" s="16" t="s">
        <v>84</v>
      </c>
      <c r="K35" s="16" t="s">
        <v>84</v>
      </c>
      <c r="L35" s="14" t="s">
        <v>373</v>
      </c>
      <c r="M35" s="16" t="s">
        <v>84</v>
      </c>
      <c r="N35" s="14" t="s">
        <v>84</v>
      </c>
      <c r="O35" s="17"/>
      <c r="P35" s="17"/>
      <c r="Q35" s="17"/>
      <c r="R35" s="17" t="s">
        <v>412</v>
      </c>
      <c r="S35" s="14" t="s">
        <v>84</v>
      </c>
      <c r="T35" s="14" t="s">
        <v>84</v>
      </c>
      <c r="U35" s="14" t="s">
        <v>359</v>
      </c>
      <c r="V35" s="16" t="s">
        <v>301</v>
      </c>
    </row>
    <row r="36" spans="1:22" ht="45" x14ac:dyDescent="0.25">
      <c r="A36" s="14" t="s">
        <v>364</v>
      </c>
      <c r="B36" s="14" t="s">
        <v>129</v>
      </c>
      <c r="C36" s="15">
        <v>44005.59097222222</v>
      </c>
      <c r="D36" s="14" t="s">
        <v>313</v>
      </c>
      <c r="E36" s="14" t="s">
        <v>404</v>
      </c>
      <c r="F36" s="16" t="s">
        <v>314</v>
      </c>
      <c r="G36" s="14" t="s">
        <v>84</v>
      </c>
      <c r="H36" s="15">
        <v>40725</v>
      </c>
      <c r="I36" s="15"/>
      <c r="J36" s="16" t="s">
        <v>84</v>
      </c>
      <c r="K36" s="16" t="s">
        <v>84</v>
      </c>
      <c r="L36" s="14" t="s">
        <v>373</v>
      </c>
      <c r="M36" s="16" t="s">
        <v>84</v>
      </c>
      <c r="N36" s="14" t="s">
        <v>84</v>
      </c>
      <c r="O36" s="17"/>
      <c r="P36" s="17"/>
      <c r="Q36" s="17"/>
      <c r="R36" s="17" t="s">
        <v>413</v>
      </c>
      <c r="S36" s="14" t="s">
        <v>84</v>
      </c>
      <c r="T36" s="14" t="s">
        <v>84</v>
      </c>
      <c r="U36" s="14" t="s">
        <v>359</v>
      </c>
      <c r="V36" s="16" t="s">
        <v>314</v>
      </c>
    </row>
    <row r="37" spans="1:22" ht="60" x14ac:dyDescent="0.25">
      <c r="A37" s="14" t="s">
        <v>364</v>
      </c>
      <c r="B37" s="14" t="s">
        <v>129</v>
      </c>
      <c r="C37" s="15">
        <v>44005.589583333334</v>
      </c>
      <c r="D37" s="14" t="s">
        <v>302</v>
      </c>
      <c r="E37" s="14" t="s">
        <v>404</v>
      </c>
      <c r="F37" s="16" t="s">
        <v>303</v>
      </c>
      <c r="G37" s="14" t="s">
        <v>84</v>
      </c>
      <c r="H37" s="15">
        <v>40725</v>
      </c>
      <c r="I37" s="15"/>
      <c r="J37" s="16" t="s">
        <v>84</v>
      </c>
      <c r="K37" s="16" t="s">
        <v>84</v>
      </c>
      <c r="L37" s="14" t="s">
        <v>373</v>
      </c>
      <c r="M37" s="16" t="s">
        <v>84</v>
      </c>
      <c r="N37" s="14" t="s">
        <v>84</v>
      </c>
      <c r="O37" s="17"/>
      <c r="P37" s="17"/>
      <c r="Q37" s="17"/>
      <c r="R37" s="17" t="s">
        <v>414</v>
      </c>
      <c r="S37" s="14" t="s">
        <v>84</v>
      </c>
      <c r="T37" s="14" t="s">
        <v>84</v>
      </c>
      <c r="U37" s="14" t="s">
        <v>359</v>
      </c>
      <c r="V37" s="16" t="s">
        <v>415</v>
      </c>
    </row>
    <row r="38" spans="1:22" ht="105" x14ac:dyDescent="0.25">
      <c r="A38" s="14" t="s">
        <v>71</v>
      </c>
      <c r="B38" s="14" t="s">
        <v>72</v>
      </c>
      <c r="C38" s="15">
        <v>44727.737500000003</v>
      </c>
      <c r="D38" s="14" t="s">
        <v>304</v>
      </c>
      <c r="E38" s="14" t="s">
        <v>404</v>
      </c>
      <c r="F38" s="16" t="s">
        <v>305</v>
      </c>
      <c r="G38" s="14" t="s">
        <v>84</v>
      </c>
      <c r="H38" s="15">
        <v>40725</v>
      </c>
      <c r="I38" s="15"/>
      <c r="J38" s="16" t="s">
        <v>84</v>
      </c>
      <c r="K38" s="16" t="s">
        <v>84</v>
      </c>
      <c r="L38" s="14" t="s">
        <v>373</v>
      </c>
      <c r="M38" s="16" t="s">
        <v>416</v>
      </c>
      <c r="N38" s="14" t="s">
        <v>84</v>
      </c>
      <c r="O38" s="17"/>
      <c r="P38" s="17"/>
      <c r="Q38" s="17"/>
      <c r="R38" s="17" t="s">
        <v>417</v>
      </c>
      <c r="S38" s="14" t="s">
        <v>84</v>
      </c>
      <c r="T38" s="14" t="s">
        <v>84</v>
      </c>
      <c r="U38" s="14" t="s">
        <v>359</v>
      </c>
      <c r="V38" s="16" t="s">
        <v>305</v>
      </c>
    </row>
    <row r="39" spans="1:22" ht="75" x14ac:dyDescent="0.25">
      <c r="A39" s="14" t="s">
        <v>418</v>
      </c>
      <c r="B39" s="14" t="s">
        <v>72</v>
      </c>
      <c r="C39" s="15">
        <v>44005.589583333334</v>
      </c>
      <c r="D39" s="14" t="s">
        <v>306</v>
      </c>
      <c r="E39" s="14" t="s">
        <v>404</v>
      </c>
      <c r="F39" s="16" t="s">
        <v>307</v>
      </c>
      <c r="G39" s="14" t="s">
        <v>84</v>
      </c>
      <c r="H39" s="15">
        <v>40725</v>
      </c>
      <c r="I39" s="15"/>
      <c r="J39" s="16" t="s">
        <v>84</v>
      </c>
      <c r="K39" s="16" t="s">
        <v>84</v>
      </c>
      <c r="L39" s="14" t="s">
        <v>373</v>
      </c>
      <c r="M39" s="16" t="s">
        <v>84</v>
      </c>
      <c r="N39" s="14" t="s">
        <v>84</v>
      </c>
      <c r="O39" s="17"/>
      <c r="P39" s="17"/>
      <c r="Q39" s="17"/>
      <c r="R39" s="17" t="s">
        <v>419</v>
      </c>
      <c r="S39" s="14" t="s">
        <v>84</v>
      </c>
      <c r="T39" s="14" t="s">
        <v>84</v>
      </c>
      <c r="U39" s="14" t="s">
        <v>359</v>
      </c>
      <c r="V39" s="16" t="s">
        <v>420</v>
      </c>
    </row>
    <row r="40" spans="1:22" ht="75" x14ac:dyDescent="0.25">
      <c r="A40" s="14" t="s">
        <v>364</v>
      </c>
      <c r="B40" s="14" t="s">
        <v>129</v>
      </c>
      <c r="C40" s="15">
        <v>44005.59097222222</v>
      </c>
      <c r="D40" s="14" t="s">
        <v>315</v>
      </c>
      <c r="E40" s="14" t="s">
        <v>404</v>
      </c>
      <c r="F40" s="16" t="s">
        <v>316</v>
      </c>
      <c r="G40" s="14" t="s">
        <v>84</v>
      </c>
      <c r="H40" s="15">
        <v>40725</v>
      </c>
      <c r="I40" s="15"/>
      <c r="J40" s="16" t="s">
        <v>84</v>
      </c>
      <c r="K40" s="16" t="s">
        <v>84</v>
      </c>
      <c r="L40" s="14" t="s">
        <v>373</v>
      </c>
      <c r="M40" s="16" t="s">
        <v>84</v>
      </c>
      <c r="N40" s="14" t="s">
        <v>84</v>
      </c>
      <c r="O40" s="17"/>
      <c r="P40" s="17"/>
      <c r="Q40" s="17"/>
      <c r="R40" s="17" t="s">
        <v>421</v>
      </c>
      <c r="S40" s="14" t="s">
        <v>84</v>
      </c>
      <c r="T40" s="14" t="s">
        <v>84</v>
      </c>
      <c r="U40" s="14" t="s">
        <v>359</v>
      </c>
      <c r="V40" s="16" t="s">
        <v>422</v>
      </c>
    </row>
    <row r="41" spans="1:22" ht="45" x14ac:dyDescent="0.25">
      <c r="A41" s="14" t="s">
        <v>364</v>
      </c>
      <c r="B41" s="14" t="s">
        <v>129</v>
      </c>
      <c r="C41" s="15">
        <v>44005.589583333334</v>
      </c>
      <c r="D41" s="14" t="s">
        <v>308</v>
      </c>
      <c r="E41" s="14" t="s">
        <v>404</v>
      </c>
      <c r="F41" s="16" t="s">
        <v>309</v>
      </c>
      <c r="G41" s="14" t="s">
        <v>84</v>
      </c>
      <c r="H41" s="15">
        <v>40725</v>
      </c>
      <c r="I41" s="15"/>
      <c r="J41" s="16" t="s">
        <v>84</v>
      </c>
      <c r="K41" s="16" t="s">
        <v>84</v>
      </c>
      <c r="L41" s="14" t="s">
        <v>373</v>
      </c>
      <c r="M41" s="16" t="s">
        <v>84</v>
      </c>
      <c r="N41" s="14" t="s">
        <v>84</v>
      </c>
      <c r="O41" s="17"/>
      <c r="P41" s="17"/>
      <c r="Q41" s="17"/>
      <c r="R41" s="17" t="s">
        <v>423</v>
      </c>
      <c r="S41" s="14" t="s">
        <v>84</v>
      </c>
      <c r="T41" s="14" t="s">
        <v>84</v>
      </c>
      <c r="U41" s="14" t="s">
        <v>359</v>
      </c>
      <c r="V41" s="16" t="s">
        <v>309</v>
      </c>
    </row>
  </sheetData>
  <autoFilter ref="A1:Z41" xr:uid="{619CC644-509E-434E-91BF-1C2C6A894E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2026-06-09T09:30:49Z</dcterms:created>
  <dcterms:modified xsi:type="dcterms:W3CDTF">2026-06-09T09:32:06Z</dcterms:modified>
</cp:coreProperties>
</file>