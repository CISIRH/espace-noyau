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8BB2ECAB-7DF2-4CE0-A22C-3827EA7E14B9}" xr6:coauthVersionLast="47" xr6:coauthVersionMax="47" xr10:uidLastSave="{00000000-0000-0000-0000-000000000000}"/>
  <bookViews>
    <workbookView xWindow="25080" yWindow="-90" windowWidth="25440" windowHeight="15270" xr2:uid="{47D6765F-5CC3-4AF7-B1F3-BC909B2DFC87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11" i="5" l="1"/>
  <c r="AJ10" i="5"/>
  <c r="AJ9" i="5"/>
  <c r="AJ8" i="5"/>
  <c r="AJ7" i="5"/>
  <c r="AH11" i="5"/>
  <c r="AH10" i="5"/>
  <c r="AH9" i="5"/>
  <c r="AH8" i="5"/>
  <c r="AH7" i="5"/>
  <c r="AF11" i="5"/>
  <c r="AF10" i="5"/>
  <c r="AF9" i="5"/>
  <c r="AF8" i="5"/>
  <c r="AF7" i="5"/>
  <c r="AD11" i="5"/>
  <c r="AD10" i="5"/>
  <c r="AD9" i="5"/>
  <c r="AD8" i="5"/>
  <c r="AD7" i="5"/>
  <c r="AB11" i="5"/>
  <c r="AB10" i="5"/>
  <c r="AB9" i="5"/>
  <c r="AB8" i="5"/>
  <c r="AB7" i="5"/>
  <c r="AB6" i="5"/>
  <c r="AB5" i="5"/>
  <c r="AB4" i="5"/>
  <c r="AB3" i="5"/>
  <c r="AB2" i="5"/>
  <c r="Z11" i="5"/>
  <c r="Z10" i="5"/>
  <c r="Z9" i="5"/>
  <c r="Z8" i="5"/>
  <c r="Z7" i="5"/>
  <c r="Z6" i="5"/>
  <c r="Z5" i="5"/>
  <c r="Z4" i="5"/>
  <c r="Z3" i="5"/>
  <c r="Z2" i="5"/>
</calcChain>
</file>

<file path=xl/sharedStrings.xml><?xml version="1.0" encoding="utf-8"?>
<sst xmlns="http://schemas.openxmlformats.org/spreadsheetml/2006/main" count="1215" uniqueCount="134">
  <si>
    <t>MODE OPERATOIRE</t>
  </si>
  <si>
    <t>La transaction s'effectue au niveau du dossier PSC.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</si>
  <si>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</si>
  <si>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</si>
  <si>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</si>
  <si>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</si>
  <si>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</si>
  <si>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</si>
  <si>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</si>
  <si>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</si>
  <si>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</si>
  <si>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</si>
  <si>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</si>
  <si>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</si>
  <si>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</si>
  <si>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</si>
  <si>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</si>
  <si>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</si>
  <si>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</si>
  <si>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</si>
  <si>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</si>
  <si>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</si>
  <si>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</si>
  <si>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</si>
  <si>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</si>
  <si>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</si>
  <si>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</si>
  <si>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</si>
  <si>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</si>
  <si>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</si>
  <si>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</si>
  <si>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</si>
  <si>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</si>
  <si>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</si>
  <si>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</si>
  <si>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</si>
  <si>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</si>
  <si>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FIME</t>
  </si>
  <si>
    <t>Statut de travail</t>
  </si>
  <si>
    <t>24.10.00</t>
  </si>
  <si>
    <t>A</t>
  </si>
  <si>
    <t>D0018</t>
  </si>
  <si>
    <t>Protection sociale complémentaire</t>
  </si>
  <si>
    <t>S0184</t>
  </si>
  <si>
    <t>E0974</t>
  </si>
  <si>
    <t>Affiliation à la protection sociale complémentaire</t>
  </si>
  <si>
    <t>La date de début de l'affiliation saisie est différente de vide et la date de fin de l'affiliation saisie est vide</t>
  </si>
  <si>
    <t>BL70_DAT_DEB [Saisi] &lt;&gt; VIDE ET BL70_DAT_FIN [Saisi] = VIDE</t>
  </si>
  <si>
    <t>T2363</t>
  </si>
  <si>
    <t>Création Modification</t>
  </si>
  <si>
    <t/>
  </si>
  <si>
    <t>Titulaire ou magistrat</t>
  </si>
  <si>
    <t>P0001</t>
  </si>
  <si>
    <t>T</t>
  </si>
  <si>
    <t>Général</t>
  </si>
  <si>
    <t>Passant</t>
  </si>
  <si>
    <t>PSC_C_002 ET PSC_C_004</t>
  </si>
  <si>
    <t>PSC_C_002</t>
  </si>
  <si>
    <t>Le statut de l'agent lui permet d'être éligible à l'affiliation (contrôle effectué à la date de début de l'affiliation).</t>
  </si>
  <si>
    <t>PSC_C_004</t>
  </si>
  <si>
    <t>La position de l'agent ne doit pas entrainer la suspension de l'affiliation (contrôle effectué à la date de début de l'affiliation).</t>
  </si>
  <si>
    <t>Militaire</t>
  </si>
  <si>
    <t>P0002</t>
  </si>
  <si>
    <t>M</t>
  </si>
  <si>
    <t>Contractuel</t>
  </si>
  <si>
    <t>P0003</t>
  </si>
  <si>
    <t>N</t>
  </si>
  <si>
    <t>Stagiaire ou auditeur ou élève</t>
  </si>
  <si>
    <t>P0004</t>
  </si>
  <si>
    <t>S</t>
  </si>
  <si>
    <t>Ouvrier d'état</t>
  </si>
  <si>
    <t>P0005</t>
  </si>
  <si>
    <t>O</t>
  </si>
  <si>
    <t>E0975</t>
  </si>
  <si>
    <t>Désaffiliation à la protection sociale complémentaire</t>
  </si>
  <si>
    <t>La date de fin de l'affiliation saisie est différente de vide</t>
  </si>
  <si>
    <t>BL70_DAT_FIN [Saisi] &lt;&gt; VIDE</t>
  </si>
  <si>
    <t>T2364</t>
  </si>
  <si>
    <t>PSC_C_001 ET PSC_C_002 ET PSC_C_004 ET PSC_C_005 ET PSC_C_006 ET PSC_C_007</t>
  </si>
  <si>
    <t>PSC_C_001</t>
  </si>
  <si>
    <t>La date de fin de l'affiliation doit être supérieure ou égale à la date de début de l'affiliation.</t>
  </si>
  <si>
    <t>PSC_C_005</t>
  </si>
  <si>
    <t>Si le statut de l'agent n'est plus éligible à la PSC, alors la date de fin d'affiliation doit être égale à la date de début de ce statut - 1 JOUR.</t>
  </si>
  <si>
    <t>PSC_C_006</t>
  </si>
  <si>
    <t>Si la position de l'agent suspend l'affiliation à la PSC, alors la date de fin d'affiliation doit être égale à la date de début de cette position - 1 JOUR.</t>
  </si>
  <si>
    <t>PSC_C_007</t>
  </si>
  <si>
    <t>Si une date de début de dispense a été saisie alors la date de fin d'affiliation doit être égale à la date de début de cette dispense - 1 JOUR.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</si>
  <si>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</si>
  <si>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</si>
  <si>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</si>
  <si>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</si>
  <si>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</si>
  <si>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</si>
  <si>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</si>
  <si>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</si>
  <si>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</si>
  <si>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</si>
  <si>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</si>
  <si>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</si>
  <si>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</si>
  <si>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</si>
  <si>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</si>
  <si>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</si>
  <si>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</si>
  <si>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</si>
  <si>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</si>
  <si>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</si>
  <si>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</si>
  <si>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</si>
  <si>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</si>
  <si>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</si>
  <si>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</si>
  <si>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</si>
  <si>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</si>
  <si>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</si>
  <si>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</si>
  <si>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</si>
  <si>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</si>
  <si>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</si>
  <si>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Contrôle</t>
  </si>
  <si>
    <t>BL70_DAT_FIN [Saisi] &gt;= BL70_DAT_DEB [Saisi]</t>
  </si>
  <si>
    <t>Bloquant</t>
  </si>
  <si>
    <t>P0001 / P0002 / P0003 / P0004 / P0005 - E0975 - Désaffiliation</t>
  </si>
  <si>
    <t>[SELECTIONNER (STATUT_TYPPOP.R_FOR_IELPSC) POUR (STATUT_TYPPOP.R_FOR_IDEN05 = A_CAR_STAAGE [Dossier])] = '1'</t>
  </si>
  <si>
    <t>P0001 / P0002 / P0003 / P0004 / P0005 - E0974 / E0975</t>
  </si>
  <si>
    <t>[SELECTIONNER (POSITION_SITUATION.R_FOR_ISUPSC) POUR (POSITION_SITUATION.R_FOR_IDEN05 = A_POS_POSIAD [Dossier])] &lt;&gt; '1'</t>
  </si>
  <si>
    <t>SI [SELECTIONNER (STATUT_TYPPOP.R_FOR_IELPSC) POUR (STATUT_TYPPOP.R_FOR_IDEN05 = A_CAR_STAAGE [Dossier suivant])] = '0'</t>
  </si>
  <si>
    <t>BL70_DAT_FIN [Saisi] = A_CAR_DAENST [Dossier suivant]- 1 JOUR</t>
  </si>
  <si>
    <t>P0001 / P0002 / P0003 / P0004 / P0005 - E0975</t>
  </si>
  <si>
    <t>SI [SELECTIONNER (POSITION_SITUATION.R_FOR_ISUPSC) POUR (POSITION_SITUATION.R_FOR_IDEN05 = A_POS_POSIAD [Dossier suivant])] = '1'</t>
  </si>
  <si>
    <t>BL70_DAT_FIN [Saisi] = A_POS_DAFIPS [Dossier suivant] - 1 JOUR</t>
  </si>
  <si>
    <t>SI D_PSC_DDDISP [Dossier suivant] &lt;&gt; VIDE</t>
  </si>
  <si>
    <t>BL70_DAT_FIN [Saisi] = SI D_PSC_DDDISP [Dossier suivant] - 1 JOUR</t>
  </si>
  <si>
    <t>Ce contrôle ne fonctionne que pour les dispenses demandées après une première affiliation.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</si>
</sst>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AFA0-66B6-40D0-ABCC-D8788B74649E}">
  <sheetPr codeName="Feuil2"/>
  <dimension ref="A1:AG385"/>
  <sheetViews>
    <sheetView tabSelected="1" zoomScale="85" zoomScaleNormal="85" workbookViewId="0"/>
  </sheetViews>
  <sheetFormatPr baseColWidth="10" defaultRowHeight="15" x14ac:dyDescent="0.25"/>
  <cols>
    <col min="2" max="2" width="144.28515625" style="9" customWidth="1"/>
    <col min="3" max="3" width="64.85546875" style="2" bestFit="1" customWidth="1"/>
    <col min="18" max="19" width="11.42578125" style="2"/>
  </cols>
  <sheetData>
    <row r="1" spans="1:33" x14ac:dyDescent="0.25">
      <c r="B1" s="1" t="s">
        <v>0</v>
      </c>
    </row>
    <row r="2" spans="1:33" x14ac:dyDescent="0.25">
      <c r="B2" s="3" t="s">
        <v>1</v>
      </c>
    </row>
    <row r="3" spans="1:33" x14ac:dyDescent="0.25">
      <c r="B3" s="4"/>
    </row>
    <row r="4" spans="1:33" x14ac:dyDescent="0.25">
      <c r="B4" s="4"/>
    </row>
    <row r="5" spans="1:33" x14ac:dyDescent="0.25">
      <c r="B5" s="4"/>
    </row>
    <row r="6" spans="1:33" x14ac:dyDescent="0.25">
      <c r="B6" s="4"/>
    </row>
    <row r="7" spans="1:33" x14ac:dyDescent="0.25">
      <c r="B7" s="4"/>
    </row>
    <row r="8" spans="1:33" x14ac:dyDescent="0.25">
      <c r="B8" s="4"/>
    </row>
    <row r="9" spans="1:33" x14ac:dyDescent="0.25">
      <c r="B9" s="4"/>
    </row>
    <row r="10" spans="1:33" x14ac:dyDescent="0.25">
      <c r="B10" s="4"/>
    </row>
    <row r="11" spans="1:33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25">
      <c r="B15" s="4"/>
      <c r="C15"/>
      <c r="R15"/>
      <c r="S15"/>
    </row>
    <row r="16" spans="1:3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86B3C-1928-41BD-82E1-DB010EAB4C23}">
  <dimension ref="A1:AL19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18" width="13.7109375" style="13" customWidth="1"/>
    <col min="19" max="19" width="13.7109375" style="19" customWidth="1"/>
    <col min="20" max="21" width="13.7109375" style="13" customWidth="1"/>
    <col min="22" max="23" width="12.7109375" style="13" customWidth="1"/>
    <col min="24" max="24" width="40.7109375" style="24" customWidth="1"/>
    <col min="25" max="25" width="15.7109375" style="23" customWidth="1"/>
    <col min="26" max="26" width="25.7109375" style="24" customWidth="1"/>
    <col min="27" max="27" width="15.7109375" style="23" customWidth="1"/>
    <col min="28" max="28" width="25.7109375" style="24" customWidth="1"/>
    <col min="29" max="29" width="15.7109375" style="23" customWidth="1"/>
    <col min="30" max="30" width="25.7109375" style="24" customWidth="1"/>
    <col min="31" max="31" width="15.7109375" style="23" customWidth="1"/>
    <col min="32" max="32" width="25.7109375" style="24" customWidth="1"/>
    <col min="33" max="33" width="15.7109375" style="23" customWidth="1"/>
    <col min="34" max="34" width="25.7109375" style="24" customWidth="1"/>
    <col min="35" max="35" width="15.7109375" style="23" customWidth="1"/>
    <col min="36" max="36" width="25.7109375" style="24" customWidth="1"/>
    <col min="37" max="37" width="9.7109375" style="23" customWidth="1"/>
    <col min="38" max="38" width="15.7109375" style="24" customWidth="1"/>
    <col min="39" max="16384" width="11.42578125" style="13"/>
  </cols>
  <sheetData>
    <row r="1" spans="1:38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0" t="s">
        <v>37</v>
      </c>
      <c r="AL1" s="10" t="s">
        <v>38</v>
      </c>
    </row>
    <row r="2" spans="1:38" ht="75" x14ac:dyDescent="0.25">
      <c r="A2" s="14" t="s">
        <v>39</v>
      </c>
      <c r="B2" s="14" t="s">
        <v>40</v>
      </c>
      <c r="C2" s="15">
        <v>45623.629861111112</v>
      </c>
      <c r="D2" s="14" t="s">
        <v>41</v>
      </c>
      <c r="E2" s="16" t="s">
        <v>42</v>
      </c>
      <c r="F2" s="14" t="s">
        <v>43</v>
      </c>
      <c r="G2" s="16" t="s">
        <v>42</v>
      </c>
      <c r="H2" s="14" t="s">
        <v>44</v>
      </c>
      <c r="I2" s="16" t="s">
        <v>45</v>
      </c>
      <c r="J2" s="16" t="s">
        <v>46</v>
      </c>
      <c r="K2" s="16" t="s">
        <v>47</v>
      </c>
      <c r="L2" s="14" t="s">
        <v>48</v>
      </c>
      <c r="M2" s="16" t="s">
        <v>45</v>
      </c>
      <c r="N2" s="14" t="s">
        <v>49</v>
      </c>
      <c r="O2" s="16" t="s">
        <v>50</v>
      </c>
      <c r="P2" s="16" t="s">
        <v>50</v>
      </c>
      <c r="Q2" s="16" t="s">
        <v>51</v>
      </c>
      <c r="R2" s="14" t="s">
        <v>52</v>
      </c>
      <c r="S2" s="14" t="s">
        <v>53</v>
      </c>
      <c r="T2" s="14" t="s">
        <v>54</v>
      </c>
      <c r="U2" s="14" t="s">
        <v>55</v>
      </c>
      <c r="V2" s="15">
        <v>45658</v>
      </c>
      <c r="W2" s="15"/>
      <c r="X2" s="16" t="s">
        <v>56</v>
      </c>
      <c r="Y2" s="17" t="s">
        <v>57</v>
      </c>
      <c r="Z2" s="18" t="str">
        <f>VLOOKUP(Y2,'Axe 2 Règles de gestion'!$D$2:$F$7,3, FALSE)</f>
        <v>Le statut de l'agent lui permet d'être éligible à l'affiliation (contrôle effectué à la date de début de l'affiliation).</v>
      </c>
      <c r="AA2" s="17" t="s">
        <v>59</v>
      </c>
      <c r="AB2" s="18" t="str">
        <f>VLOOKUP(AA2,'Axe 2 Règles de gestion'!$D$2:$F$7,3, FALSE)</f>
        <v>La position de l'agent ne doit pas entrainer la suspension de l'affiliation (contrôle effectué à la date de début de l'affiliation).</v>
      </c>
      <c r="AC2" s="17"/>
      <c r="AD2" s="18"/>
      <c r="AE2" s="17"/>
      <c r="AF2" s="18"/>
      <c r="AG2" s="17"/>
      <c r="AH2" s="18"/>
      <c r="AI2" s="17"/>
      <c r="AJ2" s="18"/>
      <c r="AK2" s="14" t="s">
        <v>50</v>
      </c>
      <c r="AL2" s="16" t="s">
        <v>50</v>
      </c>
    </row>
    <row r="3" spans="1:38" ht="75" x14ac:dyDescent="0.25">
      <c r="A3" s="14" t="s">
        <v>39</v>
      </c>
      <c r="B3" s="14" t="s">
        <v>40</v>
      </c>
      <c r="C3" s="15">
        <v>45623.632638888892</v>
      </c>
      <c r="D3" s="14" t="s">
        <v>41</v>
      </c>
      <c r="E3" s="16" t="s">
        <v>42</v>
      </c>
      <c r="F3" s="14" t="s">
        <v>43</v>
      </c>
      <c r="G3" s="16" t="s">
        <v>42</v>
      </c>
      <c r="H3" s="14" t="s">
        <v>44</v>
      </c>
      <c r="I3" s="16" t="s">
        <v>45</v>
      </c>
      <c r="J3" s="16" t="s">
        <v>46</v>
      </c>
      <c r="K3" s="16" t="s">
        <v>47</v>
      </c>
      <c r="L3" s="14" t="s">
        <v>48</v>
      </c>
      <c r="M3" s="16" t="s">
        <v>45</v>
      </c>
      <c r="N3" s="14" t="s">
        <v>49</v>
      </c>
      <c r="O3" s="16" t="s">
        <v>50</v>
      </c>
      <c r="P3" s="16" t="s">
        <v>50</v>
      </c>
      <c r="Q3" s="16" t="s">
        <v>61</v>
      </c>
      <c r="R3" s="14" t="s">
        <v>62</v>
      </c>
      <c r="S3" s="14" t="s">
        <v>63</v>
      </c>
      <c r="T3" s="14" t="s">
        <v>54</v>
      </c>
      <c r="U3" s="14" t="s">
        <v>55</v>
      </c>
      <c r="V3" s="15">
        <v>45658</v>
      </c>
      <c r="W3" s="15"/>
      <c r="X3" s="16" t="s">
        <v>56</v>
      </c>
      <c r="Y3" s="17" t="s">
        <v>57</v>
      </c>
      <c r="Z3" s="18" t="str">
        <f>VLOOKUP(Y3,'Axe 2 Règles de gestion'!$D$2:$F$7,3, FALSE)</f>
        <v>Le statut de l'agent lui permet d'être éligible à l'affiliation (contrôle effectué à la date de début de l'affiliation).</v>
      </c>
      <c r="AA3" s="17" t="s">
        <v>59</v>
      </c>
      <c r="AB3" s="18" t="str">
        <f>VLOOKUP(AA3,'Axe 2 Règles de gestion'!$D$2:$F$7,3, FALSE)</f>
        <v>La position de l'agent ne doit pas entrainer la suspension de l'affiliation (contrôle effectué à la date de début de l'affiliation).</v>
      </c>
      <c r="AC3" s="17"/>
      <c r="AD3" s="18"/>
      <c r="AE3" s="17"/>
      <c r="AF3" s="18"/>
      <c r="AG3" s="17"/>
      <c r="AH3" s="18"/>
      <c r="AI3" s="17"/>
      <c r="AJ3" s="18"/>
      <c r="AK3" s="14" t="s">
        <v>50</v>
      </c>
      <c r="AL3" s="16" t="s">
        <v>50</v>
      </c>
    </row>
    <row r="4" spans="1:38" ht="75" x14ac:dyDescent="0.25">
      <c r="A4" s="14" t="s">
        <v>39</v>
      </c>
      <c r="B4" s="14" t="s">
        <v>40</v>
      </c>
      <c r="C4" s="15">
        <v>45623.631944444445</v>
      </c>
      <c r="D4" s="14" t="s">
        <v>41</v>
      </c>
      <c r="E4" s="16" t="s">
        <v>42</v>
      </c>
      <c r="F4" s="14" t="s">
        <v>43</v>
      </c>
      <c r="G4" s="16" t="s">
        <v>42</v>
      </c>
      <c r="H4" s="14" t="s">
        <v>44</v>
      </c>
      <c r="I4" s="16" t="s">
        <v>45</v>
      </c>
      <c r="J4" s="16" t="s">
        <v>46</v>
      </c>
      <c r="K4" s="16" t="s">
        <v>47</v>
      </c>
      <c r="L4" s="14" t="s">
        <v>48</v>
      </c>
      <c r="M4" s="16" t="s">
        <v>45</v>
      </c>
      <c r="N4" s="14" t="s">
        <v>49</v>
      </c>
      <c r="O4" s="16" t="s">
        <v>50</v>
      </c>
      <c r="P4" s="16" t="s">
        <v>50</v>
      </c>
      <c r="Q4" s="16" t="s">
        <v>64</v>
      </c>
      <c r="R4" s="14" t="s">
        <v>65</v>
      </c>
      <c r="S4" s="14" t="s">
        <v>66</v>
      </c>
      <c r="T4" s="14" t="s">
        <v>54</v>
      </c>
      <c r="U4" s="14" t="s">
        <v>55</v>
      </c>
      <c r="V4" s="15">
        <v>45658</v>
      </c>
      <c r="W4" s="15"/>
      <c r="X4" s="16" t="s">
        <v>56</v>
      </c>
      <c r="Y4" s="17" t="s">
        <v>57</v>
      </c>
      <c r="Z4" s="18" t="str">
        <f>VLOOKUP(Y4,'Axe 2 Règles de gestion'!$D$2:$F$7,3, FALSE)</f>
        <v>Le statut de l'agent lui permet d'être éligible à l'affiliation (contrôle effectué à la date de début de l'affiliation).</v>
      </c>
      <c r="AA4" s="17" t="s">
        <v>59</v>
      </c>
      <c r="AB4" s="18" t="str">
        <f>VLOOKUP(AA4,'Axe 2 Règles de gestion'!$D$2:$F$7,3, FALSE)</f>
        <v>La position de l'agent ne doit pas entrainer la suspension de l'affiliation (contrôle effectué à la date de début de l'affiliation).</v>
      </c>
      <c r="AC4" s="17"/>
      <c r="AD4" s="18"/>
      <c r="AE4" s="17"/>
      <c r="AF4" s="18"/>
      <c r="AG4" s="17"/>
      <c r="AH4" s="18"/>
      <c r="AI4" s="17"/>
      <c r="AJ4" s="18"/>
      <c r="AK4" s="14" t="s">
        <v>50</v>
      </c>
      <c r="AL4" s="16" t="s">
        <v>50</v>
      </c>
    </row>
    <row r="5" spans="1:38" ht="75" x14ac:dyDescent="0.25">
      <c r="A5" s="14" t="s">
        <v>39</v>
      </c>
      <c r="B5" s="14" t="s">
        <v>40</v>
      </c>
      <c r="C5" s="15">
        <v>45623.631249999999</v>
      </c>
      <c r="D5" s="14" t="s">
        <v>41</v>
      </c>
      <c r="E5" s="16" t="s">
        <v>42</v>
      </c>
      <c r="F5" s="14" t="s">
        <v>43</v>
      </c>
      <c r="G5" s="16" t="s">
        <v>42</v>
      </c>
      <c r="H5" s="14" t="s">
        <v>44</v>
      </c>
      <c r="I5" s="16" t="s">
        <v>45</v>
      </c>
      <c r="J5" s="16" t="s">
        <v>46</v>
      </c>
      <c r="K5" s="16" t="s">
        <v>47</v>
      </c>
      <c r="L5" s="14" t="s">
        <v>48</v>
      </c>
      <c r="M5" s="16" t="s">
        <v>45</v>
      </c>
      <c r="N5" s="14" t="s">
        <v>49</v>
      </c>
      <c r="O5" s="16" t="s">
        <v>50</v>
      </c>
      <c r="P5" s="16" t="s">
        <v>50</v>
      </c>
      <c r="Q5" s="16" t="s">
        <v>67</v>
      </c>
      <c r="R5" s="14" t="s">
        <v>68</v>
      </c>
      <c r="S5" s="14" t="s">
        <v>69</v>
      </c>
      <c r="T5" s="14" t="s">
        <v>54</v>
      </c>
      <c r="U5" s="14" t="s">
        <v>55</v>
      </c>
      <c r="V5" s="15">
        <v>45658</v>
      </c>
      <c r="W5" s="15"/>
      <c r="X5" s="16" t="s">
        <v>56</v>
      </c>
      <c r="Y5" s="17" t="s">
        <v>57</v>
      </c>
      <c r="Z5" s="18" t="str">
        <f>VLOOKUP(Y5,'Axe 2 Règles de gestion'!$D$2:$F$7,3, FALSE)</f>
        <v>Le statut de l'agent lui permet d'être éligible à l'affiliation (contrôle effectué à la date de début de l'affiliation).</v>
      </c>
      <c r="AA5" s="17" t="s">
        <v>59</v>
      </c>
      <c r="AB5" s="18" t="str">
        <f>VLOOKUP(AA5,'Axe 2 Règles de gestion'!$D$2:$F$7,3, FALSE)</f>
        <v>La position de l'agent ne doit pas entrainer la suspension de l'affiliation (contrôle effectué à la date de début de l'affiliation).</v>
      </c>
      <c r="AC5" s="17"/>
      <c r="AD5" s="18"/>
      <c r="AE5" s="17"/>
      <c r="AF5" s="18"/>
      <c r="AG5" s="17"/>
      <c r="AH5" s="18"/>
      <c r="AI5" s="17"/>
      <c r="AJ5" s="18"/>
      <c r="AK5" s="14" t="s">
        <v>50</v>
      </c>
      <c r="AL5" s="16" t="s">
        <v>50</v>
      </c>
    </row>
    <row r="6" spans="1:38" ht="75" x14ac:dyDescent="0.25">
      <c r="A6" s="14" t="s">
        <v>39</v>
      </c>
      <c r="B6" s="14" t="s">
        <v>40</v>
      </c>
      <c r="C6" s="15">
        <v>45623.632638888892</v>
      </c>
      <c r="D6" s="14" t="s">
        <v>41</v>
      </c>
      <c r="E6" s="16" t="s">
        <v>42</v>
      </c>
      <c r="F6" s="14" t="s">
        <v>43</v>
      </c>
      <c r="G6" s="16" t="s">
        <v>42</v>
      </c>
      <c r="H6" s="14" t="s">
        <v>44</v>
      </c>
      <c r="I6" s="16" t="s">
        <v>45</v>
      </c>
      <c r="J6" s="16" t="s">
        <v>46</v>
      </c>
      <c r="K6" s="16" t="s">
        <v>47</v>
      </c>
      <c r="L6" s="14" t="s">
        <v>48</v>
      </c>
      <c r="M6" s="16" t="s">
        <v>45</v>
      </c>
      <c r="N6" s="14" t="s">
        <v>49</v>
      </c>
      <c r="O6" s="16" t="s">
        <v>50</v>
      </c>
      <c r="P6" s="16" t="s">
        <v>50</v>
      </c>
      <c r="Q6" s="16" t="s">
        <v>70</v>
      </c>
      <c r="R6" s="14" t="s">
        <v>71</v>
      </c>
      <c r="S6" s="14" t="s">
        <v>72</v>
      </c>
      <c r="T6" s="14" t="s">
        <v>54</v>
      </c>
      <c r="U6" s="14" t="s">
        <v>55</v>
      </c>
      <c r="V6" s="15">
        <v>45658</v>
      </c>
      <c r="W6" s="15"/>
      <c r="X6" s="16" t="s">
        <v>56</v>
      </c>
      <c r="Y6" s="17" t="s">
        <v>57</v>
      </c>
      <c r="Z6" s="18" t="str">
        <f>VLOOKUP(Y6,'Axe 2 Règles de gestion'!$D$2:$F$7,3, FALSE)</f>
        <v>Le statut de l'agent lui permet d'être éligible à l'affiliation (contrôle effectué à la date de début de l'affiliation).</v>
      </c>
      <c r="AA6" s="17" t="s">
        <v>59</v>
      </c>
      <c r="AB6" s="18" t="str">
        <f>VLOOKUP(AA6,'Axe 2 Règles de gestion'!$D$2:$F$7,3, FALSE)</f>
        <v>La position de l'agent ne doit pas entrainer la suspension de l'affiliation (contrôle effectué à la date de début de l'affiliation).</v>
      </c>
      <c r="AC6" s="17"/>
      <c r="AD6" s="18"/>
      <c r="AE6" s="17"/>
      <c r="AF6" s="18"/>
      <c r="AG6" s="17"/>
      <c r="AH6" s="18"/>
      <c r="AI6" s="17"/>
      <c r="AJ6" s="18"/>
      <c r="AK6" s="14" t="s">
        <v>50</v>
      </c>
      <c r="AL6" s="16" t="s">
        <v>50</v>
      </c>
    </row>
    <row r="7" spans="1:38" ht="90" x14ac:dyDescent="0.25">
      <c r="A7" s="14" t="s">
        <v>39</v>
      </c>
      <c r="B7" s="14" t="s">
        <v>40</v>
      </c>
      <c r="C7" s="15">
        <v>45623.633333333331</v>
      </c>
      <c r="D7" s="14" t="s">
        <v>41</v>
      </c>
      <c r="E7" s="16" t="s">
        <v>42</v>
      </c>
      <c r="F7" s="14" t="s">
        <v>43</v>
      </c>
      <c r="G7" s="16" t="s">
        <v>42</v>
      </c>
      <c r="H7" s="14" t="s">
        <v>73</v>
      </c>
      <c r="I7" s="16" t="s">
        <v>74</v>
      </c>
      <c r="J7" s="16" t="s">
        <v>75</v>
      </c>
      <c r="K7" s="16" t="s">
        <v>76</v>
      </c>
      <c r="L7" s="14" t="s">
        <v>77</v>
      </c>
      <c r="M7" s="16" t="s">
        <v>74</v>
      </c>
      <c r="N7" s="14" t="s">
        <v>49</v>
      </c>
      <c r="O7" s="16" t="s">
        <v>50</v>
      </c>
      <c r="P7" s="16" t="s">
        <v>50</v>
      </c>
      <c r="Q7" s="16" t="s">
        <v>51</v>
      </c>
      <c r="R7" s="14" t="s">
        <v>52</v>
      </c>
      <c r="S7" s="14" t="s">
        <v>53</v>
      </c>
      <c r="T7" s="14" t="s">
        <v>54</v>
      </c>
      <c r="U7" s="14" t="s">
        <v>55</v>
      </c>
      <c r="V7" s="15">
        <v>45658</v>
      </c>
      <c r="W7" s="15"/>
      <c r="X7" s="16" t="s">
        <v>78</v>
      </c>
      <c r="Y7" s="17" t="s">
        <v>79</v>
      </c>
      <c r="Z7" s="18" t="str">
        <f>VLOOKUP(Y7,'Axe 2 Règles de gestion'!$D$2:$F$7,3, FALSE)</f>
        <v>La date de fin de l'affiliation doit être supérieure ou égale à la date de début de l'affiliation.</v>
      </c>
      <c r="AA7" s="17" t="s">
        <v>57</v>
      </c>
      <c r="AB7" s="18" t="str">
        <f>VLOOKUP(AA7,'Axe 2 Règles de gestion'!$D$2:$F$7,3, FALSE)</f>
        <v>Le statut de l'agent lui permet d'être éligible à l'affiliation (contrôle effectué à la date de début de l'affiliation).</v>
      </c>
      <c r="AC7" s="17" t="s">
        <v>59</v>
      </c>
      <c r="AD7" s="18" t="str">
        <f>VLOOKUP(AC7,'Axe 2 Règles de gestion'!$D$2:$F$7,3, FALSE)</f>
        <v>La position de l'agent ne doit pas entrainer la suspension de l'affiliation (contrôle effectué à la date de début de l'affiliation).</v>
      </c>
      <c r="AE7" s="17" t="s">
        <v>81</v>
      </c>
      <c r="AF7" s="18" t="str">
        <f>VLOOKUP(AE7,'Axe 2 Règles de gestion'!$D$2:$F$7,3, FALSE)</f>
        <v>Si le statut de l'agent n'est plus éligible à la PSC, alors la date de fin d'affiliation doit être égale à la date de début de ce statut - 1 JOUR.</v>
      </c>
      <c r="AG7" s="17" t="s">
        <v>83</v>
      </c>
      <c r="AH7" s="18" t="str">
        <f>VLOOKUP(AG7,'Axe 2 Règles de gestion'!$D$2:$F$7,3, FALSE)</f>
        <v>Si la position de l'agent suspend l'affiliation à la PSC, alors la date de fin d'affiliation doit être égale à la date de début de cette position - 1 JOUR.</v>
      </c>
      <c r="AI7" s="17" t="s">
        <v>85</v>
      </c>
      <c r="AJ7" s="18" t="str">
        <f>VLOOKUP(AI7,'Axe 2 Règles de gestion'!$D$2:$F$7,3, FALSE)</f>
        <v>Si une date de début de dispense a été saisie alors la date de fin d'affiliation doit être égale à la date de début de cette dispense - 1 JOUR.</v>
      </c>
      <c r="AK7" s="14" t="s">
        <v>50</v>
      </c>
      <c r="AL7" s="16" t="s">
        <v>50</v>
      </c>
    </row>
    <row r="8" spans="1:38" ht="90" x14ac:dyDescent="0.25">
      <c r="A8" s="14" t="s">
        <v>39</v>
      </c>
      <c r="B8" s="14" t="s">
        <v>40</v>
      </c>
      <c r="C8" s="15">
        <v>45623.634722222225</v>
      </c>
      <c r="D8" s="14" t="s">
        <v>41</v>
      </c>
      <c r="E8" s="16" t="s">
        <v>42</v>
      </c>
      <c r="F8" s="14" t="s">
        <v>43</v>
      </c>
      <c r="G8" s="16" t="s">
        <v>42</v>
      </c>
      <c r="H8" s="14" t="s">
        <v>73</v>
      </c>
      <c r="I8" s="16" t="s">
        <v>74</v>
      </c>
      <c r="J8" s="16" t="s">
        <v>75</v>
      </c>
      <c r="K8" s="16" t="s">
        <v>76</v>
      </c>
      <c r="L8" s="14" t="s">
        <v>77</v>
      </c>
      <c r="M8" s="16" t="s">
        <v>74</v>
      </c>
      <c r="N8" s="14" t="s">
        <v>49</v>
      </c>
      <c r="O8" s="16" t="s">
        <v>50</v>
      </c>
      <c r="P8" s="16" t="s">
        <v>50</v>
      </c>
      <c r="Q8" s="16" t="s">
        <v>61</v>
      </c>
      <c r="R8" s="14" t="s">
        <v>62</v>
      </c>
      <c r="S8" s="14" t="s">
        <v>63</v>
      </c>
      <c r="T8" s="14" t="s">
        <v>54</v>
      </c>
      <c r="U8" s="14" t="s">
        <v>55</v>
      </c>
      <c r="V8" s="15">
        <v>45658</v>
      </c>
      <c r="W8" s="15"/>
      <c r="X8" s="16" t="s">
        <v>78</v>
      </c>
      <c r="Y8" s="17" t="s">
        <v>79</v>
      </c>
      <c r="Z8" s="18" t="str">
        <f>VLOOKUP(Y8,'Axe 2 Règles de gestion'!$D$2:$F$7,3, FALSE)</f>
        <v>La date de fin de l'affiliation doit être supérieure ou égale à la date de début de l'affiliation.</v>
      </c>
      <c r="AA8" s="17" t="s">
        <v>57</v>
      </c>
      <c r="AB8" s="18" t="str">
        <f>VLOOKUP(AA8,'Axe 2 Règles de gestion'!$D$2:$F$7,3, FALSE)</f>
        <v>Le statut de l'agent lui permet d'être éligible à l'affiliation (contrôle effectué à la date de début de l'affiliation).</v>
      </c>
      <c r="AC8" s="17" t="s">
        <v>59</v>
      </c>
      <c r="AD8" s="18" t="str">
        <f>VLOOKUP(AC8,'Axe 2 Règles de gestion'!$D$2:$F$7,3, FALSE)</f>
        <v>La position de l'agent ne doit pas entrainer la suspension de l'affiliation (contrôle effectué à la date de début de l'affiliation).</v>
      </c>
      <c r="AE8" s="17" t="s">
        <v>81</v>
      </c>
      <c r="AF8" s="18" t="str">
        <f>VLOOKUP(AE8,'Axe 2 Règles de gestion'!$D$2:$F$7,3, FALSE)</f>
        <v>Si le statut de l'agent n'est plus éligible à la PSC, alors la date de fin d'affiliation doit être égale à la date de début de ce statut - 1 JOUR.</v>
      </c>
      <c r="AG8" s="17" t="s">
        <v>83</v>
      </c>
      <c r="AH8" s="18" t="str">
        <f>VLOOKUP(AG8,'Axe 2 Règles de gestion'!$D$2:$F$7,3, FALSE)</f>
        <v>Si la position de l'agent suspend l'affiliation à la PSC, alors la date de fin d'affiliation doit être égale à la date de début de cette position - 1 JOUR.</v>
      </c>
      <c r="AI8" s="17" t="s">
        <v>85</v>
      </c>
      <c r="AJ8" s="18" t="str">
        <f>VLOOKUP(AI8,'Axe 2 Règles de gestion'!$D$2:$F$7,3, FALSE)</f>
        <v>Si une date de début de dispense a été saisie alors la date de fin d'affiliation doit être égale à la date de début de cette dispense - 1 JOUR.</v>
      </c>
      <c r="AK8" s="14" t="s">
        <v>50</v>
      </c>
      <c r="AL8" s="16" t="s">
        <v>50</v>
      </c>
    </row>
    <row r="9" spans="1:38" ht="90" x14ac:dyDescent="0.25">
      <c r="A9" s="14" t="s">
        <v>39</v>
      </c>
      <c r="B9" s="14" t="s">
        <v>40</v>
      </c>
      <c r="C9" s="15">
        <v>45623.634027777778</v>
      </c>
      <c r="D9" s="14" t="s">
        <v>41</v>
      </c>
      <c r="E9" s="16" t="s">
        <v>42</v>
      </c>
      <c r="F9" s="14" t="s">
        <v>43</v>
      </c>
      <c r="G9" s="16" t="s">
        <v>42</v>
      </c>
      <c r="H9" s="14" t="s">
        <v>73</v>
      </c>
      <c r="I9" s="16" t="s">
        <v>74</v>
      </c>
      <c r="J9" s="16" t="s">
        <v>75</v>
      </c>
      <c r="K9" s="16" t="s">
        <v>76</v>
      </c>
      <c r="L9" s="14" t="s">
        <v>77</v>
      </c>
      <c r="M9" s="16" t="s">
        <v>74</v>
      </c>
      <c r="N9" s="14" t="s">
        <v>49</v>
      </c>
      <c r="O9" s="16" t="s">
        <v>50</v>
      </c>
      <c r="P9" s="16" t="s">
        <v>50</v>
      </c>
      <c r="Q9" s="16" t="s">
        <v>64</v>
      </c>
      <c r="R9" s="14" t="s">
        <v>65</v>
      </c>
      <c r="S9" s="14" t="s">
        <v>66</v>
      </c>
      <c r="T9" s="14" t="s">
        <v>54</v>
      </c>
      <c r="U9" s="14" t="s">
        <v>55</v>
      </c>
      <c r="V9" s="15">
        <v>45658</v>
      </c>
      <c r="W9" s="15"/>
      <c r="X9" s="16" t="s">
        <v>78</v>
      </c>
      <c r="Y9" s="17" t="s">
        <v>79</v>
      </c>
      <c r="Z9" s="18" t="str">
        <f>VLOOKUP(Y9,'Axe 2 Règles de gestion'!$D$2:$F$7,3, FALSE)</f>
        <v>La date de fin de l'affiliation doit être supérieure ou égale à la date de début de l'affiliation.</v>
      </c>
      <c r="AA9" s="17" t="s">
        <v>57</v>
      </c>
      <c r="AB9" s="18" t="str">
        <f>VLOOKUP(AA9,'Axe 2 Règles de gestion'!$D$2:$F$7,3, FALSE)</f>
        <v>Le statut de l'agent lui permet d'être éligible à l'affiliation (contrôle effectué à la date de début de l'affiliation).</v>
      </c>
      <c r="AC9" s="17" t="s">
        <v>59</v>
      </c>
      <c r="AD9" s="18" t="str">
        <f>VLOOKUP(AC9,'Axe 2 Règles de gestion'!$D$2:$F$7,3, FALSE)</f>
        <v>La position de l'agent ne doit pas entrainer la suspension de l'affiliation (contrôle effectué à la date de début de l'affiliation).</v>
      </c>
      <c r="AE9" s="17" t="s">
        <v>81</v>
      </c>
      <c r="AF9" s="18" t="str">
        <f>VLOOKUP(AE9,'Axe 2 Règles de gestion'!$D$2:$F$7,3, FALSE)</f>
        <v>Si le statut de l'agent n'est plus éligible à la PSC, alors la date de fin d'affiliation doit être égale à la date de début de ce statut - 1 JOUR.</v>
      </c>
      <c r="AG9" s="17" t="s">
        <v>83</v>
      </c>
      <c r="AH9" s="18" t="str">
        <f>VLOOKUP(AG9,'Axe 2 Règles de gestion'!$D$2:$F$7,3, FALSE)</f>
        <v>Si la position de l'agent suspend l'affiliation à la PSC, alors la date de fin d'affiliation doit être égale à la date de début de cette position - 1 JOUR.</v>
      </c>
      <c r="AI9" s="17" t="s">
        <v>85</v>
      </c>
      <c r="AJ9" s="18" t="str">
        <f>VLOOKUP(AI9,'Axe 2 Règles de gestion'!$D$2:$F$7,3, FALSE)</f>
        <v>Si une date de début de dispense a été saisie alors la date de fin d'affiliation doit être égale à la date de début de cette dispense - 1 JOUR.</v>
      </c>
      <c r="AK9" s="14" t="s">
        <v>50</v>
      </c>
      <c r="AL9" s="16" t="s">
        <v>50</v>
      </c>
    </row>
    <row r="10" spans="1:38" ht="90" x14ac:dyDescent="0.25">
      <c r="A10" s="14" t="s">
        <v>39</v>
      </c>
      <c r="B10" s="14" t="s">
        <v>40</v>
      </c>
      <c r="C10" s="15">
        <v>45623.634027777778</v>
      </c>
      <c r="D10" s="14" t="s">
        <v>41</v>
      </c>
      <c r="E10" s="16" t="s">
        <v>42</v>
      </c>
      <c r="F10" s="14" t="s">
        <v>43</v>
      </c>
      <c r="G10" s="16" t="s">
        <v>42</v>
      </c>
      <c r="H10" s="14" t="s">
        <v>73</v>
      </c>
      <c r="I10" s="16" t="s">
        <v>74</v>
      </c>
      <c r="J10" s="16" t="s">
        <v>75</v>
      </c>
      <c r="K10" s="16" t="s">
        <v>76</v>
      </c>
      <c r="L10" s="14" t="s">
        <v>77</v>
      </c>
      <c r="M10" s="16" t="s">
        <v>74</v>
      </c>
      <c r="N10" s="14" t="s">
        <v>49</v>
      </c>
      <c r="O10" s="16" t="s">
        <v>50</v>
      </c>
      <c r="P10" s="16" t="s">
        <v>50</v>
      </c>
      <c r="Q10" s="16" t="s">
        <v>67</v>
      </c>
      <c r="R10" s="14" t="s">
        <v>68</v>
      </c>
      <c r="S10" s="14" t="s">
        <v>69</v>
      </c>
      <c r="T10" s="14" t="s">
        <v>54</v>
      </c>
      <c r="U10" s="14" t="s">
        <v>55</v>
      </c>
      <c r="V10" s="15">
        <v>45658</v>
      </c>
      <c r="W10" s="15"/>
      <c r="X10" s="16" t="s">
        <v>78</v>
      </c>
      <c r="Y10" s="17" t="s">
        <v>79</v>
      </c>
      <c r="Z10" s="18" t="str">
        <f>VLOOKUP(Y10,'Axe 2 Règles de gestion'!$D$2:$F$7,3, FALSE)</f>
        <v>La date de fin de l'affiliation doit être supérieure ou égale à la date de début de l'affiliation.</v>
      </c>
      <c r="AA10" s="17" t="s">
        <v>57</v>
      </c>
      <c r="AB10" s="18" t="str">
        <f>VLOOKUP(AA10,'Axe 2 Règles de gestion'!$D$2:$F$7,3, FALSE)</f>
        <v>Le statut de l'agent lui permet d'être éligible à l'affiliation (contrôle effectué à la date de début de l'affiliation).</v>
      </c>
      <c r="AC10" s="17" t="s">
        <v>59</v>
      </c>
      <c r="AD10" s="18" t="str">
        <f>VLOOKUP(AC10,'Axe 2 Règles de gestion'!$D$2:$F$7,3, FALSE)</f>
        <v>La position de l'agent ne doit pas entrainer la suspension de l'affiliation (contrôle effectué à la date de début de l'affiliation).</v>
      </c>
      <c r="AE10" s="17" t="s">
        <v>81</v>
      </c>
      <c r="AF10" s="18" t="str">
        <f>VLOOKUP(AE10,'Axe 2 Règles de gestion'!$D$2:$F$7,3, FALSE)</f>
        <v>Si le statut de l'agent n'est plus éligible à la PSC, alors la date de fin d'affiliation doit être égale à la date de début de ce statut - 1 JOUR.</v>
      </c>
      <c r="AG10" s="17" t="s">
        <v>83</v>
      </c>
      <c r="AH10" s="18" t="str">
        <f>VLOOKUP(AG10,'Axe 2 Règles de gestion'!$D$2:$F$7,3, FALSE)</f>
        <v>Si la position de l'agent suspend l'affiliation à la PSC, alors la date de fin d'affiliation doit être égale à la date de début de cette position - 1 JOUR.</v>
      </c>
      <c r="AI10" s="17" t="s">
        <v>85</v>
      </c>
      <c r="AJ10" s="18" t="str">
        <f>VLOOKUP(AI10,'Axe 2 Règles de gestion'!$D$2:$F$7,3, FALSE)</f>
        <v>Si une date de début de dispense a été saisie alors la date de fin d'affiliation doit être égale à la date de début de cette dispense - 1 JOUR.</v>
      </c>
      <c r="AK10" s="14" t="s">
        <v>50</v>
      </c>
      <c r="AL10" s="16" t="s">
        <v>50</v>
      </c>
    </row>
    <row r="11" spans="1:38" ht="90" x14ac:dyDescent="0.25">
      <c r="A11" s="14" t="s">
        <v>39</v>
      </c>
      <c r="B11" s="14" t="s">
        <v>40</v>
      </c>
      <c r="C11" s="15">
        <v>45623.634027777778</v>
      </c>
      <c r="D11" s="14" t="s">
        <v>41</v>
      </c>
      <c r="E11" s="16" t="s">
        <v>42</v>
      </c>
      <c r="F11" s="14" t="s">
        <v>43</v>
      </c>
      <c r="G11" s="16" t="s">
        <v>42</v>
      </c>
      <c r="H11" s="14" t="s">
        <v>73</v>
      </c>
      <c r="I11" s="16" t="s">
        <v>74</v>
      </c>
      <c r="J11" s="16" t="s">
        <v>75</v>
      </c>
      <c r="K11" s="16" t="s">
        <v>76</v>
      </c>
      <c r="L11" s="14" t="s">
        <v>77</v>
      </c>
      <c r="M11" s="16" t="s">
        <v>74</v>
      </c>
      <c r="N11" s="14" t="s">
        <v>49</v>
      </c>
      <c r="O11" s="16" t="s">
        <v>50</v>
      </c>
      <c r="P11" s="16" t="s">
        <v>50</v>
      </c>
      <c r="Q11" s="16" t="s">
        <v>70</v>
      </c>
      <c r="R11" s="14" t="s">
        <v>71</v>
      </c>
      <c r="S11" s="14" t="s">
        <v>72</v>
      </c>
      <c r="T11" s="14" t="s">
        <v>54</v>
      </c>
      <c r="U11" s="14" t="s">
        <v>55</v>
      </c>
      <c r="V11" s="15">
        <v>45658</v>
      </c>
      <c r="W11" s="15"/>
      <c r="X11" s="16" t="s">
        <v>78</v>
      </c>
      <c r="Y11" s="17" t="s">
        <v>79</v>
      </c>
      <c r="Z11" s="18" t="str">
        <f>VLOOKUP(Y11,'Axe 2 Règles de gestion'!$D$2:$F$7,3, FALSE)</f>
        <v>La date de fin de l'affiliation doit être supérieure ou égale à la date de début de l'affiliation.</v>
      </c>
      <c r="AA11" s="17" t="s">
        <v>57</v>
      </c>
      <c r="AB11" s="18" t="str">
        <f>VLOOKUP(AA11,'Axe 2 Règles de gestion'!$D$2:$F$7,3, FALSE)</f>
        <v>Le statut de l'agent lui permet d'être éligible à l'affiliation (contrôle effectué à la date de début de l'affiliation).</v>
      </c>
      <c r="AC11" s="17" t="s">
        <v>59</v>
      </c>
      <c r="AD11" s="18" t="str">
        <f>VLOOKUP(AC11,'Axe 2 Règles de gestion'!$D$2:$F$7,3, FALSE)</f>
        <v>La position de l'agent ne doit pas entrainer la suspension de l'affiliation (contrôle effectué à la date de début de l'affiliation).</v>
      </c>
      <c r="AE11" s="17" t="s">
        <v>81</v>
      </c>
      <c r="AF11" s="18" t="str">
        <f>VLOOKUP(AE11,'Axe 2 Règles de gestion'!$D$2:$F$7,3, FALSE)</f>
        <v>Si le statut de l'agent n'est plus éligible à la PSC, alors la date de fin d'affiliation doit être égale à la date de début de ce statut - 1 JOUR.</v>
      </c>
      <c r="AG11" s="17" t="s">
        <v>83</v>
      </c>
      <c r="AH11" s="18" t="str">
        <f>VLOOKUP(AG11,'Axe 2 Règles de gestion'!$D$2:$F$7,3, FALSE)</f>
        <v>Si la position de l'agent suspend l'affiliation à la PSC, alors la date de fin d'affiliation doit être égale à la date de début de cette position - 1 JOUR.</v>
      </c>
      <c r="AI11" s="17" t="s">
        <v>85</v>
      </c>
      <c r="AJ11" s="18" t="str">
        <f>VLOOKUP(AI11,'Axe 2 Règles de gestion'!$D$2:$F$7,3, FALSE)</f>
        <v>Si une date de début de dispense a été saisie alors la date de fin d'affiliation doit être égale à la date de début de cette dispense - 1 JOUR.</v>
      </c>
      <c r="AK11" s="14" t="s">
        <v>50</v>
      </c>
      <c r="AL11" s="16" t="s">
        <v>50</v>
      </c>
    </row>
    <row r="12" spans="1:38" x14ac:dyDescent="0.25">
      <c r="A12" s="19"/>
      <c r="B12" s="20"/>
      <c r="C12" s="21"/>
      <c r="D12" s="19"/>
      <c r="E12" s="20"/>
      <c r="F12" s="19"/>
      <c r="G12" s="20"/>
      <c r="H12" s="19"/>
      <c r="I12" s="20"/>
      <c r="J12" s="20" t="s">
        <v>50</v>
      </c>
      <c r="K12" s="20" t="s">
        <v>50</v>
      </c>
      <c r="L12" s="20"/>
      <c r="M12" s="20"/>
      <c r="N12" s="20" t="s">
        <v>50</v>
      </c>
      <c r="O12" s="20" t="s">
        <v>50</v>
      </c>
      <c r="P12" s="20" t="s">
        <v>50</v>
      </c>
      <c r="Q12" s="20"/>
      <c r="R12" s="20"/>
      <c r="T12" s="20"/>
      <c r="U12" s="19"/>
      <c r="V12" s="22"/>
      <c r="W12" s="22"/>
      <c r="X12" s="20"/>
      <c r="AK12" s="25"/>
      <c r="AL12" s="20"/>
    </row>
    <row r="13" spans="1:38" x14ac:dyDescent="0.25">
      <c r="A13" s="19"/>
      <c r="B13" s="20"/>
      <c r="C13" s="21"/>
      <c r="D13" s="19"/>
      <c r="E13" s="20"/>
      <c r="F13" s="19"/>
      <c r="G13" s="20"/>
      <c r="H13" s="19"/>
      <c r="I13" s="20"/>
      <c r="J13" s="20" t="s">
        <v>50</v>
      </c>
      <c r="K13" s="20" t="s">
        <v>50</v>
      </c>
      <c r="L13" s="20"/>
      <c r="M13" s="20"/>
      <c r="N13" s="20" t="s">
        <v>50</v>
      </c>
      <c r="O13" s="20" t="s">
        <v>50</v>
      </c>
      <c r="P13" s="20" t="s">
        <v>50</v>
      </c>
      <c r="Q13" s="20"/>
      <c r="R13" s="20"/>
      <c r="T13" s="20"/>
      <c r="U13" s="19"/>
      <c r="V13" s="22"/>
      <c r="W13" s="22"/>
      <c r="X13" s="20"/>
      <c r="AK13" s="25"/>
      <c r="AL13" s="20"/>
    </row>
    <row r="14" spans="1:38" x14ac:dyDescent="0.25">
      <c r="A14" s="19"/>
      <c r="B14" s="20"/>
      <c r="C14" s="21"/>
      <c r="D14" s="19"/>
      <c r="E14" s="20"/>
      <c r="F14" s="19"/>
      <c r="G14" s="20"/>
      <c r="H14" s="19"/>
      <c r="I14" s="20"/>
      <c r="J14" s="20" t="s">
        <v>50</v>
      </c>
      <c r="K14" s="20" t="s">
        <v>50</v>
      </c>
      <c r="L14" s="20"/>
      <c r="M14" s="20"/>
      <c r="N14" s="20" t="s">
        <v>50</v>
      </c>
      <c r="O14" s="20" t="s">
        <v>50</v>
      </c>
      <c r="P14" s="20" t="s">
        <v>50</v>
      </c>
      <c r="Q14" s="20"/>
      <c r="R14" s="20"/>
      <c r="T14" s="20"/>
      <c r="U14" s="19"/>
      <c r="V14" s="22"/>
      <c r="W14" s="22"/>
      <c r="X14" s="20"/>
      <c r="AK14" s="25"/>
      <c r="AL14" s="20"/>
    </row>
    <row r="15" spans="1:38" x14ac:dyDescent="0.25">
      <c r="A15" s="19"/>
      <c r="B15" s="20"/>
      <c r="C15" s="21"/>
      <c r="D15" s="19"/>
      <c r="E15" s="20"/>
      <c r="F15" s="19"/>
      <c r="G15" s="20"/>
      <c r="H15" s="19"/>
      <c r="I15" s="20"/>
      <c r="J15" s="20" t="s">
        <v>50</v>
      </c>
      <c r="K15" s="20" t="s">
        <v>50</v>
      </c>
      <c r="L15" s="20"/>
      <c r="M15" s="20"/>
      <c r="N15" s="20" t="s">
        <v>50</v>
      </c>
      <c r="O15" s="20" t="s">
        <v>50</v>
      </c>
      <c r="P15" s="20" t="s">
        <v>50</v>
      </c>
      <c r="Q15" s="20"/>
      <c r="R15" s="20"/>
      <c r="T15" s="20"/>
      <c r="U15" s="19"/>
      <c r="V15" s="22"/>
      <c r="W15" s="22"/>
      <c r="X15" s="20"/>
      <c r="AK15" s="25"/>
      <c r="AL15" s="20"/>
    </row>
    <row r="16" spans="1:38" x14ac:dyDescent="0.25">
      <c r="A16" s="19"/>
      <c r="B16" s="20"/>
      <c r="C16" s="21"/>
      <c r="D16" s="19"/>
      <c r="E16" s="20"/>
      <c r="F16" s="19"/>
      <c r="G16" s="20"/>
      <c r="H16" s="19"/>
      <c r="I16" s="20"/>
      <c r="J16" s="20" t="s">
        <v>50</v>
      </c>
      <c r="K16" s="20" t="s">
        <v>50</v>
      </c>
      <c r="L16" s="20"/>
      <c r="M16" s="20"/>
      <c r="N16" s="20" t="s">
        <v>50</v>
      </c>
      <c r="O16" s="20" t="s">
        <v>50</v>
      </c>
      <c r="P16" s="20" t="s">
        <v>50</v>
      </c>
      <c r="Q16" s="20"/>
      <c r="R16" s="20"/>
      <c r="T16" s="20"/>
      <c r="U16" s="19"/>
      <c r="V16" s="22"/>
      <c r="W16" s="22"/>
      <c r="X16" s="20"/>
      <c r="AK16" s="25"/>
      <c r="AL16" s="20"/>
    </row>
    <row r="17" spans="1:38" x14ac:dyDescent="0.25">
      <c r="A17" s="19"/>
      <c r="B17" s="20"/>
      <c r="C17" s="21"/>
      <c r="D17" s="19"/>
      <c r="E17" s="20"/>
      <c r="F17" s="19"/>
      <c r="G17" s="20"/>
      <c r="H17" s="19"/>
      <c r="I17" s="20"/>
      <c r="J17" s="20" t="s">
        <v>50</v>
      </c>
      <c r="K17" s="20" t="s">
        <v>50</v>
      </c>
      <c r="L17" s="20"/>
      <c r="M17" s="20"/>
      <c r="N17" s="20" t="s">
        <v>50</v>
      </c>
      <c r="O17" s="20" t="s">
        <v>50</v>
      </c>
      <c r="P17" s="20" t="s">
        <v>50</v>
      </c>
      <c r="Q17" s="20"/>
      <c r="R17" s="20"/>
      <c r="T17" s="20"/>
      <c r="U17" s="19"/>
      <c r="V17" s="22"/>
      <c r="W17" s="22"/>
      <c r="X17" s="20"/>
      <c r="AK17" s="25"/>
      <c r="AL17" s="20"/>
    </row>
    <row r="18" spans="1:38" x14ac:dyDescent="0.2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50</v>
      </c>
      <c r="K18" s="20" t="s">
        <v>50</v>
      </c>
      <c r="L18" s="20"/>
      <c r="M18" s="20"/>
      <c r="N18" s="20" t="s">
        <v>50</v>
      </c>
      <c r="O18" s="20" t="s">
        <v>50</v>
      </c>
      <c r="P18" s="20" t="s">
        <v>50</v>
      </c>
      <c r="Q18" s="20"/>
      <c r="R18" s="20"/>
      <c r="T18" s="20"/>
      <c r="U18" s="19"/>
      <c r="V18" s="22"/>
      <c r="W18" s="22"/>
      <c r="X18" s="20"/>
      <c r="AK18" s="25"/>
      <c r="AL18" s="20"/>
    </row>
    <row r="19" spans="1:38" x14ac:dyDescent="0.2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50</v>
      </c>
      <c r="K19" s="20" t="s">
        <v>50</v>
      </c>
      <c r="L19" s="20"/>
      <c r="M19" s="20"/>
      <c r="N19" s="20" t="s">
        <v>50</v>
      </c>
      <c r="O19" s="20" t="s">
        <v>50</v>
      </c>
      <c r="P19" s="20" t="s">
        <v>50</v>
      </c>
      <c r="Q19" s="20"/>
      <c r="R19" s="20"/>
      <c r="T19" s="20"/>
      <c r="U19" s="19"/>
      <c r="V19" s="22"/>
      <c r="W19" s="22"/>
      <c r="X19" s="20"/>
      <c r="AK19" s="25"/>
      <c r="AL19" s="20"/>
    </row>
  </sheetData>
  <autoFilter ref="A1:OJ1" xr:uid="{3F986B3C-1928-41BD-82E1-DB010EAB4C2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C03D6-E28F-455E-B622-DA26C5A3F156}">
  <dimension ref="A1:Z19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13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1" width="13.7109375" style="13" customWidth="1"/>
    <col min="22" max="23" width="12.7109375" style="13" customWidth="1"/>
    <col min="24" max="24" width="40.7109375" style="24" customWidth="1"/>
    <col min="25" max="25" width="9.7109375" style="23" customWidth="1"/>
    <col min="26" max="26" width="15.7109375" style="24" customWidth="1"/>
    <col min="27" max="16384" width="11.42578125" style="13"/>
  </cols>
  <sheetData>
    <row r="1" spans="1:26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87</v>
      </c>
      <c r="Y1" s="10" t="s">
        <v>37</v>
      </c>
      <c r="Z1" s="10" t="s">
        <v>38</v>
      </c>
    </row>
    <row r="2" spans="1:26" ht="75" x14ac:dyDescent="0.25">
      <c r="A2" s="14" t="s">
        <v>39</v>
      </c>
      <c r="B2" s="14" t="s">
        <v>40</v>
      </c>
      <c r="C2" s="15">
        <v>45623.629861111112</v>
      </c>
      <c r="D2" s="14" t="s">
        <v>41</v>
      </c>
      <c r="E2" s="16" t="s">
        <v>42</v>
      </c>
      <c r="F2" s="14" t="s">
        <v>43</v>
      </c>
      <c r="G2" s="16" t="s">
        <v>42</v>
      </c>
      <c r="H2" s="14" t="s">
        <v>44</v>
      </c>
      <c r="I2" s="16" t="s">
        <v>45</v>
      </c>
      <c r="J2" s="16" t="s">
        <v>46</v>
      </c>
      <c r="K2" s="16" t="s">
        <v>47</v>
      </c>
      <c r="L2" s="14" t="s">
        <v>48</v>
      </c>
      <c r="M2" s="16" t="s">
        <v>45</v>
      </c>
      <c r="N2" s="14" t="s">
        <v>49</v>
      </c>
      <c r="O2" s="16" t="s">
        <v>50</v>
      </c>
      <c r="P2" s="16" t="s">
        <v>50</v>
      </c>
      <c r="Q2" s="16" t="s">
        <v>51</v>
      </c>
      <c r="R2" s="14" t="s">
        <v>52</v>
      </c>
      <c r="S2" s="14" t="s">
        <v>53</v>
      </c>
      <c r="T2" s="14" t="s">
        <v>54</v>
      </c>
      <c r="U2" s="14" t="s">
        <v>55</v>
      </c>
      <c r="V2" s="15">
        <v>45658</v>
      </c>
      <c r="W2" s="15"/>
      <c r="X2" s="16" t="s">
        <v>50</v>
      </c>
      <c r="Y2" s="14" t="s">
        <v>50</v>
      </c>
      <c r="Z2" s="16" t="s">
        <v>50</v>
      </c>
    </row>
    <row r="3" spans="1:26" ht="75" x14ac:dyDescent="0.25">
      <c r="A3" s="14" t="s">
        <v>39</v>
      </c>
      <c r="B3" s="14" t="s">
        <v>40</v>
      </c>
      <c r="C3" s="15">
        <v>45623.632638888892</v>
      </c>
      <c r="D3" s="14" t="s">
        <v>41</v>
      </c>
      <c r="E3" s="16" t="s">
        <v>42</v>
      </c>
      <c r="F3" s="14" t="s">
        <v>43</v>
      </c>
      <c r="G3" s="16" t="s">
        <v>42</v>
      </c>
      <c r="H3" s="14" t="s">
        <v>44</v>
      </c>
      <c r="I3" s="16" t="s">
        <v>45</v>
      </c>
      <c r="J3" s="16" t="s">
        <v>46</v>
      </c>
      <c r="K3" s="16" t="s">
        <v>47</v>
      </c>
      <c r="L3" s="14" t="s">
        <v>48</v>
      </c>
      <c r="M3" s="16" t="s">
        <v>45</v>
      </c>
      <c r="N3" s="14" t="s">
        <v>49</v>
      </c>
      <c r="O3" s="16" t="s">
        <v>50</v>
      </c>
      <c r="P3" s="16" t="s">
        <v>50</v>
      </c>
      <c r="Q3" s="16" t="s">
        <v>61</v>
      </c>
      <c r="R3" s="14" t="s">
        <v>62</v>
      </c>
      <c r="S3" s="14" t="s">
        <v>63</v>
      </c>
      <c r="T3" s="14" t="s">
        <v>54</v>
      </c>
      <c r="U3" s="14" t="s">
        <v>55</v>
      </c>
      <c r="V3" s="15">
        <v>45658</v>
      </c>
      <c r="W3" s="15"/>
      <c r="X3" s="16" t="s">
        <v>50</v>
      </c>
      <c r="Y3" s="14" t="s">
        <v>50</v>
      </c>
      <c r="Z3" s="16" t="s">
        <v>50</v>
      </c>
    </row>
    <row r="4" spans="1:26" ht="75" x14ac:dyDescent="0.25">
      <c r="A4" s="14" t="s">
        <v>39</v>
      </c>
      <c r="B4" s="14" t="s">
        <v>40</v>
      </c>
      <c r="C4" s="15">
        <v>45623.631944444445</v>
      </c>
      <c r="D4" s="14" t="s">
        <v>41</v>
      </c>
      <c r="E4" s="16" t="s">
        <v>42</v>
      </c>
      <c r="F4" s="14" t="s">
        <v>43</v>
      </c>
      <c r="G4" s="16" t="s">
        <v>42</v>
      </c>
      <c r="H4" s="14" t="s">
        <v>44</v>
      </c>
      <c r="I4" s="16" t="s">
        <v>45</v>
      </c>
      <c r="J4" s="16" t="s">
        <v>46</v>
      </c>
      <c r="K4" s="16" t="s">
        <v>47</v>
      </c>
      <c r="L4" s="14" t="s">
        <v>48</v>
      </c>
      <c r="M4" s="16" t="s">
        <v>45</v>
      </c>
      <c r="N4" s="14" t="s">
        <v>49</v>
      </c>
      <c r="O4" s="16" t="s">
        <v>50</v>
      </c>
      <c r="P4" s="16" t="s">
        <v>50</v>
      </c>
      <c r="Q4" s="16" t="s">
        <v>64</v>
      </c>
      <c r="R4" s="14" t="s">
        <v>65</v>
      </c>
      <c r="S4" s="14" t="s">
        <v>66</v>
      </c>
      <c r="T4" s="14" t="s">
        <v>54</v>
      </c>
      <c r="U4" s="14" t="s">
        <v>55</v>
      </c>
      <c r="V4" s="15">
        <v>45658</v>
      </c>
      <c r="W4" s="15"/>
      <c r="X4" s="16" t="s">
        <v>50</v>
      </c>
      <c r="Y4" s="14" t="s">
        <v>50</v>
      </c>
      <c r="Z4" s="16" t="s">
        <v>50</v>
      </c>
    </row>
    <row r="5" spans="1:26" ht="75" x14ac:dyDescent="0.25">
      <c r="A5" s="14" t="s">
        <v>39</v>
      </c>
      <c r="B5" s="14" t="s">
        <v>40</v>
      </c>
      <c r="C5" s="15">
        <v>45623.631249999999</v>
      </c>
      <c r="D5" s="14" t="s">
        <v>41</v>
      </c>
      <c r="E5" s="16" t="s">
        <v>42</v>
      </c>
      <c r="F5" s="14" t="s">
        <v>43</v>
      </c>
      <c r="G5" s="16" t="s">
        <v>42</v>
      </c>
      <c r="H5" s="14" t="s">
        <v>44</v>
      </c>
      <c r="I5" s="16" t="s">
        <v>45</v>
      </c>
      <c r="J5" s="16" t="s">
        <v>46</v>
      </c>
      <c r="K5" s="16" t="s">
        <v>47</v>
      </c>
      <c r="L5" s="14" t="s">
        <v>48</v>
      </c>
      <c r="M5" s="16" t="s">
        <v>45</v>
      </c>
      <c r="N5" s="14" t="s">
        <v>49</v>
      </c>
      <c r="O5" s="16" t="s">
        <v>50</v>
      </c>
      <c r="P5" s="16" t="s">
        <v>50</v>
      </c>
      <c r="Q5" s="16" t="s">
        <v>67</v>
      </c>
      <c r="R5" s="14" t="s">
        <v>68</v>
      </c>
      <c r="S5" s="14" t="s">
        <v>69</v>
      </c>
      <c r="T5" s="14" t="s">
        <v>54</v>
      </c>
      <c r="U5" s="14" t="s">
        <v>55</v>
      </c>
      <c r="V5" s="15">
        <v>45658</v>
      </c>
      <c r="W5" s="15"/>
      <c r="X5" s="16" t="s">
        <v>50</v>
      </c>
      <c r="Y5" s="14" t="s">
        <v>50</v>
      </c>
      <c r="Z5" s="16" t="s">
        <v>50</v>
      </c>
    </row>
    <row r="6" spans="1:26" ht="75" x14ac:dyDescent="0.25">
      <c r="A6" s="14" t="s">
        <v>39</v>
      </c>
      <c r="B6" s="14" t="s">
        <v>40</v>
      </c>
      <c r="C6" s="15">
        <v>45623.632638888892</v>
      </c>
      <c r="D6" s="14" t="s">
        <v>41</v>
      </c>
      <c r="E6" s="16" t="s">
        <v>42</v>
      </c>
      <c r="F6" s="14" t="s">
        <v>43</v>
      </c>
      <c r="G6" s="16" t="s">
        <v>42</v>
      </c>
      <c r="H6" s="14" t="s">
        <v>44</v>
      </c>
      <c r="I6" s="16" t="s">
        <v>45</v>
      </c>
      <c r="J6" s="16" t="s">
        <v>46</v>
      </c>
      <c r="K6" s="16" t="s">
        <v>47</v>
      </c>
      <c r="L6" s="14" t="s">
        <v>48</v>
      </c>
      <c r="M6" s="16" t="s">
        <v>45</v>
      </c>
      <c r="N6" s="14" t="s">
        <v>49</v>
      </c>
      <c r="O6" s="16" t="s">
        <v>50</v>
      </c>
      <c r="P6" s="16" t="s">
        <v>50</v>
      </c>
      <c r="Q6" s="16" t="s">
        <v>70</v>
      </c>
      <c r="R6" s="14" t="s">
        <v>71</v>
      </c>
      <c r="S6" s="14" t="s">
        <v>72</v>
      </c>
      <c r="T6" s="14" t="s">
        <v>54</v>
      </c>
      <c r="U6" s="14" t="s">
        <v>55</v>
      </c>
      <c r="V6" s="15">
        <v>45658</v>
      </c>
      <c r="W6" s="15"/>
      <c r="X6" s="16" t="s">
        <v>50</v>
      </c>
      <c r="Y6" s="14" t="s">
        <v>50</v>
      </c>
      <c r="Z6" s="16" t="s">
        <v>50</v>
      </c>
    </row>
    <row r="7" spans="1:26" ht="45" x14ac:dyDescent="0.25">
      <c r="A7" s="14" t="s">
        <v>39</v>
      </c>
      <c r="B7" s="14" t="s">
        <v>40</v>
      </c>
      <c r="C7" s="15">
        <v>45623.633333333331</v>
      </c>
      <c r="D7" s="14" t="s">
        <v>41</v>
      </c>
      <c r="E7" s="16" t="s">
        <v>42</v>
      </c>
      <c r="F7" s="14" t="s">
        <v>43</v>
      </c>
      <c r="G7" s="16" t="s">
        <v>42</v>
      </c>
      <c r="H7" s="14" t="s">
        <v>73</v>
      </c>
      <c r="I7" s="16" t="s">
        <v>74</v>
      </c>
      <c r="J7" s="16" t="s">
        <v>75</v>
      </c>
      <c r="K7" s="16" t="s">
        <v>76</v>
      </c>
      <c r="L7" s="14" t="s">
        <v>77</v>
      </c>
      <c r="M7" s="16" t="s">
        <v>74</v>
      </c>
      <c r="N7" s="14" t="s">
        <v>49</v>
      </c>
      <c r="O7" s="16" t="s">
        <v>50</v>
      </c>
      <c r="P7" s="16" t="s">
        <v>50</v>
      </c>
      <c r="Q7" s="16" t="s">
        <v>51</v>
      </c>
      <c r="R7" s="14" t="s">
        <v>52</v>
      </c>
      <c r="S7" s="14" t="s">
        <v>53</v>
      </c>
      <c r="T7" s="14" t="s">
        <v>54</v>
      </c>
      <c r="U7" s="14" t="s">
        <v>55</v>
      </c>
      <c r="V7" s="15">
        <v>45658</v>
      </c>
      <c r="W7" s="15"/>
      <c r="X7" s="16" t="s">
        <v>50</v>
      </c>
      <c r="Y7" s="14" t="s">
        <v>50</v>
      </c>
      <c r="Z7" s="16" t="s">
        <v>50</v>
      </c>
    </row>
    <row r="8" spans="1:26" ht="45" x14ac:dyDescent="0.25">
      <c r="A8" s="14" t="s">
        <v>39</v>
      </c>
      <c r="B8" s="14" t="s">
        <v>40</v>
      </c>
      <c r="C8" s="15">
        <v>45623.634722222225</v>
      </c>
      <c r="D8" s="14" t="s">
        <v>41</v>
      </c>
      <c r="E8" s="16" t="s">
        <v>42</v>
      </c>
      <c r="F8" s="14" t="s">
        <v>43</v>
      </c>
      <c r="G8" s="16" t="s">
        <v>42</v>
      </c>
      <c r="H8" s="14" t="s">
        <v>73</v>
      </c>
      <c r="I8" s="16" t="s">
        <v>74</v>
      </c>
      <c r="J8" s="16" t="s">
        <v>75</v>
      </c>
      <c r="K8" s="16" t="s">
        <v>76</v>
      </c>
      <c r="L8" s="14" t="s">
        <v>77</v>
      </c>
      <c r="M8" s="16" t="s">
        <v>74</v>
      </c>
      <c r="N8" s="14" t="s">
        <v>49</v>
      </c>
      <c r="O8" s="16" t="s">
        <v>50</v>
      </c>
      <c r="P8" s="16" t="s">
        <v>50</v>
      </c>
      <c r="Q8" s="16" t="s">
        <v>61</v>
      </c>
      <c r="R8" s="14" t="s">
        <v>62</v>
      </c>
      <c r="S8" s="14" t="s">
        <v>63</v>
      </c>
      <c r="T8" s="14" t="s">
        <v>54</v>
      </c>
      <c r="U8" s="14" t="s">
        <v>55</v>
      </c>
      <c r="V8" s="15">
        <v>45658</v>
      </c>
      <c r="W8" s="15"/>
      <c r="X8" s="16" t="s">
        <v>50</v>
      </c>
      <c r="Y8" s="14" t="s">
        <v>50</v>
      </c>
      <c r="Z8" s="16" t="s">
        <v>50</v>
      </c>
    </row>
    <row r="9" spans="1:26" ht="45" x14ac:dyDescent="0.25">
      <c r="A9" s="14" t="s">
        <v>39</v>
      </c>
      <c r="B9" s="14" t="s">
        <v>40</v>
      </c>
      <c r="C9" s="15">
        <v>45623.634027777778</v>
      </c>
      <c r="D9" s="14" t="s">
        <v>41</v>
      </c>
      <c r="E9" s="16" t="s">
        <v>42</v>
      </c>
      <c r="F9" s="14" t="s">
        <v>43</v>
      </c>
      <c r="G9" s="16" t="s">
        <v>42</v>
      </c>
      <c r="H9" s="14" t="s">
        <v>73</v>
      </c>
      <c r="I9" s="16" t="s">
        <v>74</v>
      </c>
      <c r="J9" s="16" t="s">
        <v>75</v>
      </c>
      <c r="K9" s="16" t="s">
        <v>76</v>
      </c>
      <c r="L9" s="14" t="s">
        <v>77</v>
      </c>
      <c r="M9" s="16" t="s">
        <v>74</v>
      </c>
      <c r="N9" s="14" t="s">
        <v>49</v>
      </c>
      <c r="O9" s="16" t="s">
        <v>50</v>
      </c>
      <c r="P9" s="16" t="s">
        <v>50</v>
      </c>
      <c r="Q9" s="16" t="s">
        <v>64</v>
      </c>
      <c r="R9" s="14" t="s">
        <v>65</v>
      </c>
      <c r="S9" s="14" t="s">
        <v>66</v>
      </c>
      <c r="T9" s="14" t="s">
        <v>54</v>
      </c>
      <c r="U9" s="14" t="s">
        <v>55</v>
      </c>
      <c r="V9" s="15">
        <v>45658</v>
      </c>
      <c r="W9" s="15"/>
      <c r="X9" s="16" t="s">
        <v>50</v>
      </c>
      <c r="Y9" s="14" t="s">
        <v>50</v>
      </c>
      <c r="Z9" s="16" t="s">
        <v>50</v>
      </c>
    </row>
    <row r="10" spans="1:26" ht="45" x14ac:dyDescent="0.25">
      <c r="A10" s="14" t="s">
        <v>39</v>
      </c>
      <c r="B10" s="14" t="s">
        <v>40</v>
      </c>
      <c r="C10" s="15">
        <v>45623.634027777778</v>
      </c>
      <c r="D10" s="14" t="s">
        <v>41</v>
      </c>
      <c r="E10" s="16" t="s">
        <v>42</v>
      </c>
      <c r="F10" s="14" t="s">
        <v>43</v>
      </c>
      <c r="G10" s="16" t="s">
        <v>42</v>
      </c>
      <c r="H10" s="14" t="s">
        <v>73</v>
      </c>
      <c r="I10" s="16" t="s">
        <v>74</v>
      </c>
      <c r="J10" s="16" t="s">
        <v>75</v>
      </c>
      <c r="K10" s="16" t="s">
        <v>76</v>
      </c>
      <c r="L10" s="14" t="s">
        <v>77</v>
      </c>
      <c r="M10" s="16" t="s">
        <v>74</v>
      </c>
      <c r="N10" s="14" t="s">
        <v>49</v>
      </c>
      <c r="O10" s="16" t="s">
        <v>50</v>
      </c>
      <c r="P10" s="16" t="s">
        <v>50</v>
      </c>
      <c r="Q10" s="16" t="s">
        <v>67</v>
      </c>
      <c r="R10" s="14" t="s">
        <v>68</v>
      </c>
      <c r="S10" s="14" t="s">
        <v>69</v>
      </c>
      <c r="T10" s="14" t="s">
        <v>54</v>
      </c>
      <c r="U10" s="14" t="s">
        <v>55</v>
      </c>
      <c r="V10" s="15">
        <v>45658</v>
      </c>
      <c r="W10" s="15"/>
      <c r="X10" s="16" t="s">
        <v>50</v>
      </c>
      <c r="Y10" s="14" t="s">
        <v>50</v>
      </c>
      <c r="Z10" s="16" t="s">
        <v>50</v>
      </c>
    </row>
    <row r="11" spans="1:26" ht="45" x14ac:dyDescent="0.25">
      <c r="A11" s="14" t="s">
        <v>39</v>
      </c>
      <c r="B11" s="14" t="s">
        <v>40</v>
      </c>
      <c r="C11" s="15">
        <v>45623.634027777778</v>
      </c>
      <c r="D11" s="14" t="s">
        <v>41</v>
      </c>
      <c r="E11" s="16" t="s">
        <v>42</v>
      </c>
      <c r="F11" s="14" t="s">
        <v>43</v>
      </c>
      <c r="G11" s="16" t="s">
        <v>42</v>
      </c>
      <c r="H11" s="14" t="s">
        <v>73</v>
      </c>
      <c r="I11" s="16" t="s">
        <v>74</v>
      </c>
      <c r="J11" s="16" t="s">
        <v>75</v>
      </c>
      <c r="K11" s="16" t="s">
        <v>76</v>
      </c>
      <c r="L11" s="14" t="s">
        <v>77</v>
      </c>
      <c r="M11" s="16" t="s">
        <v>74</v>
      </c>
      <c r="N11" s="14" t="s">
        <v>49</v>
      </c>
      <c r="O11" s="16" t="s">
        <v>50</v>
      </c>
      <c r="P11" s="16" t="s">
        <v>50</v>
      </c>
      <c r="Q11" s="16" t="s">
        <v>70</v>
      </c>
      <c r="R11" s="14" t="s">
        <v>71</v>
      </c>
      <c r="S11" s="14" t="s">
        <v>72</v>
      </c>
      <c r="T11" s="14" t="s">
        <v>54</v>
      </c>
      <c r="U11" s="14" t="s">
        <v>55</v>
      </c>
      <c r="V11" s="15">
        <v>45658</v>
      </c>
      <c r="W11" s="15"/>
      <c r="X11" s="16" t="s">
        <v>50</v>
      </c>
      <c r="Y11" s="14" t="s">
        <v>50</v>
      </c>
      <c r="Z11" s="16" t="s">
        <v>50</v>
      </c>
    </row>
    <row r="12" spans="1:26" x14ac:dyDescent="0.25">
      <c r="A12" s="19"/>
      <c r="B12" s="20"/>
      <c r="C12" s="21"/>
      <c r="D12" s="19"/>
      <c r="E12" s="20"/>
      <c r="F12" s="19"/>
      <c r="G12" s="20"/>
      <c r="H12" s="19"/>
      <c r="I12" s="20"/>
      <c r="J12" s="20" t="s">
        <v>50</v>
      </c>
      <c r="K12" s="20" t="s">
        <v>50</v>
      </c>
      <c r="L12" s="20"/>
      <c r="M12" s="20"/>
      <c r="N12" s="20" t="s">
        <v>50</v>
      </c>
      <c r="O12" s="20" t="s">
        <v>50</v>
      </c>
      <c r="P12" s="20" t="s">
        <v>50</v>
      </c>
      <c r="Q12" s="20"/>
      <c r="R12" s="20"/>
      <c r="S12" s="19"/>
      <c r="T12" s="20"/>
      <c r="U12" s="19"/>
      <c r="V12" s="22"/>
      <c r="W12" s="22"/>
      <c r="X12" s="20"/>
      <c r="Y12" s="25"/>
      <c r="Z12" s="20"/>
    </row>
    <row r="13" spans="1:26" x14ac:dyDescent="0.25">
      <c r="A13" s="19"/>
      <c r="B13" s="20"/>
      <c r="C13" s="21"/>
      <c r="D13" s="19"/>
      <c r="E13" s="20"/>
      <c r="F13" s="19"/>
      <c r="G13" s="20"/>
      <c r="H13" s="19"/>
      <c r="I13" s="20"/>
      <c r="J13" s="20" t="s">
        <v>50</v>
      </c>
      <c r="K13" s="20" t="s">
        <v>50</v>
      </c>
      <c r="L13" s="20"/>
      <c r="M13" s="20"/>
      <c r="N13" s="20" t="s">
        <v>50</v>
      </c>
      <c r="O13" s="20" t="s">
        <v>50</v>
      </c>
      <c r="P13" s="20" t="s">
        <v>50</v>
      </c>
      <c r="Q13" s="20"/>
      <c r="R13" s="20"/>
      <c r="S13" s="19"/>
      <c r="T13" s="20"/>
      <c r="U13" s="19"/>
      <c r="V13" s="22"/>
      <c r="W13" s="22"/>
      <c r="X13" s="20"/>
      <c r="Y13" s="25"/>
      <c r="Z13" s="20"/>
    </row>
    <row r="14" spans="1:26" x14ac:dyDescent="0.25">
      <c r="A14" s="19"/>
      <c r="B14" s="20"/>
      <c r="C14" s="21"/>
      <c r="D14" s="19"/>
      <c r="E14" s="20"/>
      <c r="F14" s="19"/>
      <c r="G14" s="20"/>
      <c r="H14" s="19"/>
      <c r="I14" s="20"/>
      <c r="J14" s="20" t="s">
        <v>50</v>
      </c>
      <c r="K14" s="20" t="s">
        <v>50</v>
      </c>
      <c r="L14" s="20"/>
      <c r="M14" s="20"/>
      <c r="N14" s="20" t="s">
        <v>50</v>
      </c>
      <c r="O14" s="20" t="s">
        <v>50</v>
      </c>
      <c r="P14" s="20" t="s">
        <v>50</v>
      </c>
      <c r="Q14" s="20"/>
      <c r="R14" s="20"/>
      <c r="S14" s="19"/>
      <c r="T14" s="20"/>
      <c r="U14" s="19"/>
      <c r="V14" s="22"/>
      <c r="W14" s="22"/>
      <c r="X14" s="20"/>
      <c r="Y14" s="25"/>
      <c r="Z14" s="20"/>
    </row>
    <row r="15" spans="1:26" x14ac:dyDescent="0.25">
      <c r="A15" s="19"/>
      <c r="B15" s="20"/>
      <c r="C15" s="21"/>
      <c r="D15" s="19"/>
      <c r="E15" s="20"/>
      <c r="F15" s="19"/>
      <c r="G15" s="20"/>
      <c r="H15" s="19"/>
      <c r="I15" s="20"/>
      <c r="J15" s="20" t="s">
        <v>50</v>
      </c>
      <c r="K15" s="20" t="s">
        <v>50</v>
      </c>
      <c r="L15" s="20"/>
      <c r="M15" s="20"/>
      <c r="N15" s="20" t="s">
        <v>50</v>
      </c>
      <c r="O15" s="20" t="s">
        <v>50</v>
      </c>
      <c r="P15" s="20" t="s">
        <v>50</v>
      </c>
      <c r="Q15" s="20"/>
      <c r="R15" s="20"/>
      <c r="S15" s="19"/>
      <c r="T15" s="20"/>
      <c r="U15" s="19"/>
      <c r="V15" s="22"/>
      <c r="W15" s="22"/>
      <c r="X15" s="20"/>
      <c r="Y15" s="25"/>
      <c r="Z15" s="20"/>
    </row>
    <row r="16" spans="1:26" x14ac:dyDescent="0.25">
      <c r="A16" s="19"/>
      <c r="B16" s="20"/>
      <c r="C16" s="21"/>
      <c r="D16" s="19"/>
      <c r="E16" s="20"/>
      <c r="F16" s="19"/>
      <c r="G16" s="20"/>
      <c r="H16" s="19"/>
      <c r="I16" s="20"/>
      <c r="J16" s="20" t="s">
        <v>50</v>
      </c>
      <c r="K16" s="20" t="s">
        <v>50</v>
      </c>
      <c r="L16" s="20"/>
      <c r="M16" s="20"/>
      <c r="N16" s="20" t="s">
        <v>50</v>
      </c>
      <c r="O16" s="20" t="s">
        <v>50</v>
      </c>
      <c r="P16" s="20" t="s">
        <v>50</v>
      </c>
      <c r="Q16" s="20"/>
      <c r="R16" s="20"/>
      <c r="S16" s="19"/>
      <c r="T16" s="20"/>
      <c r="U16" s="19"/>
      <c r="V16" s="22"/>
      <c r="W16" s="22"/>
      <c r="X16" s="20"/>
      <c r="Y16" s="25"/>
      <c r="Z16" s="20"/>
    </row>
    <row r="17" spans="1:26" x14ac:dyDescent="0.25">
      <c r="A17" s="19"/>
      <c r="B17" s="20"/>
      <c r="C17" s="21"/>
      <c r="D17" s="19"/>
      <c r="E17" s="20"/>
      <c r="F17" s="19"/>
      <c r="G17" s="20"/>
      <c r="H17" s="19"/>
      <c r="I17" s="20"/>
      <c r="J17" s="20" t="s">
        <v>50</v>
      </c>
      <c r="K17" s="20" t="s">
        <v>50</v>
      </c>
      <c r="L17" s="20"/>
      <c r="M17" s="20"/>
      <c r="N17" s="20" t="s">
        <v>50</v>
      </c>
      <c r="O17" s="20" t="s">
        <v>50</v>
      </c>
      <c r="P17" s="20" t="s">
        <v>50</v>
      </c>
      <c r="Q17" s="20"/>
      <c r="R17" s="20"/>
      <c r="S17" s="19"/>
      <c r="T17" s="20"/>
      <c r="U17" s="19"/>
      <c r="V17" s="22"/>
      <c r="W17" s="22"/>
      <c r="X17" s="20"/>
      <c r="Y17" s="25"/>
      <c r="Z17" s="20"/>
    </row>
    <row r="18" spans="1:26" x14ac:dyDescent="0.2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50</v>
      </c>
      <c r="K18" s="20" t="s">
        <v>50</v>
      </c>
      <c r="L18" s="20"/>
      <c r="M18" s="20"/>
      <c r="N18" s="20" t="s">
        <v>50</v>
      </c>
      <c r="O18" s="20" t="s">
        <v>50</v>
      </c>
      <c r="P18" s="20" t="s">
        <v>50</v>
      </c>
      <c r="Q18" s="20"/>
      <c r="R18" s="20"/>
      <c r="S18" s="19"/>
      <c r="T18" s="20"/>
      <c r="U18" s="19"/>
      <c r="V18" s="22"/>
      <c r="W18" s="22"/>
      <c r="X18" s="20"/>
      <c r="Y18" s="25"/>
      <c r="Z18" s="20"/>
    </row>
    <row r="19" spans="1:26" x14ac:dyDescent="0.2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50</v>
      </c>
      <c r="K19" s="20" t="s">
        <v>50</v>
      </c>
      <c r="L19" s="20"/>
      <c r="M19" s="20"/>
      <c r="N19" s="20" t="s">
        <v>50</v>
      </c>
      <c r="O19" s="20" t="s">
        <v>50</v>
      </c>
      <c r="P19" s="20" t="s">
        <v>50</v>
      </c>
      <c r="Q19" s="20"/>
      <c r="R19" s="20"/>
      <c r="S19" s="19"/>
      <c r="T19" s="20"/>
      <c r="U19" s="19"/>
      <c r="V19" s="22"/>
      <c r="W19" s="22"/>
      <c r="X19" s="20"/>
      <c r="Y19" s="25"/>
      <c r="Z19" s="20"/>
    </row>
  </sheetData>
  <autoFilter ref="A1:OJ1" xr:uid="{775C03D6-E28F-455E-B622-DA26C5A3F15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ADF0-E984-4406-8772-1DD12EBD718F}">
  <dimension ref="A1:AO11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4" customWidth="1"/>
    <col min="6" max="6" width="13.7109375" style="13" customWidth="1"/>
    <col min="7" max="7" width="25.7109375" style="24" customWidth="1"/>
    <col min="8" max="8" width="13.7109375" style="13" customWidth="1"/>
    <col min="9" max="11" width="25.7109375" style="24" customWidth="1"/>
    <col min="12" max="12" width="8.7109375" style="13" customWidth="1"/>
    <col min="13" max="13" width="25.7109375" style="24" customWidth="1"/>
    <col min="14" max="14" width="13.7109375" style="13" customWidth="1"/>
    <col min="15" max="16" width="30.7109375" style="24" customWidth="1"/>
    <col min="17" max="17" width="25.7109375" style="24" customWidth="1"/>
    <col min="18" max="20" width="13.7109375" style="13" customWidth="1"/>
    <col min="21" max="22" width="12.7109375" style="13" customWidth="1"/>
    <col min="23" max="24" width="25.7109375" style="24" customWidth="1"/>
    <col min="25" max="25" width="15.7109375" style="13" customWidth="1"/>
    <col min="26" max="28" width="25.7109375" style="24" customWidth="1"/>
    <col min="29" max="29" width="15.7109375" style="13" customWidth="1"/>
    <col min="30" max="32" width="25.7109375" style="24" customWidth="1"/>
    <col min="33" max="33" width="15.7109375" style="13" customWidth="1"/>
    <col min="34" max="36" width="25.7109375" style="24" customWidth="1"/>
    <col min="37" max="37" width="15.7109375" style="13" customWidth="1"/>
    <col min="38" max="38" width="25.7109375" style="24" customWidth="1"/>
    <col min="39" max="39" width="40.7109375" style="24" customWidth="1"/>
    <col min="40" max="40" width="9.7109375" style="13" customWidth="1"/>
    <col min="41" max="41" width="15.7109375" style="13" customWidth="1"/>
    <col min="42" max="16384" width="11.42578125" style="13"/>
  </cols>
  <sheetData>
    <row r="1" spans="1:41" ht="60" x14ac:dyDescent="0.2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88</v>
      </c>
      <c r="X1" s="10" t="s">
        <v>89</v>
      </c>
      <c r="Y1" s="10" t="s">
        <v>90</v>
      </c>
      <c r="Z1" s="10" t="s">
        <v>91</v>
      </c>
      <c r="AA1" s="10" t="s">
        <v>92</v>
      </c>
      <c r="AB1" s="10" t="s">
        <v>93</v>
      </c>
      <c r="AC1" s="10" t="s">
        <v>94</v>
      </c>
      <c r="AD1" s="10" t="s">
        <v>95</v>
      </c>
      <c r="AE1" s="10" t="s">
        <v>96</v>
      </c>
      <c r="AF1" s="10" t="s">
        <v>97</v>
      </c>
      <c r="AG1" s="10" t="s">
        <v>98</v>
      </c>
      <c r="AH1" s="10" t="s">
        <v>99</v>
      </c>
      <c r="AI1" s="10" t="s">
        <v>100</v>
      </c>
      <c r="AJ1" s="10" t="s">
        <v>101</v>
      </c>
      <c r="AK1" s="10" t="s">
        <v>102</v>
      </c>
      <c r="AL1" s="10" t="s">
        <v>103</v>
      </c>
      <c r="AM1" s="10" t="s">
        <v>104</v>
      </c>
      <c r="AN1" s="10" t="s">
        <v>37</v>
      </c>
      <c r="AO1" s="10" t="s">
        <v>38</v>
      </c>
    </row>
    <row r="2" spans="1:41" ht="75" x14ac:dyDescent="0.25">
      <c r="A2" s="14" t="s">
        <v>39</v>
      </c>
      <c r="B2" s="14" t="s">
        <v>40</v>
      </c>
      <c r="C2" s="15">
        <v>45623.629861111112</v>
      </c>
      <c r="D2" s="14" t="s">
        <v>41</v>
      </c>
      <c r="E2" s="16" t="s">
        <v>42</v>
      </c>
      <c r="F2" s="14" t="s">
        <v>43</v>
      </c>
      <c r="G2" s="16" t="s">
        <v>42</v>
      </c>
      <c r="H2" s="14" t="s">
        <v>44</v>
      </c>
      <c r="I2" s="16" t="s">
        <v>45</v>
      </c>
      <c r="J2" s="16" t="s">
        <v>46</v>
      </c>
      <c r="K2" s="16" t="s">
        <v>47</v>
      </c>
      <c r="L2" s="14" t="s">
        <v>48</v>
      </c>
      <c r="M2" s="16" t="s">
        <v>45</v>
      </c>
      <c r="N2" s="14" t="s">
        <v>49</v>
      </c>
      <c r="O2" s="16" t="s">
        <v>50</v>
      </c>
      <c r="P2" s="16" t="s">
        <v>50</v>
      </c>
      <c r="Q2" s="16" t="s">
        <v>51</v>
      </c>
      <c r="R2" s="14" t="s">
        <v>52</v>
      </c>
      <c r="S2" s="14" t="s">
        <v>54</v>
      </c>
      <c r="T2" s="14" t="s">
        <v>55</v>
      </c>
      <c r="U2" s="15">
        <v>45658</v>
      </c>
      <c r="V2" s="15"/>
      <c r="W2" s="16"/>
      <c r="X2" s="16" t="s">
        <v>50</v>
      </c>
      <c r="Y2" s="14" t="s">
        <v>50</v>
      </c>
      <c r="Z2" s="16" t="s">
        <v>50</v>
      </c>
      <c r="AA2" s="16" t="s">
        <v>50</v>
      </c>
      <c r="AB2" s="16" t="s">
        <v>50</v>
      </c>
      <c r="AC2" s="14" t="s">
        <v>50</v>
      </c>
      <c r="AD2" s="16" t="s">
        <v>50</v>
      </c>
      <c r="AE2" s="16" t="s">
        <v>50</v>
      </c>
      <c r="AF2" s="16" t="s">
        <v>50</v>
      </c>
      <c r="AG2" s="14" t="s">
        <v>50</v>
      </c>
      <c r="AH2" s="16" t="s">
        <v>50</v>
      </c>
      <c r="AI2" s="16" t="s">
        <v>50</v>
      </c>
      <c r="AJ2" s="16" t="s">
        <v>50</v>
      </c>
      <c r="AK2" s="14" t="s">
        <v>50</v>
      </c>
      <c r="AL2" s="16" t="s">
        <v>50</v>
      </c>
      <c r="AM2" s="16" t="s">
        <v>50</v>
      </c>
      <c r="AN2" s="14" t="s">
        <v>50</v>
      </c>
      <c r="AO2" s="14" t="s">
        <v>50</v>
      </c>
    </row>
    <row r="3" spans="1:41" ht="75" x14ac:dyDescent="0.25">
      <c r="A3" s="14" t="s">
        <v>39</v>
      </c>
      <c r="B3" s="14" t="s">
        <v>40</v>
      </c>
      <c r="C3" s="15">
        <v>45623.632638888892</v>
      </c>
      <c r="D3" s="14" t="s">
        <v>41</v>
      </c>
      <c r="E3" s="16" t="s">
        <v>42</v>
      </c>
      <c r="F3" s="14" t="s">
        <v>43</v>
      </c>
      <c r="G3" s="16" t="s">
        <v>42</v>
      </c>
      <c r="H3" s="14" t="s">
        <v>44</v>
      </c>
      <c r="I3" s="16" t="s">
        <v>45</v>
      </c>
      <c r="J3" s="16" t="s">
        <v>46</v>
      </c>
      <c r="K3" s="16" t="s">
        <v>47</v>
      </c>
      <c r="L3" s="14" t="s">
        <v>48</v>
      </c>
      <c r="M3" s="16" t="s">
        <v>45</v>
      </c>
      <c r="N3" s="14" t="s">
        <v>49</v>
      </c>
      <c r="O3" s="16" t="s">
        <v>50</v>
      </c>
      <c r="P3" s="16" t="s">
        <v>50</v>
      </c>
      <c r="Q3" s="16" t="s">
        <v>61</v>
      </c>
      <c r="R3" s="14" t="s">
        <v>62</v>
      </c>
      <c r="S3" s="14" t="s">
        <v>54</v>
      </c>
      <c r="T3" s="14" t="s">
        <v>55</v>
      </c>
      <c r="U3" s="15">
        <v>45658</v>
      </c>
      <c r="V3" s="15"/>
      <c r="W3" s="16"/>
      <c r="X3" s="16" t="s">
        <v>50</v>
      </c>
      <c r="Y3" s="14" t="s">
        <v>50</v>
      </c>
      <c r="Z3" s="16" t="s">
        <v>50</v>
      </c>
      <c r="AA3" s="16" t="s">
        <v>50</v>
      </c>
      <c r="AB3" s="16" t="s">
        <v>50</v>
      </c>
      <c r="AC3" s="14" t="s">
        <v>50</v>
      </c>
      <c r="AD3" s="16" t="s">
        <v>50</v>
      </c>
      <c r="AE3" s="16" t="s">
        <v>50</v>
      </c>
      <c r="AF3" s="16" t="s">
        <v>50</v>
      </c>
      <c r="AG3" s="14" t="s">
        <v>50</v>
      </c>
      <c r="AH3" s="16" t="s">
        <v>50</v>
      </c>
      <c r="AI3" s="16" t="s">
        <v>50</v>
      </c>
      <c r="AJ3" s="16" t="s">
        <v>50</v>
      </c>
      <c r="AK3" s="14" t="s">
        <v>50</v>
      </c>
      <c r="AL3" s="16" t="s">
        <v>50</v>
      </c>
      <c r="AM3" s="16" t="s">
        <v>50</v>
      </c>
      <c r="AN3" s="14" t="s">
        <v>50</v>
      </c>
      <c r="AO3" s="14" t="s">
        <v>50</v>
      </c>
    </row>
    <row r="4" spans="1:41" ht="75" x14ac:dyDescent="0.25">
      <c r="A4" s="14" t="s">
        <v>39</v>
      </c>
      <c r="B4" s="14" t="s">
        <v>40</v>
      </c>
      <c r="C4" s="15">
        <v>45623.631944444445</v>
      </c>
      <c r="D4" s="14" t="s">
        <v>41</v>
      </c>
      <c r="E4" s="16" t="s">
        <v>42</v>
      </c>
      <c r="F4" s="14" t="s">
        <v>43</v>
      </c>
      <c r="G4" s="16" t="s">
        <v>42</v>
      </c>
      <c r="H4" s="14" t="s">
        <v>44</v>
      </c>
      <c r="I4" s="16" t="s">
        <v>45</v>
      </c>
      <c r="J4" s="16" t="s">
        <v>46</v>
      </c>
      <c r="K4" s="16" t="s">
        <v>47</v>
      </c>
      <c r="L4" s="14" t="s">
        <v>48</v>
      </c>
      <c r="M4" s="16" t="s">
        <v>45</v>
      </c>
      <c r="N4" s="14" t="s">
        <v>49</v>
      </c>
      <c r="O4" s="16" t="s">
        <v>50</v>
      </c>
      <c r="P4" s="16" t="s">
        <v>50</v>
      </c>
      <c r="Q4" s="16" t="s">
        <v>64</v>
      </c>
      <c r="R4" s="14" t="s">
        <v>65</v>
      </c>
      <c r="S4" s="14" t="s">
        <v>54</v>
      </c>
      <c r="T4" s="14" t="s">
        <v>55</v>
      </c>
      <c r="U4" s="15">
        <v>45658</v>
      </c>
      <c r="V4" s="15"/>
      <c r="W4" s="16"/>
      <c r="X4" s="16" t="s">
        <v>50</v>
      </c>
      <c r="Y4" s="14" t="s">
        <v>50</v>
      </c>
      <c r="Z4" s="16" t="s">
        <v>50</v>
      </c>
      <c r="AA4" s="16" t="s">
        <v>50</v>
      </c>
      <c r="AB4" s="16" t="s">
        <v>50</v>
      </c>
      <c r="AC4" s="14" t="s">
        <v>50</v>
      </c>
      <c r="AD4" s="16" t="s">
        <v>50</v>
      </c>
      <c r="AE4" s="16" t="s">
        <v>50</v>
      </c>
      <c r="AF4" s="16" t="s">
        <v>50</v>
      </c>
      <c r="AG4" s="14" t="s">
        <v>50</v>
      </c>
      <c r="AH4" s="16" t="s">
        <v>50</v>
      </c>
      <c r="AI4" s="16" t="s">
        <v>50</v>
      </c>
      <c r="AJ4" s="16" t="s">
        <v>50</v>
      </c>
      <c r="AK4" s="14" t="s">
        <v>50</v>
      </c>
      <c r="AL4" s="16" t="s">
        <v>50</v>
      </c>
      <c r="AM4" s="16" t="s">
        <v>50</v>
      </c>
      <c r="AN4" s="14" t="s">
        <v>50</v>
      </c>
      <c r="AO4" s="14" t="s">
        <v>50</v>
      </c>
    </row>
    <row r="5" spans="1:41" ht="75" x14ac:dyDescent="0.25">
      <c r="A5" s="14" t="s">
        <v>39</v>
      </c>
      <c r="B5" s="14" t="s">
        <v>40</v>
      </c>
      <c r="C5" s="15">
        <v>45623.631249999999</v>
      </c>
      <c r="D5" s="14" t="s">
        <v>41</v>
      </c>
      <c r="E5" s="16" t="s">
        <v>42</v>
      </c>
      <c r="F5" s="14" t="s">
        <v>43</v>
      </c>
      <c r="G5" s="16" t="s">
        <v>42</v>
      </c>
      <c r="H5" s="14" t="s">
        <v>44</v>
      </c>
      <c r="I5" s="16" t="s">
        <v>45</v>
      </c>
      <c r="J5" s="16" t="s">
        <v>46</v>
      </c>
      <c r="K5" s="16" t="s">
        <v>47</v>
      </c>
      <c r="L5" s="14" t="s">
        <v>48</v>
      </c>
      <c r="M5" s="16" t="s">
        <v>45</v>
      </c>
      <c r="N5" s="14" t="s">
        <v>49</v>
      </c>
      <c r="O5" s="16" t="s">
        <v>50</v>
      </c>
      <c r="P5" s="16" t="s">
        <v>50</v>
      </c>
      <c r="Q5" s="16" t="s">
        <v>67</v>
      </c>
      <c r="R5" s="14" t="s">
        <v>68</v>
      </c>
      <c r="S5" s="14" t="s">
        <v>54</v>
      </c>
      <c r="T5" s="14" t="s">
        <v>55</v>
      </c>
      <c r="U5" s="15">
        <v>45658</v>
      </c>
      <c r="V5" s="15"/>
      <c r="W5" s="16"/>
      <c r="X5" s="16" t="s">
        <v>50</v>
      </c>
      <c r="Y5" s="14" t="s">
        <v>50</v>
      </c>
      <c r="Z5" s="16" t="s">
        <v>50</v>
      </c>
      <c r="AA5" s="16" t="s">
        <v>50</v>
      </c>
      <c r="AB5" s="16" t="s">
        <v>50</v>
      </c>
      <c r="AC5" s="14" t="s">
        <v>50</v>
      </c>
      <c r="AD5" s="16" t="s">
        <v>50</v>
      </c>
      <c r="AE5" s="16" t="s">
        <v>50</v>
      </c>
      <c r="AF5" s="16" t="s">
        <v>50</v>
      </c>
      <c r="AG5" s="14" t="s">
        <v>50</v>
      </c>
      <c r="AH5" s="16" t="s">
        <v>50</v>
      </c>
      <c r="AI5" s="16" t="s">
        <v>50</v>
      </c>
      <c r="AJ5" s="16" t="s">
        <v>50</v>
      </c>
      <c r="AK5" s="14" t="s">
        <v>50</v>
      </c>
      <c r="AL5" s="16" t="s">
        <v>50</v>
      </c>
      <c r="AM5" s="16" t="s">
        <v>50</v>
      </c>
      <c r="AN5" s="14" t="s">
        <v>50</v>
      </c>
      <c r="AO5" s="14" t="s">
        <v>50</v>
      </c>
    </row>
    <row r="6" spans="1:41" ht="75" x14ac:dyDescent="0.25">
      <c r="A6" s="14" t="s">
        <v>39</v>
      </c>
      <c r="B6" s="14" t="s">
        <v>40</v>
      </c>
      <c r="C6" s="15">
        <v>45623.632638888892</v>
      </c>
      <c r="D6" s="14" t="s">
        <v>41</v>
      </c>
      <c r="E6" s="16" t="s">
        <v>42</v>
      </c>
      <c r="F6" s="14" t="s">
        <v>43</v>
      </c>
      <c r="G6" s="16" t="s">
        <v>42</v>
      </c>
      <c r="H6" s="14" t="s">
        <v>44</v>
      </c>
      <c r="I6" s="16" t="s">
        <v>45</v>
      </c>
      <c r="J6" s="16" t="s">
        <v>46</v>
      </c>
      <c r="K6" s="16" t="s">
        <v>47</v>
      </c>
      <c r="L6" s="14" t="s">
        <v>48</v>
      </c>
      <c r="M6" s="16" t="s">
        <v>45</v>
      </c>
      <c r="N6" s="14" t="s">
        <v>49</v>
      </c>
      <c r="O6" s="16" t="s">
        <v>50</v>
      </c>
      <c r="P6" s="16" t="s">
        <v>50</v>
      </c>
      <c r="Q6" s="16" t="s">
        <v>70</v>
      </c>
      <c r="R6" s="14" t="s">
        <v>71</v>
      </c>
      <c r="S6" s="14" t="s">
        <v>54</v>
      </c>
      <c r="T6" s="14" t="s">
        <v>55</v>
      </c>
      <c r="U6" s="15">
        <v>45658</v>
      </c>
      <c r="V6" s="15"/>
      <c r="W6" s="16"/>
      <c r="X6" s="16" t="s">
        <v>50</v>
      </c>
      <c r="Y6" s="14" t="s">
        <v>50</v>
      </c>
      <c r="Z6" s="16" t="s">
        <v>50</v>
      </c>
      <c r="AA6" s="16" t="s">
        <v>50</v>
      </c>
      <c r="AB6" s="16" t="s">
        <v>50</v>
      </c>
      <c r="AC6" s="14" t="s">
        <v>50</v>
      </c>
      <c r="AD6" s="16" t="s">
        <v>50</v>
      </c>
      <c r="AE6" s="16" t="s">
        <v>50</v>
      </c>
      <c r="AF6" s="16" t="s">
        <v>50</v>
      </c>
      <c r="AG6" s="14" t="s">
        <v>50</v>
      </c>
      <c r="AH6" s="16" t="s">
        <v>50</v>
      </c>
      <c r="AI6" s="16" t="s">
        <v>50</v>
      </c>
      <c r="AJ6" s="16" t="s">
        <v>50</v>
      </c>
      <c r="AK6" s="14" t="s">
        <v>50</v>
      </c>
      <c r="AL6" s="16" t="s">
        <v>50</v>
      </c>
      <c r="AM6" s="16" t="s">
        <v>50</v>
      </c>
      <c r="AN6" s="14" t="s">
        <v>50</v>
      </c>
      <c r="AO6" s="14" t="s">
        <v>50</v>
      </c>
    </row>
    <row r="7" spans="1:41" ht="45" x14ac:dyDescent="0.25">
      <c r="A7" s="14" t="s">
        <v>39</v>
      </c>
      <c r="B7" s="14" t="s">
        <v>40</v>
      </c>
      <c r="C7" s="15">
        <v>45623.633333333331</v>
      </c>
      <c r="D7" s="14" t="s">
        <v>41</v>
      </c>
      <c r="E7" s="16" t="s">
        <v>42</v>
      </c>
      <c r="F7" s="14" t="s">
        <v>43</v>
      </c>
      <c r="G7" s="16" t="s">
        <v>42</v>
      </c>
      <c r="H7" s="14" t="s">
        <v>73</v>
      </c>
      <c r="I7" s="16" t="s">
        <v>74</v>
      </c>
      <c r="J7" s="16" t="s">
        <v>75</v>
      </c>
      <c r="K7" s="16" t="s">
        <v>76</v>
      </c>
      <c r="L7" s="14" t="s">
        <v>77</v>
      </c>
      <c r="M7" s="16" t="s">
        <v>74</v>
      </c>
      <c r="N7" s="14" t="s">
        <v>49</v>
      </c>
      <c r="O7" s="16" t="s">
        <v>50</v>
      </c>
      <c r="P7" s="16" t="s">
        <v>50</v>
      </c>
      <c r="Q7" s="16" t="s">
        <v>51</v>
      </c>
      <c r="R7" s="14" t="s">
        <v>52</v>
      </c>
      <c r="S7" s="14" t="s">
        <v>54</v>
      </c>
      <c r="T7" s="14" t="s">
        <v>55</v>
      </c>
      <c r="U7" s="15">
        <v>45658</v>
      </c>
      <c r="V7" s="15"/>
      <c r="W7" s="16"/>
      <c r="X7" s="16" t="s">
        <v>50</v>
      </c>
      <c r="Y7" s="14" t="s">
        <v>50</v>
      </c>
      <c r="Z7" s="16" t="s">
        <v>50</v>
      </c>
      <c r="AA7" s="16" t="s">
        <v>50</v>
      </c>
      <c r="AB7" s="16" t="s">
        <v>50</v>
      </c>
      <c r="AC7" s="14" t="s">
        <v>50</v>
      </c>
      <c r="AD7" s="16" t="s">
        <v>50</v>
      </c>
      <c r="AE7" s="16" t="s">
        <v>50</v>
      </c>
      <c r="AF7" s="16" t="s">
        <v>50</v>
      </c>
      <c r="AG7" s="14" t="s">
        <v>50</v>
      </c>
      <c r="AH7" s="16" t="s">
        <v>50</v>
      </c>
      <c r="AI7" s="16" t="s">
        <v>50</v>
      </c>
      <c r="AJ7" s="16" t="s">
        <v>50</v>
      </c>
      <c r="AK7" s="14" t="s">
        <v>50</v>
      </c>
      <c r="AL7" s="16" t="s">
        <v>50</v>
      </c>
      <c r="AM7" s="16" t="s">
        <v>50</v>
      </c>
      <c r="AN7" s="14" t="s">
        <v>50</v>
      </c>
      <c r="AO7" s="14" t="s">
        <v>50</v>
      </c>
    </row>
    <row r="8" spans="1:41" ht="45" x14ac:dyDescent="0.25">
      <c r="A8" s="14" t="s">
        <v>39</v>
      </c>
      <c r="B8" s="14" t="s">
        <v>40</v>
      </c>
      <c r="C8" s="15">
        <v>45623.634722222225</v>
      </c>
      <c r="D8" s="14" t="s">
        <v>41</v>
      </c>
      <c r="E8" s="16" t="s">
        <v>42</v>
      </c>
      <c r="F8" s="14" t="s">
        <v>43</v>
      </c>
      <c r="G8" s="16" t="s">
        <v>42</v>
      </c>
      <c r="H8" s="14" t="s">
        <v>73</v>
      </c>
      <c r="I8" s="16" t="s">
        <v>74</v>
      </c>
      <c r="J8" s="16" t="s">
        <v>75</v>
      </c>
      <c r="K8" s="16" t="s">
        <v>76</v>
      </c>
      <c r="L8" s="14" t="s">
        <v>77</v>
      </c>
      <c r="M8" s="16" t="s">
        <v>74</v>
      </c>
      <c r="N8" s="14" t="s">
        <v>49</v>
      </c>
      <c r="O8" s="16" t="s">
        <v>50</v>
      </c>
      <c r="P8" s="16" t="s">
        <v>50</v>
      </c>
      <c r="Q8" s="16" t="s">
        <v>61</v>
      </c>
      <c r="R8" s="14" t="s">
        <v>62</v>
      </c>
      <c r="S8" s="14" t="s">
        <v>54</v>
      </c>
      <c r="T8" s="14" t="s">
        <v>55</v>
      </c>
      <c r="U8" s="15">
        <v>45658</v>
      </c>
      <c r="V8" s="15"/>
      <c r="W8" s="16"/>
      <c r="X8" s="16" t="s">
        <v>50</v>
      </c>
      <c r="Y8" s="14" t="s">
        <v>50</v>
      </c>
      <c r="Z8" s="16" t="s">
        <v>50</v>
      </c>
      <c r="AA8" s="16" t="s">
        <v>50</v>
      </c>
      <c r="AB8" s="16" t="s">
        <v>50</v>
      </c>
      <c r="AC8" s="14" t="s">
        <v>50</v>
      </c>
      <c r="AD8" s="16" t="s">
        <v>50</v>
      </c>
      <c r="AE8" s="16" t="s">
        <v>50</v>
      </c>
      <c r="AF8" s="16" t="s">
        <v>50</v>
      </c>
      <c r="AG8" s="14" t="s">
        <v>50</v>
      </c>
      <c r="AH8" s="16" t="s">
        <v>50</v>
      </c>
      <c r="AI8" s="16" t="s">
        <v>50</v>
      </c>
      <c r="AJ8" s="16" t="s">
        <v>50</v>
      </c>
      <c r="AK8" s="14" t="s">
        <v>50</v>
      </c>
      <c r="AL8" s="16" t="s">
        <v>50</v>
      </c>
      <c r="AM8" s="16" t="s">
        <v>50</v>
      </c>
      <c r="AN8" s="14" t="s">
        <v>50</v>
      </c>
      <c r="AO8" s="14" t="s">
        <v>50</v>
      </c>
    </row>
    <row r="9" spans="1:41" ht="45" x14ac:dyDescent="0.25">
      <c r="A9" s="14" t="s">
        <v>39</v>
      </c>
      <c r="B9" s="14" t="s">
        <v>40</v>
      </c>
      <c r="C9" s="15">
        <v>45623.634027777778</v>
      </c>
      <c r="D9" s="14" t="s">
        <v>41</v>
      </c>
      <c r="E9" s="16" t="s">
        <v>42</v>
      </c>
      <c r="F9" s="14" t="s">
        <v>43</v>
      </c>
      <c r="G9" s="16" t="s">
        <v>42</v>
      </c>
      <c r="H9" s="14" t="s">
        <v>73</v>
      </c>
      <c r="I9" s="16" t="s">
        <v>74</v>
      </c>
      <c r="J9" s="16" t="s">
        <v>75</v>
      </c>
      <c r="K9" s="16" t="s">
        <v>76</v>
      </c>
      <c r="L9" s="14" t="s">
        <v>77</v>
      </c>
      <c r="M9" s="16" t="s">
        <v>74</v>
      </c>
      <c r="N9" s="14" t="s">
        <v>49</v>
      </c>
      <c r="O9" s="16" t="s">
        <v>50</v>
      </c>
      <c r="P9" s="16" t="s">
        <v>50</v>
      </c>
      <c r="Q9" s="16" t="s">
        <v>64</v>
      </c>
      <c r="R9" s="14" t="s">
        <v>65</v>
      </c>
      <c r="S9" s="14" t="s">
        <v>54</v>
      </c>
      <c r="T9" s="14" t="s">
        <v>55</v>
      </c>
      <c r="U9" s="15">
        <v>45658</v>
      </c>
      <c r="V9" s="15"/>
      <c r="W9" s="16"/>
      <c r="X9" s="16" t="s">
        <v>50</v>
      </c>
      <c r="Y9" s="14" t="s">
        <v>50</v>
      </c>
      <c r="Z9" s="16" t="s">
        <v>50</v>
      </c>
      <c r="AA9" s="16" t="s">
        <v>50</v>
      </c>
      <c r="AB9" s="16" t="s">
        <v>50</v>
      </c>
      <c r="AC9" s="14" t="s">
        <v>50</v>
      </c>
      <c r="AD9" s="16" t="s">
        <v>50</v>
      </c>
      <c r="AE9" s="16" t="s">
        <v>50</v>
      </c>
      <c r="AF9" s="16" t="s">
        <v>50</v>
      </c>
      <c r="AG9" s="14" t="s">
        <v>50</v>
      </c>
      <c r="AH9" s="16" t="s">
        <v>50</v>
      </c>
      <c r="AI9" s="16" t="s">
        <v>50</v>
      </c>
      <c r="AJ9" s="16" t="s">
        <v>50</v>
      </c>
      <c r="AK9" s="14" t="s">
        <v>50</v>
      </c>
      <c r="AL9" s="16" t="s">
        <v>50</v>
      </c>
      <c r="AM9" s="16" t="s">
        <v>50</v>
      </c>
      <c r="AN9" s="14" t="s">
        <v>50</v>
      </c>
      <c r="AO9" s="14" t="s">
        <v>50</v>
      </c>
    </row>
    <row r="10" spans="1:41" ht="45" x14ac:dyDescent="0.25">
      <c r="A10" s="14" t="s">
        <v>39</v>
      </c>
      <c r="B10" s="14" t="s">
        <v>40</v>
      </c>
      <c r="C10" s="15">
        <v>45623.634027777778</v>
      </c>
      <c r="D10" s="14" t="s">
        <v>41</v>
      </c>
      <c r="E10" s="16" t="s">
        <v>42</v>
      </c>
      <c r="F10" s="14" t="s">
        <v>43</v>
      </c>
      <c r="G10" s="16" t="s">
        <v>42</v>
      </c>
      <c r="H10" s="14" t="s">
        <v>73</v>
      </c>
      <c r="I10" s="16" t="s">
        <v>74</v>
      </c>
      <c r="J10" s="16" t="s">
        <v>75</v>
      </c>
      <c r="K10" s="16" t="s">
        <v>76</v>
      </c>
      <c r="L10" s="14" t="s">
        <v>77</v>
      </c>
      <c r="M10" s="16" t="s">
        <v>74</v>
      </c>
      <c r="N10" s="14" t="s">
        <v>49</v>
      </c>
      <c r="O10" s="16" t="s">
        <v>50</v>
      </c>
      <c r="P10" s="16" t="s">
        <v>50</v>
      </c>
      <c r="Q10" s="16" t="s">
        <v>67</v>
      </c>
      <c r="R10" s="14" t="s">
        <v>68</v>
      </c>
      <c r="S10" s="14" t="s">
        <v>54</v>
      </c>
      <c r="T10" s="14" t="s">
        <v>55</v>
      </c>
      <c r="U10" s="15">
        <v>45658</v>
      </c>
      <c r="V10" s="15"/>
      <c r="W10" s="16"/>
      <c r="X10" s="16" t="s">
        <v>50</v>
      </c>
      <c r="Y10" s="14" t="s">
        <v>50</v>
      </c>
      <c r="Z10" s="16" t="s">
        <v>50</v>
      </c>
      <c r="AA10" s="16" t="s">
        <v>50</v>
      </c>
      <c r="AB10" s="16" t="s">
        <v>50</v>
      </c>
      <c r="AC10" s="14" t="s">
        <v>50</v>
      </c>
      <c r="AD10" s="16" t="s">
        <v>50</v>
      </c>
      <c r="AE10" s="16" t="s">
        <v>50</v>
      </c>
      <c r="AF10" s="16" t="s">
        <v>50</v>
      </c>
      <c r="AG10" s="14" t="s">
        <v>50</v>
      </c>
      <c r="AH10" s="16" t="s">
        <v>50</v>
      </c>
      <c r="AI10" s="16" t="s">
        <v>50</v>
      </c>
      <c r="AJ10" s="16" t="s">
        <v>50</v>
      </c>
      <c r="AK10" s="14" t="s">
        <v>50</v>
      </c>
      <c r="AL10" s="16" t="s">
        <v>50</v>
      </c>
      <c r="AM10" s="16" t="s">
        <v>50</v>
      </c>
      <c r="AN10" s="14" t="s">
        <v>50</v>
      </c>
      <c r="AO10" s="14" t="s">
        <v>50</v>
      </c>
    </row>
    <row r="11" spans="1:41" ht="45" x14ac:dyDescent="0.25">
      <c r="A11" s="14" t="s">
        <v>39</v>
      </c>
      <c r="B11" s="14" t="s">
        <v>40</v>
      </c>
      <c r="C11" s="15">
        <v>45623.634027777778</v>
      </c>
      <c r="D11" s="14" t="s">
        <v>41</v>
      </c>
      <c r="E11" s="16" t="s">
        <v>42</v>
      </c>
      <c r="F11" s="14" t="s">
        <v>43</v>
      </c>
      <c r="G11" s="16" t="s">
        <v>42</v>
      </c>
      <c r="H11" s="14" t="s">
        <v>73</v>
      </c>
      <c r="I11" s="16" t="s">
        <v>74</v>
      </c>
      <c r="J11" s="16" t="s">
        <v>75</v>
      </c>
      <c r="K11" s="16" t="s">
        <v>76</v>
      </c>
      <c r="L11" s="14" t="s">
        <v>77</v>
      </c>
      <c r="M11" s="16" t="s">
        <v>74</v>
      </c>
      <c r="N11" s="14" t="s">
        <v>49</v>
      </c>
      <c r="O11" s="16" t="s">
        <v>50</v>
      </c>
      <c r="P11" s="16" t="s">
        <v>50</v>
      </c>
      <c r="Q11" s="16" t="s">
        <v>70</v>
      </c>
      <c r="R11" s="14" t="s">
        <v>71</v>
      </c>
      <c r="S11" s="14" t="s">
        <v>54</v>
      </c>
      <c r="T11" s="14" t="s">
        <v>55</v>
      </c>
      <c r="U11" s="15">
        <v>45658</v>
      </c>
      <c r="V11" s="15"/>
      <c r="W11" s="16"/>
      <c r="X11" s="16" t="s">
        <v>50</v>
      </c>
      <c r="Y11" s="14" t="s">
        <v>50</v>
      </c>
      <c r="Z11" s="16" t="s">
        <v>50</v>
      </c>
      <c r="AA11" s="16" t="s">
        <v>50</v>
      </c>
      <c r="AB11" s="16" t="s">
        <v>50</v>
      </c>
      <c r="AC11" s="14" t="s">
        <v>50</v>
      </c>
      <c r="AD11" s="16" t="s">
        <v>50</v>
      </c>
      <c r="AE11" s="16" t="s">
        <v>50</v>
      </c>
      <c r="AF11" s="16" t="s">
        <v>50</v>
      </c>
      <c r="AG11" s="14" t="s">
        <v>50</v>
      </c>
      <c r="AH11" s="16" t="s">
        <v>50</v>
      </c>
      <c r="AI11" s="16" t="s">
        <v>50</v>
      </c>
      <c r="AJ11" s="16" t="s">
        <v>50</v>
      </c>
      <c r="AK11" s="14" t="s">
        <v>50</v>
      </c>
      <c r="AL11" s="16" t="s">
        <v>50</v>
      </c>
      <c r="AM11" s="16" t="s">
        <v>50</v>
      </c>
      <c r="AN11" s="14" t="s">
        <v>50</v>
      </c>
      <c r="AO11" s="14" t="s">
        <v>50</v>
      </c>
    </row>
  </sheetData>
  <autoFilter ref="A1:AS1" xr:uid="{7855ADF0-E984-4406-8772-1DD12EBD718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B053-A9E6-419C-9EC1-5D4BD86C1213}">
  <dimension ref="A1:V15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4" width="12.7109375" style="13" customWidth="1"/>
    <col min="5" max="5" width="14.7109375" style="13" customWidth="1"/>
    <col min="6" max="6" width="40.7109375" style="24" customWidth="1"/>
    <col min="7" max="7" width="25.7109375" style="13" customWidth="1"/>
    <col min="8" max="9" width="12.7109375" style="13" customWidth="1"/>
    <col min="10" max="11" width="40.7109375" style="24" customWidth="1"/>
    <col min="12" max="12" width="14.7109375" style="13" customWidth="1"/>
    <col min="13" max="13" width="25.7109375" style="24" customWidth="1"/>
    <col min="14" max="18" width="25.7109375" style="13" customWidth="1"/>
    <col min="19" max="19" width="9.7109375" style="13" customWidth="1"/>
    <col min="20" max="21" width="15.7109375" style="13" customWidth="1"/>
    <col min="22" max="22" width="40.7109375" style="24" customWidth="1"/>
    <col min="23" max="16384" width="11.42578125" style="13"/>
  </cols>
  <sheetData>
    <row r="1" spans="1:22" ht="60" x14ac:dyDescent="0.25">
      <c r="A1" s="10" t="s">
        <v>2</v>
      </c>
      <c r="B1" s="10" t="s">
        <v>3</v>
      </c>
      <c r="C1" s="11" t="s">
        <v>4</v>
      </c>
      <c r="D1" s="10" t="s">
        <v>105</v>
      </c>
      <c r="E1" s="10" t="s">
        <v>106</v>
      </c>
      <c r="F1" s="10" t="s">
        <v>107</v>
      </c>
      <c r="G1" s="10" t="s">
        <v>108</v>
      </c>
      <c r="H1" s="11" t="s">
        <v>22</v>
      </c>
      <c r="I1" s="11" t="s">
        <v>23</v>
      </c>
      <c r="J1" s="10" t="s">
        <v>109</v>
      </c>
      <c r="K1" s="10" t="s">
        <v>110</v>
      </c>
      <c r="L1" s="10" t="s">
        <v>111</v>
      </c>
      <c r="M1" s="10" t="s">
        <v>104</v>
      </c>
      <c r="N1" s="10" t="s">
        <v>112</v>
      </c>
      <c r="O1" s="12" t="s">
        <v>113</v>
      </c>
      <c r="P1" s="12" t="s">
        <v>114</v>
      </c>
      <c r="Q1" s="12" t="s">
        <v>115</v>
      </c>
      <c r="R1" s="12" t="s">
        <v>116</v>
      </c>
      <c r="S1" s="10" t="s">
        <v>37</v>
      </c>
      <c r="T1" s="10" t="s">
        <v>38</v>
      </c>
      <c r="U1" s="10" t="s">
        <v>117</v>
      </c>
      <c r="V1" s="10" t="s">
        <v>118</v>
      </c>
    </row>
    <row r="2" spans="1:22" ht="45" x14ac:dyDescent="0.25">
      <c r="A2" s="14" t="s">
        <v>39</v>
      </c>
      <c r="B2" s="14" t="s">
        <v>40</v>
      </c>
      <c r="C2" s="15">
        <v>45623.613194444442</v>
      </c>
      <c r="D2" s="14" t="s">
        <v>79</v>
      </c>
      <c r="E2" s="14" t="s">
        <v>119</v>
      </c>
      <c r="F2" s="16" t="s">
        <v>80</v>
      </c>
      <c r="G2" s="14" t="s">
        <v>50</v>
      </c>
      <c r="H2" s="15">
        <v>45658</v>
      </c>
      <c r="I2" s="15"/>
      <c r="J2" s="16" t="s">
        <v>50</v>
      </c>
      <c r="K2" s="16" t="s">
        <v>120</v>
      </c>
      <c r="L2" s="14" t="s">
        <v>121</v>
      </c>
      <c r="M2" s="16" t="s">
        <v>50</v>
      </c>
      <c r="N2" s="14" t="s">
        <v>50</v>
      </c>
      <c r="O2" s="17"/>
      <c r="P2" s="17" t="s">
        <v>122</v>
      </c>
      <c r="Q2" s="17"/>
      <c r="R2" s="17"/>
      <c r="S2" s="14" t="s">
        <v>50</v>
      </c>
      <c r="T2" s="14" t="s">
        <v>50</v>
      </c>
      <c r="U2" s="14" t="s">
        <v>50</v>
      </c>
      <c r="V2" s="16" t="s">
        <v>50</v>
      </c>
    </row>
    <row r="3" spans="1:22" ht="60" x14ac:dyDescent="0.25">
      <c r="A3" s="14" t="s">
        <v>39</v>
      </c>
      <c r="B3" s="14" t="s">
        <v>40</v>
      </c>
      <c r="C3" s="15">
        <v>45623.616666666669</v>
      </c>
      <c r="D3" s="14" t="s">
        <v>57</v>
      </c>
      <c r="E3" s="14" t="s">
        <v>119</v>
      </c>
      <c r="F3" s="16" t="s">
        <v>58</v>
      </c>
      <c r="G3" s="14" t="s">
        <v>50</v>
      </c>
      <c r="H3" s="15">
        <v>45658</v>
      </c>
      <c r="I3" s="15"/>
      <c r="J3" s="16" t="s">
        <v>50</v>
      </c>
      <c r="K3" s="16" t="s">
        <v>123</v>
      </c>
      <c r="L3" s="14" t="s">
        <v>121</v>
      </c>
      <c r="M3" s="16" t="s">
        <v>50</v>
      </c>
      <c r="N3" s="14" t="s">
        <v>50</v>
      </c>
      <c r="O3" s="17"/>
      <c r="P3" s="17" t="s">
        <v>124</v>
      </c>
      <c r="Q3" s="17"/>
      <c r="R3" s="17"/>
      <c r="S3" s="14" t="s">
        <v>50</v>
      </c>
      <c r="T3" s="14" t="s">
        <v>50</v>
      </c>
      <c r="U3" s="14" t="s">
        <v>50</v>
      </c>
      <c r="V3" s="16" t="s">
        <v>50</v>
      </c>
    </row>
    <row r="4" spans="1:22" ht="60" x14ac:dyDescent="0.25">
      <c r="A4" s="14" t="s">
        <v>39</v>
      </c>
      <c r="B4" s="14" t="s">
        <v>40</v>
      </c>
      <c r="C4" s="15">
        <v>45623.617361111108</v>
      </c>
      <c r="D4" s="14" t="s">
        <v>59</v>
      </c>
      <c r="E4" s="14" t="s">
        <v>119</v>
      </c>
      <c r="F4" s="16" t="s">
        <v>60</v>
      </c>
      <c r="G4" s="14" t="s">
        <v>50</v>
      </c>
      <c r="H4" s="15">
        <v>45658</v>
      </c>
      <c r="I4" s="15"/>
      <c r="J4" s="16" t="s">
        <v>50</v>
      </c>
      <c r="K4" s="16" t="s">
        <v>125</v>
      </c>
      <c r="L4" s="14" t="s">
        <v>121</v>
      </c>
      <c r="M4" s="16" t="s">
        <v>50</v>
      </c>
      <c r="N4" s="14" t="s">
        <v>50</v>
      </c>
      <c r="O4" s="17"/>
      <c r="P4" s="17" t="s">
        <v>124</v>
      </c>
      <c r="Q4" s="17"/>
      <c r="R4" s="17"/>
      <c r="S4" s="14" t="s">
        <v>50</v>
      </c>
      <c r="T4" s="14" t="s">
        <v>50</v>
      </c>
      <c r="U4" s="14" t="s">
        <v>50</v>
      </c>
      <c r="V4" s="16" t="s">
        <v>50</v>
      </c>
    </row>
    <row r="5" spans="1:22" ht="60" x14ac:dyDescent="0.25">
      <c r="A5" s="14" t="s">
        <v>39</v>
      </c>
      <c r="B5" s="14" t="s">
        <v>40</v>
      </c>
      <c r="C5" s="15">
        <v>45623.644444444442</v>
      </c>
      <c r="D5" s="14" t="s">
        <v>81</v>
      </c>
      <c r="E5" s="14" t="s">
        <v>119</v>
      </c>
      <c r="F5" s="16" t="s">
        <v>82</v>
      </c>
      <c r="G5" s="14" t="s">
        <v>50</v>
      </c>
      <c r="H5" s="15">
        <v>45658</v>
      </c>
      <c r="I5" s="15"/>
      <c r="J5" s="16" t="s">
        <v>126</v>
      </c>
      <c r="K5" s="16" t="s">
        <v>127</v>
      </c>
      <c r="L5" s="14" t="s">
        <v>121</v>
      </c>
      <c r="M5" s="16" t="s">
        <v>50</v>
      </c>
      <c r="N5" s="14" t="s">
        <v>50</v>
      </c>
      <c r="O5" s="17"/>
      <c r="P5" s="17" t="s">
        <v>128</v>
      </c>
      <c r="Q5" s="17"/>
      <c r="R5" s="17"/>
      <c r="S5" s="14" t="s">
        <v>50</v>
      </c>
      <c r="T5" s="14" t="s">
        <v>50</v>
      </c>
      <c r="U5" s="14" t="s">
        <v>50</v>
      </c>
      <c r="V5" s="16" t="s">
        <v>50</v>
      </c>
    </row>
    <row r="6" spans="1:22" ht="60" x14ac:dyDescent="0.25">
      <c r="A6" s="14" t="s">
        <v>39</v>
      </c>
      <c r="B6" s="14" t="s">
        <v>40</v>
      </c>
      <c r="C6" s="15">
        <v>45623.644444444442</v>
      </c>
      <c r="D6" s="14" t="s">
        <v>83</v>
      </c>
      <c r="E6" s="14" t="s">
        <v>119</v>
      </c>
      <c r="F6" s="16" t="s">
        <v>84</v>
      </c>
      <c r="G6" s="14" t="s">
        <v>50</v>
      </c>
      <c r="H6" s="15">
        <v>45658</v>
      </c>
      <c r="I6" s="15"/>
      <c r="J6" s="16" t="s">
        <v>129</v>
      </c>
      <c r="K6" s="16" t="s">
        <v>130</v>
      </c>
      <c r="L6" s="14" t="s">
        <v>121</v>
      </c>
      <c r="M6" s="16" t="s">
        <v>50</v>
      </c>
      <c r="N6" s="14" t="s">
        <v>50</v>
      </c>
      <c r="O6" s="17"/>
      <c r="P6" s="17" t="s">
        <v>128</v>
      </c>
      <c r="Q6" s="17"/>
      <c r="R6" s="17"/>
      <c r="S6" s="14" t="s">
        <v>50</v>
      </c>
      <c r="T6" s="14" t="s">
        <v>50</v>
      </c>
      <c r="U6" s="14" t="s">
        <v>50</v>
      </c>
      <c r="V6" s="16" t="s">
        <v>50</v>
      </c>
    </row>
    <row r="7" spans="1:22" ht="60" x14ac:dyDescent="0.25">
      <c r="A7" s="14" t="s">
        <v>39</v>
      </c>
      <c r="B7" s="14" t="s">
        <v>40</v>
      </c>
      <c r="C7" s="15">
        <v>45623.624305555553</v>
      </c>
      <c r="D7" s="14" t="s">
        <v>85</v>
      </c>
      <c r="E7" s="14" t="s">
        <v>119</v>
      </c>
      <c r="F7" s="16" t="s">
        <v>86</v>
      </c>
      <c r="G7" s="14" t="s">
        <v>50</v>
      </c>
      <c r="H7" s="15">
        <v>45658</v>
      </c>
      <c r="I7" s="15"/>
      <c r="J7" s="16" t="s">
        <v>131</v>
      </c>
      <c r="K7" s="16" t="s">
        <v>132</v>
      </c>
      <c r="L7" s="14" t="s">
        <v>121</v>
      </c>
      <c r="M7" s="16" t="s">
        <v>133</v>
      </c>
      <c r="N7" s="14" t="s">
        <v>50</v>
      </c>
      <c r="O7" s="17"/>
      <c r="P7" s="17" t="s">
        <v>128</v>
      </c>
      <c r="Q7" s="17"/>
      <c r="R7" s="17"/>
      <c r="S7" s="14" t="s">
        <v>50</v>
      </c>
      <c r="T7" s="14" t="s">
        <v>50</v>
      </c>
      <c r="U7" s="14" t="s">
        <v>50</v>
      </c>
      <c r="V7" s="16" t="s">
        <v>50</v>
      </c>
    </row>
    <row r="8" spans="1:22" x14ac:dyDescent="0.25">
      <c r="A8" s="19"/>
      <c r="B8" s="19"/>
      <c r="C8" s="22"/>
      <c r="D8" s="19"/>
      <c r="E8" s="19"/>
      <c r="F8" s="20" t="s">
        <v>50</v>
      </c>
      <c r="G8" s="19"/>
      <c r="H8" s="22"/>
      <c r="I8" s="22"/>
      <c r="J8" s="20" t="s">
        <v>50</v>
      </c>
      <c r="K8" s="20" t="s">
        <v>50</v>
      </c>
      <c r="L8" s="19"/>
      <c r="M8" s="20" t="s">
        <v>50</v>
      </c>
      <c r="N8" s="19"/>
      <c r="S8" s="19"/>
      <c r="T8" s="19"/>
      <c r="U8" s="19"/>
      <c r="V8" s="20" t="s">
        <v>50</v>
      </c>
    </row>
    <row r="9" spans="1:22" x14ac:dyDescent="0.25">
      <c r="A9" s="19"/>
      <c r="B9" s="19"/>
      <c r="C9" s="22"/>
      <c r="D9" s="19"/>
      <c r="E9" s="19"/>
      <c r="F9" s="20" t="s">
        <v>50</v>
      </c>
      <c r="G9" s="19"/>
      <c r="H9" s="22"/>
      <c r="I9" s="22"/>
      <c r="J9" s="20" t="s">
        <v>50</v>
      </c>
      <c r="K9" s="20" t="s">
        <v>50</v>
      </c>
      <c r="L9" s="19"/>
      <c r="M9" s="20" t="s">
        <v>50</v>
      </c>
      <c r="N9" s="19"/>
      <c r="S9" s="19"/>
      <c r="T9" s="19"/>
      <c r="U9" s="19"/>
      <c r="V9" s="20" t="s">
        <v>50</v>
      </c>
    </row>
    <row r="10" spans="1:22" x14ac:dyDescent="0.25">
      <c r="A10" s="19"/>
      <c r="B10" s="19"/>
      <c r="C10" s="22"/>
      <c r="D10" s="19"/>
      <c r="E10" s="19"/>
      <c r="F10" s="20" t="s">
        <v>50</v>
      </c>
      <c r="G10" s="19"/>
      <c r="H10" s="22"/>
      <c r="I10" s="22"/>
      <c r="J10" s="20" t="s">
        <v>50</v>
      </c>
      <c r="K10" s="20" t="s">
        <v>50</v>
      </c>
      <c r="L10" s="19"/>
      <c r="M10" s="20" t="s">
        <v>50</v>
      </c>
      <c r="N10" s="19"/>
      <c r="S10" s="19"/>
      <c r="T10" s="19"/>
      <c r="U10" s="19"/>
      <c r="V10" s="20" t="s">
        <v>50</v>
      </c>
    </row>
    <row r="11" spans="1:22" x14ac:dyDescent="0.25">
      <c r="A11" s="19"/>
      <c r="B11" s="19"/>
      <c r="C11" s="22"/>
      <c r="D11" s="19"/>
      <c r="E11" s="19"/>
      <c r="F11" s="20" t="s">
        <v>50</v>
      </c>
      <c r="G11" s="19"/>
      <c r="H11" s="22"/>
      <c r="I11" s="22"/>
      <c r="J11" s="20" t="s">
        <v>50</v>
      </c>
      <c r="K11" s="20" t="s">
        <v>50</v>
      </c>
      <c r="L11" s="19"/>
      <c r="M11" s="20" t="s">
        <v>50</v>
      </c>
      <c r="N11" s="19"/>
      <c r="S11" s="19"/>
      <c r="T11" s="19"/>
      <c r="U11" s="19"/>
      <c r="V11" s="20" t="s">
        <v>50</v>
      </c>
    </row>
    <row r="12" spans="1:22" x14ac:dyDescent="0.25">
      <c r="A12" s="19"/>
      <c r="B12" s="19"/>
      <c r="C12" s="22"/>
      <c r="D12" s="19"/>
      <c r="E12" s="19"/>
      <c r="F12" s="20" t="s">
        <v>50</v>
      </c>
      <c r="G12" s="19"/>
      <c r="H12" s="22"/>
      <c r="I12" s="22"/>
      <c r="J12" s="20" t="s">
        <v>50</v>
      </c>
      <c r="K12" s="20" t="s">
        <v>50</v>
      </c>
      <c r="L12" s="19"/>
      <c r="M12" s="20" t="s">
        <v>50</v>
      </c>
      <c r="N12" s="19"/>
      <c r="S12" s="19"/>
      <c r="T12" s="19"/>
      <c r="U12" s="19"/>
      <c r="V12" s="20" t="s">
        <v>50</v>
      </c>
    </row>
    <row r="13" spans="1:22" x14ac:dyDescent="0.25">
      <c r="A13" s="19"/>
      <c r="B13" s="19"/>
      <c r="C13" s="22"/>
      <c r="D13" s="19"/>
      <c r="E13" s="19"/>
      <c r="F13" s="20" t="s">
        <v>50</v>
      </c>
      <c r="G13" s="19"/>
      <c r="H13" s="22"/>
      <c r="I13" s="22"/>
      <c r="J13" s="20" t="s">
        <v>50</v>
      </c>
      <c r="K13" s="20" t="s">
        <v>50</v>
      </c>
      <c r="L13" s="19"/>
      <c r="M13" s="20" t="s">
        <v>50</v>
      </c>
      <c r="N13" s="19"/>
      <c r="S13" s="19"/>
      <c r="T13" s="19"/>
      <c r="U13" s="19"/>
      <c r="V13" s="20" t="s">
        <v>50</v>
      </c>
    </row>
    <row r="14" spans="1:22" x14ac:dyDescent="0.25">
      <c r="A14" s="19"/>
      <c r="B14" s="19"/>
      <c r="C14" s="22"/>
      <c r="D14" s="19"/>
      <c r="E14" s="19"/>
      <c r="F14" s="20" t="s">
        <v>50</v>
      </c>
      <c r="G14" s="19"/>
      <c r="H14" s="22"/>
      <c r="I14" s="22"/>
      <c r="J14" s="20" t="s">
        <v>50</v>
      </c>
      <c r="K14" s="20" t="s">
        <v>50</v>
      </c>
      <c r="L14" s="19"/>
      <c r="M14" s="20" t="s">
        <v>50</v>
      </c>
      <c r="N14" s="19"/>
      <c r="S14" s="19"/>
      <c r="T14" s="19"/>
      <c r="U14" s="19"/>
      <c r="V14" s="20" t="s">
        <v>50</v>
      </c>
    </row>
    <row r="15" spans="1:22" x14ac:dyDescent="0.25">
      <c r="A15" s="19"/>
      <c r="B15" s="19"/>
      <c r="C15" s="22"/>
      <c r="D15" s="19"/>
      <c r="E15" s="19"/>
      <c r="F15" s="20" t="s">
        <v>50</v>
      </c>
      <c r="G15" s="19"/>
      <c r="H15" s="22"/>
      <c r="I15" s="22"/>
      <c r="J15" s="20" t="s">
        <v>50</v>
      </c>
      <c r="K15" s="20" t="s">
        <v>50</v>
      </c>
      <c r="L15" s="19"/>
      <c r="M15" s="20" t="s">
        <v>50</v>
      </c>
      <c r="N15" s="19"/>
      <c r="S15" s="19"/>
      <c r="T15" s="19"/>
      <c r="U15" s="19"/>
      <c r="V15" s="20" t="s">
        <v>50</v>
      </c>
    </row>
  </sheetData>
  <autoFilter ref="A1:Z1" xr:uid="{4824B053-A9E6-419C-9EC1-5D4BD86C12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2026-06-09T09:47:54Z</dcterms:created>
  <dcterms:modified xsi:type="dcterms:W3CDTF">2026-06-09T09:47:55Z</dcterms:modified>
</cp:coreProperties>
</file>