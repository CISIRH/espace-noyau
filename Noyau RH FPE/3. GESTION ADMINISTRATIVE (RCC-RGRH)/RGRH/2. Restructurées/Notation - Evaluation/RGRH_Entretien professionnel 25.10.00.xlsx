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Notation_Evaluation\"/>
    </mc:Choice>
  </mc:AlternateContent>
  <xr:revisionPtr revIDLastSave="0" documentId="13_ncr:1_{B10AF951-018F-46C4-8623-165B04F82468}" xr6:coauthVersionLast="47" xr6:coauthVersionMax="47" xr10:uidLastSave="{00000000-0000-0000-0000-000000000000}"/>
  <bookViews>
    <workbookView xWindow="-110" yWindow="-110" windowWidth="19420" windowHeight="11500" xr2:uid="{677B0B0C-C77F-4F58-8A0E-E4DCED3A44A9}"/>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RG'!$A$1:$OJ$21</definedName>
    <definedName name="_xlnm._FilterDatabase" localSheetId="2" hidden="1">'Axe 1 Enchaînement RG Impact'!$A$1:$OJ$21</definedName>
    <definedName name="_xlnm._FilterDatabase" localSheetId="3" hidden="1">'Axe 1 Rattachement des actes'!$A$1:$AS$1</definedName>
    <definedName name="_xlnm._FilterDatabase" localSheetId="4" hidden="1">'Axe 2 Règles de gestion'!$A$1:$Z$79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I11" i="5" l="1"/>
  <c r="BI10" i="5"/>
  <c r="BI8" i="5"/>
  <c r="BI7" i="5"/>
  <c r="BI6" i="5"/>
  <c r="BI2" i="5"/>
  <c r="BG8" i="5"/>
  <c r="BG7" i="5"/>
  <c r="BG6" i="5"/>
  <c r="BE8" i="5"/>
  <c r="BE7" i="5"/>
  <c r="BE6" i="5"/>
  <c r="BC11" i="5"/>
  <c r="BC7" i="5"/>
  <c r="BC2" i="5"/>
  <c r="BA13" i="5"/>
  <c r="BA12" i="5"/>
  <c r="BA11" i="5"/>
  <c r="BA10" i="5"/>
  <c r="BA8" i="5"/>
  <c r="BA7" i="5"/>
  <c r="BA6" i="5"/>
  <c r="BA2" i="5"/>
  <c r="AY13" i="5"/>
  <c r="AY12" i="5"/>
  <c r="AY11" i="5"/>
  <c r="AY10" i="5"/>
  <c r="AY8" i="5"/>
  <c r="AY7" i="5"/>
  <c r="AY6" i="5"/>
  <c r="AY2" i="5"/>
  <c r="AW13" i="5"/>
  <c r="AW12" i="5"/>
  <c r="AW11" i="5"/>
  <c r="AW10" i="5"/>
  <c r="AW8" i="5"/>
  <c r="AW7" i="5"/>
  <c r="AW6" i="5"/>
  <c r="AW2" i="5"/>
  <c r="AU13" i="5"/>
  <c r="AU12" i="5"/>
  <c r="AU11" i="5"/>
  <c r="AU10" i="5"/>
  <c r="AU8" i="5"/>
  <c r="AU7" i="5"/>
  <c r="AU6" i="5"/>
  <c r="AU2" i="5"/>
  <c r="AS13" i="5"/>
  <c r="AS12" i="5"/>
  <c r="AS11" i="5"/>
  <c r="AS10" i="5"/>
  <c r="AS8" i="5"/>
  <c r="AS7" i="5"/>
  <c r="AS6" i="5"/>
  <c r="AS2" i="5"/>
  <c r="AQ18" i="5"/>
  <c r="AQ17" i="5"/>
  <c r="AQ13" i="5"/>
  <c r="AQ12" i="5"/>
  <c r="AQ11" i="5"/>
  <c r="AQ10" i="5"/>
  <c r="AQ8" i="5"/>
  <c r="AQ7" i="5"/>
  <c r="AQ6" i="5"/>
  <c r="AQ2" i="5"/>
  <c r="AO18" i="5"/>
  <c r="AO17" i="5"/>
  <c r="AO13" i="5"/>
  <c r="AO12" i="5"/>
  <c r="AO11" i="5"/>
  <c r="AO10" i="5"/>
  <c r="AO8" i="5"/>
  <c r="AO7" i="5"/>
  <c r="AO6" i="5"/>
  <c r="AO2" i="5"/>
  <c r="AM18" i="5"/>
  <c r="AM17" i="5"/>
  <c r="AM13" i="5"/>
  <c r="AM12" i="5"/>
  <c r="AM11" i="5"/>
  <c r="AM10" i="5"/>
  <c r="AM8" i="5"/>
  <c r="AM7" i="5"/>
  <c r="AM6" i="5"/>
  <c r="AM2" i="5"/>
  <c r="AK18" i="5"/>
  <c r="AK17" i="5"/>
  <c r="AK13" i="5"/>
  <c r="AK12" i="5"/>
  <c r="AK11" i="5"/>
  <c r="AK10" i="5"/>
  <c r="AK8" i="5"/>
  <c r="AK7" i="5"/>
  <c r="AK6" i="5"/>
  <c r="AK2" i="5"/>
  <c r="AI18" i="5"/>
  <c r="AI17" i="5"/>
  <c r="AI13" i="5"/>
  <c r="AI12" i="5"/>
  <c r="AI11" i="5"/>
  <c r="AI10" i="5"/>
  <c r="AI8" i="5"/>
  <c r="AI7" i="5"/>
  <c r="AI6" i="5"/>
  <c r="AI2" i="5"/>
  <c r="AG18" i="5"/>
  <c r="AG17" i="5"/>
  <c r="AG13" i="5"/>
  <c r="AG12" i="5"/>
  <c r="AG11" i="5"/>
  <c r="AG10" i="5"/>
  <c r="AG8" i="5"/>
  <c r="AG7" i="5"/>
  <c r="AG6" i="5"/>
  <c r="AG2" i="5"/>
  <c r="AE18" i="5"/>
  <c r="AE17" i="5"/>
  <c r="AE13" i="5"/>
  <c r="AE12" i="5"/>
  <c r="AE11" i="5"/>
  <c r="AE10" i="5"/>
  <c r="AE8" i="5"/>
  <c r="AE7" i="5"/>
  <c r="AE6" i="5"/>
  <c r="AE2" i="5"/>
  <c r="AC18" i="5"/>
  <c r="AC17" i="5"/>
  <c r="AC13" i="5"/>
  <c r="AC12" i="5"/>
  <c r="AC11" i="5"/>
  <c r="AC10" i="5"/>
  <c r="AC8" i="5"/>
  <c r="AC7" i="5"/>
  <c r="AC6" i="5"/>
  <c r="AC2" i="5"/>
  <c r="AA18" i="5"/>
  <c r="AA17" i="5"/>
  <c r="AA13" i="5"/>
  <c r="AA12" i="5"/>
  <c r="AA11" i="5"/>
  <c r="AA10" i="5"/>
  <c r="AA8" i="5"/>
  <c r="AA7" i="5"/>
  <c r="AA6" i="5"/>
  <c r="AA2" i="5"/>
  <c r="Y18" i="5"/>
  <c r="Y17" i="5"/>
  <c r="Y13" i="5"/>
  <c r="Y12" i="5"/>
  <c r="Y11" i="5"/>
  <c r="Y10" i="5"/>
  <c r="Y8" i="5"/>
  <c r="Y7" i="5"/>
  <c r="Y6" i="5"/>
  <c r="Y2" i="5"/>
</calcChain>
</file>

<file path=xl/sharedStrings.xml><?xml version="1.0" encoding="utf-8"?>
<sst xmlns="http://schemas.openxmlformats.org/spreadsheetml/2006/main" count="2106" uniqueCount="320">
  <si>
    <t>MODE OPERATOIRE</t>
  </si>
  <si>
    <t>La transaction s'effectue au niveau de la rubrique "Notation/Evaluation" et de la sous-rubrique "Entretien professionnel".</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</si>
  <si>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</si>
  <si>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</si>
  <si>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</si>
  <si>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</si>
  <si>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</si>
  <si>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</si>
  <si>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</si>
  <si>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</si>
  <si>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</si>
  <si>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</si>
  <si>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</si>
  <si>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</si>
  <si>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</si>
  <si>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</si>
  <si>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</si>
  <si>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</si>
  <si>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</si>
  <si>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</si>
  <si>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</si>
  <si>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</si>
  <si>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</si>
  <si>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</si>
  <si>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</si>
  <si>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</si>
  <si>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</si>
  <si>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</si>
  <si>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</si>
  <si>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</si>
  <si>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</si>
  <si>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</si>
  <si>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</si>
  <si>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</si>
  <si>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</si>
  <si>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</si>
  <si>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</si>
  <si>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</si>
  <si>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</si>
  <si>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</si>
  <si>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</si>
  <si>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</si>
  <si>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</si>
  <si>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</si>
  <si>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</si>
  <si>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</si>
  <si>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</si>
  <si>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</si>
  <si>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</si>
  <si>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</si>
  <si>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</si>
  <si>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</si>
  <si>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</si>
  <si>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</si>
  <si>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contrôle intellectuel 16</t>
  </si>
  <si>
    <t>Libellé Règle de contrôle intellectuel 16</t>
  </si>
  <si>
    <t>Identifiant Règle de condition  1</t>
  </si>
  <si>
    <t>Libellé Règle de condition  1</t>
  </si>
  <si>
    <t>Identifiant Règle de condition 2</t>
  </si>
  <si>
    <t>Libellé Règle de condition 2</t>
  </si>
  <si>
    <t>Identifiant Règle de contrôle  1</t>
  </si>
  <si>
    <t>Libellé Règle de contrôle  1</t>
  </si>
  <si>
    <t>FIME</t>
  </si>
  <si>
    <t>Statut de travail</t>
  </si>
  <si>
    <t>20.10.00</t>
  </si>
  <si>
    <t>A</t>
  </si>
  <si>
    <t>D0014</t>
  </si>
  <si>
    <t>Entretien professionnel/Notation</t>
  </si>
  <si>
    <t>S0151</t>
  </si>
  <si>
    <t>Entretien professionnel</t>
  </si>
  <si>
    <t>E0852</t>
  </si>
  <si>
    <t>Date de l'entretien professionnel saisie différent de vide</t>
  </si>
  <si>
    <t>A_NEV_DAENPR [Saisi] &lt;&gt; vide</t>
  </si>
  <si>
    <t>T2108</t>
  </si>
  <si>
    <t>Création Modification</t>
  </si>
  <si>
    <t>Titulaire ou magistrat</t>
  </si>
  <si>
    <t>P0001</t>
  </si>
  <si>
    <t>Général</t>
  </si>
  <si>
    <t>Passant</t>
  </si>
  <si>
    <t>NEV_I_007 ET NEV_I_002 ET NEV_I_003 ET NEV_I_004 ET NEV_I_005 ET NEV_I_006 ET NEV_I_010 ET NEV_I_011 ET NEV_I_012 ET NEV_I_013 ET NEV_I_014 ET NEV_I_015 ET NEV_I_016 ET NEV_I_017 ET NEV_I_018 ET NEV_I_019 ET NEV_C_001</t>
  </si>
  <si>
    <t>NEV_I_007</t>
  </si>
  <si>
    <t>L'entretien professionnel a pour objet l'appréciation de la valeur professionnelle de l'agent. Cependant les statuts particuliers peuvent prévoir des modalités différentes d'appréciation de la valeur professionnelle.</t>
  </si>
  <si>
    <t>NEV_I_002</t>
  </si>
  <si>
    <t>L'entretien professionnel est annuel.</t>
  </si>
  <si>
    <t>NEV_I_003</t>
  </si>
  <si>
    <t>L'entretien professionnel est conduit par le supérieur hiérarchique direct.</t>
  </si>
  <si>
    <t>NEV_I_004</t>
  </si>
  <si>
    <t>Le supérieur hiérarchique direct fixe la date de l'entretien professionnel et la communique à l'agent au moins 8 jours à l'avance.</t>
  </si>
  <si>
    <t>NEV_I_005</t>
  </si>
  <si>
    <t>L'entretien professionnel donne lieu à un compte rendu.</t>
  </si>
  <si>
    <t>NEV_I_006</t>
  </si>
  <si>
    <t>Le compte rendu de l'entretien professionnel est établi et signé par le supérieur hiérarchique direct de l'agent.</t>
  </si>
  <si>
    <t>NEV_I_010</t>
  </si>
  <si>
    <t>Le compte rendu est communiqué à l'agent qui le complète, si besoin, de ses observations.</t>
  </si>
  <si>
    <t>NEV_I_011</t>
  </si>
  <si>
    <t>Le compte rendu est visé par l'autorité hiérarchique qui peut formuler ses propres observations.</t>
  </si>
  <si>
    <t>NEV_I_012</t>
  </si>
  <si>
    <t>Le compte rendu est notifié à l'agent.</t>
  </si>
  <si>
    <t>NEV_I_013</t>
  </si>
  <si>
    <t>L'agent doit signer le compte rendu pour attester qu'il en a pris connaissance.</t>
  </si>
  <si>
    <t>NEV_I_014</t>
  </si>
  <si>
    <t>L'agent doit retourner le compte rendu à l'autorité hiérarchique qui le verse à son dossier.</t>
  </si>
  <si>
    <t>NEV_I_015</t>
  </si>
  <si>
    <t>L'agent peut demander à son autorité hiérarchique une révision du compte rendu dans un délai de 15 jours francs à compter de la date de notification à l'agent de ce compte rendu.</t>
  </si>
  <si>
    <t>NEV_I_016</t>
  </si>
  <si>
    <t>L'autorité hiérarchique notifie sa réponse dans un délai de 15 jours francs à compter de la date de réception de la demande de révision du compte rendu.</t>
  </si>
  <si>
    <t>NEV_I_017</t>
  </si>
  <si>
    <t>La commission administrative paritaire peut, à la requête de l'agent qui a exercé ce recours, demander à l'autorité hiérarchique la révision du compte rendu.</t>
  </si>
  <si>
    <t>NEV_I_018</t>
  </si>
  <si>
    <t>La commission administrative paritaire doit être saisie dans un délai d'1 mois à compter de la date de notification de la réponse de l'autorité hiérarchique dans le cadre du recours.</t>
  </si>
  <si>
    <t>NEV_I_019</t>
  </si>
  <si>
    <t>L'autorité hiérarchique communique à l'agent, qui en accuse réception, le compte rendu définitif de l'entretien professionnel.</t>
  </si>
  <si>
    <t>NEV_C_001</t>
  </si>
  <si>
    <t>La date de l'entretien professionnel doit être postérieure ou égale à la date d'entrée dans la FPE ou dans la carrière militaire.</t>
  </si>
  <si>
    <t>Contractuel</t>
  </si>
  <si>
    <t>P0003</t>
  </si>
  <si>
    <t>Exclu</t>
  </si>
  <si>
    <t>Stagiaire ou auditeur ou élève</t>
  </si>
  <si>
    <t>P0004</t>
  </si>
  <si>
    <t>Ouvrier d'état</t>
  </si>
  <si>
    <t>P0005</t>
  </si>
  <si>
    <t>22.10.00</t>
  </si>
  <si>
    <t>M</t>
  </si>
  <si>
    <t>Contractuel recruté pour répondre à un besoin permanent</t>
  </si>
  <si>
    <t>P0104</t>
  </si>
  <si>
    <t>Particulier</t>
  </si>
  <si>
    <t>NEV_I_020 ET NEV_I_022 ET NEV_I_023 ET NEV_I_021 ET NEV_I_024 ET NEV_I_026 ET NEV_I_027 ET NEV_I_028 ET NEV_I_029 ET NEV_I_030 ET NEV_I_031 ET NEV_I_032 ET NEV_I_033 ET NEV_I_034 ET NEV_I_035 ET NEV_D_001 ET NEV_D_002 ET NEV_C_002</t>
  </si>
  <si>
    <t>NEV_I_020</t>
  </si>
  <si>
    <t>NEV_I_022</t>
  </si>
  <si>
    <t>NEV_I_023</t>
  </si>
  <si>
    <t>Le supérieur hiérarchique direct fixe la date de cet entretien et la communique à l'agent au moins 8 jours à l'avance.</t>
  </si>
  <si>
    <t>NEV_I_021</t>
  </si>
  <si>
    <t>NEV_I_024</t>
  </si>
  <si>
    <t>Le compte rendu est établi et signé par le supérieur hiérarchique direct de l'agent.</t>
  </si>
  <si>
    <t>NEV_I_026</t>
  </si>
  <si>
    <t>NEV_I_027</t>
  </si>
  <si>
    <t>NEV_I_028</t>
  </si>
  <si>
    <t>NEV_I_029</t>
  </si>
  <si>
    <t>NEV_I_030</t>
  </si>
  <si>
    <t>NEV_I_031</t>
  </si>
  <si>
    <t>NEV_I_032</t>
  </si>
  <si>
    <t>NEV_I_033</t>
  </si>
  <si>
    <t>La commission consultative paritaire peut, à la requête de l'agent qui a exercé ce recours, demander à l'autorité hiérarchique la révision du compte rendu de l'entretien professionnel.</t>
  </si>
  <si>
    <t>NEV_I_034</t>
  </si>
  <si>
    <t>La commission consultative paritaire doit être saisie dans un délai d'1 mois à compter de la date de notification de la réponse de l'autorité hiérarchique dans le cadre du recours.</t>
  </si>
  <si>
    <t>NEV_I_035</t>
  </si>
  <si>
    <t>NEV_D_001</t>
  </si>
  <si>
    <t>L'agent est recruté en contrat à durée indéterminée ou à durée déterminée.</t>
  </si>
  <si>
    <t>NEV_D_002</t>
  </si>
  <si>
    <t>Dans le cas d'un contrat à durée déterminée, il doit être d'une durée supérieure à 1 an.</t>
  </si>
  <si>
    <t>NEV_C_002</t>
  </si>
  <si>
    <t>La date de l'entretien professionnel doit être postérieure ou égale à la date de début du lien juridique du contrat.</t>
  </si>
  <si>
    <t>NEV_I_020 ET NEV_I_022 ET NEV_I_023 ET NEV_I_021 ET NEV_I_024 ET NEV_I_026 ET NEV_I_027 ET NEV_I_028 ET NEV_I_029 ET NEV_I_030 ET NEV_I_031 ET NEV_I_032 ET NEV_I_033 ET NEV_I_034 ET NEV_I_035 ET NEV_I_060 ET NEV_D_001 ET NEV_D_002 ET NEV_C_002</t>
  </si>
  <si>
    <t>NEV_I_060</t>
  </si>
  <si>
    <t>La décision relative à la révision du compte rendu de l'entretien professionnel fait l'objet d'une consultation de la commission consultative paritaire.</t>
  </si>
  <si>
    <t>25.10.00</t>
  </si>
  <si>
    <t>Ouvrier des parcs et ateliers confirmé ou stagiaire</t>
  </si>
  <si>
    <t>P0143</t>
  </si>
  <si>
    <t>NEV_I_051 ET NEV_I_020 ET NEV_I_022 ET NEV_I_023 ET NEV_I_021 ET NEV_I_024 ET NEV_I_026 ET NEV_I_027 ET NEV_I_028 ET NEV_I_029 ET NEV_I_030 ET NEV_I_031 ET NEV_I_032 ET NEV_I_052 ET NEV_I_035 ET NEV_D_001 ET NEV_D_002 ET NEV_C_002</t>
  </si>
  <si>
    <t>NEV_I_051</t>
  </si>
  <si>
    <t>L'agent bénéficie, sauf dispositions particulières, des dispositions applicables aux agents contractuels recrutés pour répondre à un besoin permanent pour l'entretien professionnel.</t>
  </si>
  <si>
    <t>NEV_I_052</t>
  </si>
  <si>
    <t>La commission consultative est consultée pour la révision du compte-rendu de l'entretien professionnel.</t>
  </si>
  <si>
    <t>2025-121</t>
  </si>
  <si>
    <t>Contractuel sous contrat PACTE</t>
  </si>
  <si>
    <t>P0166</t>
  </si>
  <si>
    <t>Contractuel recruté sur contrat de projet</t>
  </si>
  <si>
    <t>P0241</t>
  </si>
  <si>
    <t>NEV_I_036 ET NEV_I_038 ET NEV_I_039 ET NEV_I_037 ET NEV_I_040 ET NEV_I_041 ET NEV_I_042 ET NEV_I_043 ET NEV_I_044 ET NEV_I_045 ET NEV_I_046 ET NEV_I_047 ET NEV_I_048 ET NEV_I_049 ET NEV_I_050 ET NEV_C_002</t>
  </si>
  <si>
    <t>NEV_I_036</t>
  </si>
  <si>
    <t>NEV_I_038</t>
  </si>
  <si>
    <t>NEV_I_039</t>
  </si>
  <si>
    <t>NEV_I_037</t>
  </si>
  <si>
    <t>NEV_I_040</t>
  </si>
  <si>
    <t>NEV_I_041</t>
  </si>
  <si>
    <t>NEV_I_042</t>
  </si>
  <si>
    <t>NEV_I_043</t>
  </si>
  <si>
    <t>NEV_I_044</t>
  </si>
  <si>
    <t>NEV_I_045</t>
  </si>
  <si>
    <t>NEV_I_046</t>
  </si>
  <si>
    <t>NEV_I_047</t>
  </si>
  <si>
    <t>NEV_I_048</t>
  </si>
  <si>
    <t>NEV_I_049</t>
  </si>
  <si>
    <t>NEV_I_050</t>
  </si>
  <si>
    <t>NEV_I_036 ET NEV_I_038 ET NEV_I_039 ET NEV_I_037 ET NEV_I_040 ET NEV_I_041 ET NEV_I_042 ET NEV_I_043 ET NEV_I_044 ET NEV_I_045 ET NEV_I_046 ET NEV_I_047 ET NEV_I_061 ET NEV_I_048 ET NEV_I_049 ET NEV_I_050 ET NEV_C_002</t>
  </si>
  <si>
    <t>NEV_I_061</t>
  </si>
  <si>
    <t>E1021</t>
  </si>
  <si>
    <t>Entretien annuel d'accompagnement</t>
  </si>
  <si>
    <t>T2464</t>
  </si>
  <si>
    <t>Entretien d'accompagnement</t>
  </si>
  <si>
    <t>NEV_I_062 ET NEV_I_063 ET NEV_I_064 ET NEV_I_065 ET NEV_I_066 ET NEV_I_067 ET NEV_I_068 ET NEV_I_069 ET NEV_I_070 ET NEV_I_071 ET NEV_I_072 ET NEV_I_073 ET NEV_I_074 ET NEV_I_075 ET NEV_I_076</t>
  </si>
  <si>
    <t>NEV_I_062</t>
  </si>
  <si>
    <t>L'agent est en décharge d'activité de services à titre syndical.</t>
  </si>
  <si>
    <t>NEV_I_063</t>
  </si>
  <si>
    <t>L'agent peut bénéficier, sur demande, d'un entretien annuel d'accompagnement.</t>
  </si>
  <si>
    <t>NEV_I_064</t>
  </si>
  <si>
    <t>L'agent consacrant l'intégralité de son service à une activité syndicale bénéficie, de droit, d'un entretien annuel d'accompagnement intervenant avant le terme de sa décharge d'activité de service.</t>
  </si>
  <si>
    <t>NEV_I_065</t>
  </si>
  <si>
    <t>L'entretien annuel est conduit par le responsable des ressources humaines du service ou de l'établissement de l'agent.</t>
  </si>
  <si>
    <t>NEV_I_066</t>
  </si>
  <si>
    <t>Le responsable des ressources humaines fixe la date de l'entretien d'accompagnement et la communique à l'agent par tout moyen conférant date certaine.</t>
  </si>
  <si>
    <t>NEV_I_067</t>
  </si>
  <si>
    <t>L'entretien d'accompagnement ne peut avoir lieu moins de 8 jours ouvrables après la réception de la convocation.</t>
  </si>
  <si>
    <t>NEV_I_068</t>
  </si>
  <si>
    <t>L'entretien d'accompagnement porte sur les acquis de l'expérience professionnelle dont ceux résultant d'activités syndicales, les besoins de formation professionnelle et les perspectives d'évolution professionnelle en termes de carrière et de mobilité.</t>
  </si>
  <si>
    <t>NEV_I_069</t>
  </si>
  <si>
    <t>Le compte rendu est établi, signé et adressé par le responsable des ressources humaines à l'agent dans un délai maximal d'1 mois.</t>
  </si>
  <si>
    <t>NEV_I_070</t>
  </si>
  <si>
    <t>Le compte rendu ne peut comporter aucune appréciation de la valeur professionnelle de l'agent.</t>
  </si>
  <si>
    <t>NEV_I_071</t>
  </si>
  <si>
    <t>Le compte rendu de l'entretien d'accompagnement se substitue au compte rendu de l'entretien professionnel si l'agent ne bénéficie pas d'un entretien de suivi.</t>
  </si>
  <si>
    <t>NEV_I_072</t>
  </si>
  <si>
    <t>NEV_I_073</t>
  </si>
  <si>
    <t>Le compte rendu est signé par le responsable des ressources humaines qui peut formuler, si besoin, ses propres observations.</t>
  </si>
  <si>
    <t>NEV_I_074</t>
  </si>
  <si>
    <t>NEV_I_075</t>
  </si>
  <si>
    <t>NEV_I_076</t>
  </si>
  <si>
    <t>L'agent doit retourner le compte rendu au responsable des ressources humaines qui le verse à son dossier.</t>
  </si>
  <si>
    <t>2025-77</t>
  </si>
  <si>
    <t>Contractuel à temps incomplet</t>
  </si>
  <si>
    <t>P0067</t>
  </si>
  <si>
    <t>E1022</t>
  </si>
  <si>
    <t>Entretien annuel de suivi</t>
  </si>
  <si>
    <t>T2465</t>
  </si>
  <si>
    <t>Entretien de suivi</t>
  </si>
  <si>
    <t>NEV_I_062 ET NEV_I_077 ET NEV_I_078 ET NEV_I_079 ET NEV_I_080 ET NEV_I_081 ET NEV_I_082 ET NEV_I_083 ET NEV_I_084 ET NEV_I_085</t>
  </si>
  <si>
    <t>NEV_I_077</t>
  </si>
  <si>
    <t>L'agent consacre une quotité de temps de travail au moins égale à 70% et inférieure à 100% d'un service à temps plein à une activité syndicale.</t>
  </si>
  <si>
    <t>NEV_I_078</t>
  </si>
  <si>
    <t>L'agent bénéficie d'un entretien annuel de suivi conduit par son supérieur hiérarchique direct, sans être soumis à une appréciation de sa valeur professionnelle.</t>
  </si>
  <si>
    <t>NEV_I_079</t>
  </si>
  <si>
    <t>L'entretien de suivi n'a pas lieu lorsque les dispositions du statut particulier du corps d'origine prévoient le maintien d'un système de notation.</t>
  </si>
  <si>
    <t>NEV_I_080</t>
  </si>
  <si>
    <t>L'entretien de suivi porte sur les acquis de l'expérience professionnelle dont ceux résultant d'activités syndicales, les besoins de formation professionnelle et les perspectives d'évolution professionnelle en termes de carrière et de mobilité.</t>
  </si>
  <si>
    <t>NEV_I_081</t>
  </si>
  <si>
    <t>Le supérieur hiérarchique direct communique à l'agent la date de l'entretien au moins 8 jours à l'avance et le convoque par tout moyen conférant date certaine.</t>
  </si>
  <si>
    <t>NEV_I_082</t>
  </si>
  <si>
    <t>Le compte rendu est établi, signé et adressé par le supérieur hiérarchique à l'agent qui le complète, si besoin, de ses observations.</t>
  </si>
  <si>
    <t>NEV_I_083</t>
  </si>
  <si>
    <t>L'agent doit signer le compte rendu, éventuellement complété des observations de son supérieur, pour attester en avoir pris connaissance.</t>
  </si>
  <si>
    <t>NEV_I_084</t>
  </si>
  <si>
    <t>L'agent doit retourner le compte rendu à son supérieur hiérarchique qui le verse à son dossier.</t>
  </si>
  <si>
    <t>NEV_I_085</t>
  </si>
  <si>
    <t>L'entretien ne concerne pas l'agent appartenant aux corps d'inspection pédagogique, de direction d'établissement d'enseignement, d'enseignants, d'éducation, de psychologues de l'éducation nationale, de chercheurs, d'enseignants-chercheurs ou assimilés.</t>
  </si>
  <si>
    <t>Impacts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</si>
  <si>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</si>
  <si>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</si>
  <si>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</si>
  <si>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</si>
  <si>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</si>
  <si>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</si>
  <si>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</si>
  <si>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</si>
  <si>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</si>
  <si>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</si>
  <si>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</si>
  <si>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</si>
  <si>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</si>
  <si>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</si>
  <si>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</si>
  <si>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</si>
  <si>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</si>
  <si>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</si>
  <si>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</si>
  <si>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</si>
  <si>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</si>
  <si>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</si>
  <si>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</si>
  <si>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</si>
  <si>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</si>
  <si>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</si>
  <si>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</si>
  <si>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</si>
  <si>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</si>
  <si>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</si>
  <si>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Décret 86-83 A1-4</t>
  </si>
  <si>
    <t>A_CAR_TYPCOT [Dossier] DANS ('TC02,TC01') OU A_CAR_TYPCAV [Dossier] DANS ('TC02,TC01')</t>
  </si>
  <si>
    <t>Bloquant</t>
  </si>
  <si>
    <t>P0104 / P0143 - E0852</t>
  </si>
  <si>
    <t>x</t>
  </si>
  <si>
    <t>SI A_CAR_TYPCOT [Dossier] = 'TC01' OU A_CAR_TYPCAV [Dossier] = 'TC01'</t>
  </si>
  <si>
    <t>A_CAR_DTOLJU [Dossier] &gt; 01/00/00</t>
  </si>
  <si>
    <t>23.00.00</t>
  </si>
  <si>
    <t>Contrôle</t>
  </si>
  <si>
    <t>Code général de la fonction publique L521-4 / Décret 2010-888 A2</t>
  </si>
  <si>
    <t>A_NEV_DAENPR [Saisi] &gt;= A_SAP_DENFPE [Dossier]</t>
  </si>
  <si>
    <t>P0104 / P0241 - P0001 - E0852</t>
  </si>
  <si>
    <t>A_NEV_DAENPR [Saisi] &gt;= A_CAR_DDLIJU [Dossier]</t>
  </si>
  <si>
    <t>Intellectuel</t>
  </si>
  <si>
    <t>Code général de la fonction publique L521-4</t>
  </si>
  <si>
    <t>Non Bloquant</t>
  </si>
  <si>
    <t>P0001 - E0852</t>
  </si>
  <si>
    <t>Décret 2010-888 A2</t>
  </si>
  <si>
    <t>Code général de la fonction publique L521-1 / Décret 2010-888 A2</t>
  </si>
  <si>
    <t>Décret 2010-888 A4</t>
  </si>
  <si>
    <t>Code général de la fonction publique L521-1 | L521-2 | L521-4</t>
  </si>
  <si>
    <t>Code général de la fonction publique L521-1 / Décret 2010-888 A4</t>
  </si>
  <si>
    <t>Décret 2010-888 A6</t>
  </si>
  <si>
    <t>Code général de la fonction publique L521-5 / Décret 2010-888 A6</t>
  </si>
  <si>
    <t>P0143 / P0104 - E0852</t>
  </si>
  <si>
    <t>P0104 - E0852</t>
  </si>
  <si>
    <t>Décret 86-83 A2-4|A1-4</t>
  </si>
  <si>
    <t>P0241 - E0852</t>
  </si>
  <si>
    <t>25.00.00</t>
  </si>
  <si>
    <t>Code général de la fonction publique R271-13 / Décret 86-83 A1-4</t>
  </si>
  <si>
    <t>Décret 86-83 A1-4 / Décret 65-382 A8-1</t>
  </si>
  <si>
    <t>P0143 - E0852 - Demande</t>
  </si>
  <si>
    <t>Décret 86-83 A1-4 / Décret 65-382 A4-1 | A8-1</t>
  </si>
  <si>
    <t>Code général de la fonction publique R271-13 / Décret 86-83 A1-4 | A2-4</t>
  </si>
  <si>
    <t>Code général de la fonction publique L212-6</t>
  </si>
  <si>
    <t>P0001 / P0003 - E1022 / E1021</t>
  </si>
  <si>
    <t>Code général de la fonction publique R212-8</t>
  </si>
  <si>
    <t>P0001 / P0003 - E1021</t>
  </si>
  <si>
    <t>Code général de la fonction publique R212-9</t>
  </si>
  <si>
    <t>Code général de la fonction publique R212-10</t>
  </si>
  <si>
    <t>Code général de la fonction publique R212-11</t>
  </si>
  <si>
    <t>P0001 / P0003 - E1022</t>
  </si>
  <si>
    <t>Code général de la fonction publique R212-12 / Code général de la fonction publique L212-6</t>
  </si>
  <si>
    <t>Code général de la fonction publique R212-10 | R212-12</t>
  </si>
  <si>
    <t>Code général de la fonction publique R212-12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</si>
</sst>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FF01C-4B4F-432E-81D3-5C7B4882AE4C}">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985CA-5062-4401-925D-C5BF4DCFD95B}">
  <dimension ref="A1:BK126"/>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9.6328125" style="18" customWidth="1"/>
    <col min="63" max="63" width="15.6328125" style="17" customWidth="1"/>
    <col min="64" max="16384" width="10.90625" style="12"/>
  </cols>
  <sheetData>
    <row r="1" spans="1:63"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row>
    <row r="2" spans="1:63" ht="116" x14ac:dyDescent="0.35">
      <c r="A2" s="13" t="s">
        <v>64</v>
      </c>
      <c r="B2" s="13" t="s">
        <v>65</v>
      </c>
      <c r="C2" s="14">
        <v>44225.399305555555</v>
      </c>
      <c r="D2" s="13" t="s">
        <v>66</v>
      </c>
      <c r="E2" s="15" t="s">
        <v>67</v>
      </c>
      <c r="F2" s="13" t="s">
        <v>68</v>
      </c>
      <c r="G2" s="15" t="s">
        <v>69</v>
      </c>
      <c r="H2" s="13" t="s">
        <v>70</v>
      </c>
      <c r="I2" s="15" t="s">
        <v>69</v>
      </c>
      <c r="J2" s="15" t="s">
        <v>71</v>
      </c>
      <c r="K2" s="15" t="s">
        <v>72</v>
      </c>
      <c r="L2" s="13" t="s">
        <v>73</v>
      </c>
      <c r="M2" s="15" t="s">
        <v>69</v>
      </c>
      <c r="N2" s="13" t="s">
        <v>74</v>
      </c>
      <c r="O2" s="15"/>
      <c r="P2" s="15"/>
      <c r="Q2" s="15" t="s">
        <v>75</v>
      </c>
      <c r="R2" s="13" t="s">
        <v>76</v>
      </c>
      <c r="S2" s="13" t="s">
        <v>77</v>
      </c>
      <c r="T2" s="13" t="s">
        <v>78</v>
      </c>
      <c r="U2" s="14">
        <v>44197</v>
      </c>
      <c r="V2" s="14"/>
      <c r="W2" s="15" t="s">
        <v>79</v>
      </c>
      <c r="X2" s="13" t="s">
        <v>80</v>
      </c>
      <c r="Y2" s="15" t="str">
        <f>VLOOKUP(X2,'Axe 2 Règles de gestion'!$D$2:$F$79,3, FALSE)</f>
        <v>L'entretien professionnel a pour objet l'appréciation de la valeur professionnelle de l'agent. Cependant les statuts particuliers peuvent prévoir des modalités différentes d'appréciation de la valeur professionnelle.</v>
      </c>
      <c r="Z2" s="13" t="s">
        <v>82</v>
      </c>
      <c r="AA2" s="15" t="str">
        <f>VLOOKUP(Z2,'Axe 2 Règles de gestion'!$D$2:$F$79,3, FALSE)</f>
        <v>L'entretien professionnel est annuel.</v>
      </c>
      <c r="AB2" s="13" t="s">
        <v>84</v>
      </c>
      <c r="AC2" s="15" t="str">
        <f>VLOOKUP(AB2,'Axe 2 Règles de gestion'!$D$2:$F$79,3, FALSE)</f>
        <v>L'entretien professionnel est conduit par le supérieur hiérarchique direct.</v>
      </c>
      <c r="AD2" s="13" t="s">
        <v>86</v>
      </c>
      <c r="AE2" s="15" t="str">
        <f>VLOOKUP(AD2,'Axe 2 Règles de gestion'!$D$2:$F$79,3, FALSE)</f>
        <v>Le supérieur hiérarchique direct fixe la date de l'entretien professionnel et la communique à l'agent au moins 8 jours à l'avance.</v>
      </c>
      <c r="AF2" s="13" t="s">
        <v>88</v>
      </c>
      <c r="AG2" s="15" t="str">
        <f>VLOOKUP(AF2,'Axe 2 Règles de gestion'!$D$2:$F$79,3, FALSE)</f>
        <v>L'entretien professionnel donne lieu à un compte rendu.</v>
      </c>
      <c r="AH2" s="13" t="s">
        <v>90</v>
      </c>
      <c r="AI2" s="15" t="str">
        <f>VLOOKUP(AH2,'Axe 2 Règles de gestion'!$D$2:$F$79,3, FALSE)</f>
        <v>Le compte rendu de l'entretien professionnel est établi et signé par le supérieur hiérarchique direct de l'agent.</v>
      </c>
      <c r="AJ2" s="13" t="s">
        <v>92</v>
      </c>
      <c r="AK2" s="15" t="str">
        <f>VLOOKUP(AJ2,'Axe 2 Règles de gestion'!$D$2:$F$79,3, FALSE)</f>
        <v>Le compte rendu est communiqué à l'agent qui le complète, si besoin, de ses observations.</v>
      </c>
      <c r="AL2" s="13" t="s">
        <v>94</v>
      </c>
      <c r="AM2" s="15" t="str">
        <f>VLOOKUP(AL2,'Axe 2 Règles de gestion'!$D$2:$F$79,3, FALSE)</f>
        <v>Le compte rendu est visé par l'autorité hiérarchique qui peut formuler ses propres observations.</v>
      </c>
      <c r="AN2" s="13" t="s">
        <v>96</v>
      </c>
      <c r="AO2" s="15" t="str">
        <f>VLOOKUP(AN2,'Axe 2 Règles de gestion'!$D$2:$F$79,3, FALSE)</f>
        <v>Le compte rendu est notifié à l'agent.</v>
      </c>
      <c r="AP2" s="13" t="s">
        <v>98</v>
      </c>
      <c r="AQ2" s="15" t="str">
        <f>VLOOKUP(AP2,'Axe 2 Règles de gestion'!$D$2:$F$79,3, FALSE)</f>
        <v>L'agent doit signer le compte rendu pour attester qu'il en a pris connaissance.</v>
      </c>
      <c r="AR2" s="13" t="s">
        <v>100</v>
      </c>
      <c r="AS2" s="15" t="str">
        <f>VLOOKUP(AR2,'Axe 2 Règles de gestion'!$D$2:$F$79,3, FALSE)</f>
        <v>L'agent doit retourner le compte rendu à l'autorité hiérarchique qui le verse à son dossier.</v>
      </c>
      <c r="AT2" s="13" t="s">
        <v>102</v>
      </c>
      <c r="AU2" s="15" t="str">
        <f>VLOOKUP(AT2,'Axe 2 Règles de gestion'!$D$2:$F$79,3, FALSE)</f>
        <v>L'agent peut demander à son autorité hiérarchique une révision du compte rendu dans un délai de 15 jours francs à compter de la date de notification à l'agent de ce compte rendu.</v>
      </c>
      <c r="AV2" s="13" t="s">
        <v>104</v>
      </c>
      <c r="AW2" s="15" t="str">
        <f>VLOOKUP(AV2,'Axe 2 Règles de gestion'!$D$2:$F$79,3, FALSE)</f>
        <v>L'autorité hiérarchique notifie sa réponse dans un délai de 15 jours francs à compter de la date de réception de la demande de révision du compte rendu.</v>
      </c>
      <c r="AX2" s="13" t="s">
        <v>106</v>
      </c>
      <c r="AY2" s="15" t="str">
        <f>VLOOKUP(AX2,'Axe 2 Règles de gestion'!$D$2:$F$79,3, FALSE)</f>
        <v>La commission administrative paritaire peut, à la requête de l'agent qui a exercé ce recours, demander à l'autorité hiérarchique la révision du compte rendu.</v>
      </c>
      <c r="AZ2" s="13" t="s">
        <v>108</v>
      </c>
      <c r="BA2" s="15" t="str">
        <f>VLOOKUP(AZ2,'Axe 2 Règles de gestion'!$D$2:$F$79,3, FALSE)</f>
        <v>La commission administrative paritaire doit être saisie dans un délai d'1 mois à compter de la date de notification de la réponse de l'autorité hiérarchique dans le cadre du recours.</v>
      </c>
      <c r="BB2" s="13" t="s">
        <v>110</v>
      </c>
      <c r="BC2" s="15" t="str">
        <f>VLOOKUP(BB2,'Axe 2 Règles de gestion'!$D$2:$F$79,3, FALSE)</f>
        <v>L'autorité hiérarchique communique à l'agent, qui en accuse réception, le compte rendu définitif de l'entretien professionnel.</v>
      </c>
      <c r="BD2" s="13"/>
      <c r="BE2" s="15"/>
      <c r="BF2" s="13"/>
      <c r="BG2" s="15"/>
      <c r="BH2" s="13" t="s">
        <v>112</v>
      </c>
      <c r="BI2" s="15" t="str">
        <f>VLOOKUP(BH2,'Axe 2 Règles de gestion'!$D$2:$F$79,3, FALSE)</f>
        <v>La date de l'entretien professionnel doit être postérieure ou égale à la date d'entrée dans la FPE ou dans la carrière militaire.</v>
      </c>
      <c r="BJ2" s="13"/>
      <c r="BK2" s="15"/>
    </row>
    <row r="3" spans="1:63" ht="43.5" x14ac:dyDescent="0.35">
      <c r="A3" s="13" t="s">
        <v>64</v>
      </c>
      <c r="B3" s="13" t="s">
        <v>65</v>
      </c>
      <c r="C3" s="14">
        <v>44225.4</v>
      </c>
      <c r="D3" s="13" t="s">
        <v>66</v>
      </c>
      <c r="E3" s="15" t="s">
        <v>67</v>
      </c>
      <c r="F3" s="13" t="s">
        <v>68</v>
      </c>
      <c r="G3" s="15" t="s">
        <v>69</v>
      </c>
      <c r="H3" s="13" t="s">
        <v>70</v>
      </c>
      <c r="I3" s="15" t="s">
        <v>69</v>
      </c>
      <c r="J3" s="15" t="s">
        <v>71</v>
      </c>
      <c r="K3" s="15" t="s">
        <v>72</v>
      </c>
      <c r="L3" s="13" t="s">
        <v>73</v>
      </c>
      <c r="M3" s="15" t="s">
        <v>69</v>
      </c>
      <c r="N3" s="13" t="s">
        <v>74</v>
      </c>
      <c r="O3" s="15"/>
      <c r="P3" s="15"/>
      <c r="Q3" s="15" t="s">
        <v>114</v>
      </c>
      <c r="R3" s="13" t="s">
        <v>115</v>
      </c>
      <c r="S3" s="13" t="s">
        <v>77</v>
      </c>
      <c r="T3" s="13" t="s">
        <v>116</v>
      </c>
      <c r="U3" s="14">
        <v>44197</v>
      </c>
      <c r="V3" s="14"/>
      <c r="W3" s="15"/>
      <c r="X3" s="13"/>
      <c r="Y3" s="15"/>
      <c r="Z3" s="13"/>
      <c r="AA3" s="15"/>
      <c r="AB3" s="13"/>
      <c r="AC3" s="15"/>
      <c r="AD3" s="13"/>
      <c r="AE3" s="15"/>
      <c r="AF3" s="13"/>
      <c r="AG3" s="15"/>
      <c r="AH3" s="13"/>
      <c r="AI3" s="15"/>
      <c r="AJ3" s="13"/>
      <c r="AK3" s="15"/>
      <c r="AL3" s="13"/>
      <c r="AM3" s="15"/>
      <c r="AN3" s="13"/>
      <c r="AO3" s="15"/>
      <c r="AP3" s="13"/>
      <c r="AQ3" s="15"/>
      <c r="AR3" s="13"/>
      <c r="AS3" s="15"/>
      <c r="AT3" s="13"/>
      <c r="AU3" s="15"/>
      <c r="AV3" s="13"/>
      <c r="AW3" s="15"/>
      <c r="AX3" s="13"/>
      <c r="AY3" s="15"/>
      <c r="AZ3" s="13"/>
      <c r="BA3" s="15"/>
      <c r="BB3" s="13"/>
      <c r="BC3" s="15"/>
      <c r="BD3" s="13"/>
      <c r="BE3" s="15"/>
      <c r="BF3" s="13"/>
      <c r="BG3" s="15"/>
      <c r="BH3" s="13"/>
      <c r="BI3" s="15"/>
      <c r="BJ3" s="13"/>
      <c r="BK3" s="15"/>
    </row>
    <row r="4" spans="1:63" ht="43.5" x14ac:dyDescent="0.35">
      <c r="A4" s="13" t="s">
        <v>64</v>
      </c>
      <c r="B4" s="13" t="s">
        <v>65</v>
      </c>
      <c r="C4" s="14">
        <v>44225.4</v>
      </c>
      <c r="D4" s="13" t="s">
        <v>66</v>
      </c>
      <c r="E4" s="15" t="s">
        <v>67</v>
      </c>
      <c r="F4" s="13" t="s">
        <v>68</v>
      </c>
      <c r="G4" s="15" t="s">
        <v>69</v>
      </c>
      <c r="H4" s="13" t="s">
        <v>70</v>
      </c>
      <c r="I4" s="15" t="s">
        <v>69</v>
      </c>
      <c r="J4" s="15" t="s">
        <v>71</v>
      </c>
      <c r="K4" s="15" t="s">
        <v>72</v>
      </c>
      <c r="L4" s="13" t="s">
        <v>73</v>
      </c>
      <c r="M4" s="15" t="s">
        <v>69</v>
      </c>
      <c r="N4" s="13" t="s">
        <v>74</v>
      </c>
      <c r="O4" s="15"/>
      <c r="P4" s="15"/>
      <c r="Q4" s="15" t="s">
        <v>117</v>
      </c>
      <c r="R4" s="13" t="s">
        <v>118</v>
      </c>
      <c r="S4" s="13" t="s">
        <v>77</v>
      </c>
      <c r="T4" s="13" t="s">
        <v>116</v>
      </c>
      <c r="U4" s="14">
        <v>44197</v>
      </c>
      <c r="V4" s="14"/>
      <c r="W4" s="15"/>
      <c r="X4" s="13"/>
      <c r="Y4" s="15"/>
      <c r="Z4" s="13"/>
      <c r="AA4" s="15"/>
      <c r="AB4" s="13"/>
      <c r="AC4" s="15"/>
      <c r="AD4" s="13"/>
      <c r="AE4" s="15"/>
      <c r="AF4" s="13"/>
      <c r="AG4" s="15"/>
      <c r="AH4" s="13"/>
      <c r="AI4" s="15"/>
      <c r="AJ4" s="13"/>
      <c r="AK4" s="15"/>
      <c r="AL4" s="13"/>
      <c r="AM4" s="15"/>
      <c r="AN4" s="13"/>
      <c r="AO4" s="15"/>
      <c r="AP4" s="13"/>
      <c r="AQ4" s="15"/>
      <c r="AR4" s="13"/>
      <c r="AS4" s="15"/>
      <c r="AT4" s="13"/>
      <c r="AU4" s="15"/>
      <c r="AV4" s="13"/>
      <c r="AW4" s="15"/>
      <c r="AX4" s="13"/>
      <c r="AY4" s="15"/>
      <c r="AZ4" s="13"/>
      <c r="BA4" s="15"/>
      <c r="BB4" s="13"/>
      <c r="BC4" s="15"/>
      <c r="BD4" s="13"/>
      <c r="BE4" s="15"/>
      <c r="BF4" s="13"/>
      <c r="BG4" s="15"/>
      <c r="BH4" s="13"/>
      <c r="BI4" s="15"/>
      <c r="BJ4" s="13"/>
      <c r="BK4" s="15"/>
    </row>
    <row r="5" spans="1:63" ht="43.5" x14ac:dyDescent="0.35">
      <c r="A5" s="13" t="s">
        <v>64</v>
      </c>
      <c r="B5" s="13" t="s">
        <v>65</v>
      </c>
      <c r="C5" s="14">
        <v>44225.400694444441</v>
      </c>
      <c r="D5" s="13" t="s">
        <v>66</v>
      </c>
      <c r="E5" s="15" t="s">
        <v>67</v>
      </c>
      <c r="F5" s="13" t="s">
        <v>68</v>
      </c>
      <c r="G5" s="15" t="s">
        <v>69</v>
      </c>
      <c r="H5" s="13" t="s">
        <v>70</v>
      </c>
      <c r="I5" s="15" t="s">
        <v>69</v>
      </c>
      <c r="J5" s="15" t="s">
        <v>71</v>
      </c>
      <c r="K5" s="15" t="s">
        <v>72</v>
      </c>
      <c r="L5" s="13" t="s">
        <v>73</v>
      </c>
      <c r="M5" s="15" t="s">
        <v>69</v>
      </c>
      <c r="N5" s="13" t="s">
        <v>74</v>
      </c>
      <c r="O5" s="15"/>
      <c r="P5" s="15"/>
      <c r="Q5" s="15" t="s">
        <v>119</v>
      </c>
      <c r="R5" s="13" t="s">
        <v>120</v>
      </c>
      <c r="S5" s="13" t="s">
        <v>77</v>
      </c>
      <c r="T5" s="13" t="s">
        <v>116</v>
      </c>
      <c r="U5" s="14">
        <v>44197</v>
      </c>
      <c r="V5" s="14"/>
      <c r="W5" s="15"/>
      <c r="X5" s="13"/>
      <c r="Y5" s="15"/>
      <c r="Z5" s="13"/>
      <c r="AA5" s="15"/>
      <c r="AB5" s="13"/>
      <c r="AC5" s="15"/>
      <c r="AD5" s="13"/>
      <c r="AE5" s="15"/>
      <c r="AF5" s="13"/>
      <c r="AG5" s="15"/>
      <c r="AH5" s="13"/>
      <c r="AI5" s="15"/>
      <c r="AJ5" s="13"/>
      <c r="AK5" s="15"/>
      <c r="AL5" s="13"/>
      <c r="AM5" s="15"/>
      <c r="AN5" s="13"/>
      <c r="AO5" s="15"/>
      <c r="AP5" s="13"/>
      <c r="AQ5" s="15"/>
      <c r="AR5" s="13"/>
      <c r="AS5" s="15"/>
      <c r="AT5" s="13"/>
      <c r="AU5" s="15"/>
      <c r="AV5" s="13"/>
      <c r="AW5" s="15"/>
      <c r="AX5" s="13"/>
      <c r="AY5" s="15"/>
      <c r="AZ5" s="13"/>
      <c r="BA5" s="15"/>
      <c r="BB5" s="13"/>
      <c r="BC5" s="15"/>
      <c r="BD5" s="13"/>
      <c r="BE5" s="15"/>
      <c r="BF5" s="13"/>
      <c r="BG5" s="15"/>
      <c r="BH5" s="13"/>
      <c r="BI5" s="15"/>
      <c r="BJ5" s="13"/>
      <c r="BK5" s="15"/>
    </row>
    <row r="6" spans="1:63" ht="101.5" x14ac:dyDescent="0.35">
      <c r="A6" s="13" t="s">
        <v>121</v>
      </c>
      <c r="B6" s="13" t="s">
        <v>122</v>
      </c>
      <c r="C6" s="14">
        <v>44832.70208333333</v>
      </c>
      <c r="D6" s="13" t="s">
        <v>66</v>
      </c>
      <c r="E6" s="15" t="s">
        <v>67</v>
      </c>
      <c r="F6" s="13" t="s">
        <v>68</v>
      </c>
      <c r="G6" s="15" t="s">
        <v>69</v>
      </c>
      <c r="H6" s="13" t="s">
        <v>70</v>
      </c>
      <c r="I6" s="15" t="s">
        <v>69</v>
      </c>
      <c r="J6" s="15" t="s">
        <v>71</v>
      </c>
      <c r="K6" s="15" t="s">
        <v>72</v>
      </c>
      <c r="L6" s="13" t="s">
        <v>73</v>
      </c>
      <c r="M6" s="15" t="s">
        <v>69</v>
      </c>
      <c r="N6" s="13" t="s">
        <v>74</v>
      </c>
      <c r="O6" s="15"/>
      <c r="P6" s="15"/>
      <c r="Q6" s="15" t="s">
        <v>123</v>
      </c>
      <c r="R6" s="13" t="s">
        <v>124</v>
      </c>
      <c r="S6" s="13" t="s">
        <v>125</v>
      </c>
      <c r="T6" s="13" t="s">
        <v>78</v>
      </c>
      <c r="U6" s="14">
        <v>44197</v>
      </c>
      <c r="V6" s="14">
        <v>44677</v>
      </c>
      <c r="W6" s="15" t="s">
        <v>126</v>
      </c>
      <c r="X6" s="13" t="s">
        <v>127</v>
      </c>
      <c r="Y6" s="15" t="str">
        <f>VLOOKUP(X6,'Axe 2 Règles de gestion'!$D$2:$F$79,3, FALSE)</f>
        <v>L'entretien professionnel est annuel.</v>
      </c>
      <c r="Z6" s="13" t="s">
        <v>128</v>
      </c>
      <c r="AA6" s="15" t="str">
        <f>VLOOKUP(Z6,'Axe 2 Règles de gestion'!$D$2:$F$79,3, FALSE)</f>
        <v>L'entretien professionnel est conduit par le supérieur hiérarchique direct.</v>
      </c>
      <c r="AB6" s="13" t="s">
        <v>129</v>
      </c>
      <c r="AC6" s="15" t="str">
        <f>VLOOKUP(AB6,'Axe 2 Règles de gestion'!$D$2:$F$79,3, FALSE)</f>
        <v>Le supérieur hiérarchique direct fixe la date de cet entretien et la communique à l'agent au moins 8 jours à l'avance.</v>
      </c>
      <c r="AD6" s="13" t="s">
        <v>131</v>
      </c>
      <c r="AE6" s="15" t="str">
        <f>VLOOKUP(AD6,'Axe 2 Règles de gestion'!$D$2:$F$79,3, FALSE)</f>
        <v>L'entretien professionnel donne lieu à un compte rendu.</v>
      </c>
      <c r="AF6" s="13" t="s">
        <v>132</v>
      </c>
      <c r="AG6" s="15" t="str">
        <f>VLOOKUP(AF6,'Axe 2 Règles de gestion'!$D$2:$F$79,3, FALSE)</f>
        <v>Le compte rendu est établi et signé par le supérieur hiérarchique direct de l'agent.</v>
      </c>
      <c r="AH6" s="13" t="s">
        <v>134</v>
      </c>
      <c r="AI6" s="15" t="str">
        <f>VLOOKUP(AH6,'Axe 2 Règles de gestion'!$D$2:$F$79,3, FALSE)</f>
        <v>Le compte rendu est communiqué à l'agent qui le complète, si besoin, de ses observations.</v>
      </c>
      <c r="AJ6" s="13" t="s">
        <v>135</v>
      </c>
      <c r="AK6" s="15" t="str">
        <f>VLOOKUP(AJ6,'Axe 2 Règles de gestion'!$D$2:$F$79,3, FALSE)</f>
        <v>Le compte rendu est visé par l'autorité hiérarchique qui peut formuler ses propres observations.</v>
      </c>
      <c r="AL6" s="13" t="s">
        <v>136</v>
      </c>
      <c r="AM6" s="15" t="str">
        <f>VLOOKUP(AL6,'Axe 2 Règles de gestion'!$D$2:$F$79,3, FALSE)</f>
        <v>Le compte rendu est notifié à l'agent.</v>
      </c>
      <c r="AN6" s="13" t="s">
        <v>137</v>
      </c>
      <c r="AO6" s="15" t="str">
        <f>VLOOKUP(AN6,'Axe 2 Règles de gestion'!$D$2:$F$79,3, FALSE)</f>
        <v>L'agent doit signer le compte rendu pour attester qu'il en a pris connaissance.</v>
      </c>
      <c r="AP6" s="13" t="s">
        <v>138</v>
      </c>
      <c r="AQ6" s="15" t="str">
        <f>VLOOKUP(AP6,'Axe 2 Règles de gestion'!$D$2:$F$79,3, FALSE)</f>
        <v>L'agent doit retourner le compte rendu à l'autorité hiérarchique qui le verse à son dossier.</v>
      </c>
      <c r="AR6" s="13" t="s">
        <v>139</v>
      </c>
      <c r="AS6" s="15" t="str">
        <f>VLOOKUP(AR6,'Axe 2 Règles de gestion'!$D$2:$F$79,3, FALSE)</f>
        <v>L'agent peut demander à son autorité hiérarchique une révision du compte rendu dans un délai de 15 jours francs à compter de la date de notification à l'agent de ce compte rendu.</v>
      </c>
      <c r="AT6" s="13" t="s">
        <v>140</v>
      </c>
      <c r="AU6" s="15" t="str">
        <f>VLOOKUP(AT6,'Axe 2 Règles de gestion'!$D$2:$F$79,3, FALSE)</f>
        <v>L'autorité hiérarchique notifie sa réponse dans un délai de 15 jours francs à compter de la date de réception de la demande de révision du compte rendu.</v>
      </c>
      <c r="AV6" s="13" t="s">
        <v>141</v>
      </c>
      <c r="AW6" s="15" t="str">
        <f>VLOOKUP(AV6,'Axe 2 Règles de gestion'!$D$2:$F$79,3, FALSE)</f>
        <v>La commission consultative paritaire peut, à la requête de l'agent qui a exercé ce recours, demander à l'autorité hiérarchique la révision du compte rendu de l'entretien professionnel.</v>
      </c>
      <c r="AX6" s="13" t="s">
        <v>143</v>
      </c>
      <c r="AY6" s="15" t="str">
        <f>VLOOKUP(AX6,'Axe 2 Règles de gestion'!$D$2:$F$79,3, FALSE)</f>
        <v>La commission consultative paritaire doit être saisie dans un délai d'1 mois à compter de la date de notification de la réponse de l'autorité hiérarchique dans le cadre du recours.</v>
      </c>
      <c r="AZ6" s="13" t="s">
        <v>145</v>
      </c>
      <c r="BA6" s="15" t="str">
        <f>VLOOKUP(AZ6,'Axe 2 Règles de gestion'!$D$2:$F$79,3, FALSE)</f>
        <v>L'autorité hiérarchique communique à l'agent, qui en accuse réception, le compte rendu définitif de l'entretien professionnel.</v>
      </c>
      <c r="BB6" s="13"/>
      <c r="BC6" s="15"/>
      <c r="BD6" s="13" t="s">
        <v>146</v>
      </c>
      <c r="BE6" s="15" t="str">
        <f>VLOOKUP(BD6,'Axe 2 Règles de gestion'!$D$2:$F$79,3, FALSE)</f>
        <v>L'agent est recruté en contrat à durée indéterminée ou à durée déterminée.</v>
      </c>
      <c r="BF6" s="13" t="s">
        <v>148</v>
      </c>
      <c r="BG6" s="15" t="str">
        <f>VLOOKUP(BF6,'Axe 2 Règles de gestion'!$D$2:$F$79,3, FALSE)</f>
        <v>Dans le cas d'un contrat à durée déterminée, il doit être d'une durée supérieure à 1 an.</v>
      </c>
      <c r="BH6" s="13" t="s">
        <v>150</v>
      </c>
      <c r="BI6" s="15" t="str">
        <f>VLOOKUP(BH6,'Axe 2 Règles de gestion'!$D$2:$F$79,3, FALSE)</f>
        <v>La date de l'entretien professionnel doit être postérieure ou égale à la date de début du lien juridique du contrat.</v>
      </c>
      <c r="BJ6" s="13"/>
      <c r="BK6" s="15"/>
    </row>
    <row r="7" spans="1:63" ht="101.5" x14ac:dyDescent="0.35">
      <c r="A7" s="13" t="s">
        <v>121</v>
      </c>
      <c r="B7" s="13" t="s">
        <v>65</v>
      </c>
      <c r="C7" s="14">
        <v>44832.702777777777</v>
      </c>
      <c r="D7" s="13" t="s">
        <v>66</v>
      </c>
      <c r="E7" s="15" t="s">
        <v>67</v>
      </c>
      <c r="F7" s="13" t="s">
        <v>68</v>
      </c>
      <c r="G7" s="15" t="s">
        <v>69</v>
      </c>
      <c r="H7" s="13" t="s">
        <v>70</v>
      </c>
      <c r="I7" s="15" t="s">
        <v>69</v>
      </c>
      <c r="J7" s="15" t="s">
        <v>71</v>
      </c>
      <c r="K7" s="15" t="s">
        <v>72</v>
      </c>
      <c r="L7" s="13" t="s">
        <v>73</v>
      </c>
      <c r="M7" s="15" t="s">
        <v>69</v>
      </c>
      <c r="N7" s="13" t="s">
        <v>74</v>
      </c>
      <c r="O7" s="15"/>
      <c r="P7" s="15"/>
      <c r="Q7" s="15" t="s">
        <v>123</v>
      </c>
      <c r="R7" s="13" t="s">
        <v>124</v>
      </c>
      <c r="S7" s="13" t="s">
        <v>125</v>
      </c>
      <c r="T7" s="13" t="s">
        <v>78</v>
      </c>
      <c r="U7" s="14">
        <v>44678</v>
      </c>
      <c r="V7" s="14"/>
      <c r="W7" s="15" t="s">
        <v>152</v>
      </c>
      <c r="X7" s="13" t="s">
        <v>127</v>
      </c>
      <c r="Y7" s="15" t="str">
        <f>VLOOKUP(X7,'Axe 2 Règles de gestion'!$D$2:$F$79,3, FALSE)</f>
        <v>L'entretien professionnel est annuel.</v>
      </c>
      <c r="Z7" s="13" t="s">
        <v>128</v>
      </c>
      <c r="AA7" s="15" t="str">
        <f>VLOOKUP(Z7,'Axe 2 Règles de gestion'!$D$2:$F$79,3, FALSE)</f>
        <v>L'entretien professionnel est conduit par le supérieur hiérarchique direct.</v>
      </c>
      <c r="AB7" s="13" t="s">
        <v>129</v>
      </c>
      <c r="AC7" s="15" t="str">
        <f>VLOOKUP(AB7,'Axe 2 Règles de gestion'!$D$2:$F$79,3, FALSE)</f>
        <v>Le supérieur hiérarchique direct fixe la date de cet entretien et la communique à l'agent au moins 8 jours à l'avance.</v>
      </c>
      <c r="AD7" s="13" t="s">
        <v>131</v>
      </c>
      <c r="AE7" s="15" t="str">
        <f>VLOOKUP(AD7,'Axe 2 Règles de gestion'!$D$2:$F$79,3, FALSE)</f>
        <v>L'entretien professionnel donne lieu à un compte rendu.</v>
      </c>
      <c r="AF7" s="13" t="s">
        <v>132</v>
      </c>
      <c r="AG7" s="15" t="str">
        <f>VLOOKUP(AF7,'Axe 2 Règles de gestion'!$D$2:$F$79,3, FALSE)</f>
        <v>Le compte rendu est établi et signé par le supérieur hiérarchique direct de l'agent.</v>
      </c>
      <c r="AH7" s="13" t="s">
        <v>134</v>
      </c>
      <c r="AI7" s="15" t="str">
        <f>VLOOKUP(AH7,'Axe 2 Règles de gestion'!$D$2:$F$79,3, FALSE)</f>
        <v>Le compte rendu est communiqué à l'agent qui le complète, si besoin, de ses observations.</v>
      </c>
      <c r="AJ7" s="13" t="s">
        <v>135</v>
      </c>
      <c r="AK7" s="15" t="str">
        <f>VLOOKUP(AJ7,'Axe 2 Règles de gestion'!$D$2:$F$79,3, FALSE)</f>
        <v>Le compte rendu est visé par l'autorité hiérarchique qui peut formuler ses propres observations.</v>
      </c>
      <c r="AL7" s="13" t="s">
        <v>136</v>
      </c>
      <c r="AM7" s="15" t="str">
        <f>VLOOKUP(AL7,'Axe 2 Règles de gestion'!$D$2:$F$79,3, FALSE)</f>
        <v>Le compte rendu est notifié à l'agent.</v>
      </c>
      <c r="AN7" s="13" t="s">
        <v>137</v>
      </c>
      <c r="AO7" s="15" t="str">
        <f>VLOOKUP(AN7,'Axe 2 Règles de gestion'!$D$2:$F$79,3, FALSE)</f>
        <v>L'agent doit signer le compte rendu pour attester qu'il en a pris connaissance.</v>
      </c>
      <c r="AP7" s="13" t="s">
        <v>138</v>
      </c>
      <c r="AQ7" s="15" t="str">
        <f>VLOOKUP(AP7,'Axe 2 Règles de gestion'!$D$2:$F$79,3, FALSE)</f>
        <v>L'agent doit retourner le compte rendu à l'autorité hiérarchique qui le verse à son dossier.</v>
      </c>
      <c r="AR7" s="13" t="s">
        <v>139</v>
      </c>
      <c r="AS7" s="15" t="str">
        <f>VLOOKUP(AR7,'Axe 2 Règles de gestion'!$D$2:$F$79,3, FALSE)</f>
        <v>L'agent peut demander à son autorité hiérarchique une révision du compte rendu dans un délai de 15 jours francs à compter de la date de notification à l'agent de ce compte rendu.</v>
      </c>
      <c r="AT7" s="13" t="s">
        <v>140</v>
      </c>
      <c r="AU7" s="15" t="str">
        <f>VLOOKUP(AT7,'Axe 2 Règles de gestion'!$D$2:$F$79,3, FALSE)</f>
        <v>L'autorité hiérarchique notifie sa réponse dans un délai de 15 jours francs à compter de la date de réception de la demande de révision du compte rendu.</v>
      </c>
      <c r="AV7" s="13" t="s">
        <v>141</v>
      </c>
      <c r="AW7" s="15" t="str">
        <f>VLOOKUP(AV7,'Axe 2 Règles de gestion'!$D$2:$F$79,3, FALSE)</f>
        <v>La commission consultative paritaire peut, à la requête de l'agent qui a exercé ce recours, demander à l'autorité hiérarchique la révision du compte rendu de l'entretien professionnel.</v>
      </c>
      <c r="AX7" s="13" t="s">
        <v>143</v>
      </c>
      <c r="AY7" s="15" t="str">
        <f>VLOOKUP(AX7,'Axe 2 Règles de gestion'!$D$2:$F$79,3, FALSE)</f>
        <v>La commission consultative paritaire doit être saisie dans un délai d'1 mois à compter de la date de notification de la réponse de l'autorité hiérarchique dans le cadre du recours.</v>
      </c>
      <c r="AZ7" s="13" t="s">
        <v>145</v>
      </c>
      <c r="BA7" s="15" t="str">
        <f>VLOOKUP(AZ7,'Axe 2 Règles de gestion'!$D$2:$F$79,3, FALSE)</f>
        <v>L'autorité hiérarchique communique à l'agent, qui en accuse réception, le compte rendu définitif de l'entretien professionnel.</v>
      </c>
      <c r="BB7" s="13" t="s">
        <v>153</v>
      </c>
      <c r="BC7" s="15" t="str">
        <f>VLOOKUP(BB7,'Axe 2 Règles de gestion'!$D$2:$F$79,3, FALSE)</f>
        <v>La décision relative à la révision du compte rendu de l'entretien professionnel fait l'objet d'une consultation de la commission consultative paritaire.</v>
      </c>
      <c r="BD7" s="13" t="s">
        <v>146</v>
      </c>
      <c r="BE7" s="15" t="str">
        <f>VLOOKUP(BD7,'Axe 2 Règles de gestion'!$D$2:$F$79,3, FALSE)</f>
        <v>L'agent est recruté en contrat à durée indéterminée ou à durée déterminée.</v>
      </c>
      <c r="BF7" s="13" t="s">
        <v>148</v>
      </c>
      <c r="BG7" s="15" t="str">
        <f>VLOOKUP(BF7,'Axe 2 Règles de gestion'!$D$2:$F$79,3, FALSE)</f>
        <v>Dans le cas d'un contrat à durée déterminée, il doit être d'une durée supérieure à 1 an.</v>
      </c>
      <c r="BH7" s="13" t="s">
        <v>150</v>
      </c>
      <c r="BI7" s="15" t="str">
        <f>VLOOKUP(BH7,'Axe 2 Règles de gestion'!$D$2:$F$79,3, FALSE)</f>
        <v>La date de l'entretien professionnel doit être postérieure ou égale à la date de début du lien juridique du contrat.</v>
      </c>
      <c r="BJ7" s="13"/>
      <c r="BK7" s="15"/>
    </row>
    <row r="8" spans="1:63" s="22" customFormat="1" ht="101.5" x14ac:dyDescent="0.35">
      <c r="A8" s="19" t="s">
        <v>155</v>
      </c>
      <c r="B8" s="19" t="s">
        <v>65</v>
      </c>
      <c r="C8" s="20">
        <v>46002.496527777781</v>
      </c>
      <c r="D8" s="19" t="s">
        <v>66</v>
      </c>
      <c r="E8" s="21" t="s">
        <v>67</v>
      </c>
      <c r="F8" s="19" t="s">
        <v>68</v>
      </c>
      <c r="G8" s="21" t="s">
        <v>69</v>
      </c>
      <c r="H8" s="19" t="s">
        <v>70</v>
      </c>
      <c r="I8" s="21" t="s">
        <v>69</v>
      </c>
      <c r="J8" s="21" t="s">
        <v>71</v>
      </c>
      <c r="K8" s="21" t="s">
        <v>72</v>
      </c>
      <c r="L8" s="19" t="s">
        <v>73</v>
      </c>
      <c r="M8" s="21" t="s">
        <v>69</v>
      </c>
      <c r="N8" s="19" t="s">
        <v>74</v>
      </c>
      <c r="O8" s="21"/>
      <c r="P8" s="21"/>
      <c r="Q8" s="21" t="s">
        <v>156</v>
      </c>
      <c r="R8" s="19" t="s">
        <v>157</v>
      </c>
      <c r="S8" s="19" t="s">
        <v>125</v>
      </c>
      <c r="T8" s="19" t="s">
        <v>78</v>
      </c>
      <c r="U8" s="20">
        <v>45901</v>
      </c>
      <c r="V8" s="20"/>
      <c r="W8" s="21" t="s">
        <v>158</v>
      </c>
      <c r="X8" s="19" t="s">
        <v>159</v>
      </c>
      <c r="Y8" s="21" t="str">
        <f>VLOOKUP(X8,'Axe 2 Règles de gestion'!$D$2:$F$79,3, FALSE)</f>
        <v>L'agent bénéficie, sauf dispositions particulières, des dispositions applicables aux agents contractuels recrutés pour répondre à un besoin permanent pour l'entretien professionnel.</v>
      </c>
      <c r="Z8" s="19" t="s">
        <v>127</v>
      </c>
      <c r="AA8" s="21" t="str">
        <f>VLOOKUP(Z8,'Axe 2 Règles de gestion'!$D$2:$F$79,3, FALSE)</f>
        <v>L'entretien professionnel est annuel.</v>
      </c>
      <c r="AB8" s="19" t="s">
        <v>128</v>
      </c>
      <c r="AC8" s="21" t="str">
        <f>VLOOKUP(AB8,'Axe 2 Règles de gestion'!$D$2:$F$79,3, FALSE)</f>
        <v>L'entretien professionnel est conduit par le supérieur hiérarchique direct.</v>
      </c>
      <c r="AD8" s="19" t="s">
        <v>129</v>
      </c>
      <c r="AE8" s="21" t="str">
        <f>VLOOKUP(AD8,'Axe 2 Règles de gestion'!$D$2:$F$79,3, FALSE)</f>
        <v>Le supérieur hiérarchique direct fixe la date de cet entretien et la communique à l'agent au moins 8 jours à l'avance.</v>
      </c>
      <c r="AF8" s="19" t="s">
        <v>131</v>
      </c>
      <c r="AG8" s="21" t="str">
        <f>VLOOKUP(AF8,'Axe 2 Règles de gestion'!$D$2:$F$79,3, FALSE)</f>
        <v>L'entretien professionnel donne lieu à un compte rendu.</v>
      </c>
      <c r="AH8" s="19" t="s">
        <v>132</v>
      </c>
      <c r="AI8" s="21" t="str">
        <f>VLOOKUP(AH8,'Axe 2 Règles de gestion'!$D$2:$F$79,3, FALSE)</f>
        <v>Le compte rendu est établi et signé par le supérieur hiérarchique direct de l'agent.</v>
      </c>
      <c r="AJ8" s="19" t="s">
        <v>134</v>
      </c>
      <c r="AK8" s="21" t="str">
        <f>VLOOKUP(AJ8,'Axe 2 Règles de gestion'!$D$2:$F$79,3, FALSE)</f>
        <v>Le compte rendu est communiqué à l'agent qui le complète, si besoin, de ses observations.</v>
      </c>
      <c r="AL8" s="19" t="s">
        <v>135</v>
      </c>
      <c r="AM8" s="21" t="str">
        <f>VLOOKUP(AL8,'Axe 2 Règles de gestion'!$D$2:$F$79,3, FALSE)</f>
        <v>Le compte rendu est visé par l'autorité hiérarchique qui peut formuler ses propres observations.</v>
      </c>
      <c r="AN8" s="19" t="s">
        <v>136</v>
      </c>
      <c r="AO8" s="21" t="str">
        <f>VLOOKUP(AN8,'Axe 2 Règles de gestion'!$D$2:$F$79,3, FALSE)</f>
        <v>Le compte rendu est notifié à l'agent.</v>
      </c>
      <c r="AP8" s="19" t="s">
        <v>137</v>
      </c>
      <c r="AQ8" s="21" t="str">
        <f>VLOOKUP(AP8,'Axe 2 Règles de gestion'!$D$2:$F$79,3, FALSE)</f>
        <v>L'agent doit signer le compte rendu pour attester qu'il en a pris connaissance.</v>
      </c>
      <c r="AR8" s="19" t="s">
        <v>138</v>
      </c>
      <c r="AS8" s="21" t="str">
        <f>VLOOKUP(AR8,'Axe 2 Règles de gestion'!$D$2:$F$79,3, FALSE)</f>
        <v>L'agent doit retourner le compte rendu à l'autorité hiérarchique qui le verse à son dossier.</v>
      </c>
      <c r="AT8" s="19" t="s">
        <v>139</v>
      </c>
      <c r="AU8" s="21" t="str">
        <f>VLOOKUP(AT8,'Axe 2 Règles de gestion'!$D$2:$F$79,3, FALSE)</f>
        <v>L'agent peut demander à son autorité hiérarchique une révision du compte rendu dans un délai de 15 jours francs à compter de la date de notification à l'agent de ce compte rendu.</v>
      </c>
      <c r="AV8" s="19" t="s">
        <v>140</v>
      </c>
      <c r="AW8" s="21" t="str">
        <f>VLOOKUP(AV8,'Axe 2 Règles de gestion'!$D$2:$F$79,3, FALSE)</f>
        <v>L'autorité hiérarchique notifie sa réponse dans un délai de 15 jours francs à compter de la date de réception de la demande de révision du compte rendu.</v>
      </c>
      <c r="AX8" s="19" t="s">
        <v>161</v>
      </c>
      <c r="AY8" s="21" t="str">
        <f>VLOOKUP(AX8,'Axe 2 Règles de gestion'!$D$2:$F$79,3, FALSE)</f>
        <v>La commission consultative est consultée pour la révision du compte-rendu de l'entretien professionnel.</v>
      </c>
      <c r="AZ8" s="19" t="s">
        <v>145</v>
      </c>
      <c r="BA8" s="21" t="str">
        <f>VLOOKUP(AZ8,'Axe 2 Règles de gestion'!$D$2:$F$79,3, FALSE)</f>
        <v>L'autorité hiérarchique communique à l'agent, qui en accuse réception, le compte rendu définitif de l'entretien professionnel.</v>
      </c>
      <c r="BB8" s="19"/>
      <c r="BC8" s="21"/>
      <c r="BD8" s="19" t="s">
        <v>146</v>
      </c>
      <c r="BE8" s="21" t="str">
        <f>VLOOKUP(BD8,'Axe 2 Règles de gestion'!$D$2:$F$79,3, FALSE)</f>
        <v>L'agent est recruté en contrat à durée indéterminée ou à durée déterminée.</v>
      </c>
      <c r="BF8" s="19" t="s">
        <v>148</v>
      </c>
      <c r="BG8" s="21" t="str">
        <f>VLOOKUP(BF8,'Axe 2 Règles de gestion'!$D$2:$F$79,3, FALSE)</f>
        <v>Dans le cas d'un contrat à durée déterminée, il doit être d'une durée supérieure à 1 an.</v>
      </c>
      <c r="BH8" s="19" t="s">
        <v>150</v>
      </c>
      <c r="BI8" s="21" t="str">
        <f>VLOOKUP(BH8,'Axe 2 Règles de gestion'!$D$2:$F$79,3, FALSE)</f>
        <v>La date de l'entretien professionnel doit être postérieure ou égale à la date de début du lien juridique du contrat.</v>
      </c>
      <c r="BJ8" s="19" t="s">
        <v>163</v>
      </c>
      <c r="BK8" s="21"/>
    </row>
    <row r="9" spans="1:63" ht="43.5" x14ac:dyDescent="0.35">
      <c r="A9" s="13" t="s">
        <v>64</v>
      </c>
      <c r="B9" s="13" t="s">
        <v>65</v>
      </c>
      <c r="C9" s="14">
        <v>44225.402777777781</v>
      </c>
      <c r="D9" s="13" t="s">
        <v>66</v>
      </c>
      <c r="E9" s="15" t="s">
        <v>67</v>
      </c>
      <c r="F9" s="13" t="s">
        <v>68</v>
      </c>
      <c r="G9" s="15" t="s">
        <v>69</v>
      </c>
      <c r="H9" s="13" t="s">
        <v>70</v>
      </c>
      <c r="I9" s="15" t="s">
        <v>69</v>
      </c>
      <c r="J9" s="15" t="s">
        <v>71</v>
      </c>
      <c r="K9" s="15" t="s">
        <v>72</v>
      </c>
      <c r="L9" s="13" t="s">
        <v>73</v>
      </c>
      <c r="M9" s="15" t="s">
        <v>69</v>
      </c>
      <c r="N9" s="13" t="s">
        <v>74</v>
      </c>
      <c r="O9" s="15"/>
      <c r="P9" s="15"/>
      <c r="Q9" s="15" t="s">
        <v>164</v>
      </c>
      <c r="R9" s="13" t="s">
        <v>165</v>
      </c>
      <c r="S9" s="13" t="s">
        <v>125</v>
      </c>
      <c r="T9" s="13" t="s">
        <v>116</v>
      </c>
      <c r="U9" s="14">
        <v>44197</v>
      </c>
      <c r="V9" s="14"/>
      <c r="W9" s="15"/>
      <c r="X9" s="13"/>
      <c r="Y9" s="15"/>
      <c r="Z9" s="13"/>
      <c r="AA9" s="15"/>
      <c r="AB9" s="13"/>
      <c r="AC9" s="15"/>
      <c r="AD9" s="13"/>
      <c r="AE9" s="15"/>
      <c r="AF9" s="13"/>
      <c r="AG9" s="15"/>
      <c r="AH9" s="13"/>
      <c r="AI9" s="15"/>
      <c r="AJ9" s="13"/>
      <c r="AK9" s="15"/>
      <c r="AL9" s="13"/>
      <c r="AM9" s="15"/>
      <c r="AN9" s="13"/>
      <c r="AO9" s="15"/>
      <c r="AP9" s="13"/>
      <c r="AQ9" s="15"/>
      <c r="AR9" s="13"/>
      <c r="AS9" s="15"/>
      <c r="AT9" s="13"/>
      <c r="AU9" s="15"/>
      <c r="AV9" s="13"/>
      <c r="AW9" s="15"/>
      <c r="AX9" s="13"/>
      <c r="AY9" s="15"/>
      <c r="AZ9" s="13"/>
      <c r="BA9" s="15"/>
      <c r="BB9" s="13"/>
      <c r="BC9" s="15"/>
      <c r="BD9" s="13"/>
      <c r="BE9" s="15"/>
      <c r="BF9" s="13"/>
      <c r="BG9" s="15"/>
      <c r="BH9" s="13"/>
      <c r="BI9" s="15"/>
      <c r="BJ9" s="13"/>
      <c r="BK9" s="15"/>
    </row>
    <row r="10" spans="1:63" ht="101.5" x14ac:dyDescent="0.35">
      <c r="A10" s="13" t="s">
        <v>121</v>
      </c>
      <c r="B10" s="13" t="s">
        <v>122</v>
      </c>
      <c r="C10" s="14">
        <v>44832.703472222223</v>
      </c>
      <c r="D10" s="13" t="s">
        <v>66</v>
      </c>
      <c r="E10" s="15" t="s">
        <v>67</v>
      </c>
      <c r="F10" s="13" t="s">
        <v>68</v>
      </c>
      <c r="G10" s="15" t="s">
        <v>69</v>
      </c>
      <c r="H10" s="13" t="s">
        <v>70</v>
      </c>
      <c r="I10" s="15" t="s">
        <v>69</v>
      </c>
      <c r="J10" s="15" t="s">
        <v>71</v>
      </c>
      <c r="K10" s="15" t="s">
        <v>72</v>
      </c>
      <c r="L10" s="13" t="s">
        <v>73</v>
      </c>
      <c r="M10" s="15" t="s">
        <v>69</v>
      </c>
      <c r="N10" s="13" t="s">
        <v>74</v>
      </c>
      <c r="O10" s="15"/>
      <c r="P10" s="15"/>
      <c r="Q10" s="15" t="s">
        <v>166</v>
      </c>
      <c r="R10" s="13" t="s">
        <v>167</v>
      </c>
      <c r="S10" s="13" t="s">
        <v>125</v>
      </c>
      <c r="T10" s="13" t="s">
        <v>78</v>
      </c>
      <c r="U10" s="14">
        <v>44197</v>
      </c>
      <c r="V10" s="14">
        <v>44677</v>
      </c>
      <c r="W10" s="15" t="s">
        <v>168</v>
      </c>
      <c r="X10" s="13" t="s">
        <v>169</v>
      </c>
      <c r="Y10" s="15" t="str">
        <f>VLOOKUP(X10,'Axe 2 Règles de gestion'!$D$2:$F$79,3, FALSE)</f>
        <v>L'entretien professionnel est annuel.</v>
      </c>
      <c r="Z10" s="13" t="s">
        <v>170</v>
      </c>
      <c r="AA10" s="15" t="str">
        <f>VLOOKUP(Z10,'Axe 2 Règles de gestion'!$D$2:$F$79,3, FALSE)</f>
        <v>L'entretien professionnel est conduit par le supérieur hiérarchique direct.</v>
      </c>
      <c r="AB10" s="13" t="s">
        <v>171</v>
      </c>
      <c r="AC10" s="15" t="str">
        <f>VLOOKUP(AB10,'Axe 2 Règles de gestion'!$D$2:$F$79,3, FALSE)</f>
        <v>Le supérieur hiérarchique direct fixe la date de cet entretien et la communique à l'agent au moins 8 jours à l'avance.</v>
      </c>
      <c r="AD10" s="13" t="s">
        <v>172</v>
      </c>
      <c r="AE10" s="15" t="str">
        <f>VLOOKUP(AD10,'Axe 2 Règles de gestion'!$D$2:$F$79,3, FALSE)</f>
        <v>L'entretien professionnel donne lieu à un compte rendu.</v>
      </c>
      <c r="AF10" s="13" t="s">
        <v>173</v>
      </c>
      <c r="AG10" s="15" t="str">
        <f>VLOOKUP(AF10,'Axe 2 Règles de gestion'!$D$2:$F$79,3, FALSE)</f>
        <v>Le compte rendu est établi et signé par le supérieur hiérarchique direct de l'agent.</v>
      </c>
      <c r="AH10" s="13" t="s">
        <v>174</v>
      </c>
      <c r="AI10" s="15" t="str">
        <f>VLOOKUP(AH10,'Axe 2 Règles de gestion'!$D$2:$F$79,3, FALSE)</f>
        <v>Le compte rendu est communiqué à l'agent qui le complète, si besoin, de ses observations.</v>
      </c>
      <c r="AJ10" s="13" t="s">
        <v>175</v>
      </c>
      <c r="AK10" s="15" t="str">
        <f>VLOOKUP(AJ10,'Axe 2 Règles de gestion'!$D$2:$F$79,3, FALSE)</f>
        <v>Le compte rendu est visé par l'autorité hiérarchique qui peut formuler ses propres observations.</v>
      </c>
      <c r="AL10" s="13" t="s">
        <v>176</v>
      </c>
      <c r="AM10" s="15" t="str">
        <f>VLOOKUP(AL10,'Axe 2 Règles de gestion'!$D$2:$F$79,3, FALSE)</f>
        <v>Le compte rendu est notifié à l'agent.</v>
      </c>
      <c r="AN10" s="13" t="s">
        <v>177</v>
      </c>
      <c r="AO10" s="15" t="str">
        <f>VLOOKUP(AN10,'Axe 2 Règles de gestion'!$D$2:$F$79,3, FALSE)</f>
        <v>L'agent doit signer le compte rendu pour attester qu'il en a pris connaissance.</v>
      </c>
      <c r="AP10" s="13" t="s">
        <v>178</v>
      </c>
      <c r="AQ10" s="15" t="str">
        <f>VLOOKUP(AP10,'Axe 2 Règles de gestion'!$D$2:$F$79,3, FALSE)</f>
        <v>L'agent doit retourner le compte rendu à l'autorité hiérarchique qui le verse à son dossier.</v>
      </c>
      <c r="AR10" s="13" t="s">
        <v>179</v>
      </c>
      <c r="AS10" s="15" t="str">
        <f>VLOOKUP(AR10,'Axe 2 Règles de gestion'!$D$2:$F$79,3, FALSE)</f>
        <v>L'agent peut demander à son autorité hiérarchique une révision du compte rendu dans un délai de 15 jours francs à compter de la date de notification à l'agent de ce compte rendu.</v>
      </c>
      <c r="AT10" s="13" t="s">
        <v>180</v>
      </c>
      <c r="AU10" s="15" t="str">
        <f>VLOOKUP(AT10,'Axe 2 Règles de gestion'!$D$2:$F$79,3, FALSE)</f>
        <v>L'autorité hiérarchique notifie sa réponse dans un délai de 15 jours francs à compter de la date de réception de la demande de révision du compte rendu.</v>
      </c>
      <c r="AV10" s="13" t="s">
        <v>181</v>
      </c>
      <c r="AW10" s="15" t="str">
        <f>VLOOKUP(AV10,'Axe 2 Règles de gestion'!$D$2:$F$79,3, FALSE)</f>
        <v>La commission consultative paritaire peut, à la requête de l'agent qui a exercé ce recours, demander à l'autorité hiérarchique la révision du compte rendu de l'entretien professionnel.</v>
      </c>
      <c r="AX10" s="13" t="s">
        <v>182</v>
      </c>
      <c r="AY10" s="15" t="str">
        <f>VLOOKUP(AX10,'Axe 2 Règles de gestion'!$D$2:$F$79,3, FALSE)</f>
        <v>La commission consultative paritaire doit être saisie dans un délai d'1 mois à compter de la date de notification de la réponse de l'autorité hiérarchique dans le cadre du recours.</v>
      </c>
      <c r="AZ10" s="13" t="s">
        <v>183</v>
      </c>
      <c r="BA10" s="15" t="str">
        <f>VLOOKUP(AZ10,'Axe 2 Règles de gestion'!$D$2:$F$79,3, FALSE)</f>
        <v>L'autorité hiérarchique communique à l'agent, qui en accuse réception, le compte rendu définitif de l'entretien professionnel.</v>
      </c>
      <c r="BB10" s="13"/>
      <c r="BC10" s="15"/>
      <c r="BD10" s="13"/>
      <c r="BE10" s="15"/>
      <c r="BF10" s="13"/>
      <c r="BG10" s="15"/>
      <c r="BH10" s="13" t="s">
        <v>150</v>
      </c>
      <c r="BI10" s="15" t="str">
        <f>VLOOKUP(BH10,'Axe 2 Règles de gestion'!$D$2:$F$79,3, FALSE)</f>
        <v>La date de l'entretien professionnel doit être postérieure ou égale à la date de début du lien juridique du contrat.</v>
      </c>
      <c r="BJ10" s="13"/>
      <c r="BK10" s="15"/>
    </row>
    <row r="11" spans="1:63" ht="101.5" x14ac:dyDescent="0.35">
      <c r="A11" s="13" t="s">
        <v>121</v>
      </c>
      <c r="B11" s="13" t="s">
        <v>65</v>
      </c>
      <c r="C11" s="14">
        <v>44832.705555555556</v>
      </c>
      <c r="D11" s="13" t="s">
        <v>66</v>
      </c>
      <c r="E11" s="15" t="s">
        <v>67</v>
      </c>
      <c r="F11" s="13" t="s">
        <v>68</v>
      </c>
      <c r="G11" s="15" t="s">
        <v>69</v>
      </c>
      <c r="H11" s="13" t="s">
        <v>70</v>
      </c>
      <c r="I11" s="15" t="s">
        <v>69</v>
      </c>
      <c r="J11" s="15" t="s">
        <v>71</v>
      </c>
      <c r="K11" s="15" t="s">
        <v>72</v>
      </c>
      <c r="L11" s="13" t="s">
        <v>73</v>
      </c>
      <c r="M11" s="15" t="s">
        <v>69</v>
      </c>
      <c r="N11" s="13" t="s">
        <v>74</v>
      </c>
      <c r="O11" s="15"/>
      <c r="P11" s="15"/>
      <c r="Q11" s="15" t="s">
        <v>166</v>
      </c>
      <c r="R11" s="13" t="s">
        <v>167</v>
      </c>
      <c r="S11" s="13" t="s">
        <v>125</v>
      </c>
      <c r="T11" s="13" t="s">
        <v>78</v>
      </c>
      <c r="U11" s="14">
        <v>44678</v>
      </c>
      <c r="V11" s="14"/>
      <c r="W11" s="15" t="s">
        <v>184</v>
      </c>
      <c r="X11" s="13" t="s">
        <v>169</v>
      </c>
      <c r="Y11" s="15" t="str">
        <f>VLOOKUP(X11,'Axe 2 Règles de gestion'!$D$2:$F$79,3, FALSE)</f>
        <v>L'entretien professionnel est annuel.</v>
      </c>
      <c r="Z11" s="13" t="s">
        <v>170</v>
      </c>
      <c r="AA11" s="15" t="str">
        <f>VLOOKUP(Z11,'Axe 2 Règles de gestion'!$D$2:$F$79,3, FALSE)</f>
        <v>L'entretien professionnel est conduit par le supérieur hiérarchique direct.</v>
      </c>
      <c r="AB11" s="13" t="s">
        <v>171</v>
      </c>
      <c r="AC11" s="15" t="str">
        <f>VLOOKUP(AB11,'Axe 2 Règles de gestion'!$D$2:$F$79,3, FALSE)</f>
        <v>Le supérieur hiérarchique direct fixe la date de cet entretien et la communique à l'agent au moins 8 jours à l'avance.</v>
      </c>
      <c r="AD11" s="13" t="s">
        <v>172</v>
      </c>
      <c r="AE11" s="15" t="str">
        <f>VLOOKUP(AD11,'Axe 2 Règles de gestion'!$D$2:$F$79,3, FALSE)</f>
        <v>L'entretien professionnel donne lieu à un compte rendu.</v>
      </c>
      <c r="AF11" s="13" t="s">
        <v>173</v>
      </c>
      <c r="AG11" s="15" t="str">
        <f>VLOOKUP(AF11,'Axe 2 Règles de gestion'!$D$2:$F$79,3, FALSE)</f>
        <v>Le compte rendu est établi et signé par le supérieur hiérarchique direct de l'agent.</v>
      </c>
      <c r="AH11" s="13" t="s">
        <v>174</v>
      </c>
      <c r="AI11" s="15" t="str">
        <f>VLOOKUP(AH11,'Axe 2 Règles de gestion'!$D$2:$F$79,3, FALSE)</f>
        <v>Le compte rendu est communiqué à l'agent qui le complète, si besoin, de ses observations.</v>
      </c>
      <c r="AJ11" s="13" t="s">
        <v>175</v>
      </c>
      <c r="AK11" s="15" t="str">
        <f>VLOOKUP(AJ11,'Axe 2 Règles de gestion'!$D$2:$F$79,3, FALSE)</f>
        <v>Le compte rendu est visé par l'autorité hiérarchique qui peut formuler ses propres observations.</v>
      </c>
      <c r="AL11" s="13" t="s">
        <v>176</v>
      </c>
      <c r="AM11" s="15" t="str">
        <f>VLOOKUP(AL11,'Axe 2 Règles de gestion'!$D$2:$F$79,3, FALSE)</f>
        <v>Le compte rendu est notifié à l'agent.</v>
      </c>
      <c r="AN11" s="13" t="s">
        <v>177</v>
      </c>
      <c r="AO11" s="15" t="str">
        <f>VLOOKUP(AN11,'Axe 2 Règles de gestion'!$D$2:$F$79,3, FALSE)</f>
        <v>L'agent doit signer le compte rendu pour attester qu'il en a pris connaissance.</v>
      </c>
      <c r="AP11" s="13" t="s">
        <v>178</v>
      </c>
      <c r="AQ11" s="15" t="str">
        <f>VLOOKUP(AP11,'Axe 2 Règles de gestion'!$D$2:$F$79,3, FALSE)</f>
        <v>L'agent doit retourner le compte rendu à l'autorité hiérarchique qui le verse à son dossier.</v>
      </c>
      <c r="AR11" s="13" t="s">
        <v>179</v>
      </c>
      <c r="AS11" s="15" t="str">
        <f>VLOOKUP(AR11,'Axe 2 Règles de gestion'!$D$2:$F$79,3, FALSE)</f>
        <v>L'agent peut demander à son autorité hiérarchique une révision du compte rendu dans un délai de 15 jours francs à compter de la date de notification à l'agent de ce compte rendu.</v>
      </c>
      <c r="AT11" s="13" t="s">
        <v>180</v>
      </c>
      <c r="AU11" s="15" t="str">
        <f>VLOOKUP(AT11,'Axe 2 Règles de gestion'!$D$2:$F$79,3, FALSE)</f>
        <v>L'autorité hiérarchique notifie sa réponse dans un délai de 15 jours francs à compter de la date de réception de la demande de révision du compte rendu.</v>
      </c>
      <c r="AV11" s="13" t="s">
        <v>185</v>
      </c>
      <c r="AW11" s="15" t="str">
        <f>VLOOKUP(AV11,'Axe 2 Règles de gestion'!$D$2:$F$79,3, FALSE)</f>
        <v>La décision relative à la révision du compte rendu de l'entretien professionnel fait l'objet d'une consultation de la commission consultative paritaire.</v>
      </c>
      <c r="AX11" s="13" t="s">
        <v>181</v>
      </c>
      <c r="AY11" s="15" t="str">
        <f>VLOOKUP(AX11,'Axe 2 Règles de gestion'!$D$2:$F$79,3, FALSE)</f>
        <v>La commission consultative paritaire peut, à la requête de l'agent qui a exercé ce recours, demander à l'autorité hiérarchique la révision du compte rendu de l'entretien professionnel.</v>
      </c>
      <c r="AZ11" s="13" t="s">
        <v>182</v>
      </c>
      <c r="BA11" s="15" t="str">
        <f>VLOOKUP(AZ11,'Axe 2 Règles de gestion'!$D$2:$F$79,3, FALSE)</f>
        <v>La commission consultative paritaire doit être saisie dans un délai d'1 mois à compter de la date de notification de la réponse de l'autorité hiérarchique dans le cadre du recours.</v>
      </c>
      <c r="BB11" s="13" t="s">
        <v>183</v>
      </c>
      <c r="BC11" s="15" t="str">
        <f>VLOOKUP(BB11,'Axe 2 Règles de gestion'!$D$2:$F$79,3, FALSE)</f>
        <v>L'autorité hiérarchique communique à l'agent, qui en accuse réception, le compte rendu définitif de l'entretien professionnel.</v>
      </c>
      <c r="BD11" s="13"/>
      <c r="BE11" s="15"/>
      <c r="BF11" s="13"/>
      <c r="BG11" s="15"/>
      <c r="BH11" s="13" t="s">
        <v>150</v>
      </c>
      <c r="BI11" s="15" t="str">
        <f>VLOOKUP(BH11,'Axe 2 Règles de gestion'!$D$2:$F$79,3, FALSE)</f>
        <v>La date de l'entretien professionnel doit être postérieure ou égale à la date de début du lien juridique du contrat.</v>
      </c>
      <c r="BJ11" s="13"/>
      <c r="BK11" s="15"/>
    </row>
    <row r="12" spans="1:63" s="22" customFormat="1" ht="145" x14ac:dyDescent="0.35">
      <c r="A12" s="19" t="s">
        <v>155</v>
      </c>
      <c r="B12" s="19" t="s">
        <v>65</v>
      </c>
      <c r="C12" s="20">
        <v>45917.711805555555</v>
      </c>
      <c r="D12" s="19" t="s">
        <v>66</v>
      </c>
      <c r="E12" s="21" t="s">
        <v>67</v>
      </c>
      <c r="F12" s="19" t="s">
        <v>68</v>
      </c>
      <c r="G12" s="21" t="s">
        <v>69</v>
      </c>
      <c r="H12" s="19" t="s">
        <v>186</v>
      </c>
      <c r="I12" s="21" t="s">
        <v>187</v>
      </c>
      <c r="J12" s="21"/>
      <c r="K12" s="21"/>
      <c r="L12" s="19" t="s">
        <v>188</v>
      </c>
      <c r="M12" s="21" t="s">
        <v>189</v>
      </c>
      <c r="N12" s="19" t="s">
        <v>74</v>
      </c>
      <c r="O12" s="21"/>
      <c r="P12" s="21"/>
      <c r="Q12" s="21" t="s">
        <v>75</v>
      </c>
      <c r="R12" s="19" t="s">
        <v>76</v>
      </c>
      <c r="S12" s="19" t="s">
        <v>77</v>
      </c>
      <c r="T12" s="19" t="s">
        <v>78</v>
      </c>
      <c r="U12" s="20">
        <v>45689</v>
      </c>
      <c r="V12" s="20"/>
      <c r="W12" s="21" t="s">
        <v>190</v>
      </c>
      <c r="X12" s="19" t="s">
        <v>191</v>
      </c>
      <c r="Y12" s="21" t="str">
        <f>VLOOKUP(X12,'Axe 2 Règles de gestion'!$D$2:$F$79,3, FALSE)</f>
        <v>L'agent est en décharge d'activité de services à titre syndical.</v>
      </c>
      <c r="Z12" s="19" t="s">
        <v>193</v>
      </c>
      <c r="AA12" s="21" t="str">
        <f>VLOOKUP(Z12,'Axe 2 Règles de gestion'!$D$2:$F$79,3, FALSE)</f>
        <v>L'agent peut bénéficier, sur demande, d'un entretien annuel d'accompagnement.</v>
      </c>
      <c r="AB12" s="19" t="s">
        <v>195</v>
      </c>
      <c r="AC12" s="21" t="str">
        <f>VLOOKUP(AB12,'Axe 2 Règles de gestion'!$D$2:$F$79,3, FALSE)</f>
        <v>L'agent consacrant l'intégralité de son service à une activité syndicale bénéficie, de droit, d'un entretien annuel d'accompagnement intervenant avant le terme de sa décharge d'activité de service.</v>
      </c>
      <c r="AD12" s="19" t="s">
        <v>197</v>
      </c>
      <c r="AE12" s="21" t="str">
        <f>VLOOKUP(AD12,'Axe 2 Règles de gestion'!$D$2:$F$79,3, FALSE)</f>
        <v>L'entretien annuel est conduit par le responsable des ressources humaines du service ou de l'établissement de l'agent.</v>
      </c>
      <c r="AF12" s="19" t="s">
        <v>199</v>
      </c>
      <c r="AG12" s="21" t="str">
        <f>VLOOKUP(AF12,'Axe 2 Règles de gestion'!$D$2:$F$79,3, FALSE)</f>
        <v>Le responsable des ressources humaines fixe la date de l'entretien d'accompagnement et la communique à l'agent par tout moyen conférant date certaine.</v>
      </c>
      <c r="AH12" s="19" t="s">
        <v>201</v>
      </c>
      <c r="AI12" s="21" t="str">
        <f>VLOOKUP(AH12,'Axe 2 Règles de gestion'!$D$2:$F$79,3, FALSE)</f>
        <v>L'entretien d'accompagnement ne peut avoir lieu moins de 8 jours ouvrables après la réception de la convocation.</v>
      </c>
      <c r="AJ12" s="19" t="s">
        <v>203</v>
      </c>
      <c r="AK12" s="21" t="str">
        <f>VLOOKUP(AJ12,'Axe 2 Règles de gestion'!$D$2:$F$79,3, FALSE)</f>
        <v>L'entretien d'accompagnement porte sur les acquis de l'expérience professionnelle dont ceux résultant d'activités syndicales, les besoins de formation professionnelle et les perspectives d'évolution professionnelle en termes de carrière et de mobilité.</v>
      </c>
      <c r="AL12" s="19" t="s">
        <v>205</v>
      </c>
      <c r="AM12" s="21" t="str">
        <f>VLOOKUP(AL12,'Axe 2 Règles de gestion'!$D$2:$F$79,3, FALSE)</f>
        <v>Le compte rendu est établi, signé et adressé par le responsable des ressources humaines à l'agent dans un délai maximal d'1 mois.</v>
      </c>
      <c r="AN12" s="19" t="s">
        <v>207</v>
      </c>
      <c r="AO12" s="21" t="str">
        <f>VLOOKUP(AN12,'Axe 2 Règles de gestion'!$D$2:$F$79,3, FALSE)</f>
        <v>Le compte rendu ne peut comporter aucune appréciation de la valeur professionnelle de l'agent.</v>
      </c>
      <c r="AP12" s="19" t="s">
        <v>209</v>
      </c>
      <c r="AQ12" s="21" t="str">
        <f>VLOOKUP(AP12,'Axe 2 Règles de gestion'!$D$2:$F$79,3, FALSE)</f>
        <v>Le compte rendu de l'entretien d'accompagnement se substitue au compte rendu de l'entretien professionnel si l'agent ne bénéficie pas d'un entretien de suivi.</v>
      </c>
      <c r="AR12" s="19" t="s">
        <v>211</v>
      </c>
      <c r="AS12" s="21" t="str">
        <f>VLOOKUP(AR12,'Axe 2 Règles de gestion'!$D$2:$F$79,3, FALSE)</f>
        <v>Le compte rendu est communiqué à l'agent qui le complète, si besoin, de ses observations.</v>
      </c>
      <c r="AT12" s="19" t="s">
        <v>212</v>
      </c>
      <c r="AU12" s="21" t="str">
        <f>VLOOKUP(AT12,'Axe 2 Règles de gestion'!$D$2:$F$79,3, FALSE)</f>
        <v>Le compte rendu est signé par le responsable des ressources humaines qui peut formuler, si besoin, ses propres observations.</v>
      </c>
      <c r="AV12" s="19" t="s">
        <v>214</v>
      </c>
      <c r="AW12" s="21" t="str">
        <f>VLOOKUP(AV12,'Axe 2 Règles de gestion'!$D$2:$F$79,3, FALSE)</f>
        <v>Le compte rendu est notifié à l'agent.</v>
      </c>
      <c r="AX12" s="19" t="s">
        <v>215</v>
      </c>
      <c r="AY12" s="21" t="str">
        <f>VLOOKUP(AX12,'Axe 2 Règles de gestion'!$D$2:$F$79,3, FALSE)</f>
        <v>L'agent doit signer le compte rendu pour attester qu'il en a pris connaissance.</v>
      </c>
      <c r="AZ12" s="19" t="s">
        <v>216</v>
      </c>
      <c r="BA12" s="21" t="str">
        <f>VLOOKUP(AZ12,'Axe 2 Règles de gestion'!$D$2:$F$79,3, FALSE)</f>
        <v>L'agent doit retourner le compte rendu au responsable des ressources humaines qui le verse à son dossier.</v>
      </c>
      <c r="BB12" s="19"/>
      <c r="BC12" s="21"/>
      <c r="BD12" s="19"/>
      <c r="BE12" s="21"/>
      <c r="BF12" s="19"/>
      <c r="BG12" s="21"/>
      <c r="BH12" s="19"/>
      <c r="BI12" s="21"/>
      <c r="BJ12" s="19" t="s">
        <v>218</v>
      </c>
      <c r="BK12" s="21"/>
    </row>
    <row r="13" spans="1:63" s="22" customFormat="1" ht="145" x14ac:dyDescent="0.35">
      <c r="A13" s="19" t="s">
        <v>155</v>
      </c>
      <c r="B13" s="19" t="s">
        <v>65</v>
      </c>
      <c r="C13" s="20">
        <v>45917.714583333334</v>
      </c>
      <c r="D13" s="19" t="s">
        <v>66</v>
      </c>
      <c r="E13" s="21" t="s">
        <v>67</v>
      </c>
      <c r="F13" s="19" t="s">
        <v>68</v>
      </c>
      <c r="G13" s="21" t="s">
        <v>69</v>
      </c>
      <c r="H13" s="19" t="s">
        <v>186</v>
      </c>
      <c r="I13" s="21" t="s">
        <v>187</v>
      </c>
      <c r="J13" s="21"/>
      <c r="K13" s="21"/>
      <c r="L13" s="19" t="s">
        <v>188</v>
      </c>
      <c r="M13" s="21" t="s">
        <v>189</v>
      </c>
      <c r="N13" s="19" t="s">
        <v>74</v>
      </c>
      <c r="O13" s="21"/>
      <c r="P13" s="21"/>
      <c r="Q13" s="21" t="s">
        <v>114</v>
      </c>
      <c r="R13" s="19" t="s">
        <v>115</v>
      </c>
      <c r="S13" s="19" t="s">
        <v>77</v>
      </c>
      <c r="T13" s="19" t="s">
        <v>78</v>
      </c>
      <c r="U13" s="20">
        <v>45689</v>
      </c>
      <c r="V13" s="20"/>
      <c r="W13" s="21" t="s">
        <v>190</v>
      </c>
      <c r="X13" s="19" t="s">
        <v>191</v>
      </c>
      <c r="Y13" s="21" t="str">
        <f>VLOOKUP(X13,'Axe 2 Règles de gestion'!$D$2:$F$79,3, FALSE)</f>
        <v>L'agent est en décharge d'activité de services à titre syndical.</v>
      </c>
      <c r="Z13" s="19" t="s">
        <v>193</v>
      </c>
      <c r="AA13" s="21" t="str">
        <f>VLOOKUP(Z13,'Axe 2 Règles de gestion'!$D$2:$F$79,3, FALSE)</f>
        <v>L'agent peut bénéficier, sur demande, d'un entretien annuel d'accompagnement.</v>
      </c>
      <c r="AB13" s="19" t="s">
        <v>195</v>
      </c>
      <c r="AC13" s="21" t="str">
        <f>VLOOKUP(AB13,'Axe 2 Règles de gestion'!$D$2:$F$79,3, FALSE)</f>
        <v>L'agent consacrant l'intégralité de son service à une activité syndicale bénéficie, de droit, d'un entretien annuel d'accompagnement intervenant avant le terme de sa décharge d'activité de service.</v>
      </c>
      <c r="AD13" s="19" t="s">
        <v>197</v>
      </c>
      <c r="AE13" s="21" t="str">
        <f>VLOOKUP(AD13,'Axe 2 Règles de gestion'!$D$2:$F$79,3, FALSE)</f>
        <v>L'entretien annuel est conduit par le responsable des ressources humaines du service ou de l'établissement de l'agent.</v>
      </c>
      <c r="AF13" s="19" t="s">
        <v>199</v>
      </c>
      <c r="AG13" s="21" t="str">
        <f>VLOOKUP(AF13,'Axe 2 Règles de gestion'!$D$2:$F$79,3, FALSE)</f>
        <v>Le responsable des ressources humaines fixe la date de l'entretien d'accompagnement et la communique à l'agent par tout moyen conférant date certaine.</v>
      </c>
      <c r="AH13" s="19" t="s">
        <v>201</v>
      </c>
      <c r="AI13" s="21" t="str">
        <f>VLOOKUP(AH13,'Axe 2 Règles de gestion'!$D$2:$F$79,3, FALSE)</f>
        <v>L'entretien d'accompagnement ne peut avoir lieu moins de 8 jours ouvrables après la réception de la convocation.</v>
      </c>
      <c r="AJ13" s="19" t="s">
        <v>203</v>
      </c>
      <c r="AK13" s="21" t="str">
        <f>VLOOKUP(AJ13,'Axe 2 Règles de gestion'!$D$2:$F$79,3, FALSE)</f>
        <v>L'entretien d'accompagnement porte sur les acquis de l'expérience professionnelle dont ceux résultant d'activités syndicales, les besoins de formation professionnelle et les perspectives d'évolution professionnelle en termes de carrière et de mobilité.</v>
      </c>
      <c r="AL13" s="19" t="s">
        <v>205</v>
      </c>
      <c r="AM13" s="21" t="str">
        <f>VLOOKUP(AL13,'Axe 2 Règles de gestion'!$D$2:$F$79,3, FALSE)</f>
        <v>Le compte rendu est établi, signé et adressé par le responsable des ressources humaines à l'agent dans un délai maximal d'1 mois.</v>
      </c>
      <c r="AN13" s="19" t="s">
        <v>207</v>
      </c>
      <c r="AO13" s="21" t="str">
        <f>VLOOKUP(AN13,'Axe 2 Règles de gestion'!$D$2:$F$79,3, FALSE)</f>
        <v>Le compte rendu ne peut comporter aucune appréciation de la valeur professionnelle de l'agent.</v>
      </c>
      <c r="AP13" s="19" t="s">
        <v>209</v>
      </c>
      <c r="AQ13" s="21" t="str">
        <f>VLOOKUP(AP13,'Axe 2 Règles de gestion'!$D$2:$F$79,3, FALSE)</f>
        <v>Le compte rendu de l'entretien d'accompagnement se substitue au compte rendu de l'entretien professionnel si l'agent ne bénéficie pas d'un entretien de suivi.</v>
      </c>
      <c r="AR13" s="19" t="s">
        <v>211</v>
      </c>
      <c r="AS13" s="21" t="str">
        <f>VLOOKUP(AR13,'Axe 2 Règles de gestion'!$D$2:$F$79,3, FALSE)</f>
        <v>Le compte rendu est communiqué à l'agent qui le complète, si besoin, de ses observations.</v>
      </c>
      <c r="AT13" s="19" t="s">
        <v>212</v>
      </c>
      <c r="AU13" s="21" t="str">
        <f>VLOOKUP(AT13,'Axe 2 Règles de gestion'!$D$2:$F$79,3, FALSE)</f>
        <v>Le compte rendu est signé par le responsable des ressources humaines qui peut formuler, si besoin, ses propres observations.</v>
      </c>
      <c r="AV13" s="19" t="s">
        <v>214</v>
      </c>
      <c r="AW13" s="21" t="str">
        <f>VLOOKUP(AV13,'Axe 2 Règles de gestion'!$D$2:$F$79,3, FALSE)</f>
        <v>Le compte rendu est notifié à l'agent.</v>
      </c>
      <c r="AX13" s="19" t="s">
        <v>215</v>
      </c>
      <c r="AY13" s="21" t="str">
        <f>VLOOKUP(AX13,'Axe 2 Règles de gestion'!$D$2:$F$79,3, FALSE)</f>
        <v>L'agent doit signer le compte rendu pour attester qu'il en a pris connaissance.</v>
      </c>
      <c r="AZ13" s="19" t="s">
        <v>216</v>
      </c>
      <c r="BA13" s="21" t="str">
        <f>VLOOKUP(AZ13,'Axe 2 Règles de gestion'!$D$2:$F$79,3, FALSE)</f>
        <v>L'agent doit retourner le compte rendu au responsable des ressources humaines qui le verse à son dossier.</v>
      </c>
      <c r="BB13" s="19"/>
      <c r="BC13" s="21"/>
      <c r="BD13" s="19"/>
      <c r="BE13" s="21"/>
      <c r="BF13" s="19"/>
      <c r="BG13" s="21"/>
      <c r="BH13" s="19"/>
      <c r="BI13" s="21"/>
      <c r="BJ13" s="19" t="s">
        <v>218</v>
      </c>
      <c r="BK13" s="21"/>
    </row>
    <row r="14" spans="1:63" s="22" customFormat="1" ht="29" x14ac:dyDescent="0.35">
      <c r="A14" s="19" t="s">
        <v>155</v>
      </c>
      <c r="B14" s="19" t="s">
        <v>65</v>
      </c>
      <c r="C14" s="20">
        <v>45917.71875</v>
      </c>
      <c r="D14" s="19" t="s">
        <v>66</v>
      </c>
      <c r="E14" s="21" t="s">
        <v>67</v>
      </c>
      <c r="F14" s="19" t="s">
        <v>68</v>
      </c>
      <c r="G14" s="21" t="s">
        <v>69</v>
      </c>
      <c r="H14" s="19" t="s">
        <v>186</v>
      </c>
      <c r="I14" s="21" t="s">
        <v>187</v>
      </c>
      <c r="J14" s="21"/>
      <c r="K14" s="21"/>
      <c r="L14" s="19" t="s">
        <v>188</v>
      </c>
      <c r="M14" s="21" t="s">
        <v>189</v>
      </c>
      <c r="N14" s="19" t="s">
        <v>74</v>
      </c>
      <c r="O14" s="21"/>
      <c r="P14" s="21"/>
      <c r="Q14" s="21" t="s">
        <v>117</v>
      </c>
      <c r="R14" s="19" t="s">
        <v>118</v>
      </c>
      <c r="S14" s="19" t="s">
        <v>77</v>
      </c>
      <c r="T14" s="19" t="s">
        <v>116</v>
      </c>
      <c r="U14" s="20">
        <v>45689</v>
      </c>
      <c r="V14" s="20"/>
      <c r="W14" s="21"/>
      <c r="X14" s="19"/>
      <c r="Y14" s="21"/>
      <c r="Z14" s="19"/>
      <c r="AA14" s="21"/>
      <c r="AB14" s="19"/>
      <c r="AC14" s="21"/>
      <c r="AD14" s="19"/>
      <c r="AE14" s="21"/>
      <c r="AF14" s="19"/>
      <c r="AG14" s="21"/>
      <c r="AH14" s="19"/>
      <c r="AI14" s="21"/>
      <c r="AJ14" s="19"/>
      <c r="AK14" s="21"/>
      <c r="AL14" s="19"/>
      <c r="AM14" s="21"/>
      <c r="AN14" s="19"/>
      <c r="AO14" s="21"/>
      <c r="AP14" s="19"/>
      <c r="AQ14" s="21"/>
      <c r="AR14" s="19"/>
      <c r="AS14" s="21"/>
      <c r="AT14" s="19"/>
      <c r="AU14" s="21"/>
      <c r="AV14" s="19"/>
      <c r="AW14" s="21"/>
      <c r="AX14" s="19"/>
      <c r="AY14" s="21"/>
      <c r="AZ14" s="19"/>
      <c r="BA14" s="21"/>
      <c r="BB14" s="19"/>
      <c r="BC14" s="21"/>
      <c r="BD14" s="19"/>
      <c r="BE14" s="21"/>
      <c r="BF14" s="19"/>
      <c r="BG14" s="21"/>
      <c r="BH14" s="19"/>
      <c r="BI14" s="21"/>
      <c r="BJ14" s="19" t="s">
        <v>218</v>
      </c>
      <c r="BK14" s="21"/>
    </row>
    <row r="15" spans="1:63" s="22" customFormat="1" ht="29" x14ac:dyDescent="0.35">
      <c r="A15" s="19" t="s">
        <v>155</v>
      </c>
      <c r="B15" s="19" t="s">
        <v>65</v>
      </c>
      <c r="C15" s="20">
        <v>45917.715277777781</v>
      </c>
      <c r="D15" s="19" t="s">
        <v>66</v>
      </c>
      <c r="E15" s="21" t="s">
        <v>67</v>
      </c>
      <c r="F15" s="19" t="s">
        <v>68</v>
      </c>
      <c r="G15" s="21" t="s">
        <v>69</v>
      </c>
      <c r="H15" s="19" t="s">
        <v>186</v>
      </c>
      <c r="I15" s="21" t="s">
        <v>187</v>
      </c>
      <c r="J15" s="21"/>
      <c r="K15" s="21"/>
      <c r="L15" s="19" t="s">
        <v>188</v>
      </c>
      <c r="M15" s="21" t="s">
        <v>189</v>
      </c>
      <c r="N15" s="19" t="s">
        <v>74</v>
      </c>
      <c r="O15" s="21"/>
      <c r="P15" s="21"/>
      <c r="Q15" s="21" t="s">
        <v>119</v>
      </c>
      <c r="R15" s="19" t="s">
        <v>120</v>
      </c>
      <c r="S15" s="19" t="s">
        <v>77</v>
      </c>
      <c r="T15" s="19" t="s">
        <v>116</v>
      </c>
      <c r="U15" s="20">
        <v>45689</v>
      </c>
      <c r="V15" s="20"/>
      <c r="W15" s="21"/>
      <c r="X15" s="19"/>
      <c r="Y15" s="21"/>
      <c r="Z15" s="19"/>
      <c r="AA15" s="21"/>
      <c r="AB15" s="19"/>
      <c r="AC15" s="21"/>
      <c r="AD15" s="19"/>
      <c r="AE15" s="21"/>
      <c r="AF15" s="19"/>
      <c r="AG15" s="21"/>
      <c r="AH15" s="19"/>
      <c r="AI15" s="21"/>
      <c r="AJ15" s="19"/>
      <c r="AK15" s="21"/>
      <c r="AL15" s="19"/>
      <c r="AM15" s="21"/>
      <c r="AN15" s="19"/>
      <c r="AO15" s="21"/>
      <c r="AP15" s="19"/>
      <c r="AQ15" s="21"/>
      <c r="AR15" s="19"/>
      <c r="AS15" s="21"/>
      <c r="AT15" s="19"/>
      <c r="AU15" s="21"/>
      <c r="AV15" s="19"/>
      <c r="AW15" s="21"/>
      <c r="AX15" s="19"/>
      <c r="AY15" s="21"/>
      <c r="AZ15" s="19"/>
      <c r="BA15" s="21"/>
      <c r="BB15" s="19"/>
      <c r="BC15" s="21"/>
      <c r="BD15" s="19"/>
      <c r="BE15" s="21"/>
      <c r="BF15" s="19"/>
      <c r="BG15" s="21"/>
      <c r="BH15" s="19"/>
      <c r="BI15" s="21"/>
      <c r="BJ15" s="19" t="s">
        <v>218</v>
      </c>
      <c r="BK15" s="21"/>
    </row>
    <row r="16" spans="1:63" s="22" customFormat="1" ht="29" x14ac:dyDescent="0.35">
      <c r="A16" s="19" t="s">
        <v>155</v>
      </c>
      <c r="B16" s="19" t="s">
        <v>65</v>
      </c>
      <c r="C16" s="20">
        <v>45917.71597222222</v>
      </c>
      <c r="D16" s="19" t="s">
        <v>66</v>
      </c>
      <c r="E16" s="21" t="s">
        <v>67</v>
      </c>
      <c r="F16" s="19" t="s">
        <v>68</v>
      </c>
      <c r="G16" s="21" t="s">
        <v>69</v>
      </c>
      <c r="H16" s="19" t="s">
        <v>186</v>
      </c>
      <c r="I16" s="21" t="s">
        <v>187</v>
      </c>
      <c r="J16" s="21"/>
      <c r="K16" s="21"/>
      <c r="L16" s="19" t="s">
        <v>188</v>
      </c>
      <c r="M16" s="21" t="s">
        <v>189</v>
      </c>
      <c r="N16" s="19" t="s">
        <v>74</v>
      </c>
      <c r="O16" s="21"/>
      <c r="P16" s="21"/>
      <c r="Q16" s="21" t="s">
        <v>219</v>
      </c>
      <c r="R16" s="19" t="s">
        <v>220</v>
      </c>
      <c r="S16" s="19" t="s">
        <v>125</v>
      </c>
      <c r="T16" s="19" t="s">
        <v>116</v>
      </c>
      <c r="U16" s="20">
        <v>45689</v>
      </c>
      <c r="V16" s="20"/>
      <c r="W16" s="21"/>
      <c r="X16" s="19"/>
      <c r="Y16" s="21"/>
      <c r="Z16" s="19"/>
      <c r="AA16" s="21"/>
      <c r="AB16" s="19"/>
      <c r="AC16" s="21"/>
      <c r="AD16" s="19"/>
      <c r="AE16" s="21"/>
      <c r="AF16" s="19"/>
      <c r="AG16" s="21"/>
      <c r="AH16" s="19"/>
      <c r="AI16" s="21"/>
      <c r="AJ16" s="19"/>
      <c r="AK16" s="21"/>
      <c r="AL16" s="19"/>
      <c r="AM16" s="21"/>
      <c r="AN16" s="19"/>
      <c r="AO16" s="21"/>
      <c r="AP16" s="19"/>
      <c r="AQ16" s="21"/>
      <c r="AR16" s="19"/>
      <c r="AS16" s="21"/>
      <c r="AT16" s="19"/>
      <c r="AU16" s="21"/>
      <c r="AV16" s="19"/>
      <c r="AW16" s="21"/>
      <c r="AX16" s="19"/>
      <c r="AY16" s="21"/>
      <c r="AZ16" s="19"/>
      <c r="BA16" s="21"/>
      <c r="BB16" s="19"/>
      <c r="BC16" s="21"/>
      <c r="BD16" s="19"/>
      <c r="BE16" s="21"/>
      <c r="BF16" s="19"/>
      <c r="BG16" s="21"/>
      <c r="BH16" s="19"/>
      <c r="BI16" s="21"/>
      <c r="BJ16" s="19" t="s">
        <v>218</v>
      </c>
      <c r="BK16" s="21"/>
    </row>
    <row r="17" spans="1:63" s="22" customFormat="1" ht="159.5" x14ac:dyDescent="0.35">
      <c r="A17" s="19" t="s">
        <v>155</v>
      </c>
      <c r="B17" s="19" t="s">
        <v>65</v>
      </c>
      <c r="C17" s="20">
        <v>45917.71597222222</v>
      </c>
      <c r="D17" s="19" t="s">
        <v>66</v>
      </c>
      <c r="E17" s="21" t="s">
        <v>67</v>
      </c>
      <c r="F17" s="19" t="s">
        <v>68</v>
      </c>
      <c r="G17" s="21" t="s">
        <v>69</v>
      </c>
      <c r="H17" s="19" t="s">
        <v>221</v>
      </c>
      <c r="I17" s="21" t="s">
        <v>222</v>
      </c>
      <c r="J17" s="21"/>
      <c r="K17" s="21"/>
      <c r="L17" s="19" t="s">
        <v>223</v>
      </c>
      <c r="M17" s="21" t="s">
        <v>224</v>
      </c>
      <c r="N17" s="19" t="s">
        <v>74</v>
      </c>
      <c r="O17" s="21"/>
      <c r="P17" s="21"/>
      <c r="Q17" s="21" t="s">
        <v>75</v>
      </c>
      <c r="R17" s="19" t="s">
        <v>76</v>
      </c>
      <c r="S17" s="19" t="s">
        <v>77</v>
      </c>
      <c r="T17" s="19" t="s">
        <v>78</v>
      </c>
      <c r="U17" s="20">
        <v>45689</v>
      </c>
      <c r="V17" s="20"/>
      <c r="W17" s="21" t="s">
        <v>225</v>
      </c>
      <c r="X17" s="19" t="s">
        <v>191</v>
      </c>
      <c r="Y17" s="21" t="str">
        <f>VLOOKUP(X17,'Axe 2 Règles de gestion'!$D$2:$F$79,3, FALSE)</f>
        <v>L'agent est en décharge d'activité de services à titre syndical.</v>
      </c>
      <c r="Z17" s="19" t="s">
        <v>226</v>
      </c>
      <c r="AA17" s="21" t="str">
        <f>VLOOKUP(Z17,'Axe 2 Règles de gestion'!$D$2:$F$79,3, FALSE)</f>
        <v>L'agent consacre une quotité de temps de travail au moins égale à 70% et inférieure à 100% d'un service à temps plein à une activité syndicale.</v>
      </c>
      <c r="AB17" s="19" t="s">
        <v>228</v>
      </c>
      <c r="AC17" s="21" t="str">
        <f>VLOOKUP(AB17,'Axe 2 Règles de gestion'!$D$2:$F$79,3, FALSE)</f>
        <v>L'agent bénéficie d'un entretien annuel de suivi conduit par son supérieur hiérarchique direct, sans être soumis à une appréciation de sa valeur professionnelle.</v>
      </c>
      <c r="AD17" s="19" t="s">
        <v>230</v>
      </c>
      <c r="AE17" s="21" t="str">
        <f>VLOOKUP(AD17,'Axe 2 Règles de gestion'!$D$2:$F$79,3, FALSE)</f>
        <v>L'entretien de suivi n'a pas lieu lorsque les dispositions du statut particulier du corps d'origine prévoient le maintien d'un système de notation.</v>
      </c>
      <c r="AF17" s="19" t="s">
        <v>232</v>
      </c>
      <c r="AG17" s="21" t="str">
        <f>VLOOKUP(AF17,'Axe 2 Règles de gestion'!$D$2:$F$79,3, FALSE)</f>
        <v>L'entretien de suivi porte sur les acquis de l'expérience professionnelle dont ceux résultant d'activités syndicales, les besoins de formation professionnelle et les perspectives d'évolution professionnelle en termes de carrière et de mobilité.</v>
      </c>
      <c r="AH17" s="19" t="s">
        <v>234</v>
      </c>
      <c r="AI17" s="21" t="str">
        <f>VLOOKUP(AH17,'Axe 2 Règles de gestion'!$D$2:$F$79,3, FALSE)</f>
        <v>Le supérieur hiérarchique direct communique à l'agent la date de l'entretien au moins 8 jours à l'avance et le convoque par tout moyen conférant date certaine.</v>
      </c>
      <c r="AJ17" s="19" t="s">
        <v>236</v>
      </c>
      <c r="AK17" s="21" t="str">
        <f>VLOOKUP(AJ17,'Axe 2 Règles de gestion'!$D$2:$F$79,3, FALSE)</f>
        <v>Le compte rendu est établi, signé et adressé par le supérieur hiérarchique à l'agent qui le complète, si besoin, de ses observations.</v>
      </c>
      <c r="AL17" s="19" t="s">
        <v>238</v>
      </c>
      <c r="AM17" s="21" t="str">
        <f>VLOOKUP(AL17,'Axe 2 Règles de gestion'!$D$2:$F$79,3, FALSE)</f>
        <v>L'agent doit signer le compte rendu, éventuellement complété des observations de son supérieur, pour attester en avoir pris connaissance.</v>
      </c>
      <c r="AN17" s="19" t="s">
        <v>240</v>
      </c>
      <c r="AO17" s="21" t="str">
        <f>VLOOKUP(AN17,'Axe 2 Règles de gestion'!$D$2:$F$79,3, FALSE)</f>
        <v>L'agent doit retourner le compte rendu à son supérieur hiérarchique qui le verse à son dossier.</v>
      </c>
      <c r="AP17" s="19" t="s">
        <v>242</v>
      </c>
      <c r="AQ17" s="21" t="str">
        <f>VLOOKUP(AP17,'Axe 2 Règles de gestion'!$D$2:$F$79,3, FALSE)</f>
        <v>L'entretien ne concerne pas l'agent appartenant aux corps d'inspection pédagogique, de direction d'établissement d'enseignement, d'enseignants, d'éducation, de psychologues de l'éducation nationale, de chercheurs, d'enseignants-chercheurs ou assimilés.</v>
      </c>
      <c r="AR17" s="19"/>
      <c r="AS17" s="21"/>
      <c r="AT17" s="19"/>
      <c r="AU17" s="21"/>
      <c r="AV17" s="19"/>
      <c r="AW17" s="21"/>
      <c r="AX17" s="19"/>
      <c r="AY17" s="21"/>
      <c r="AZ17" s="19"/>
      <c r="BA17" s="21"/>
      <c r="BB17" s="19"/>
      <c r="BC17" s="21"/>
      <c r="BD17" s="19"/>
      <c r="BE17" s="21"/>
      <c r="BF17" s="19"/>
      <c r="BG17" s="21"/>
      <c r="BH17" s="19"/>
      <c r="BI17" s="21"/>
      <c r="BJ17" s="19" t="s">
        <v>218</v>
      </c>
      <c r="BK17" s="21"/>
    </row>
    <row r="18" spans="1:63" s="22" customFormat="1" ht="159.5" x14ac:dyDescent="0.35">
      <c r="A18" s="19" t="s">
        <v>155</v>
      </c>
      <c r="B18" s="19" t="s">
        <v>65</v>
      </c>
      <c r="C18" s="20">
        <v>45917.716666666667</v>
      </c>
      <c r="D18" s="19" t="s">
        <v>66</v>
      </c>
      <c r="E18" s="21" t="s">
        <v>67</v>
      </c>
      <c r="F18" s="19" t="s">
        <v>68</v>
      </c>
      <c r="G18" s="21" t="s">
        <v>69</v>
      </c>
      <c r="H18" s="19" t="s">
        <v>221</v>
      </c>
      <c r="I18" s="21" t="s">
        <v>222</v>
      </c>
      <c r="J18" s="21"/>
      <c r="K18" s="21"/>
      <c r="L18" s="19" t="s">
        <v>223</v>
      </c>
      <c r="M18" s="21" t="s">
        <v>224</v>
      </c>
      <c r="N18" s="19" t="s">
        <v>74</v>
      </c>
      <c r="O18" s="21"/>
      <c r="P18" s="21"/>
      <c r="Q18" s="21" t="s">
        <v>114</v>
      </c>
      <c r="R18" s="19" t="s">
        <v>115</v>
      </c>
      <c r="S18" s="19" t="s">
        <v>77</v>
      </c>
      <c r="T18" s="19" t="s">
        <v>78</v>
      </c>
      <c r="U18" s="20">
        <v>45689</v>
      </c>
      <c r="V18" s="20"/>
      <c r="W18" s="21" t="s">
        <v>225</v>
      </c>
      <c r="X18" s="19" t="s">
        <v>191</v>
      </c>
      <c r="Y18" s="21" t="str">
        <f>VLOOKUP(X18,'Axe 2 Règles de gestion'!$D$2:$F$79,3, FALSE)</f>
        <v>L'agent est en décharge d'activité de services à titre syndical.</v>
      </c>
      <c r="Z18" s="19" t="s">
        <v>226</v>
      </c>
      <c r="AA18" s="21" t="str">
        <f>VLOOKUP(Z18,'Axe 2 Règles de gestion'!$D$2:$F$79,3, FALSE)</f>
        <v>L'agent consacre une quotité de temps de travail au moins égale à 70% et inférieure à 100% d'un service à temps plein à une activité syndicale.</v>
      </c>
      <c r="AB18" s="19" t="s">
        <v>228</v>
      </c>
      <c r="AC18" s="21" t="str">
        <f>VLOOKUP(AB18,'Axe 2 Règles de gestion'!$D$2:$F$79,3, FALSE)</f>
        <v>L'agent bénéficie d'un entretien annuel de suivi conduit par son supérieur hiérarchique direct, sans être soumis à une appréciation de sa valeur professionnelle.</v>
      </c>
      <c r="AD18" s="19" t="s">
        <v>230</v>
      </c>
      <c r="AE18" s="21" t="str">
        <f>VLOOKUP(AD18,'Axe 2 Règles de gestion'!$D$2:$F$79,3, FALSE)</f>
        <v>L'entretien de suivi n'a pas lieu lorsque les dispositions du statut particulier du corps d'origine prévoient le maintien d'un système de notation.</v>
      </c>
      <c r="AF18" s="19" t="s">
        <v>232</v>
      </c>
      <c r="AG18" s="21" t="str">
        <f>VLOOKUP(AF18,'Axe 2 Règles de gestion'!$D$2:$F$79,3, FALSE)</f>
        <v>L'entretien de suivi porte sur les acquis de l'expérience professionnelle dont ceux résultant d'activités syndicales, les besoins de formation professionnelle et les perspectives d'évolution professionnelle en termes de carrière et de mobilité.</v>
      </c>
      <c r="AH18" s="19" t="s">
        <v>234</v>
      </c>
      <c r="AI18" s="21" t="str">
        <f>VLOOKUP(AH18,'Axe 2 Règles de gestion'!$D$2:$F$79,3, FALSE)</f>
        <v>Le supérieur hiérarchique direct communique à l'agent la date de l'entretien au moins 8 jours à l'avance et le convoque par tout moyen conférant date certaine.</v>
      </c>
      <c r="AJ18" s="19" t="s">
        <v>236</v>
      </c>
      <c r="AK18" s="21" t="str">
        <f>VLOOKUP(AJ18,'Axe 2 Règles de gestion'!$D$2:$F$79,3, FALSE)</f>
        <v>Le compte rendu est établi, signé et adressé par le supérieur hiérarchique à l'agent qui le complète, si besoin, de ses observations.</v>
      </c>
      <c r="AL18" s="19" t="s">
        <v>238</v>
      </c>
      <c r="AM18" s="21" t="str">
        <f>VLOOKUP(AL18,'Axe 2 Règles de gestion'!$D$2:$F$79,3, FALSE)</f>
        <v>L'agent doit signer le compte rendu, éventuellement complété des observations de son supérieur, pour attester en avoir pris connaissance.</v>
      </c>
      <c r="AN18" s="19" t="s">
        <v>240</v>
      </c>
      <c r="AO18" s="21" t="str">
        <f>VLOOKUP(AN18,'Axe 2 Règles de gestion'!$D$2:$F$79,3, FALSE)</f>
        <v>L'agent doit retourner le compte rendu à son supérieur hiérarchique qui le verse à son dossier.</v>
      </c>
      <c r="AP18" s="19" t="s">
        <v>242</v>
      </c>
      <c r="AQ18" s="21" t="str">
        <f>VLOOKUP(AP18,'Axe 2 Règles de gestion'!$D$2:$F$79,3, FALSE)</f>
        <v>L'entretien ne concerne pas l'agent appartenant aux corps d'inspection pédagogique, de direction d'établissement d'enseignement, d'enseignants, d'éducation, de psychologues de l'éducation nationale, de chercheurs, d'enseignants-chercheurs ou assimilés.</v>
      </c>
      <c r="AR18" s="19"/>
      <c r="AS18" s="21"/>
      <c r="AT18" s="19"/>
      <c r="AU18" s="21"/>
      <c r="AV18" s="19"/>
      <c r="AW18" s="21"/>
      <c r="AX18" s="19"/>
      <c r="AY18" s="21"/>
      <c r="AZ18" s="19"/>
      <c r="BA18" s="21"/>
      <c r="BB18" s="19"/>
      <c r="BC18" s="21"/>
      <c r="BD18" s="19"/>
      <c r="BE18" s="21"/>
      <c r="BF18" s="19"/>
      <c r="BG18" s="21"/>
      <c r="BH18" s="19"/>
      <c r="BI18" s="21"/>
      <c r="BJ18" s="19" t="s">
        <v>218</v>
      </c>
      <c r="BK18" s="21"/>
    </row>
    <row r="19" spans="1:63" s="22" customFormat="1" ht="29" x14ac:dyDescent="0.35">
      <c r="A19" s="19" t="s">
        <v>155</v>
      </c>
      <c r="B19" s="19" t="s">
        <v>65</v>
      </c>
      <c r="C19" s="20">
        <v>45917.717361111114</v>
      </c>
      <c r="D19" s="19" t="s">
        <v>66</v>
      </c>
      <c r="E19" s="21" t="s">
        <v>67</v>
      </c>
      <c r="F19" s="19" t="s">
        <v>68</v>
      </c>
      <c r="G19" s="21" t="s">
        <v>69</v>
      </c>
      <c r="H19" s="19" t="s">
        <v>221</v>
      </c>
      <c r="I19" s="21" t="s">
        <v>222</v>
      </c>
      <c r="J19" s="21"/>
      <c r="K19" s="21"/>
      <c r="L19" s="19" t="s">
        <v>223</v>
      </c>
      <c r="M19" s="21" t="s">
        <v>224</v>
      </c>
      <c r="N19" s="19" t="s">
        <v>74</v>
      </c>
      <c r="O19" s="21"/>
      <c r="P19" s="21"/>
      <c r="Q19" s="21" t="s">
        <v>117</v>
      </c>
      <c r="R19" s="19" t="s">
        <v>118</v>
      </c>
      <c r="S19" s="19" t="s">
        <v>77</v>
      </c>
      <c r="T19" s="19" t="s">
        <v>116</v>
      </c>
      <c r="U19" s="20">
        <v>45689</v>
      </c>
      <c r="V19" s="20"/>
      <c r="W19" s="21"/>
      <c r="X19" s="19"/>
      <c r="Y19" s="21"/>
      <c r="Z19" s="19"/>
      <c r="AA19" s="21"/>
      <c r="AB19" s="19"/>
      <c r="AC19" s="21"/>
      <c r="AD19" s="19"/>
      <c r="AE19" s="21"/>
      <c r="AF19" s="19"/>
      <c r="AG19" s="21"/>
      <c r="AH19" s="19"/>
      <c r="AI19" s="21"/>
      <c r="AJ19" s="19"/>
      <c r="AK19" s="21"/>
      <c r="AL19" s="19"/>
      <c r="AM19" s="21"/>
      <c r="AN19" s="19"/>
      <c r="AO19" s="21"/>
      <c r="AP19" s="19"/>
      <c r="AQ19" s="21"/>
      <c r="AR19" s="19"/>
      <c r="AS19" s="21"/>
      <c r="AT19" s="19"/>
      <c r="AU19" s="21"/>
      <c r="AV19" s="19"/>
      <c r="AW19" s="21"/>
      <c r="AX19" s="19"/>
      <c r="AY19" s="21"/>
      <c r="AZ19" s="19"/>
      <c r="BA19" s="21"/>
      <c r="BB19" s="19"/>
      <c r="BC19" s="21"/>
      <c r="BD19" s="19"/>
      <c r="BE19" s="21"/>
      <c r="BF19" s="19"/>
      <c r="BG19" s="21"/>
      <c r="BH19" s="19"/>
      <c r="BI19" s="21"/>
      <c r="BJ19" s="19" t="s">
        <v>218</v>
      </c>
      <c r="BK19" s="21"/>
    </row>
    <row r="20" spans="1:63" s="22" customFormat="1" ht="29" x14ac:dyDescent="0.35">
      <c r="A20" s="19" t="s">
        <v>155</v>
      </c>
      <c r="B20" s="19" t="s">
        <v>65</v>
      </c>
      <c r="C20" s="20">
        <v>45917.717361111114</v>
      </c>
      <c r="D20" s="19" t="s">
        <v>66</v>
      </c>
      <c r="E20" s="21" t="s">
        <v>67</v>
      </c>
      <c r="F20" s="19" t="s">
        <v>68</v>
      </c>
      <c r="G20" s="21" t="s">
        <v>69</v>
      </c>
      <c r="H20" s="19" t="s">
        <v>221</v>
      </c>
      <c r="I20" s="21" t="s">
        <v>222</v>
      </c>
      <c r="J20" s="21"/>
      <c r="K20" s="21"/>
      <c r="L20" s="19" t="s">
        <v>223</v>
      </c>
      <c r="M20" s="21" t="s">
        <v>224</v>
      </c>
      <c r="N20" s="19" t="s">
        <v>74</v>
      </c>
      <c r="O20" s="21"/>
      <c r="P20" s="21"/>
      <c r="Q20" s="21" t="s">
        <v>119</v>
      </c>
      <c r="R20" s="19" t="s">
        <v>120</v>
      </c>
      <c r="S20" s="19" t="s">
        <v>77</v>
      </c>
      <c r="T20" s="19" t="s">
        <v>116</v>
      </c>
      <c r="U20" s="20">
        <v>45689</v>
      </c>
      <c r="V20" s="20"/>
      <c r="W20" s="21"/>
      <c r="X20" s="19"/>
      <c r="Y20" s="21"/>
      <c r="Z20" s="19"/>
      <c r="AA20" s="21"/>
      <c r="AB20" s="19"/>
      <c r="AC20" s="21"/>
      <c r="AD20" s="19"/>
      <c r="AE20" s="21"/>
      <c r="AF20" s="19"/>
      <c r="AG20" s="21"/>
      <c r="AH20" s="19"/>
      <c r="AI20" s="21"/>
      <c r="AJ20" s="19"/>
      <c r="AK20" s="21"/>
      <c r="AL20" s="19"/>
      <c r="AM20" s="21"/>
      <c r="AN20" s="19"/>
      <c r="AO20" s="21"/>
      <c r="AP20" s="19"/>
      <c r="AQ20" s="21"/>
      <c r="AR20" s="19"/>
      <c r="AS20" s="21"/>
      <c r="AT20" s="19"/>
      <c r="AU20" s="21"/>
      <c r="AV20" s="19"/>
      <c r="AW20" s="21"/>
      <c r="AX20" s="19"/>
      <c r="AY20" s="21"/>
      <c r="AZ20" s="19"/>
      <c r="BA20" s="21"/>
      <c r="BB20" s="19"/>
      <c r="BC20" s="21"/>
      <c r="BD20" s="19"/>
      <c r="BE20" s="21"/>
      <c r="BF20" s="19"/>
      <c r="BG20" s="21"/>
      <c r="BH20" s="19"/>
      <c r="BI20" s="21"/>
      <c r="BJ20" s="19" t="s">
        <v>218</v>
      </c>
      <c r="BK20" s="21"/>
    </row>
    <row r="21" spans="1:63" s="22" customFormat="1" ht="29" x14ac:dyDescent="0.35">
      <c r="A21" s="19" t="s">
        <v>155</v>
      </c>
      <c r="B21" s="19" t="s">
        <v>65</v>
      </c>
      <c r="C21" s="20">
        <v>45917.718055555553</v>
      </c>
      <c r="D21" s="19" t="s">
        <v>66</v>
      </c>
      <c r="E21" s="21" t="s">
        <v>67</v>
      </c>
      <c r="F21" s="19" t="s">
        <v>68</v>
      </c>
      <c r="G21" s="21" t="s">
        <v>69</v>
      </c>
      <c r="H21" s="19" t="s">
        <v>221</v>
      </c>
      <c r="I21" s="21" t="s">
        <v>222</v>
      </c>
      <c r="J21" s="21"/>
      <c r="K21" s="21"/>
      <c r="L21" s="19" t="s">
        <v>223</v>
      </c>
      <c r="M21" s="21" t="s">
        <v>224</v>
      </c>
      <c r="N21" s="19" t="s">
        <v>74</v>
      </c>
      <c r="O21" s="21"/>
      <c r="P21" s="21"/>
      <c r="Q21" s="21" t="s">
        <v>219</v>
      </c>
      <c r="R21" s="19" t="s">
        <v>220</v>
      </c>
      <c r="S21" s="19" t="s">
        <v>125</v>
      </c>
      <c r="T21" s="19" t="s">
        <v>116</v>
      </c>
      <c r="U21" s="20">
        <v>45689</v>
      </c>
      <c r="V21" s="20"/>
      <c r="W21" s="21"/>
      <c r="X21" s="19"/>
      <c r="Y21" s="21"/>
      <c r="Z21" s="19"/>
      <c r="AA21" s="21"/>
      <c r="AB21" s="19"/>
      <c r="AC21" s="21"/>
      <c r="AD21" s="19"/>
      <c r="AE21" s="21"/>
      <c r="AF21" s="19"/>
      <c r="AG21" s="21"/>
      <c r="AH21" s="19"/>
      <c r="AI21" s="21"/>
      <c r="AJ21" s="19"/>
      <c r="AK21" s="21"/>
      <c r="AL21" s="19"/>
      <c r="AM21" s="21"/>
      <c r="AN21" s="19"/>
      <c r="AO21" s="21"/>
      <c r="AP21" s="19"/>
      <c r="AQ21" s="21"/>
      <c r="AR21" s="19"/>
      <c r="AS21" s="21"/>
      <c r="AT21" s="19"/>
      <c r="AU21" s="21"/>
      <c r="AV21" s="19"/>
      <c r="AW21" s="21"/>
      <c r="AX21" s="19"/>
      <c r="AY21" s="21"/>
      <c r="AZ21" s="19"/>
      <c r="BA21" s="21"/>
      <c r="BB21" s="19"/>
      <c r="BC21" s="21"/>
      <c r="BD21" s="19"/>
      <c r="BE21" s="21"/>
      <c r="BF21" s="19"/>
      <c r="BG21" s="21"/>
      <c r="BH21" s="19"/>
      <c r="BI21" s="21"/>
      <c r="BJ21" s="19" t="s">
        <v>218</v>
      </c>
      <c r="BK21" s="21"/>
    </row>
    <row r="22" spans="1:63" x14ac:dyDescent="0.35">
      <c r="C22" s="16"/>
      <c r="U22" s="16"/>
      <c r="V22" s="16"/>
    </row>
    <row r="23" spans="1:63" x14ac:dyDescent="0.35">
      <c r="C23" s="16"/>
      <c r="U23" s="16"/>
      <c r="V23" s="16"/>
    </row>
    <row r="24" spans="1:63" x14ac:dyDescent="0.35">
      <c r="C24" s="16"/>
      <c r="U24" s="16"/>
      <c r="V24" s="16"/>
    </row>
    <row r="25" spans="1:63" x14ac:dyDescent="0.35">
      <c r="C25" s="16"/>
      <c r="U25" s="16"/>
      <c r="V25" s="16"/>
    </row>
    <row r="26" spans="1:63" x14ac:dyDescent="0.35">
      <c r="C26" s="16"/>
      <c r="U26" s="16"/>
      <c r="V26" s="16"/>
    </row>
    <row r="27" spans="1:63" x14ac:dyDescent="0.35">
      <c r="C27" s="16"/>
      <c r="U27" s="16"/>
      <c r="V27" s="16"/>
    </row>
    <row r="28" spans="1:63" x14ac:dyDescent="0.35">
      <c r="C28" s="16"/>
      <c r="U28" s="16"/>
      <c r="V28" s="16"/>
    </row>
    <row r="29" spans="1:63" x14ac:dyDescent="0.35">
      <c r="C29" s="16"/>
      <c r="U29" s="16"/>
      <c r="V29" s="16"/>
    </row>
    <row r="30" spans="1:63" x14ac:dyDescent="0.35">
      <c r="C30" s="16"/>
      <c r="U30" s="16"/>
      <c r="V30" s="16"/>
    </row>
    <row r="31" spans="1:63" x14ac:dyDescent="0.35">
      <c r="C31" s="16"/>
      <c r="U31" s="16"/>
      <c r="V31" s="16"/>
    </row>
    <row r="32" spans="1:63" x14ac:dyDescent="0.35">
      <c r="C32" s="16"/>
      <c r="U32" s="16"/>
      <c r="V32" s="16"/>
    </row>
    <row r="33" spans="3:22" x14ac:dyDescent="0.35">
      <c r="C33" s="16"/>
      <c r="U33" s="16"/>
      <c r="V33" s="16"/>
    </row>
    <row r="34" spans="3:22" x14ac:dyDescent="0.35">
      <c r="C34" s="16"/>
      <c r="U34" s="16"/>
      <c r="V34" s="16"/>
    </row>
    <row r="35" spans="3:22" x14ac:dyDescent="0.35">
      <c r="C35" s="16"/>
      <c r="U35" s="16"/>
      <c r="V35" s="16"/>
    </row>
    <row r="36" spans="3:22" x14ac:dyDescent="0.35">
      <c r="C36" s="16"/>
      <c r="U36" s="16"/>
      <c r="V36" s="16"/>
    </row>
    <row r="37" spans="3:22" x14ac:dyDescent="0.35">
      <c r="C37" s="16"/>
      <c r="U37" s="16"/>
      <c r="V37" s="16"/>
    </row>
    <row r="38" spans="3:22" x14ac:dyDescent="0.35">
      <c r="C38" s="16"/>
      <c r="U38" s="16"/>
      <c r="V38" s="16"/>
    </row>
    <row r="39" spans="3:22" x14ac:dyDescent="0.35">
      <c r="C39" s="16"/>
      <c r="U39" s="16"/>
      <c r="V39" s="16"/>
    </row>
    <row r="40" spans="3:22" x14ac:dyDescent="0.35">
      <c r="C40" s="16"/>
      <c r="U40" s="16"/>
      <c r="V40" s="16"/>
    </row>
    <row r="41" spans="3:22" x14ac:dyDescent="0.35">
      <c r="C41" s="16"/>
      <c r="U41" s="16"/>
      <c r="V41" s="16"/>
    </row>
    <row r="42" spans="3:22" x14ac:dyDescent="0.35">
      <c r="C42" s="16"/>
      <c r="U42" s="16"/>
      <c r="V42" s="16"/>
    </row>
    <row r="43" spans="3:22" x14ac:dyDescent="0.35">
      <c r="C43" s="16"/>
      <c r="U43" s="16"/>
      <c r="V43" s="16"/>
    </row>
    <row r="44" spans="3:22" x14ac:dyDescent="0.35">
      <c r="C44" s="16"/>
      <c r="U44" s="16"/>
      <c r="V44" s="16"/>
    </row>
    <row r="45" spans="3:22" x14ac:dyDescent="0.35">
      <c r="C45" s="16"/>
      <c r="U45" s="16"/>
      <c r="V45" s="16"/>
    </row>
    <row r="46" spans="3:22" x14ac:dyDescent="0.35">
      <c r="C46" s="16"/>
      <c r="U46" s="16"/>
      <c r="V46" s="16"/>
    </row>
    <row r="47" spans="3:22" x14ac:dyDescent="0.35">
      <c r="C47" s="16"/>
      <c r="U47" s="16"/>
      <c r="V47" s="16"/>
    </row>
    <row r="48" spans="3:22" x14ac:dyDescent="0.35">
      <c r="C48" s="16"/>
      <c r="U48" s="16"/>
      <c r="V48" s="16"/>
    </row>
    <row r="49" spans="3:22" x14ac:dyDescent="0.35">
      <c r="C49" s="16"/>
      <c r="U49" s="16"/>
      <c r="V49" s="16"/>
    </row>
    <row r="50" spans="3:22" x14ac:dyDescent="0.35">
      <c r="C50" s="16"/>
      <c r="U50" s="16"/>
      <c r="V50" s="16"/>
    </row>
    <row r="51" spans="3:22" x14ac:dyDescent="0.35">
      <c r="C51" s="16"/>
      <c r="U51" s="16"/>
      <c r="V51" s="16"/>
    </row>
    <row r="52" spans="3:22" x14ac:dyDescent="0.35">
      <c r="C52" s="16"/>
      <c r="U52" s="16"/>
      <c r="V52" s="16"/>
    </row>
    <row r="53" spans="3:22" x14ac:dyDescent="0.35">
      <c r="C53" s="16"/>
      <c r="U53" s="16"/>
      <c r="V53" s="16"/>
    </row>
    <row r="54" spans="3:22" x14ac:dyDescent="0.35">
      <c r="C54" s="16"/>
      <c r="U54" s="16"/>
      <c r="V54" s="16"/>
    </row>
    <row r="55" spans="3:22" x14ac:dyDescent="0.35">
      <c r="C55" s="16"/>
      <c r="U55" s="16"/>
      <c r="V55" s="16"/>
    </row>
    <row r="56" spans="3:22" x14ac:dyDescent="0.35">
      <c r="C56" s="16"/>
      <c r="U56" s="16"/>
      <c r="V56" s="16"/>
    </row>
    <row r="57" spans="3:22" x14ac:dyDescent="0.35">
      <c r="C57" s="16"/>
      <c r="U57" s="16"/>
      <c r="V57" s="16"/>
    </row>
    <row r="58" spans="3:22" x14ac:dyDescent="0.35">
      <c r="C58" s="16"/>
      <c r="U58" s="16"/>
      <c r="V58" s="16"/>
    </row>
    <row r="59" spans="3:22" x14ac:dyDescent="0.35">
      <c r="C59" s="16"/>
      <c r="U59" s="16"/>
      <c r="V59" s="16"/>
    </row>
    <row r="60" spans="3:22" x14ac:dyDescent="0.35">
      <c r="C60" s="16"/>
      <c r="U60" s="16"/>
      <c r="V60" s="16"/>
    </row>
    <row r="61" spans="3:22" x14ac:dyDescent="0.35">
      <c r="C61" s="16"/>
      <c r="U61" s="16"/>
      <c r="V61" s="16"/>
    </row>
    <row r="62" spans="3:22" x14ac:dyDescent="0.35">
      <c r="C62" s="16"/>
      <c r="U62" s="16"/>
      <c r="V62" s="16"/>
    </row>
    <row r="63" spans="3:22" x14ac:dyDescent="0.35">
      <c r="C63" s="16"/>
      <c r="U63" s="16"/>
      <c r="V63" s="16"/>
    </row>
    <row r="64" spans="3:22"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row r="91" spans="3:22" x14ac:dyDescent="0.35">
      <c r="C91" s="16"/>
      <c r="U91" s="16"/>
      <c r="V91" s="16"/>
    </row>
    <row r="92" spans="3:22" x14ac:dyDescent="0.35">
      <c r="C92" s="16"/>
      <c r="U92" s="16"/>
      <c r="V92" s="16"/>
    </row>
    <row r="93" spans="3:22" x14ac:dyDescent="0.35">
      <c r="C93" s="16"/>
      <c r="U93" s="16"/>
      <c r="V93" s="16"/>
    </row>
    <row r="94" spans="3:22" x14ac:dyDescent="0.35">
      <c r="C94" s="16"/>
      <c r="U94" s="16"/>
      <c r="V94" s="16"/>
    </row>
    <row r="95" spans="3:22" x14ac:dyDescent="0.35">
      <c r="C95" s="16"/>
      <c r="U95" s="16"/>
      <c r="V95" s="16"/>
    </row>
    <row r="96" spans="3:22"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sheetData>
  <autoFilter ref="A1:OJ21" xr:uid="{130985CA-5062-4401-925D-C5BF4DCFD95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85CBA-4225-4330-9584-D50BC86518FF}">
  <dimension ref="A1:Y126"/>
  <sheetViews>
    <sheetView workbookViewId="0">
      <pane ySplit="1" topLeftCell="A2" activePane="bottomLeft" state="frozenSplit"/>
      <selection pane="bottomLeft" activeCell="D3" sqref="D3"/>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9.6328125" style="18" customWidth="1"/>
    <col min="25" max="25" width="15.6328125" style="12" customWidth="1"/>
    <col min="26" max="16384" width="10.90625" style="12"/>
  </cols>
  <sheetData>
    <row r="1" spans="1:25"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244</v>
      </c>
      <c r="X1" s="10" t="s">
        <v>62</v>
      </c>
      <c r="Y1" s="10" t="s">
        <v>63</v>
      </c>
    </row>
    <row r="2" spans="1:25" ht="43.5" x14ac:dyDescent="0.35">
      <c r="A2" s="13" t="s">
        <v>64</v>
      </c>
      <c r="B2" s="13" t="s">
        <v>65</v>
      </c>
      <c r="C2" s="14">
        <v>44225.399305555555</v>
      </c>
      <c r="D2" s="13" t="s">
        <v>66</v>
      </c>
      <c r="E2" s="15" t="s">
        <v>67</v>
      </c>
      <c r="F2" s="13" t="s">
        <v>68</v>
      </c>
      <c r="G2" s="15" t="s">
        <v>69</v>
      </c>
      <c r="H2" s="13" t="s">
        <v>70</v>
      </c>
      <c r="I2" s="15" t="s">
        <v>69</v>
      </c>
      <c r="J2" s="15" t="s">
        <v>71</v>
      </c>
      <c r="K2" s="15" t="s">
        <v>72</v>
      </c>
      <c r="L2" s="13" t="s">
        <v>73</v>
      </c>
      <c r="M2" s="15" t="s">
        <v>69</v>
      </c>
      <c r="N2" s="13" t="s">
        <v>74</v>
      </c>
      <c r="O2" s="15"/>
      <c r="P2" s="15"/>
      <c r="Q2" s="15" t="s">
        <v>75</v>
      </c>
      <c r="R2" s="13" t="s">
        <v>76</v>
      </c>
      <c r="S2" s="13" t="s">
        <v>77</v>
      </c>
      <c r="T2" s="13" t="s">
        <v>78</v>
      </c>
      <c r="U2" s="14">
        <v>44197</v>
      </c>
      <c r="V2" s="14"/>
      <c r="W2" s="15"/>
      <c r="X2" s="13"/>
      <c r="Y2" s="13"/>
    </row>
    <row r="3" spans="1:25" ht="43.5" x14ac:dyDescent="0.35">
      <c r="A3" s="13" t="s">
        <v>64</v>
      </c>
      <c r="B3" s="13" t="s">
        <v>65</v>
      </c>
      <c r="C3" s="14">
        <v>44225.4</v>
      </c>
      <c r="D3" s="13" t="s">
        <v>66</v>
      </c>
      <c r="E3" s="15" t="s">
        <v>67</v>
      </c>
      <c r="F3" s="13" t="s">
        <v>68</v>
      </c>
      <c r="G3" s="15" t="s">
        <v>69</v>
      </c>
      <c r="H3" s="13" t="s">
        <v>70</v>
      </c>
      <c r="I3" s="15" t="s">
        <v>69</v>
      </c>
      <c r="J3" s="15" t="s">
        <v>71</v>
      </c>
      <c r="K3" s="15" t="s">
        <v>72</v>
      </c>
      <c r="L3" s="13" t="s">
        <v>73</v>
      </c>
      <c r="M3" s="15" t="s">
        <v>69</v>
      </c>
      <c r="N3" s="13" t="s">
        <v>74</v>
      </c>
      <c r="O3" s="15"/>
      <c r="P3" s="15"/>
      <c r="Q3" s="15" t="s">
        <v>114</v>
      </c>
      <c r="R3" s="13" t="s">
        <v>115</v>
      </c>
      <c r="S3" s="13" t="s">
        <v>77</v>
      </c>
      <c r="T3" s="13" t="s">
        <v>116</v>
      </c>
      <c r="U3" s="14">
        <v>44197</v>
      </c>
      <c r="V3" s="14"/>
      <c r="W3" s="15"/>
      <c r="X3" s="13"/>
      <c r="Y3" s="13"/>
    </row>
    <row r="4" spans="1:25" ht="43.5" x14ac:dyDescent="0.35">
      <c r="A4" s="13" t="s">
        <v>64</v>
      </c>
      <c r="B4" s="13" t="s">
        <v>65</v>
      </c>
      <c r="C4" s="14">
        <v>44225.4</v>
      </c>
      <c r="D4" s="13" t="s">
        <v>66</v>
      </c>
      <c r="E4" s="15" t="s">
        <v>67</v>
      </c>
      <c r="F4" s="13" t="s">
        <v>68</v>
      </c>
      <c r="G4" s="15" t="s">
        <v>69</v>
      </c>
      <c r="H4" s="13" t="s">
        <v>70</v>
      </c>
      <c r="I4" s="15" t="s">
        <v>69</v>
      </c>
      <c r="J4" s="15" t="s">
        <v>71</v>
      </c>
      <c r="K4" s="15" t="s">
        <v>72</v>
      </c>
      <c r="L4" s="13" t="s">
        <v>73</v>
      </c>
      <c r="M4" s="15" t="s">
        <v>69</v>
      </c>
      <c r="N4" s="13" t="s">
        <v>74</v>
      </c>
      <c r="O4" s="15"/>
      <c r="P4" s="15"/>
      <c r="Q4" s="15" t="s">
        <v>117</v>
      </c>
      <c r="R4" s="13" t="s">
        <v>118</v>
      </c>
      <c r="S4" s="13" t="s">
        <v>77</v>
      </c>
      <c r="T4" s="13" t="s">
        <v>116</v>
      </c>
      <c r="U4" s="14">
        <v>44197</v>
      </c>
      <c r="V4" s="14"/>
      <c r="W4" s="15"/>
      <c r="X4" s="13"/>
      <c r="Y4" s="13"/>
    </row>
    <row r="5" spans="1:25" ht="43.5" x14ac:dyDescent="0.35">
      <c r="A5" s="13" t="s">
        <v>64</v>
      </c>
      <c r="B5" s="13" t="s">
        <v>65</v>
      </c>
      <c r="C5" s="14">
        <v>44225.400694444441</v>
      </c>
      <c r="D5" s="13" t="s">
        <v>66</v>
      </c>
      <c r="E5" s="15" t="s">
        <v>67</v>
      </c>
      <c r="F5" s="13" t="s">
        <v>68</v>
      </c>
      <c r="G5" s="15" t="s">
        <v>69</v>
      </c>
      <c r="H5" s="13" t="s">
        <v>70</v>
      </c>
      <c r="I5" s="15" t="s">
        <v>69</v>
      </c>
      <c r="J5" s="15" t="s">
        <v>71</v>
      </c>
      <c r="K5" s="15" t="s">
        <v>72</v>
      </c>
      <c r="L5" s="13" t="s">
        <v>73</v>
      </c>
      <c r="M5" s="15" t="s">
        <v>69</v>
      </c>
      <c r="N5" s="13" t="s">
        <v>74</v>
      </c>
      <c r="O5" s="15"/>
      <c r="P5" s="15"/>
      <c r="Q5" s="15" t="s">
        <v>119</v>
      </c>
      <c r="R5" s="13" t="s">
        <v>120</v>
      </c>
      <c r="S5" s="13" t="s">
        <v>77</v>
      </c>
      <c r="T5" s="13" t="s">
        <v>116</v>
      </c>
      <c r="U5" s="14">
        <v>44197</v>
      </c>
      <c r="V5" s="14"/>
      <c r="W5" s="15"/>
      <c r="X5" s="13"/>
      <c r="Y5" s="13"/>
    </row>
    <row r="6" spans="1:25" ht="43.5" x14ac:dyDescent="0.35">
      <c r="A6" s="13" t="s">
        <v>121</v>
      </c>
      <c r="B6" s="13" t="s">
        <v>122</v>
      </c>
      <c r="C6" s="14">
        <v>44832.70208333333</v>
      </c>
      <c r="D6" s="13" t="s">
        <v>66</v>
      </c>
      <c r="E6" s="15" t="s">
        <v>67</v>
      </c>
      <c r="F6" s="13" t="s">
        <v>68</v>
      </c>
      <c r="G6" s="15" t="s">
        <v>69</v>
      </c>
      <c r="H6" s="13" t="s">
        <v>70</v>
      </c>
      <c r="I6" s="15" t="s">
        <v>69</v>
      </c>
      <c r="J6" s="15" t="s">
        <v>71</v>
      </c>
      <c r="K6" s="15" t="s">
        <v>72</v>
      </c>
      <c r="L6" s="13" t="s">
        <v>73</v>
      </c>
      <c r="M6" s="15" t="s">
        <v>69</v>
      </c>
      <c r="N6" s="13" t="s">
        <v>74</v>
      </c>
      <c r="O6" s="15"/>
      <c r="P6" s="15"/>
      <c r="Q6" s="15" t="s">
        <v>123</v>
      </c>
      <c r="R6" s="13" t="s">
        <v>124</v>
      </c>
      <c r="S6" s="13" t="s">
        <v>125</v>
      </c>
      <c r="T6" s="13" t="s">
        <v>78</v>
      </c>
      <c r="U6" s="14">
        <v>44197</v>
      </c>
      <c r="V6" s="14">
        <v>44677</v>
      </c>
      <c r="W6" s="15"/>
      <c r="X6" s="13"/>
      <c r="Y6" s="13"/>
    </row>
    <row r="7" spans="1:25" ht="43.5" x14ac:dyDescent="0.35">
      <c r="A7" s="13" t="s">
        <v>121</v>
      </c>
      <c r="B7" s="13" t="s">
        <v>65</v>
      </c>
      <c r="C7" s="14">
        <v>44832.702777777777</v>
      </c>
      <c r="D7" s="13" t="s">
        <v>66</v>
      </c>
      <c r="E7" s="15" t="s">
        <v>67</v>
      </c>
      <c r="F7" s="13" t="s">
        <v>68</v>
      </c>
      <c r="G7" s="15" t="s">
        <v>69</v>
      </c>
      <c r="H7" s="13" t="s">
        <v>70</v>
      </c>
      <c r="I7" s="15" t="s">
        <v>69</v>
      </c>
      <c r="J7" s="15" t="s">
        <v>71</v>
      </c>
      <c r="K7" s="15" t="s">
        <v>72</v>
      </c>
      <c r="L7" s="13" t="s">
        <v>73</v>
      </c>
      <c r="M7" s="15" t="s">
        <v>69</v>
      </c>
      <c r="N7" s="13" t="s">
        <v>74</v>
      </c>
      <c r="O7" s="15"/>
      <c r="P7" s="15"/>
      <c r="Q7" s="15" t="s">
        <v>123</v>
      </c>
      <c r="R7" s="13" t="s">
        <v>124</v>
      </c>
      <c r="S7" s="13" t="s">
        <v>125</v>
      </c>
      <c r="T7" s="13" t="s">
        <v>78</v>
      </c>
      <c r="U7" s="14">
        <v>44678</v>
      </c>
      <c r="V7" s="14"/>
      <c r="W7" s="15"/>
      <c r="X7" s="13"/>
      <c r="Y7" s="13"/>
    </row>
    <row r="8" spans="1:25" s="22" customFormat="1" ht="43.5" x14ac:dyDescent="0.35">
      <c r="A8" s="19" t="s">
        <v>155</v>
      </c>
      <c r="B8" s="19" t="s">
        <v>65</v>
      </c>
      <c r="C8" s="20">
        <v>46002.496527777781</v>
      </c>
      <c r="D8" s="19" t="s">
        <v>66</v>
      </c>
      <c r="E8" s="21" t="s">
        <v>67</v>
      </c>
      <c r="F8" s="19" t="s">
        <v>68</v>
      </c>
      <c r="G8" s="21" t="s">
        <v>69</v>
      </c>
      <c r="H8" s="19" t="s">
        <v>70</v>
      </c>
      <c r="I8" s="21" t="s">
        <v>69</v>
      </c>
      <c r="J8" s="21" t="s">
        <v>71</v>
      </c>
      <c r="K8" s="21" t="s">
        <v>72</v>
      </c>
      <c r="L8" s="19" t="s">
        <v>73</v>
      </c>
      <c r="M8" s="21" t="s">
        <v>69</v>
      </c>
      <c r="N8" s="19" t="s">
        <v>74</v>
      </c>
      <c r="O8" s="21"/>
      <c r="P8" s="21"/>
      <c r="Q8" s="21" t="s">
        <v>156</v>
      </c>
      <c r="R8" s="19" t="s">
        <v>157</v>
      </c>
      <c r="S8" s="19" t="s">
        <v>125</v>
      </c>
      <c r="T8" s="19" t="s">
        <v>78</v>
      </c>
      <c r="U8" s="20">
        <v>45901</v>
      </c>
      <c r="V8" s="20"/>
      <c r="W8" s="21"/>
      <c r="X8" s="19" t="s">
        <v>163</v>
      </c>
      <c r="Y8" s="19"/>
    </row>
    <row r="9" spans="1:25" ht="43.5" x14ac:dyDescent="0.35">
      <c r="A9" s="13" t="s">
        <v>64</v>
      </c>
      <c r="B9" s="13" t="s">
        <v>65</v>
      </c>
      <c r="C9" s="14">
        <v>44225.402777777781</v>
      </c>
      <c r="D9" s="13" t="s">
        <v>66</v>
      </c>
      <c r="E9" s="15" t="s">
        <v>67</v>
      </c>
      <c r="F9" s="13" t="s">
        <v>68</v>
      </c>
      <c r="G9" s="15" t="s">
        <v>69</v>
      </c>
      <c r="H9" s="13" t="s">
        <v>70</v>
      </c>
      <c r="I9" s="15" t="s">
        <v>69</v>
      </c>
      <c r="J9" s="15" t="s">
        <v>71</v>
      </c>
      <c r="K9" s="15" t="s">
        <v>72</v>
      </c>
      <c r="L9" s="13" t="s">
        <v>73</v>
      </c>
      <c r="M9" s="15" t="s">
        <v>69</v>
      </c>
      <c r="N9" s="13" t="s">
        <v>74</v>
      </c>
      <c r="O9" s="15"/>
      <c r="P9" s="15"/>
      <c r="Q9" s="15" t="s">
        <v>164</v>
      </c>
      <c r="R9" s="13" t="s">
        <v>165</v>
      </c>
      <c r="S9" s="13" t="s">
        <v>125</v>
      </c>
      <c r="T9" s="13" t="s">
        <v>116</v>
      </c>
      <c r="U9" s="14">
        <v>44197</v>
      </c>
      <c r="V9" s="14"/>
      <c r="W9" s="15"/>
      <c r="X9" s="13"/>
      <c r="Y9" s="13"/>
    </row>
    <row r="10" spans="1:25" ht="43.5" x14ac:dyDescent="0.35">
      <c r="A10" s="13" t="s">
        <v>121</v>
      </c>
      <c r="B10" s="13" t="s">
        <v>122</v>
      </c>
      <c r="C10" s="14">
        <v>44832.703472222223</v>
      </c>
      <c r="D10" s="13" t="s">
        <v>66</v>
      </c>
      <c r="E10" s="15" t="s">
        <v>67</v>
      </c>
      <c r="F10" s="13" t="s">
        <v>68</v>
      </c>
      <c r="G10" s="15" t="s">
        <v>69</v>
      </c>
      <c r="H10" s="13" t="s">
        <v>70</v>
      </c>
      <c r="I10" s="15" t="s">
        <v>69</v>
      </c>
      <c r="J10" s="15" t="s">
        <v>71</v>
      </c>
      <c r="K10" s="15" t="s">
        <v>72</v>
      </c>
      <c r="L10" s="13" t="s">
        <v>73</v>
      </c>
      <c r="M10" s="15" t="s">
        <v>69</v>
      </c>
      <c r="N10" s="13" t="s">
        <v>74</v>
      </c>
      <c r="O10" s="15"/>
      <c r="P10" s="15"/>
      <c r="Q10" s="15" t="s">
        <v>166</v>
      </c>
      <c r="R10" s="13" t="s">
        <v>167</v>
      </c>
      <c r="S10" s="13" t="s">
        <v>125</v>
      </c>
      <c r="T10" s="13" t="s">
        <v>78</v>
      </c>
      <c r="U10" s="14">
        <v>44197</v>
      </c>
      <c r="V10" s="14">
        <v>44677</v>
      </c>
      <c r="W10" s="15"/>
      <c r="X10" s="13"/>
      <c r="Y10" s="13"/>
    </row>
    <row r="11" spans="1:25" ht="43.5" x14ac:dyDescent="0.35">
      <c r="A11" s="13" t="s">
        <v>121</v>
      </c>
      <c r="B11" s="13" t="s">
        <v>65</v>
      </c>
      <c r="C11" s="14">
        <v>44832.705555555556</v>
      </c>
      <c r="D11" s="13" t="s">
        <v>66</v>
      </c>
      <c r="E11" s="15" t="s">
        <v>67</v>
      </c>
      <c r="F11" s="13" t="s">
        <v>68</v>
      </c>
      <c r="G11" s="15" t="s">
        <v>69</v>
      </c>
      <c r="H11" s="13" t="s">
        <v>70</v>
      </c>
      <c r="I11" s="15" t="s">
        <v>69</v>
      </c>
      <c r="J11" s="15" t="s">
        <v>71</v>
      </c>
      <c r="K11" s="15" t="s">
        <v>72</v>
      </c>
      <c r="L11" s="13" t="s">
        <v>73</v>
      </c>
      <c r="M11" s="15" t="s">
        <v>69</v>
      </c>
      <c r="N11" s="13" t="s">
        <v>74</v>
      </c>
      <c r="O11" s="15"/>
      <c r="P11" s="15"/>
      <c r="Q11" s="15" t="s">
        <v>166</v>
      </c>
      <c r="R11" s="13" t="s">
        <v>167</v>
      </c>
      <c r="S11" s="13" t="s">
        <v>125</v>
      </c>
      <c r="T11" s="13" t="s">
        <v>78</v>
      </c>
      <c r="U11" s="14">
        <v>44678</v>
      </c>
      <c r="V11" s="14"/>
      <c r="W11" s="15"/>
      <c r="X11" s="13"/>
      <c r="Y11" s="13"/>
    </row>
    <row r="12" spans="1:25" s="22" customFormat="1" ht="29" x14ac:dyDescent="0.35">
      <c r="A12" s="19" t="s">
        <v>155</v>
      </c>
      <c r="B12" s="19" t="s">
        <v>65</v>
      </c>
      <c r="C12" s="20">
        <v>45917.711805555555</v>
      </c>
      <c r="D12" s="19" t="s">
        <v>66</v>
      </c>
      <c r="E12" s="21" t="s">
        <v>67</v>
      </c>
      <c r="F12" s="19" t="s">
        <v>68</v>
      </c>
      <c r="G12" s="21" t="s">
        <v>69</v>
      </c>
      <c r="H12" s="19" t="s">
        <v>186</v>
      </c>
      <c r="I12" s="21" t="s">
        <v>187</v>
      </c>
      <c r="J12" s="21"/>
      <c r="K12" s="21"/>
      <c r="L12" s="19" t="s">
        <v>188</v>
      </c>
      <c r="M12" s="21" t="s">
        <v>189</v>
      </c>
      <c r="N12" s="19" t="s">
        <v>74</v>
      </c>
      <c r="O12" s="21"/>
      <c r="P12" s="21"/>
      <c r="Q12" s="21" t="s">
        <v>75</v>
      </c>
      <c r="R12" s="19" t="s">
        <v>76</v>
      </c>
      <c r="S12" s="19" t="s">
        <v>77</v>
      </c>
      <c r="T12" s="19" t="s">
        <v>78</v>
      </c>
      <c r="U12" s="20">
        <v>45689</v>
      </c>
      <c r="V12" s="20"/>
      <c r="W12" s="21"/>
      <c r="X12" s="19" t="s">
        <v>218</v>
      </c>
      <c r="Y12" s="19"/>
    </row>
    <row r="13" spans="1:25" s="22" customFormat="1" ht="29" x14ac:dyDescent="0.35">
      <c r="A13" s="19" t="s">
        <v>155</v>
      </c>
      <c r="B13" s="19" t="s">
        <v>65</v>
      </c>
      <c r="C13" s="20">
        <v>45917.714583333334</v>
      </c>
      <c r="D13" s="19" t="s">
        <v>66</v>
      </c>
      <c r="E13" s="21" t="s">
        <v>67</v>
      </c>
      <c r="F13" s="19" t="s">
        <v>68</v>
      </c>
      <c r="G13" s="21" t="s">
        <v>69</v>
      </c>
      <c r="H13" s="19" t="s">
        <v>186</v>
      </c>
      <c r="I13" s="21" t="s">
        <v>187</v>
      </c>
      <c r="J13" s="21"/>
      <c r="K13" s="21"/>
      <c r="L13" s="19" t="s">
        <v>188</v>
      </c>
      <c r="M13" s="21" t="s">
        <v>189</v>
      </c>
      <c r="N13" s="19" t="s">
        <v>74</v>
      </c>
      <c r="O13" s="21"/>
      <c r="P13" s="21"/>
      <c r="Q13" s="21" t="s">
        <v>114</v>
      </c>
      <c r="R13" s="19" t="s">
        <v>115</v>
      </c>
      <c r="S13" s="19" t="s">
        <v>77</v>
      </c>
      <c r="T13" s="19" t="s">
        <v>78</v>
      </c>
      <c r="U13" s="20">
        <v>45689</v>
      </c>
      <c r="V13" s="20"/>
      <c r="W13" s="21"/>
      <c r="X13" s="19" t="s">
        <v>218</v>
      </c>
      <c r="Y13" s="19"/>
    </row>
    <row r="14" spans="1:25" s="22" customFormat="1" ht="29" x14ac:dyDescent="0.35">
      <c r="A14" s="19" t="s">
        <v>155</v>
      </c>
      <c r="B14" s="19" t="s">
        <v>65</v>
      </c>
      <c r="C14" s="20">
        <v>45917.71875</v>
      </c>
      <c r="D14" s="19" t="s">
        <v>66</v>
      </c>
      <c r="E14" s="21" t="s">
        <v>67</v>
      </c>
      <c r="F14" s="19" t="s">
        <v>68</v>
      </c>
      <c r="G14" s="21" t="s">
        <v>69</v>
      </c>
      <c r="H14" s="19" t="s">
        <v>186</v>
      </c>
      <c r="I14" s="21" t="s">
        <v>187</v>
      </c>
      <c r="J14" s="21"/>
      <c r="K14" s="21"/>
      <c r="L14" s="19" t="s">
        <v>188</v>
      </c>
      <c r="M14" s="21" t="s">
        <v>189</v>
      </c>
      <c r="N14" s="19" t="s">
        <v>74</v>
      </c>
      <c r="O14" s="21"/>
      <c r="P14" s="21"/>
      <c r="Q14" s="21" t="s">
        <v>117</v>
      </c>
      <c r="R14" s="19" t="s">
        <v>118</v>
      </c>
      <c r="S14" s="19" t="s">
        <v>77</v>
      </c>
      <c r="T14" s="19" t="s">
        <v>116</v>
      </c>
      <c r="U14" s="20">
        <v>45689</v>
      </c>
      <c r="V14" s="20"/>
      <c r="W14" s="21"/>
      <c r="X14" s="19" t="s">
        <v>218</v>
      </c>
      <c r="Y14" s="19"/>
    </row>
    <row r="15" spans="1:25" s="22" customFormat="1" ht="29" x14ac:dyDescent="0.35">
      <c r="A15" s="19" t="s">
        <v>155</v>
      </c>
      <c r="B15" s="19" t="s">
        <v>65</v>
      </c>
      <c r="C15" s="20">
        <v>45917.715277777781</v>
      </c>
      <c r="D15" s="19" t="s">
        <v>66</v>
      </c>
      <c r="E15" s="21" t="s">
        <v>67</v>
      </c>
      <c r="F15" s="19" t="s">
        <v>68</v>
      </c>
      <c r="G15" s="21" t="s">
        <v>69</v>
      </c>
      <c r="H15" s="19" t="s">
        <v>186</v>
      </c>
      <c r="I15" s="21" t="s">
        <v>187</v>
      </c>
      <c r="J15" s="21"/>
      <c r="K15" s="21"/>
      <c r="L15" s="19" t="s">
        <v>188</v>
      </c>
      <c r="M15" s="21" t="s">
        <v>189</v>
      </c>
      <c r="N15" s="19" t="s">
        <v>74</v>
      </c>
      <c r="O15" s="21"/>
      <c r="P15" s="21"/>
      <c r="Q15" s="21" t="s">
        <v>119</v>
      </c>
      <c r="R15" s="19" t="s">
        <v>120</v>
      </c>
      <c r="S15" s="19" t="s">
        <v>77</v>
      </c>
      <c r="T15" s="19" t="s">
        <v>116</v>
      </c>
      <c r="U15" s="20">
        <v>45689</v>
      </c>
      <c r="V15" s="20"/>
      <c r="W15" s="21"/>
      <c r="X15" s="19" t="s">
        <v>218</v>
      </c>
      <c r="Y15" s="19"/>
    </row>
    <row r="16" spans="1:25" s="22" customFormat="1" ht="29" x14ac:dyDescent="0.35">
      <c r="A16" s="19" t="s">
        <v>155</v>
      </c>
      <c r="B16" s="19" t="s">
        <v>65</v>
      </c>
      <c r="C16" s="20">
        <v>45917.71597222222</v>
      </c>
      <c r="D16" s="19" t="s">
        <v>66</v>
      </c>
      <c r="E16" s="21" t="s">
        <v>67</v>
      </c>
      <c r="F16" s="19" t="s">
        <v>68</v>
      </c>
      <c r="G16" s="21" t="s">
        <v>69</v>
      </c>
      <c r="H16" s="19" t="s">
        <v>186</v>
      </c>
      <c r="I16" s="21" t="s">
        <v>187</v>
      </c>
      <c r="J16" s="21"/>
      <c r="K16" s="21"/>
      <c r="L16" s="19" t="s">
        <v>188</v>
      </c>
      <c r="M16" s="21" t="s">
        <v>189</v>
      </c>
      <c r="N16" s="19" t="s">
        <v>74</v>
      </c>
      <c r="O16" s="21"/>
      <c r="P16" s="21"/>
      <c r="Q16" s="21" t="s">
        <v>219</v>
      </c>
      <c r="R16" s="19" t="s">
        <v>220</v>
      </c>
      <c r="S16" s="19" t="s">
        <v>125</v>
      </c>
      <c r="T16" s="19" t="s">
        <v>116</v>
      </c>
      <c r="U16" s="20">
        <v>45689</v>
      </c>
      <c r="V16" s="20"/>
      <c r="W16" s="21"/>
      <c r="X16" s="19" t="s">
        <v>218</v>
      </c>
      <c r="Y16" s="19"/>
    </row>
    <row r="17" spans="1:25" s="22" customFormat="1" ht="29" x14ac:dyDescent="0.35">
      <c r="A17" s="19" t="s">
        <v>155</v>
      </c>
      <c r="B17" s="19" t="s">
        <v>65</v>
      </c>
      <c r="C17" s="20">
        <v>45917.71597222222</v>
      </c>
      <c r="D17" s="19" t="s">
        <v>66</v>
      </c>
      <c r="E17" s="21" t="s">
        <v>67</v>
      </c>
      <c r="F17" s="19" t="s">
        <v>68</v>
      </c>
      <c r="G17" s="21" t="s">
        <v>69</v>
      </c>
      <c r="H17" s="19" t="s">
        <v>221</v>
      </c>
      <c r="I17" s="21" t="s">
        <v>222</v>
      </c>
      <c r="J17" s="21"/>
      <c r="K17" s="21"/>
      <c r="L17" s="19" t="s">
        <v>223</v>
      </c>
      <c r="M17" s="21" t="s">
        <v>224</v>
      </c>
      <c r="N17" s="19" t="s">
        <v>74</v>
      </c>
      <c r="O17" s="21"/>
      <c r="P17" s="21"/>
      <c r="Q17" s="21" t="s">
        <v>75</v>
      </c>
      <c r="R17" s="19" t="s">
        <v>76</v>
      </c>
      <c r="S17" s="19" t="s">
        <v>77</v>
      </c>
      <c r="T17" s="19" t="s">
        <v>78</v>
      </c>
      <c r="U17" s="20">
        <v>45689</v>
      </c>
      <c r="V17" s="20"/>
      <c r="W17" s="21"/>
      <c r="X17" s="19" t="s">
        <v>218</v>
      </c>
      <c r="Y17" s="19"/>
    </row>
    <row r="18" spans="1:25" s="22" customFormat="1" ht="29" x14ac:dyDescent="0.35">
      <c r="A18" s="19" t="s">
        <v>155</v>
      </c>
      <c r="B18" s="19" t="s">
        <v>65</v>
      </c>
      <c r="C18" s="20">
        <v>45917.716666666667</v>
      </c>
      <c r="D18" s="19" t="s">
        <v>66</v>
      </c>
      <c r="E18" s="21" t="s">
        <v>67</v>
      </c>
      <c r="F18" s="19" t="s">
        <v>68</v>
      </c>
      <c r="G18" s="21" t="s">
        <v>69</v>
      </c>
      <c r="H18" s="19" t="s">
        <v>221</v>
      </c>
      <c r="I18" s="21" t="s">
        <v>222</v>
      </c>
      <c r="J18" s="21"/>
      <c r="K18" s="21"/>
      <c r="L18" s="19" t="s">
        <v>223</v>
      </c>
      <c r="M18" s="21" t="s">
        <v>224</v>
      </c>
      <c r="N18" s="19" t="s">
        <v>74</v>
      </c>
      <c r="O18" s="21"/>
      <c r="P18" s="21"/>
      <c r="Q18" s="21" t="s">
        <v>114</v>
      </c>
      <c r="R18" s="19" t="s">
        <v>115</v>
      </c>
      <c r="S18" s="19" t="s">
        <v>77</v>
      </c>
      <c r="T18" s="19" t="s">
        <v>78</v>
      </c>
      <c r="U18" s="20">
        <v>45689</v>
      </c>
      <c r="V18" s="20"/>
      <c r="W18" s="21"/>
      <c r="X18" s="19" t="s">
        <v>218</v>
      </c>
      <c r="Y18" s="19"/>
    </row>
    <row r="19" spans="1:25" s="22" customFormat="1" ht="29" x14ac:dyDescent="0.35">
      <c r="A19" s="19" t="s">
        <v>155</v>
      </c>
      <c r="B19" s="19" t="s">
        <v>65</v>
      </c>
      <c r="C19" s="20">
        <v>45917.717361111114</v>
      </c>
      <c r="D19" s="19" t="s">
        <v>66</v>
      </c>
      <c r="E19" s="21" t="s">
        <v>67</v>
      </c>
      <c r="F19" s="19" t="s">
        <v>68</v>
      </c>
      <c r="G19" s="21" t="s">
        <v>69</v>
      </c>
      <c r="H19" s="19" t="s">
        <v>221</v>
      </c>
      <c r="I19" s="21" t="s">
        <v>222</v>
      </c>
      <c r="J19" s="21"/>
      <c r="K19" s="21"/>
      <c r="L19" s="19" t="s">
        <v>223</v>
      </c>
      <c r="M19" s="21" t="s">
        <v>224</v>
      </c>
      <c r="N19" s="19" t="s">
        <v>74</v>
      </c>
      <c r="O19" s="21"/>
      <c r="P19" s="21"/>
      <c r="Q19" s="21" t="s">
        <v>117</v>
      </c>
      <c r="R19" s="19" t="s">
        <v>118</v>
      </c>
      <c r="S19" s="19" t="s">
        <v>77</v>
      </c>
      <c r="T19" s="19" t="s">
        <v>116</v>
      </c>
      <c r="U19" s="20">
        <v>45689</v>
      </c>
      <c r="V19" s="20"/>
      <c r="W19" s="21"/>
      <c r="X19" s="19" t="s">
        <v>218</v>
      </c>
      <c r="Y19" s="19"/>
    </row>
    <row r="20" spans="1:25" s="22" customFormat="1" ht="29" x14ac:dyDescent="0.35">
      <c r="A20" s="19" t="s">
        <v>155</v>
      </c>
      <c r="B20" s="19" t="s">
        <v>65</v>
      </c>
      <c r="C20" s="20">
        <v>45917.717361111114</v>
      </c>
      <c r="D20" s="19" t="s">
        <v>66</v>
      </c>
      <c r="E20" s="21" t="s">
        <v>67</v>
      </c>
      <c r="F20" s="19" t="s">
        <v>68</v>
      </c>
      <c r="G20" s="21" t="s">
        <v>69</v>
      </c>
      <c r="H20" s="19" t="s">
        <v>221</v>
      </c>
      <c r="I20" s="21" t="s">
        <v>222</v>
      </c>
      <c r="J20" s="21"/>
      <c r="K20" s="21"/>
      <c r="L20" s="19" t="s">
        <v>223</v>
      </c>
      <c r="M20" s="21" t="s">
        <v>224</v>
      </c>
      <c r="N20" s="19" t="s">
        <v>74</v>
      </c>
      <c r="O20" s="21"/>
      <c r="P20" s="21"/>
      <c r="Q20" s="21" t="s">
        <v>119</v>
      </c>
      <c r="R20" s="19" t="s">
        <v>120</v>
      </c>
      <c r="S20" s="19" t="s">
        <v>77</v>
      </c>
      <c r="T20" s="19" t="s">
        <v>116</v>
      </c>
      <c r="U20" s="20">
        <v>45689</v>
      </c>
      <c r="V20" s="20"/>
      <c r="W20" s="21"/>
      <c r="X20" s="19" t="s">
        <v>218</v>
      </c>
      <c r="Y20" s="19"/>
    </row>
    <row r="21" spans="1:25" s="22" customFormat="1" ht="29" x14ac:dyDescent="0.35">
      <c r="A21" s="19" t="s">
        <v>155</v>
      </c>
      <c r="B21" s="19" t="s">
        <v>65</v>
      </c>
      <c r="C21" s="20">
        <v>45917.718055555553</v>
      </c>
      <c r="D21" s="19" t="s">
        <v>66</v>
      </c>
      <c r="E21" s="21" t="s">
        <v>67</v>
      </c>
      <c r="F21" s="19" t="s">
        <v>68</v>
      </c>
      <c r="G21" s="21" t="s">
        <v>69</v>
      </c>
      <c r="H21" s="19" t="s">
        <v>221</v>
      </c>
      <c r="I21" s="21" t="s">
        <v>222</v>
      </c>
      <c r="J21" s="21"/>
      <c r="K21" s="21"/>
      <c r="L21" s="19" t="s">
        <v>223</v>
      </c>
      <c r="M21" s="21" t="s">
        <v>224</v>
      </c>
      <c r="N21" s="19" t="s">
        <v>74</v>
      </c>
      <c r="O21" s="21"/>
      <c r="P21" s="21"/>
      <c r="Q21" s="21" t="s">
        <v>219</v>
      </c>
      <c r="R21" s="19" t="s">
        <v>220</v>
      </c>
      <c r="S21" s="19" t="s">
        <v>125</v>
      </c>
      <c r="T21" s="19" t="s">
        <v>116</v>
      </c>
      <c r="U21" s="20">
        <v>45689</v>
      </c>
      <c r="V21" s="20"/>
      <c r="W21" s="21"/>
      <c r="X21" s="19" t="s">
        <v>218</v>
      </c>
      <c r="Y21" s="19"/>
    </row>
    <row r="22" spans="1:25" x14ac:dyDescent="0.35">
      <c r="C22" s="16"/>
      <c r="U22" s="16"/>
      <c r="V22" s="16"/>
    </row>
    <row r="23" spans="1:25" x14ac:dyDescent="0.35">
      <c r="C23" s="16"/>
      <c r="U23" s="16"/>
      <c r="V23" s="16"/>
    </row>
    <row r="24" spans="1:25" x14ac:dyDescent="0.35">
      <c r="C24" s="16"/>
      <c r="U24" s="16"/>
      <c r="V24" s="16"/>
    </row>
    <row r="25" spans="1:25" x14ac:dyDescent="0.35">
      <c r="C25" s="16"/>
      <c r="U25" s="16"/>
      <c r="V25" s="16"/>
    </row>
    <row r="26" spans="1:25" x14ac:dyDescent="0.35">
      <c r="C26" s="16"/>
      <c r="U26" s="16"/>
      <c r="V26" s="16"/>
    </row>
    <row r="27" spans="1:25" x14ac:dyDescent="0.35">
      <c r="C27" s="16"/>
      <c r="U27" s="16"/>
      <c r="V27" s="16"/>
    </row>
    <row r="28" spans="1:25" x14ac:dyDescent="0.35">
      <c r="C28" s="16"/>
      <c r="U28" s="16"/>
      <c r="V28" s="16"/>
    </row>
    <row r="29" spans="1:25" x14ac:dyDescent="0.35">
      <c r="C29" s="16"/>
      <c r="U29" s="16"/>
      <c r="V29" s="16"/>
    </row>
    <row r="30" spans="1:25" x14ac:dyDescent="0.35">
      <c r="C30" s="16"/>
      <c r="U30" s="16"/>
      <c r="V30" s="16"/>
    </row>
    <row r="31" spans="1:25" x14ac:dyDescent="0.35">
      <c r="C31" s="16"/>
      <c r="U31" s="16"/>
      <c r="V31" s="16"/>
    </row>
    <row r="32" spans="1:25" x14ac:dyDescent="0.35">
      <c r="C32" s="16"/>
      <c r="U32" s="16"/>
      <c r="V32" s="16"/>
    </row>
    <row r="33" spans="3:22" x14ac:dyDescent="0.35">
      <c r="C33" s="16"/>
      <c r="U33" s="16"/>
      <c r="V33" s="16"/>
    </row>
    <row r="34" spans="3:22" x14ac:dyDescent="0.35">
      <c r="C34" s="16"/>
      <c r="U34" s="16"/>
      <c r="V34" s="16"/>
    </row>
    <row r="35" spans="3:22" x14ac:dyDescent="0.35">
      <c r="C35" s="16"/>
      <c r="U35" s="16"/>
      <c r="V35" s="16"/>
    </row>
    <row r="36" spans="3:22" x14ac:dyDescent="0.35">
      <c r="C36" s="16"/>
      <c r="U36" s="16"/>
      <c r="V36" s="16"/>
    </row>
    <row r="37" spans="3:22" x14ac:dyDescent="0.35">
      <c r="C37" s="16"/>
      <c r="U37" s="16"/>
      <c r="V37" s="16"/>
    </row>
    <row r="38" spans="3:22" x14ac:dyDescent="0.35">
      <c r="C38" s="16"/>
      <c r="U38" s="16"/>
      <c r="V38" s="16"/>
    </row>
    <row r="39" spans="3:22" x14ac:dyDescent="0.35">
      <c r="C39" s="16"/>
      <c r="U39" s="16"/>
      <c r="V39" s="16"/>
    </row>
    <row r="40" spans="3:22" x14ac:dyDescent="0.35">
      <c r="C40" s="16"/>
      <c r="U40" s="16"/>
      <c r="V40" s="16"/>
    </row>
    <row r="41" spans="3:22" x14ac:dyDescent="0.35">
      <c r="C41" s="16"/>
      <c r="U41" s="16"/>
      <c r="V41" s="16"/>
    </row>
    <row r="42" spans="3:22" x14ac:dyDescent="0.35">
      <c r="C42" s="16"/>
      <c r="U42" s="16"/>
      <c r="V42" s="16"/>
    </row>
    <row r="43" spans="3:22" x14ac:dyDescent="0.35">
      <c r="C43" s="16"/>
      <c r="U43" s="16"/>
      <c r="V43" s="16"/>
    </row>
    <row r="44" spans="3:22" x14ac:dyDescent="0.35">
      <c r="C44" s="16"/>
      <c r="U44" s="16"/>
      <c r="V44" s="16"/>
    </row>
    <row r="45" spans="3:22" x14ac:dyDescent="0.35">
      <c r="C45" s="16"/>
      <c r="U45" s="16"/>
      <c r="V45" s="16"/>
    </row>
    <row r="46" spans="3:22" x14ac:dyDescent="0.35">
      <c r="C46" s="16"/>
      <c r="U46" s="16"/>
      <c r="V46" s="16"/>
    </row>
    <row r="47" spans="3:22" x14ac:dyDescent="0.35">
      <c r="C47" s="16"/>
      <c r="U47" s="16"/>
      <c r="V47" s="16"/>
    </row>
    <row r="48" spans="3:22" x14ac:dyDescent="0.35">
      <c r="C48" s="16"/>
      <c r="U48" s="16"/>
      <c r="V48" s="16"/>
    </row>
    <row r="49" spans="3:22" x14ac:dyDescent="0.35">
      <c r="C49" s="16"/>
      <c r="U49" s="16"/>
      <c r="V49" s="16"/>
    </row>
    <row r="50" spans="3:22" x14ac:dyDescent="0.35">
      <c r="C50" s="16"/>
      <c r="U50" s="16"/>
      <c r="V50" s="16"/>
    </row>
    <row r="51" spans="3:22" x14ac:dyDescent="0.35">
      <c r="C51" s="16"/>
      <c r="U51" s="16"/>
      <c r="V51" s="16"/>
    </row>
    <row r="52" spans="3:22" x14ac:dyDescent="0.35">
      <c r="C52" s="16"/>
      <c r="U52" s="16"/>
      <c r="V52" s="16"/>
    </row>
    <row r="53" spans="3:22" x14ac:dyDescent="0.35">
      <c r="C53" s="16"/>
      <c r="U53" s="16"/>
      <c r="V53" s="16"/>
    </row>
    <row r="54" spans="3:22" x14ac:dyDescent="0.35">
      <c r="C54" s="16"/>
      <c r="U54" s="16"/>
      <c r="V54" s="16"/>
    </row>
    <row r="55" spans="3:22" x14ac:dyDescent="0.35">
      <c r="C55" s="16"/>
      <c r="U55" s="16"/>
      <c r="V55" s="16"/>
    </row>
    <row r="56" spans="3:22" x14ac:dyDescent="0.35">
      <c r="C56" s="16"/>
      <c r="U56" s="16"/>
      <c r="V56" s="16"/>
    </row>
    <row r="57" spans="3:22" x14ac:dyDescent="0.35">
      <c r="C57" s="16"/>
      <c r="U57" s="16"/>
      <c r="V57" s="16"/>
    </row>
    <row r="58" spans="3:22" x14ac:dyDescent="0.35">
      <c r="C58" s="16"/>
      <c r="U58" s="16"/>
      <c r="V58" s="16"/>
    </row>
    <row r="59" spans="3:22" x14ac:dyDescent="0.35">
      <c r="C59" s="16"/>
      <c r="U59" s="16"/>
      <c r="V59" s="16"/>
    </row>
    <row r="60" spans="3:22" x14ac:dyDescent="0.35">
      <c r="C60" s="16"/>
      <c r="U60" s="16"/>
      <c r="V60" s="16"/>
    </row>
    <row r="61" spans="3:22" x14ac:dyDescent="0.35">
      <c r="C61" s="16"/>
      <c r="U61" s="16"/>
      <c r="V61" s="16"/>
    </row>
    <row r="62" spans="3:22" x14ac:dyDescent="0.35">
      <c r="C62" s="16"/>
      <c r="U62" s="16"/>
      <c r="V62" s="16"/>
    </row>
    <row r="63" spans="3:22" x14ac:dyDescent="0.35">
      <c r="C63" s="16"/>
      <c r="U63" s="16"/>
      <c r="V63" s="16"/>
    </row>
    <row r="64" spans="3:22"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row r="91" spans="3:22" x14ac:dyDescent="0.35">
      <c r="C91" s="16"/>
      <c r="U91" s="16"/>
      <c r="V91" s="16"/>
    </row>
    <row r="92" spans="3:22" x14ac:dyDescent="0.35">
      <c r="C92" s="16"/>
      <c r="U92" s="16"/>
      <c r="V92" s="16"/>
    </row>
    <row r="93" spans="3:22" x14ac:dyDescent="0.35">
      <c r="C93" s="16"/>
      <c r="U93" s="16"/>
      <c r="V93" s="16"/>
    </row>
    <row r="94" spans="3:22" x14ac:dyDescent="0.35">
      <c r="C94" s="16"/>
      <c r="U94" s="16"/>
      <c r="V94" s="16"/>
    </row>
    <row r="95" spans="3:22" x14ac:dyDescent="0.35">
      <c r="C95" s="16"/>
      <c r="U95" s="16"/>
      <c r="V95" s="16"/>
    </row>
    <row r="96" spans="3:22"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sheetData>
  <autoFilter ref="A1:OJ21" xr:uid="{A4785CBA-4225-4330-9584-D50BC86518FF}"/>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83ABE-F2DA-48D7-A0F9-B2F286B02755}">
  <dimension ref="A1:AO21"/>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245</v>
      </c>
      <c r="X1" s="10" t="s">
        <v>246</v>
      </c>
      <c r="Y1" s="10" t="s">
        <v>247</v>
      </c>
      <c r="Z1" s="10" t="s">
        <v>248</v>
      </c>
      <c r="AA1" s="10" t="s">
        <v>249</v>
      </c>
      <c r="AB1" s="10" t="s">
        <v>250</v>
      </c>
      <c r="AC1" s="10" t="s">
        <v>251</v>
      </c>
      <c r="AD1" s="10" t="s">
        <v>252</v>
      </c>
      <c r="AE1" s="10" t="s">
        <v>253</v>
      </c>
      <c r="AF1" s="10" t="s">
        <v>254</v>
      </c>
      <c r="AG1" s="10" t="s">
        <v>255</v>
      </c>
      <c r="AH1" s="10" t="s">
        <v>256</v>
      </c>
      <c r="AI1" s="10" t="s">
        <v>257</v>
      </c>
      <c r="AJ1" s="10" t="s">
        <v>258</v>
      </c>
      <c r="AK1" s="10" t="s">
        <v>259</v>
      </c>
      <c r="AL1" s="10" t="s">
        <v>260</v>
      </c>
      <c r="AM1" s="10" t="s">
        <v>261</v>
      </c>
      <c r="AN1" s="10" t="s">
        <v>62</v>
      </c>
      <c r="AO1" s="10" t="s">
        <v>63</v>
      </c>
    </row>
    <row r="2" spans="1:41" ht="43.5" x14ac:dyDescent="0.35">
      <c r="A2" s="13" t="s">
        <v>64</v>
      </c>
      <c r="B2" s="13" t="s">
        <v>65</v>
      </c>
      <c r="C2" s="14">
        <v>44225.399305555555</v>
      </c>
      <c r="D2" s="13" t="s">
        <v>66</v>
      </c>
      <c r="E2" s="15" t="s">
        <v>67</v>
      </c>
      <c r="F2" s="13" t="s">
        <v>68</v>
      </c>
      <c r="G2" s="15" t="s">
        <v>69</v>
      </c>
      <c r="H2" s="13" t="s">
        <v>70</v>
      </c>
      <c r="I2" s="15" t="s">
        <v>69</v>
      </c>
      <c r="J2" s="15" t="s">
        <v>71</v>
      </c>
      <c r="K2" s="15" t="s">
        <v>72</v>
      </c>
      <c r="L2" s="13" t="s">
        <v>73</v>
      </c>
      <c r="M2" s="15" t="s">
        <v>69</v>
      </c>
      <c r="N2" s="13" t="s">
        <v>74</v>
      </c>
      <c r="O2" s="15"/>
      <c r="P2" s="15"/>
      <c r="Q2" s="15" t="s">
        <v>75</v>
      </c>
      <c r="R2" s="13" t="s">
        <v>76</v>
      </c>
      <c r="S2" s="13" t="s">
        <v>77</v>
      </c>
      <c r="T2" s="13" t="s">
        <v>78</v>
      </c>
      <c r="U2" s="14">
        <v>44197</v>
      </c>
      <c r="V2" s="14"/>
      <c r="W2" s="15"/>
      <c r="X2" s="15"/>
      <c r="Y2" s="13"/>
      <c r="Z2" s="15"/>
      <c r="AA2" s="15"/>
      <c r="AB2" s="15"/>
      <c r="AC2" s="13"/>
      <c r="AD2" s="15"/>
      <c r="AE2" s="15"/>
      <c r="AF2" s="15"/>
      <c r="AG2" s="13"/>
      <c r="AH2" s="15"/>
      <c r="AI2" s="15"/>
      <c r="AJ2" s="15"/>
      <c r="AK2" s="13"/>
      <c r="AL2" s="15"/>
      <c r="AM2" s="15"/>
      <c r="AN2" s="13"/>
      <c r="AO2" s="13"/>
    </row>
    <row r="3" spans="1:41" ht="43.5" x14ac:dyDescent="0.35">
      <c r="A3" s="13" t="s">
        <v>64</v>
      </c>
      <c r="B3" s="13" t="s">
        <v>65</v>
      </c>
      <c r="C3" s="14">
        <v>44225.4</v>
      </c>
      <c r="D3" s="13" t="s">
        <v>66</v>
      </c>
      <c r="E3" s="15" t="s">
        <v>67</v>
      </c>
      <c r="F3" s="13" t="s">
        <v>68</v>
      </c>
      <c r="G3" s="15" t="s">
        <v>69</v>
      </c>
      <c r="H3" s="13" t="s">
        <v>70</v>
      </c>
      <c r="I3" s="15" t="s">
        <v>69</v>
      </c>
      <c r="J3" s="15" t="s">
        <v>71</v>
      </c>
      <c r="K3" s="15" t="s">
        <v>72</v>
      </c>
      <c r="L3" s="13" t="s">
        <v>73</v>
      </c>
      <c r="M3" s="15" t="s">
        <v>69</v>
      </c>
      <c r="N3" s="13" t="s">
        <v>74</v>
      </c>
      <c r="O3" s="15"/>
      <c r="P3" s="15"/>
      <c r="Q3" s="15" t="s">
        <v>114</v>
      </c>
      <c r="R3" s="13" t="s">
        <v>115</v>
      </c>
      <c r="S3" s="13" t="s">
        <v>77</v>
      </c>
      <c r="T3" s="13" t="s">
        <v>116</v>
      </c>
      <c r="U3" s="14">
        <v>44197</v>
      </c>
      <c r="V3" s="14"/>
      <c r="W3" s="15"/>
      <c r="X3" s="15"/>
      <c r="Y3" s="13"/>
      <c r="Z3" s="15"/>
      <c r="AA3" s="15"/>
      <c r="AB3" s="15"/>
      <c r="AC3" s="13"/>
      <c r="AD3" s="15"/>
      <c r="AE3" s="15"/>
      <c r="AF3" s="15"/>
      <c r="AG3" s="13"/>
      <c r="AH3" s="15"/>
      <c r="AI3" s="15"/>
      <c r="AJ3" s="15"/>
      <c r="AK3" s="13"/>
      <c r="AL3" s="15"/>
      <c r="AM3" s="15"/>
      <c r="AN3" s="13"/>
      <c r="AO3" s="13"/>
    </row>
    <row r="4" spans="1:41" ht="43.5" x14ac:dyDescent="0.35">
      <c r="A4" s="13" t="s">
        <v>64</v>
      </c>
      <c r="B4" s="13" t="s">
        <v>65</v>
      </c>
      <c r="C4" s="14">
        <v>44225.4</v>
      </c>
      <c r="D4" s="13" t="s">
        <v>66</v>
      </c>
      <c r="E4" s="15" t="s">
        <v>67</v>
      </c>
      <c r="F4" s="13" t="s">
        <v>68</v>
      </c>
      <c r="G4" s="15" t="s">
        <v>69</v>
      </c>
      <c r="H4" s="13" t="s">
        <v>70</v>
      </c>
      <c r="I4" s="15" t="s">
        <v>69</v>
      </c>
      <c r="J4" s="15" t="s">
        <v>71</v>
      </c>
      <c r="K4" s="15" t="s">
        <v>72</v>
      </c>
      <c r="L4" s="13" t="s">
        <v>73</v>
      </c>
      <c r="M4" s="15" t="s">
        <v>69</v>
      </c>
      <c r="N4" s="13" t="s">
        <v>74</v>
      </c>
      <c r="O4" s="15"/>
      <c r="P4" s="15"/>
      <c r="Q4" s="15" t="s">
        <v>117</v>
      </c>
      <c r="R4" s="13" t="s">
        <v>118</v>
      </c>
      <c r="S4" s="13" t="s">
        <v>77</v>
      </c>
      <c r="T4" s="13" t="s">
        <v>116</v>
      </c>
      <c r="U4" s="14">
        <v>44197</v>
      </c>
      <c r="V4" s="14"/>
      <c r="W4" s="15"/>
      <c r="X4" s="15"/>
      <c r="Y4" s="13"/>
      <c r="Z4" s="15"/>
      <c r="AA4" s="15"/>
      <c r="AB4" s="15"/>
      <c r="AC4" s="13"/>
      <c r="AD4" s="15"/>
      <c r="AE4" s="15"/>
      <c r="AF4" s="15"/>
      <c r="AG4" s="13"/>
      <c r="AH4" s="15"/>
      <c r="AI4" s="15"/>
      <c r="AJ4" s="15"/>
      <c r="AK4" s="13"/>
      <c r="AL4" s="15"/>
      <c r="AM4" s="15"/>
      <c r="AN4" s="13"/>
      <c r="AO4" s="13"/>
    </row>
    <row r="5" spans="1:41" ht="43.5" x14ac:dyDescent="0.35">
      <c r="A5" s="13" t="s">
        <v>64</v>
      </c>
      <c r="B5" s="13" t="s">
        <v>65</v>
      </c>
      <c r="C5" s="14">
        <v>44225.400694444441</v>
      </c>
      <c r="D5" s="13" t="s">
        <v>66</v>
      </c>
      <c r="E5" s="15" t="s">
        <v>67</v>
      </c>
      <c r="F5" s="13" t="s">
        <v>68</v>
      </c>
      <c r="G5" s="15" t="s">
        <v>69</v>
      </c>
      <c r="H5" s="13" t="s">
        <v>70</v>
      </c>
      <c r="I5" s="15" t="s">
        <v>69</v>
      </c>
      <c r="J5" s="15" t="s">
        <v>71</v>
      </c>
      <c r="K5" s="15" t="s">
        <v>72</v>
      </c>
      <c r="L5" s="13" t="s">
        <v>73</v>
      </c>
      <c r="M5" s="15" t="s">
        <v>69</v>
      </c>
      <c r="N5" s="13" t="s">
        <v>74</v>
      </c>
      <c r="O5" s="15"/>
      <c r="P5" s="15"/>
      <c r="Q5" s="15" t="s">
        <v>119</v>
      </c>
      <c r="R5" s="13" t="s">
        <v>120</v>
      </c>
      <c r="S5" s="13" t="s">
        <v>77</v>
      </c>
      <c r="T5" s="13" t="s">
        <v>116</v>
      </c>
      <c r="U5" s="14">
        <v>44197</v>
      </c>
      <c r="V5" s="14"/>
      <c r="W5" s="15"/>
      <c r="X5" s="15"/>
      <c r="Y5" s="13"/>
      <c r="Z5" s="15"/>
      <c r="AA5" s="15"/>
      <c r="AB5" s="15"/>
      <c r="AC5" s="13"/>
      <c r="AD5" s="15"/>
      <c r="AE5" s="15"/>
      <c r="AF5" s="15"/>
      <c r="AG5" s="13"/>
      <c r="AH5" s="15"/>
      <c r="AI5" s="15"/>
      <c r="AJ5" s="15"/>
      <c r="AK5" s="13"/>
      <c r="AL5" s="15"/>
      <c r="AM5" s="15"/>
      <c r="AN5" s="13"/>
      <c r="AO5" s="13"/>
    </row>
    <row r="6" spans="1:41" ht="43.5" x14ac:dyDescent="0.35">
      <c r="A6" s="13" t="s">
        <v>121</v>
      </c>
      <c r="B6" s="13" t="s">
        <v>122</v>
      </c>
      <c r="C6" s="14">
        <v>44832.70208333333</v>
      </c>
      <c r="D6" s="13" t="s">
        <v>66</v>
      </c>
      <c r="E6" s="15" t="s">
        <v>67</v>
      </c>
      <c r="F6" s="13" t="s">
        <v>68</v>
      </c>
      <c r="G6" s="15" t="s">
        <v>69</v>
      </c>
      <c r="H6" s="13" t="s">
        <v>70</v>
      </c>
      <c r="I6" s="15" t="s">
        <v>69</v>
      </c>
      <c r="J6" s="15" t="s">
        <v>71</v>
      </c>
      <c r="K6" s="15" t="s">
        <v>72</v>
      </c>
      <c r="L6" s="13" t="s">
        <v>73</v>
      </c>
      <c r="M6" s="15" t="s">
        <v>69</v>
      </c>
      <c r="N6" s="13" t="s">
        <v>74</v>
      </c>
      <c r="O6" s="15"/>
      <c r="P6" s="15"/>
      <c r="Q6" s="15" t="s">
        <v>123</v>
      </c>
      <c r="R6" s="13" t="s">
        <v>124</v>
      </c>
      <c r="S6" s="13" t="s">
        <v>125</v>
      </c>
      <c r="T6" s="13" t="s">
        <v>78</v>
      </c>
      <c r="U6" s="14">
        <v>44197</v>
      </c>
      <c r="V6" s="14">
        <v>44677</v>
      </c>
      <c r="W6" s="15"/>
      <c r="X6" s="15"/>
      <c r="Y6" s="13"/>
      <c r="Z6" s="15"/>
      <c r="AA6" s="15"/>
      <c r="AB6" s="15"/>
      <c r="AC6" s="13"/>
      <c r="AD6" s="15"/>
      <c r="AE6" s="15"/>
      <c r="AF6" s="15"/>
      <c r="AG6" s="13"/>
      <c r="AH6" s="15"/>
      <c r="AI6" s="15"/>
      <c r="AJ6" s="15"/>
      <c r="AK6" s="13"/>
      <c r="AL6" s="15"/>
      <c r="AM6" s="15"/>
      <c r="AN6" s="13"/>
      <c r="AO6" s="13"/>
    </row>
    <row r="7" spans="1:41" ht="43.5" x14ac:dyDescent="0.35">
      <c r="A7" s="13" t="s">
        <v>121</v>
      </c>
      <c r="B7" s="13" t="s">
        <v>65</v>
      </c>
      <c r="C7" s="14">
        <v>44832.702777777777</v>
      </c>
      <c r="D7" s="13" t="s">
        <v>66</v>
      </c>
      <c r="E7" s="15" t="s">
        <v>67</v>
      </c>
      <c r="F7" s="13" t="s">
        <v>68</v>
      </c>
      <c r="G7" s="15" t="s">
        <v>69</v>
      </c>
      <c r="H7" s="13" t="s">
        <v>70</v>
      </c>
      <c r="I7" s="15" t="s">
        <v>69</v>
      </c>
      <c r="J7" s="15" t="s">
        <v>71</v>
      </c>
      <c r="K7" s="15" t="s">
        <v>72</v>
      </c>
      <c r="L7" s="13" t="s">
        <v>73</v>
      </c>
      <c r="M7" s="15" t="s">
        <v>69</v>
      </c>
      <c r="N7" s="13" t="s">
        <v>74</v>
      </c>
      <c r="O7" s="15"/>
      <c r="P7" s="15"/>
      <c r="Q7" s="15" t="s">
        <v>123</v>
      </c>
      <c r="R7" s="13" t="s">
        <v>124</v>
      </c>
      <c r="S7" s="13" t="s">
        <v>125</v>
      </c>
      <c r="T7" s="13" t="s">
        <v>78</v>
      </c>
      <c r="U7" s="14">
        <v>44678</v>
      </c>
      <c r="V7" s="14"/>
      <c r="W7" s="15"/>
      <c r="X7" s="15"/>
      <c r="Y7" s="13"/>
      <c r="Z7" s="15"/>
      <c r="AA7" s="15"/>
      <c r="AB7" s="15"/>
      <c r="AC7" s="13"/>
      <c r="AD7" s="15"/>
      <c r="AE7" s="15"/>
      <c r="AF7" s="15"/>
      <c r="AG7" s="13"/>
      <c r="AH7" s="15"/>
      <c r="AI7" s="15"/>
      <c r="AJ7" s="15"/>
      <c r="AK7" s="13"/>
      <c r="AL7" s="15"/>
      <c r="AM7" s="15"/>
      <c r="AN7" s="13"/>
      <c r="AO7" s="13"/>
    </row>
    <row r="8" spans="1:41" ht="43.5" x14ac:dyDescent="0.35">
      <c r="A8" s="13" t="s">
        <v>155</v>
      </c>
      <c r="B8" s="13" t="s">
        <v>65</v>
      </c>
      <c r="C8" s="14">
        <v>46002.496527777781</v>
      </c>
      <c r="D8" s="13" t="s">
        <v>66</v>
      </c>
      <c r="E8" s="15" t="s">
        <v>67</v>
      </c>
      <c r="F8" s="13" t="s">
        <v>68</v>
      </c>
      <c r="G8" s="15" t="s">
        <v>69</v>
      </c>
      <c r="H8" s="13" t="s">
        <v>70</v>
      </c>
      <c r="I8" s="15" t="s">
        <v>69</v>
      </c>
      <c r="J8" s="15" t="s">
        <v>71</v>
      </c>
      <c r="K8" s="15" t="s">
        <v>72</v>
      </c>
      <c r="L8" s="13" t="s">
        <v>73</v>
      </c>
      <c r="M8" s="15" t="s">
        <v>69</v>
      </c>
      <c r="N8" s="13" t="s">
        <v>74</v>
      </c>
      <c r="O8" s="15"/>
      <c r="P8" s="15"/>
      <c r="Q8" s="15" t="s">
        <v>156</v>
      </c>
      <c r="R8" s="13" t="s">
        <v>157</v>
      </c>
      <c r="S8" s="13" t="s">
        <v>125</v>
      </c>
      <c r="T8" s="13" t="s">
        <v>78</v>
      </c>
      <c r="U8" s="14">
        <v>45901</v>
      </c>
      <c r="V8" s="14"/>
      <c r="W8" s="15"/>
      <c r="X8" s="15"/>
      <c r="Y8" s="13"/>
      <c r="Z8" s="15"/>
      <c r="AA8" s="15"/>
      <c r="AB8" s="15"/>
      <c r="AC8" s="13"/>
      <c r="AD8" s="15"/>
      <c r="AE8" s="15"/>
      <c r="AF8" s="15"/>
      <c r="AG8" s="13"/>
      <c r="AH8" s="15"/>
      <c r="AI8" s="15"/>
      <c r="AJ8" s="15"/>
      <c r="AK8" s="13"/>
      <c r="AL8" s="15"/>
      <c r="AM8" s="15"/>
      <c r="AN8" s="13"/>
      <c r="AO8" s="13"/>
    </row>
    <row r="9" spans="1:41" ht="43.5" x14ac:dyDescent="0.35">
      <c r="A9" s="13" t="s">
        <v>64</v>
      </c>
      <c r="B9" s="13" t="s">
        <v>65</v>
      </c>
      <c r="C9" s="14">
        <v>44225.402777777781</v>
      </c>
      <c r="D9" s="13" t="s">
        <v>66</v>
      </c>
      <c r="E9" s="15" t="s">
        <v>67</v>
      </c>
      <c r="F9" s="13" t="s">
        <v>68</v>
      </c>
      <c r="G9" s="15" t="s">
        <v>69</v>
      </c>
      <c r="H9" s="13" t="s">
        <v>70</v>
      </c>
      <c r="I9" s="15" t="s">
        <v>69</v>
      </c>
      <c r="J9" s="15" t="s">
        <v>71</v>
      </c>
      <c r="K9" s="15" t="s">
        <v>72</v>
      </c>
      <c r="L9" s="13" t="s">
        <v>73</v>
      </c>
      <c r="M9" s="15" t="s">
        <v>69</v>
      </c>
      <c r="N9" s="13" t="s">
        <v>74</v>
      </c>
      <c r="O9" s="15"/>
      <c r="P9" s="15"/>
      <c r="Q9" s="15" t="s">
        <v>164</v>
      </c>
      <c r="R9" s="13" t="s">
        <v>165</v>
      </c>
      <c r="S9" s="13" t="s">
        <v>125</v>
      </c>
      <c r="T9" s="13" t="s">
        <v>116</v>
      </c>
      <c r="U9" s="14">
        <v>44197</v>
      </c>
      <c r="V9" s="14"/>
      <c r="W9" s="15"/>
      <c r="X9" s="15"/>
      <c r="Y9" s="13"/>
      <c r="Z9" s="15"/>
      <c r="AA9" s="15"/>
      <c r="AB9" s="15"/>
      <c r="AC9" s="13"/>
      <c r="AD9" s="15"/>
      <c r="AE9" s="15"/>
      <c r="AF9" s="15"/>
      <c r="AG9" s="13"/>
      <c r="AH9" s="15"/>
      <c r="AI9" s="15"/>
      <c r="AJ9" s="15"/>
      <c r="AK9" s="13"/>
      <c r="AL9" s="15"/>
      <c r="AM9" s="15"/>
      <c r="AN9" s="13"/>
      <c r="AO9" s="13"/>
    </row>
    <row r="10" spans="1:41" ht="43.5" x14ac:dyDescent="0.35">
      <c r="A10" s="13" t="s">
        <v>121</v>
      </c>
      <c r="B10" s="13" t="s">
        <v>122</v>
      </c>
      <c r="C10" s="14">
        <v>44832.703472222223</v>
      </c>
      <c r="D10" s="13" t="s">
        <v>66</v>
      </c>
      <c r="E10" s="15" t="s">
        <v>67</v>
      </c>
      <c r="F10" s="13" t="s">
        <v>68</v>
      </c>
      <c r="G10" s="15" t="s">
        <v>69</v>
      </c>
      <c r="H10" s="13" t="s">
        <v>70</v>
      </c>
      <c r="I10" s="15" t="s">
        <v>69</v>
      </c>
      <c r="J10" s="15" t="s">
        <v>71</v>
      </c>
      <c r="K10" s="15" t="s">
        <v>72</v>
      </c>
      <c r="L10" s="13" t="s">
        <v>73</v>
      </c>
      <c r="M10" s="15" t="s">
        <v>69</v>
      </c>
      <c r="N10" s="13" t="s">
        <v>74</v>
      </c>
      <c r="O10" s="15"/>
      <c r="P10" s="15"/>
      <c r="Q10" s="15" t="s">
        <v>166</v>
      </c>
      <c r="R10" s="13" t="s">
        <v>167</v>
      </c>
      <c r="S10" s="13" t="s">
        <v>125</v>
      </c>
      <c r="T10" s="13" t="s">
        <v>78</v>
      </c>
      <c r="U10" s="14">
        <v>44197</v>
      </c>
      <c r="V10" s="14">
        <v>44677</v>
      </c>
      <c r="W10" s="15"/>
      <c r="X10" s="15"/>
      <c r="Y10" s="13"/>
      <c r="Z10" s="15"/>
      <c r="AA10" s="15"/>
      <c r="AB10" s="15"/>
      <c r="AC10" s="13"/>
      <c r="AD10" s="15"/>
      <c r="AE10" s="15"/>
      <c r="AF10" s="15"/>
      <c r="AG10" s="13"/>
      <c r="AH10" s="15"/>
      <c r="AI10" s="15"/>
      <c r="AJ10" s="15"/>
      <c r="AK10" s="13"/>
      <c r="AL10" s="15"/>
      <c r="AM10" s="15"/>
      <c r="AN10" s="13"/>
      <c r="AO10" s="13"/>
    </row>
    <row r="11" spans="1:41" ht="43.5" x14ac:dyDescent="0.35">
      <c r="A11" s="13" t="s">
        <v>121</v>
      </c>
      <c r="B11" s="13" t="s">
        <v>65</v>
      </c>
      <c r="C11" s="14">
        <v>44832.705555555556</v>
      </c>
      <c r="D11" s="13" t="s">
        <v>66</v>
      </c>
      <c r="E11" s="15" t="s">
        <v>67</v>
      </c>
      <c r="F11" s="13" t="s">
        <v>68</v>
      </c>
      <c r="G11" s="15" t="s">
        <v>69</v>
      </c>
      <c r="H11" s="13" t="s">
        <v>70</v>
      </c>
      <c r="I11" s="15" t="s">
        <v>69</v>
      </c>
      <c r="J11" s="15" t="s">
        <v>71</v>
      </c>
      <c r="K11" s="15" t="s">
        <v>72</v>
      </c>
      <c r="L11" s="13" t="s">
        <v>73</v>
      </c>
      <c r="M11" s="15" t="s">
        <v>69</v>
      </c>
      <c r="N11" s="13" t="s">
        <v>74</v>
      </c>
      <c r="O11" s="15"/>
      <c r="P11" s="15"/>
      <c r="Q11" s="15" t="s">
        <v>166</v>
      </c>
      <c r="R11" s="13" t="s">
        <v>167</v>
      </c>
      <c r="S11" s="13" t="s">
        <v>125</v>
      </c>
      <c r="T11" s="13" t="s">
        <v>78</v>
      </c>
      <c r="U11" s="14">
        <v>44678</v>
      </c>
      <c r="V11" s="14"/>
      <c r="W11" s="15"/>
      <c r="X11" s="15"/>
      <c r="Y11" s="13"/>
      <c r="Z11" s="15"/>
      <c r="AA11" s="15"/>
      <c r="AB11" s="15"/>
      <c r="AC11" s="13"/>
      <c r="AD11" s="15"/>
      <c r="AE11" s="15"/>
      <c r="AF11" s="15"/>
      <c r="AG11" s="13"/>
      <c r="AH11" s="15"/>
      <c r="AI11" s="15"/>
      <c r="AJ11" s="15"/>
      <c r="AK11" s="13"/>
      <c r="AL11" s="15"/>
      <c r="AM11" s="15"/>
      <c r="AN11" s="13"/>
      <c r="AO11" s="13"/>
    </row>
    <row r="12" spans="1:41" ht="29" x14ac:dyDescent="0.35">
      <c r="A12" s="13" t="s">
        <v>155</v>
      </c>
      <c r="B12" s="13" t="s">
        <v>65</v>
      </c>
      <c r="C12" s="14">
        <v>45917.711805555555</v>
      </c>
      <c r="D12" s="13" t="s">
        <v>66</v>
      </c>
      <c r="E12" s="15" t="s">
        <v>67</v>
      </c>
      <c r="F12" s="13" t="s">
        <v>68</v>
      </c>
      <c r="G12" s="15" t="s">
        <v>69</v>
      </c>
      <c r="H12" s="13" t="s">
        <v>186</v>
      </c>
      <c r="I12" s="15" t="s">
        <v>187</v>
      </c>
      <c r="J12" s="15"/>
      <c r="K12" s="15"/>
      <c r="L12" s="13" t="s">
        <v>188</v>
      </c>
      <c r="M12" s="15" t="s">
        <v>189</v>
      </c>
      <c r="N12" s="13" t="s">
        <v>74</v>
      </c>
      <c r="O12" s="15"/>
      <c r="P12" s="15"/>
      <c r="Q12" s="15" t="s">
        <v>75</v>
      </c>
      <c r="R12" s="13" t="s">
        <v>76</v>
      </c>
      <c r="S12" s="13" t="s">
        <v>77</v>
      </c>
      <c r="T12" s="13" t="s">
        <v>78</v>
      </c>
      <c r="U12" s="14">
        <v>45689</v>
      </c>
      <c r="V12" s="14"/>
      <c r="W12" s="15"/>
      <c r="X12" s="15"/>
      <c r="Y12" s="13"/>
      <c r="Z12" s="15"/>
      <c r="AA12" s="15"/>
      <c r="AB12" s="15"/>
      <c r="AC12" s="13"/>
      <c r="AD12" s="15"/>
      <c r="AE12" s="15"/>
      <c r="AF12" s="15"/>
      <c r="AG12" s="13"/>
      <c r="AH12" s="15"/>
      <c r="AI12" s="15"/>
      <c r="AJ12" s="15"/>
      <c r="AK12" s="13"/>
      <c r="AL12" s="15"/>
      <c r="AM12" s="15"/>
      <c r="AN12" s="13"/>
      <c r="AO12" s="13"/>
    </row>
    <row r="13" spans="1:41" ht="29" x14ac:dyDescent="0.35">
      <c r="A13" s="13" t="s">
        <v>155</v>
      </c>
      <c r="B13" s="13" t="s">
        <v>65</v>
      </c>
      <c r="C13" s="14">
        <v>45917.714583333334</v>
      </c>
      <c r="D13" s="13" t="s">
        <v>66</v>
      </c>
      <c r="E13" s="15" t="s">
        <v>67</v>
      </c>
      <c r="F13" s="13" t="s">
        <v>68</v>
      </c>
      <c r="G13" s="15" t="s">
        <v>69</v>
      </c>
      <c r="H13" s="13" t="s">
        <v>186</v>
      </c>
      <c r="I13" s="15" t="s">
        <v>187</v>
      </c>
      <c r="J13" s="15"/>
      <c r="K13" s="15"/>
      <c r="L13" s="13" t="s">
        <v>188</v>
      </c>
      <c r="M13" s="15" t="s">
        <v>189</v>
      </c>
      <c r="N13" s="13" t="s">
        <v>74</v>
      </c>
      <c r="O13" s="15"/>
      <c r="P13" s="15"/>
      <c r="Q13" s="15" t="s">
        <v>114</v>
      </c>
      <c r="R13" s="13" t="s">
        <v>115</v>
      </c>
      <c r="S13" s="13" t="s">
        <v>77</v>
      </c>
      <c r="T13" s="13" t="s">
        <v>78</v>
      </c>
      <c r="U13" s="14">
        <v>45689</v>
      </c>
      <c r="V13" s="14"/>
      <c r="W13" s="15"/>
      <c r="X13" s="15"/>
      <c r="Y13" s="13"/>
      <c r="Z13" s="15"/>
      <c r="AA13" s="15"/>
      <c r="AB13" s="15"/>
      <c r="AC13" s="13"/>
      <c r="AD13" s="15"/>
      <c r="AE13" s="15"/>
      <c r="AF13" s="15"/>
      <c r="AG13" s="13"/>
      <c r="AH13" s="15"/>
      <c r="AI13" s="15"/>
      <c r="AJ13" s="15"/>
      <c r="AK13" s="13"/>
      <c r="AL13" s="15"/>
      <c r="AM13" s="15"/>
      <c r="AN13" s="13"/>
      <c r="AO13" s="13"/>
    </row>
    <row r="14" spans="1:41" ht="29" x14ac:dyDescent="0.35">
      <c r="A14" s="13" t="s">
        <v>155</v>
      </c>
      <c r="B14" s="13" t="s">
        <v>65</v>
      </c>
      <c r="C14" s="14">
        <v>45917.71875</v>
      </c>
      <c r="D14" s="13" t="s">
        <v>66</v>
      </c>
      <c r="E14" s="15" t="s">
        <v>67</v>
      </c>
      <c r="F14" s="13" t="s">
        <v>68</v>
      </c>
      <c r="G14" s="15" t="s">
        <v>69</v>
      </c>
      <c r="H14" s="13" t="s">
        <v>186</v>
      </c>
      <c r="I14" s="15" t="s">
        <v>187</v>
      </c>
      <c r="J14" s="15"/>
      <c r="K14" s="15"/>
      <c r="L14" s="13" t="s">
        <v>188</v>
      </c>
      <c r="M14" s="15" t="s">
        <v>189</v>
      </c>
      <c r="N14" s="13" t="s">
        <v>74</v>
      </c>
      <c r="O14" s="15"/>
      <c r="P14" s="15"/>
      <c r="Q14" s="15" t="s">
        <v>117</v>
      </c>
      <c r="R14" s="13" t="s">
        <v>118</v>
      </c>
      <c r="S14" s="13" t="s">
        <v>77</v>
      </c>
      <c r="T14" s="13" t="s">
        <v>116</v>
      </c>
      <c r="U14" s="14">
        <v>45689</v>
      </c>
      <c r="V14" s="14"/>
      <c r="W14" s="15"/>
      <c r="X14" s="15"/>
      <c r="Y14" s="13"/>
      <c r="Z14" s="15"/>
      <c r="AA14" s="15"/>
      <c r="AB14" s="15"/>
      <c r="AC14" s="13"/>
      <c r="AD14" s="15"/>
      <c r="AE14" s="15"/>
      <c r="AF14" s="15"/>
      <c r="AG14" s="13"/>
      <c r="AH14" s="15"/>
      <c r="AI14" s="15"/>
      <c r="AJ14" s="15"/>
      <c r="AK14" s="13"/>
      <c r="AL14" s="15"/>
      <c r="AM14" s="15"/>
      <c r="AN14" s="13"/>
      <c r="AO14" s="13"/>
    </row>
    <row r="15" spans="1:41" ht="29" x14ac:dyDescent="0.35">
      <c r="A15" s="13" t="s">
        <v>155</v>
      </c>
      <c r="B15" s="13" t="s">
        <v>65</v>
      </c>
      <c r="C15" s="14">
        <v>45917.715277777781</v>
      </c>
      <c r="D15" s="13" t="s">
        <v>66</v>
      </c>
      <c r="E15" s="15" t="s">
        <v>67</v>
      </c>
      <c r="F15" s="13" t="s">
        <v>68</v>
      </c>
      <c r="G15" s="15" t="s">
        <v>69</v>
      </c>
      <c r="H15" s="13" t="s">
        <v>186</v>
      </c>
      <c r="I15" s="15" t="s">
        <v>187</v>
      </c>
      <c r="J15" s="15"/>
      <c r="K15" s="15"/>
      <c r="L15" s="13" t="s">
        <v>188</v>
      </c>
      <c r="M15" s="15" t="s">
        <v>189</v>
      </c>
      <c r="N15" s="13" t="s">
        <v>74</v>
      </c>
      <c r="O15" s="15"/>
      <c r="P15" s="15"/>
      <c r="Q15" s="15" t="s">
        <v>119</v>
      </c>
      <c r="R15" s="13" t="s">
        <v>120</v>
      </c>
      <c r="S15" s="13" t="s">
        <v>77</v>
      </c>
      <c r="T15" s="13" t="s">
        <v>116</v>
      </c>
      <c r="U15" s="14">
        <v>45689</v>
      </c>
      <c r="V15" s="14"/>
      <c r="W15" s="15"/>
      <c r="X15" s="15"/>
      <c r="Y15" s="13"/>
      <c r="Z15" s="15"/>
      <c r="AA15" s="15"/>
      <c r="AB15" s="15"/>
      <c r="AC15" s="13"/>
      <c r="AD15" s="15"/>
      <c r="AE15" s="15"/>
      <c r="AF15" s="15"/>
      <c r="AG15" s="13"/>
      <c r="AH15" s="15"/>
      <c r="AI15" s="15"/>
      <c r="AJ15" s="15"/>
      <c r="AK15" s="13"/>
      <c r="AL15" s="15"/>
      <c r="AM15" s="15"/>
      <c r="AN15" s="13"/>
      <c r="AO15" s="13"/>
    </row>
    <row r="16" spans="1:41" ht="29" x14ac:dyDescent="0.35">
      <c r="A16" s="13" t="s">
        <v>155</v>
      </c>
      <c r="B16" s="13" t="s">
        <v>65</v>
      </c>
      <c r="C16" s="14">
        <v>45917.71597222222</v>
      </c>
      <c r="D16" s="13" t="s">
        <v>66</v>
      </c>
      <c r="E16" s="15" t="s">
        <v>67</v>
      </c>
      <c r="F16" s="13" t="s">
        <v>68</v>
      </c>
      <c r="G16" s="15" t="s">
        <v>69</v>
      </c>
      <c r="H16" s="13" t="s">
        <v>186</v>
      </c>
      <c r="I16" s="15" t="s">
        <v>187</v>
      </c>
      <c r="J16" s="15"/>
      <c r="K16" s="15"/>
      <c r="L16" s="13" t="s">
        <v>188</v>
      </c>
      <c r="M16" s="15" t="s">
        <v>189</v>
      </c>
      <c r="N16" s="13" t="s">
        <v>74</v>
      </c>
      <c r="O16" s="15"/>
      <c r="P16" s="15"/>
      <c r="Q16" s="15" t="s">
        <v>219</v>
      </c>
      <c r="R16" s="13" t="s">
        <v>220</v>
      </c>
      <c r="S16" s="13" t="s">
        <v>125</v>
      </c>
      <c r="T16" s="13" t="s">
        <v>116</v>
      </c>
      <c r="U16" s="14">
        <v>45689</v>
      </c>
      <c r="V16" s="14"/>
      <c r="W16" s="15"/>
      <c r="X16" s="15"/>
      <c r="Y16" s="13"/>
      <c r="Z16" s="15"/>
      <c r="AA16" s="15"/>
      <c r="AB16" s="15"/>
      <c r="AC16" s="13"/>
      <c r="AD16" s="15"/>
      <c r="AE16" s="15"/>
      <c r="AF16" s="15"/>
      <c r="AG16" s="13"/>
      <c r="AH16" s="15"/>
      <c r="AI16" s="15"/>
      <c r="AJ16" s="15"/>
      <c r="AK16" s="13"/>
      <c r="AL16" s="15"/>
      <c r="AM16" s="15"/>
      <c r="AN16" s="13"/>
      <c r="AO16" s="13"/>
    </row>
    <row r="17" spans="1:41" ht="29" x14ac:dyDescent="0.35">
      <c r="A17" s="13" t="s">
        <v>155</v>
      </c>
      <c r="B17" s="13" t="s">
        <v>65</v>
      </c>
      <c r="C17" s="14">
        <v>45917.71597222222</v>
      </c>
      <c r="D17" s="13" t="s">
        <v>66</v>
      </c>
      <c r="E17" s="15" t="s">
        <v>67</v>
      </c>
      <c r="F17" s="13" t="s">
        <v>68</v>
      </c>
      <c r="G17" s="15" t="s">
        <v>69</v>
      </c>
      <c r="H17" s="13" t="s">
        <v>221</v>
      </c>
      <c r="I17" s="15" t="s">
        <v>222</v>
      </c>
      <c r="J17" s="15"/>
      <c r="K17" s="15"/>
      <c r="L17" s="13" t="s">
        <v>223</v>
      </c>
      <c r="M17" s="15" t="s">
        <v>224</v>
      </c>
      <c r="N17" s="13" t="s">
        <v>74</v>
      </c>
      <c r="O17" s="15"/>
      <c r="P17" s="15"/>
      <c r="Q17" s="15" t="s">
        <v>75</v>
      </c>
      <c r="R17" s="13" t="s">
        <v>76</v>
      </c>
      <c r="S17" s="13" t="s">
        <v>77</v>
      </c>
      <c r="T17" s="13" t="s">
        <v>78</v>
      </c>
      <c r="U17" s="14">
        <v>45689</v>
      </c>
      <c r="V17" s="14"/>
      <c r="W17" s="15"/>
      <c r="X17" s="15"/>
      <c r="Y17" s="13"/>
      <c r="Z17" s="15"/>
      <c r="AA17" s="15"/>
      <c r="AB17" s="15"/>
      <c r="AC17" s="13"/>
      <c r="AD17" s="15"/>
      <c r="AE17" s="15"/>
      <c r="AF17" s="15"/>
      <c r="AG17" s="13"/>
      <c r="AH17" s="15"/>
      <c r="AI17" s="15"/>
      <c r="AJ17" s="15"/>
      <c r="AK17" s="13"/>
      <c r="AL17" s="15"/>
      <c r="AM17" s="15"/>
      <c r="AN17" s="13"/>
      <c r="AO17" s="13"/>
    </row>
    <row r="18" spans="1:41" ht="29" x14ac:dyDescent="0.35">
      <c r="A18" s="13" t="s">
        <v>155</v>
      </c>
      <c r="B18" s="13" t="s">
        <v>65</v>
      </c>
      <c r="C18" s="14">
        <v>45917.716666666667</v>
      </c>
      <c r="D18" s="13" t="s">
        <v>66</v>
      </c>
      <c r="E18" s="15" t="s">
        <v>67</v>
      </c>
      <c r="F18" s="13" t="s">
        <v>68</v>
      </c>
      <c r="G18" s="15" t="s">
        <v>69</v>
      </c>
      <c r="H18" s="13" t="s">
        <v>221</v>
      </c>
      <c r="I18" s="15" t="s">
        <v>222</v>
      </c>
      <c r="J18" s="15"/>
      <c r="K18" s="15"/>
      <c r="L18" s="13" t="s">
        <v>223</v>
      </c>
      <c r="M18" s="15" t="s">
        <v>224</v>
      </c>
      <c r="N18" s="13" t="s">
        <v>74</v>
      </c>
      <c r="O18" s="15"/>
      <c r="P18" s="15"/>
      <c r="Q18" s="15" t="s">
        <v>114</v>
      </c>
      <c r="R18" s="13" t="s">
        <v>115</v>
      </c>
      <c r="S18" s="13" t="s">
        <v>77</v>
      </c>
      <c r="T18" s="13" t="s">
        <v>78</v>
      </c>
      <c r="U18" s="14">
        <v>45689</v>
      </c>
      <c r="V18" s="14"/>
      <c r="W18" s="15"/>
      <c r="X18" s="15"/>
      <c r="Y18" s="13"/>
      <c r="Z18" s="15"/>
      <c r="AA18" s="15"/>
      <c r="AB18" s="15"/>
      <c r="AC18" s="13"/>
      <c r="AD18" s="15"/>
      <c r="AE18" s="15"/>
      <c r="AF18" s="15"/>
      <c r="AG18" s="13"/>
      <c r="AH18" s="15"/>
      <c r="AI18" s="15"/>
      <c r="AJ18" s="15"/>
      <c r="AK18" s="13"/>
      <c r="AL18" s="15"/>
      <c r="AM18" s="15"/>
      <c r="AN18" s="13"/>
      <c r="AO18" s="13"/>
    </row>
    <row r="19" spans="1:41" ht="29" x14ac:dyDescent="0.35">
      <c r="A19" s="13" t="s">
        <v>155</v>
      </c>
      <c r="B19" s="13" t="s">
        <v>65</v>
      </c>
      <c r="C19" s="14">
        <v>45917.717361111114</v>
      </c>
      <c r="D19" s="13" t="s">
        <v>66</v>
      </c>
      <c r="E19" s="15" t="s">
        <v>67</v>
      </c>
      <c r="F19" s="13" t="s">
        <v>68</v>
      </c>
      <c r="G19" s="15" t="s">
        <v>69</v>
      </c>
      <c r="H19" s="13" t="s">
        <v>221</v>
      </c>
      <c r="I19" s="15" t="s">
        <v>222</v>
      </c>
      <c r="J19" s="15"/>
      <c r="K19" s="15"/>
      <c r="L19" s="13" t="s">
        <v>223</v>
      </c>
      <c r="M19" s="15" t="s">
        <v>224</v>
      </c>
      <c r="N19" s="13" t="s">
        <v>74</v>
      </c>
      <c r="O19" s="15"/>
      <c r="P19" s="15"/>
      <c r="Q19" s="15" t="s">
        <v>117</v>
      </c>
      <c r="R19" s="13" t="s">
        <v>118</v>
      </c>
      <c r="S19" s="13" t="s">
        <v>77</v>
      </c>
      <c r="T19" s="13" t="s">
        <v>116</v>
      </c>
      <c r="U19" s="14">
        <v>45689</v>
      </c>
      <c r="V19" s="14"/>
      <c r="W19" s="15"/>
      <c r="X19" s="15"/>
      <c r="Y19" s="13"/>
      <c r="Z19" s="15"/>
      <c r="AA19" s="15"/>
      <c r="AB19" s="15"/>
      <c r="AC19" s="13"/>
      <c r="AD19" s="15"/>
      <c r="AE19" s="15"/>
      <c r="AF19" s="15"/>
      <c r="AG19" s="13"/>
      <c r="AH19" s="15"/>
      <c r="AI19" s="15"/>
      <c r="AJ19" s="15"/>
      <c r="AK19" s="13"/>
      <c r="AL19" s="15"/>
      <c r="AM19" s="15"/>
      <c r="AN19" s="13"/>
      <c r="AO19" s="13"/>
    </row>
    <row r="20" spans="1:41" ht="29" x14ac:dyDescent="0.35">
      <c r="A20" s="13" t="s">
        <v>155</v>
      </c>
      <c r="B20" s="13" t="s">
        <v>65</v>
      </c>
      <c r="C20" s="14">
        <v>45917.717361111114</v>
      </c>
      <c r="D20" s="13" t="s">
        <v>66</v>
      </c>
      <c r="E20" s="15" t="s">
        <v>67</v>
      </c>
      <c r="F20" s="13" t="s">
        <v>68</v>
      </c>
      <c r="G20" s="15" t="s">
        <v>69</v>
      </c>
      <c r="H20" s="13" t="s">
        <v>221</v>
      </c>
      <c r="I20" s="15" t="s">
        <v>222</v>
      </c>
      <c r="J20" s="15"/>
      <c r="K20" s="15"/>
      <c r="L20" s="13" t="s">
        <v>223</v>
      </c>
      <c r="M20" s="15" t="s">
        <v>224</v>
      </c>
      <c r="N20" s="13" t="s">
        <v>74</v>
      </c>
      <c r="O20" s="15"/>
      <c r="P20" s="15"/>
      <c r="Q20" s="15" t="s">
        <v>119</v>
      </c>
      <c r="R20" s="13" t="s">
        <v>120</v>
      </c>
      <c r="S20" s="13" t="s">
        <v>77</v>
      </c>
      <c r="T20" s="13" t="s">
        <v>116</v>
      </c>
      <c r="U20" s="14">
        <v>45689</v>
      </c>
      <c r="V20" s="14"/>
      <c r="W20" s="15"/>
      <c r="X20" s="15"/>
      <c r="Y20" s="13"/>
      <c r="Z20" s="15"/>
      <c r="AA20" s="15"/>
      <c r="AB20" s="15"/>
      <c r="AC20" s="13"/>
      <c r="AD20" s="15"/>
      <c r="AE20" s="15"/>
      <c r="AF20" s="15"/>
      <c r="AG20" s="13"/>
      <c r="AH20" s="15"/>
      <c r="AI20" s="15"/>
      <c r="AJ20" s="15"/>
      <c r="AK20" s="13"/>
      <c r="AL20" s="15"/>
      <c r="AM20" s="15"/>
      <c r="AN20" s="13"/>
      <c r="AO20" s="13"/>
    </row>
    <row r="21" spans="1:41" ht="29" x14ac:dyDescent="0.35">
      <c r="A21" s="13" t="s">
        <v>155</v>
      </c>
      <c r="B21" s="13" t="s">
        <v>65</v>
      </c>
      <c r="C21" s="14">
        <v>45917.718055555553</v>
      </c>
      <c r="D21" s="13" t="s">
        <v>66</v>
      </c>
      <c r="E21" s="15" t="s">
        <v>67</v>
      </c>
      <c r="F21" s="13" t="s">
        <v>68</v>
      </c>
      <c r="G21" s="15" t="s">
        <v>69</v>
      </c>
      <c r="H21" s="13" t="s">
        <v>221</v>
      </c>
      <c r="I21" s="15" t="s">
        <v>222</v>
      </c>
      <c r="J21" s="15"/>
      <c r="K21" s="15"/>
      <c r="L21" s="13" t="s">
        <v>223</v>
      </c>
      <c r="M21" s="15" t="s">
        <v>224</v>
      </c>
      <c r="N21" s="13" t="s">
        <v>74</v>
      </c>
      <c r="O21" s="15"/>
      <c r="P21" s="15"/>
      <c r="Q21" s="15" t="s">
        <v>219</v>
      </c>
      <c r="R21" s="13" t="s">
        <v>220</v>
      </c>
      <c r="S21" s="13" t="s">
        <v>125</v>
      </c>
      <c r="T21" s="13" t="s">
        <v>116</v>
      </c>
      <c r="U21" s="14">
        <v>45689</v>
      </c>
      <c r="V21" s="14"/>
      <c r="W21" s="15"/>
      <c r="X21" s="15"/>
      <c r="Y21" s="13"/>
      <c r="Z21" s="15"/>
      <c r="AA21" s="15"/>
      <c r="AB21" s="15"/>
      <c r="AC21" s="13"/>
      <c r="AD21" s="15"/>
      <c r="AE21" s="15"/>
      <c r="AF21" s="15"/>
      <c r="AG21" s="13"/>
      <c r="AH21" s="15"/>
      <c r="AI21" s="15"/>
      <c r="AJ21" s="15"/>
      <c r="AK21" s="13"/>
      <c r="AL21" s="15"/>
      <c r="AM21" s="15"/>
      <c r="AN21" s="13"/>
      <c r="AO21" s="13"/>
    </row>
  </sheetData>
  <autoFilter ref="A1:AS1" xr:uid="{EEA83ABE-F2DA-48D7-A0F9-B2F286B0275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D5D78-B3C0-4B67-A0DF-91B3B97F2C51}">
  <dimension ref="A1:U79"/>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262</v>
      </c>
      <c r="E1" s="10" t="s">
        <v>263</v>
      </c>
      <c r="F1" s="10" t="s">
        <v>264</v>
      </c>
      <c r="G1" s="10" t="s">
        <v>265</v>
      </c>
      <c r="H1" s="11" t="s">
        <v>21</v>
      </c>
      <c r="I1" s="11" t="s">
        <v>22</v>
      </c>
      <c r="J1" s="10" t="s">
        <v>266</v>
      </c>
      <c r="K1" s="10" t="s">
        <v>267</v>
      </c>
      <c r="L1" s="10" t="s">
        <v>268</v>
      </c>
      <c r="M1" s="10" t="s">
        <v>261</v>
      </c>
      <c r="N1" s="10" t="s">
        <v>269</v>
      </c>
      <c r="O1" s="10" t="s">
        <v>270</v>
      </c>
      <c r="P1" s="10" t="s">
        <v>271</v>
      </c>
      <c r="Q1" s="10" t="s">
        <v>272</v>
      </c>
      <c r="R1" s="10" t="s">
        <v>62</v>
      </c>
      <c r="S1" s="10" t="s">
        <v>63</v>
      </c>
      <c r="T1" s="10" t="s">
        <v>273</v>
      </c>
      <c r="U1" s="10" t="s">
        <v>274</v>
      </c>
    </row>
    <row r="2" spans="1:21" ht="43.5" x14ac:dyDescent="0.35">
      <c r="A2" s="13" t="s">
        <v>64</v>
      </c>
      <c r="B2" s="13" t="s">
        <v>65</v>
      </c>
      <c r="C2" s="14">
        <v>44222.482638888891</v>
      </c>
      <c r="D2" s="13" t="s">
        <v>146</v>
      </c>
      <c r="E2" s="13" t="s">
        <v>266</v>
      </c>
      <c r="F2" s="15" t="s">
        <v>147</v>
      </c>
      <c r="G2" s="13" t="s">
        <v>275</v>
      </c>
      <c r="H2" s="14">
        <v>44197</v>
      </c>
      <c r="I2" s="14"/>
      <c r="J2" s="15"/>
      <c r="K2" s="15" t="s">
        <v>276</v>
      </c>
      <c r="L2" s="13" t="s">
        <v>277</v>
      </c>
      <c r="M2" s="15"/>
      <c r="N2" s="13" t="s">
        <v>278</v>
      </c>
      <c r="O2" s="13"/>
      <c r="P2" s="13"/>
      <c r="Q2" s="13"/>
      <c r="R2" s="13"/>
      <c r="S2" s="13"/>
      <c r="T2" s="13" t="s">
        <v>279</v>
      </c>
      <c r="U2" s="15" t="s">
        <v>147</v>
      </c>
    </row>
    <row r="3" spans="1:21" ht="29" x14ac:dyDescent="0.35">
      <c r="A3" s="13" t="s">
        <v>64</v>
      </c>
      <c r="B3" s="13" t="s">
        <v>65</v>
      </c>
      <c r="C3" s="14">
        <v>44222.48333333333</v>
      </c>
      <c r="D3" s="13" t="s">
        <v>148</v>
      </c>
      <c r="E3" s="13" t="s">
        <v>266</v>
      </c>
      <c r="F3" s="15" t="s">
        <v>149</v>
      </c>
      <c r="G3" s="13" t="s">
        <v>275</v>
      </c>
      <c r="H3" s="14">
        <v>44197</v>
      </c>
      <c r="I3" s="14"/>
      <c r="J3" s="15" t="s">
        <v>280</v>
      </c>
      <c r="K3" s="15" t="s">
        <v>281</v>
      </c>
      <c r="L3" s="13" t="s">
        <v>277</v>
      </c>
      <c r="M3" s="15"/>
      <c r="N3" s="13" t="s">
        <v>278</v>
      </c>
      <c r="O3" s="13"/>
      <c r="P3" s="13"/>
      <c r="Q3" s="13"/>
      <c r="R3" s="13"/>
      <c r="S3" s="13"/>
      <c r="T3" s="13" t="s">
        <v>279</v>
      </c>
      <c r="U3" s="15" t="s">
        <v>149</v>
      </c>
    </row>
    <row r="4" spans="1:21" ht="43.5" x14ac:dyDescent="0.35">
      <c r="A4" s="13" t="s">
        <v>282</v>
      </c>
      <c r="B4" s="13" t="s">
        <v>122</v>
      </c>
      <c r="C4" s="14">
        <v>45071.369444444441</v>
      </c>
      <c r="D4" s="13" t="s">
        <v>112</v>
      </c>
      <c r="E4" s="13" t="s">
        <v>283</v>
      </c>
      <c r="F4" s="15" t="s">
        <v>113</v>
      </c>
      <c r="G4" s="13" t="s">
        <v>284</v>
      </c>
      <c r="H4" s="14">
        <v>44197</v>
      </c>
      <c r="I4" s="14"/>
      <c r="J4" s="15"/>
      <c r="K4" s="15" t="s">
        <v>285</v>
      </c>
      <c r="L4" s="13" t="s">
        <v>277</v>
      </c>
      <c r="M4" s="15"/>
      <c r="N4" s="13"/>
      <c r="O4" s="13" t="s">
        <v>286</v>
      </c>
      <c r="P4" s="13"/>
      <c r="Q4" s="13"/>
      <c r="R4" s="13"/>
      <c r="S4" s="13"/>
      <c r="T4" s="13"/>
      <c r="U4" s="15"/>
    </row>
    <row r="5" spans="1:21" ht="43.5" x14ac:dyDescent="0.35">
      <c r="A5" s="13" t="s">
        <v>282</v>
      </c>
      <c r="B5" s="13" t="s">
        <v>122</v>
      </c>
      <c r="C5" s="14">
        <v>45071.370833333334</v>
      </c>
      <c r="D5" s="13" t="s">
        <v>150</v>
      </c>
      <c r="E5" s="13" t="s">
        <v>283</v>
      </c>
      <c r="F5" s="15" t="s">
        <v>151</v>
      </c>
      <c r="G5" s="13" t="s">
        <v>284</v>
      </c>
      <c r="H5" s="14">
        <v>44197</v>
      </c>
      <c r="I5" s="14"/>
      <c r="J5" s="15"/>
      <c r="K5" s="15" t="s">
        <v>287</v>
      </c>
      <c r="L5" s="13" t="s">
        <v>277</v>
      </c>
      <c r="M5" s="15"/>
      <c r="N5" s="13"/>
      <c r="O5" s="13" t="s">
        <v>286</v>
      </c>
      <c r="P5" s="13"/>
      <c r="Q5" s="13"/>
      <c r="R5" s="13"/>
      <c r="S5" s="13"/>
      <c r="T5" s="13"/>
      <c r="U5" s="15"/>
    </row>
    <row r="6" spans="1:21" ht="29" x14ac:dyDescent="0.35">
      <c r="A6" s="13" t="s">
        <v>121</v>
      </c>
      <c r="B6" s="13" t="s">
        <v>122</v>
      </c>
      <c r="C6" s="14">
        <v>44746.76666666667</v>
      </c>
      <c r="D6" s="13" t="s">
        <v>82</v>
      </c>
      <c r="E6" s="13" t="s">
        <v>288</v>
      </c>
      <c r="F6" s="15" t="s">
        <v>83</v>
      </c>
      <c r="G6" s="13" t="s">
        <v>289</v>
      </c>
      <c r="H6" s="14">
        <v>44197</v>
      </c>
      <c r="I6" s="14"/>
      <c r="J6" s="15"/>
      <c r="K6" s="15"/>
      <c r="L6" s="13" t="s">
        <v>290</v>
      </c>
      <c r="M6" s="15"/>
      <c r="N6" s="13"/>
      <c r="O6" s="13"/>
      <c r="P6" s="13" t="s">
        <v>291</v>
      </c>
      <c r="Q6" s="13"/>
      <c r="R6" s="13"/>
      <c r="S6" s="13"/>
      <c r="T6" s="13" t="s">
        <v>279</v>
      </c>
      <c r="U6" s="15" t="s">
        <v>83</v>
      </c>
    </row>
    <row r="7" spans="1:21" ht="29" x14ac:dyDescent="0.35">
      <c r="A7" s="13" t="s">
        <v>121</v>
      </c>
      <c r="B7" s="13" t="s">
        <v>122</v>
      </c>
      <c r="C7" s="14">
        <v>44746.767361111109</v>
      </c>
      <c r="D7" s="13" t="s">
        <v>84</v>
      </c>
      <c r="E7" s="13" t="s">
        <v>288</v>
      </c>
      <c r="F7" s="15" t="s">
        <v>85</v>
      </c>
      <c r="G7" s="13" t="s">
        <v>292</v>
      </c>
      <c r="H7" s="14">
        <v>44197</v>
      </c>
      <c r="I7" s="14"/>
      <c r="J7" s="15"/>
      <c r="K7" s="15"/>
      <c r="L7" s="13" t="s">
        <v>290</v>
      </c>
      <c r="M7" s="15"/>
      <c r="N7" s="13"/>
      <c r="O7" s="13"/>
      <c r="P7" s="13" t="s">
        <v>291</v>
      </c>
      <c r="Q7" s="13"/>
      <c r="R7" s="13"/>
      <c r="S7" s="13"/>
      <c r="T7" s="13" t="s">
        <v>279</v>
      </c>
      <c r="U7" s="15" t="s">
        <v>85</v>
      </c>
    </row>
    <row r="8" spans="1:21" ht="43.5" x14ac:dyDescent="0.35">
      <c r="A8" s="13" t="s">
        <v>64</v>
      </c>
      <c r="B8" s="13" t="s">
        <v>65</v>
      </c>
      <c r="C8" s="14">
        <v>44222.487500000003</v>
      </c>
      <c r="D8" s="13" t="s">
        <v>86</v>
      </c>
      <c r="E8" s="13" t="s">
        <v>288</v>
      </c>
      <c r="F8" s="15" t="s">
        <v>87</v>
      </c>
      <c r="G8" s="13" t="s">
        <v>292</v>
      </c>
      <c r="H8" s="14">
        <v>44197</v>
      </c>
      <c r="I8" s="14"/>
      <c r="J8" s="15"/>
      <c r="K8" s="15"/>
      <c r="L8" s="13" t="s">
        <v>290</v>
      </c>
      <c r="M8" s="15"/>
      <c r="N8" s="13"/>
      <c r="O8" s="13"/>
      <c r="P8" s="13" t="s">
        <v>291</v>
      </c>
      <c r="Q8" s="13"/>
      <c r="R8" s="13"/>
      <c r="S8" s="13"/>
      <c r="T8" s="13" t="s">
        <v>279</v>
      </c>
      <c r="U8" s="15" t="s">
        <v>87</v>
      </c>
    </row>
    <row r="9" spans="1:21" ht="43.5" x14ac:dyDescent="0.35">
      <c r="A9" s="13" t="s">
        <v>121</v>
      </c>
      <c r="B9" s="13" t="s">
        <v>122</v>
      </c>
      <c r="C9" s="14">
        <v>44747.474305555559</v>
      </c>
      <c r="D9" s="13" t="s">
        <v>88</v>
      </c>
      <c r="E9" s="13" t="s">
        <v>288</v>
      </c>
      <c r="F9" s="15" t="s">
        <v>89</v>
      </c>
      <c r="G9" s="13" t="s">
        <v>293</v>
      </c>
      <c r="H9" s="14">
        <v>44197</v>
      </c>
      <c r="I9" s="14"/>
      <c r="J9" s="15"/>
      <c r="K9" s="15"/>
      <c r="L9" s="13" t="s">
        <v>290</v>
      </c>
      <c r="M9" s="15"/>
      <c r="N9" s="13"/>
      <c r="O9" s="13"/>
      <c r="P9" s="13" t="s">
        <v>291</v>
      </c>
      <c r="Q9" s="13"/>
      <c r="R9" s="13"/>
      <c r="S9" s="13"/>
      <c r="T9" s="13" t="s">
        <v>279</v>
      </c>
      <c r="U9" s="15" t="s">
        <v>89</v>
      </c>
    </row>
    <row r="10" spans="1:21" ht="43.5" x14ac:dyDescent="0.35">
      <c r="A10" s="13" t="s">
        <v>64</v>
      </c>
      <c r="B10" s="13" t="s">
        <v>65</v>
      </c>
      <c r="C10" s="14">
        <v>44222.499305555553</v>
      </c>
      <c r="D10" s="13" t="s">
        <v>90</v>
      </c>
      <c r="E10" s="13" t="s">
        <v>288</v>
      </c>
      <c r="F10" s="15" t="s">
        <v>91</v>
      </c>
      <c r="G10" s="13" t="s">
        <v>294</v>
      </c>
      <c r="H10" s="14">
        <v>44197</v>
      </c>
      <c r="I10" s="14"/>
      <c r="J10" s="15"/>
      <c r="K10" s="15"/>
      <c r="L10" s="13" t="s">
        <v>290</v>
      </c>
      <c r="M10" s="15"/>
      <c r="N10" s="13"/>
      <c r="O10" s="13"/>
      <c r="P10" s="13" t="s">
        <v>291</v>
      </c>
      <c r="Q10" s="13"/>
      <c r="R10" s="13"/>
      <c r="S10" s="13"/>
      <c r="T10" s="13" t="s">
        <v>279</v>
      </c>
      <c r="U10" s="15" t="s">
        <v>91</v>
      </c>
    </row>
    <row r="11" spans="1:21" ht="72.5" x14ac:dyDescent="0.35">
      <c r="A11" s="13" t="s">
        <v>121</v>
      </c>
      <c r="B11" s="13" t="s">
        <v>122</v>
      </c>
      <c r="C11" s="14">
        <v>44746.769444444442</v>
      </c>
      <c r="D11" s="13" t="s">
        <v>80</v>
      </c>
      <c r="E11" s="13" t="s">
        <v>288</v>
      </c>
      <c r="F11" s="15" t="s">
        <v>81</v>
      </c>
      <c r="G11" s="13" t="s">
        <v>295</v>
      </c>
      <c r="H11" s="14">
        <v>44197</v>
      </c>
      <c r="I11" s="14"/>
      <c r="J11" s="15"/>
      <c r="K11" s="15"/>
      <c r="L11" s="13" t="s">
        <v>290</v>
      </c>
      <c r="M11" s="15"/>
      <c r="N11" s="13"/>
      <c r="O11" s="13"/>
      <c r="P11" s="13" t="s">
        <v>291</v>
      </c>
      <c r="Q11" s="13"/>
      <c r="R11" s="13"/>
      <c r="S11" s="13"/>
      <c r="T11" s="13" t="s">
        <v>279</v>
      </c>
      <c r="U11" s="15" t="s">
        <v>81</v>
      </c>
    </row>
    <row r="12" spans="1:21" ht="43.5" x14ac:dyDescent="0.35">
      <c r="A12" s="13" t="s">
        <v>121</v>
      </c>
      <c r="B12" s="13" t="s">
        <v>122</v>
      </c>
      <c r="C12" s="14">
        <v>44746.770138888889</v>
      </c>
      <c r="D12" s="13" t="s">
        <v>92</v>
      </c>
      <c r="E12" s="13" t="s">
        <v>288</v>
      </c>
      <c r="F12" s="15" t="s">
        <v>93</v>
      </c>
      <c r="G12" s="13" t="s">
        <v>296</v>
      </c>
      <c r="H12" s="14">
        <v>44197</v>
      </c>
      <c r="I12" s="14"/>
      <c r="J12" s="15"/>
      <c r="K12" s="15"/>
      <c r="L12" s="13" t="s">
        <v>290</v>
      </c>
      <c r="M12" s="15"/>
      <c r="N12" s="13"/>
      <c r="O12" s="13"/>
      <c r="P12" s="13" t="s">
        <v>291</v>
      </c>
      <c r="Q12" s="13"/>
      <c r="R12" s="13"/>
      <c r="S12" s="13"/>
      <c r="T12" s="13" t="s">
        <v>279</v>
      </c>
      <c r="U12" s="15" t="s">
        <v>93</v>
      </c>
    </row>
    <row r="13" spans="1:21" ht="43.5" x14ac:dyDescent="0.35">
      <c r="A13" s="13" t="s">
        <v>64</v>
      </c>
      <c r="B13" s="13" t="s">
        <v>65</v>
      </c>
      <c r="C13" s="14">
        <v>44225.334722222222</v>
      </c>
      <c r="D13" s="13" t="s">
        <v>94</v>
      </c>
      <c r="E13" s="13" t="s">
        <v>288</v>
      </c>
      <c r="F13" s="15" t="s">
        <v>95</v>
      </c>
      <c r="G13" s="13" t="s">
        <v>294</v>
      </c>
      <c r="H13" s="14">
        <v>44197</v>
      </c>
      <c r="I13" s="14"/>
      <c r="J13" s="15"/>
      <c r="K13" s="15"/>
      <c r="L13" s="13" t="s">
        <v>290</v>
      </c>
      <c r="M13" s="15"/>
      <c r="N13" s="13"/>
      <c r="O13" s="13"/>
      <c r="P13" s="13" t="s">
        <v>291</v>
      </c>
      <c r="Q13" s="13"/>
      <c r="R13" s="13"/>
      <c r="S13" s="13"/>
      <c r="T13" s="13" t="s">
        <v>279</v>
      </c>
      <c r="U13" s="15" t="s">
        <v>95</v>
      </c>
    </row>
    <row r="14" spans="1:21" x14ac:dyDescent="0.35">
      <c r="A14" s="13" t="s">
        <v>64</v>
      </c>
      <c r="B14" s="13" t="s">
        <v>65</v>
      </c>
      <c r="C14" s="14">
        <v>44225.334722222222</v>
      </c>
      <c r="D14" s="13" t="s">
        <v>96</v>
      </c>
      <c r="E14" s="13" t="s">
        <v>288</v>
      </c>
      <c r="F14" s="15" t="s">
        <v>97</v>
      </c>
      <c r="G14" s="13" t="s">
        <v>294</v>
      </c>
      <c r="H14" s="14">
        <v>44197</v>
      </c>
      <c r="I14" s="14"/>
      <c r="J14" s="15"/>
      <c r="K14" s="15"/>
      <c r="L14" s="13" t="s">
        <v>290</v>
      </c>
      <c r="M14" s="15"/>
      <c r="N14" s="13"/>
      <c r="O14" s="13"/>
      <c r="P14" s="13" t="s">
        <v>291</v>
      </c>
      <c r="Q14" s="13"/>
      <c r="R14" s="13"/>
      <c r="S14" s="13"/>
      <c r="T14" s="13" t="s">
        <v>279</v>
      </c>
      <c r="U14" s="15" t="s">
        <v>97</v>
      </c>
    </row>
    <row r="15" spans="1:21" ht="29" x14ac:dyDescent="0.35">
      <c r="A15" s="13" t="s">
        <v>64</v>
      </c>
      <c r="B15" s="13" t="s">
        <v>65</v>
      </c>
      <c r="C15" s="14">
        <v>44225.334722222222</v>
      </c>
      <c r="D15" s="13" t="s">
        <v>98</v>
      </c>
      <c r="E15" s="13" t="s">
        <v>288</v>
      </c>
      <c r="F15" s="15" t="s">
        <v>99</v>
      </c>
      <c r="G15" s="13" t="s">
        <v>294</v>
      </c>
      <c r="H15" s="14">
        <v>44197</v>
      </c>
      <c r="I15" s="14"/>
      <c r="J15" s="15"/>
      <c r="K15" s="15"/>
      <c r="L15" s="13" t="s">
        <v>290</v>
      </c>
      <c r="M15" s="15"/>
      <c r="N15" s="13"/>
      <c r="O15" s="13"/>
      <c r="P15" s="13" t="s">
        <v>291</v>
      </c>
      <c r="Q15" s="13"/>
      <c r="R15" s="13"/>
      <c r="S15" s="13"/>
      <c r="T15" s="13" t="s">
        <v>279</v>
      </c>
      <c r="U15" s="15" t="s">
        <v>99</v>
      </c>
    </row>
    <row r="16" spans="1:21" ht="43.5" x14ac:dyDescent="0.35">
      <c r="A16" s="13" t="s">
        <v>64</v>
      </c>
      <c r="B16" s="13" t="s">
        <v>65</v>
      </c>
      <c r="C16" s="14">
        <v>44225.334722222222</v>
      </c>
      <c r="D16" s="13" t="s">
        <v>100</v>
      </c>
      <c r="E16" s="13" t="s">
        <v>288</v>
      </c>
      <c r="F16" s="15" t="s">
        <v>101</v>
      </c>
      <c r="G16" s="13" t="s">
        <v>294</v>
      </c>
      <c r="H16" s="14">
        <v>44197</v>
      </c>
      <c r="I16" s="14"/>
      <c r="J16" s="15"/>
      <c r="K16" s="15"/>
      <c r="L16" s="13" t="s">
        <v>290</v>
      </c>
      <c r="M16" s="15"/>
      <c r="N16" s="13"/>
      <c r="O16" s="13"/>
      <c r="P16" s="13" t="s">
        <v>291</v>
      </c>
      <c r="Q16" s="13"/>
      <c r="R16" s="13"/>
      <c r="S16" s="13"/>
      <c r="T16" s="13" t="s">
        <v>279</v>
      </c>
      <c r="U16" s="15" t="s">
        <v>101</v>
      </c>
    </row>
    <row r="17" spans="1:21" ht="72.5" x14ac:dyDescent="0.35">
      <c r="A17" s="13" t="s">
        <v>64</v>
      </c>
      <c r="B17" s="13" t="s">
        <v>65</v>
      </c>
      <c r="C17" s="14">
        <v>44225.334722222222</v>
      </c>
      <c r="D17" s="13" t="s">
        <v>102</v>
      </c>
      <c r="E17" s="13" t="s">
        <v>288</v>
      </c>
      <c r="F17" s="15" t="s">
        <v>103</v>
      </c>
      <c r="G17" s="13" t="s">
        <v>297</v>
      </c>
      <c r="H17" s="14">
        <v>44197</v>
      </c>
      <c r="I17" s="14"/>
      <c r="J17" s="15"/>
      <c r="K17" s="15"/>
      <c r="L17" s="13" t="s">
        <v>290</v>
      </c>
      <c r="M17" s="15"/>
      <c r="N17" s="13"/>
      <c r="O17" s="13"/>
      <c r="P17" s="13" t="s">
        <v>291</v>
      </c>
      <c r="Q17" s="13"/>
      <c r="R17" s="13"/>
      <c r="S17" s="13"/>
      <c r="T17" s="13" t="s">
        <v>279</v>
      </c>
      <c r="U17" s="15" t="s">
        <v>103</v>
      </c>
    </row>
    <row r="18" spans="1:21" ht="58" x14ac:dyDescent="0.35">
      <c r="A18" s="13" t="s">
        <v>64</v>
      </c>
      <c r="B18" s="13" t="s">
        <v>65</v>
      </c>
      <c r="C18" s="14">
        <v>44225.334722222222</v>
      </c>
      <c r="D18" s="13" t="s">
        <v>104</v>
      </c>
      <c r="E18" s="13" t="s">
        <v>288</v>
      </c>
      <c r="F18" s="15" t="s">
        <v>105</v>
      </c>
      <c r="G18" s="13" t="s">
        <v>297</v>
      </c>
      <c r="H18" s="14">
        <v>44197</v>
      </c>
      <c r="I18" s="14"/>
      <c r="J18" s="15"/>
      <c r="K18" s="15"/>
      <c r="L18" s="13" t="s">
        <v>290</v>
      </c>
      <c r="M18" s="15"/>
      <c r="N18" s="13"/>
      <c r="O18" s="13"/>
      <c r="P18" s="13" t="s">
        <v>291</v>
      </c>
      <c r="Q18" s="13"/>
      <c r="R18" s="13"/>
      <c r="S18" s="13"/>
      <c r="T18" s="13" t="s">
        <v>279</v>
      </c>
      <c r="U18" s="15" t="s">
        <v>105</v>
      </c>
    </row>
    <row r="19" spans="1:21" ht="58" x14ac:dyDescent="0.35">
      <c r="A19" s="13" t="s">
        <v>121</v>
      </c>
      <c r="B19" s="13" t="s">
        <v>122</v>
      </c>
      <c r="C19" s="14">
        <v>44746.770138888889</v>
      </c>
      <c r="D19" s="13" t="s">
        <v>106</v>
      </c>
      <c r="E19" s="13" t="s">
        <v>288</v>
      </c>
      <c r="F19" s="15" t="s">
        <v>107</v>
      </c>
      <c r="G19" s="13" t="s">
        <v>298</v>
      </c>
      <c r="H19" s="14">
        <v>44197</v>
      </c>
      <c r="I19" s="14"/>
      <c r="J19" s="15"/>
      <c r="K19" s="15"/>
      <c r="L19" s="13" t="s">
        <v>290</v>
      </c>
      <c r="M19" s="15"/>
      <c r="N19" s="13"/>
      <c r="O19" s="13"/>
      <c r="P19" s="13" t="s">
        <v>291</v>
      </c>
      <c r="Q19" s="13"/>
      <c r="R19" s="13"/>
      <c r="S19" s="13"/>
      <c r="T19" s="13" t="s">
        <v>279</v>
      </c>
      <c r="U19" s="15" t="s">
        <v>107</v>
      </c>
    </row>
    <row r="20" spans="1:21" ht="72.5" x14ac:dyDescent="0.35">
      <c r="A20" s="13" t="s">
        <v>64</v>
      </c>
      <c r="B20" s="13" t="s">
        <v>65</v>
      </c>
      <c r="C20" s="14">
        <v>44225.337500000001</v>
      </c>
      <c r="D20" s="13" t="s">
        <v>108</v>
      </c>
      <c r="E20" s="13" t="s">
        <v>288</v>
      </c>
      <c r="F20" s="15" t="s">
        <v>109</v>
      </c>
      <c r="G20" s="13" t="s">
        <v>297</v>
      </c>
      <c r="H20" s="14">
        <v>44197</v>
      </c>
      <c r="I20" s="14"/>
      <c r="J20" s="15"/>
      <c r="K20" s="15"/>
      <c r="L20" s="13" t="s">
        <v>290</v>
      </c>
      <c r="M20" s="15"/>
      <c r="N20" s="13"/>
      <c r="O20" s="13"/>
      <c r="P20" s="13" t="s">
        <v>291</v>
      </c>
      <c r="Q20" s="13"/>
      <c r="R20" s="13"/>
      <c r="S20" s="13"/>
      <c r="T20" s="13" t="s">
        <v>279</v>
      </c>
      <c r="U20" s="15" t="s">
        <v>109</v>
      </c>
    </row>
    <row r="21" spans="1:21" ht="43.5" x14ac:dyDescent="0.35">
      <c r="A21" s="13" t="s">
        <v>64</v>
      </c>
      <c r="B21" s="13" t="s">
        <v>65</v>
      </c>
      <c r="C21" s="14">
        <v>44225.337500000001</v>
      </c>
      <c r="D21" s="13" t="s">
        <v>110</v>
      </c>
      <c r="E21" s="13" t="s">
        <v>288</v>
      </c>
      <c r="F21" s="15" t="s">
        <v>111</v>
      </c>
      <c r="G21" s="13" t="s">
        <v>297</v>
      </c>
      <c r="H21" s="14">
        <v>44197</v>
      </c>
      <c r="I21" s="14"/>
      <c r="J21" s="15"/>
      <c r="K21" s="15"/>
      <c r="L21" s="13" t="s">
        <v>290</v>
      </c>
      <c r="M21" s="15"/>
      <c r="N21" s="13"/>
      <c r="O21" s="13"/>
      <c r="P21" s="13" t="s">
        <v>291</v>
      </c>
      <c r="Q21" s="13"/>
      <c r="R21" s="13"/>
      <c r="S21" s="13"/>
      <c r="T21" s="13" t="s">
        <v>279</v>
      </c>
      <c r="U21" s="15" t="s">
        <v>111</v>
      </c>
    </row>
    <row r="22" spans="1:21" x14ac:dyDescent="0.35">
      <c r="A22" s="13" t="s">
        <v>64</v>
      </c>
      <c r="B22" s="13" t="s">
        <v>65</v>
      </c>
      <c r="C22" s="14">
        <v>44225.383333333331</v>
      </c>
      <c r="D22" s="13" t="s">
        <v>127</v>
      </c>
      <c r="E22" s="13" t="s">
        <v>288</v>
      </c>
      <c r="F22" s="15" t="s">
        <v>83</v>
      </c>
      <c r="G22" s="13" t="s">
        <v>275</v>
      </c>
      <c r="H22" s="14">
        <v>44197</v>
      </c>
      <c r="I22" s="14"/>
      <c r="J22" s="15"/>
      <c r="K22" s="15"/>
      <c r="L22" s="13" t="s">
        <v>290</v>
      </c>
      <c r="M22" s="15"/>
      <c r="N22" s="13"/>
      <c r="O22" s="13"/>
      <c r="P22" s="13" t="s">
        <v>278</v>
      </c>
      <c r="Q22" s="13"/>
      <c r="R22" s="13"/>
      <c r="S22" s="13"/>
      <c r="T22" s="13" t="s">
        <v>279</v>
      </c>
      <c r="U22" s="15" t="s">
        <v>83</v>
      </c>
    </row>
    <row r="23" spans="1:21" ht="29" x14ac:dyDescent="0.35">
      <c r="A23" s="13" t="s">
        <v>64</v>
      </c>
      <c r="B23" s="13" t="s">
        <v>65</v>
      </c>
      <c r="C23" s="14">
        <v>44225.384722222225</v>
      </c>
      <c r="D23" s="13" t="s">
        <v>131</v>
      </c>
      <c r="E23" s="13" t="s">
        <v>288</v>
      </c>
      <c r="F23" s="15" t="s">
        <v>89</v>
      </c>
      <c r="G23" s="13" t="s">
        <v>275</v>
      </c>
      <c r="H23" s="14">
        <v>44197</v>
      </c>
      <c r="I23" s="14"/>
      <c r="J23" s="15"/>
      <c r="K23" s="15"/>
      <c r="L23" s="13" t="s">
        <v>290</v>
      </c>
      <c r="M23" s="15"/>
      <c r="N23" s="13"/>
      <c r="O23" s="13"/>
      <c r="P23" s="13" t="s">
        <v>278</v>
      </c>
      <c r="Q23" s="13"/>
      <c r="R23" s="13"/>
      <c r="S23" s="13"/>
      <c r="T23" s="13" t="s">
        <v>279</v>
      </c>
      <c r="U23" s="15" t="s">
        <v>89</v>
      </c>
    </row>
    <row r="24" spans="1:21" ht="29" x14ac:dyDescent="0.35">
      <c r="A24" s="13" t="s">
        <v>64</v>
      </c>
      <c r="B24" s="13" t="s">
        <v>65</v>
      </c>
      <c r="C24" s="14">
        <v>44225.384722222225</v>
      </c>
      <c r="D24" s="13" t="s">
        <v>128</v>
      </c>
      <c r="E24" s="13" t="s">
        <v>288</v>
      </c>
      <c r="F24" s="15" t="s">
        <v>85</v>
      </c>
      <c r="G24" s="13" t="s">
        <v>275</v>
      </c>
      <c r="H24" s="14">
        <v>44197</v>
      </c>
      <c r="I24" s="14"/>
      <c r="J24" s="15"/>
      <c r="K24" s="15"/>
      <c r="L24" s="13" t="s">
        <v>290</v>
      </c>
      <c r="M24" s="15"/>
      <c r="N24" s="13"/>
      <c r="O24" s="13"/>
      <c r="P24" s="13" t="s">
        <v>299</v>
      </c>
      <c r="Q24" s="13"/>
      <c r="R24" s="13"/>
      <c r="S24" s="13"/>
      <c r="T24" s="13" t="s">
        <v>279</v>
      </c>
      <c r="U24" s="15" t="s">
        <v>85</v>
      </c>
    </row>
    <row r="25" spans="1:21" ht="43.5" x14ac:dyDescent="0.35">
      <c r="A25" s="13" t="s">
        <v>64</v>
      </c>
      <c r="B25" s="13" t="s">
        <v>65</v>
      </c>
      <c r="C25" s="14">
        <v>44225.384722222225</v>
      </c>
      <c r="D25" s="13" t="s">
        <v>129</v>
      </c>
      <c r="E25" s="13" t="s">
        <v>288</v>
      </c>
      <c r="F25" s="15" t="s">
        <v>130</v>
      </c>
      <c r="G25" s="13" t="s">
        <v>275</v>
      </c>
      <c r="H25" s="14">
        <v>44197</v>
      </c>
      <c r="I25" s="14"/>
      <c r="J25" s="15"/>
      <c r="K25" s="15"/>
      <c r="L25" s="13" t="s">
        <v>290</v>
      </c>
      <c r="M25" s="15"/>
      <c r="N25" s="13"/>
      <c r="O25" s="13"/>
      <c r="P25" s="13" t="s">
        <v>278</v>
      </c>
      <c r="Q25" s="13"/>
      <c r="R25" s="13"/>
      <c r="S25" s="13"/>
      <c r="T25" s="13" t="s">
        <v>279</v>
      </c>
      <c r="U25" s="15" t="s">
        <v>130</v>
      </c>
    </row>
    <row r="26" spans="1:21" ht="29" x14ac:dyDescent="0.35">
      <c r="A26" s="13" t="s">
        <v>64</v>
      </c>
      <c r="B26" s="13" t="s">
        <v>65</v>
      </c>
      <c r="C26" s="14">
        <v>44225.384722222225</v>
      </c>
      <c r="D26" s="13" t="s">
        <v>132</v>
      </c>
      <c r="E26" s="13" t="s">
        <v>288</v>
      </c>
      <c r="F26" s="15" t="s">
        <v>133</v>
      </c>
      <c r="G26" s="13" t="s">
        <v>275</v>
      </c>
      <c r="H26" s="14">
        <v>44197</v>
      </c>
      <c r="I26" s="14"/>
      <c r="J26" s="15"/>
      <c r="K26" s="15"/>
      <c r="L26" s="13" t="s">
        <v>290</v>
      </c>
      <c r="M26" s="15"/>
      <c r="N26" s="13"/>
      <c r="O26" s="13"/>
      <c r="P26" s="13" t="s">
        <v>278</v>
      </c>
      <c r="Q26" s="13"/>
      <c r="R26" s="13"/>
      <c r="S26" s="13"/>
      <c r="T26" s="13" t="s">
        <v>279</v>
      </c>
      <c r="U26" s="15" t="s">
        <v>133</v>
      </c>
    </row>
    <row r="27" spans="1:21" ht="29" x14ac:dyDescent="0.35">
      <c r="A27" s="13" t="s">
        <v>64</v>
      </c>
      <c r="B27" s="13" t="s">
        <v>65</v>
      </c>
      <c r="C27" s="14">
        <v>44225.384722222225</v>
      </c>
      <c r="D27" s="13" t="s">
        <v>134</v>
      </c>
      <c r="E27" s="13" t="s">
        <v>288</v>
      </c>
      <c r="F27" s="15" t="s">
        <v>93</v>
      </c>
      <c r="G27" s="13" t="s">
        <v>275</v>
      </c>
      <c r="H27" s="14">
        <v>44197</v>
      </c>
      <c r="I27" s="14"/>
      <c r="J27" s="15"/>
      <c r="K27" s="15"/>
      <c r="L27" s="13" t="s">
        <v>290</v>
      </c>
      <c r="M27" s="15"/>
      <c r="N27" s="13"/>
      <c r="O27" s="13"/>
      <c r="P27" s="13" t="s">
        <v>278</v>
      </c>
      <c r="Q27" s="13"/>
      <c r="R27" s="13"/>
      <c r="S27" s="13"/>
      <c r="T27" s="13" t="s">
        <v>279</v>
      </c>
      <c r="U27" s="15" t="s">
        <v>93</v>
      </c>
    </row>
    <row r="28" spans="1:21" ht="43.5" x14ac:dyDescent="0.35">
      <c r="A28" s="13" t="s">
        <v>64</v>
      </c>
      <c r="B28" s="13" t="s">
        <v>65</v>
      </c>
      <c r="C28" s="14">
        <v>44225.386805555558</v>
      </c>
      <c r="D28" s="13" t="s">
        <v>135</v>
      </c>
      <c r="E28" s="13" t="s">
        <v>288</v>
      </c>
      <c r="F28" s="15" t="s">
        <v>95</v>
      </c>
      <c r="G28" s="13" t="s">
        <v>275</v>
      </c>
      <c r="H28" s="14">
        <v>44197</v>
      </c>
      <c r="I28" s="14"/>
      <c r="J28" s="15"/>
      <c r="K28" s="15"/>
      <c r="L28" s="13" t="s">
        <v>290</v>
      </c>
      <c r="M28" s="15"/>
      <c r="N28" s="13"/>
      <c r="O28" s="13"/>
      <c r="P28" s="13" t="s">
        <v>299</v>
      </c>
      <c r="Q28" s="13"/>
      <c r="R28" s="13"/>
      <c r="S28" s="13"/>
      <c r="T28" s="13" t="s">
        <v>279</v>
      </c>
      <c r="U28" s="15" t="s">
        <v>95</v>
      </c>
    </row>
    <row r="29" spans="1:21" x14ac:dyDescent="0.35">
      <c r="A29" s="13" t="s">
        <v>64</v>
      </c>
      <c r="B29" s="13" t="s">
        <v>65</v>
      </c>
      <c r="C29" s="14">
        <v>44225.386805555558</v>
      </c>
      <c r="D29" s="13" t="s">
        <v>136</v>
      </c>
      <c r="E29" s="13" t="s">
        <v>288</v>
      </c>
      <c r="F29" s="15" t="s">
        <v>97</v>
      </c>
      <c r="G29" s="13" t="s">
        <v>275</v>
      </c>
      <c r="H29" s="14">
        <v>44197</v>
      </c>
      <c r="I29" s="14"/>
      <c r="J29" s="15"/>
      <c r="K29" s="15"/>
      <c r="L29" s="13" t="s">
        <v>290</v>
      </c>
      <c r="M29" s="15"/>
      <c r="N29" s="13"/>
      <c r="O29" s="13"/>
      <c r="P29" s="13" t="s">
        <v>278</v>
      </c>
      <c r="Q29" s="13"/>
      <c r="R29" s="13"/>
      <c r="S29" s="13"/>
      <c r="T29" s="13" t="s">
        <v>279</v>
      </c>
      <c r="U29" s="15" t="s">
        <v>97</v>
      </c>
    </row>
    <row r="30" spans="1:21" ht="29" x14ac:dyDescent="0.35">
      <c r="A30" s="13" t="s">
        <v>64</v>
      </c>
      <c r="B30" s="13" t="s">
        <v>65</v>
      </c>
      <c r="C30" s="14">
        <v>44225.386805555558</v>
      </c>
      <c r="D30" s="13" t="s">
        <v>137</v>
      </c>
      <c r="E30" s="13" t="s">
        <v>288</v>
      </c>
      <c r="F30" s="15" t="s">
        <v>99</v>
      </c>
      <c r="G30" s="13" t="s">
        <v>275</v>
      </c>
      <c r="H30" s="14">
        <v>44197</v>
      </c>
      <c r="I30" s="14"/>
      <c r="J30" s="15"/>
      <c r="K30" s="15"/>
      <c r="L30" s="13" t="s">
        <v>290</v>
      </c>
      <c r="M30" s="15"/>
      <c r="N30" s="13"/>
      <c r="O30" s="13"/>
      <c r="P30" s="13" t="s">
        <v>299</v>
      </c>
      <c r="Q30" s="13"/>
      <c r="R30" s="13"/>
      <c r="S30" s="13"/>
      <c r="T30" s="13" t="s">
        <v>279</v>
      </c>
      <c r="U30" s="15" t="s">
        <v>99</v>
      </c>
    </row>
    <row r="31" spans="1:21" ht="43.5" x14ac:dyDescent="0.35">
      <c r="A31" s="13" t="s">
        <v>64</v>
      </c>
      <c r="B31" s="13" t="s">
        <v>65</v>
      </c>
      <c r="C31" s="14">
        <v>44225.386805555558</v>
      </c>
      <c r="D31" s="13" t="s">
        <v>138</v>
      </c>
      <c r="E31" s="13" t="s">
        <v>288</v>
      </c>
      <c r="F31" s="15" t="s">
        <v>101</v>
      </c>
      <c r="G31" s="13" t="s">
        <v>275</v>
      </c>
      <c r="H31" s="14">
        <v>44197</v>
      </c>
      <c r="I31" s="14"/>
      <c r="J31" s="15"/>
      <c r="K31" s="15"/>
      <c r="L31" s="13" t="s">
        <v>290</v>
      </c>
      <c r="M31" s="15"/>
      <c r="N31" s="13"/>
      <c r="O31" s="13"/>
      <c r="P31" s="13" t="s">
        <v>278</v>
      </c>
      <c r="Q31" s="13"/>
      <c r="R31" s="13"/>
      <c r="S31" s="13"/>
      <c r="T31" s="13" t="s">
        <v>279</v>
      </c>
      <c r="U31" s="15" t="s">
        <v>101</v>
      </c>
    </row>
    <row r="32" spans="1:21" ht="72.5" x14ac:dyDescent="0.35">
      <c r="A32" s="13" t="s">
        <v>64</v>
      </c>
      <c r="B32" s="13" t="s">
        <v>65</v>
      </c>
      <c r="C32" s="14">
        <v>44225.386805555558</v>
      </c>
      <c r="D32" s="13" t="s">
        <v>139</v>
      </c>
      <c r="E32" s="13" t="s">
        <v>288</v>
      </c>
      <c r="F32" s="15" t="s">
        <v>103</v>
      </c>
      <c r="G32" s="13" t="s">
        <v>275</v>
      </c>
      <c r="H32" s="14">
        <v>44197</v>
      </c>
      <c r="I32" s="14"/>
      <c r="J32" s="15"/>
      <c r="K32" s="15"/>
      <c r="L32" s="13" t="s">
        <v>290</v>
      </c>
      <c r="M32" s="15"/>
      <c r="N32" s="13"/>
      <c r="O32" s="13"/>
      <c r="P32" s="13" t="s">
        <v>299</v>
      </c>
      <c r="Q32" s="13"/>
      <c r="R32" s="13"/>
      <c r="S32" s="13"/>
      <c r="T32" s="13" t="s">
        <v>279</v>
      </c>
      <c r="U32" s="15" t="s">
        <v>103</v>
      </c>
    </row>
    <row r="33" spans="1:21" ht="58" x14ac:dyDescent="0.35">
      <c r="A33" s="13" t="s">
        <v>64</v>
      </c>
      <c r="B33" s="13" t="s">
        <v>65</v>
      </c>
      <c r="C33" s="14">
        <v>44225.386805555558</v>
      </c>
      <c r="D33" s="13" t="s">
        <v>140</v>
      </c>
      <c r="E33" s="13" t="s">
        <v>288</v>
      </c>
      <c r="F33" s="15" t="s">
        <v>105</v>
      </c>
      <c r="G33" s="13" t="s">
        <v>275</v>
      </c>
      <c r="H33" s="14">
        <v>44197</v>
      </c>
      <c r="I33" s="14"/>
      <c r="J33" s="15"/>
      <c r="K33" s="15"/>
      <c r="L33" s="13" t="s">
        <v>290</v>
      </c>
      <c r="M33" s="15"/>
      <c r="N33" s="13"/>
      <c r="O33" s="13"/>
      <c r="P33" s="13" t="s">
        <v>278</v>
      </c>
      <c r="Q33" s="13"/>
      <c r="R33" s="13"/>
      <c r="S33" s="13"/>
      <c r="T33" s="13" t="s">
        <v>279</v>
      </c>
      <c r="U33" s="15" t="s">
        <v>105</v>
      </c>
    </row>
    <row r="34" spans="1:21" ht="58" x14ac:dyDescent="0.35">
      <c r="A34" s="13" t="s">
        <v>121</v>
      </c>
      <c r="B34" s="13" t="s">
        <v>122</v>
      </c>
      <c r="C34" s="14">
        <v>45777.456944444442</v>
      </c>
      <c r="D34" s="13" t="s">
        <v>141</v>
      </c>
      <c r="E34" s="13" t="s">
        <v>288</v>
      </c>
      <c r="F34" s="15" t="s">
        <v>142</v>
      </c>
      <c r="G34" s="13" t="s">
        <v>275</v>
      </c>
      <c r="H34" s="14">
        <v>44197</v>
      </c>
      <c r="I34" s="14"/>
      <c r="J34" s="15"/>
      <c r="K34" s="15"/>
      <c r="L34" s="13" t="s">
        <v>290</v>
      </c>
      <c r="M34" s="15"/>
      <c r="N34" s="13"/>
      <c r="O34" s="13"/>
      <c r="P34" s="13" t="s">
        <v>300</v>
      </c>
      <c r="Q34" s="13"/>
      <c r="R34" s="13"/>
      <c r="S34" s="13"/>
      <c r="T34" s="13" t="s">
        <v>279</v>
      </c>
      <c r="U34" s="15" t="s">
        <v>142</v>
      </c>
    </row>
    <row r="35" spans="1:21" ht="58" x14ac:dyDescent="0.35">
      <c r="A35" s="13" t="s">
        <v>121</v>
      </c>
      <c r="B35" s="13" t="s">
        <v>122</v>
      </c>
      <c r="C35" s="14">
        <v>44832.46875</v>
      </c>
      <c r="D35" s="13" t="s">
        <v>143</v>
      </c>
      <c r="E35" s="13" t="s">
        <v>288</v>
      </c>
      <c r="F35" s="15" t="s">
        <v>144</v>
      </c>
      <c r="G35" s="13" t="s">
        <v>275</v>
      </c>
      <c r="H35" s="14">
        <v>44197</v>
      </c>
      <c r="I35" s="14"/>
      <c r="J35" s="15"/>
      <c r="K35" s="15"/>
      <c r="L35" s="13" t="s">
        <v>290</v>
      </c>
      <c r="M35" s="15"/>
      <c r="N35" s="13"/>
      <c r="O35" s="13"/>
      <c r="P35" s="13" t="s">
        <v>300</v>
      </c>
      <c r="Q35" s="13"/>
      <c r="R35" s="13"/>
      <c r="S35" s="13"/>
      <c r="T35" s="13" t="s">
        <v>279</v>
      </c>
      <c r="U35" s="15" t="s">
        <v>144</v>
      </c>
    </row>
    <row r="36" spans="1:21" ht="43.5" x14ac:dyDescent="0.35">
      <c r="A36" s="13" t="s">
        <v>64</v>
      </c>
      <c r="B36" s="13" t="s">
        <v>65</v>
      </c>
      <c r="C36" s="14">
        <v>44225.388194444444</v>
      </c>
      <c r="D36" s="13" t="s">
        <v>145</v>
      </c>
      <c r="E36" s="13" t="s">
        <v>288</v>
      </c>
      <c r="F36" s="15" t="s">
        <v>111</v>
      </c>
      <c r="G36" s="13" t="s">
        <v>275</v>
      </c>
      <c r="H36" s="14">
        <v>44197</v>
      </c>
      <c r="I36" s="14"/>
      <c r="J36" s="15"/>
      <c r="K36" s="15"/>
      <c r="L36" s="13" t="s">
        <v>290</v>
      </c>
      <c r="M36" s="15"/>
      <c r="N36" s="13"/>
      <c r="O36" s="13"/>
      <c r="P36" s="13" t="s">
        <v>299</v>
      </c>
      <c r="Q36" s="13"/>
      <c r="R36" s="13"/>
      <c r="S36" s="13"/>
      <c r="T36" s="13" t="s">
        <v>279</v>
      </c>
      <c r="U36" s="15" t="s">
        <v>111</v>
      </c>
    </row>
    <row r="37" spans="1:21" x14ac:dyDescent="0.35">
      <c r="A37" s="13" t="s">
        <v>64</v>
      </c>
      <c r="B37" s="13" t="s">
        <v>65</v>
      </c>
      <c r="C37" s="14">
        <v>44225.388888888891</v>
      </c>
      <c r="D37" s="13" t="s">
        <v>169</v>
      </c>
      <c r="E37" s="13" t="s">
        <v>288</v>
      </c>
      <c r="F37" s="15" t="s">
        <v>83</v>
      </c>
      <c r="G37" s="13" t="s">
        <v>301</v>
      </c>
      <c r="H37" s="14">
        <v>44197</v>
      </c>
      <c r="I37" s="14"/>
      <c r="J37" s="15"/>
      <c r="K37" s="15"/>
      <c r="L37" s="13" t="s">
        <v>290</v>
      </c>
      <c r="M37" s="15"/>
      <c r="N37" s="13"/>
      <c r="O37" s="13"/>
      <c r="P37" s="13" t="s">
        <v>302</v>
      </c>
      <c r="Q37" s="13"/>
      <c r="R37" s="13"/>
      <c r="S37" s="13"/>
      <c r="T37" s="13" t="s">
        <v>279</v>
      </c>
      <c r="U37" s="15" t="s">
        <v>83</v>
      </c>
    </row>
    <row r="38" spans="1:21" ht="29" x14ac:dyDescent="0.35">
      <c r="A38" s="13" t="s">
        <v>64</v>
      </c>
      <c r="B38" s="13" t="s">
        <v>65</v>
      </c>
      <c r="C38" s="14">
        <v>44225.390277777777</v>
      </c>
      <c r="D38" s="13" t="s">
        <v>172</v>
      </c>
      <c r="E38" s="13" t="s">
        <v>288</v>
      </c>
      <c r="F38" s="15" t="s">
        <v>89</v>
      </c>
      <c r="G38" s="13" t="s">
        <v>301</v>
      </c>
      <c r="H38" s="14">
        <v>44197</v>
      </c>
      <c r="I38" s="14"/>
      <c r="J38" s="15"/>
      <c r="K38" s="15"/>
      <c r="L38" s="13" t="s">
        <v>290</v>
      </c>
      <c r="M38" s="15"/>
      <c r="N38" s="13"/>
      <c r="O38" s="13"/>
      <c r="P38" s="13" t="s">
        <v>302</v>
      </c>
      <c r="Q38" s="13"/>
      <c r="R38" s="13"/>
      <c r="S38" s="13"/>
      <c r="T38" s="13" t="s">
        <v>279</v>
      </c>
      <c r="U38" s="15" t="s">
        <v>89</v>
      </c>
    </row>
    <row r="39" spans="1:21" ht="29" x14ac:dyDescent="0.35">
      <c r="A39" s="13" t="s">
        <v>64</v>
      </c>
      <c r="B39" s="13" t="s">
        <v>65</v>
      </c>
      <c r="C39" s="14">
        <v>44225.390277777777</v>
      </c>
      <c r="D39" s="13" t="s">
        <v>170</v>
      </c>
      <c r="E39" s="13" t="s">
        <v>288</v>
      </c>
      <c r="F39" s="15" t="s">
        <v>85</v>
      </c>
      <c r="G39" s="13" t="s">
        <v>301</v>
      </c>
      <c r="H39" s="14">
        <v>44197</v>
      </c>
      <c r="I39" s="14"/>
      <c r="J39" s="15"/>
      <c r="K39" s="15"/>
      <c r="L39" s="13" t="s">
        <v>290</v>
      </c>
      <c r="M39" s="15"/>
      <c r="N39" s="13"/>
      <c r="O39" s="13"/>
      <c r="P39" s="13" t="s">
        <v>302</v>
      </c>
      <c r="Q39" s="13"/>
      <c r="R39" s="13"/>
      <c r="S39" s="13"/>
      <c r="T39" s="13" t="s">
        <v>279</v>
      </c>
      <c r="U39" s="15" t="s">
        <v>85</v>
      </c>
    </row>
    <row r="40" spans="1:21" ht="43.5" x14ac:dyDescent="0.35">
      <c r="A40" s="13" t="s">
        <v>64</v>
      </c>
      <c r="B40" s="13" t="s">
        <v>65</v>
      </c>
      <c r="C40" s="14">
        <v>44225.390277777777</v>
      </c>
      <c r="D40" s="13" t="s">
        <v>171</v>
      </c>
      <c r="E40" s="13" t="s">
        <v>288</v>
      </c>
      <c r="F40" s="15" t="s">
        <v>130</v>
      </c>
      <c r="G40" s="13" t="s">
        <v>301</v>
      </c>
      <c r="H40" s="14">
        <v>44197</v>
      </c>
      <c r="I40" s="14"/>
      <c r="J40" s="15"/>
      <c r="K40" s="15"/>
      <c r="L40" s="13" t="s">
        <v>290</v>
      </c>
      <c r="M40" s="15"/>
      <c r="N40" s="13"/>
      <c r="O40" s="13"/>
      <c r="P40" s="13" t="s">
        <v>302</v>
      </c>
      <c r="Q40" s="13"/>
      <c r="R40" s="13"/>
      <c r="S40" s="13"/>
      <c r="T40" s="13" t="s">
        <v>279</v>
      </c>
      <c r="U40" s="15" t="s">
        <v>130</v>
      </c>
    </row>
    <row r="41" spans="1:21" ht="29" x14ac:dyDescent="0.35">
      <c r="A41" s="13" t="s">
        <v>64</v>
      </c>
      <c r="B41" s="13" t="s">
        <v>65</v>
      </c>
      <c r="C41" s="14">
        <v>44225.390277777777</v>
      </c>
      <c r="D41" s="13" t="s">
        <v>173</v>
      </c>
      <c r="E41" s="13" t="s">
        <v>288</v>
      </c>
      <c r="F41" s="15" t="s">
        <v>133</v>
      </c>
      <c r="G41" s="13" t="s">
        <v>301</v>
      </c>
      <c r="H41" s="14">
        <v>44197</v>
      </c>
      <c r="I41" s="14"/>
      <c r="J41" s="15"/>
      <c r="K41" s="15"/>
      <c r="L41" s="13" t="s">
        <v>290</v>
      </c>
      <c r="M41" s="15"/>
      <c r="N41" s="13"/>
      <c r="O41" s="13"/>
      <c r="P41" s="13" t="s">
        <v>302</v>
      </c>
      <c r="Q41" s="13"/>
      <c r="R41" s="13"/>
      <c r="S41" s="13"/>
      <c r="T41" s="13" t="s">
        <v>279</v>
      </c>
      <c r="U41" s="15" t="s">
        <v>133</v>
      </c>
    </row>
    <row r="42" spans="1:21" ht="29" x14ac:dyDescent="0.35">
      <c r="A42" s="13" t="s">
        <v>64</v>
      </c>
      <c r="B42" s="13" t="s">
        <v>65</v>
      </c>
      <c r="C42" s="14">
        <v>44225.390277777777</v>
      </c>
      <c r="D42" s="13" t="s">
        <v>174</v>
      </c>
      <c r="E42" s="13" t="s">
        <v>288</v>
      </c>
      <c r="F42" s="15" t="s">
        <v>93</v>
      </c>
      <c r="G42" s="13" t="s">
        <v>301</v>
      </c>
      <c r="H42" s="14">
        <v>44197</v>
      </c>
      <c r="I42" s="14"/>
      <c r="J42" s="15"/>
      <c r="K42" s="15"/>
      <c r="L42" s="13" t="s">
        <v>290</v>
      </c>
      <c r="M42" s="15"/>
      <c r="N42" s="13"/>
      <c r="O42" s="13"/>
      <c r="P42" s="13" t="s">
        <v>302</v>
      </c>
      <c r="Q42" s="13"/>
      <c r="R42" s="13"/>
      <c r="S42" s="13"/>
      <c r="T42" s="13" t="s">
        <v>279</v>
      </c>
      <c r="U42" s="15" t="s">
        <v>93</v>
      </c>
    </row>
    <row r="43" spans="1:21" ht="43.5" x14ac:dyDescent="0.35">
      <c r="A43" s="13" t="s">
        <v>64</v>
      </c>
      <c r="B43" s="13" t="s">
        <v>65</v>
      </c>
      <c r="C43" s="14">
        <v>44225.390277777777</v>
      </c>
      <c r="D43" s="13" t="s">
        <v>175</v>
      </c>
      <c r="E43" s="13" t="s">
        <v>288</v>
      </c>
      <c r="F43" s="15" t="s">
        <v>95</v>
      </c>
      <c r="G43" s="13" t="s">
        <v>301</v>
      </c>
      <c r="H43" s="14">
        <v>44197</v>
      </c>
      <c r="I43" s="14"/>
      <c r="J43" s="15"/>
      <c r="K43" s="15"/>
      <c r="L43" s="13" t="s">
        <v>290</v>
      </c>
      <c r="M43" s="15"/>
      <c r="N43" s="13"/>
      <c r="O43" s="13"/>
      <c r="P43" s="13" t="s">
        <v>302</v>
      </c>
      <c r="Q43" s="13"/>
      <c r="R43" s="13"/>
      <c r="S43" s="13"/>
      <c r="T43" s="13" t="s">
        <v>279</v>
      </c>
      <c r="U43" s="15" t="s">
        <v>95</v>
      </c>
    </row>
    <row r="44" spans="1:21" x14ac:dyDescent="0.35">
      <c r="A44" s="13" t="s">
        <v>64</v>
      </c>
      <c r="B44" s="13" t="s">
        <v>65</v>
      </c>
      <c r="C44" s="14">
        <v>44225.392361111109</v>
      </c>
      <c r="D44" s="13" t="s">
        <v>176</v>
      </c>
      <c r="E44" s="13" t="s">
        <v>288</v>
      </c>
      <c r="F44" s="15" t="s">
        <v>97</v>
      </c>
      <c r="G44" s="13" t="s">
        <v>301</v>
      </c>
      <c r="H44" s="14">
        <v>44197</v>
      </c>
      <c r="I44" s="14"/>
      <c r="J44" s="15"/>
      <c r="K44" s="15"/>
      <c r="L44" s="13" t="s">
        <v>290</v>
      </c>
      <c r="M44" s="15"/>
      <c r="N44" s="13"/>
      <c r="O44" s="13"/>
      <c r="P44" s="13" t="s">
        <v>302</v>
      </c>
      <c r="Q44" s="13"/>
      <c r="R44" s="13"/>
      <c r="S44" s="13"/>
      <c r="T44" s="13" t="s">
        <v>279</v>
      </c>
      <c r="U44" s="15" t="s">
        <v>97</v>
      </c>
    </row>
    <row r="45" spans="1:21" ht="29" x14ac:dyDescent="0.35">
      <c r="A45" s="13" t="s">
        <v>64</v>
      </c>
      <c r="B45" s="13" t="s">
        <v>65</v>
      </c>
      <c r="C45" s="14">
        <v>44225.392361111109</v>
      </c>
      <c r="D45" s="13" t="s">
        <v>177</v>
      </c>
      <c r="E45" s="13" t="s">
        <v>288</v>
      </c>
      <c r="F45" s="15" t="s">
        <v>99</v>
      </c>
      <c r="G45" s="13" t="s">
        <v>301</v>
      </c>
      <c r="H45" s="14">
        <v>44197</v>
      </c>
      <c r="I45" s="14"/>
      <c r="J45" s="15"/>
      <c r="K45" s="15"/>
      <c r="L45" s="13" t="s">
        <v>290</v>
      </c>
      <c r="M45" s="15"/>
      <c r="N45" s="13"/>
      <c r="O45" s="13"/>
      <c r="P45" s="13" t="s">
        <v>302</v>
      </c>
      <c r="Q45" s="13"/>
      <c r="R45" s="13"/>
      <c r="S45" s="13"/>
      <c r="T45" s="13" t="s">
        <v>279</v>
      </c>
      <c r="U45" s="15" t="s">
        <v>99</v>
      </c>
    </row>
    <row r="46" spans="1:21" ht="43.5" x14ac:dyDescent="0.35">
      <c r="A46" s="13" t="s">
        <v>64</v>
      </c>
      <c r="B46" s="13" t="s">
        <v>65</v>
      </c>
      <c r="C46" s="14">
        <v>44225.392361111109</v>
      </c>
      <c r="D46" s="13" t="s">
        <v>178</v>
      </c>
      <c r="E46" s="13" t="s">
        <v>288</v>
      </c>
      <c r="F46" s="15" t="s">
        <v>101</v>
      </c>
      <c r="G46" s="13" t="s">
        <v>301</v>
      </c>
      <c r="H46" s="14">
        <v>44197</v>
      </c>
      <c r="I46" s="14"/>
      <c r="J46" s="15"/>
      <c r="K46" s="15"/>
      <c r="L46" s="13" t="s">
        <v>290</v>
      </c>
      <c r="M46" s="15"/>
      <c r="N46" s="13"/>
      <c r="O46" s="13"/>
      <c r="P46" s="13" t="s">
        <v>302</v>
      </c>
      <c r="Q46" s="13"/>
      <c r="R46" s="13"/>
      <c r="S46" s="13"/>
      <c r="T46" s="13" t="s">
        <v>279</v>
      </c>
      <c r="U46" s="15" t="s">
        <v>101</v>
      </c>
    </row>
    <row r="47" spans="1:21" ht="72.5" x14ac:dyDescent="0.35">
      <c r="A47" s="13" t="s">
        <v>64</v>
      </c>
      <c r="B47" s="13" t="s">
        <v>65</v>
      </c>
      <c r="C47" s="14">
        <v>44225.392361111109</v>
      </c>
      <c r="D47" s="13" t="s">
        <v>179</v>
      </c>
      <c r="E47" s="13" t="s">
        <v>288</v>
      </c>
      <c r="F47" s="15" t="s">
        <v>103</v>
      </c>
      <c r="G47" s="13" t="s">
        <v>301</v>
      </c>
      <c r="H47" s="14">
        <v>44197</v>
      </c>
      <c r="I47" s="14"/>
      <c r="J47" s="15"/>
      <c r="K47" s="15"/>
      <c r="L47" s="13" t="s">
        <v>290</v>
      </c>
      <c r="M47" s="15"/>
      <c r="N47" s="13"/>
      <c r="O47" s="13"/>
      <c r="P47" s="13" t="s">
        <v>302</v>
      </c>
      <c r="Q47" s="13"/>
      <c r="R47" s="13"/>
      <c r="S47" s="13"/>
      <c r="T47" s="13" t="s">
        <v>279</v>
      </c>
      <c r="U47" s="15" t="s">
        <v>103</v>
      </c>
    </row>
    <row r="48" spans="1:21" ht="58" x14ac:dyDescent="0.35">
      <c r="A48" s="13" t="s">
        <v>64</v>
      </c>
      <c r="B48" s="13" t="s">
        <v>65</v>
      </c>
      <c r="C48" s="14">
        <v>44225.392361111109</v>
      </c>
      <c r="D48" s="13" t="s">
        <v>180</v>
      </c>
      <c r="E48" s="13" t="s">
        <v>288</v>
      </c>
      <c r="F48" s="15" t="s">
        <v>105</v>
      </c>
      <c r="G48" s="13" t="s">
        <v>301</v>
      </c>
      <c r="H48" s="14">
        <v>44197</v>
      </c>
      <c r="I48" s="14"/>
      <c r="J48" s="15"/>
      <c r="K48" s="15"/>
      <c r="L48" s="13" t="s">
        <v>290</v>
      </c>
      <c r="M48" s="15"/>
      <c r="N48" s="13"/>
      <c r="O48" s="13"/>
      <c r="P48" s="13" t="s">
        <v>302</v>
      </c>
      <c r="Q48" s="13"/>
      <c r="R48" s="13"/>
      <c r="S48" s="13"/>
      <c r="T48" s="13" t="s">
        <v>279</v>
      </c>
      <c r="U48" s="15" t="s">
        <v>105</v>
      </c>
    </row>
    <row r="49" spans="1:21" ht="58" x14ac:dyDescent="0.35">
      <c r="A49" s="13" t="s">
        <v>303</v>
      </c>
      <c r="B49" s="13" t="s">
        <v>122</v>
      </c>
      <c r="C49" s="14">
        <v>45777.459027777775</v>
      </c>
      <c r="D49" s="13" t="s">
        <v>181</v>
      </c>
      <c r="E49" s="13" t="s">
        <v>288</v>
      </c>
      <c r="F49" s="15" t="s">
        <v>142</v>
      </c>
      <c r="G49" s="13" t="s">
        <v>304</v>
      </c>
      <c r="H49" s="14">
        <v>44197</v>
      </c>
      <c r="I49" s="14"/>
      <c r="J49" s="15"/>
      <c r="K49" s="15"/>
      <c r="L49" s="13" t="s">
        <v>290</v>
      </c>
      <c r="M49" s="15"/>
      <c r="N49" s="13"/>
      <c r="O49" s="13"/>
      <c r="P49" s="13" t="s">
        <v>302</v>
      </c>
      <c r="Q49" s="13"/>
      <c r="R49" s="13"/>
      <c r="S49" s="13"/>
      <c r="T49" s="13" t="s">
        <v>279</v>
      </c>
      <c r="U49" s="15" t="s">
        <v>142</v>
      </c>
    </row>
    <row r="50" spans="1:21" ht="58" x14ac:dyDescent="0.35">
      <c r="A50" s="13" t="s">
        <v>121</v>
      </c>
      <c r="B50" s="13" t="s">
        <v>122</v>
      </c>
      <c r="C50" s="14">
        <v>44832.467361111114</v>
      </c>
      <c r="D50" s="13" t="s">
        <v>182</v>
      </c>
      <c r="E50" s="13" t="s">
        <v>288</v>
      </c>
      <c r="F50" s="15" t="s">
        <v>144</v>
      </c>
      <c r="G50" s="13" t="s">
        <v>301</v>
      </c>
      <c r="H50" s="14">
        <v>44197</v>
      </c>
      <c r="I50" s="14"/>
      <c r="J50" s="15"/>
      <c r="K50" s="15"/>
      <c r="L50" s="13" t="s">
        <v>290</v>
      </c>
      <c r="M50" s="15"/>
      <c r="N50" s="13"/>
      <c r="O50" s="13"/>
      <c r="P50" s="13" t="s">
        <v>302</v>
      </c>
      <c r="Q50" s="13"/>
      <c r="R50" s="13"/>
      <c r="S50" s="13"/>
      <c r="T50" s="13" t="s">
        <v>279</v>
      </c>
      <c r="U50" s="15" t="s">
        <v>144</v>
      </c>
    </row>
    <row r="51" spans="1:21" ht="43.5" x14ac:dyDescent="0.35">
      <c r="A51" s="13" t="s">
        <v>64</v>
      </c>
      <c r="B51" s="13" t="s">
        <v>65</v>
      </c>
      <c r="C51" s="14">
        <v>44225.392361111109</v>
      </c>
      <c r="D51" s="13" t="s">
        <v>183</v>
      </c>
      <c r="E51" s="13" t="s">
        <v>288</v>
      </c>
      <c r="F51" s="15" t="s">
        <v>111</v>
      </c>
      <c r="G51" s="13" t="s">
        <v>301</v>
      </c>
      <c r="H51" s="14">
        <v>44197</v>
      </c>
      <c r="I51" s="14"/>
      <c r="J51" s="15"/>
      <c r="K51" s="15"/>
      <c r="L51" s="13" t="s">
        <v>290</v>
      </c>
      <c r="M51" s="15"/>
      <c r="N51" s="13"/>
      <c r="O51" s="13"/>
      <c r="P51" s="13" t="s">
        <v>302</v>
      </c>
      <c r="Q51" s="13"/>
      <c r="R51" s="13"/>
      <c r="S51" s="13"/>
      <c r="T51" s="13" t="s">
        <v>279</v>
      </c>
      <c r="U51" s="15" t="s">
        <v>111</v>
      </c>
    </row>
    <row r="52" spans="1:21" s="22" customFormat="1" ht="72.5" x14ac:dyDescent="0.35">
      <c r="A52" s="19" t="s">
        <v>155</v>
      </c>
      <c r="B52" s="19" t="s">
        <v>65</v>
      </c>
      <c r="C52" s="20">
        <v>46014.65347222222</v>
      </c>
      <c r="D52" s="19" t="s">
        <v>159</v>
      </c>
      <c r="E52" s="19" t="s">
        <v>288</v>
      </c>
      <c r="F52" s="21" t="s">
        <v>160</v>
      </c>
      <c r="G52" s="19" t="s">
        <v>305</v>
      </c>
      <c r="H52" s="20">
        <v>45901</v>
      </c>
      <c r="I52" s="20"/>
      <c r="J52" s="21"/>
      <c r="K52" s="21"/>
      <c r="L52" s="19" t="s">
        <v>290</v>
      </c>
      <c r="M52" s="21"/>
      <c r="N52" s="19"/>
      <c r="O52" s="19"/>
      <c r="P52" s="19" t="s">
        <v>306</v>
      </c>
      <c r="Q52" s="19"/>
      <c r="R52" s="19" t="s">
        <v>163</v>
      </c>
      <c r="S52" s="19"/>
      <c r="T52" s="19" t="s">
        <v>279</v>
      </c>
      <c r="U52" s="21" t="s">
        <v>160</v>
      </c>
    </row>
    <row r="53" spans="1:21" s="22" customFormat="1" ht="43.5" x14ac:dyDescent="0.35">
      <c r="A53" s="19" t="s">
        <v>155</v>
      </c>
      <c r="B53" s="19" t="s">
        <v>65</v>
      </c>
      <c r="C53" s="20">
        <v>46002.492361111108</v>
      </c>
      <c r="D53" s="19" t="s">
        <v>161</v>
      </c>
      <c r="E53" s="19" t="s">
        <v>288</v>
      </c>
      <c r="F53" s="21" t="s">
        <v>162</v>
      </c>
      <c r="G53" s="19" t="s">
        <v>307</v>
      </c>
      <c r="H53" s="20">
        <v>45901</v>
      </c>
      <c r="I53" s="20"/>
      <c r="J53" s="21"/>
      <c r="K53" s="21"/>
      <c r="L53" s="19" t="s">
        <v>290</v>
      </c>
      <c r="M53" s="21"/>
      <c r="N53" s="19"/>
      <c r="O53" s="19"/>
      <c r="P53" s="19" t="s">
        <v>306</v>
      </c>
      <c r="Q53" s="19"/>
      <c r="R53" s="19" t="s">
        <v>163</v>
      </c>
      <c r="S53" s="19"/>
      <c r="T53" s="19" t="s">
        <v>279</v>
      </c>
      <c r="U53" s="21" t="s">
        <v>162</v>
      </c>
    </row>
    <row r="54" spans="1:21" ht="58" x14ac:dyDescent="0.35">
      <c r="A54" s="13" t="s">
        <v>303</v>
      </c>
      <c r="B54" s="13" t="s">
        <v>122</v>
      </c>
      <c r="C54" s="14">
        <v>45777.459722222222</v>
      </c>
      <c r="D54" s="13" t="s">
        <v>153</v>
      </c>
      <c r="E54" s="13" t="s">
        <v>288</v>
      </c>
      <c r="F54" s="15" t="s">
        <v>154</v>
      </c>
      <c r="G54" s="13" t="s">
        <v>304</v>
      </c>
      <c r="H54" s="14">
        <v>44678</v>
      </c>
      <c r="I54" s="14"/>
      <c r="J54" s="15"/>
      <c r="K54" s="15"/>
      <c r="L54" s="13" t="s">
        <v>290</v>
      </c>
      <c r="M54" s="15"/>
      <c r="N54" s="13"/>
      <c r="O54" s="13"/>
      <c r="P54" s="13" t="s">
        <v>300</v>
      </c>
      <c r="Q54" s="13"/>
      <c r="R54" s="13"/>
      <c r="S54" s="13"/>
      <c r="T54" s="13" t="s">
        <v>279</v>
      </c>
      <c r="U54" s="15" t="s">
        <v>154</v>
      </c>
    </row>
    <row r="55" spans="1:21" ht="58" x14ac:dyDescent="0.35">
      <c r="A55" s="13" t="s">
        <v>303</v>
      </c>
      <c r="B55" s="13" t="s">
        <v>122</v>
      </c>
      <c r="C55" s="14">
        <v>45824.6875</v>
      </c>
      <c r="D55" s="13" t="s">
        <v>185</v>
      </c>
      <c r="E55" s="13" t="s">
        <v>288</v>
      </c>
      <c r="F55" s="15" t="s">
        <v>154</v>
      </c>
      <c r="G55" s="13" t="s">
        <v>308</v>
      </c>
      <c r="H55" s="14">
        <v>44678</v>
      </c>
      <c r="I55" s="14"/>
      <c r="J55" s="15"/>
      <c r="K55" s="15"/>
      <c r="L55" s="13" t="s">
        <v>290</v>
      </c>
      <c r="M55" s="15"/>
      <c r="N55" s="13"/>
      <c r="O55" s="13"/>
      <c r="P55" s="13" t="s">
        <v>302</v>
      </c>
      <c r="Q55" s="13"/>
      <c r="R55" s="13"/>
      <c r="S55" s="13"/>
      <c r="T55" s="13" t="s">
        <v>279</v>
      </c>
      <c r="U55" s="15" t="s">
        <v>154</v>
      </c>
    </row>
    <row r="56" spans="1:21" s="22" customFormat="1" ht="29" x14ac:dyDescent="0.35">
      <c r="A56" s="19" t="s">
        <v>155</v>
      </c>
      <c r="B56" s="19" t="s">
        <v>65</v>
      </c>
      <c r="C56" s="20">
        <v>45917.650694444441</v>
      </c>
      <c r="D56" s="19" t="s">
        <v>191</v>
      </c>
      <c r="E56" s="19" t="s">
        <v>288</v>
      </c>
      <c r="F56" s="21" t="s">
        <v>192</v>
      </c>
      <c r="G56" s="19" t="s">
        <v>309</v>
      </c>
      <c r="H56" s="20">
        <v>45689</v>
      </c>
      <c r="I56" s="20"/>
      <c r="J56" s="21"/>
      <c r="K56" s="21"/>
      <c r="L56" s="19" t="s">
        <v>290</v>
      </c>
      <c r="M56" s="21"/>
      <c r="N56" s="19"/>
      <c r="O56" s="19"/>
      <c r="P56" s="19" t="s">
        <v>310</v>
      </c>
      <c r="Q56" s="19"/>
      <c r="R56" s="19" t="s">
        <v>218</v>
      </c>
      <c r="S56" s="19"/>
      <c r="T56" s="19" t="s">
        <v>279</v>
      </c>
      <c r="U56" s="21" t="s">
        <v>192</v>
      </c>
    </row>
    <row r="57" spans="1:21" s="22" customFormat="1" ht="29" x14ac:dyDescent="0.35">
      <c r="A57" s="19" t="s">
        <v>155</v>
      </c>
      <c r="B57" s="19" t="s">
        <v>65</v>
      </c>
      <c r="C57" s="20">
        <v>45917.663194444445</v>
      </c>
      <c r="D57" s="19" t="s">
        <v>193</v>
      </c>
      <c r="E57" s="19" t="s">
        <v>288</v>
      </c>
      <c r="F57" s="21" t="s">
        <v>194</v>
      </c>
      <c r="G57" s="19" t="s">
        <v>311</v>
      </c>
      <c r="H57" s="20">
        <v>45689</v>
      </c>
      <c r="I57" s="20"/>
      <c r="J57" s="21"/>
      <c r="K57" s="21"/>
      <c r="L57" s="19" t="s">
        <v>290</v>
      </c>
      <c r="M57" s="21"/>
      <c r="N57" s="19"/>
      <c r="O57" s="19"/>
      <c r="P57" s="19" t="s">
        <v>312</v>
      </c>
      <c r="Q57" s="19"/>
      <c r="R57" s="19" t="s">
        <v>218</v>
      </c>
      <c r="S57" s="19"/>
      <c r="T57" s="19" t="s">
        <v>279</v>
      </c>
      <c r="U57" s="21" t="s">
        <v>194</v>
      </c>
    </row>
    <row r="58" spans="1:21" s="22" customFormat="1" ht="72.5" x14ac:dyDescent="0.35">
      <c r="A58" s="19" t="s">
        <v>155</v>
      </c>
      <c r="B58" s="19" t="s">
        <v>65</v>
      </c>
      <c r="C58" s="20">
        <v>45917.673611111109</v>
      </c>
      <c r="D58" s="19" t="s">
        <v>195</v>
      </c>
      <c r="E58" s="19" t="s">
        <v>288</v>
      </c>
      <c r="F58" s="21" t="s">
        <v>196</v>
      </c>
      <c r="G58" s="19" t="s">
        <v>311</v>
      </c>
      <c r="H58" s="20">
        <v>45689</v>
      </c>
      <c r="I58" s="20"/>
      <c r="J58" s="21"/>
      <c r="K58" s="21"/>
      <c r="L58" s="19" t="s">
        <v>290</v>
      </c>
      <c r="M58" s="21"/>
      <c r="N58" s="19"/>
      <c r="O58" s="19"/>
      <c r="P58" s="19" t="s">
        <v>312</v>
      </c>
      <c r="Q58" s="19"/>
      <c r="R58" s="19" t="s">
        <v>218</v>
      </c>
      <c r="S58" s="19"/>
      <c r="T58" s="19" t="s">
        <v>279</v>
      </c>
      <c r="U58" s="21" t="s">
        <v>196</v>
      </c>
    </row>
    <row r="59" spans="1:21" s="22" customFormat="1" ht="43.5" x14ac:dyDescent="0.35">
      <c r="A59" s="19" t="s">
        <v>155</v>
      </c>
      <c r="B59" s="19" t="s">
        <v>65</v>
      </c>
      <c r="C59" s="20">
        <v>45917.677083333336</v>
      </c>
      <c r="D59" s="19" t="s">
        <v>197</v>
      </c>
      <c r="E59" s="19" t="s">
        <v>288</v>
      </c>
      <c r="F59" s="21" t="s">
        <v>198</v>
      </c>
      <c r="G59" s="19" t="s">
        <v>313</v>
      </c>
      <c r="H59" s="20">
        <v>45689</v>
      </c>
      <c r="I59" s="20"/>
      <c r="J59" s="21"/>
      <c r="K59" s="21"/>
      <c r="L59" s="19" t="s">
        <v>290</v>
      </c>
      <c r="M59" s="21"/>
      <c r="N59" s="19"/>
      <c r="O59" s="19"/>
      <c r="P59" s="19" t="s">
        <v>312</v>
      </c>
      <c r="Q59" s="19"/>
      <c r="R59" s="19" t="s">
        <v>218</v>
      </c>
      <c r="S59" s="19"/>
      <c r="T59" s="19" t="s">
        <v>279</v>
      </c>
      <c r="U59" s="21" t="s">
        <v>198</v>
      </c>
    </row>
    <row r="60" spans="1:21" s="22" customFormat="1" ht="58" x14ac:dyDescent="0.35">
      <c r="A60" s="19" t="s">
        <v>155</v>
      </c>
      <c r="B60" s="19" t="s">
        <v>65</v>
      </c>
      <c r="C60" s="20">
        <v>45922.643750000003</v>
      </c>
      <c r="D60" s="19" t="s">
        <v>199</v>
      </c>
      <c r="E60" s="19" t="s">
        <v>288</v>
      </c>
      <c r="F60" s="21" t="s">
        <v>200</v>
      </c>
      <c r="G60" s="19" t="s">
        <v>313</v>
      </c>
      <c r="H60" s="20">
        <v>45689</v>
      </c>
      <c r="I60" s="20"/>
      <c r="J60" s="21"/>
      <c r="K60" s="21"/>
      <c r="L60" s="19" t="s">
        <v>290</v>
      </c>
      <c r="M60" s="21"/>
      <c r="N60" s="19"/>
      <c r="O60" s="19"/>
      <c r="P60" s="19" t="s">
        <v>312</v>
      </c>
      <c r="Q60" s="19"/>
      <c r="R60" s="19" t="s">
        <v>218</v>
      </c>
      <c r="S60" s="19"/>
      <c r="T60" s="19" t="s">
        <v>279</v>
      </c>
      <c r="U60" s="21" t="s">
        <v>200</v>
      </c>
    </row>
    <row r="61" spans="1:21" s="22" customFormat="1" ht="43.5" x14ac:dyDescent="0.35">
      <c r="A61" s="19" t="s">
        <v>155</v>
      </c>
      <c r="B61" s="19" t="s">
        <v>65</v>
      </c>
      <c r="C61" s="20">
        <v>45922.575694444444</v>
      </c>
      <c r="D61" s="19" t="s">
        <v>201</v>
      </c>
      <c r="E61" s="19" t="s">
        <v>288</v>
      </c>
      <c r="F61" s="21" t="s">
        <v>202</v>
      </c>
      <c r="G61" s="19" t="s">
        <v>313</v>
      </c>
      <c r="H61" s="20">
        <v>45689</v>
      </c>
      <c r="I61" s="20"/>
      <c r="J61" s="21"/>
      <c r="K61" s="21"/>
      <c r="L61" s="19" t="s">
        <v>290</v>
      </c>
      <c r="M61" s="21"/>
      <c r="N61" s="19"/>
      <c r="O61" s="19"/>
      <c r="P61" s="19" t="s">
        <v>312</v>
      </c>
      <c r="Q61" s="19"/>
      <c r="R61" s="19" t="s">
        <v>218</v>
      </c>
      <c r="S61" s="19"/>
      <c r="T61" s="19" t="s">
        <v>279</v>
      </c>
      <c r="U61" s="21" t="s">
        <v>202</v>
      </c>
    </row>
    <row r="62" spans="1:21" s="22" customFormat="1" ht="87" x14ac:dyDescent="0.35">
      <c r="A62" s="19" t="s">
        <v>155</v>
      </c>
      <c r="B62" s="19" t="s">
        <v>65</v>
      </c>
      <c r="C62" s="20">
        <v>45917.680555555555</v>
      </c>
      <c r="D62" s="19" t="s">
        <v>203</v>
      </c>
      <c r="E62" s="19" t="s">
        <v>288</v>
      </c>
      <c r="F62" s="21" t="s">
        <v>204</v>
      </c>
      <c r="G62" s="19" t="s">
        <v>314</v>
      </c>
      <c r="H62" s="20">
        <v>45689</v>
      </c>
      <c r="I62" s="20"/>
      <c r="J62" s="21"/>
      <c r="K62" s="21"/>
      <c r="L62" s="19" t="s">
        <v>290</v>
      </c>
      <c r="M62" s="21"/>
      <c r="N62" s="19"/>
      <c r="O62" s="19"/>
      <c r="P62" s="19" t="s">
        <v>312</v>
      </c>
      <c r="Q62" s="19"/>
      <c r="R62" s="19" t="s">
        <v>218</v>
      </c>
      <c r="S62" s="19"/>
      <c r="T62" s="19" t="s">
        <v>279</v>
      </c>
      <c r="U62" s="21" t="s">
        <v>204</v>
      </c>
    </row>
    <row r="63" spans="1:21" s="22" customFormat="1" ht="43.5" x14ac:dyDescent="0.35">
      <c r="A63" s="19" t="s">
        <v>155</v>
      </c>
      <c r="B63" s="19" t="s">
        <v>65</v>
      </c>
      <c r="C63" s="20">
        <v>45917.681944444441</v>
      </c>
      <c r="D63" s="19" t="s">
        <v>205</v>
      </c>
      <c r="E63" s="19" t="s">
        <v>288</v>
      </c>
      <c r="F63" s="21" t="s">
        <v>206</v>
      </c>
      <c r="G63" s="19" t="s">
        <v>315</v>
      </c>
      <c r="H63" s="20">
        <v>45689</v>
      </c>
      <c r="I63" s="20"/>
      <c r="J63" s="21"/>
      <c r="K63" s="21"/>
      <c r="L63" s="19" t="s">
        <v>290</v>
      </c>
      <c r="M63" s="21"/>
      <c r="N63" s="19"/>
      <c r="O63" s="19"/>
      <c r="P63" s="19" t="s">
        <v>312</v>
      </c>
      <c r="Q63" s="19"/>
      <c r="R63" s="19" t="s">
        <v>218</v>
      </c>
      <c r="S63" s="19"/>
      <c r="T63" s="19" t="s">
        <v>279</v>
      </c>
      <c r="U63" s="21" t="s">
        <v>206</v>
      </c>
    </row>
    <row r="64" spans="1:21" s="22" customFormat="1" ht="43.5" x14ac:dyDescent="0.35">
      <c r="A64" s="19" t="s">
        <v>155</v>
      </c>
      <c r="B64" s="19" t="s">
        <v>65</v>
      </c>
      <c r="C64" s="20">
        <v>45917.683333333334</v>
      </c>
      <c r="D64" s="19" t="s">
        <v>207</v>
      </c>
      <c r="E64" s="19" t="s">
        <v>288</v>
      </c>
      <c r="F64" s="21" t="s">
        <v>208</v>
      </c>
      <c r="G64" s="19" t="s">
        <v>315</v>
      </c>
      <c r="H64" s="20">
        <v>45689</v>
      </c>
      <c r="I64" s="20"/>
      <c r="J64" s="21"/>
      <c r="K64" s="21"/>
      <c r="L64" s="19" t="s">
        <v>290</v>
      </c>
      <c r="M64" s="21"/>
      <c r="N64" s="19"/>
      <c r="O64" s="19"/>
      <c r="P64" s="19" t="s">
        <v>312</v>
      </c>
      <c r="Q64" s="19"/>
      <c r="R64" s="19" t="s">
        <v>218</v>
      </c>
      <c r="S64" s="19"/>
      <c r="T64" s="19" t="s">
        <v>279</v>
      </c>
      <c r="U64" s="21" t="s">
        <v>208</v>
      </c>
    </row>
    <row r="65" spans="1:21" s="22" customFormat="1" ht="58" x14ac:dyDescent="0.35">
      <c r="A65" s="19" t="s">
        <v>155</v>
      </c>
      <c r="B65" s="19" t="s">
        <v>65</v>
      </c>
      <c r="C65" s="20">
        <v>45917.684027777781</v>
      </c>
      <c r="D65" s="19" t="s">
        <v>209</v>
      </c>
      <c r="E65" s="19" t="s">
        <v>288</v>
      </c>
      <c r="F65" s="21" t="s">
        <v>210</v>
      </c>
      <c r="G65" s="19" t="s">
        <v>315</v>
      </c>
      <c r="H65" s="20">
        <v>45689</v>
      </c>
      <c r="I65" s="20"/>
      <c r="J65" s="21"/>
      <c r="K65" s="21"/>
      <c r="L65" s="19" t="s">
        <v>290</v>
      </c>
      <c r="M65" s="21"/>
      <c r="N65" s="19"/>
      <c r="O65" s="19"/>
      <c r="P65" s="19" t="s">
        <v>312</v>
      </c>
      <c r="Q65" s="19"/>
      <c r="R65" s="19" t="s">
        <v>218</v>
      </c>
      <c r="S65" s="19"/>
      <c r="T65" s="19" t="s">
        <v>279</v>
      </c>
      <c r="U65" s="21" t="s">
        <v>210</v>
      </c>
    </row>
    <row r="66" spans="1:21" s="22" customFormat="1" ht="29" x14ac:dyDescent="0.35">
      <c r="A66" s="19" t="s">
        <v>155</v>
      </c>
      <c r="B66" s="19" t="s">
        <v>65</v>
      </c>
      <c r="C66" s="20">
        <v>45917.685416666667</v>
      </c>
      <c r="D66" s="19" t="s">
        <v>211</v>
      </c>
      <c r="E66" s="19" t="s">
        <v>288</v>
      </c>
      <c r="F66" s="21" t="s">
        <v>93</v>
      </c>
      <c r="G66" s="19" t="s">
        <v>315</v>
      </c>
      <c r="H66" s="20">
        <v>45689</v>
      </c>
      <c r="I66" s="20"/>
      <c r="J66" s="21"/>
      <c r="K66" s="21"/>
      <c r="L66" s="19" t="s">
        <v>290</v>
      </c>
      <c r="M66" s="21"/>
      <c r="N66" s="19"/>
      <c r="O66" s="19"/>
      <c r="P66" s="19" t="s">
        <v>312</v>
      </c>
      <c r="Q66" s="19"/>
      <c r="R66" s="19" t="s">
        <v>218</v>
      </c>
      <c r="S66" s="19"/>
      <c r="T66" s="19" t="s">
        <v>279</v>
      </c>
      <c r="U66" s="21" t="s">
        <v>93</v>
      </c>
    </row>
    <row r="67" spans="1:21" s="22" customFormat="1" ht="43.5" x14ac:dyDescent="0.35">
      <c r="A67" s="19" t="s">
        <v>155</v>
      </c>
      <c r="B67" s="19" t="s">
        <v>65</v>
      </c>
      <c r="C67" s="20">
        <v>45917.686111111114</v>
      </c>
      <c r="D67" s="19" t="s">
        <v>212</v>
      </c>
      <c r="E67" s="19" t="s">
        <v>288</v>
      </c>
      <c r="F67" s="21" t="s">
        <v>213</v>
      </c>
      <c r="G67" s="19" t="s">
        <v>315</v>
      </c>
      <c r="H67" s="20">
        <v>45689</v>
      </c>
      <c r="I67" s="20"/>
      <c r="J67" s="21"/>
      <c r="K67" s="21"/>
      <c r="L67" s="19" t="s">
        <v>290</v>
      </c>
      <c r="M67" s="21"/>
      <c r="N67" s="19"/>
      <c r="O67" s="19"/>
      <c r="P67" s="19" t="s">
        <v>312</v>
      </c>
      <c r="Q67" s="19"/>
      <c r="R67" s="19" t="s">
        <v>218</v>
      </c>
      <c r="S67" s="19"/>
      <c r="T67" s="19" t="s">
        <v>279</v>
      </c>
      <c r="U67" s="21" t="s">
        <v>213</v>
      </c>
    </row>
    <row r="68" spans="1:21" s="22" customFormat="1" ht="29" x14ac:dyDescent="0.35">
      <c r="A68" s="19" t="s">
        <v>155</v>
      </c>
      <c r="B68" s="19" t="s">
        <v>65</v>
      </c>
      <c r="C68" s="20">
        <v>45917.686805555553</v>
      </c>
      <c r="D68" s="19" t="s">
        <v>214</v>
      </c>
      <c r="E68" s="19" t="s">
        <v>288</v>
      </c>
      <c r="F68" s="21" t="s">
        <v>97</v>
      </c>
      <c r="G68" s="19" t="s">
        <v>315</v>
      </c>
      <c r="H68" s="20">
        <v>45689</v>
      </c>
      <c r="I68" s="20"/>
      <c r="J68" s="21"/>
      <c r="K68" s="21"/>
      <c r="L68" s="19" t="s">
        <v>290</v>
      </c>
      <c r="M68" s="21"/>
      <c r="N68" s="19"/>
      <c r="O68" s="19"/>
      <c r="P68" s="19" t="s">
        <v>312</v>
      </c>
      <c r="Q68" s="19"/>
      <c r="R68" s="19" t="s">
        <v>218</v>
      </c>
      <c r="S68" s="19"/>
      <c r="T68" s="19" t="s">
        <v>279</v>
      </c>
      <c r="U68" s="21" t="s">
        <v>97</v>
      </c>
    </row>
    <row r="69" spans="1:21" s="22" customFormat="1" ht="29" x14ac:dyDescent="0.35">
      <c r="A69" s="19" t="s">
        <v>155</v>
      </c>
      <c r="B69" s="19" t="s">
        <v>65</v>
      </c>
      <c r="C69" s="20">
        <v>45917.688194444447</v>
      </c>
      <c r="D69" s="19" t="s">
        <v>215</v>
      </c>
      <c r="E69" s="19" t="s">
        <v>288</v>
      </c>
      <c r="F69" s="21" t="s">
        <v>99</v>
      </c>
      <c r="G69" s="19" t="s">
        <v>315</v>
      </c>
      <c r="H69" s="20">
        <v>45689</v>
      </c>
      <c r="I69" s="20"/>
      <c r="J69" s="21"/>
      <c r="K69" s="21"/>
      <c r="L69" s="19" t="s">
        <v>290</v>
      </c>
      <c r="M69" s="21"/>
      <c r="N69" s="19"/>
      <c r="O69" s="19"/>
      <c r="P69" s="19" t="s">
        <v>312</v>
      </c>
      <c r="Q69" s="19"/>
      <c r="R69" s="19" t="s">
        <v>218</v>
      </c>
      <c r="S69" s="19"/>
      <c r="T69" s="19" t="s">
        <v>279</v>
      </c>
      <c r="U69" s="21" t="s">
        <v>99</v>
      </c>
    </row>
    <row r="70" spans="1:21" s="22" customFormat="1" ht="43.5" x14ac:dyDescent="0.35">
      <c r="A70" s="19" t="s">
        <v>155</v>
      </c>
      <c r="B70" s="19" t="s">
        <v>65</v>
      </c>
      <c r="C70" s="20">
        <v>45917.688888888886</v>
      </c>
      <c r="D70" s="19" t="s">
        <v>216</v>
      </c>
      <c r="E70" s="19" t="s">
        <v>288</v>
      </c>
      <c r="F70" s="21" t="s">
        <v>217</v>
      </c>
      <c r="G70" s="19" t="s">
        <v>315</v>
      </c>
      <c r="H70" s="20">
        <v>45689</v>
      </c>
      <c r="I70" s="20"/>
      <c r="J70" s="21"/>
      <c r="K70" s="21"/>
      <c r="L70" s="19" t="s">
        <v>290</v>
      </c>
      <c r="M70" s="21"/>
      <c r="N70" s="19"/>
      <c r="O70" s="19"/>
      <c r="P70" s="19" t="s">
        <v>312</v>
      </c>
      <c r="Q70" s="19"/>
      <c r="R70" s="19" t="s">
        <v>218</v>
      </c>
      <c r="S70" s="19"/>
      <c r="T70" s="19" t="s">
        <v>279</v>
      </c>
      <c r="U70" s="21" t="s">
        <v>217</v>
      </c>
    </row>
    <row r="71" spans="1:21" s="22" customFormat="1" ht="58" x14ac:dyDescent="0.35">
      <c r="A71" s="19" t="s">
        <v>155</v>
      </c>
      <c r="B71" s="19" t="s">
        <v>65</v>
      </c>
      <c r="C71" s="20">
        <v>45985.57708333333</v>
      </c>
      <c r="D71" s="19" t="s">
        <v>226</v>
      </c>
      <c r="E71" s="19" t="s">
        <v>288</v>
      </c>
      <c r="F71" s="21" t="s">
        <v>227</v>
      </c>
      <c r="G71" s="19" t="s">
        <v>309</v>
      </c>
      <c r="H71" s="20">
        <v>45689</v>
      </c>
      <c r="I71" s="20"/>
      <c r="J71" s="21"/>
      <c r="K71" s="21"/>
      <c r="L71" s="19" t="s">
        <v>290</v>
      </c>
      <c r="M71" s="21"/>
      <c r="N71" s="19"/>
      <c r="O71" s="19"/>
      <c r="P71" s="19" t="s">
        <v>316</v>
      </c>
      <c r="Q71" s="19"/>
      <c r="R71" s="19" t="s">
        <v>218</v>
      </c>
      <c r="S71" s="19"/>
      <c r="T71" s="19" t="s">
        <v>279</v>
      </c>
      <c r="U71" s="21" t="s">
        <v>227</v>
      </c>
    </row>
    <row r="72" spans="1:21" s="22" customFormat="1" ht="58" x14ac:dyDescent="0.35">
      <c r="A72" s="19" t="s">
        <v>155</v>
      </c>
      <c r="B72" s="19" t="s">
        <v>65</v>
      </c>
      <c r="C72" s="20">
        <v>45917.693055555559</v>
      </c>
      <c r="D72" s="19" t="s">
        <v>228</v>
      </c>
      <c r="E72" s="19" t="s">
        <v>288</v>
      </c>
      <c r="F72" s="21" t="s">
        <v>229</v>
      </c>
      <c r="G72" s="19" t="s">
        <v>317</v>
      </c>
      <c r="H72" s="20">
        <v>45689</v>
      </c>
      <c r="I72" s="20"/>
      <c r="J72" s="21"/>
      <c r="K72" s="21"/>
      <c r="L72" s="19" t="s">
        <v>290</v>
      </c>
      <c r="M72" s="21"/>
      <c r="N72" s="19"/>
      <c r="O72" s="19"/>
      <c r="P72" s="19" t="s">
        <v>316</v>
      </c>
      <c r="Q72" s="19"/>
      <c r="R72" s="19" t="s">
        <v>218</v>
      </c>
      <c r="S72" s="19"/>
      <c r="T72" s="19" t="s">
        <v>279</v>
      </c>
      <c r="U72" s="21" t="s">
        <v>229</v>
      </c>
    </row>
    <row r="73" spans="1:21" s="22" customFormat="1" ht="58" x14ac:dyDescent="0.35">
      <c r="A73" s="19" t="s">
        <v>155</v>
      </c>
      <c r="B73" s="19" t="s">
        <v>65</v>
      </c>
      <c r="C73" s="20">
        <v>45917.693749999999</v>
      </c>
      <c r="D73" s="19" t="s">
        <v>230</v>
      </c>
      <c r="E73" s="19" t="s">
        <v>288</v>
      </c>
      <c r="F73" s="21" t="s">
        <v>231</v>
      </c>
      <c r="G73" s="19" t="s">
        <v>309</v>
      </c>
      <c r="H73" s="20">
        <v>45689</v>
      </c>
      <c r="I73" s="20"/>
      <c r="J73" s="21"/>
      <c r="K73" s="21"/>
      <c r="L73" s="19" t="s">
        <v>290</v>
      </c>
      <c r="M73" s="21"/>
      <c r="N73" s="19"/>
      <c r="O73" s="19"/>
      <c r="P73" s="19" t="s">
        <v>316</v>
      </c>
      <c r="Q73" s="19"/>
      <c r="R73" s="19" t="s">
        <v>218</v>
      </c>
      <c r="S73" s="19"/>
      <c r="T73" s="19" t="s">
        <v>279</v>
      </c>
      <c r="U73" s="21" t="s">
        <v>231</v>
      </c>
    </row>
    <row r="74" spans="1:21" s="22" customFormat="1" ht="87" x14ac:dyDescent="0.35">
      <c r="A74" s="19" t="s">
        <v>155</v>
      </c>
      <c r="B74" s="19" t="s">
        <v>65</v>
      </c>
      <c r="C74" s="20">
        <v>45922.575694444444</v>
      </c>
      <c r="D74" s="19" t="s">
        <v>232</v>
      </c>
      <c r="E74" s="19" t="s">
        <v>288</v>
      </c>
      <c r="F74" s="21" t="s">
        <v>233</v>
      </c>
      <c r="G74" s="19" t="s">
        <v>318</v>
      </c>
      <c r="H74" s="20">
        <v>45689</v>
      </c>
      <c r="I74" s="20"/>
      <c r="J74" s="21"/>
      <c r="K74" s="21"/>
      <c r="L74" s="19" t="s">
        <v>290</v>
      </c>
      <c r="M74" s="21"/>
      <c r="N74" s="19"/>
      <c r="O74" s="19"/>
      <c r="P74" s="19" t="s">
        <v>316</v>
      </c>
      <c r="Q74" s="19"/>
      <c r="R74" s="19" t="s">
        <v>218</v>
      </c>
      <c r="S74" s="19"/>
      <c r="T74" s="19" t="s">
        <v>279</v>
      </c>
      <c r="U74" s="21" t="s">
        <v>233</v>
      </c>
    </row>
    <row r="75" spans="1:21" s="22" customFormat="1" ht="58" x14ac:dyDescent="0.35">
      <c r="A75" s="19" t="s">
        <v>155</v>
      </c>
      <c r="B75" s="19" t="s">
        <v>65</v>
      </c>
      <c r="C75" s="20">
        <v>45917.696527777778</v>
      </c>
      <c r="D75" s="19" t="s">
        <v>234</v>
      </c>
      <c r="E75" s="19" t="s">
        <v>288</v>
      </c>
      <c r="F75" s="21" t="s">
        <v>235</v>
      </c>
      <c r="G75" s="19" t="s">
        <v>319</v>
      </c>
      <c r="H75" s="20">
        <v>45689</v>
      </c>
      <c r="I75" s="20"/>
      <c r="J75" s="21"/>
      <c r="K75" s="21"/>
      <c r="L75" s="19" t="s">
        <v>290</v>
      </c>
      <c r="M75" s="21"/>
      <c r="N75" s="19"/>
      <c r="O75" s="19"/>
      <c r="P75" s="19" t="s">
        <v>316</v>
      </c>
      <c r="Q75" s="19"/>
      <c r="R75" s="19" t="s">
        <v>218</v>
      </c>
      <c r="S75" s="19"/>
      <c r="T75" s="19" t="s">
        <v>279</v>
      </c>
      <c r="U75" s="21" t="s">
        <v>235</v>
      </c>
    </row>
    <row r="76" spans="1:21" s="22" customFormat="1" ht="43.5" x14ac:dyDescent="0.35">
      <c r="A76" s="19" t="s">
        <v>155</v>
      </c>
      <c r="B76" s="19" t="s">
        <v>65</v>
      </c>
      <c r="C76" s="20">
        <v>45917.697222222225</v>
      </c>
      <c r="D76" s="19" t="s">
        <v>236</v>
      </c>
      <c r="E76" s="19" t="s">
        <v>288</v>
      </c>
      <c r="F76" s="21" t="s">
        <v>237</v>
      </c>
      <c r="G76" s="19" t="s">
        <v>319</v>
      </c>
      <c r="H76" s="20">
        <v>45689</v>
      </c>
      <c r="I76" s="20"/>
      <c r="J76" s="21"/>
      <c r="K76" s="21"/>
      <c r="L76" s="19" t="s">
        <v>290</v>
      </c>
      <c r="M76" s="21"/>
      <c r="N76" s="19"/>
      <c r="O76" s="19"/>
      <c r="P76" s="19" t="s">
        <v>316</v>
      </c>
      <c r="Q76" s="19"/>
      <c r="R76" s="19" t="s">
        <v>218</v>
      </c>
      <c r="S76" s="19"/>
      <c r="T76" s="19" t="s">
        <v>279</v>
      </c>
      <c r="U76" s="21" t="s">
        <v>237</v>
      </c>
    </row>
    <row r="77" spans="1:21" s="22" customFormat="1" ht="58" x14ac:dyDescent="0.35">
      <c r="A77" s="19" t="s">
        <v>155</v>
      </c>
      <c r="B77" s="19" t="s">
        <v>65</v>
      </c>
      <c r="C77" s="20">
        <v>45917.7</v>
      </c>
      <c r="D77" s="19" t="s">
        <v>238</v>
      </c>
      <c r="E77" s="19" t="s">
        <v>288</v>
      </c>
      <c r="F77" s="21" t="s">
        <v>239</v>
      </c>
      <c r="G77" s="19" t="s">
        <v>319</v>
      </c>
      <c r="H77" s="20">
        <v>45689</v>
      </c>
      <c r="I77" s="20"/>
      <c r="J77" s="21"/>
      <c r="K77" s="21"/>
      <c r="L77" s="19" t="s">
        <v>290</v>
      </c>
      <c r="M77" s="21"/>
      <c r="N77" s="19"/>
      <c r="O77" s="19"/>
      <c r="P77" s="19" t="s">
        <v>316</v>
      </c>
      <c r="Q77" s="19"/>
      <c r="R77" s="19" t="s">
        <v>218</v>
      </c>
      <c r="S77" s="19"/>
      <c r="T77" s="19" t="s">
        <v>279</v>
      </c>
      <c r="U77" s="21" t="s">
        <v>239</v>
      </c>
    </row>
    <row r="78" spans="1:21" s="22" customFormat="1" ht="43.5" x14ac:dyDescent="0.35">
      <c r="A78" s="19" t="s">
        <v>155</v>
      </c>
      <c r="B78" s="19" t="s">
        <v>65</v>
      </c>
      <c r="C78" s="20">
        <v>45917.700694444444</v>
      </c>
      <c r="D78" s="19" t="s">
        <v>240</v>
      </c>
      <c r="E78" s="19" t="s">
        <v>288</v>
      </c>
      <c r="F78" s="21" t="s">
        <v>241</v>
      </c>
      <c r="G78" s="19" t="s">
        <v>319</v>
      </c>
      <c r="H78" s="20">
        <v>45689</v>
      </c>
      <c r="I78" s="20"/>
      <c r="J78" s="21"/>
      <c r="K78" s="21"/>
      <c r="L78" s="19" t="s">
        <v>290</v>
      </c>
      <c r="M78" s="21"/>
      <c r="N78" s="19"/>
      <c r="O78" s="19"/>
      <c r="P78" s="19" t="s">
        <v>316</v>
      </c>
      <c r="Q78" s="19"/>
      <c r="R78" s="19" t="s">
        <v>218</v>
      </c>
      <c r="S78" s="19"/>
      <c r="T78" s="19" t="s">
        <v>279</v>
      </c>
      <c r="U78" s="21" t="s">
        <v>241</v>
      </c>
    </row>
    <row r="79" spans="1:21" s="22" customFormat="1" ht="101.5" x14ac:dyDescent="0.35">
      <c r="A79" s="19" t="s">
        <v>155</v>
      </c>
      <c r="B79" s="19" t="s">
        <v>65</v>
      </c>
      <c r="C79" s="20">
        <v>45917.70208333333</v>
      </c>
      <c r="D79" s="19" t="s">
        <v>242</v>
      </c>
      <c r="E79" s="19" t="s">
        <v>288</v>
      </c>
      <c r="F79" s="21" t="s">
        <v>243</v>
      </c>
      <c r="G79" s="19" t="s">
        <v>319</v>
      </c>
      <c r="H79" s="20">
        <v>45689</v>
      </c>
      <c r="I79" s="20"/>
      <c r="J79" s="21"/>
      <c r="K79" s="21"/>
      <c r="L79" s="19" t="s">
        <v>290</v>
      </c>
      <c r="M79" s="21"/>
      <c r="N79" s="19"/>
      <c r="O79" s="19"/>
      <c r="P79" s="19" t="s">
        <v>316</v>
      </c>
      <c r="Q79" s="19"/>
      <c r="R79" s="19" t="s">
        <v>218</v>
      </c>
      <c r="S79" s="19"/>
      <c r="T79" s="19" t="s">
        <v>279</v>
      </c>
      <c r="U79" s="21" t="s">
        <v>243</v>
      </c>
    </row>
  </sheetData>
  <autoFilter ref="A1:Z79" xr:uid="{0A5D5D78-B3C0-4B67-A0DF-91B3B97F2C5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2026-01-21T14:46:45Z</dcterms:created>
  <dcterms:modified xsi:type="dcterms:W3CDTF">2026-01-21T14:49:11Z</dcterms:modified>
</cp:coreProperties>
</file>