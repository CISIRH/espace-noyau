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042874DE-63CF-4771-9CD8-FB5A71A2CEB8}" xr6:coauthVersionLast="47" xr6:coauthVersionMax="47" xr10:uidLastSave="{00000000-0000-0000-0000-000000000000}"/>
  <bookViews>
    <workbookView xWindow="25080" yWindow="-90" windowWidth="25440" windowHeight="15270" xr2:uid="{0383888F-6E25-4C56-9AB8-252A6D37883E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5" l="1"/>
  <c r="AD5" i="5"/>
  <c r="AD4" i="5"/>
  <c r="AD3" i="5"/>
  <c r="AD2" i="5"/>
  <c r="AB5" i="5"/>
  <c r="AB4" i="5"/>
  <c r="AB3" i="5"/>
  <c r="AB2" i="5"/>
  <c r="Z5" i="5"/>
  <c r="Z4" i="5"/>
  <c r="Z3" i="5"/>
  <c r="Z2" i="5"/>
</calcChain>
</file>

<file path=xl/sharedStrings.xml><?xml version="1.0" encoding="utf-8"?>
<sst xmlns="http://schemas.openxmlformats.org/spreadsheetml/2006/main" count="591" uniqueCount="115">
  <si>
    <t>MODE OPERATOIRE</t>
  </si>
  <si>
    <t>Le statut doit être renseigné en premier.
La transaction s'effectue pour l'évènement E0652 'Recrutement initial dans la FPE' au niveau des sous-rubriques :
-	« Recrutement initial dans la fonction publique d'état ou carrière militaire »
-	« Carrière origine/accueil »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</si>
  <si>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</si>
  <si>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</si>
  <si>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</si>
  <si>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</si>
  <si>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</si>
  <si>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</si>
  <si>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</si>
  <si>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</si>
  <si>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</si>
  <si>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</si>
  <si>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</si>
  <si>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</si>
  <si>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</si>
  <si>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</si>
  <si>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</si>
  <si>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</si>
  <si>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</si>
  <si>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</si>
  <si>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</si>
  <si>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</si>
  <si>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</si>
  <si>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</si>
  <si>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</si>
  <si>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</si>
  <si>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</si>
  <si>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</si>
  <si>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</si>
  <si>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</si>
  <si>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</si>
  <si>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</si>
  <si>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</si>
  <si>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</si>
  <si>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</si>
  <si>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17.10.00</t>
  </si>
  <si>
    <t>A</t>
  </si>
  <si>
    <t>D0013</t>
  </si>
  <si>
    <t>Recrutement</t>
  </si>
  <si>
    <t>S0108</t>
  </si>
  <si>
    <t>Recrutement agent</t>
  </si>
  <si>
    <t>E0652</t>
  </si>
  <si>
    <t>Recrutement initial dans la FPE</t>
  </si>
  <si>
    <t>Date d'entrée dans le SIRH saisie</t>
  </si>
  <si>
    <t>A_SAP_DESIRH [Saisi] &lt;&gt; Vide</t>
  </si>
  <si>
    <t>T1597</t>
  </si>
  <si>
    <t>Création Modification</t>
  </si>
  <si>
    <t/>
  </si>
  <si>
    <t>Titulaire ou magistrat</t>
  </si>
  <si>
    <t>P0001</t>
  </si>
  <si>
    <t>T</t>
  </si>
  <si>
    <t>Général</t>
  </si>
  <si>
    <t>Passant</t>
  </si>
  <si>
    <t>REF_C_002 ET REF_C_003 ET REF_C_004</t>
  </si>
  <si>
    <t>REF_C_002</t>
  </si>
  <si>
    <t>La date d'entrée dans le statut est postérieure ou égale à la date d'entrée dans la FPE ou dans la carrière militaire.</t>
  </si>
  <si>
    <t>REF_C_003</t>
  </si>
  <si>
    <t>La date d'entrée dans le SIRH doit être postérieure ou égale à la date d'entrée dans la fonction publique Etat ou dans la carrière militaire.</t>
  </si>
  <si>
    <t>REF_C_004</t>
  </si>
  <si>
    <t>La date d'entrée dans le SIRH doit être postérieure ou égale à la date d'entrée dans la fonction publique.</t>
  </si>
  <si>
    <t>24.10.00</t>
  </si>
  <si>
    <t>M</t>
  </si>
  <si>
    <t>Contractuel</t>
  </si>
  <si>
    <t>P0003</t>
  </si>
  <si>
    <t>N</t>
  </si>
  <si>
    <t>REF_C_002 ET REF_C_003 ET REF_C_004 ET REF_C_005</t>
  </si>
  <si>
    <t>REF_C_005</t>
  </si>
  <si>
    <t>Le champ « Reprise de l'ancienneté dans la fonction publique (agent contractuel) » est renseigné.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</si>
  <si>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</si>
  <si>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</si>
  <si>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</si>
  <si>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</si>
  <si>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</si>
  <si>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</si>
  <si>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</si>
  <si>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</si>
  <si>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</si>
  <si>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</si>
  <si>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</si>
  <si>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</si>
  <si>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</si>
  <si>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</si>
  <si>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</si>
  <si>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</si>
  <si>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</si>
  <si>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</si>
  <si>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</si>
  <si>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</si>
  <si>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</si>
  <si>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</si>
  <si>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</si>
  <si>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</si>
  <si>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</si>
  <si>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</si>
  <si>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</si>
  <si>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</si>
  <si>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</si>
  <si>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</si>
  <si>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</si>
  <si>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</si>
  <si>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</si>
  <si>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</si>
  <si>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</si>
  <si>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</si>
  <si>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</si>
  <si>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</si>
  <si>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</si>
  <si>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A_SAP_DENFPE [Saisi] &lt;&gt; Vide ET A_CAR_DAENST [Dossier] &gt;= A_SAP_DENFPE [Saisi]</t>
  </si>
  <si>
    <t>Bloquant</t>
  </si>
  <si>
    <t>A_SAP_DESIRH [Saisi] &gt;= A_SAP_DENFPE [Saisi]</t>
  </si>
  <si>
    <t>A_SAP_DENFP [Saisi] &lt;&gt; Vide ET A_SAP_DESIRH [Saisi] &gt;= A_SAP_DENFP [Saisi]</t>
  </si>
  <si>
    <t>A_SAP_REPANC [Saisi] &lt;&gt; VIDE</t>
  </si>
  <si>
    <t>Non Bloquant</t>
  </si>
  <si>
    <t>Le gestionnaire doit vérifier si une reprise d'ancienneté dans la fonction doit être effectuée pour l'agent contractuel recruté.</t>
  </si>
  <si>
    <t>P0003 - E0652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</si>
</sst>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87BE-0A89-41DA-B316-F0C012BC68BA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ht="60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926B-719A-4DC6-B67A-A7A56A7316A6}">
  <dimension ref="A1:AH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9.7109375" style="23" customWidth="1"/>
    <col min="34" max="34" width="15.7109375" style="24" customWidth="1"/>
    <col min="35" max="16384" width="11.42578125" style="13"/>
  </cols>
  <sheetData>
    <row r="1" spans="1:34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0" t="s">
        <v>33</v>
      </c>
      <c r="AH1" s="10" t="s">
        <v>34</v>
      </c>
    </row>
    <row r="2" spans="1:34" ht="90" x14ac:dyDescent="0.25">
      <c r="A2" s="14" t="s">
        <v>35</v>
      </c>
      <c r="B2" s="14" t="s">
        <v>36</v>
      </c>
      <c r="C2" s="15">
        <v>43152.5</v>
      </c>
      <c r="D2" s="14" t="s">
        <v>37</v>
      </c>
      <c r="E2" s="16" t="s">
        <v>38</v>
      </c>
      <c r="F2" s="14" t="s">
        <v>39</v>
      </c>
      <c r="G2" s="16" t="s">
        <v>40</v>
      </c>
      <c r="H2" s="14" t="s">
        <v>41</v>
      </c>
      <c r="I2" s="16" t="s">
        <v>42</v>
      </c>
      <c r="J2" s="16" t="s">
        <v>43</v>
      </c>
      <c r="K2" s="16" t="s">
        <v>44</v>
      </c>
      <c r="L2" s="14" t="s">
        <v>45</v>
      </c>
      <c r="M2" s="16" t="s">
        <v>42</v>
      </c>
      <c r="N2" s="14" t="s">
        <v>46</v>
      </c>
      <c r="O2" s="16" t="s">
        <v>47</v>
      </c>
      <c r="P2" s="16" t="s">
        <v>47</v>
      </c>
      <c r="Q2" s="16" t="s">
        <v>48</v>
      </c>
      <c r="R2" s="14" t="s">
        <v>49</v>
      </c>
      <c r="S2" s="14" t="s">
        <v>50</v>
      </c>
      <c r="T2" s="14" t="s">
        <v>51</v>
      </c>
      <c r="U2" s="14" t="s">
        <v>52</v>
      </c>
      <c r="V2" s="15">
        <v>40725</v>
      </c>
      <c r="W2" s="15"/>
      <c r="X2" s="16" t="s">
        <v>53</v>
      </c>
      <c r="Y2" s="17" t="s">
        <v>54</v>
      </c>
      <c r="Z2" s="18" t="str">
        <f>VLOOKUP(Y2,'Axe 2 Règles de gestion'!$D$2:$F$5,3, FALSE)</f>
        <v>La date d'entrée dans le statut est postérieure ou égale à la date d'entrée dans la FPE ou dans la carrière militaire.</v>
      </c>
      <c r="AA2" s="17" t="s">
        <v>56</v>
      </c>
      <c r="AB2" s="18" t="str">
        <f>VLOOKUP(AA2,'Axe 2 Règles de gestion'!$D$2:$F$5,3, FALSE)</f>
        <v>La date d'entrée dans le SIRH doit être postérieure ou égale à la date d'entrée dans la fonction publique Etat ou dans la carrière militaire.</v>
      </c>
      <c r="AC2" s="17" t="s">
        <v>58</v>
      </c>
      <c r="AD2" s="18" t="str">
        <f>VLOOKUP(AC2,'Axe 2 Règles de gestion'!$D$2:$F$5,3, FALSE)</f>
        <v>La date d'entrée dans le SIRH doit être postérieure ou égale à la date d'entrée dans la fonction publique.</v>
      </c>
      <c r="AE2" s="17"/>
      <c r="AF2" s="18"/>
      <c r="AG2" s="14" t="s">
        <v>47</v>
      </c>
      <c r="AH2" s="16" t="s">
        <v>47</v>
      </c>
    </row>
    <row r="3" spans="1:34" ht="90" x14ac:dyDescent="0.25">
      <c r="A3" s="14" t="s">
        <v>60</v>
      </c>
      <c r="B3" s="14" t="s">
        <v>61</v>
      </c>
      <c r="C3" s="15">
        <v>45561.591666666667</v>
      </c>
      <c r="D3" s="14" t="s">
        <v>37</v>
      </c>
      <c r="E3" s="16" t="s">
        <v>38</v>
      </c>
      <c r="F3" s="14" t="s">
        <v>39</v>
      </c>
      <c r="G3" s="16" t="s">
        <v>40</v>
      </c>
      <c r="H3" s="14" t="s">
        <v>41</v>
      </c>
      <c r="I3" s="16" t="s">
        <v>42</v>
      </c>
      <c r="J3" s="16" t="s">
        <v>43</v>
      </c>
      <c r="K3" s="16" t="s">
        <v>44</v>
      </c>
      <c r="L3" s="14" t="s">
        <v>45</v>
      </c>
      <c r="M3" s="16" t="s">
        <v>42</v>
      </c>
      <c r="N3" s="14" t="s">
        <v>46</v>
      </c>
      <c r="O3" s="16" t="s">
        <v>47</v>
      </c>
      <c r="P3" s="16" t="s">
        <v>47</v>
      </c>
      <c r="Q3" s="16" t="s">
        <v>62</v>
      </c>
      <c r="R3" s="14" t="s">
        <v>63</v>
      </c>
      <c r="S3" s="14" t="s">
        <v>64</v>
      </c>
      <c r="T3" s="14" t="s">
        <v>51</v>
      </c>
      <c r="U3" s="14" t="s">
        <v>52</v>
      </c>
      <c r="V3" s="15">
        <v>40725</v>
      </c>
      <c r="W3" s="15"/>
      <c r="X3" s="16" t="s">
        <v>65</v>
      </c>
      <c r="Y3" s="17" t="s">
        <v>54</v>
      </c>
      <c r="Z3" s="18" t="str">
        <f>VLOOKUP(Y3,'Axe 2 Règles de gestion'!$D$2:$F$5,3, FALSE)</f>
        <v>La date d'entrée dans le statut est postérieure ou égale à la date d'entrée dans la FPE ou dans la carrière militaire.</v>
      </c>
      <c r="AA3" s="17" t="s">
        <v>56</v>
      </c>
      <c r="AB3" s="18" t="str">
        <f>VLOOKUP(AA3,'Axe 2 Règles de gestion'!$D$2:$F$5,3, FALSE)</f>
        <v>La date d'entrée dans le SIRH doit être postérieure ou égale à la date d'entrée dans la fonction publique Etat ou dans la carrière militaire.</v>
      </c>
      <c r="AC3" s="17" t="s">
        <v>58</v>
      </c>
      <c r="AD3" s="18" t="str">
        <f>VLOOKUP(AC3,'Axe 2 Règles de gestion'!$D$2:$F$5,3, FALSE)</f>
        <v>La date d'entrée dans le SIRH doit être postérieure ou égale à la date d'entrée dans la fonction publique.</v>
      </c>
      <c r="AE3" s="17" t="s">
        <v>66</v>
      </c>
      <c r="AF3" s="18" t="str">
        <f>VLOOKUP(AE3,'Axe 2 Règles de gestion'!$D$2:$F$5,3, FALSE)</f>
        <v>Le champ « Reprise de l'ancienneté dans la fonction publique (agent contractuel) » est renseigné.</v>
      </c>
      <c r="AG3" s="14" t="s">
        <v>47</v>
      </c>
      <c r="AH3" s="16" t="s">
        <v>47</v>
      </c>
    </row>
    <row r="4" spans="1:34" ht="90" x14ac:dyDescent="0.25">
      <c r="A4" s="14" t="s">
        <v>35</v>
      </c>
      <c r="B4" s="14" t="s">
        <v>36</v>
      </c>
      <c r="C4" s="15">
        <v>43152.5</v>
      </c>
      <c r="D4" s="14" t="s">
        <v>37</v>
      </c>
      <c r="E4" s="16" t="s">
        <v>38</v>
      </c>
      <c r="F4" s="14" t="s">
        <v>39</v>
      </c>
      <c r="G4" s="16" t="s">
        <v>40</v>
      </c>
      <c r="H4" s="14" t="s">
        <v>41</v>
      </c>
      <c r="I4" s="16" t="s">
        <v>42</v>
      </c>
      <c r="J4" s="16" t="s">
        <v>43</v>
      </c>
      <c r="K4" s="16" t="s">
        <v>44</v>
      </c>
      <c r="L4" s="14" t="s">
        <v>45</v>
      </c>
      <c r="M4" s="16" t="s">
        <v>42</v>
      </c>
      <c r="N4" s="14" t="s">
        <v>46</v>
      </c>
      <c r="O4" s="16" t="s">
        <v>47</v>
      </c>
      <c r="P4" s="16" t="s">
        <v>47</v>
      </c>
      <c r="Q4" s="16" t="s">
        <v>68</v>
      </c>
      <c r="R4" s="14" t="s">
        <v>69</v>
      </c>
      <c r="S4" s="14" t="s">
        <v>70</v>
      </c>
      <c r="T4" s="14" t="s">
        <v>51</v>
      </c>
      <c r="U4" s="14" t="s">
        <v>52</v>
      </c>
      <c r="V4" s="15">
        <v>40725</v>
      </c>
      <c r="W4" s="15"/>
      <c r="X4" s="16" t="s">
        <v>53</v>
      </c>
      <c r="Y4" s="17" t="s">
        <v>54</v>
      </c>
      <c r="Z4" s="18" t="str">
        <f>VLOOKUP(Y4,'Axe 2 Règles de gestion'!$D$2:$F$5,3, FALSE)</f>
        <v>La date d'entrée dans le statut est postérieure ou égale à la date d'entrée dans la FPE ou dans la carrière militaire.</v>
      </c>
      <c r="AA4" s="17" t="s">
        <v>56</v>
      </c>
      <c r="AB4" s="18" t="str">
        <f>VLOOKUP(AA4,'Axe 2 Règles de gestion'!$D$2:$F$5,3, FALSE)</f>
        <v>La date d'entrée dans le SIRH doit être postérieure ou égale à la date d'entrée dans la fonction publique Etat ou dans la carrière militaire.</v>
      </c>
      <c r="AC4" s="17" t="s">
        <v>58</v>
      </c>
      <c r="AD4" s="18" t="str">
        <f>VLOOKUP(AC4,'Axe 2 Règles de gestion'!$D$2:$F$5,3, FALSE)</f>
        <v>La date d'entrée dans le SIRH doit être postérieure ou égale à la date d'entrée dans la fonction publique.</v>
      </c>
      <c r="AE4" s="17"/>
      <c r="AF4" s="18"/>
      <c r="AG4" s="14" t="s">
        <v>47</v>
      </c>
      <c r="AH4" s="16" t="s">
        <v>47</v>
      </c>
    </row>
    <row r="5" spans="1:34" ht="90" x14ac:dyDescent="0.25">
      <c r="A5" s="14" t="s">
        <v>35</v>
      </c>
      <c r="B5" s="14" t="s">
        <v>36</v>
      </c>
      <c r="C5" s="15">
        <v>43189.5</v>
      </c>
      <c r="D5" s="14" t="s">
        <v>37</v>
      </c>
      <c r="E5" s="16" t="s">
        <v>38</v>
      </c>
      <c r="F5" s="14" t="s">
        <v>39</v>
      </c>
      <c r="G5" s="16" t="s">
        <v>40</v>
      </c>
      <c r="H5" s="14" t="s">
        <v>41</v>
      </c>
      <c r="I5" s="16" t="s">
        <v>42</v>
      </c>
      <c r="J5" s="16" t="s">
        <v>43</v>
      </c>
      <c r="K5" s="16" t="s">
        <v>44</v>
      </c>
      <c r="L5" s="14" t="s">
        <v>45</v>
      </c>
      <c r="M5" s="16" t="s">
        <v>42</v>
      </c>
      <c r="N5" s="14" t="s">
        <v>46</v>
      </c>
      <c r="O5" s="16" t="s">
        <v>47</v>
      </c>
      <c r="P5" s="16" t="s">
        <v>47</v>
      </c>
      <c r="Q5" s="16" t="s">
        <v>71</v>
      </c>
      <c r="R5" s="14" t="s">
        <v>72</v>
      </c>
      <c r="S5" s="14" t="s">
        <v>73</v>
      </c>
      <c r="T5" s="14" t="s">
        <v>51</v>
      </c>
      <c r="U5" s="14" t="s">
        <v>52</v>
      </c>
      <c r="V5" s="15">
        <v>40725</v>
      </c>
      <c r="W5" s="15"/>
      <c r="X5" s="16" t="s">
        <v>53</v>
      </c>
      <c r="Y5" s="17" t="s">
        <v>54</v>
      </c>
      <c r="Z5" s="18" t="str">
        <f>VLOOKUP(Y5,'Axe 2 Règles de gestion'!$D$2:$F$5,3, FALSE)</f>
        <v>La date d'entrée dans le statut est postérieure ou égale à la date d'entrée dans la FPE ou dans la carrière militaire.</v>
      </c>
      <c r="AA5" s="17" t="s">
        <v>56</v>
      </c>
      <c r="AB5" s="18" t="str">
        <f>VLOOKUP(AA5,'Axe 2 Règles de gestion'!$D$2:$F$5,3, FALSE)</f>
        <v>La date d'entrée dans le SIRH doit être postérieure ou égale à la date d'entrée dans la fonction publique Etat ou dans la carrière militaire.</v>
      </c>
      <c r="AC5" s="17" t="s">
        <v>58</v>
      </c>
      <c r="AD5" s="18" t="str">
        <f>VLOOKUP(AC5,'Axe 2 Règles de gestion'!$D$2:$F$5,3, FALSE)</f>
        <v>La date d'entrée dans le SIRH doit être postérieure ou égale à la date d'entrée dans la fonction publique.</v>
      </c>
      <c r="AE5" s="17"/>
      <c r="AF5" s="18"/>
      <c r="AG5" s="14" t="s">
        <v>47</v>
      </c>
      <c r="AH5" s="16" t="s">
        <v>47</v>
      </c>
    </row>
    <row r="6" spans="1:34" x14ac:dyDescent="0.25">
      <c r="A6" s="19"/>
      <c r="B6" s="20"/>
      <c r="C6" s="21"/>
      <c r="D6" s="19"/>
      <c r="E6" s="20"/>
      <c r="F6" s="19"/>
      <c r="G6" s="20"/>
      <c r="H6" s="19"/>
      <c r="I6" s="20"/>
      <c r="J6" s="20" t="s">
        <v>47</v>
      </c>
      <c r="K6" s="20" t="s">
        <v>47</v>
      </c>
      <c r="L6" s="20"/>
      <c r="M6" s="20"/>
      <c r="N6" s="20" t="s">
        <v>47</v>
      </c>
      <c r="O6" s="20" t="s">
        <v>47</v>
      </c>
      <c r="P6" s="20" t="s">
        <v>47</v>
      </c>
      <c r="Q6" s="20"/>
      <c r="R6" s="20"/>
      <c r="T6" s="20"/>
      <c r="U6" s="19"/>
      <c r="V6" s="22"/>
      <c r="W6" s="22"/>
      <c r="X6" s="20"/>
      <c r="AG6" s="25"/>
      <c r="AH6" s="20"/>
    </row>
    <row r="7" spans="1:34" x14ac:dyDescent="0.25">
      <c r="A7" s="19"/>
      <c r="B7" s="20"/>
      <c r="C7" s="21"/>
      <c r="D7" s="19"/>
      <c r="E7" s="20"/>
      <c r="F7" s="19"/>
      <c r="G7" s="20"/>
      <c r="H7" s="19"/>
      <c r="I7" s="20"/>
      <c r="J7" s="20" t="s">
        <v>47</v>
      </c>
      <c r="K7" s="20" t="s">
        <v>47</v>
      </c>
      <c r="L7" s="20"/>
      <c r="M7" s="20"/>
      <c r="N7" s="20" t="s">
        <v>47</v>
      </c>
      <c r="O7" s="20" t="s">
        <v>47</v>
      </c>
      <c r="P7" s="20" t="s">
        <v>47</v>
      </c>
      <c r="Q7" s="20"/>
      <c r="R7" s="20"/>
      <c r="T7" s="20"/>
      <c r="U7" s="19"/>
      <c r="V7" s="22"/>
      <c r="W7" s="22"/>
      <c r="X7" s="20"/>
      <c r="AG7" s="25"/>
      <c r="AH7" s="20"/>
    </row>
    <row r="8" spans="1:34" x14ac:dyDescent="0.25">
      <c r="A8" s="19"/>
      <c r="B8" s="20"/>
      <c r="C8" s="21"/>
      <c r="D8" s="19"/>
      <c r="E8" s="20"/>
      <c r="F8" s="19"/>
      <c r="G8" s="20"/>
      <c r="H8" s="19"/>
      <c r="I8" s="20"/>
      <c r="J8" s="20" t="s">
        <v>47</v>
      </c>
      <c r="K8" s="20" t="s">
        <v>47</v>
      </c>
      <c r="L8" s="20"/>
      <c r="M8" s="20"/>
      <c r="N8" s="20" t="s">
        <v>47</v>
      </c>
      <c r="O8" s="20" t="s">
        <v>47</v>
      </c>
      <c r="P8" s="20" t="s">
        <v>47</v>
      </c>
      <c r="Q8" s="20"/>
      <c r="R8" s="20"/>
      <c r="T8" s="20"/>
      <c r="U8" s="19"/>
      <c r="V8" s="22"/>
      <c r="W8" s="22"/>
      <c r="X8" s="20"/>
      <c r="AG8" s="25"/>
      <c r="AH8" s="20"/>
    </row>
    <row r="9" spans="1:34" x14ac:dyDescent="0.25">
      <c r="A9" s="19"/>
      <c r="B9" s="20"/>
      <c r="C9" s="21"/>
      <c r="D9" s="19"/>
      <c r="E9" s="20"/>
      <c r="F9" s="19"/>
      <c r="G9" s="20"/>
      <c r="H9" s="19"/>
      <c r="I9" s="20"/>
      <c r="J9" s="20" t="s">
        <v>47</v>
      </c>
      <c r="K9" s="20" t="s">
        <v>47</v>
      </c>
      <c r="L9" s="20"/>
      <c r="M9" s="20"/>
      <c r="N9" s="20" t="s">
        <v>47</v>
      </c>
      <c r="O9" s="20" t="s">
        <v>47</v>
      </c>
      <c r="P9" s="20" t="s">
        <v>47</v>
      </c>
      <c r="Q9" s="20"/>
      <c r="R9" s="20"/>
      <c r="T9" s="20"/>
      <c r="U9" s="19"/>
      <c r="V9" s="22"/>
      <c r="W9" s="22"/>
      <c r="X9" s="20"/>
      <c r="AG9" s="25"/>
      <c r="AH9" s="20"/>
    </row>
  </sheetData>
  <autoFilter ref="A1:OJ1" xr:uid="{12C4926B-719A-4DC6-B67A-A7A56A7316A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0492-D662-4EE3-BFEF-F2CB3D97B402}">
  <dimension ref="A1:Z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9.7109375" style="23" customWidth="1"/>
    <col min="26" max="26" width="15.7109375" style="24" customWidth="1"/>
    <col min="27" max="16384" width="11.42578125" style="13"/>
  </cols>
  <sheetData>
    <row r="1" spans="1:2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74</v>
      </c>
      <c r="Y1" s="10" t="s">
        <v>33</v>
      </c>
      <c r="Z1" s="10" t="s">
        <v>34</v>
      </c>
    </row>
    <row r="2" spans="1:26" ht="30" x14ac:dyDescent="0.25">
      <c r="A2" s="14" t="s">
        <v>35</v>
      </c>
      <c r="B2" s="14" t="s">
        <v>36</v>
      </c>
      <c r="C2" s="15">
        <v>43152.5</v>
      </c>
      <c r="D2" s="14" t="s">
        <v>37</v>
      </c>
      <c r="E2" s="16" t="s">
        <v>38</v>
      </c>
      <c r="F2" s="14" t="s">
        <v>39</v>
      </c>
      <c r="G2" s="16" t="s">
        <v>40</v>
      </c>
      <c r="H2" s="14" t="s">
        <v>41</v>
      </c>
      <c r="I2" s="16" t="s">
        <v>42</v>
      </c>
      <c r="J2" s="16" t="s">
        <v>43</v>
      </c>
      <c r="K2" s="16" t="s">
        <v>44</v>
      </c>
      <c r="L2" s="14" t="s">
        <v>45</v>
      </c>
      <c r="M2" s="16" t="s">
        <v>42</v>
      </c>
      <c r="N2" s="14" t="s">
        <v>46</v>
      </c>
      <c r="O2" s="16" t="s">
        <v>47</v>
      </c>
      <c r="P2" s="16" t="s">
        <v>47</v>
      </c>
      <c r="Q2" s="16" t="s">
        <v>48</v>
      </c>
      <c r="R2" s="14" t="s">
        <v>49</v>
      </c>
      <c r="S2" s="14" t="s">
        <v>50</v>
      </c>
      <c r="T2" s="14" t="s">
        <v>51</v>
      </c>
      <c r="U2" s="14" t="s">
        <v>52</v>
      </c>
      <c r="V2" s="15">
        <v>40725</v>
      </c>
      <c r="W2" s="15"/>
      <c r="X2" s="16" t="s">
        <v>47</v>
      </c>
      <c r="Y2" s="14" t="s">
        <v>47</v>
      </c>
      <c r="Z2" s="16" t="s">
        <v>47</v>
      </c>
    </row>
    <row r="3" spans="1:26" ht="30" x14ac:dyDescent="0.25">
      <c r="A3" s="14" t="s">
        <v>60</v>
      </c>
      <c r="B3" s="14" t="s">
        <v>61</v>
      </c>
      <c r="C3" s="15">
        <v>45561.591666666667</v>
      </c>
      <c r="D3" s="14" t="s">
        <v>37</v>
      </c>
      <c r="E3" s="16" t="s">
        <v>38</v>
      </c>
      <c r="F3" s="14" t="s">
        <v>39</v>
      </c>
      <c r="G3" s="16" t="s">
        <v>40</v>
      </c>
      <c r="H3" s="14" t="s">
        <v>41</v>
      </c>
      <c r="I3" s="16" t="s">
        <v>42</v>
      </c>
      <c r="J3" s="16" t="s">
        <v>43</v>
      </c>
      <c r="K3" s="16" t="s">
        <v>44</v>
      </c>
      <c r="L3" s="14" t="s">
        <v>45</v>
      </c>
      <c r="M3" s="16" t="s">
        <v>42</v>
      </c>
      <c r="N3" s="14" t="s">
        <v>46</v>
      </c>
      <c r="O3" s="16" t="s">
        <v>47</v>
      </c>
      <c r="P3" s="16" t="s">
        <v>47</v>
      </c>
      <c r="Q3" s="16" t="s">
        <v>62</v>
      </c>
      <c r="R3" s="14" t="s">
        <v>63</v>
      </c>
      <c r="S3" s="14" t="s">
        <v>64</v>
      </c>
      <c r="T3" s="14" t="s">
        <v>51</v>
      </c>
      <c r="U3" s="14" t="s">
        <v>52</v>
      </c>
      <c r="V3" s="15">
        <v>40725</v>
      </c>
      <c r="W3" s="15"/>
      <c r="X3" s="16" t="s">
        <v>47</v>
      </c>
      <c r="Y3" s="14" t="s">
        <v>47</v>
      </c>
      <c r="Z3" s="16" t="s">
        <v>47</v>
      </c>
    </row>
    <row r="4" spans="1:26" ht="30" x14ac:dyDescent="0.25">
      <c r="A4" s="14" t="s">
        <v>35</v>
      </c>
      <c r="B4" s="14" t="s">
        <v>36</v>
      </c>
      <c r="C4" s="15">
        <v>43152.5</v>
      </c>
      <c r="D4" s="14" t="s">
        <v>37</v>
      </c>
      <c r="E4" s="16" t="s">
        <v>38</v>
      </c>
      <c r="F4" s="14" t="s">
        <v>39</v>
      </c>
      <c r="G4" s="16" t="s">
        <v>40</v>
      </c>
      <c r="H4" s="14" t="s">
        <v>41</v>
      </c>
      <c r="I4" s="16" t="s">
        <v>42</v>
      </c>
      <c r="J4" s="16" t="s">
        <v>43</v>
      </c>
      <c r="K4" s="16" t="s">
        <v>44</v>
      </c>
      <c r="L4" s="14" t="s">
        <v>45</v>
      </c>
      <c r="M4" s="16" t="s">
        <v>42</v>
      </c>
      <c r="N4" s="14" t="s">
        <v>46</v>
      </c>
      <c r="O4" s="16" t="s">
        <v>47</v>
      </c>
      <c r="P4" s="16" t="s">
        <v>47</v>
      </c>
      <c r="Q4" s="16" t="s">
        <v>68</v>
      </c>
      <c r="R4" s="14" t="s">
        <v>69</v>
      </c>
      <c r="S4" s="14" t="s">
        <v>70</v>
      </c>
      <c r="T4" s="14" t="s">
        <v>51</v>
      </c>
      <c r="U4" s="14" t="s">
        <v>52</v>
      </c>
      <c r="V4" s="15">
        <v>40725</v>
      </c>
      <c r="W4" s="15"/>
      <c r="X4" s="16" t="s">
        <v>47</v>
      </c>
      <c r="Y4" s="14" t="s">
        <v>47</v>
      </c>
      <c r="Z4" s="16" t="s">
        <v>47</v>
      </c>
    </row>
    <row r="5" spans="1:26" ht="30" x14ac:dyDescent="0.25">
      <c r="A5" s="14" t="s">
        <v>35</v>
      </c>
      <c r="B5" s="14" t="s">
        <v>36</v>
      </c>
      <c r="C5" s="15">
        <v>43189.5</v>
      </c>
      <c r="D5" s="14" t="s">
        <v>37</v>
      </c>
      <c r="E5" s="16" t="s">
        <v>38</v>
      </c>
      <c r="F5" s="14" t="s">
        <v>39</v>
      </c>
      <c r="G5" s="16" t="s">
        <v>40</v>
      </c>
      <c r="H5" s="14" t="s">
        <v>41</v>
      </c>
      <c r="I5" s="16" t="s">
        <v>42</v>
      </c>
      <c r="J5" s="16" t="s">
        <v>43</v>
      </c>
      <c r="K5" s="16" t="s">
        <v>44</v>
      </c>
      <c r="L5" s="14" t="s">
        <v>45</v>
      </c>
      <c r="M5" s="16" t="s">
        <v>42</v>
      </c>
      <c r="N5" s="14" t="s">
        <v>46</v>
      </c>
      <c r="O5" s="16" t="s">
        <v>47</v>
      </c>
      <c r="P5" s="16" t="s">
        <v>47</v>
      </c>
      <c r="Q5" s="16" t="s">
        <v>71</v>
      </c>
      <c r="R5" s="14" t="s">
        <v>72</v>
      </c>
      <c r="S5" s="14" t="s">
        <v>73</v>
      </c>
      <c r="T5" s="14" t="s">
        <v>51</v>
      </c>
      <c r="U5" s="14" t="s">
        <v>52</v>
      </c>
      <c r="V5" s="15">
        <v>40725</v>
      </c>
      <c r="W5" s="15"/>
      <c r="X5" s="16" t="s">
        <v>47</v>
      </c>
      <c r="Y5" s="14" t="s">
        <v>47</v>
      </c>
      <c r="Z5" s="16" t="s">
        <v>47</v>
      </c>
    </row>
    <row r="6" spans="1:26" x14ac:dyDescent="0.25">
      <c r="A6" s="19"/>
      <c r="B6" s="20"/>
      <c r="C6" s="21"/>
      <c r="D6" s="19"/>
      <c r="E6" s="20"/>
      <c r="F6" s="19"/>
      <c r="G6" s="20"/>
      <c r="H6" s="19"/>
      <c r="I6" s="20"/>
      <c r="J6" s="20" t="s">
        <v>47</v>
      </c>
      <c r="K6" s="20" t="s">
        <v>47</v>
      </c>
      <c r="L6" s="20"/>
      <c r="M6" s="20"/>
      <c r="N6" s="20" t="s">
        <v>47</v>
      </c>
      <c r="O6" s="20" t="s">
        <v>47</v>
      </c>
      <c r="P6" s="20" t="s">
        <v>47</v>
      </c>
      <c r="Q6" s="20"/>
      <c r="R6" s="20"/>
      <c r="S6" s="19"/>
      <c r="T6" s="20"/>
      <c r="U6" s="19"/>
      <c r="V6" s="22"/>
      <c r="W6" s="22"/>
      <c r="X6" s="20"/>
      <c r="Y6" s="25"/>
      <c r="Z6" s="20"/>
    </row>
    <row r="7" spans="1:26" x14ac:dyDescent="0.25">
      <c r="A7" s="19"/>
      <c r="B7" s="20"/>
      <c r="C7" s="21"/>
      <c r="D7" s="19"/>
      <c r="E7" s="20"/>
      <c r="F7" s="19"/>
      <c r="G7" s="20"/>
      <c r="H7" s="19"/>
      <c r="I7" s="20"/>
      <c r="J7" s="20" t="s">
        <v>47</v>
      </c>
      <c r="K7" s="20" t="s">
        <v>47</v>
      </c>
      <c r="L7" s="20"/>
      <c r="M7" s="20"/>
      <c r="N7" s="20" t="s">
        <v>47</v>
      </c>
      <c r="O7" s="20" t="s">
        <v>47</v>
      </c>
      <c r="P7" s="20" t="s">
        <v>47</v>
      </c>
      <c r="Q7" s="20"/>
      <c r="R7" s="20"/>
      <c r="S7" s="19"/>
      <c r="T7" s="20"/>
      <c r="U7" s="19"/>
      <c r="V7" s="22"/>
      <c r="W7" s="22"/>
      <c r="X7" s="20"/>
      <c r="Y7" s="25"/>
      <c r="Z7" s="20"/>
    </row>
    <row r="8" spans="1:26" x14ac:dyDescent="0.25">
      <c r="A8" s="19"/>
      <c r="B8" s="20"/>
      <c r="C8" s="21"/>
      <c r="D8" s="19"/>
      <c r="E8" s="20"/>
      <c r="F8" s="19"/>
      <c r="G8" s="20"/>
      <c r="H8" s="19"/>
      <c r="I8" s="20"/>
      <c r="J8" s="20" t="s">
        <v>47</v>
      </c>
      <c r="K8" s="20" t="s">
        <v>47</v>
      </c>
      <c r="L8" s="20"/>
      <c r="M8" s="20"/>
      <c r="N8" s="20" t="s">
        <v>47</v>
      </c>
      <c r="O8" s="20" t="s">
        <v>47</v>
      </c>
      <c r="P8" s="20" t="s">
        <v>47</v>
      </c>
      <c r="Q8" s="20"/>
      <c r="R8" s="20"/>
      <c r="S8" s="19"/>
      <c r="T8" s="20"/>
      <c r="U8" s="19"/>
      <c r="V8" s="22"/>
      <c r="W8" s="22"/>
      <c r="X8" s="20"/>
      <c r="Y8" s="25"/>
      <c r="Z8" s="20"/>
    </row>
    <row r="9" spans="1:26" x14ac:dyDescent="0.25">
      <c r="A9" s="19"/>
      <c r="B9" s="20"/>
      <c r="C9" s="21"/>
      <c r="D9" s="19"/>
      <c r="E9" s="20"/>
      <c r="F9" s="19"/>
      <c r="G9" s="20"/>
      <c r="H9" s="19"/>
      <c r="I9" s="20"/>
      <c r="J9" s="20" t="s">
        <v>47</v>
      </c>
      <c r="K9" s="20" t="s">
        <v>47</v>
      </c>
      <c r="L9" s="20"/>
      <c r="M9" s="20"/>
      <c r="N9" s="20" t="s">
        <v>47</v>
      </c>
      <c r="O9" s="20" t="s">
        <v>47</v>
      </c>
      <c r="P9" s="20" t="s">
        <v>47</v>
      </c>
      <c r="Q9" s="20"/>
      <c r="R9" s="20"/>
      <c r="S9" s="19"/>
      <c r="T9" s="20"/>
      <c r="U9" s="19"/>
      <c r="V9" s="22"/>
      <c r="W9" s="22"/>
      <c r="X9" s="20"/>
      <c r="Y9" s="25"/>
      <c r="Z9" s="20"/>
    </row>
  </sheetData>
  <autoFilter ref="A1:OJ1" xr:uid="{85B60492-D662-4EE3-BFEF-F2CB3D97B40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1BDD-C277-4496-9538-54980F4DB790}">
  <dimension ref="A1:AO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0" t="s">
        <v>89</v>
      </c>
      <c r="AL1" s="10" t="s">
        <v>90</v>
      </c>
      <c r="AM1" s="10" t="s">
        <v>91</v>
      </c>
      <c r="AN1" s="10" t="s">
        <v>33</v>
      </c>
      <c r="AO1" s="10" t="s">
        <v>34</v>
      </c>
    </row>
    <row r="2" spans="1:41" ht="30" x14ac:dyDescent="0.25">
      <c r="A2" s="14" t="s">
        <v>35</v>
      </c>
      <c r="B2" s="14" t="s">
        <v>36</v>
      </c>
      <c r="C2" s="15">
        <v>43152.5</v>
      </c>
      <c r="D2" s="14" t="s">
        <v>37</v>
      </c>
      <c r="E2" s="16" t="s">
        <v>38</v>
      </c>
      <c r="F2" s="14" t="s">
        <v>39</v>
      </c>
      <c r="G2" s="16" t="s">
        <v>40</v>
      </c>
      <c r="H2" s="14" t="s">
        <v>41</v>
      </c>
      <c r="I2" s="16" t="s">
        <v>42</v>
      </c>
      <c r="J2" s="16" t="s">
        <v>43</v>
      </c>
      <c r="K2" s="16" t="s">
        <v>44</v>
      </c>
      <c r="L2" s="14" t="s">
        <v>45</v>
      </c>
      <c r="M2" s="16" t="s">
        <v>42</v>
      </c>
      <c r="N2" s="14" t="s">
        <v>46</v>
      </c>
      <c r="O2" s="16" t="s">
        <v>47</v>
      </c>
      <c r="P2" s="16" t="s">
        <v>47</v>
      </c>
      <c r="Q2" s="16" t="s">
        <v>48</v>
      </c>
      <c r="R2" s="14" t="s">
        <v>49</v>
      </c>
      <c r="S2" s="14" t="s">
        <v>51</v>
      </c>
      <c r="T2" s="14" t="s">
        <v>52</v>
      </c>
      <c r="U2" s="15">
        <v>40550</v>
      </c>
      <c r="V2" s="15"/>
      <c r="W2" s="16"/>
      <c r="X2" s="16" t="s">
        <v>47</v>
      </c>
      <c r="Y2" s="14" t="s">
        <v>47</v>
      </c>
      <c r="Z2" s="16" t="s">
        <v>47</v>
      </c>
      <c r="AA2" s="16" t="s">
        <v>47</v>
      </c>
      <c r="AB2" s="16" t="s">
        <v>47</v>
      </c>
      <c r="AC2" s="14" t="s">
        <v>47</v>
      </c>
      <c r="AD2" s="16" t="s">
        <v>47</v>
      </c>
      <c r="AE2" s="16" t="s">
        <v>47</v>
      </c>
      <c r="AF2" s="16" t="s">
        <v>47</v>
      </c>
      <c r="AG2" s="14" t="s">
        <v>47</v>
      </c>
      <c r="AH2" s="16" t="s">
        <v>47</v>
      </c>
      <c r="AI2" s="16" t="s">
        <v>47</v>
      </c>
      <c r="AJ2" s="16" t="s">
        <v>47</v>
      </c>
      <c r="AK2" s="14" t="s">
        <v>47</v>
      </c>
      <c r="AL2" s="16" t="s">
        <v>47</v>
      </c>
      <c r="AM2" s="16" t="s">
        <v>47</v>
      </c>
      <c r="AN2" s="14" t="s">
        <v>47</v>
      </c>
      <c r="AO2" s="14" t="s">
        <v>47</v>
      </c>
    </row>
    <row r="3" spans="1:41" ht="30" x14ac:dyDescent="0.25">
      <c r="A3" s="14" t="s">
        <v>60</v>
      </c>
      <c r="B3" s="14" t="s">
        <v>61</v>
      </c>
      <c r="C3" s="15">
        <v>45561.591666666667</v>
      </c>
      <c r="D3" s="14" t="s">
        <v>37</v>
      </c>
      <c r="E3" s="16" t="s">
        <v>38</v>
      </c>
      <c r="F3" s="14" t="s">
        <v>39</v>
      </c>
      <c r="G3" s="16" t="s">
        <v>40</v>
      </c>
      <c r="H3" s="14" t="s">
        <v>41</v>
      </c>
      <c r="I3" s="16" t="s">
        <v>42</v>
      </c>
      <c r="J3" s="16" t="s">
        <v>43</v>
      </c>
      <c r="K3" s="16" t="s">
        <v>44</v>
      </c>
      <c r="L3" s="14" t="s">
        <v>45</v>
      </c>
      <c r="M3" s="16" t="s">
        <v>42</v>
      </c>
      <c r="N3" s="14" t="s">
        <v>46</v>
      </c>
      <c r="O3" s="16" t="s">
        <v>47</v>
      </c>
      <c r="P3" s="16" t="s">
        <v>47</v>
      </c>
      <c r="Q3" s="16" t="s">
        <v>62</v>
      </c>
      <c r="R3" s="14" t="s">
        <v>63</v>
      </c>
      <c r="S3" s="14" t="s">
        <v>51</v>
      </c>
      <c r="T3" s="14" t="s">
        <v>52</v>
      </c>
      <c r="U3" s="15">
        <v>40550</v>
      </c>
      <c r="V3" s="15"/>
      <c r="W3" s="16"/>
      <c r="X3" s="16" t="s">
        <v>47</v>
      </c>
      <c r="Y3" s="14" t="s">
        <v>47</v>
      </c>
      <c r="Z3" s="16" t="s">
        <v>47</v>
      </c>
      <c r="AA3" s="16" t="s">
        <v>47</v>
      </c>
      <c r="AB3" s="16" t="s">
        <v>47</v>
      </c>
      <c r="AC3" s="14" t="s">
        <v>47</v>
      </c>
      <c r="AD3" s="16" t="s">
        <v>47</v>
      </c>
      <c r="AE3" s="16" t="s">
        <v>47</v>
      </c>
      <c r="AF3" s="16" t="s">
        <v>47</v>
      </c>
      <c r="AG3" s="14" t="s">
        <v>47</v>
      </c>
      <c r="AH3" s="16" t="s">
        <v>47</v>
      </c>
      <c r="AI3" s="16" t="s">
        <v>47</v>
      </c>
      <c r="AJ3" s="16" t="s">
        <v>47</v>
      </c>
      <c r="AK3" s="14" t="s">
        <v>47</v>
      </c>
      <c r="AL3" s="16" t="s">
        <v>47</v>
      </c>
      <c r="AM3" s="16" t="s">
        <v>47</v>
      </c>
      <c r="AN3" s="14" t="s">
        <v>47</v>
      </c>
      <c r="AO3" s="14" t="s">
        <v>47</v>
      </c>
    </row>
    <row r="4" spans="1:41" ht="30" x14ac:dyDescent="0.25">
      <c r="A4" s="14" t="s">
        <v>35</v>
      </c>
      <c r="B4" s="14" t="s">
        <v>36</v>
      </c>
      <c r="C4" s="15">
        <v>43152.5</v>
      </c>
      <c r="D4" s="14" t="s">
        <v>37</v>
      </c>
      <c r="E4" s="16" t="s">
        <v>38</v>
      </c>
      <c r="F4" s="14" t="s">
        <v>39</v>
      </c>
      <c r="G4" s="16" t="s">
        <v>40</v>
      </c>
      <c r="H4" s="14" t="s">
        <v>41</v>
      </c>
      <c r="I4" s="16" t="s">
        <v>42</v>
      </c>
      <c r="J4" s="16" t="s">
        <v>43</v>
      </c>
      <c r="K4" s="16" t="s">
        <v>44</v>
      </c>
      <c r="L4" s="14" t="s">
        <v>45</v>
      </c>
      <c r="M4" s="16" t="s">
        <v>42</v>
      </c>
      <c r="N4" s="14" t="s">
        <v>46</v>
      </c>
      <c r="O4" s="16" t="s">
        <v>47</v>
      </c>
      <c r="P4" s="16" t="s">
        <v>47</v>
      </c>
      <c r="Q4" s="16" t="s">
        <v>68</v>
      </c>
      <c r="R4" s="14" t="s">
        <v>69</v>
      </c>
      <c r="S4" s="14" t="s">
        <v>51</v>
      </c>
      <c r="T4" s="14" t="s">
        <v>52</v>
      </c>
      <c r="U4" s="15">
        <v>40550</v>
      </c>
      <c r="V4" s="15"/>
      <c r="W4" s="16"/>
      <c r="X4" s="16" t="s">
        <v>47</v>
      </c>
      <c r="Y4" s="14" t="s">
        <v>47</v>
      </c>
      <c r="Z4" s="16" t="s">
        <v>47</v>
      </c>
      <c r="AA4" s="16" t="s">
        <v>47</v>
      </c>
      <c r="AB4" s="16" t="s">
        <v>47</v>
      </c>
      <c r="AC4" s="14" t="s">
        <v>47</v>
      </c>
      <c r="AD4" s="16" t="s">
        <v>47</v>
      </c>
      <c r="AE4" s="16" t="s">
        <v>47</v>
      </c>
      <c r="AF4" s="16" t="s">
        <v>47</v>
      </c>
      <c r="AG4" s="14" t="s">
        <v>47</v>
      </c>
      <c r="AH4" s="16" t="s">
        <v>47</v>
      </c>
      <c r="AI4" s="16" t="s">
        <v>47</v>
      </c>
      <c r="AJ4" s="16" t="s">
        <v>47</v>
      </c>
      <c r="AK4" s="14" t="s">
        <v>47</v>
      </c>
      <c r="AL4" s="16" t="s">
        <v>47</v>
      </c>
      <c r="AM4" s="16" t="s">
        <v>47</v>
      </c>
      <c r="AN4" s="14" t="s">
        <v>47</v>
      </c>
      <c r="AO4" s="14" t="s">
        <v>47</v>
      </c>
    </row>
    <row r="5" spans="1:41" ht="30" x14ac:dyDescent="0.25">
      <c r="A5" s="14" t="s">
        <v>35</v>
      </c>
      <c r="B5" s="14" t="s">
        <v>36</v>
      </c>
      <c r="C5" s="15">
        <v>43189.5</v>
      </c>
      <c r="D5" s="14" t="s">
        <v>37</v>
      </c>
      <c r="E5" s="16" t="s">
        <v>38</v>
      </c>
      <c r="F5" s="14" t="s">
        <v>39</v>
      </c>
      <c r="G5" s="16" t="s">
        <v>40</v>
      </c>
      <c r="H5" s="14" t="s">
        <v>41</v>
      </c>
      <c r="I5" s="16" t="s">
        <v>42</v>
      </c>
      <c r="J5" s="16" t="s">
        <v>43</v>
      </c>
      <c r="K5" s="16" t="s">
        <v>44</v>
      </c>
      <c r="L5" s="14" t="s">
        <v>45</v>
      </c>
      <c r="M5" s="16" t="s">
        <v>42</v>
      </c>
      <c r="N5" s="14" t="s">
        <v>46</v>
      </c>
      <c r="O5" s="16" t="s">
        <v>47</v>
      </c>
      <c r="P5" s="16" t="s">
        <v>47</v>
      </c>
      <c r="Q5" s="16" t="s">
        <v>71</v>
      </c>
      <c r="R5" s="14" t="s">
        <v>72</v>
      </c>
      <c r="S5" s="14" t="s">
        <v>51</v>
      </c>
      <c r="T5" s="14" t="s">
        <v>52</v>
      </c>
      <c r="U5" s="15">
        <v>40550</v>
      </c>
      <c r="V5" s="15"/>
      <c r="W5" s="16"/>
      <c r="X5" s="16" t="s">
        <v>47</v>
      </c>
      <c r="Y5" s="14" t="s">
        <v>47</v>
      </c>
      <c r="Z5" s="16" t="s">
        <v>47</v>
      </c>
      <c r="AA5" s="16" t="s">
        <v>47</v>
      </c>
      <c r="AB5" s="16" t="s">
        <v>47</v>
      </c>
      <c r="AC5" s="14" t="s">
        <v>47</v>
      </c>
      <c r="AD5" s="16" t="s">
        <v>47</v>
      </c>
      <c r="AE5" s="16" t="s">
        <v>47</v>
      </c>
      <c r="AF5" s="16" t="s">
        <v>47</v>
      </c>
      <c r="AG5" s="14" t="s">
        <v>47</v>
      </c>
      <c r="AH5" s="16" t="s">
        <v>47</v>
      </c>
      <c r="AI5" s="16" t="s">
        <v>47</v>
      </c>
      <c r="AJ5" s="16" t="s">
        <v>47</v>
      </c>
      <c r="AK5" s="14" t="s">
        <v>47</v>
      </c>
      <c r="AL5" s="16" t="s">
        <v>47</v>
      </c>
      <c r="AM5" s="16" t="s">
        <v>47</v>
      </c>
      <c r="AN5" s="14" t="s">
        <v>47</v>
      </c>
      <c r="AO5" s="14" t="s">
        <v>47</v>
      </c>
    </row>
  </sheetData>
  <autoFilter ref="A1:AS1" xr:uid="{EB141BDD-C277-4496-9538-54980F4DB79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8FE0-E5FA-416D-B8FA-1FF4F8ACA7F1}">
  <dimension ref="A1:V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92</v>
      </c>
      <c r="E1" s="10" t="s">
        <v>93</v>
      </c>
      <c r="F1" s="10" t="s">
        <v>94</v>
      </c>
      <c r="G1" s="10" t="s">
        <v>95</v>
      </c>
      <c r="H1" s="11" t="s">
        <v>22</v>
      </c>
      <c r="I1" s="11" t="s">
        <v>23</v>
      </c>
      <c r="J1" s="10" t="s">
        <v>96</v>
      </c>
      <c r="K1" s="10" t="s">
        <v>97</v>
      </c>
      <c r="L1" s="10" t="s">
        <v>98</v>
      </c>
      <c r="M1" s="10" t="s">
        <v>91</v>
      </c>
      <c r="N1" s="10" t="s">
        <v>99</v>
      </c>
      <c r="O1" s="12" t="s">
        <v>100</v>
      </c>
      <c r="P1" s="12" t="s">
        <v>101</v>
      </c>
      <c r="Q1" s="12" t="s">
        <v>102</v>
      </c>
      <c r="R1" s="12" t="s">
        <v>103</v>
      </c>
      <c r="S1" s="10" t="s">
        <v>33</v>
      </c>
      <c r="T1" s="10" t="s">
        <v>34</v>
      </c>
      <c r="U1" s="10" t="s">
        <v>104</v>
      </c>
      <c r="V1" s="10" t="s">
        <v>105</v>
      </c>
    </row>
    <row r="2" spans="1:22" ht="45" x14ac:dyDescent="0.25">
      <c r="A2" s="14" t="s">
        <v>35</v>
      </c>
      <c r="B2" s="14" t="s">
        <v>36</v>
      </c>
      <c r="C2" s="15">
        <v>43152.5</v>
      </c>
      <c r="D2" s="14" t="s">
        <v>54</v>
      </c>
      <c r="E2" s="14" t="s">
        <v>106</v>
      </c>
      <c r="F2" s="16" t="s">
        <v>55</v>
      </c>
      <c r="G2" s="14" t="s">
        <v>47</v>
      </c>
      <c r="H2" s="15">
        <v>40725</v>
      </c>
      <c r="I2" s="15"/>
      <c r="J2" s="16" t="s">
        <v>47</v>
      </c>
      <c r="K2" s="16" t="s">
        <v>107</v>
      </c>
      <c r="L2" s="14" t="s">
        <v>108</v>
      </c>
      <c r="M2" s="16" t="s">
        <v>47</v>
      </c>
      <c r="N2" s="14" t="s">
        <v>47</v>
      </c>
      <c r="O2" s="17"/>
      <c r="P2" s="17"/>
      <c r="Q2" s="17"/>
      <c r="R2" s="17"/>
      <c r="S2" s="14" t="s">
        <v>47</v>
      </c>
      <c r="T2" s="14" t="s">
        <v>47</v>
      </c>
      <c r="U2" s="14" t="s">
        <v>47</v>
      </c>
      <c r="V2" s="16" t="s">
        <v>47</v>
      </c>
    </row>
    <row r="3" spans="1:22" ht="60" x14ac:dyDescent="0.25">
      <c r="A3" s="14" t="s">
        <v>35</v>
      </c>
      <c r="B3" s="14" t="s">
        <v>36</v>
      </c>
      <c r="C3" s="15">
        <v>43152.5</v>
      </c>
      <c r="D3" s="14" t="s">
        <v>56</v>
      </c>
      <c r="E3" s="14" t="s">
        <v>106</v>
      </c>
      <c r="F3" s="16" t="s">
        <v>57</v>
      </c>
      <c r="G3" s="14" t="s">
        <v>47</v>
      </c>
      <c r="H3" s="15">
        <v>40725</v>
      </c>
      <c r="I3" s="15"/>
      <c r="J3" s="16" t="s">
        <v>47</v>
      </c>
      <c r="K3" s="16" t="s">
        <v>109</v>
      </c>
      <c r="L3" s="14" t="s">
        <v>108</v>
      </c>
      <c r="M3" s="16" t="s">
        <v>47</v>
      </c>
      <c r="N3" s="14" t="s">
        <v>47</v>
      </c>
      <c r="O3" s="17"/>
      <c r="P3" s="17"/>
      <c r="Q3" s="17"/>
      <c r="R3" s="17"/>
      <c r="S3" s="14" t="s">
        <v>47</v>
      </c>
      <c r="T3" s="14" t="s">
        <v>47</v>
      </c>
      <c r="U3" s="14" t="s">
        <v>47</v>
      </c>
      <c r="V3" s="16" t="s">
        <v>47</v>
      </c>
    </row>
    <row r="4" spans="1:22" ht="45" x14ac:dyDescent="0.25">
      <c r="A4" s="14" t="s">
        <v>35</v>
      </c>
      <c r="B4" s="14" t="s">
        <v>36</v>
      </c>
      <c r="C4" s="15">
        <v>43152.5</v>
      </c>
      <c r="D4" s="14" t="s">
        <v>58</v>
      </c>
      <c r="E4" s="14" t="s">
        <v>106</v>
      </c>
      <c r="F4" s="16" t="s">
        <v>59</v>
      </c>
      <c r="G4" s="14" t="s">
        <v>47</v>
      </c>
      <c r="H4" s="15">
        <v>40725</v>
      </c>
      <c r="I4" s="15"/>
      <c r="J4" s="16" t="s">
        <v>47</v>
      </c>
      <c r="K4" s="16" t="s">
        <v>110</v>
      </c>
      <c r="L4" s="14" t="s">
        <v>108</v>
      </c>
      <c r="M4" s="16" t="s">
        <v>47</v>
      </c>
      <c r="N4" s="14" t="s">
        <v>47</v>
      </c>
      <c r="O4" s="17"/>
      <c r="P4" s="17"/>
      <c r="Q4" s="17"/>
      <c r="R4" s="17"/>
      <c r="S4" s="14" t="s">
        <v>47</v>
      </c>
      <c r="T4" s="14" t="s">
        <v>47</v>
      </c>
      <c r="U4" s="14" t="s">
        <v>47</v>
      </c>
      <c r="V4" s="16" t="s">
        <v>47</v>
      </c>
    </row>
    <row r="5" spans="1:22" ht="90" x14ac:dyDescent="0.25">
      <c r="A5" s="14" t="s">
        <v>60</v>
      </c>
      <c r="B5" s="14" t="s">
        <v>36</v>
      </c>
      <c r="C5" s="15">
        <v>45561.59097222222</v>
      </c>
      <c r="D5" s="14" t="s">
        <v>66</v>
      </c>
      <c r="E5" s="14" t="s">
        <v>106</v>
      </c>
      <c r="F5" s="16" t="s">
        <v>67</v>
      </c>
      <c r="G5" s="14" t="s">
        <v>47</v>
      </c>
      <c r="H5" s="15">
        <v>40725</v>
      </c>
      <c r="I5" s="15"/>
      <c r="J5" s="16" t="s">
        <v>47</v>
      </c>
      <c r="K5" s="16" t="s">
        <v>111</v>
      </c>
      <c r="L5" s="14" t="s">
        <v>112</v>
      </c>
      <c r="M5" s="16" t="s">
        <v>113</v>
      </c>
      <c r="N5" s="14" t="s">
        <v>47</v>
      </c>
      <c r="O5" s="17"/>
      <c r="P5" s="17" t="s">
        <v>114</v>
      </c>
      <c r="Q5" s="17"/>
      <c r="R5" s="17"/>
      <c r="S5" s="14" t="s">
        <v>47</v>
      </c>
      <c r="T5" s="14" t="s">
        <v>47</v>
      </c>
      <c r="U5" s="14" t="s">
        <v>47</v>
      </c>
      <c r="V5" s="16" t="s">
        <v>47</v>
      </c>
    </row>
    <row r="6" spans="1:22" x14ac:dyDescent="0.25">
      <c r="A6" s="19"/>
      <c r="B6" s="19"/>
      <c r="C6" s="22"/>
      <c r="D6" s="19"/>
      <c r="E6" s="19"/>
      <c r="F6" s="20" t="s">
        <v>47</v>
      </c>
      <c r="G6" s="19"/>
      <c r="H6" s="22"/>
      <c r="I6" s="22"/>
      <c r="J6" s="20" t="s">
        <v>47</v>
      </c>
      <c r="K6" s="20" t="s">
        <v>47</v>
      </c>
      <c r="L6" s="19"/>
      <c r="M6" s="20" t="s">
        <v>47</v>
      </c>
      <c r="N6" s="19"/>
      <c r="S6" s="19"/>
      <c r="T6" s="19"/>
      <c r="U6" s="19"/>
      <c r="V6" s="20" t="s">
        <v>47</v>
      </c>
    </row>
    <row r="7" spans="1:22" x14ac:dyDescent="0.25">
      <c r="A7" s="19"/>
      <c r="B7" s="19"/>
      <c r="C7" s="22"/>
      <c r="D7" s="19"/>
      <c r="E7" s="19"/>
      <c r="F7" s="20" t="s">
        <v>47</v>
      </c>
      <c r="G7" s="19"/>
      <c r="H7" s="22"/>
      <c r="I7" s="22"/>
      <c r="J7" s="20" t="s">
        <v>47</v>
      </c>
      <c r="K7" s="20" t="s">
        <v>47</v>
      </c>
      <c r="L7" s="19"/>
      <c r="M7" s="20" t="s">
        <v>47</v>
      </c>
      <c r="N7" s="19"/>
      <c r="S7" s="19"/>
      <c r="T7" s="19"/>
      <c r="U7" s="19"/>
      <c r="V7" s="20" t="s">
        <v>47</v>
      </c>
    </row>
    <row r="8" spans="1:22" x14ac:dyDescent="0.25">
      <c r="A8" s="19"/>
      <c r="B8" s="19"/>
      <c r="C8" s="22"/>
      <c r="D8" s="19"/>
      <c r="E8" s="19"/>
      <c r="F8" s="20" t="s">
        <v>47</v>
      </c>
      <c r="G8" s="19"/>
      <c r="H8" s="22"/>
      <c r="I8" s="22"/>
      <c r="J8" s="20" t="s">
        <v>47</v>
      </c>
      <c r="K8" s="20" t="s">
        <v>47</v>
      </c>
      <c r="L8" s="19"/>
      <c r="M8" s="20" t="s">
        <v>47</v>
      </c>
      <c r="N8" s="19"/>
      <c r="S8" s="19"/>
      <c r="T8" s="19"/>
      <c r="U8" s="19"/>
      <c r="V8" s="20" t="s">
        <v>47</v>
      </c>
    </row>
    <row r="9" spans="1:22" x14ac:dyDescent="0.25">
      <c r="A9" s="19"/>
      <c r="B9" s="19"/>
      <c r="C9" s="22"/>
      <c r="D9" s="19"/>
      <c r="E9" s="19"/>
      <c r="F9" s="20" t="s">
        <v>47</v>
      </c>
      <c r="G9" s="19"/>
      <c r="H9" s="22"/>
      <c r="I9" s="22"/>
      <c r="J9" s="20" t="s">
        <v>47</v>
      </c>
      <c r="K9" s="20" t="s">
        <v>47</v>
      </c>
      <c r="L9" s="19"/>
      <c r="M9" s="20" t="s">
        <v>47</v>
      </c>
      <c r="N9" s="19"/>
      <c r="S9" s="19"/>
      <c r="T9" s="19"/>
      <c r="U9" s="19"/>
      <c r="V9" s="20" t="s">
        <v>47</v>
      </c>
    </row>
  </sheetData>
  <autoFilter ref="A1:Z1" xr:uid="{C5EA8FE0-E5FA-416D-B8FA-1FF4F8ACA7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2026-06-09T09:52:24Z</dcterms:created>
  <dcterms:modified xsi:type="dcterms:W3CDTF">2026-06-09T09:52:24Z</dcterms:modified>
</cp:coreProperties>
</file>